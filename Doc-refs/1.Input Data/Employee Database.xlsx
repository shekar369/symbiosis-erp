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5600" windowHeight="11016"/>
  </bookViews>
  <sheets>
    <sheet name="Employee Database" sheetId="1" r:id="rId1"/>
    <sheet name="Wage Data" sheetId="3" r:id="rId2"/>
    <sheet name="Attendance Data" sheetId="2" r:id="rId3"/>
  </sheets>
  <externalReferences>
    <externalReference r:id="rId4"/>
  </externalReferences>
  <definedNames>
    <definedName name="_xlnm._FilterDatabase" localSheetId="0" hidden="1">'Employee Database'!$A$9:$AN$60</definedName>
  </definedNames>
  <calcPr calcId="124519"/>
</workbook>
</file>

<file path=xl/calcChain.xml><?xml version="1.0" encoding="utf-8"?>
<calcChain xmlns="http://schemas.openxmlformats.org/spreadsheetml/2006/main">
  <c r="AP12" i="3"/>
  <c r="AL12"/>
  <c r="AD12"/>
  <c r="Z12"/>
  <c r="W12"/>
  <c r="H12"/>
  <c r="J12" s="1"/>
  <c r="C12"/>
  <c r="B12"/>
  <c r="AP11"/>
  <c r="AL11"/>
  <c r="W11" s="1"/>
  <c r="AD11"/>
  <c r="H11"/>
  <c r="J11" s="1"/>
  <c r="C11"/>
  <c r="B11"/>
  <c r="AV12" i="1" l="1"/>
  <c r="AX12" s="1"/>
  <c r="AV11"/>
  <c r="AX11" s="1"/>
  <c r="AI12" i="2" l="1"/>
  <c r="AI11"/>
  <c r="AJ11" l="1"/>
  <c r="AJ12"/>
  <c r="AK12" l="1"/>
  <c r="AK11"/>
  <c r="AL12" l="1"/>
  <c r="AM12" s="1"/>
  <c r="AQ12" s="1"/>
  <c r="AL11"/>
  <c r="AM11" s="1"/>
  <c r="AN12" l="1"/>
  <c r="E12" i="3" s="1"/>
  <c r="AN11" i="2"/>
  <c r="E11" i="3" s="1"/>
  <c r="R12" l="1"/>
  <c r="U12"/>
  <c r="O12"/>
  <c r="T12"/>
  <c r="P12"/>
  <c r="S12"/>
  <c r="Q12"/>
  <c r="S11"/>
  <c r="R11"/>
  <c r="O11"/>
  <c r="U11"/>
  <c r="T11"/>
  <c r="P11"/>
  <c r="Q11"/>
  <c r="C12" i="2"/>
  <c r="B12"/>
  <c r="C11"/>
  <c r="B11"/>
  <c r="AR12"/>
  <c r="V12" i="3" l="1"/>
  <c r="V11"/>
  <c r="AR11" i="2"/>
  <c r="X12" i="3" l="1"/>
  <c r="AB12" s="1"/>
  <c r="Y12"/>
  <c r="AA12" s="1"/>
  <c r="X11"/>
  <c r="Y11"/>
  <c r="AA11" s="1"/>
  <c r="J5" i="1"/>
  <c r="J4"/>
  <c r="J3"/>
  <c r="Z11" i="3" l="1"/>
  <c r="AB11"/>
  <c r="AF12"/>
  <c r="AG12" s="1"/>
  <c r="AF11" l="1"/>
  <c r="AG11" s="1"/>
</calcChain>
</file>

<file path=xl/sharedStrings.xml><?xml version="1.0" encoding="utf-8"?>
<sst xmlns="http://schemas.openxmlformats.org/spreadsheetml/2006/main" count="243" uniqueCount="148">
  <si>
    <t>Employee ID</t>
  </si>
  <si>
    <t>Serial No. in the
 Register of Workmen</t>
  </si>
  <si>
    <t>Name of 
Workman</t>
  </si>
  <si>
    <t>Father Name</t>
  </si>
  <si>
    <t>Husband/Wife Name</t>
  </si>
  <si>
    <t>Department</t>
  </si>
  <si>
    <t>Permanent Address-2   (Village Name)</t>
  </si>
  <si>
    <t>Permanent Address-3   (Mandal&amp;District Name)</t>
  </si>
  <si>
    <t>Permanent Address-4   (State with PIN code)</t>
  </si>
  <si>
    <t>Present Address-1   (H.No.&amp;Street Name)</t>
  </si>
  <si>
    <t>Present Address-2   (Village Name)</t>
  </si>
  <si>
    <t>Present Address-3   (Mandal&amp;District Name)</t>
  </si>
  <si>
    <t>Present Address-4   (State with PIN code)</t>
  </si>
  <si>
    <t>Date of Joining</t>
  </si>
  <si>
    <t>Date of termination of Employment</t>
  </si>
  <si>
    <t>Reasons for termination</t>
  </si>
  <si>
    <t>Remarks</t>
  </si>
  <si>
    <t>Bank Name</t>
  </si>
  <si>
    <t>Bank Account No</t>
  </si>
  <si>
    <t>Bank IFSC Code</t>
  </si>
  <si>
    <t>Aadhar Card No</t>
  </si>
  <si>
    <t>PAN No</t>
  </si>
  <si>
    <t xml:space="preserve">Mobile </t>
  </si>
  <si>
    <t>Emergency Contact Number(Family)</t>
  </si>
  <si>
    <t>Mail ID</t>
  </si>
  <si>
    <t>Nature and location of work:</t>
  </si>
  <si>
    <t>Wage period: Monthly</t>
  </si>
  <si>
    <t>S.No</t>
  </si>
  <si>
    <t>P</t>
  </si>
  <si>
    <t>WO</t>
  </si>
  <si>
    <t>Monthly rate of wages/
piece rate</t>
  </si>
  <si>
    <t>Dearness 
Allowances</t>
  </si>
  <si>
    <t>HRA</t>
  </si>
  <si>
    <t>CONVEYANCE</t>
  </si>
  <si>
    <t>TOTAL AMOUNT</t>
  </si>
  <si>
    <t>Net Amount 
paid</t>
  </si>
  <si>
    <t>Time and Date of Payment</t>
  </si>
  <si>
    <t>Place of Payment</t>
  </si>
  <si>
    <t>ESI</t>
  </si>
  <si>
    <t>PT</t>
  </si>
  <si>
    <t>TDS</t>
  </si>
  <si>
    <t>ADV</t>
  </si>
  <si>
    <t>MED</t>
  </si>
  <si>
    <t xml:space="preserve">                                                                                                        EMPLOYEE DATABASE</t>
  </si>
  <si>
    <t xml:space="preserve">Total No.of Days in the month
 </t>
  </si>
  <si>
    <t>Total No.of Days
 Payble</t>
  </si>
  <si>
    <t>EPF</t>
  </si>
  <si>
    <t>TOTAL DED</t>
  </si>
  <si>
    <t>Work Location</t>
  </si>
  <si>
    <t>Name of the Principal Employer</t>
  </si>
  <si>
    <t xml:space="preserve"> Address-1   (H.No.&amp;Street Name)</t>
  </si>
  <si>
    <t>Address-2   (Village Name)</t>
  </si>
  <si>
    <t>Address-3   (Mandal&amp;District Name)</t>
  </si>
  <si>
    <t>Address-4   (State with PIN code)</t>
  </si>
  <si>
    <t>Leaves taken in the month</t>
  </si>
  <si>
    <t>Opening Leave Balance</t>
  </si>
  <si>
    <t>No.Eligible Leaves added in the month</t>
  </si>
  <si>
    <t>Leave details</t>
  </si>
  <si>
    <t>EPF Basic Wages</t>
  </si>
  <si>
    <t>Overtime Hours</t>
  </si>
  <si>
    <t>Overtime Details</t>
  </si>
  <si>
    <t>Advance Details</t>
  </si>
  <si>
    <t>Total Advance</t>
  </si>
  <si>
    <t>Advance Date</t>
  </si>
  <si>
    <t>No.of EMI</t>
  </si>
  <si>
    <t>Amouunt of EMI</t>
  </si>
  <si>
    <t>Start</t>
  </si>
  <si>
    <t>End</t>
  </si>
  <si>
    <t>Status</t>
  </si>
  <si>
    <t>Nationality</t>
  </si>
  <si>
    <t>Educational Qualification</t>
  </si>
  <si>
    <t>Photo</t>
  </si>
  <si>
    <t>Specimen Signature or thumb impression of Workman</t>
  </si>
  <si>
    <t>Marital Status</t>
  </si>
  <si>
    <t>Payment Details</t>
  </si>
  <si>
    <t>Closing Leave Balance</t>
  </si>
  <si>
    <t>Total Overtime Hours</t>
  </si>
  <si>
    <t>Overtime Amount</t>
  </si>
  <si>
    <t>Overtime Dates</t>
  </si>
  <si>
    <t>Name of 
the Employee as Per                   Aadhar Card</t>
  </si>
  <si>
    <t>Deductions Details
(Indicate nature)</t>
  </si>
  <si>
    <t>Earnings Details</t>
  </si>
  <si>
    <t>Actuals Details</t>
  </si>
  <si>
    <t>Period Details</t>
  </si>
  <si>
    <t>Name and address of Employer:</t>
  </si>
  <si>
    <t>GR001</t>
  </si>
  <si>
    <t>GOLLAMANDA SUDEEP KUMAR</t>
  </si>
  <si>
    <t>GOLLAMANDA PAUL RAJU</t>
  </si>
  <si>
    <t>01.01.1978</t>
  </si>
  <si>
    <t>GR002</t>
  </si>
  <si>
    <t>GOLLAMANDA PRAVEEN KUMAR</t>
  </si>
  <si>
    <t>01.01.1980</t>
  </si>
  <si>
    <t>GOLLAMANDA PRABHAKAR</t>
  </si>
  <si>
    <t>Un Married</t>
  </si>
  <si>
    <t>In Service</t>
  </si>
  <si>
    <t>Male</t>
  </si>
  <si>
    <t>Service Status                                (In Service/Resigned)</t>
  </si>
  <si>
    <t>INDIAN</t>
  </si>
  <si>
    <t>Permanent Address-1                                      (H.No.&amp;Street Name)</t>
  </si>
  <si>
    <t>Resignation</t>
  </si>
  <si>
    <t xml:space="preserve">Basic
 </t>
  </si>
  <si>
    <t xml:space="preserve">Basic
</t>
  </si>
  <si>
    <t>Earned Gross</t>
  </si>
  <si>
    <t>Pending</t>
  </si>
  <si>
    <t>Medical Allowance</t>
  </si>
  <si>
    <t>Special Allowance</t>
  </si>
  <si>
    <t>Bonus</t>
  </si>
  <si>
    <t>2,5,10,27</t>
  </si>
  <si>
    <t>4,2,3,5</t>
  </si>
  <si>
    <t>01.09.2020</t>
  </si>
  <si>
    <t>ONLINE</t>
  </si>
  <si>
    <t>Infosys Limited</t>
  </si>
  <si>
    <t>Sy No 43</t>
  </si>
  <si>
    <t>Pocharam</t>
  </si>
  <si>
    <t>Ghatkesar Mandal,RR</t>
  </si>
  <si>
    <t>Telangana-500087</t>
  </si>
  <si>
    <t>Bangalore</t>
  </si>
  <si>
    <t>Electronic city</t>
  </si>
  <si>
    <t>Karnataka-600087</t>
  </si>
  <si>
    <t>Srinagar Colony Mandal,</t>
  </si>
  <si>
    <t>W.D.</t>
  </si>
  <si>
    <t>W.O.</t>
  </si>
  <si>
    <t>H</t>
  </si>
  <si>
    <t>C.O.</t>
  </si>
  <si>
    <t>EL</t>
  </si>
  <si>
    <t>Date of Birth</t>
  </si>
  <si>
    <t>Gender</t>
  </si>
  <si>
    <t>Designation /                                                     Nature of Work Done</t>
  </si>
  <si>
    <t>Resigned</t>
  </si>
  <si>
    <t>Actuals Salary Details</t>
  </si>
  <si>
    <t>Telangana_Hyderabad_SEZ</t>
  </si>
  <si>
    <t>Karnataka_Bangalore-STP</t>
  </si>
  <si>
    <t>D.A.</t>
  </si>
  <si>
    <t>07.05.2024</t>
  </si>
  <si>
    <t>ATTENDANCE</t>
  </si>
  <si>
    <t>Spruce IT  Private Limited</t>
  </si>
  <si>
    <t>#Shop No.7,II Floor,Sy.No. 30/Part,Street No.8,Habsiguda,Hyderabad-07</t>
  </si>
  <si>
    <t>IT Support Services &amp; Hyderabad</t>
  </si>
  <si>
    <t xml:space="preserve"> MUSTER ROLL STATEMENT
</t>
  </si>
  <si>
    <t xml:space="preserve">WAGES STATEMENT
</t>
  </si>
  <si>
    <t>EPF required</t>
  </si>
  <si>
    <t>ESI required</t>
  </si>
  <si>
    <t xml:space="preserve">EPF UAN Number                  (If already have)  </t>
  </si>
  <si>
    <t xml:space="preserve">ESI Number                            (If already have)  </t>
  </si>
  <si>
    <t>Monthly rate of wages</t>
  </si>
  <si>
    <t>Monthly CTC</t>
  </si>
  <si>
    <t>Performance Remarks</t>
  </si>
  <si>
    <t>Excellent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</si>
</sst>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mbria"/>
      <family val="1"/>
      <scheme val="major"/>
    </font>
    <font>
      <sz val="9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Cambria"/>
      <family val="1"/>
      <scheme val="major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9"/>
      <name val="Arial"/>
      <family val="2"/>
      <charset val="1"/>
    </font>
    <font>
      <sz val="9"/>
      <name val="Book Antiqua"/>
      <family val="1"/>
    </font>
    <font>
      <sz val="10"/>
      <name val="Arial"/>
      <family val="2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25"/>
      <name val="Calibri"/>
      <family val="2"/>
    </font>
    <font>
      <sz val="12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0"/>
      <name val="Calibri"/>
      <family val="2"/>
      <scheme val="minor"/>
    </font>
    <font>
      <b/>
      <sz val="9"/>
      <name val="Cambria"/>
      <family val="1"/>
      <scheme val="major"/>
    </font>
    <font>
      <b/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DA1A3"/>
        <bgColor indexed="64"/>
      </patternFill>
    </fill>
    <fill>
      <patternFill patternType="solid">
        <fgColor rgb="FFFB6BF4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2" fillId="0" borderId="0"/>
    <xf numFmtId="0" fontId="15" fillId="0" borderId="0" applyFont="0" applyFill="0" applyBorder="0" applyAlignment="0" applyProtection="0"/>
    <xf numFmtId="0" fontId="17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/>
  </cellStyleXfs>
  <cellXfs count="211">
    <xf numFmtId="0" fontId="0" fillId="0" borderId="0" xfId="0"/>
    <xf numFmtId="0" fontId="2" fillId="3" borderId="2" xfId="0" applyFont="1" applyFill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left"/>
    </xf>
    <xf numFmtId="14" fontId="6" fillId="4" borderId="1" xfId="0" applyNumberFormat="1" applyFont="1" applyFill="1" applyBorder="1" applyAlignment="1"/>
    <xf numFmtId="0" fontId="7" fillId="0" borderId="1" xfId="0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1" fontId="4" fillId="4" borderId="1" xfId="0" applyNumberFormat="1" applyFont="1" applyFill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4" borderId="1" xfId="0" applyFont="1" applyFill="1" applyBorder="1"/>
    <xf numFmtId="1" fontId="11" fillId="0" borderId="1" xfId="0" applyNumberFormat="1" applyFont="1" applyBorder="1"/>
    <xf numFmtId="0" fontId="13" fillId="0" borderId="1" xfId="2" applyFont="1" applyBorder="1"/>
    <xf numFmtId="165" fontId="14" fillId="4" borderId="1" xfId="1" applyNumberFormat="1" applyFont="1" applyFill="1" applyBorder="1" applyAlignment="1">
      <alignment horizontal="center"/>
    </xf>
    <xf numFmtId="1" fontId="16" fillId="4" borderId="1" xfId="3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21" fillId="0" borderId="8" xfId="0" applyFont="1" applyBorder="1"/>
    <xf numFmtId="0" fontId="0" fillId="0" borderId="9" xfId="0" applyBorder="1"/>
    <xf numFmtId="0" fontId="2" fillId="0" borderId="1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4" xfId="0" applyBorder="1"/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15" fillId="0" borderId="10" xfId="0" applyFont="1" applyBorder="1"/>
    <xf numFmtId="0" fontId="0" fillId="0" borderId="11" xfId="0" applyBorder="1"/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22" fillId="0" borderId="10" xfId="0" applyFont="1" applyBorder="1"/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/>
    <xf numFmtId="0" fontId="2" fillId="0" borderId="9" xfId="0" applyFont="1" applyBorder="1" applyAlignment="1">
      <alignment horizontal="center"/>
    </xf>
    <xf numFmtId="0" fontId="0" fillId="0" borderId="15" xfId="0" applyBorder="1"/>
    <xf numFmtId="0" fontId="0" fillId="0" borderId="0" xfId="0" applyAlignment="1">
      <alignment vertical="center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1" fontId="4" fillId="4" borderId="20" xfId="0" applyNumberFormat="1" applyFont="1" applyFill="1" applyBorder="1" applyAlignment="1">
      <alignment horizontal="center"/>
    </xf>
    <xf numFmtId="0" fontId="23" fillId="4" borderId="1" xfId="0" applyFont="1" applyFill="1" applyBorder="1" applyAlignment="1"/>
    <xf numFmtId="1" fontId="24" fillId="4" borderId="1" xfId="0" applyNumberFormat="1" applyFont="1" applyFill="1" applyBorder="1" applyAlignment="1">
      <alignment horizontal="center" vertical="top"/>
    </xf>
    <xf numFmtId="0" fontId="15" fillId="0" borderId="22" xfId="5" applyBorder="1" applyAlignment="1">
      <alignment horizontal="center"/>
    </xf>
    <xf numFmtId="0" fontId="15" fillId="0" borderId="23" xfId="5" applyBorder="1" applyAlignment="1">
      <alignment horizontal="center"/>
    </xf>
    <xf numFmtId="0" fontId="15" fillId="0" borderId="0" xfId="5" applyAlignment="1"/>
    <xf numFmtId="0" fontId="0" fillId="0" borderId="0" xfId="0" applyAlignment="1">
      <alignment horizontal="center"/>
    </xf>
    <xf numFmtId="0" fontId="0" fillId="4" borderId="0" xfId="0" applyFill="1"/>
    <xf numFmtId="0" fontId="25" fillId="9" borderId="25" xfId="0" applyFont="1" applyFill="1" applyBorder="1" applyAlignment="1">
      <alignment horizontal="center" vertical="center" wrapText="1"/>
    </xf>
    <xf numFmtId="0" fontId="25" fillId="9" borderId="26" xfId="0" applyFont="1" applyFill="1" applyBorder="1" applyAlignment="1">
      <alignment horizontal="center" vertical="center" wrapText="1"/>
    </xf>
    <xf numFmtId="0" fontId="25" fillId="10" borderId="26" xfId="0" applyFont="1" applyFill="1" applyBorder="1" applyAlignment="1">
      <alignment horizontal="center" vertical="center" wrapText="1"/>
    </xf>
    <xf numFmtId="0" fontId="25" fillId="7" borderId="2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/>
    </xf>
    <xf numFmtId="0" fontId="0" fillId="0" borderId="21" xfId="0" applyBorder="1"/>
    <xf numFmtId="0" fontId="0" fillId="0" borderId="28" xfId="0" applyBorder="1"/>
    <xf numFmtId="0" fontId="0" fillId="0" borderId="29" xfId="0" applyBorder="1"/>
    <xf numFmtId="1" fontId="20" fillId="0" borderId="10" xfId="0" applyNumberFormat="1" applyFont="1" applyBorder="1"/>
    <xf numFmtId="0" fontId="18" fillId="4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20" fillId="0" borderId="1" xfId="0" applyNumberFormat="1" applyFont="1" applyBorder="1"/>
    <xf numFmtId="0" fontId="25" fillId="9" borderId="3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0" fillId="0" borderId="1" xfId="0" applyNumberFormat="1" applyFont="1" applyBorder="1"/>
    <xf numFmtId="0" fontId="5" fillId="0" borderId="10" xfId="0" applyFont="1" applyBorder="1" applyAlignment="1">
      <alignment horizontal="center"/>
    </xf>
    <xf numFmtId="0" fontId="0" fillId="0" borderId="10" xfId="0" applyBorder="1"/>
    <xf numFmtId="0" fontId="0" fillId="0" borderId="33" xfId="0" applyBorder="1"/>
    <xf numFmtId="0" fontId="25" fillId="9" borderId="35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vertical="center"/>
    </xf>
    <xf numFmtId="1" fontId="20" fillId="0" borderId="2" xfId="0" applyNumberFormat="1" applyFont="1" applyBorder="1"/>
    <xf numFmtId="2" fontId="20" fillId="0" borderId="2" xfId="0" applyNumberFormat="1" applyFont="1" applyBorder="1"/>
    <xf numFmtId="0" fontId="2" fillId="8" borderId="1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6" borderId="40" xfId="0" applyFont="1" applyFill="1" applyBorder="1" applyAlignment="1">
      <alignment horizontal="center" vertical="center" wrapText="1"/>
    </xf>
    <xf numFmtId="1" fontId="20" fillId="4" borderId="1" xfId="0" applyNumberFormat="1" applyFont="1" applyFill="1" applyBorder="1" applyAlignment="1">
      <alignment horizontal="center"/>
    </xf>
    <xf numFmtId="0" fontId="25" fillId="9" borderId="26" xfId="0" applyFont="1" applyFill="1" applyBorder="1" applyAlignment="1">
      <alignment horizontal="center" vertical="center"/>
    </xf>
    <xf numFmtId="0" fontId="25" fillId="9" borderId="31" xfId="0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" fontId="26" fillId="4" borderId="1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/>
    <xf numFmtId="0" fontId="5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wrapText="1"/>
    </xf>
    <xf numFmtId="1" fontId="27" fillId="4" borderId="1" xfId="0" applyNumberFormat="1" applyFont="1" applyFill="1" applyBorder="1"/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/>
    <xf numFmtId="0" fontId="29" fillId="0" borderId="10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2" fillId="4" borderId="20" xfId="0" applyFont="1" applyFill="1" applyBorder="1" applyAlignment="1"/>
    <xf numFmtId="0" fontId="2" fillId="4" borderId="27" xfId="0" applyFont="1" applyFill="1" applyBorder="1" applyAlignment="1"/>
    <xf numFmtId="0" fontId="28" fillId="4" borderId="28" xfId="0" applyFont="1" applyFill="1" applyBorder="1" applyAlignment="1">
      <alignment horizontal="left"/>
    </xf>
    <xf numFmtId="0" fontId="28" fillId="4" borderId="28" xfId="0" applyFont="1" applyFill="1" applyBorder="1" applyAlignment="1"/>
    <xf numFmtId="1" fontId="27" fillId="4" borderId="28" xfId="0" applyNumberFormat="1" applyFont="1" applyFill="1" applyBorder="1"/>
    <xf numFmtId="0" fontId="29" fillId="0" borderId="33" xfId="0" applyFont="1" applyBorder="1" applyAlignment="1">
      <alignment horizontal="center"/>
    </xf>
    <xf numFmtId="0" fontId="2" fillId="6" borderId="43" xfId="0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vertical="center" wrapText="1"/>
    </xf>
    <xf numFmtId="1" fontId="2" fillId="4" borderId="10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26" fillId="4" borderId="1" xfId="0" applyNumberFormat="1" applyFont="1" applyFill="1" applyBorder="1" applyAlignment="1">
      <alignment horizontal="left" vertical="center"/>
    </xf>
    <xf numFmtId="0" fontId="21" fillId="0" borderId="9" xfId="0" applyFont="1" applyBorder="1"/>
    <xf numFmtId="0" fontId="15" fillId="0" borderId="4" xfId="0" applyFont="1" applyBorder="1"/>
    <xf numFmtId="0" fontId="22" fillId="0" borderId="4" xfId="0" applyFont="1" applyBorder="1"/>
    <xf numFmtId="17" fontId="2" fillId="0" borderId="8" xfId="0" applyNumberFormat="1" applyFont="1" applyBorder="1" applyAlignment="1">
      <alignment horizontal="center" vertical="center"/>
    </xf>
    <xf numFmtId="17" fontId="2" fillId="0" borderId="15" xfId="0" applyNumberFormat="1" applyFont="1" applyBorder="1" applyAlignment="1">
      <alignment horizontal="center" vertical="center"/>
    </xf>
    <xf numFmtId="1" fontId="27" fillId="4" borderId="1" xfId="0" applyNumberFormat="1" applyFont="1" applyFill="1" applyBorder="1" applyAlignment="1">
      <alignment horizontal="center"/>
    </xf>
    <xf numFmtId="0" fontId="25" fillId="5" borderId="26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wrapText="1"/>
    </xf>
    <xf numFmtId="0" fontId="18" fillId="4" borderId="11" xfId="0" applyFont="1" applyFill="1" applyBorder="1" applyAlignment="1">
      <alignment horizontal="center" wrapText="1"/>
    </xf>
    <xf numFmtId="0" fontId="18" fillId="4" borderId="11" xfId="0" applyFont="1" applyFill="1" applyBorder="1" applyAlignment="1">
      <alignment horizontal="center"/>
    </xf>
    <xf numFmtId="0" fontId="19" fillId="9" borderId="36" xfId="0" applyFont="1" applyFill="1" applyBorder="1" applyAlignment="1">
      <alignment vertical="center"/>
    </xf>
    <xf numFmtId="0" fontId="19" fillId="9" borderId="30" xfId="0" applyFont="1" applyFill="1" applyBorder="1" applyAlignment="1">
      <alignment vertical="center"/>
    </xf>
    <xf numFmtId="0" fontId="19" fillId="9" borderId="37" xfId="0" applyFont="1" applyFill="1" applyBorder="1" applyAlignment="1">
      <alignment vertical="center"/>
    </xf>
    <xf numFmtId="0" fontId="25" fillId="16" borderId="2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4" borderId="10" xfId="0" applyNumberFormat="1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44" xfId="0" applyBorder="1"/>
    <xf numFmtId="0" fontId="2" fillId="6" borderId="21" xfId="0" applyFont="1" applyFill="1" applyBorder="1" applyAlignment="1">
      <alignment horizontal="center" vertical="center" wrapText="1"/>
    </xf>
    <xf numFmtId="1" fontId="2" fillId="4" borderId="21" xfId="0" applyNumberFormat="1" applyFont="1" applyFill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/>
    </xf>
    <xf numFmtId="0" fontId="25" fillId="17" borderId="34" xfId="0" applyFont="1" applyFill="1" applyBorder="1" applyAlignment="1">
      <alignment horizontal="center" vertical="center" wrapText="1"/>
    </xf>
    <xf numFmtId="0" fontId="25" fillId="5" borderId="15" xfId="0" applyFont="1" applyFill="1" applyBorder="1" applyAlignment="1">
      <alignment horizontal="center" vertical="center" wrapText="1"/>
    </xf>
    <xf numFmtId="0" fontId="21" fillId="0" borderId="10" xfId="0" applyFont="1" applyBorder="1"/>
    <xf numFmtId="0" fontId="2" fillId="0" borderId="8" xfId="0" applyFont="1" applyBorder="1" applyAlignment="1">
      <alignment horizontal="center"/>
    </xf>
    <xf numFmtId="0" fontId="0" fillId="4" borderId="10" xfId="0" applyFill="1" applyBorder="1"/>
    <xf numFmtId="0" fontId="0" fillId="4" borderId="4" xfId="0" applyFill="1" applyBorder="1"/>
    <xf numFmtId="0" fontId="18" fillId="9" borderId="30" xfId="0" applyFont="1" applyFill="1" applyBorder="1" applyAlignment="1">
      <alignment horizontal="center" vertical="center"/>
    </xf>
    <xf numFmtId="0" fontId="18" fillId="9" borderId="37" xfId="0" applyFont="1" applyFill="1" applyBorder="1" applyAlignment="1">
      <alignment horizontal="center" vertical="center"/>
    </xf>
    <xf numFmtId="0" fontId="0" fillId="4" borderId="48" xfId="0" applyFill="1" applyBorder="1"/>
    <xf numFmtId="0" fontId="0" fillId="0" borderId="48" xfId="0" applyBorder="1"/>
    <xf numFmtId="0" fontId="0" fillId="0" borderId="49" xfId="0" applyBorder="1"/>
    <xf numFmtId="0" fontId="2" fillId="5" borderId="21" xfId="0" applyFont="1" applyFill="1" applyBorder="1" applyAlignment="1">
      <alignment horizontal="center" vertical="center" wrapText="1"/>
    </xf>
    <xf numFmtId="2" fontId="20" fillId="0" borderId="42" xfId="0" applyNumberFormat="1" applyFont="1" applyBorder="1"/>
    <xf numFmtId="2" fontId="20" fillId="0" borderId="21" xfId="0" applyNumberFormat="1" applyFont="1" applyBorder="1"/>
    <xf numFmtId="0" fontId="15" fillId="0" borderId="23" xfId="5" applyBorder="1" applyAlignment="1"/>
    <xf numFmtId="0" fontId="15" fillId="0" borderId="24" xfId="5" applyBorder="1" applyAlignment="1"/>
    <xf numFmtId="0" fontId="18" fillId="4" borderId="6" xfId="0" applyFont="1" applyFill="1" applyBorder="1" applyAlignment="1">
      <alignment horizontal="center"/>
    </xf>
    <xf numFmtId="0" fontId="2" fillId="0" borderId="48" xfId="0" applyFont="1" applyBorder="1" applyAlignment="1">
      <alignment vertical="center"/>
    </xf>
    <xf numFmtId="0" fontId="0" fillId="0" borderId="48" xfId="0" applyBorder="1" applyAlignment="1">
      <alignment horizontal="left"/>
    </xf>
    <xf numFmtId="0" fontId="2" fillId="0" borderId="49" xfId="0" applyFont="1" applyBorder="1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22" fillId="0" borderId="24" xfId="5" applyFont="1" applyBorder="1" applyAlignment="1">
      <alignment horizontal="center" vertical="center"/>
    </xf>
    <xf numFmtId="1" fontId="2" fillId="4" borderId="0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0" xfId="0" applyFont="1" applyFill="1" applyBorder="1" applyAlignment="1">
      <alignment horizontal="center" wrapText="1"/>
    </xf>
    <xf numFmtId="0" fontId="2" fillId="6" borderId="18" xfId="0" applyFont="1" applyFill="1" applyBorder="1" applyAlignment="1">
      <alignment horizontal="center" vertical="center" wrapText="1"/>
    </xf>
    <xf numFmtId="0" fontId="25" fillId="6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17" fontId="2" fillId="0" borderId="13" xfId="0" applyNumberFormat="1" applyFont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0" fontId="2" fillId="14" borderId="0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13" borderId="30" xfId="0" applyFont="1" applyFill="1" applyBorder="1" applyAlignment="1">
      <alignment horizontal="center"/>
    </xf>
    <xf numFmtId="0" fontId="2" fillId="13" borderId="23" xfId="0" applyFont="1" applyFill="1" applyBorder="1" applyAlignment="1">
      <alignment horizontal="center"/>
    </xf>
    <xf numFmtId="0" fontId="2" fillId="13" borderId="24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horizontal="center" vertical="center" wrapText="1"/>
    </xf>
    <xf numFmtId="0" fontId="2" fillId="15" borderId="22" xfId="0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0" fontId="2" fillId="15" borderId="24" xfId="0" applyFont="1" applyFill="1" applyBorder="1" applyAlignment="1">
      <alignment horizontal="center"/>
    </xf>
    <xf numFmtId="0" fontId="19" fillId="9" borderId="36" xfId="0" applyFont="1" applyFill="1" applyBorder="1" applyAlignment="1">
      <alignment horizontal="center"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/>
    </xf>
    <xf numFmtId="0" fontId="18" fillId="9" borderId="37" xfId="0" applyFont="1" applyFill="1" applyBorder="1" applyAlignment="1">
      <alignment horizontal="center" vertical="center"/>
    </xf>
    <xf numFmtId="17" fontId="2" fillId="0" borderId="18" xfId="0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/>
    </xf>
    <xf numFmtId="0" fontId="2" fillId="15" borderId="7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0" fontId="2" fillId="15" borderId="10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5" borderId="48" xfId="0" applyFont="1" applyFill="1" applyBorder="1" applyAlignment="1">
      <alignment horizont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19" fillId="9" borderId="47" xfId="0" applyFont="1" applyFill="1" applyBorder="1" applyAlignment="1">
      <alignment horizontal="center" vertical="center" wrapText="1"/>
    </xf>
    <xf numFmtId="0" fontId="19" fillId="9" borderId="45" xfId="0" applyFont="1" applyFill="1" applyBorder="1" applyAlignment="1">
      <alignment horizontal="center" vertical="center" wrapText="1"/>
    </xf>
    <xf numFmtId="0" fontId="19" fillId="9" borderId="46" xfId="0" applyFont="1" applyFill="1" applyBorder="1" applyAlignment="1">
      <alignment horizontal="center" vertical="center" wrapText="1"/>
    </xf>
  </cellXfs>
  <cellStyles count="8">
    <cellStyle name="Comma" xfId="1" builtinId="3"/>
    <cellStyle name="Comma 2" xfId="3"/>
    <cellStyle name="Excel Built-in Normal" xfId="4"/>
    <cellStyle name="Excel Built-in Normal 2" xfId="2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9" defaultPivotStyle="PivotStyleLight16"/>
  <colors>
    <mruColors>
      <color rgb="FFFB6BF4"/>
      <color rgb="FFFFFFCC"/>
      <color rgb="FFFDA1A3"/>
      <color rgb="FFFFFFFF"/>
      <color rgb="FFFFFF00"/>
      <color rgb="FFFFFF99"/>
      <color rgb="FFF9BD6D"/>
      <color rgb="FFF0FE68"/>
      <color rgb="FF6BEDFB"/>
      <color rgb="FFCBF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8.02.2020\Symbiosis%20Support%20technologies%20Pvt.Ltd\6.Spruce%20IT%20Pvt.Ltd\SPRUCE%20Audit%20docs%2003.01.20\Jan20\Jan-20\Hyderabad-SEZ\Employee%20Master-Jan-2020%20Hyderaba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Workmen Reg"/>
      <sheetName val="Muster Roll"/>
      <sheetName val="Leave Reg"/>
      <sheetName val="wages Reg"/>
      <sheetName val="Employment Cards (2)"/>
      <sheetName val="Employment Cards"/>
      <sheetName val="wage sllips (2)"/>
      <sheetName val="wage sllips"/>
      <sheetName val="Deductions"/>
      <sheetName val="Fines"/>
      <sheetName val="Advances"/>
      <sheetName val="Overtime"/>
      <sheetName val="Accident"/>
      <sheetName val="Bonus"/>
      <sheetName val="Equal remuneration"/>
      <sheetName val="Serive Certificate"/>
    </sheetNames>
    <sheetDataSet>
      <sheetData sheetId="0" refreshError="1">
        <row r="5">
          <cell r="F5" t="str">
            <v>Spruce IT  Private Limited</v>
          </cell>
        </row>
        <row r="6">
          <cell r="F6" t="str">
            <v>#Shop No.7,II Floor,Sy.No. 30/Part,Street No.8,Habsiguda,Hyderabad-07</v>
          </cell>
        </row>
        <row r="8">
          <cell r="F8" t="str">
            <v>IT Support Services &amp; Hyderabad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D60"/>
  <sheetViews>
    <sheetView tabSelected="1" workbookViewId="0">
      <selection activeCell="J12" sqref="J12"/>
    </sheetView>
  </sheetViews>
  <sheetFormatPr defaultRowHeight="14.4"/>
  <cols>
    <col min="2" max="2" width="17.44140625" customWidth="1"/>
    <col min="3" max="5" width="13.88671875" customWidth="1"/>
    <col min="6" max="6" width="14.88671875" customWidth="1"/>
    <col min="7" max="7" width="13.88671875" customWidth="1"/>
    <col min="8" max="8" width="23.21875" bestFit="1" customWidth="1"/>
    <col min="9" max="9" width="11.5546875" customWidth="1"/>
    <col min="10" max="10" width="23.44140625" customWidth="1"/>
    <col min="11" max="11" width="13.44140625" customWidth="1"/>
    <col min="12" max="12" width="9.77734375" customWidth="1"/>
    <col min="13" max="13" width="22.33203125" bestFit="1" customWidth="1"/>
    <col min="14" max="14" width="13" customWidth="1"/>
    <col min="15" max="21" width="23.33203125" customWidth="1"/>
    <col min="22" max="22" width="31.88671875" customWidth="1"/>
    <col min="23" max="42" width="23.33203125" customWidth="1"/>
    <col min="43" max="43" width="17.6640625" customWidth="1"/>
    <col min="44" max="45" width="30.44140625" customWidth="1"/>
    <col min="49" max="49" width="11.21875" customWidth="1"/>
    <col min="52" max="52" width="10" customWidth="1"/>
    <col min="54" max="54" width="9.88671875" customWidth="1"/>
  </cols>
  <sheetData>
    <row r="1" spans="1:56" ht="36.75" customHeight="1" thickBot="1">
      <c r="A1" s="126" t="s">
        <v>43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8"/>
    </row>
    <row r="2" spans="1:56">
      <c r="A2" s="123"/>
      <c r="B2" s="124"/>
      <c r="C2" s="124"/>
      <c r="D2" s="124"/>
      <c r="E2" s="124"/>
      <c r="F2" s="124"/>
      <c r="G2" s="124"/>
      <c r="H2" s="124"/>
      <c r="I2" s="125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125"/>
      <c r="AR2" s="125"/>
      <c r="AS2" s="60"/>
      <c r="AT2" s="135"/>
      <c r="AU2" s="19"/>
      <c r="AV2" s="19"/>
      <c r="AW2" s="19"/>
      <c r="AX2" s="19"/>
      <c r="AY2" s="19"/>
      <c r="AZ2" s="19"/>
      <c r="BA2" s="19"/>
      <c r="BB2" s="20"/>
    </row>
    <row r="3" spans="1:56">
      <c r="A3" s="170" t="s">
        <v>84</v>
      </c>
      <c r="B3" s="171"/>
      <c r="C3" s="171"/>
      <c r="D3" s="171"/>
      <c r="E3" s="171"/>
      <c r="F3" s="171"/>
      <c r="G3" s="171"/>
      <c r="H3" s="171"/>
      <c r="I3" s="171"/>
      <c r="J3" s="21" t="str">
        <f>[1]Master!F5</f>
        <v>Spruce IT  Private Limited</v>
      </c>
      <c r="K3" s="116"/>
      <c r="L3" s="116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4"/>
      <c r="AR3" s="24"/>
      <c r="AS3" s="24"/>
      <c r="AT3" s="135"/>
      <c r="AU3" s="19"/>
      <c r="AV3" s="19"/>
      <c r="AW3" s="19"/>
      <c r="AX3" s="19"/>
      <c r="AY3" s="19"/>
      <c r="AZ3" s="19"/>
      <c r="BA3" s="19"/>
      <c r="BB3" s="20"/>
    </row>
    <row r="4" spans="1:56">
      <c r="A4" s="27"/>
      <c r="B4" s="61"/>
      <c r="C4" s="61"/>
      <c r="D4" s="61"/>
      <c r="E4" s="61"/>
      <c r="F4" s="61"/>
      <c r="G4" s="61"/>
      <c r="H4" s="61"/>
      <c r="I4" s="19"/>
      <c r="J4" s="28" t="str">
        <f>[1]Master!F6</f>
        <v>#Shop No.7,II Floor,Sy.No. 30/Part,Street No.8,Habsiguda,Hyderabad-07</v>
      </c>
      <c r="K4" s="117"/>
      <c r="L4" s="117"/>
      <c r="M4" s="25"/>
      <c r="N4" s="25"/>
      <c r="O4" s="25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31"/>
      <c r="AR4" s="31"/>
      <c r="AS4" s="31"/>
      <c r="AT4" s="135"/>
      <c r="AU4" s="19"/>
      <c r="AV4" s="19"/>
      <c r="AW4" s="19"/>
      <c r="AX4" s="19"/>
      <c r="AY4" s="19"/>
      <c r="AZ4" s="19"/>
      <c r="BA4" s="19"/>
      <c r="BB4" s="20"/>
    </row>
    <row r="5" spans="1:56">
      <c r="A5" s="170" t="s">
        <v>25</v>
      </c>
      <c r="B5" s="171"/>
      <c r="C5" s="171"/>
      <c r="D5" s="171"/>
      <c r="E5" s="171"/>
      <c r="F5" s="171"/>
      <c r="G5" s="171"/>
      <c r="H5" s="171"/>
      <c r="I5" s="171"/>
      <c r="J5" s="32" t="str">
        <f>[1]Master!F8</f>
        <v>IT Support Services &amp; Hyderabad</v>
      </c>
      <c r="K5" s="118"/>
      <c r="L5" s="118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31"/>
      <c r="AR5" s="31"/>
      <c r="AS5" s="31"/>
      <c r="AT5" s="135"/>
      <c r="AU5" s="19"/>
      <c r="AV5" s="19"/>
      <c r="AW5" s="19"/>
      <c r="AX5" s="19"/>
      <c r="AY5" s="19"/>
      <c r="AZ5" s="19"/>
      <c r="BA5" s="19"/>
      <c r="BB5" s="20"/>
    </row>
    <row r="6" spans="1:56">
      <c r="A6" s="27"/>
      <c r="B6" s="61"/>
      <c r="C6" s="61"/>
      <c r="D6" s="61"/>
      <c r="E6" s="61"/>
      <c r="F6" s="61"/>
      <c r="G6" s="61"/>
      <c r="H6" s="61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34"/>
      <c r="AR6" s="34"/>
      <c r="AS6" s="34"/>
      <c r="AT6" s="135"/>
      <c r="AU6" s="19"/>
      <c r="AV6" s="19"/>
      <c r="AW6" s="19"/>
      <c r="AX6" s="19"/>
      <c r="AY6" s="19"/>
      <c r="AZ6" s="19"/>
      <c r="BA6" s="19"/>
      <c r="BB6" s="20"/>
    </row>
    <row r="7" spans="1:56" ht="15.75" customHeight="1">
      <c r="A7" s="172" t="s">
        <v>26</v>
      </c>
      <c r="B7" s="173"/>
      <c r="C7" s="173"/>
      <c r="D7" s="173"/>
      <c r="E7" s="173"/>
      <c r="F7" s="173"/>
      <c r="G7" s="173"/>
      <c r="H7" s="173"/>
      <c r="I7" s="173"/>
      <c r="J7" s="176">
        <v>45383</v>
      </c>
      <c r="K7" s="119"/>
      <c r="L7" s="119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36"/>
      <c r="AR7" s="36"/>
      <c r="AS7" s="36"/>
      <c r="AT7" s="135"/>
      <c r="AU7" s="19"/>
      <c r="AV7" s="19"/>
      <c r="AW7" s="19"/>
      <c r="AX7" s="19"/>
      <c r="AY7" s="19"/>
      <c r="AZ7" s="19"/>
      <c r="BA7" s="19"/>
      <c r="BB7" s="20"/>
    </row>
    <row r="8" spans="1:56" ht="15" thickBot="1">
      <c r="A8" s="174"/>
      <c r="B8" s="175"/>
      <c r="C8" s="175"/>
      <c r="D8" s="175"/>
      <c r="E8" s="175"/>
      <c r="F8" s="175"/>
      <c r="G8" s="175"/>
      <c r="H8" s="175"/>
      <c r="I8" s="175"/>
      <c r="J8" s="177"/>
      <c r="K8" s="120"/>
      <c r="L8" s="120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19"/>
      <c r="AP8" s="19"/>
      <c r="AQ8" s="19"/>
      <c r="AR8" s="19"/>
      <c r="AS8" s="19"/>
      <c r="AT8" s="37"/>
      <c r="AU8" s="29"/>
      <c r="AV8" s="29"/>
      <c r="AW8" s="29"/>
      <c r="AX8" s="29"/>
      <c r="AY8" s="29"/>
      <c r="AZ8" s="29"/>
      <c r="BA8" s="29"/>
      <c r="BB8" s="136"/>
    </row>
    <row r="9" spans="1:56" ht="69.599999999999994" thickBot="1">
      <c r="A9" s="72" t="s">
        <v>1</v>
      </c>
      <c r="B9" s="51" t="s">
        <v>96</v>
      </c>
      <c r="C9" s="63" t="s">
        <v>49</v>
      </c>
      <c r="D9" s="63" t="s">
        <v>50</v>
      </c>
      <c r="E9" s="63" t="s">
        <v>51</v>
      </c>
      <c r="F9" s="63" t="s">
        <v>52</v>
      </c>
      <c r="G9" s="63" t="s">
        <v>53</v>
      </c>
      <c r="H9" s="63" t="s">
        <v>48</v>
      </c>
      <c r="I9" s="72" t="s">
        <v>0</v>
      </c>
      <c r="J9" s="73" t="s">
        <v>79</v>
      </c>
      <c r="K9" s="86" t="s">
        <v>125</v>
      </c>
      <c r="L9" s="85" t="s">
        <v>126</v>
      </c>
      <c r="M9" s="85" t="s">
        <v>3</v>
      </c>
      <c r="N9" s="85" t="s">
        <v>73</v>
      </c>
      <c r="O9" s="85" t="s">
        <v>4</v>
      </c>
      <c r="P9" s="52" t="s">
        <v>22</v>
      </c>
      <c r="Q9" s="72" t="s">
        <v>23</v>
      </c>
      <c r="R9" s="73" t="s">
        <v>24</v>
      </c>
      <c r="S9" s="73" t="s">
        <v>69</v>
      </c>
      <c r="T9" s="73" t="s">
        <v>70</v>
      </c>
      <c r="U9" s="52" t="s">
        <v>5</v>
      </c>
      <c r="V9" s="52" t="s">
        <v>127</v>
      </c>
      <c r="W9" s="52" t="s">
        <v>13</v>
      </c>
      <c r="X9" s="52" t="s">
        <v>142</v>
      </c>
      <c r="Y9" s="52" t="s">
        <v>143</v>
      </c>
      <c r="Z9" s="52" t="s">
        <v>140</v>
      </c>
      <c r="AA9" s="52" t="s">
        <v>141</v>
      </c>
      <c r="AB9" s="52" t="s">
        <v>20</v>
      </c>
      <c r="AC9" s="52" t="s">
        <v>21</v>
      </c>
      <c r="AD9" s="52" t="s">
        <v>17</v>
      </c>
      <c r="AE9" s="52" t="s">
        <v>18</v>
      </c>
      <c r="AF9" s="52" t="s">
        <v>19</v>
      </c>
      <c r="AG9" s="53" t="s">
        <v>98</v>
      </c>
      <c r="AH9" s="53" t="s">
        <v>6</v>
      </c>
      <c r="AI9" s="53" t="s">
        <v>7</v>
      </c>
      <c r="AJ9" s="53" t="s">
        <v>8</v>
      </c>
      <c r="AK9" s="54" t="s">
        <v>9</v>
      </c>
      <c r="AL9" s="54" t="s">
        <v>10</v>
      </c>
      <c r="AM9" s="54" t="s">
        <v>11</v>
      </c>
      <c r="AN9" s="54" t="s">
        <v>12</v>
      </c>
      <c r="AO9" s="122" t="s">
        <v>72</v>
      </c>
      <c r="AP9" s="52" t="s">
        <v>146</v>
      </c>
      <c r="AQ9" s="129" t="s">
        <v>14</v>
      </c>
      <c r="AR9" s="129" t="s">
        <v>15</v>
      </c>
      <c r="AS9" s="140" t="s">
        <v>71</v>
      </c>
      <c r="AT9" s="178" t="s">
        <v>129</v>
      </c>
      <c r="AU9" s="178"/>
      <c r="AV9" s="178"/>
      <c r="AW9" s="178"/>
      <c r="AX9" s="178"/>
      <c r="AY9" s="178"/>
      <c r="AZ9" s="178"/>
      <c r="BA9" s="178"/>
      <c r="BB9" s="179"/>
    </row>
    <row r="10" spans="1:56" ht="43.2">
      <c r="A10" s="100">
        <v>1</v>
      </c>
      <c r="B10" s="55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1">
        <v>8</v>
      </c>
      <c r="I10" s="1">
        <v>9</v>
      </c>
      <c r="J10" s="1">
        <v>10</v>
      </c>
      <c r="K10" s="1">
        <v>11</v>
      </c>
      <c r="L10" s="1">
        <v>12</v>
      </c>
      <c r="M10" s="1">
        <v>13</v>
      </c>
      <c r="N10" s="1">
        <v>14</v>
      </c>
      <c r="O10" s="1">
        <v>15</v>
      </c>
      <c r="P10" s="67">
        <v>16</v>
      </c>
      <c r="Q10" s="67">
        <v>17</v>
      </c>
      <c r="R10" s="1">
        <v>18</v>
      </c>
      <c r="S10" s="1">
        <v>19</v>
      </c>
      <c r="T10" s="1">
        <v>20</v>
      </c>
      <c r="U10" s="1">
        <v>21</v>
      </c>
      <c r="V10" s="1">
        <v>22</v>
      </c>
      <c r="W10" s="1">
        <v>23</v>
      </c>
      <c r="X10" s="1">
        <v>24</v>
      </c>
      <c r="Y10" s="66">
        <v>25</v>
      </c>
      <c r="Z10" s="67">
        <v>26</v>
      </c>
      <c r="AA10" s="67">
        <v>27</v>
      </c>
      <c r="AB10" s="67">
        <v>28</v>
      </c>
      <c r="AC10" s="67">
        <v>29</v>
      </c>
      <c r="AD10" s="67">
        <v>30</v>
      </c>
      <c r="AE10" s="1">
        <v>31</v>
      </c>
      <c r="AF10" s="1">
        <v>32</v>
      </c>
      <c r="AG10" s="1">
        <v>33</v>
      </c>
      <c r="AH10" s="1">
        <v>34</v>
      </c>
      <c r="AI10" s="1">
        <v>35</v>
      </c>
      <c r="AJ10" s="1">
        <v>36</v>
      </c>
      <c r="AK10" s="1">
        <v>37</v>
      </c>
      <c r="AL10" s="1">
        <v>38</v>
      </c>
      <c r="AM10" s="1">
        <v>39</v>
      </c>
      <c r="AN10" s="1">
        <v>40</v>
      </c>
      <c r="AO10" s="66">
        <v>41</v>
      </c>
      <c r="AP10" s="66">
        <v>42</v>
      </c>
      <c r="AQ10" s="103">
        <v>43</v>
      </c>
      <c r="AR10" s="103">
        <v>44</v>
      </c>
      <c r="AS10" s="103">
        <v>45</v>
      </c>
      <c r="AT10" s="130" t="s">
        <v>145</v>
      </c>
      <c r="AU10" s="130" t="s">
        <v>144</v>
      </c>
      <c r="AV10" s="131" t="s">
        <v>100</v>
      </c>
      <c r="AW10" s="131" t="s">
        <v>31</v>
      </c>
      <c r="AX10" s="131" t="s">
        <v>32</v>
      </c>
      <c r="AY10" s="131" t="s">
        <v>33</v>
      </c>
      <c r="AZ10" s="131" t="s">
        <v>104</v>
      </c>
      <c r="BA10" s="131" t="s">
        <v>106</v>
      </c>
      <c r="BB10" s="137" t="s">
        <v>105</v>
      </c>
    </row>
    <row r="11" spans="1:56" ht="15.6">
      <c r="A11" s="101">
        <v>1</v>
      </c>
      <c r="B11" s="104" t="s">
        <v>94</v>
      </c>
      <c r="C11" s="90" t="s">
        <v>111</v>
      </c>
      <c r="D11" s="90" t="s">
        <v>112</v>
      </c>
      <c r="E11" s="90" t="s">
        <v>113</v>
      </c>
      <c r="F11" s="90" t="s">
        <v>114</v>
      </c>
      <c r="G11" s="90" t="s">
        <v>115</v>
      </c>
      <c r="H11" s="90" t="s">
        <v>130</v>
      </c>
      <c r="I11" s="91" t="s">
        <v>85</v>
      </c>
      <c r="J11" s="92" t="s">
        <v>86</v>
      </c>
      <c r="K11" s="4" t="s">
        <v>88</v>
      </c>
      <c r="L11" s="97" t="s">
        <v>95</v>
      </c>
      <c r="M11" s="93" t="s">
        <v>87</v>
      </c>
      <c r="N11" s="98" t="s">
        <v>93</v>
      </c>
      <c r="O11" s="93"/>
      <c r="P11" s="16"/>
      <c r="Q11" s="16"/>
      <c r="R11" s="69"/>
      <c r="S11" s="99" t="s">
        <v>97</v>
      </c>
      <c r="T11" s="69"/>
      <c r="U11" s="93"/>
      <c r="V11" s="94"/>
      <c r="W11" s="10"/>
      <c r="X11" s="12"/>
      <c r="Y11" s="13"/>
      <c r="Z11" s="13"/>
      <c r="AA11" s="13"/>
      <c r="AB11" s="16"/>
      <c r="AC11" s="17"/>
      <c r="AD11" s="3"/>
      <c r="AE11" s="14"/>
      <c r="AF11" s="15"/>
      <c r="AG11" s="95"/>
      <c r="AH11" s="95"/>
      <c r="AI11" s="8"/>
      <c r="AJ11" s="8"/>
      <c r="AK11" s="9"/>
      <c r="AL11" s="8"/>
      <c r="AM11" s="8"/>
      <c r="AN11" s="8"/>
      <c r="AO11" s="11"/>
      <c r="AP11" s="121" t="s">
        <v>147</v>
      </c>
      <c r="AQ11" s="8"/>
      <c r="AR11" s="121"/>
      <c r="AS11" s="11"/>
      <c r="AT11" s="2">
        <v>120000</v>
      </c>
      <c r="AU11" s="132">
        <v>10000</v>
      </c>
      <c r="AV11" s="133">
        <f>AU11*60%</f>
        <v>6000</v>
      </c>
      <c r="AW11" s="133">
        <v>0</v>
      </c>
      <c r="AX11" s="133">
        <f>(AU11-AV11)</f>
        <v>4000</v>
      </c>
      <c r="AY11" s="133">
        <v>0</v>
      </c>
      <c r="AZ11" s="133">
        <v>0</v>
      </c>
      <c r="BA11" s="134">
        <v>0</v>
      </c>
      <c r="BB11" s="138">
        <v>0</v>
      </c>
      <c r="BD11" s="162"/>
    </row>
    <row r="12" spans="1:56" ht="15.6">
      <c r="A12" s="101">
        <v>2</v>
      </c>
      <c r="B12" s="104" t="s">
        <v>128</v>
      </c>
      <c r="C12" s="90" t="s">
        <v>111</v>
      </c>
      <c r="D12" s="90" t="s">
        <v>117</v>
      </c>
      <c r="E12" s="90" t="s">
        <v>116</v>
      </c>
      <c r="F12" s="90" t="s">
        <v>119</v>
      </c>
      <c r="G12" s="90" t="s">
        <v>118</v>
      </c>
      <c r="H12" s="90" t="s">
        <v>131</v>
      </c>
      <c r="I12" s="91" t="s">
        <v>89</v>
      </c>
      <c r="J12" s="92" t="s">
        <v>90</v>
      </c>
      <c r="K12" s="4" t="s">
        <v>91</v>
      </c>
      <c r="L12" s="97" t="s">
        <v>95</v>
      </c>
      <c r="M12" s="93" t="s">
        <v>92</v>
      </c>
      <c r="N12" s="98" t="s">
        <v>93</v>
      </c>
      <c r="O12" s="93"/>
      <c r="P12" s="16"/>
      <c r="Q12" s="16"/>
      <c r="R12" s="69"/>
      <c r="S12" s="99" t="s">
        <v>97</v>
      </c>
      <c r="T12" s="69"/>
      <c r="U12" s="93"/>
      <c r="V12" s="94"/>
      <c r="W12" s="10"/>
      <c r="X12" s="12"/>
      <c r="Y12" s="13"/>
      <c r="Z12" s="13"/>
      <c r="AA12" s="13"/>
      <c r="AB12" s="16"/>
      <c r="AC12" s="17"/>
      <c r="AD12" s="3"/>
      <c r="AE12" s="14"/>
      <c r="AF12" s="15"/>
      <c r="AG12" s="95"/>
      <c r="AH12" s="95"/>
      <c r="AI12" s="8"/>
      <c r="AJ12" s="8"/>
      <c r="AK12" s="9"/>
      <c r="AL12" s="8"/>
      <c r="AM12" s="8"/>
      <c r="AN12" s="8"/>
      <c r="AO12" s="11"/>
      <c r="AP12" s="121" t="s">
        <v>147</v>
      </c>
      <c r="AQ12" s="8"/>
      <c r="AR12" s="121" t="s">
        <v>99</v>
      </c>
      <c r="AS12" s="11"/>
      <c r="AT12" s="2">
        <v>28000</v>
      </c>
      <c r="AU12" s="132">
        <v>25000</v>
      </c>
      <c r="AV12" s="133">
        <f>AU12*60%</f>
        <v>15000</v>
      </c>
      <c r="AW12" s="133">
        <v>0</v>
      </c>
      <c r="AX12" s="133">
        <f>(AU12-AV12)</f>
        <v>10000</v>
      </c>
      <c r="AY12" s="133">
        <v>0</v>
      </c>
      <c r="AZ12" s="133">
        <v>0</v>
      </c>
      <c r="BA12" s="133">
        <v>0</v>
      </c>
      <c r="BB12" s="138">
        <v>0</v>
      </c>
    </row>
    <row r="13" spans="1:56" ht="15.6">
      <c r="A13" s="101">
        <v>3</v>
      </c>
      <c r="B13" s="104"/>
      <c r="C13" s="64"/>
      <c r="D13" s="64"/>
      <c r="E13" s="64"/>
      <c r="F13" s="64"/>
      <c r="G13" s="64"/>
      <c r="H13" s="64"/>
      <c r="I13" s="2"/>
      <c r="J13" s="3"/>
      <c r="K13" s="4"/>
      <c r="L13" s="97"/>
      <c r="M13" s="5"/>
      <c r="N13" s="98"/>
      <c r="O13" s="5"/>
      <c r="P13" s="16"/>
      <c r="Q13" s="16"/>
      <c r="R13" s="69"/>
      <c r="S13" s="99"/>
      <c r="T13" s="69"/>
      <c r="U13" s="5"/>
      <c r="V13" s="6"/>
      <c r="W13" s="10"/>
      <c r="X13" s="12"/>
      <c r="Y13" s="13"/>
      <c r="Z13" s="13"/>
      <c r="AA13" s="13"/>
      <c r="AB13" s="16"/>
      <c r="AC13" s="17"/>
      <c r="AD13" s="3"/>
      <c r="AE13" s="14"/>
      <c r="AF13" s="15"/>
      <c r="AG13" s="7"/>
      <c r="AH13" s="7"/>
      <c r="AI13" s="8"/>
      <c r="AJ13" s="8"/>
      <c r="AK13" s="9"/>
      <c r="AL13" s="8"/>
      <c r="AM13" s="8"/>
      <c r="AN13" s="8"/>
      <c r="AO13" s="11"/>
      <c r="AP13" s="121"/>
      <c r="AQ13" s="8"/>
      <c r="AR13" s="96"/>
      <c r="AS13" s="11"/>
      <c r="AT13" s="2"/>
      <c r="AU13" s="2"/>
      <c r="AV13" s="2"/>
      <c r="AW13" s="2"/>
      <c r="AX13" s="2"/>
      <c r="AY13" s="2"/>
      <c r="AZ13" s="2"/>
      <c r="BA13" s="2"/>
      <c r="BB13" s="56"/>
    </row>
    <row r="14" spans="1:56" ht="15.6">
      <c r="A14" s="101">
        <v>4</v>
      </c>
      <c r="B14" s="104"/>
      <c r="C14" s="64"/>
      <c r="D14" s="64"/>
      <c r="E14" s="64"/>
      <c r="F14" s="64"/>
      <c r="G14" s="64"/>
      <c r="H14" s="64"/>
      <c r="I14" s="2"/>
      <c r="J14" s="3"/>
      <c r="K14" s="4"/>
      <c r="L14" s="97"/>
      <c r="M14" s="5"/>
      <c r="N14" s="98"/>
      <c r="O14" s="5"/>
      <c r="P14" s="16"/>
      <c r="Q14" s="16"/>
      <c r="R14" s="69"/>
      <c r="S14" s="99"/>
      <c r="T14" s="69"/>
      <c r="U14" s="5"/>
      <c r="V14" s="6"/>
      <c r="W14" s="10"/>
      <c r="X14" s="12"/>
      <c r="Y14" s="13"/>
      <c r="Z14" s="13"/>
      <c r="AA14" s="13"/>
      <c r="AB14" s="16"/>
      <c r="AC14" s="17"/>
      <c r="AD14" s="3"/>
      <c r="AE14" s="14"/>
      <c r="AF14" s="15"/>
      <c r="AG14" s="7"/>
      <c r="AH14" s="7"/>
      <c r="AI14" s="8"/>
      <c r="AJ14" s="8"/>
      <c r="AK14" s="9"/>
      <c r="AL14" s="8"/>
      <c r="AM14" s="8"/>
      <c r="AN14" s="8"/>
      <c r="AO14" s="11"/>
      <c r="AP14" s="121"/>
      <c r="AQ14" s="8"/>
      <c r="AR14" s="96"/>
      <c r="AS14" s="11"/>
      <c r="AT14" s="2"/>
      <c r="AU14" s="2"/>
      <c r="AV14" s="2"/>
      <c r="AW14" s="2"/>
      <c r="AX14" s="2"/>
      <c r="AY14" s="2"/>
      <c r="AZ14" s="2"/>
      <c r="BA14" s="2"/>
      <c r="BB14" s="56"/>
    </row>
    <row r="15" spans="1:56" ht="15.6">
      <c r="A15" s="101">
        <v>5</v>
      </c>
      <c r="B15" s="104"/>
      <c r="C15" s="64"/>
      <c r="D15" s="64"/>
      <c r="E15" s="64"/>
      <c r="F15" s="64"/>
      <c r="G15" s="64"/>
      <c r="H15" s="64"/>
      <c r="I15" s="2"/>
      <c r="J15" s="3"/>
      <c r="K15" s="4"/>
      <c r="L15" s="97"/>
      <c r="M15" s="5"/>
      <c r="N15" s="98"/>
      <c r="O15" s="5"/>
      <c r="P15" s="16"/>
      <c r="Q15" s="16"/>
      <c r="R15" s="69"/>
      <c r="S15" s="99"/>
      <c r="T15" s="69"/>
      <c r="U15" s="5"/>
      <c r="V15" s="6"/>
      <c r="W15" s="10"/>
      <c r="X15" s="12"/>
      <c r="Y15" s="13"/>
      <c r="Z15" s="13"/>
      <c r="AA15" s="13"/>
      <c r="AB15" s="16"/>
      <c r="AC15" s="17"/>
      <c r="AD15" s="3"/>
      <c r="AE15" s="14"/>
      <c r="AF15" s="15"/>
      <c r="AG15" s="7"/>
      <c r="AH15" s="7"/>
      <c r="AI15" s="8"/>
      <c r="AJ15" s="8"/>
      <c r="AK15" s="9"/>
      <c r="AL15" s="8"/>
      <c r="AM15" s="8"/>
      <c r="AN15" s="8"/>
      <c r="AO15" s="11"/>
      <c r="AP15" s="121"/>
      <c r="AQ15" s="8"/>
      <c r="AR15" s="96"/>
      <c r="AS15" s="11"/>
      <c r="AT15" s="2"/>
      <c r="AU15" s="2"/>
      <c r="AV15" s="2"/>
      <c r="AW15" s="2"/>
      <c r="AX15" s="2"/>
      <c r="AY15" s="2"/>
      <c r="AZ15" s="2"/>
      <c r="BA15" s="2"/>
      <c r="BB15" s="56"/>
    </row>
    <row r="16" spans="1:56" ht="15.6">
      <c r="A16" s="101">
        <v>6</v>
      </c>
      <c r="B16" s="104"/>
      <c r="C16" s="64"/>
      <c r="D16" s="64"/>
      <c r="E16" s="64"/>
      <c r="F16" s="64"/>
      <c r="G16" s="64"/>
      <c r="H16" s="64"/>
      <c r="I16" s="2"/>
      <c r="J16" s="3"/>
      <c r="K16" s="4"/>
      <c r="L16" s="97"/>
      <c r="M16" s="5"/>
      <c r="N16" s="98"/>
      <c r="O16" s="5"/>
      <c r="P16" s="16"/>
      <c r="Q16" s="16"/>
      <c r="R16" s="69"/>
      <c r="S16" s="99"/>
      <c r="T16" s="69"/>
      <c r="U16" s="5"/>
      <c r="V16" s="6"/>
      <c r="W16" s="10"/>
      <c r="X16" s="12"/>
      <c r="Y16" s="13"/>
      <c r="Z16" s="13"/>
      <c r="AA16" s="13"/>
      <c r="AB16" s="16"/>
      <c r="AC16" s="17"/>
      <c r="AD16" s="3"/>
      <c r="AE16" s="14"/>
      <c r="AF16" s="15"/>
      <c r="AG16" s="7"/>
      <c r="AH16" s="7"/>
      <c r="AI16" s="8"/>
      <c r="AJ16" s="8"/>
      <c r="AK16" s="9"/>
      <c r="AL16" s="8"/>
      <c r="AM16" s="8"/>
      <c r="AN16" s="8"/>
      <c r="AO16" s="11"/>
      <c r="AP16" s="121"/>
      <c r="AQ16" s="8"/>
      <c r="AR16" s="96"/>
      <c r="AS16" s="11"/>
      <c r="AT16" s="2"/>
      <c r="AU16" s="2"/>
      <c r="AV16" s="2"/>
      <c r="AW16" s="2"/>
      <c r="AX16" s="2"/>
      <c r="AY16" s="2"/>
      <c r="AZ16" s="2"/>
      <c r="BA16" s="2"/>
      <c r="BB16" s="56"/>
    </row>
    <row r="17" spans="1:54" ht="15.6">
      <c r="A17" s="101">
        <v>7</v>
      </c>
      <c r="B17" s="104"/>
      <c r="C17" s="64"/>
      <c r="D17" s="64"/>
      <c r="E17" s="64"/>
      <c r="F17" s="64"/>
      <c r="G17" s="64"/>
      <c r="H17" s="64"/>
      <c r="I17" s="2"/>
      <c r="J17" s="3"/>
      <c r="K17" s="4"/>
      <c r="L17" s="97"/>
      <c r="M17" s="5"/>
      <c r="N17" s="98"/>
      <c r="O17" s="5"/>
      <c r="P17" s="16"/>
      <c r="Q17" s="16"/>
      <c r="R17" s="69"/>
      <c r="S17" s="99"/>
      <c r="T17" s="69"/>
      <c r="U17" s="5"/>
      <c r="V17" s="6"/>
      <c r="W17" s="10"/>
      <c r="X17" s="12"/>
      <c r="Y17" s="13"/>
      <c r="Z17" s="13"/>
      <c r="AA17" s="13"/>
      <c r="AB17" s="16"/>
      <c r="AC17" s="17"/>
      <c r="AD17" s="3"/>
      <c r="AE17" s="14"/>
      <c r="AF17" s="15"/>
      <c r="AG17" s="7"/>
      <c r="AH17" s="7"/>
      <c r="AI17" s="8"/>
      <c r="AJ17" s="8"/>
      <c r="AK17" s="9"/>
      <c r="AL17" s="8"/>
      <c r="AM17" s="8"/>
      <c r="AN17" s="8"/>
      <c r="AO17" s="11"/>
      <c r="AP17" s="121"/>
      <c r="AQ17" s="8"/>
      <c r="AR17" s="96"/>
      <c r="AS17" s="11"/>
      <c r="AT17" s="2"/>
      <c r="AU17" s="2"/>
      <c r="AV17" s="2"/>
      <c r="AW17" s="2"/>
      <c r="AX17" s="2"/>
      <c r="AY17" s="2"/>
      <c r="AZ17" s="2"/>
      <c r="BA17" s="2"/>
      <c r="BB17" s="56"/>
    </row>
    <row r="18" spans="1:54" ht="15.6">
      <c r="A18" s="101">
        <v>8</v>
      </c>
      <c r="B18" s="104"/>
      <c r="C18" s="64"/>
      <c r="D18" s="64"/>
      <c r="E18" s="64"/>
      <c r="F18" s="64"/>
      <c r="G18" s="64"/>
      <c r="H18" s="64"/>
      <c r="I18" s="2"/>
      <c r="J18" s="3"/>
      <c r="K18" s="4"/>
      <c r="L18" s="97"/>
      <c r="M18" s="5"/>
      <c r="N18" s="98"/>
      <c r="O18" s="5"/>
      <c r="P18" s="16"/>
      <c r="Q18" s="16"/>
      <c r="R18" s="69"/>
      <c r="S18" s="99"/>
      <c r="T18" s="69"/>
      <c r="U18" s="5"/>
      <c r="V18" s="6"/>
      <c r="W18" s="10"/>
      <c r="X18" s="12"/>
      <c r="Y18" s="13"/>
      <c r="Z18" s="13"/>
      <c r="AA18" s="13"/>
      <c r="AB18" s="16"/>
      <c r="AC18" s="17"/>
      <c r="AD18" s="3"/>
      <c r="AE18" s="14"/>
      <c r="AF18" s="15"/>
      <c r="AG18" s="7"/>
      <c r="AH18" s="7"/>
      <c r="AI18" s="8"/>
      <c r="AJ18" s="8"/>
      <c r="AK18" s="9"/>
      <c r="AL18" s="8"/>
      <c r="AM18" s="8"/>
      <c r="AN18" s="8"/>
      <c r="AO18" s="11"/>
      <c r="AP18" s="121"/>
      <c r="AQ18" s="8"/>
      <c r="AR18" s="96"/>
      <c r="AS18" s="11"/>
      <c r="AT18" s="2"/>
      <c r="AU18" s="2"/>
      <c r="AV18" s="2"/>
      <c r="AW18" s="2"/>
      <c r="AX18" s="2"/>
      <c r="AY18" s="2"/>
      <c r="AZ18" s="2"/>
      <c r="BA18" s="2"/>
      <c r="BB18" s="56"/>
    </row>
    <row r="19" spans="1:54" ht="15.6">
      <c r="A19" s="101">
        <v>9</v>
      </c>
      <c r="B19" s="104"/>
      <c r="C19" s="64"/>
      <c r="D19" s="64"/>
      <c r="E19" s="64"/>
      <c r="F19" s="64"/>
      <c r="G19" s="64"/>
      <c r="H19" s="64"/>
      <c r="I19" s="2"/>
      <c r="J19" s="3"/>
      <c r="K19" s="4"/>
      <c r="L19" s="97"/>
      <c r="M19" s="5"/>
      <c r="N19" s="98"/>
      <c r="O19" s="5"/>
      <c r="P19" s="16"/>
      <c r="Q19" s="16"/>
      <c r="R19" s="69"/>
      <c r="S19" s="99"/>
      <c r="T19" s="69"/>
      <c r="U19" s="5"/>
      <c r="V19" s="6"/>
      <c r="W19" s="10"/>
      <c r="X19" s="12"/>
      <c r="Y19" s="13"/>
      <c r="Z19" s="13"/>
      <c r="AA19" s="13"/>
      <c r="AB19" s="16"/>
      <c r="AC19" s="17"/>
      <c r="AD19" s="3"/>
      <c r="AE19" s="14"/>
      <c r="AF19" s="15"/>
      <c r="AG19" s="7"/>
      <c r="AH19" s="7"/>
      <c r="AI19" s="8"/>
      <c r="AJ19" s="8"/>
      <c r="AK19" s="9"/>
      <c r="AL19" s="8"/>
      <c r="AM19" s="8"/>
      <c r="AN19" s="8"/>
      <c r="AO19" s="11"/>
      <c r="AP19" s="121"/>
      <c r="AQ19" s="8"/>
      <c r="AR19" s="96"/>
      <c r="AS19" s="11"/>
      <c r="AT19" s="2"/>
      <c r="AU19" s="2"/>
      <c r="AV19" s="2"/>
      <c r="AW19" s="2"/>
      <c r="AX19" s="2"/>
      <c r="AY19" s="2"/>
      <c r="AZ19" s="2"/>
      <c r="BA19" s="2"/>
      <c r="BB19" s="56"/>
    </row>
    <row r="20" spans="1:54" ht="15.6">
      <c r="A20" s="101">
        <v>10</v>
      </c>
      <c r="B20" s="104"/>
      <c r="C20" s="64"/>
      <c r="D20" s="64"/>
      <c r="E20" s="64"/>
      <c r="F20" s="64"/>
      <c r="G20" s="64"/>
      <c r="H20" s="64"/>
      <c r="I20" s="2"/>
      <c r="J20" s="3"/>
      <c r="K20" s="4"/>
      <c r="L20" s="97"/>
      <c r="M20" s="5"/>
      <c r="N20" s="98"/>
      <c r="O20" s="5"/>
      <c r="P20" s="16"/>
      <c r="Q20" s="16"/>
      <c r="R20" s="69"/>
      <c r="S20" s="99"/>
      <c r="T20" s="69"/>
      <c r="U20" s="5"/>
      <c r="V20" s="6"/>
      <c r="W20" s="10"/>
      <c r="X20" s="12"/>
      <c r="Y20" s="13"/>
      <c r="Z20" s="13"/>
      <c r="AA20" s="13"/>
      <c r="AB20" s="16"/>
      <c r="AC20" s="17"/>
      <c r="AD20" s="3"/>
      <c r="AE20" s="14"/>
      <c r="AF20" s="15"/>
      <c r="AG20" s="7"/>
      <c r="AH20" s="7"/>
      <c r="AI20" s="8"/>
      <c r="AJ20" s="8"/>
      <c r="AK20" s="9"/>
      <c r="AL20" s="8"/>
      <c r="AM20" s="8"/>
      <c r="AN20" s="8"/>
      <c r="AO20" s="11"/>
      <c r="AP20" s="121"/>
      <c r="AQ20" s="8"/>
      <c r="AR20" s="96"/>
      <c r="AS20" s="11"/>
      <c r="AT20" s="2"/>
      <c r="AU20" s="2"/>
      <c r="AV20" s="2"/>
      <c r="AW20" s="2"/>
      <c r="AX20" s="2"/>
      <c r="AY20" s="2"/>
      <c r="AZ20" s="2"/>
      <c r="BA20" s="2"/>
      <c r="BB20" s="56"/>
    </row>
    <row r="21" spans="1:54" ht="15.6">
      <c r="A21" s="101">
        <v>11</v>
      </c>
      <c r="B21" s="104"/>
      <c r="C21" s="64"/>
      <c r="D21" s="64"/>
      <c r="E21" s="64"/>
      <c r="F21" s="64"/>
      <c r="G21" s="64"/>
      <c r="H21" s="64"/>
      <c r="I21" s="2"/>
      <c r="J21" s="3"/>
      <c r="K21" s="4"/>
      <c r="L21" s="97"/>
      <c r="M21" s="5"/>
      <c r="N21" s="98"/>
      <c r="O21" s="5"/>
      <c r="P21" s="16"/>
      <c r="Q21" s="16"/>
      <c r="R21" s="69"/>
      <c r="S21" s="99"/>
      <c r="T21" s="69"/>
      <c r="U21" s="5"/>
      <c r="V21" s="6"/>
      <c r="W21" s="10"/>
      <c r="X21" s="12"/>
      <c r="Y21" s="13"/>
      <c r="Z21" s="13"/>
      <c r="AA21" s="13"/>
      <c r="AB21" s="16"/>
      <c r="AC21" s="17"/>
      <c r="AD21" s="3"/>
      <c r="AE21" s="14"/>
      <c r="AF21" s="15"/>
      <c r="AG21" s="7"/>
      <c r="AH21" s="7"/>
      <c r="AI21" s="8"/>
      <c r="AJ21" s="8"/>
      <c r="AK21" s="9"/>
      <c r="AL21" s="8"/>
      <c r="AM21" s="8"/>
      <c r="AN21" s="8"/>
      <c r="AO21" s="11"/>
      <c r="AP21" s="121"/>
      <c r="AQ21" s="8"/>
      <c r="AR21" s="96"/>
      <c r="AS21" s="11"/>
      <c r="AT21" s="2"/>
      <c r="AU21" s="2"/>
      <c r="AV21" s="2"/>
      <c r="AW21" s="2"/>
      <c r="AX21" s="2"/>
      <c r="AY21" s="2"/>
      <c r="AZ21" s="2"/>
      <c r="BA21" s="2"/>
      <c r="BB21" s="56"/>
    </row>
    <row r="22" spans="1:54" ht="15.6">
      <c r="A22" s="101">
        <v>12</v>
      </c>
      <c r="B22" s="104"/>
      <c r="C22" s="64"/>
      <c r="D22" s="64"/>
      <c r="E22" s="64"/>
      <c r="F22" s="64"/>
      <c r="G22" s="64"/>
      <c r="H22" s="64"/>
      <c r="I22" s="2"/>
      <c r="J22" s="3"/>
      <c r="K22" s="4"/>
      <c r="L22" s="97"/>
      <c r="M22" s="5"/>
      <c r="N22" s="98"/>
      <c r="O22" s="5"/>
      <c r="P22" s="16"/>
      <c r="Q22" s="16"/>
      <c r="R22" s="69"/>
      <c r="S22" s="99"/>
      <c r="T22" s="69"/>
      <c r="U22" s="5"/>
      <c r="V22" s="6"/>
      <c r="W22" s="10"/>
      <c r="X22" s="12"/>
      <c r="Y22" s="13"/>
      <c r="Z22" s="13"/>
      <c r="AA22" s="13"/>
      <c r="AB22" s="16"/>
      <c r="AC22" s="17"/>
      <c r="AD22" s="3"/>
      <c r="AE22" s="14"/>
      <c r="AF22" s="15"/>
      <c r="AG22" s="7"/>
      <c r="AH22" s="7"/>
      <c r="AI22" s="8"/>
      <c r="AJ22" s="8"/>
      <c r="AK22" s="9"/>
      <c r="AL22" s="8"/>
      <c r="AM22" s="8"/>
      <c r="AN22" s="8"/>
      <c r="AO22" s="11"/>
      <c r="AP22" s="121"/>
      <c r="AQ22" s="8"/>
      <c r="AR22" s="96"/>
      <c r="AS22" s="11"/>
      <c r="AT22" s="2"/>
      <c r="AU22" s="2"/>
      <c r="AV22" s="2"/>
      <c r="AW22" s="2"/>
      <c r="AX22" s="2"/>
      <c r="AY22" s="2"/>
      <c r="AZ22" s="2"/>
      <c r="BA22" s="2"/>
      <c r="BB22" s="56"/>
    </row>
    <row r="23" spans="1:54" ht="15.6">
      <c r="A23" s="101">
        <v>13</v>
      </c>
      <c r="B23" s="104"/>
      <c r="C23" s="64"/>
      <c r="D23" s="64"/>
      <c r="E23" s="64"/>
      <c r="F23" s="64"/>
      <c r="G23" s="64"/>
      <c r="H23" s="64"/>
      <c r="I23" s="2"/>
      <c r="J23" s="3"/>
      <c r="K23" s="4"/>
      <c r="L23" s="97"/>
      <c r="M23" s="5"/>
      <c r="N23" s="98"/>
      <c r="O23" s="5"/>
      <c r="P23" s="16"/>
      <c r="Q23" s="16"/>
      <c r="R23" s="69"/>
      <c r="S23" s="99"/>
      <c r="T23" s="69"/>
      <c r="U23" s="5"/>
      <c r="V23" s="6"/>
      <c r="W23" s="10"/>
      <c r="X23" s="12"/>
      <c r="Y23" s="13"/>
      <c r="Z23" s="13"/>
      <c r="AA23" s="13"/>
      <c r="AB23" s="16"/>
      <c r="AC23" s="17"/>
      <c r="AD23" s="3"/>
      <c r="AE23" s="14"/>
      <c r="AF23" s="15"/>
      <c r="AG23" s="7"/>
      <c r="AH23" s="7"/>
      <c r="AI23" s="8"/>
      <c r="AJ23" s="8"/>
      <c r="AK23" s="9"/>
      <c r="AL23" s="8"/>
      <c r="AM23" s="8"/>
      <c r="AN23" s="8"/>
      <c r="AO23" s="11"/>
      <c r="AP23" s="121"/>
      <c r="AQ23" s="8"/>
      <c r="AR23" s="96"/>
      <c r="AS23" s="11"/>
      <c r="AT23" s="2"/>
      <c r="AU23" s="2"/>
      <c r="AV23" s="2"/>
      <c r="AW23" s="2"/>
      <c r="AX23" s="2"/>
      <c r="AY23" s="2"/>
      <c r="AZ23" s="2"/>
      <c r="BA23" s="2"/>
      <c r="BB23" s="56"/>
    </row>
    <row r="24" spans="1:54" ht="15.6">
      <c r="A24" s="101">
        <v>14</v>
      </c>
      <c r="B24" s="104"/>
      <c r="C24" s="64"/>
      <c r="D24" s="64"/>
      <c r="E24" s="64"/>
      <c r="F24" s="64"/>
      <c r="G24" s="64"/>
      <c r="H24" s="64"/>
      <c r="I24" s="2"/>
      <c r="J24" s="3"/>
      <c r="K24" s="4"/>
      <c r="L24" s="97"/>
      <c r="M24" s="5"/>
      <c r="N24" s="98"/>
      <c r="O24" s="5"/>
      <c r="P24" s="16"/>
      <c r="Q24" s="16"/>
      <c r="R24" s="69"/>
      <c r="S24" s="99"/>
      <c r="T24" s="69"/>
      <c r="U24" s="5"/>
      <c r="V24" s="6"/>
      <c r="W24" s="10"/>
      <c r="X24" s="12"/>
      <c r="Y24" s="13"/>
      <c r="Z24" s="13"/>
      <c r="AA24" s="13"/>
      <c r="AB24" s="16"/>
      <c r="AC24" s="17"/>
      <c r="AD24" s="3"/>
      <c r="AE24" s="14"/>
      <c r="AF24" s="15"/>
      <c r="AG24" s="7"/>
      <c r="AH24" s="7"/>
      <c r="AI24" s="8"/>
      <c r="AJ24" s="8"/>
      <c r="AK24" s="9"/>
      <c r="AL24" s="8"/>
      <c r="AM24" s="8"/>
      <c r="AN24" s="8"/>
      <c r="AO24" s="11"/>
      <c r="AP24" s="121"/>
      <c r="AQ24" s="8"/>
      <c r="AR24" s="96"/>
      <c r="AS24" s="11"/>
      <c r="AT24" s="2"/>
      <c r="AU24" s="2"/>
      <c r="AV24" s="2"/>
      <c r="AW24" s="2"/>
      <c r="AX24" s="2"/>
      <c r="AY24" s="2"/>
      <c r="AZ24" s="2"/>
      <c r="BA24" s="2"/>
      <c r="BB24" s="56"/>
    </row>
    <row r="25" spans="1:54" ht="15.6">
      <c r="A25" s="101">
        <v>15</v>
      </c>
      <c r="B25" s="104"/>
      <c r="C25" s="64"/>
      <c r="D25" s="64"/>
      <c r="E25" s="64"/>
      <c r="F25" s="64"/>
      <c r="G25" s="64"/>
      <c r="H25" s="64"/>
      <c r="I25" s="2"/>
      <c r="J25" s="3"/>
      <c r="K25" s="4"/>
      <c r="L25" s="97"/>
      <c r="M25" s="5"/>
      <c r="N25" s="98"/>
      <c r="O25" s="5"/>
      <c r="P25" s="16"/>
      <c r="Q25" s="16"/>
      <c r="R25" s="69"/>
      <c r="S25" s="99"/>
      <c r="T25" s="69"/>
      <c r="U25" s="5"/>
      <c r="V25" s="6"/>
      <c r="W25" s="10"/>
      <c r="X25" s="12"/>
      <c r="Y25" s="13"/>
      <c r="Z25" s="13"/>
      <c r="AA25" s="13"/>
      <c r="AB25" s="16"/>
      <c r="AC25" s="17"/>
      <c r="AD25" s="3"/>
      <c r="AE25" s="14"/>
      <c r="AF25" s="15"/>
      <c r="AG25" s="7"/>
      <c r="AH25" s="7"/>
      <c r="AI25" s="8"/>
      <c r="AJ25" s="8"/>
      <c r="AK25" s="9"/>
      <c r="AL25" s="8"/>
      <c r="AM25" s="8"/>
      <c r="AN25" s="8"/>
      <c r="AO25" s="11"/>
      <c r="AP25" s="121"/>
      <c r="AQ25" s="8"/>
      <c r="AR25" s="96"/>
      <c r="AS25" s="11"/>
      <c r="AT25" s="2"/>
      <c r="AU25" s="2"/>
      <c r="AV25" s="2"/>
      <c r="AW25" s="2"/>
      <c r="AX25" s="2"/>
      <c r="AY25" s="2"/>
      <c r="AZ25" s="2"/>
      <c r="BA25" s="2"/>
      <c r="BB25" s="56"/>
    </row>
    <row r="26" spans="1:54" ht="15.6">
      <c r="A26" s="101">
        <v>16</v>
      </c>
      <c r="B26" s="104"/>
      <c r="C26" s="64"/>
      <c r="D26" s="64"/>
      <c r="E26" s="64"/>
      <c r="F26" s="64"/>
      <c r="G26" s="64"/>
      <c r="H26" s="64"/>
      <c r="I26" s="2"/>
      <c r="J26" s="3"/>
      <c r="K26" s="4"/>
      <c r="L26" s="97"/>
      <c r="M26" s="5"/>
      <c r="N26" s="98"/>
      <c r="O26" s="5"/>
      <c r="P26" s="16"/>
      <c r="Q26" s="16"/>
      <c r="R26" s="69"/>
      <c r="S26" s="99"/>
      <c r="T26" s="69"/>
      <c r="U26" s="5"/>
      <c r="V26" s="6"/>
      <c r="W26" s="10"/>
      <c r="X26" s="12"/>
      <c r="Y26" s="13"/>
      <c r="Z26" s="13"/>
      <c r="AA26" s="13"/>
      <c r="AB26" s="16"/>
      <c r="AC26" s="17"/>
      <c r="AD26" s="3"/>
      <c r="AE26" s="14"/>
      <c r="AF26" s="15"/>
      <c r="AG26" s="7"/>
      <c r="AH26" s="7"/>
      <c r="AI26" s="8"/>
      <c r="AJ26" s="8"/>
      <c r="AK26" s="9"/>
      <c r="AL26" s="8"/>
      <c r="AM26" s="8"/>
      <c r="AN26" s="8"/>
      <c r="AO26" s="11"/>
      <c r="AP26" s="121"/>
      <c r="AQ26" s="8"/>
      <c r="AR26" s="96"/>
      <c r="AS26" s="11"/>
      <c r="AT26" s="2"/>
      <c r="AU26" s="2"/>
      <c r="AV26" s="2"/>
      <c r="AW26" s="2"/>
      <c r="AX26" s="2"/>
      <c r="AY26" s="2"/>
      <c r="AZ26" s="2"/>
      <c r="BA26" s="2"/>
      <c r="BB26" s="56"/>
    </row>
    <row r="27" spans="1:54" ht="15.6">
      <c r="A27" s="101">
        <v>17</v>
      </c>
      <c r="B27" s="104"/>
      <c r="C27" s="64"/>
      <c r="D27" s="64"/>
      <c r="E27" s="64"/>
      <c r="F27" s="64"/>
      <c r="G27" s="64"/>
      <c r="H27" s="64"/>
      <c r="I27" s="2"/>
      <c r="J27" s="3"/>
      <c r="K27" s="4"/>
      <c r="L27" s="97"/>
      <c r="M27" s="5"/>
      <c r="N27" s="98"/>
      <c r="O27" s="5"/>
      <c r="P27" s="16"/>
      <c r="Q27" s="16"/>
      <c r="R27" s="69"/>
      <c r="S27" s="99"/>
      <c r="T27" s="69"/>
      <c r="U27" s="5"/>
      <c r="V27" s="6"/>
      <c r="W27" s="10"/>
      <c r="X27" s="12"/>
      <c r="Y27" s="13"/>
      <c r="Z27" s="13"/>
      <c r="AA27" s="13"/>
      <c r="AB27" s="16"/>
      <c r="AC27" s="17"/>
      <c r="AD27" s="3"/>
      <c r="AE27" s="14"/>
      <c r="AF27" s="15"/>
      <c r="AG27" s="7"/>
      <c r="AH27" s="7"/>
      <c r="AI27" s="8"/>
      <c r="AJ27" s="8"/>
      <c r="AK27" s="9"/>
      <c r="AL27" s="8"/>
      <c r="AM27" s="8"/>
      <c r="AN27" s="8"/>
      <c r="AO27" s="11"/>
      <c r="AP27" s="121"/>
      <c r="AQ27" s="8"/>
      <c r="AR27" s="96"/>
      <c r="AS27" s="11"/>
      <c r="AT27" s="2"/>
      <c r="AU27" s="2"/>
      <c r="AV27" s="2"/>
      <c r="AW27" s="2"/>
      <c r="AX27" s="2"/>
      <c r="AY27" s="2"/>
      <c r="AZ27" s="2"/>
      <c r="BA27" s="2"/>
      <c r="BB27" s="56"/>
    </row>
    <row r="28" spans="1:54" ht="15.6">
      <c r="A28" s="101">
        <v>18</v>
      </c>
      <c r="B28" s="104"/>
      <c r="C28" s="64"/>
      <c r="D28" s="64"/>
      <c r="E28" s="64"/>
      <c r="F28" s="64"/>
      <c r="G28" s="64"/>
      <c r="H28" s="64"/>
      <c r="I28" s="2"/>
      <c r="J28" s="3"/>
      <c r="K28" s="4"/>
      <c r="L28" s="97"/>
      <c r="M28" s="5"/>
      <c r="N28" s="98"/>
      <c r="O28" s="5"/>
      <c r="P28" s="16"/>
      <c r="Q28" s="16"/>
      <c r="R28" s="69"/>
      <c r="S28" s="99"/>
      <c r="T28" s="69"/>
      <c r="U28" s="5"/>
      <c r="V28" s="6"/>
      <c r="W28" s="10"/>
      <c r="X28" s="12"/>
      <c r="Y28" s="13"/>
      <c r="Z28" s="13"/>
      <c r="AA28" s="13"/>
      <c r="AB28" s="16"/>
      <c r="AC28" s="17"/>
      <c r="AD28" s="3"/>
      <c r="AE28" s="14"/>
      <c r="AF28" s="15"/>
      <c r="AG28" s="7"/>
      <c r="AH28" s="7"/>
      <c r="AI28" s="8"/>
      <c r="AJ28" s="8"/>
      <c r="AK28" s="9"/>
      <c r="AL28" s="8"/>
      <c r="AM28" s="8"/>
      <c r="AN28" s="8"/>
      <c r="AO28" s="11"/>
      <c r="AP28" s="121"/>
      <c r="AQ28" s="8"/>
      <c r="AR28" s="96"/>
      <c r="AS28" s="11"/>
      <c r="AT28" s="2"/>
      <c r="AU28" s="2"/>
      <c r="AV28" s="2"/>
      <c r="AW28" s="2"/>
      <c r="AX28" s="2"/>
      <c r="AY28" s="2"/>
      <c r="AZ28" s="2"/>
      <c r="BA28" s="2"/>
      <c r="BB28" s="56"/>
    </row>
    <row r="29" spans="1:54" ht="15.6">
      <c r="A29" s="101">
        <v>19</v>
      </c>
      <c r="B29" s="104"/>
      <c r="C29" s="64"/>
      <c r="D29" s="64"/>
      <c r="E29" s="64"/>
      <c r="F29" s="64"/>
      <c r="G29" s="64"/>
      <c r="H29" s="64"/>
      <c r="I29" s="2"/>
      <c r="J29" s="3"/>
      <c r="K29" s="4"/>
      <c r="L29" s="97"/>
      <c r="M29" s="5"/>
      <c r="N29" s="98"/>
      <c r="O29" s="5"/>
      <c r="P29" s="16"/>
      <c r="Q29" s="16"/>
      <c r="R29" s="69"/>
      <c r="S29" s="99"/>
      <c r="T29" s="69"/>
      <c r="U29" s="5"/>
      <c r="V29" s="6"/>
      <c r="W29" s="10"/>
      <c r="X29" s="12"/>
      <c r="Y29" s="13"/>
      <c r="Z29" s="13"/>
      <c r="AA29" s="13"/>
      <c r="AB29" s="16"/>
      <c r="AC29" s="17"/>
      <c r="AD29" s="3"/>
      <c r="AE29" s="14"/>
      <c r="AF29" s="15"/>
      <c r="AG29" s="7"/>
      <c r="AH29" s="7"/>
      <c r="AI29" s="8"/>
      <c r="AJ29" s="8"/>
      <c r="AK29" s="9"/>
      <c r="AL29" s="8"/>
      <c r="AM29" s="8"/>
      <c r="AN29" s="8"/>
      <c r="AO29" s="11"/>
      <c r="AP29" s="121"/>
      <c r="AQ29" s="8"/>
      <c r="AR29" s="96"/>
      <c r="AS29" s="11"/>
      <c r="AT29" s="2"/>
      <c r="AU29" s="2"/>
      <c r="AV29" s="2"/>
      <c r="AW29" s="2"/>
      <c r="AX29" s="2"/>
      <c r="AY29" s="2"/>
      <c r="AZ29" s="2"/>
      <c r="BA29" s="2"/>
      <c r="BB29" s="56"/>
    </row>
    <row r="30" spans="1:54" ht="15.6">
      <c r="A30" s="101">
        <v>20</v>
      </c>
      <c r="B30" s="104"/>
      <c r="C30" s="64"/>
      <c r="D30" s="64"/>
      <c r="E30" s="64"/>
      <c r="F30" s="64"/>
      <c r="G30" s="64"/>
      <c r="H30" s="64"/>
      <c r="I30" s="2"/>
      <c r="J30" s="3"/>
      <c r="K30" s="4"/>
      <c r="L30" s="97"/>
      <c r="M30" s="5"/>
      <c r="N30" s="98"/>
      <c r="O30" s="5"/>
      <c r="P30" s="16"/>
      <c r="Q30" s="16"/>
      <c r="R30" s="69"/>
      <c r="S30" s="99"/>
      <c r="T30" s="69"/>
      <c r="U30" s="5"/>
      <c r="V30" s="6"/>
      <c r="W30" s="10"/>
      <c r="X30" s="12"/>
      <c r="Y30" s="13"/>
      <c r="Z30" s="13"/>
      <c r="AA30" s="13"/>
      <c r="AB30" s="16"/>
      <c r="AC30" s="17"/>
      <c r="AD30" s="3"/>
      <c r="AE30" s="14"/>
      <c r="AF30" s="15"/>
      <c r="AG30" s="7"/>
      <c r="AH30" s="7"/>
      <c r="AI30" s="8"/>
      <c r="AJ30" s="8"/>
      <c r="AK30" s="9"/>
      <c r="AL30" s="8"/>
      <c r="AM30" s="8"/>
      <c r="AN30" s="8"/>
      <c r="AO30" s="11"/>
      <c r="AP30" s="121"/>
      <c r="AQ30" s="8"/>
      <c r="AR30" s="96"/>
      <c r="AS30" s="11"/>
      <c r="AT30" s="2"/>
      <c r="AU30" s="2"/>
      <c r="AV30" s="2"/>
      <c r="AW30" s="2"/>
      <c r="AX30" s="2"/>
      <c r="AY30" s="2"/>
      <c r="AZ30" s="2"/>
      <c r="BA30" s="2"/>
      <c r="BB30" s="56"/>
    </row>
    <row r="31" spans="1:54" ht="15.6">
      <c r="A31" s="101">
        <v>21</v>
      </c>
      <c r="B31" s="104"/>
      <c r="C31" s="64"/>
      <c r="D31" s="64"/>
      <c r="E31" s="64"/>
      <c r="F31" s="64"/>
      <c r="G31" s="64"/>
      <c r="H31" s="64"/>
      <c r="I31" s="2"/>
      <c r="J31" s="3"/>
      <c r="K31" s="4"/>
      <c r="L31" s="97"/>
      <c r="M31" s="5"/>
      <c r="N31" s="98"/>
      <c r="O31" s="5"/>
      <c r="P31" s="16"/>
      <c r="Q31" s="16"/>
      <c r="R31" s="69"/>
      <c r="S31" s="99"/>
      <c r="T31" s="69"/>
      <c r="U31" s="5"/>
      <c r="V31" s="6"/>
      <c r="W31" s="10"/>
      <c r="X31" s="12"/>
      <c r="Y31" s="13"/>
      <c r="Z31" s="13"/>
      <c r="AA31" s="13"/>
      <c r="AB31" s="16"/>
      <c r="AC31" s="17"/>
      <c r="AD31" s="3"/>
      <c r="AE31" s="14"/>
      <c r="AF31" s="15"/>
      <c r="AG31" s="7"/>
      <c r="AH31" s="7"/>
      <c r="AI31" s="8"/>
      <c r="AJ31" s="8"/>
      <c r="AK31" s="9"/>
      <c r="AL31" s="8"/>
      <c r="AM31" s="8"/>
      <c r="AN31" s="8"/>
      <c r="AO31" s="11"/>
      <c r="AP31" s="121"/>
      <c r="AQ31" s="8"/>
      <c r="AR31" s="96"/>
      <c r="AS31" s="11"/>
      <c r="AT31" s="2"/>
      <c r="AU31" s="2"/>
      <c r="AV31" s="2"/>
      <c r="AW31" s="2"/>
      <c r="AX31" s="2"/>
      <c r="AY31" s="2"/>
      <c r="AZ31" s="2"/>
      <c r="BA31" s="2"/>
      <c r="BB31" s="56"/>
    </row>
    <row r="32" spans="1:54" ht="15.6">
      <c r="A32" s="101">
        <v>22</v>
      </c>
      <c r="B32" s="104"/>
      <c r="C32" s="64"/>
      <c r="D32" s="64"/>
      <c r="E32" s="64"/>
      <c r="F32" s="64"/>
      <c r="G32" s="64"/>
      <c r="H32" s="64"/>
      <c r="I32" s="2"/>
      <c r="J32" s="3"/>
      <c r="K32" s="4"/>
      <c r="L32" s="97"/>
      <c r="M32" s="5"/>
      <c r="N32" s="98"/>
      <c r="O32" s="5"/>
      <c r="P32" s="16"/>
      <c r="Q32" s="16"/>
      <c r="R32" s="69"/>
      <c r="S32" s="99"/>
      <c r="T32" s="69"/>
      <c r="U32" s="5"/>
      <c r="V32" s="6"/>
      <c r="W32" s="10"/>
      <c r="X32" s="12"/>
      <c r="Y32" s="13"/>
      <c r="Z32" s="13"/>
      <c r="AA32" s="13"/>
      <c r="AB32" s="16"/>
      <c r="AC32" s="17"/>
      <c r="AD32" s="3"/>
      <c r="AE32" s="14"/>
      <c r="AF32" s="15"/>
      <c r="AG32" s="7"/>
      <c r="AH32" s="7"/>
      <c r="AI32" s="8"/>
      <c r="AJ32" s="8"/>
      <c r="AK32" s="9"/>
      <c r="AL32" s="8"/>
      <c r="AM32" s="8"/>
      <c r="AN32" s="8"/>
      <c r="AO32" s="11"/>
      <c r="AP32" s="121"/>
      <c r="AQ32" s="8"/>
      <c r="AR32" s="96"/>
      <c r="AS32" s="11"/>
      <c r="AT32" s="2"/>
      <c r="AU32" s="2"/>
      <c r="AV32" s="2"/>
      <c r="AW32" s="2"/>
      <c r="AX32" s="2"/>
      <c r="AY32" s="2"/>
      <c r="AZ32" s="2"/>
      <c r="BA32" s="2"/>
      <c r="BB32" s="56"/>
    </row>
    <row r="33" spans="1:54" ht="15.6">
      <c r="A33" s="101">
        <v>23</v>
      </c>
      <c r="B33" s="104"/>
      <c r="C33" s="64"/>
      <c r="D33" s="64"/>
      <c r="E33" s="64"/>
      <c r="F33" s="64"/>
      <c r="G33" s="64"/>
      <c r="H33" s="64"/>
      <c r="I33" s="2"/>
      <c r="J33" s="3"/>
      <c r="K33" s="4"/>
      <c r="L33" s="97"/>
      <c r="M33" s="5"/>
      <c r="N33" s="98"/>
      <c r="O33" s="5"/>
      <c r="P33" s="16"/>
      <c r="Q33" s="16"/>
      <c r="R33" s="69"/>
      <c r="S33" s="99"/>
      <c r="T33" s="69"/>
      <c r="U33" s="5"/>
      <c r="V33" s="6"/>
      <c r="W33" s="10"/>
      <c r="X33" s="12"/>
      <c r="Y33" s="13"/>
      <c r="Z33" s="13"/>
      <c r="AA33" s="13"/>
      <c r="AB33" s="16"/>
      <c r="AC33" s="17"/>
      <c r="AD33" s="3"/>
      <c r="AE33" s="14"/>
      <c r="AF33" s="15"/>
      <c r="AG33" s="7"/>
      <c r="AH33" s="7"/>
      <c r="AI33" s="8"/>
      <c r="AJ33" s="8"/>
      <c r="AK33" s="9"/>
      <c r="AL33" s="8"/>
      <c r="AM33" s="8"/>
      <c r="AN33" s="8"/>
      <c r="AO33" s="11"/>
      <c r="AP33" s="121"/>
      <c r="AQ33" s="8"/>
      <c r="AR33" s="96"/>
      <c r="AS33" s="11"/>
      <c r="AT33" s="2"/>
      <c r="AU33" s="2"/>
      <c r="AV33" s="2"/>
      <c r="AW33" s="2"/>
      <c r="AX33" s="2"/>
      <c r="AY33" s="2"/>
      <c r="AZ33" s="2"/>
      <c r="BA33" s="2"/>
      <c r="BB33" s="56"/>
    </row>
    <row r="34" spans="1:54" ht="15.6">
      <c r="A34" s="101">
        <v>24</v>
      </c>
      <c r="B34" s="104"/>
      <c r="C34" s="64"/>
      <c r="D34" s="64"/>
      <c r="E34" s="64"/>
      <c r="F34" s="64"/>
      <c r="G34" s="64"/>
      <c r="H34" s="64"/>
      <c r="I34" s="2"/>
      <c r="J34" s="3"/>
      <c r="K34" s="4"/>
      <c r="L34" s="97"/>
      <c r="M34" s="5"/>
      <c r="N34" s="98"/>
      <c r="O34" s="5"/>
      <c r="P34" s="16"/>
      <c r="Q34" s="16"/>
      <c r="R34" s="69"/>
      <c r="S34" s="99"/>
      <c r="T34" s="69"/>
      <c r="U34" s="5"/>
      <c r="V34" s="6"/>
      <c r="W34" s="10"/>
      <c r="X34" s="12"/>
      <c r="Y34" s="13"/>
      <c r="Z34" s="13"/>
      <c r="AA34" s="13"/>
      <c r="AB34" s="16"/>
      <c r="AC34" s="17"/>
      <c r="AD34" s="3"/>
      <c r="AE34" s="14"/>
      <c r="AF34" s="15"/>
      <c r="AG34" s="7"/>
      <c r="AH34" s="7"/>
      <c r="AI34" s="8"/>
      <c r="AJ34" s="8"/>
      <c r="AK34" s="9"/>
      <c r="AL34" s="8"/>
      <c r="AM34" s="8"/>
      <c r="AN34" s="8"/>
      <c r="AO34" s="11"/>
      <c r="AP34" s="121"/>
      <c r="AQ34" s="8"/>
      <c r="AR34" s="96"/>
      <c r="AS34" s="11"/>
      <c r="AT34" s="2"/>
      <c r="AU34" s="2"/>
      <c r="AV34" s="2"/>
      <c r="AW34" s="2"/>
      <c r="AX34" s="2"/>
      <c r="AY34" s="2"/>
      <c r="AZ34" s="2"/>
      <c r="BA34" s="2"/>
      <c r="BB34" s="56"/>
    </row>
    <row r="35" spans="1:54" ht="15.6">
      <c r="A35" s="101">
        <v>25</v>
      </c>
      <c r="B35" s="104"/>
      <c r="C35" s="64"/>
      <c r="D35" s="64"/>
      <c r="E35" s="64"/>
      <c r="F35" s="64"/>
      <c r="G35" s="64"/>
      <c r="H35" s="64"/>
      <c r="I35" s="2"/>
      <c r="J35" s="3"/>
      <c r="K35" s="4"/>
      <c r="L35" s="97"/>
      <c r="M35" s="5"/>
      <c r="N35" s="98"/>
      <c r="O35" s="5"/>
      <c r="P35" s="16"/>
      <c r="Q35" s="16"/>
      <c r="R35" s="69"/>
      <c r="S35" s="99"/>
      <c r="T35" s="69"/>
      <c r="U35" s="5"/>
      <c r="V35" s="6"/>
      <c r="W35" s="10"/>
      <c r="X35" s="12"/>
      <c r="Y35" s="13"/>
      <c r="Z35" s="13"/>
      <c r="AA35" s="13"/>
      <c r="AB35" s="16"/>
      <c r="AC35" s="17"/>
      <c r="AD35" s="3"/>
      <c r="AE35" s="14"/>
      <c r="AF35" s="15"/>
      <c r="AG35" s="7"/>
      <c r="AH35" s="7"/>
      <c r="AI35" s="8"/>
      <c r="AJ35" s="8"/>
      <c r="AK35" s="9"/>
      <c r="AL35" s="8"/>
      <c r="AM35" s="8"/>
      <c r="AN35" s="8"/>
      <c r="AO35" s="11"/>
      <c r="AP35" s="121"/>
      <c r="AQ35" s="8"/>
      <c r="AR35" s="96"/>
      <c r="AS35" s="11"/>
      <c r="AT35" s="2"/>
      <c r="AU35" s="2"/>
      <c r="AV35" s="2"/>
      <c r="AW35" s="2"/>
      <c r="AX35" s="2"/>
      <c r="AY35" s="2"/>
      <c r="AZ35" s="2"/>
      <c r="BA35" s="2"/>
      <c r="BB35" s="56"/>
    </row>
    <row r="36" spans="1:54" ht="15.6">
      <c r="A36" s="101">
        <v>26</v>
      </c>
      <c r="B36" s="104"/>
      <c r="C36" s="64"/>
      <c r="D36" s="64"/>
      <c r="E36" s="64"/>
      <c r="F36" s="64"/>
      <c r="G36" s="64"/>
      <c r="H36" s="64"/>
      <c r="I36" s="2"/>
      <c r="J36" s="3"/>
      <c r="K36" s="4"/>
      <c r="L36" s="97"/>
      <c r="M36" s="5"/>
      <c r="N36" s="98"/>
      <c r="O36" s="5"/>
      <c r="P36" s="16"/>
      <c r="Q36" s="16"/>
      <c r="R36" s="69"/>
      <c r="S36" s="99"/>
      <c r="T36" s="69"/>
      <c r="U36" s="5"/>
      <c r="V36" s="6"/>
      <c r="W36" s="10"/>
      <c r="X36" s="12"/>
      <c r="Y36" s="13"/>
      <c r="Z36" s="13"/>
      <c r="AA36" s="13"/>
      <c r="AB36" s="16"/>
      <c r="AC36" s="17"/>
      <c r="AD36" s="3"/>
      <c r="AE36" s="14"/>
      <c r="AF36" s="15"/>
      <c r="AG36" s="7"/>
      <c r="AH36" s="7"/>
      <c r="AI36" s="8"/>
      <c r="AJ36" s="8"/>
      <c r="AK36" s="9"/>
      <c r="AL36" s="8"/>
      <c r="AM36" s="8"/>
      <c r="AN36" s="8"/>
      <c r="AO36" s="11"/>
      <c r="AP36" s="121"/>
      <c r="AQ36" s="8"/>
      <c r="AR36" s="96"/>
      <c r="AS36" s="11"/>
      <c r="AT36" s="2"/>
      <c r="AU36" s="2"/>
      <c r="AV36" s="2"/>
      <c r="AW36" s="2"/>
      <c r="AX36" s="2"/>
      <c r="AY36" s="2"/>
      <c r="AZ36" s="2"/>
      <c r="BA36" s="2"/>
      <c r="BB36" s="56"/>
    </row>
    <row r="37" spans="1:54" ht="15.6">
      <c r="A37" s="101">
        <v>27</v>
      </c>
      <c r="B37" s="104"/>
      <c r="C37" s="64"/>
      <c r="D37" s="64"/>
      <c r="E37" s="64"/>
      <c r="F37" s="64"/>
      <c r="G37" s="64"/>
      <c r="H37" s="64"/>
      <c r="I37" s="2"/>
      <c r="J37" s="3"/>
      <c r="K37" s="4"/>
      <c r="L37" s="97"/>
      <c r="M37" s="5"/>
      <c r="N37" s="98"/>
      <c r="O37" s="5"/>
      <c r="P37" s="16"/>
      <c r="Q37" s="16"/>
      <c r="R37" s="69"/>
      <c r="S37" s="99"/>
      <c r="T37" s="69"/>
      <c r="U37" s="5"/>
      <c r="V37" s="6"/>
      <c r="W37" s="10"/>
      <c r="X37" s="12"/>
      <c r="Y37" s="13"/>
      <c r="Z37" s="13"/>
      <c r="AA37" s="13"/>
      <c r="AB37" s="16"/>
      <c r="AC37" s="17"/>
      <c r="AD37" s="3"/>
      <c r="AE37" s="14"/>
      <c r="AF37" s="15"/>
      <c r="AG37" s="7"/>
      <c r="AH37" s="7"/>
      <c r="AI37" s="8"/>
      <c r="AJ37" s="8"/>
      <c r="AK37" s="9"/>
      <c r="AL37" s="8"/>
      <c r="AM37" s="8"/>
      <c r="AN37" s="8"/>
      <c r="AO37" s="11"/>
      <c r="AP37" s="121"/>
      <c r="AQ37" s="8"/>
      <c r="AR37" s="96"/>
      <c r="AS37" s="11"/>
      <c r="AT37" s="2"/>
      <c r="AU37" s="2"/>
      <c r="AV37" s="2"/>
      <c r="AW37" s="2"/>
      <c r="AX37" s="2"/>
      <c r="AY37" s="2"/>
      <c r="AZ37" s="2"/>
      <c r="BA37" s="2"/>
      <c r="BB37" s="56"/>
    </row>
    <row r="38" spans="1:54" ht="15.6">
      <c r="A38" s="101">
        <v>28</v>
      </c>
      <c r="B38" s="104"/>
      <c r="C38" s="64"/>
      <c r="D38" s="64"/>
      <c r="E38" s="64"/>
      <c r="F38" s="64"/>
      <c r="G38" s="64"/>
      <c r="H38" s="64"/>
      <c r="I38" s="2"/>
      <c r="J38" s="3"/>
      <c r="K38" s="4"/>
      <c r="L38" s="97"/>
      <c r="M38" s="5"/>
      <c r="N38" s="98"/>
      <c r="O38" s="5"/>
      <c r="P38" s="16"/>
      <c r="Q38" s="16"/>
      <c r="R38" s="69"/>
      <c r="S38" s="99"/>
      <c r="T38" s="69"/>
      <c r="U38" s="5"/>
      <c r="V38" s="6"/>
      <c r="W38" s="10"/>
      <c r="X38" s="12"/>
      <c r="Y38" s="13"/>
      <c r="Z38" s="13"/>
      <c r="AA38" s="13"/>
      <c r="AB38" s="16"/>
      <c r="AC38" s="17"/>
      <c r="AD38" s="3"/>
      <c r="AE38" s="14"/>
      <c r="AF38" s="15"/>
      <c r="AG38" s="7"/>
      <c r="AH38" s="7"/>
      <c r="AI38" s="8"/>
      <c r="AJ38" s="8"/>
      <c r="AK38" s="9"/>
      <c r="AL38" s="8"/>
      <c r="AM38" s="8"/>
      <c r="AN38" s="8"/>
      <c r="AO38" s="11"/>
      <c r="AP38" s="121"/>
      <c r="AQ38" s="8"/>
      <c r="AR38" s="96"/>
      <c r="AS38" s="11"/>
      <c r="AT38" s="2"/>
      <c r="AU38" s="2"/>
      <c r="AV38" s="2"/>
      <c r="AW38" s="2"/>
      <c r="AX38" s="2"/>
      <c r="AY38" s="2"/>
      <c r="AZ38" s="2"/>
      <c r="BA38" s="2"/>
      <c r="BB38" s="56"/>
    </row>
    <row r="39" spans="1:54" ht="15.6">
      <c r="A39" s="101">
        <v>29</v>
      </c>
      <c r="B39" s="104"/>
      <c r="C39" s="64"/>
      <c r="D39" s="64"/>
      <c r="E39" s="64"/>
      <c r="F39" s="64"/>
      <c r="G39" s="64"/>
      <c r="H39" s="64"/>
      <c r="I39" s="2"/>
      <c r="J39" s="3"/>
      <c r="K39" s="4"/>
      <c r="L39" s="97"/>
      <c r="M39" s="5"/>
      <c r="N39" s="98"/>
      <c r="O39" s="5"/>
      <c r="P39" s="16"/>
      <c r="Q39" s="16"/>
      <c r="R39" s="69"/>
      <c r="S39" s="99"/>
      <c r="T39" s="69"/>
      <c r="U39" s="5"/>
      <c r="V39" s="6"/>
      <c r="W39" s="10"/>
      <c r="X39" s="12"/>
      <c r="Y39" s="13"/>
      <c r="Z39" s="13"/>
      <c r="AA39" s="13"/>
      <c r="AB39" s="16"/>
      <c r="AC39" s="17"/>
      <c r="AD39" s="3"/>
      <c r="AE39" s="14"/>
      <c r="AF39" s="15"/>
      <c r="AG39" s="7"/>
      <c r="AH39" s="7"/>
      <c r="AI39" s="8"/>
      <c r="AJ39" s="8"/>
      <c r="AK39" s="9"/>
      <c r="AL39" s="8"/>
      <c r="AM39" s="8"/>
      <c r="AN39" s="8"/>
      <c r="AO39" s="11"/>
      <c r="AP39" s="121"/>
      <c r="AQ39" s="8"/>
      <c r="AR39" s="96"/>
      <c r="AS39" s="11"/>
      <c r="AT39" s="2"/>
      <c r="AU39" s="2"/>
      <c r="AV39" s="2"/>
      <c r="AW39" s="2"/>
      <c r="AX39" s="2"/>
      <c r="AY39" s="2"/>
      <c r="AZ39" s="2"/>
      <c r="BA39" s="2"/>
      <c r="BB39" s="56"/>
    </row>
    <row r="40" spans="1:54" ht="15.6">
      <c r="A40" s="101">
        <v>30</v>
      </c>
      <c r="B40" s="104"/>
      <c r="C40" s="64"/>
      <c r="D40" s="64"/>
      <c r="E40" s="64"/>
      <c r="F40" s="64"/>
      <c r="G40" s="64"/>
      <c r="H40" s="64"/>
      <c r="I40" s="2"/>
      <c r="J40" s="3"/>
      <c r="K40" s="4"/>
      <c r="L40" s="97"/>
      <c r="M40" s="5"/>
      <c r="N40" s="98"/>
      <c r="O40" s="5"/>
      <c r="P40" s="16"/>
      <c r="Q40" s="16"/>
      <c r="R40" s="69"/>
      <c r="S40" s="99"/>
      <c r="T40" s="69"/>
      <c r="U40" s="5"/>
      <c r="V40" s="6"/>
      <c r="W40" s="10"/>
      <c r="X40" s="12"/>
      <c r="Y40" s="13"/>
      <c r="Z40" s="13"/>
      <c r="AA40" s="13"/>
      <c r="AB40" s="16"/>
      <c r="AC40" s="17"/>
      <c r="AD40" s="3"/>
      <c r="AE40" s="14"/>
      <c r="AF40" s="15"/>
      <c r="AG40" s="7"/>
      <c r="AH40" s="7"/>
      <c r="AI40" s="8"/>
      <c r="AJ40" s="8"/>
      <c r="AK40" s="9"/>
      <c r="AL40" s="8"/>
      <c r="AM40" s="8"/>
      <c r="AN40" s="8"/>
      <c r="AO40" s="11"/>
      <c r="AP40" s="121"/>
      <c r="AQ40" s="8"/>
      <c r="AR40" s="96"/>
      <c r="AS40" s="11"/>
      <c r="AT40" s="2"/>
      <c r="AU40" s="2"/>
      <c r="AV40" s="2"/>
      <c r="AW40" s="2"/>
      <c r="AX40" s="2"/>
      <c r="AY40" s="2"/>
      <c r="AZ40" s="2"/>
      <c r="BA40" s="2"/>
      <c r="BB40" s="56"/>
    </row>
    <row r="41" spans="1:54" ht="15.6">
      <c r="A41" s="101">
        <v>31</v>
      </c>
      <c r="B41" s="104"/>
      <c r="C41" s="64"/>
      <c r="D41" s="64"/>
      <c r="E41" s="64"/>
      <c r="F41" s="64"/>
      <c r="G41" s="64"/>
      <c r="H41" s="64"/>
      <c r="I41" s="2"/>
      <c r="J41" s="3"/>
      <c r="K41" s="4"/>
      <c r="L41" s="97"/>
      <c r="M41" s="5"/>
      <c r="N41" s="98"/>
      <c r="O41" s="5"/>
      <c r="P41" s="16"/>
      <c r="Q41" s="16"/>
      <c r="R41" s="69"/>
      <c r="S41" s="99"/>
      <c r="T41" s="69"/>
      <c r="U41" s="5"/>
      <c r="V41" s="6"/>
      <c r="W41" s="10"/>
      <c r="X41" s="12"/>
      <c r="Y41" s="13"/>
      <c r="Z41" s="13"/>
      <c r="AA41" s="13"/>
      <c r="AB41" s="16"/>
      <c r="AC41" s="17"/>
      <c r="AD41" s="3"/>
      <c r="AE41" s="14"/>
      <c r="AF41" s="15"/>
      <c r="AG41" s="7"/>
      <c r="AH41" s="7"/>
      <c r="AI41" s="8"/>
      <c r="AJ41" s="8"/>
      <c r="AK41" s="9"/>
      <c r="AL41" s="8"/>
      <c r="AM41" s="8"/>
      <c r="AN41" s="8"/>
      <c r="AO41" s="11"/>
      <c r="AP41" s="121"/>
      <c r="AQ41" s="8"/>
      <c r="AR41" s="96"/>
      <c r="AS41" s="11"/>
      <c r="AT41" s="2"/>
      <c r="AU41" s="2"/>
      <c r="AV41" s="2"/>
      <c r="AW41" s="2"/>
      <c r="AX41" s="2"/>
      <c r="AY41" s="2"/>
      <c r="AZ41" s="2"/>
      <c r="BA41" s="2"/>
      <c r="BB41" s="56"/>
    </row>
    <row r="42" spans="1:54" ht="15.6">
      <c r="A42" s="101">
        <v>32</v>
      </c>
      <c r="B42" s="104"/>
      <c r="C42" s="64"/>
      <c r="D42" s="64"/>
      <c r="E42" s="64"/>
      <c r="F42" s="64"/>
      <c r="G42" s="64"/>
      <c r="H42" s="64"/>
      <c r="I42" s="2"/>
      <c r="J42" s="3"/>
      <c r="K42" s="4"/>
      <c r="L42" s="97"/>
      <c r="M42" s="5"/>
      <c r="N42" s="98"/>
      <c r="O42" s="5"/>
      <c r="P42" s="16"/>
      <c r="Q42" s="16"/>
      <c r="R42" s="69"/>
      <c r="S42" s="99"/>
      <c r="T42" s="69"/>
      <c r="U42" s="5"/>
      <c r="V42" s="6"/>
      <c r="W42" s="10"/>
      <c r="X42" s="12"/>
      <c r="Y42" s="13"/>
      <c r="Z42" s="13"/>
      <c r="AA42" s="13"/>
      <c r="AB42" s="16"/>
      <c r="AC42" s="17"/>
      <c r="AD42" s="3"/>
      <c r="AE42" s="14"/>
      <c r="AF42" s="15"/>
      <c r="AG42" s="7"/>
      <c r="AH42" s="7"/>
      <c r="AI42" s="8"/>
      <c r="AJ42" s="8"/>
      <c r="AK42" s="9"/>
      <c r="AL42" s="8"/>
      <c r="AM42" s="8"/>
      <c r="AN42" s="8"/>
      <c r="AO42" s="11"/>
      <c r="AP42" s="121"/>
      <c r="AQ42" s="8"/>
      <c r="AR42" s="96"/>
      <c r="AS42" s="11"/>
      <c r="AT42" s="2"/>
      <c r="AU42" s="2"/>
      <c r="AV42" s="2"/>
      <c r="AW42" s="2"/>
      <c r="AX42" s="2"/>
      <c r="AY42" s="2"/>
      <c r="AZ42" s="2"/>
      <c r="BA42" s="2"/>
      <c r="BB42" s="56"/>
    </row>
    <row r="43" spans="1:54" ht="15.6">
      <c r="A43" s="101">
        <v>33</v>
      </c>
      <c r="B43" s="104"/>
      <c r="C43" s="64"/>
      <c r="D43" s="64"/>
      <c r="E43" s="64"/>
      <c r="F43" s="64"/>
      <c r="G43" s="64"/>
      <c r="H43" s="64"/>
      <c r="I43" s="2"/>
      <c r="J43" s="3"/>
      <c r="K43" s="4"/>
      <c r="L43" s="97"/>
      <c r="M43" s="5"/>
      <c r="N43" s="98"/>
      <c r="O43" s="5"/>
      <c r="P43" s="16"/>
      <c r="Q43" s="16"/>
      <c r="R43" s="69"/>
      <c r="S43" s="99"/>
      <c r="T43" s="69"/>
      <c r="U43" s="5"/>
      <c r="V43" s="6"/>
      <c r="W43" s="10"/>
      <c r="X43" s="12"/>
      <c r="Y43" s="13"/>
      <c r="Z43" s="13"/>
      <c r="AA43" s="13"/>
      <c r="AB43" s="16"/>
      <c r="AC43" s="17"/>
      <c r="AD43" s="3"/>
      <c r="AE43" s="14"/>
      <c r="AF43" s="15"/>
      <c r="AG43" s="7"/>
      <c r="AH43" s="7"/>
      <c r="AI43" s="8"/>
      <c r="AJ43" s="8"/>
      <c r="AK43" s="9"/>
      <c r="AL43" s="8"/>
      <c r="AM43" s="8"/>
      <c r="AN43" s="8"/>
      <c r="AO43" s="11"/>
      <c r="AP43" s="121"/>
      <c r="AQ43" s="8"/>
      <c r="AR43" s="96"/>
      <c r="AS43" s="11"/>
      <c r="AT43" s="2"/>
      <c r="AU43" s="2"/>
      <c r="AV43" s="2"/>
      <c r="AW43" s="2"/>
      <c r="AX43" s="2"/>
      <c r="AY43" s="2"/>
      <c r="AZ43" s="2"/>
      <c r="BA43" s="2"/>
      <c r="BB43" s="56"/>
    </row>
    <row r="44" spans="1:54" ht="15.6">
      <c r="A44" s="101">
        <v>34</v>
      </c>
      <c r="B44" s="104"/>
      <c r="C44" s="64"/>
      <c r="D44" s="64"/>
      <c r="E44" s="64"/>
      <c r="F44" s="64"/>
      <c r="G44" s="64"/>
      <c r="H44" s="64"/>
      <c r="I44" s="2"/>
      <c r="J44" s="3"/>
      <c r="K44" s="4"/>
      <c r="L44" s="97"/>
      <c r="M44" s="5"/>
      <c r="N44" s="98"/>
      <c r="O44" s="5"/>
      <c r="P44" s="16"/>
      <c r="Q44" s="16"/>
      <c r="R44" s="69"/>
      <c r="S44" s="99"/>
      <c r="T44" s="69"/>
      <c r="U44" s="5"/>
      <c r="V44" s="6"/>
      <c r="W44" s="10"/>
      <c r="X44" s="12"/>
      <c r="Y44" s="13"/>
      <c r="Z44" s="13"/>
      <c r="AA44" s="13"/>
      <c r="AB44" s="16"/>
      <c r="AC44" s="17"/>
      <c r="AD44" s="3"/>
      <c r="AE44" s="14"/>
      <c r="AF44" s="15"/>
      <c r="AG44" s="7"/>
      <c r="AH44" s="7"/>
      <c r="AI44" s="8"/>
      <c r="AJ44" s="8"/>
      <c r="AK44" s="9"/>
      <c r="AL44" s="8"/>
      <c r="AM44" s="8"/>
      <c r="AN44" s="8"/>
      <c r="AO44" s="11"/>
      <c r="AP44" s="121"/>
      <c r="AQ44" s="8"/>
      <c r="AR44" s="96"/>
      <c r="AS44" s="11"/>
      <c r="AT44" s="2"/>
      <c r="AU44" s="2"/>
      <c r="AV44" s="2"/>
      <c r="AW44" s="2"/>
      <c r="AX44" s="2"/>
      <c r="AY44" s="2"/>
      <c r="AZ44" s="2"/>
      <c r="BA44" s="2"/>
      <c r="BB44" s="56"/>
    </row>
    <row r="45" spans="1:54" ht="15.6">
      <c r="A45" s="101">
        <v>35</v>
      </c>
      <c r="B45" s="104"/>
      <c r="C45" s="64"/>
      <c r="D45" s="64"/>
      <c r="E45" s="64"/>
      <c r="F45" s="64"/>
      <c r="G45" s="64"/>
      <c r="H45" s="64"/>
      <c r="I45" s="2"/>
      <c r="J45" s="3"/>
      <c r="K45" s="4"/>
      <c r="L45" s="97"/>
      <c r="M45" s="5"/>
      <c r="N45" s="98"/>
      <c r="O45" s="5"/>
      <c r="P45" s="16"/>
      <c r="Q45" s="16"/>
      <c r="R45" s="69"/>
      <c r="S45" s="99"/>
      <c r="T45" s="69"/>
      <c r="U45" s="5"/>
      <c r="V45" s="6"/>
      <c r="W45" s="10"/>
      <c r="X45" s="12"/>
      <c r="Y45" s="13"/>
      <c r="Z45" s="13"/>
      <c r="AA45" s="13"/>
      <c r="AB45" s="16"/>
      <c r="AC45" s="17"/>
      <c r="AD45" s="3"/>
      <c r="AE45" s="14"/>
      <c r="AF45" s="15"/>
      <c r="AG45" s="7"/>
      <c r="AH45" s="7"/>
      <c r="AI45" s="8"/>
      <c r="AJ45" s="8"/>
      <c r="AK45" s="9"/>
      <c r="AL45" s="8"/>
      <c r="AM45" s="8"/>
      <c r="AN45" s="8"/>
      <c r="AO45" s="11"/>
      <c r="AP45" s="121"/>
      <c r="AQ45" s="8"/>
      <c r="AR45" s="96"/>
      <c r="AS45" s="11"/>
      <c r="AT45" s="2"/>
      <c r="AU45" s="2"/>
      <c r="AV45" s="2"/>
      <c r="AW45" s="2"/>
      <c r="AX45" s="2"/>
      <c r="AY45" s="2"/>
      <c r="AZ45" s="2"/>
      <c r="BA45" s="2"/>
      <c r="BB45" s="56"/>
    </row>
    <row r="46" spans="1:54" ht="15.6">
      <c r="A46" s="101">
        <v>36</v>
      </c>
      <c r="B46" s="104"/>
      <c r="C46" s="64"/>
      <c r="D46" s="64"/>
      <c r="E46" s="64"/>
      <c r="F46" s="64"/>
      <c r="G46" s="64"/>
      <c r="H46" s="64"/>
      <c r="I46" s="2"/>
      <c r="J46" s="3"/>
      <c r="K46" s="4"/>
      <c r="L46" s="97"/>
      <c r="M46" s="5"/>
      <c r="N46" s="98"/>
      <c r="O46" s="5"/>
      <c r="P46" s="16"/>
      <c r="Q46" s="16"/>
      <c r="R46" s="69"/>
      <c r="S46" s="99"/>
      <c r="T46" s="69"/>
      <c r="U46" s="5"/>
      <c r="V46" s="6"/>
      <c r="W46" s="10"/>
      <c r="X46" s="12"/>
      <c r="Y46" s="13"/>
      <c r="Z46" s="13"/>
      <c r="AA46" s="13"/>
      <c r="AB46" s="16"/>
      <c r="AC46" s="17"/>
      <c r="AD46" s="3"/>
      <c r="AE46" s="14"/>
      <c r="AF46" s="15"/>
      <c r="AG46" s="7"/>
      <c r="AH46" s="7"/>
      <c r="AI46" s="8"/>
      <c r="AJ46" s="8"/>
      <c r="AK46" s="9"/>
      <c r="AL46" s="8"/>
      <c r="AM46" s="8"/>
      <c r="AN46" s="8"/>
      <c r="AO46" s="11"/>
      <c r="AP46" s="121"/>
      <c r="AQ46" s="8"/>
      <c r="AR46" s="96"/>
      <c r="AS46" s="11"/>
      <c r="AT46" s="2"/>
      <c r="AU46" s="2"/>
      <c r="AV46" s="2"/>
      <c r="AW46" s="2"/>
      <c r="AX46" s="2"/>
      <c r="AY46" s="2"/>
      <c r="AZ46" s="2"/>
      <c r="BA46" s="2"/>
      <c r="BB46" s="56"/>
    </row>
    <row r="47" spans="1:54" ht="15.6">
      <c r="A47" s="101">
        <v>37</v>
      </c>
      <c r="B47" s="104"/>
      <c r="C47" s="64"/>
      <c r="D47" s="64"/>
      <c r="E47" s="64"/>
      <c r="F47" s="64"/>
      <c r="G47" s="64"/>
      <c r="H47" s="64"/>
      <c r="I47" s="2"/>
      <c r="J47" s="3"/>
      <c r="K47" s="4"/>
      <c r="L47" s="97"/>
      <c r="M47" s="5"/>
      <c r="N47" s="98"/>
      <c r="O47" s="5"/>
      <c r="P47" s="16"/>
      <c r="Q47" s="16"/>
      <c r="R47" s="69"/>
      <c r="S47" s="99"/>
      <c r="T47" s="69"/>
      <c r="U47" s="5"/>
      <c r="V47" s="6"/>
      <c r="W47" s="10"/>
      <c r="X47" s="12"/>
      <c r="Y47" s="13"/>
      <c r="Z47" s="13"/>
      <c r="AA47" s="13"/>
      <c r="AB47" s="16"/>
      <c r="AC47" s="17"/>
      <c r="AD47" s="3"/>
      <c r="AE47" s="14"/>
      <c r="AF47" s="15"/>
      <c r="AG47" s="7"/>
      <c r="AH47" s="7"/>
      <c r="AI47" s="8"/>
      <c r="AJ47" s="8"/>
      <c r="AK47" s="9"/>
      <c r="AL47" s="8"/>
      <c r="AM47" s="8"/>
      <c r="AN47" s="8"/>
      <c r="AO47" s="11"/>
      <c r="AP47" s="121"/>
      <c r="AQ47" s="8"/>
      <c r="AR47" s="96"/>
      <c r="AS47" s="11"/>
      <c r="AT47" s="2"/>
      <c r="AU47" s="2"/>
      <c r="AV47" s="2"/>
      <c r="AW47" s="2"/>
      <c r="AX47" s="2"/>
      <c r="AY47" s="2"/>
      <c r="AZ47" s="2"/>
      <c r="BA47" s="2"/>
      <c r="BB47" s="56"/>
    </row>
    <row r="48" spans="1:54" ht="15.6">
      <c r="A48" s="101">
        <v>38</v>
      </c>
      <c r="B48" s="104"/>
      <c r="C48" s="64"/>
      <c r="D48" s="64"/>
      <c r="E48" s="64"/>
      <c r="F48" s="64"/>
      <c r="G48" s="64"/>
      <c r="H48" s="64"/>
      <c r="I48" s="2"/>
      <c r="J48" s="3"/>
      <c r="K48" s="4"/>
      <c r="L48" s="97"/>
      <c r="M48" s="5"/>
      <c r="N48" s="98"/>
      <c r="O48" s="5"/>
      <c r="P48" s="16"/>
      <c r="Q48" s="16"/>
      <c r="R48" s="69"/>
      <c r="S48" s="99"/>
      <c r="T48" s="69"/>
      <c r="U48" s="5"/>
      <c r="V48" s="6"/>
      <c r="W48" s="10"/>
      <c r="X48" s="12"/>
      <c r="Y48" s="13"/>
      <c r="Z48" s="13"/>
      <c r="AA48" s="13"/>
      <c r="AB48" s="16"/>
      <c r="AC48" s="17"/>
      <c r="AD48" s="3"/>
      <c r="AE48" s="14"/>
      <c r="AF48" s="15"/>
      <c r="AG48" s="7"/>
      <c r="AH48" s="7"/>
      <c r="AI48" s="8"/>
      <c r="AJ48" s="8"/>
      <c r="AK48" s="9"/>
      <c r="AL48" s="8"/>
      <c r="AM48" s="8"/>
      <c r="AN48" s="8"/>
      <c r="AO48" s="11"/>
      <c r="AP48" s="121"/>
      <c r="AQ48" s="8"/>
      <c r="AR48" s="96"/>
      <c r="AS48" s="11"/>
      <c r="AT48" s="2"/>
      <c r="AU48" s="2"/>
      <c r="AV48" s="2"/>
      <c r="AW48" s="2"/>
      <c r="AX48" s="2"/>
      <c r="AY48" s="2"/>
      <c r="AZ48" s="2"/>
      <c r="BA48" s="2"/>
      <c r="BB48" s="56"/>
    </row>
    <row r="49" spans="1:54" ht="15.6">
      <c r="A49" s="101">
        <v>39</v>
      </c>
      <c r="B49" s="104"/>
      <c r="C49" s="64"/>
      <c r="D49" s="64"/>
      <c r="E49" s="64"/>
      <c r="F49" s="64"/>
      <c r="G49" s="64"/>
      <c r="H49" s="64"/>
      <c r="I49" s="2"/>
      <c r="J49" s="2"/>
      <c r="K49" s="2"/>
      <c r="L49" s="97"/>
      <c r="M49" s="2"/>
      <c r="N49" s="98"/>
      <c r="O49" s="2"/>
      <c r="P49" s="2"/>
      <c r="Q49" s="2"/>
      <c r="R49" s="70"/>
      <c r="S49" s="99"/>
      <c r="T49" s="70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21"/>
      <c r="AQ49" s="2"/>
      <c r="AR49" s="96"/>
      <c r="AS49" s="11"/>
      <c r="AT49" s="2"/>
      <c r="AU49" s="2"/>
      <c r="AV49" s="2"/>
      <c r="AW49" s="2"/>
      <c r="AX49" s="2"/>
      <c r="AY49" s="2"/>
      <c r="AZ49" s="2"/>
      <c r="BA49" s="2"/>
      <c r="BB49" s="56"/>
    </row>
    <row r="50" spans="1:54" ht="15.6">
      <c r="A50" s="101">
        <v>40</v>
      </c>
      <c r="B50" s="104"/>
      <c r="C50" s="64"/>
      <c r="D50" s="64"/>
      <c r="E50" s="64"/>
      <c r="F50" s="64"/>
      <c r="G50" s="64"/>
      <c r="H50" s="64"/>
      <c r="I50" s="2"/>
      <c r="J50" s="2"/>
      <c r="K50" s="2"/>
      <c r="L50" s="97"/>
      <c r="M50" s="2"/>
      <c r="N50" s="98"/>
      <c r="O50" s="2"/>
      <c r="P50" s="2"/>
      <c r="Q50" s="2"/>
      <c r="R50" s="70"/>
      <c r="S50" s="99"/>
      <c r="T50" s="70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121"/>
      <c r="AQ50" s="2"/>
      <c r="AR50" s="96"/>
      <c r="AS50" s="11"/>
      <c r="AT50" s="2"/>
      <c r="AU50" s="2"/>
      <c r="AV50" s="2"/>
      <c r="AW50" s="2"/>
      <c r="AX50" s="2"/>
      <c r="AY50" s="2"/>
      <c r="AZ50" s="2"/>
      <c r="BA50" s="2"/>
      <c r="BB50" s="56"/>
    </row>
    <row r="51" spans="1:54" ht="15.6">
      <c r="A51" s="101">
        <v>41</v>
      </c>
      <c r="B51" s="104"/>
      <c r="C51" s="64"/>
      <c r="D51" s="64"/>
      <c r="E51" s="64"/>
      <c r="F51" s="64"/>
      <c r="G51" s="64"/>
      <c r="H51" s="64"/>
      <c r="I51" s="2"/>
      <c r="J51" s="2"/>
      <c r="K51" s="2"/>
      <c r="L51" s="97"/>
      <c r="M51" s="2"/>
      <c r="N51" s="98"/>
      <c r="O51" s="2"/>
      <c r="P51" s="2"/>
      <c r="Q51" s="2"/>
      <c r="R51" s="70"/>
      <c r="S51" s="99"/>
      <c r="T51" s="70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21"/>
      <c r="AQ51" s="2"/>
      <c r="AR51" s="96"/>
      <c r="AS51" s="11"/>
      <c r="AT51" s="2"/>
      <c r="AU51" s="2"/>
      <c r="AV51" s="2"/>
      <c r="AW51" s="2"/>
      <c r="AX51" s="2"/>
      <c r="AY51" s="2"/>
      <c r="AZ51" s="2"/>
      <c r="BA51" s="2"/>
      <c r="BB51" s="56"/>
    </row>
    <row r="52" spans="1:54" ht="15.6">
      <c r="A52" s="101">
        <v>42</v>
      </c>
      <c r="B52" s="104"/>
      <c r="C52" s="64"/>
      <c r="D52" s="64"/>
      <c r="E52" s="64"/>
      <c r="F52" s="64"/>
      <c r="G52" s="64"/>
      <c r="H52" s="64"/>
      <c r="I52" s="2"/>
      <c r="J52" s="2"/>
      <c r="K52" s="2"/>
      <c r="L52" s="97"/>
      <c r="M52" s="2"/>
      <c r="N52" s="98"/>
      <c r="O52" s="2"/>
      <c r="P52" s="2"/>
      <c r="Q52" s="2"/>
      <c r="R52" s="70"/>
      <c r="S52" s="99"/>
      <c r="T52" s="70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121"/>
      <c r="AQ52" s="2"/>
      <c r="AR52" s="96"/>
      <c r="AS52" s="11"/>
      <c r="AT52" s="2"/>
      <c r="AU52" s="2"/>
      <c r="AV52" s="2"/>
      <c r="AW52" s="2"/>
      <c r="AX52" s="2"/>
      <c r="AY52" s="2"/>
      <c r="AZ52" s="2"/>
      <c r="BA52" s="2"/>
      <c r="BB52" s="56"/>
    </row>
    <row r="53" spans="1:54" ht="15.6">
      <c r="A53" s="101">
        <v>43</v>
      </c>
      <c r="B53" s="104"/>
      <c r="C53" s="64"/>
      <c r="D53" s="64"/>
      <c r="E53" s="64"/>
      <c r="F53" s="64"/>
      <c r="G53" s="64"/>
      <c r="H53" s="64"/>
      <c r="I53" s="2"/>
      <c r="J53" s="2"/>
      <c r="K53" s="2"/>
      <c r="L53" s="97"/>
      <c r="M53" s="2"/>
      <c r="N53" s="98"/>
      <c r="O53" s="2"/>
      <c r="P53" s="2"/>
      <c r="Q53" s="2"/>
      <c r="R53" s="70"/>
      <c r="S53" s="99"/>
      <c r="T53" s="70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21"/>
      <c r="AQ53" s="2"/>
      <c r="AR53" s="96"/>
      <c r="AS53" s="11"/>
      <c r="AT53" s="2"/>
      <c r="AU53" s="2"/>
      <c r="AV53" s="2"/>
      <c r="AW53" s="2"/>
      <c r="AX53" s="2"/>
      <c r="AY53" s="2"/>
      <c r="AZ53" s="2"/>
      <c r="BA53" s="2"/>
      <c r="BB53" s="56"/>
    </row>
    <row r="54" spans="1:54" ht="15.6">
      <c r="A54" s="101">
        <v>44</v>
      </c>
      <c r="B54" s="104"/>
      <c r="C54" s="64"/>
      <c r="D54" s="64"/>
      <c r="E54" s="64"/>
      <c r="F54" s="64"/>
      <c r="G54" s="64"/>
      <c r="H54" s="64"/>
      <c r="I54" s="2"/>
      <c r="J54" s="2"/>
      <c r="K54" s="2"/>
      <c r="L54" s="97"/>
      <c r="M54" s="2"/>
      <c r="N54" s="98"/>
      <c r="O54" s="2"/>
      <c r="P54" s="2"/>
      <c r="Q54" s="2"/>
      <c r="R54" s="70"/>
      <c r="S54" s="99"/>
      <c r="T54" s="70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21"/>
      <c r="AQ54" s="2"/>
      <c r="AR54" s="96"/>
      <c r="AS54" s="11"/>
      <c r="AT54" s="2"/>
      <c r="AU54" s="2"/>
      <c r="AV54" s="2"/>
      <c r="AW54" s="2"/>
      <c r="AX54" s="2"/>
      <c r="AY54" s="2"/>
      <c r="AZ54" s="2"/>
      <c r="BA54" s="2"/>
      <c r="BB54" s="56"/>
    </row>
    <row r="55" spans="1:54" ht="15.6">
      <c r="A55" s="101">
        <v>45</v>
      </c>
      <c r="B55" s="104"/>
      <c r="C55" s="64"/>
      <c r="D55" s="64"/>
      <c r="E55" s="64"/>
      <c r="F55" s="64"/>
      <c r="G55" s="64"/>
      <c r="H55" s="64"/>
      <c r="I55" s="2"/>
      <c r="J55" s="2"/>
      <c r="K55" s="2"/>
      <c r="L55" s="97"/>
      <c r="M55" s="2"/>
      <c r="N55" s="98"/>
      <c r="O55" s="2"/>
      <c r="P55" s="2"/>
      <c r="Q55" s="2"/>
      <c r="R55" s="70"/>
      <c r="S55" s="99"/>
      <c r="T55" s="70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21"/>
      <c r="AQ55" s="2"/>
      <c r="AR55" s="96"/>
      <c r="AS55" s="11"/>
      <c r="AT55" s="2"/>
      <c r="AU55" s="2"/>
      <c r="AV55" s="2"/>
      <c r="AW55" s="2"/>
      <c r="AX55" s="2"/>
      <c r="AY55" s="2"/>
      <c r="AZ55" s="2"/>
      <c r="BA55" s="2"/>
      <c r="BB55" s="56"/>
    </row>
    <row r="56" spans="1:54" ht="15.6">
      <c r="A56" s="101">
        <v>46</v>
      </c>
      <c r="B56" s="104"/>
      <c r="C56" s="64"/>
      <c r="D56" s="64"/>
      <c r="E56" s="64"/>
      <c r="F56" s="64"/>
      <c r="G56" s="64"/>
      <c r="H56" s="64"/>
      <c r="I56" s="2"/>
      <c r="J56" s="2"/>
      <c r="K56" s="2"/>
      <c r="L56" s="97"/>
      <c r="M56" s="2"/>
      <c r="N56" s="98"/>
      <c r="O56" s="2"/>
      <c r="P56" s="2"/>
      <c r="Q56" s="2"/>
      <c r="R56" s="70"/>
      <c r="S56" s="99"/>
      <c r="T56" s="70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121"/>
      <c r="AQ56" s="2"/>
      <c r="AR56" s="96"/>
      <c r="AS56" s="11"/>
      <c r="AT56" s="2"/>
      <c r="AU56" s="2"/>
      <c r="AV56" s="2"/>
      <c r="AW56" s="2"/>
      <c r="AX56" s="2"/>
      <c r="AY56" s="2"/>
      <c r="AZ56" s="2"/>
      <c r="BA56" s="2"/>
      <c r="BB56" s="56"/>
    </row>
    <row r="57" spans="1:54" ht="15.6">
      <c r="A57" s="101">
        <v>47</v>
      </c>
      <c r="B57" s="104"/>
      <c r="C57" s="64"/>
      <c r="D57" s="64"/>
      <c r="E57" s="64"/>
      <c r="F57" s="64"/>
      <c r="G57" s="64"/>
      <c r="H57" s="64"/>
      <c r="I57" s="2"/>
      <c r="J57" s="2"/>
      <c r="K57" s="2"/>
      <c r="L57" s="97"/>
      <c r="M57" s="2"/>
      <c r="N57" s="98"/>
      <c r="O57" s="2"/>
      <c r="P57" s="2"/>
      <c r="Q57" s="2"/>
      <c r="R57" s="70"/>
      <c r="S57" s="99"/>
      <c r="T57" s="70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121"/>
      <c r="AQ57" s="2"/>
      <c r="AR57" s="96"/>
      <c r="AS57" s="11"/>
      <c r="AT57" s="2"/>
      <c r="AU57" s="2"/>
      <c r="AV57" s="2"/>
      <c r="AW57" s="2"/>
      <c r="AX57" s="2"/>
      <c r="AY57" s="2"/>
      <c r="AZ57" s="2"/>
      <c r="BA57" s="2"/>
      <c r="BB57" s="56"/>
    </row>
    <row r="58" spans="1:54" ht="15.6">
      <c r="A58" s="101">
        <v>48</v>
      </c>
      <c r="B58" s="104"/>
      <c r="C58" s="64"/>
      <c r="D58" s="64"/>
      <c r="E58" s="64"/>
      <c r="F58" s="64"/>
      <c r="G58" s="64"/>
      <c r="H58" s="64"/>
      <c r="I58" s="2"/>
      <c r="J58" s="2"/>
      <c r="K58" s="2"/>
      <c r="L58" s="97"/>
      <c r="M58" s="2"/>
      <c r="N58" s="98"/>
      <c r="O58" s="2"/>
      <c r="P58" s="2"/>
      <c r="Q58" s="2"/>
      <c r="R58" s="70"/>
      <c r="S58" s="99"/>
      <c r="T58" s="70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121"/>
      <c r="AQ58" s="2"/>
      <c r="AR58" s="96"/>
      <c r="AS58" s="11"/>
      <c r="AT58" s="2"/>
      <c r="AU58" s="2"/>
      <c r="AV58" s="2"/>
      <c r="AW58" s="2"/>
      <c r="AX58" s="2"/>
      <c r="AY58" s="2"/>
      <c r="AZ58" s="2"/>
      <c r="BA58" s="2"/>
      <c r="BB58" s="56"/>
    </row>
    <row r="59" spans="1:54" ht="15.6">
      <c r="A59" s="101">
        <v>49</v>
      </c>
      <c r="B59" s="104"/>
      <c r="C59" s="64"/>
      <c r="D59" s="64"/>
      <c r="E59" s="64"/>
      <c r="F59" s="64"/>
      <c r="G59" s="64"/>
      <c r="H59" s="64"/>
      <c r="I59" s="2"/>
      <c r="J59" s="2"/>
      <c r="K59" s="2"/>
      <c r="L59" s="97"/>
      <c r="M59" s="2"/>
      <c r="N59" s="98"/>
      <c r="O59" s="2"/>
      <c r="P59" s="2"/>
      <c r="Q59" s="2"/>
      <c r="R59" s="70"/>
      <c r="S59" s="99"/>
      <c r="T59" s="70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21"/>
      <c r="AQ59" s="2"/>
      <c r="AR59" s="96"/>
      <c r="AS59" s="11"/>
      <c r="AT59" s="2"/>
      <c r="AU59" s="2"/>
      <c r="AV59" s="2"/>
      <c r="AW59" s="2"/>
      <c r="AX59" s="2"/>
      <c r="AY59" s="2"/>
      <c r="AZ59" s="2"/>
      <c r="BA59" s="2"/>
      <c r="BB59" s="56"/>
    </row>
    <row r="60" spans="1:54" ht="16.2" thickBot="1">
      <c r="A60" s="102">
        <v>50</v>
      </c>
      <c r="B60" s="105"/>
      <c r="C60" s="65"/>
      <c r="D60" s="65"/>
      <c r="E60" s="65"/>
      <c r="F60" s="65"/>
      <c r="G60" s="65"/>
      <c r="H60" s="65"/>
      <c r="I60" s="57"/>
      <c r="J60" s="57"/>
      <c r="K60" s="57"/>
      <c r="L60" s="106"/>
      <c r="M60" s="57"/>
      <c r="N60" s="107"/>
      <c r="O60" s="57"/>
      <c r="P60" s="57"/>
      <c r="Q60" s="57"/>
      <c r="R60" s="71"/>
      <c r="S60" s="109"/>
      <c r="T60" s="71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121"/>
      <c r="AQ60" s="57"/>
      <c r="AR60" s="108"/>
      <c r="AS60" s="11"/>
      <c r="AT60" s="57"/>
      <c r="AU60" s="57"/>
      <c r="AV60" s="57"/>
      <c r="AW60" s="57"/>
      <c r="AX60" s="57"/>
      <c r="AY60" s="57"/>
      <c r="AZ60" s="57"/>
      <c r="BA60" s="57"/>
      <c r="BB60" s="58"/>
    </row>
  </sheetData>
  <mergeCells count="5">
    <mergeCell ref="A3:I3"/>
    <mergeCell ref="A5:I5"/>
    <mergeCell ref="A7:I8"/>
    <mergeCell ref="J7:J8"/>
    <mergeCell ref="AT9:BB9"/>
  </mergeCells>
  <dataValidations count="6">
    <dataValidation type="list" allowBlank="1" showInputMessage="1" showErrorMessage="1" sqref="AP11:AP60">
      <formula1>"Excellent,Good,Fair,Average,Below Average"</formula1>
    </dataValidation>
    <dataValidation type="list" allowBlank="1" showInputMessage="1" showErrorMessage="1" sqref="AR11:AR60">
      <formula1>"Resignation,Contract over,Retired,Absconded,Expired,Continual ill health,Migrated to different place,Terminated"</formula1>
    </dataValidation>
    <dataValidation type="list" allowBlank="1" showInputMessage="1" showErrorMessage="1" sqref="S11:S60">
      <formula1>"INDIAN,FOREIGNER"</formula1>
    </dataValidation>
    <dataValidation type="list" allowBlank="1" showInputMessage="1" showErrorMessage="1" sqref="N11:N60">
      <formula1>"Un Married,Married"</formula1>
    </dataValidation>
    <dataValidation type="list" allowBlank="1" showInputMessage="1" showErrorMessage="1" sqref="L11:L60">
      <formula1>"Male,Female,Transgender"</formula1>
    </dataValidation>
    <dataValidation type="list" allowBlank="1" showInputMessage="1" showErrorMessage="1" sqref="B11:B60">
      <formula1>"In Service,Resigned"</formula1>
    </dataValidation>
  </dataValidation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N32"/>
  <sheetViews>
    <sheetView topLeftCell="A4" workbookViewId="0">
      <selection activeCell="E11" sqref="E11"/>
    </sheetView>
  </sheetViews>
  <sheetFormatPr defaultRowHeight="14.4"/>
  <cols>
    <col min="1" max="1" width="5.109375" style="49" customWidth="1"/>
    <col min="2" max="2" width="13.33203125" style="49" customWidth="1"/>
    <col min="3" max="3" width="29" customWidth="1"/>
    <col min="4" max="6" width="10.77734375" customWidth="1"/>
    <col min="7" max="7" width="11.33203125" customWidth="1"/>
    <col min="8" max="21" width="7.44140625" customWidth="1"/>
    <col min="22" max="23" width="9.109375" customWidth="1"/>
    <col min="24" max="24" width="9.5546875" customWidth="1"/>
    <col min="25" max="25" width="9.109375" customWidth="1"/>
    <col min="26" max="32" width="7.44140625" customWidth="1"/>
    <col min="33" max="33" width="7.88671875" customWidth="1"/>
    <col min="34" max="34" width="13.6640625" customWidth="1"/>
    <col min="35" max="35" width="11.6640625" customWidth="1"/>
    <col min="36" max="37" width="9.109375" customWidth="1"/>
    <col min="38" max="38" width="9.88671875" customWidth="1"/>
    <col min="39" max="39" width="9.109375" customWidth="1"/>
    <col min="40" max="40" width="10" customWidth="1"/>
    <col min="41" max="41" width="8.109375" customWidth="1"/>
    <col min="42" max="45" width="9.109375" customWidth="1"/>
  </cols>
  <sheetData>
    <row r="1" spans="1:45" ht="48.75" customHeight="1" thickBot="1">
      <c r="A1" s="189" t="s">
        <v>139</v>
      </c>
      <c r="B1" s="190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46"/>
      <c r="AQ1" s="146"/>
      <c r="AR1" s="146"/>
      <c r="AS1" s="147"/>
    </row>
    <row r="2" spans="1:45" s="50" customFormat="1" ht="12" customHeight="1">
      <c r="A2" s="123"/>
      <c r="B2" s="124"/>
      <c r="C2" s="125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156"/>
    </row>
    <row r="3" spans="1:45">
      <c r="A3" s="170" t="s">
        <v>84</v>
      </c>
      <c r="B3" s="171"/>
      <c r="C3" s="171"/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6"/>
      <c r="Q3" s="142" t="s">
        <v>135</v>
      </c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157"/>
    </row>
    <row r="4" spans="1:45">
      <c r="A4" s="27"/>
      <c r="B4" s="61"/>
      <c r="C4" s="19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3"/>
      <c r="Q4" s="30" t="s">
        <v>136</v>
      </c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158"/>
    </row>
    <row r="5" spans="1:45">
      <c r="A5" s="170" t="s">
        <v>25</v>
      </c>
      <c r="B5" s="171"/>
      <c r="C5" s="171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3"/>
      <c r="Q5" s="30" t="s">
        <v>137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158"/>
    </row>
    <row r="6" spans="1:45">
      <c r="A6" s="27"/>
      <c r="B6" s="61"/>
      <c r="C6" s="19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3"/>
      <c r="Q6" s="30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158"/>
    </row>
    <row r="7" spans="1:45" ht="15.6" customHeight="1">
      <c r="A7" s="172" t="s">
        <v>26</v>
      </c>
      <c r="B7" s="173"/>
      <c r="C7" s="173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193">
        <v>45383</v>
      </c>
      <c r="R7" s="143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159"/>
    </row>
    <row r="8" spans="1:45" ht="16.5" customHeight="1" thickBot="1">
      <c r="A8" s="174"/>
      <c r="B8" s="175"/>
      <c r="C8" s="175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7"/>
      <c r="R8" s="37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136"/>
    </row>
    <row r="9" spans="1:45" s="38" customFormat="1" ht="15" customHeight="1" thickBot="1">
      <c r="A9" s="194" t="s">
        <v>27</v>
      </c>
      <c r="B9" s="196" t="s">
        <v>0</v>
      </c>
      <c r="C9" s="196" t="s">
        <v>2</v>
      </c>
      <c r="D9" s="198" t="s">
        <v>83</v>
      </c>
      <c r="E9" s="199"/>
      <c r="F9" s="169"/>
      <c r="G9" s="200" t="s">
        <v>82</v>
      </c>
      <c r="H9" s="200"/>
      <c r="I9" s="200"/>
      <c r="J9" s="200"/>
      <c r="K9" s="200"/>
      <c r="L9" s="200"/>
      <c r="M9" s="200"/>
      <c r="N9" s="201"/>
      <c r="O9" s="180" t="s">
        <v>81</v>
      </c>
      <c r="P9" s="180"/>
      <c r="Q9" s="180"/>
      <c r="R9" s="181"/>
      <c r="S9" s="181"/>
      <c r="T9" s="181"/>
      <c r="U9" s="181"/>
      <c r="V9" s="181"/>
      <c r="W9" s="181"/>
      <c r="X9" s="181"/>
      <c r="Y9" s="182"/>
      <c r="Z9" s="183" t="s">
        <v>80</v>
      </c>
      <c r="AA9" s="184"/>
      <c r="AB9" s="184"/>
      <c r="AC9" s="184"/>
      <c r="AD9" s="184"/>
      <c r="AE9" s="184"/>
      <c r="AF9" s="185"/>
      <c r="AG9" s="186" t="s">
        <v>74</v>
      </c>
      <c r="AH9" s="187"/>
      <c r="AI9" s="187"/>
      <c r="AJ9" s="186" t="s">
        <v>60</v>
      </c>
      <c r="AK9" s="187"/>
      <c r="AL9" s="188"/>
      <c r="AM9" s="186" t="s">
        <v>61</v>
      </c>
      <c r="AN9" s="187"/>
      <c r="AO9" s="187"/>
      <c r="AP9" s="187"/>
      <c r="AQ9" s="187"/>
      <c r="AR9" s="187"/>
      <c r="AS9" s="188"/>
    </row>
    <row r="10" spans="1:45" ht="70.2" customHeight="1">
      <c r="A10" s="195"/>
      <c r="B10" s="197"/>
      <c r="C10" s="197"/>
      <c r="D10" s="77" t="s">
        <v>44</v>
      </c>
      <c r="E10" s="77" t="s">
        <v>45</v>
      </c>
      <c r="F10" s="163" t="s">
        <v>145</v>
      </c>
      <c r="G10" s="164" t="s">
        <v>30</v>
      </c>
      <c r="H10" s="165" t="s">
        <v>100</v>
      </c>
      <c r="I10" s="165" t="s">
        <v>132</v>
      </c>
      <c r="J10" s="165" t="s">
        <v>32</v>
      </c>
      <c r="K10" s="166" t="s">
        <v>33</v>
      </c>
      <c r="L10" s="165" t="s">
        <v>104</v>
      </c>
      <c r="M10" s="167" t="s">
        <v>106</v>
      </c>
      <c r="N10" s="168" t="s">
        <v>105</v>
      </c>
      <c r="O10" s="80" t="s">
        <v>101</v>
      </c>
      <c r="P10" s="79" t="s">
        <v>132</v>
      </c>
      <c r="Q10" s="79" t="s">
        <v>32</v>
      </c>
      <c r="R10" s="79" t="s">
        <v>33</v>
      </c>
      <c r="S10" s="79" t="s">
        <v>104</v>
      </c>
      <c r="T10" s="110" t="s">
        <v>106</v>
      </c>
      <c r="U10" s="83" t="s">
        <v>105</v>
      </c>
      <c r="V10" s="79" t="s">
        <v>102</v>
      </c>
      <c r="W10" s="79" t="s">
        <v>77</v>
      </c>
      <c r="X10" s="79" t="s">
        <v>34</v>
      </c>
      <c r="Y10" s="83" t="s">
        <v>58</v>
      </c>
      <c r="Z10" s="80" t="s">
        <v>38</v>
      </c>
      <c r="AA10" s="79" t="s">
        <v>46</v>
      </c>
      <c r="AB10" s="79" t="s">
        <v>39</v>
      </c>
      <c r="AC10" s="79" t="s">
        <v>40</v>
      </c>
      <c r="AD10" s="79" t="s">
        <v>41</v>
      </c>
      <c r="AE10" s="79" t="s">
        <v>42</v>
      </c>
      <c r="AF10" s="83" t="s">
        <v>47</v>
      </c>
      <c r="AG10" s="80" t="s">
        <v>35</v>
      </c>
      <c r="AH10" s="79" t="s">
        <v>36</v>
      </c>
      <c r="AI10" s="79" t="s">
        <v>37</v>
      </c>
      <c r="AJ10" s="80" t="s">
        <v>78</v>
      </c>
      <c r="AK10" s="79" t="s">
        <v>59</v>
      </c>
      <c r="AL10" s="83" t="s">
        <v>76</v>
      </c>
      <c r="AM10" s="80" t="s">
        <v>62</v>
      </c>
      <c r="AN10" s="79" t="s">
        <v>63</v>
      </c>
      <c r="AO10" s="79" t="s">
        <v>64</v>
      </c>
      <c r="AP10" s="79" t="s">
        <v>65</v>
      </c>
      <c r="AQ10" s="79" t="s">
        <v>66</v>
      </c>
      <c r="AR10" s="79" t="s">
        <v>67</v>
      </c>
      <c r="AS10" s="83" t="s">
        <v>68</v>
      </c>
    </row>
    <row r="11" spans="1:45" ht="28.8">
      <c r="A11" s="43">
        <v>1</v>
      </c>
      <c r="B11" s="87" t="str">
        <f>'Employee Database'!I11</f>
        <v>GR001</v>
      </c>
      <c r="C11" s="115" t="str">
        <f>'Employee Database'!J11</f>
        <v>GOLLAMANDA SUDEEP KUMAR</v>
      </c>
      <c r="D11" s="75">
        <v>30</v>
      </c>
      <c r="E11" s="84">
        <f>'Attendance Data'!AN11</f>
        <v>30</v>
      </c>
      <c r="F11" s="84"/>
      <c r="G11" s="114">
        <v>10000</v>
      </c>
      <c r="H11" s="112">
        <f>G11*60%</f>
        <v>6000</v>
      </c>
      <c r="I11" s="112">
        <v>0</v>
      </c>
      <c r="J11" s="112">
        <f>(G11-H11)</f>
        <v>4000</v>
      </c>
      <c r="K11" s="112">
        <v>0</v>
      </c>
      <c r="L11" s="112">
        <v>0</v>
      </c>
      <c r="M11" s="113">
        <v>0</v>
      </c>
      <c r="N11" s="113">
        <v>0</v>
      </c>
      <c r="O11" s="112">
        <f>H11/D11*E11</f>
        <v>6000</v>
      </c>
      <c r="P11" s="112">
        <f>I11/D11*E11</f>
        <v>0</v>
      </c>
      <c r="Q11" s="112">
        <f>J11/D11*E11</f>
        <v>4000.0000000000005</v>
      </c>
      <c r="R11" s="112">
        <f>K11/D11*E11</f>
        <v>0</v>
      </c>
      <c r="S11" s="112">
        <f>L11/D11*E11</f>
        <v>0</v>
      </c>
      <c r="T11" s="112">
        <f>M11/D11*E11</f>
        <v>0</v>
      </c>
      <c r="U11" s="112">
        <f>N11/D11*E11</f>
        <v>0</v>
      </c>
      <c r="V11" s="112">
        <f>O11+P11+Q11+R11+S11+U11</f>
        <v>10000</v>
      </c>
      <c r="W11" s="112">
        <f>G11/240*AL11*2</f>
        <v>1166.6666666666665</v>
      </c>
      <c r="X11" s="112">
        <f>V11+W11</f>
        <v>11166.666666666666</v>
      </c>
      <c r="Y11" s="113">
        <f>MIN((V11-Q11),15000)</f>
        <v>6000</v>
      </c>
      <c r="Z11" s="112">
        <f>IF(G11&lt;=21000,0.75%*X11,0)</f>
        <v>83.749999999999986</v>
      </c>
      <c r="AA11" s="112">
        <f>MIN(Y11,15000)*12%</f>
        <v>720</v>
      </c>
      <c r="AB11" s="112">
        <f>IF(X11&gt;20000,200,IF(X11&gt;15000,150,0))</f>
        <v>0</v>
      </c>
      <c r="AC11" s="112">
        <v>1500</v>
      </c>
      <c r="AD11" s="112">
        <f>AP11</f>
        <v>2000</v>
      </c>
      <c r="AE11" s="112">
        <v>500</v>
      </c>
      <c r="AF11" s="113">
        <f>Z11+AA11+AB11+AC11+AD11+AE11</f>
        <v>4803.75</v>
      </c>
      <c r="AG11" s="112">
        <f>X11-AF11</f>
        <v>6362.9166666666661</v>
      </c>
      <c r="AH11" s="81" t="s">
        <v>133</v>
      </c>
      <c r="AI11" s="81" t="s">
        <v>110</v>
      </c>
      <c r="AJ11" s="81" t="s">
        <v>107</v>
      </c>
      <c r="AK11" s="81" t="s">
        <v>108</v>
      </c>
      <c r="AL11" s="82">
        <f>4+2+3+5</f>
        <v>14</v>
      </c>
      <c r="AM11" s="81">
        <v>10000</v>
      </c>
      <c r="AN11" s="81" t="s">
        <v>109</v>
      </c>
      <c r="AO11" s="81">
        <v>5</v>
      </c>
      <c r="AP11" s="81">
        <f>AM11/AO11</f>
        <v>2000</v>
      </c>
      <c r="AQ11" s="111">
        <v>44075</v>
      </c>
      <c r="AR11" s="111">
        <v>44197</v>
      </c>
      <c r="AS11" s="160" t="s">
        <v>103</v>
      </c>
    </row>
    <row r="12" spans="1:45" ht="28.8">
      <c r="A12" s="43">
        <v>2</v>
      </c>
      <c r="B12" s="87" t="str">
        <f>'Employee Database'!I12</f>
        <v>GR002</v>
      </c>
      <c r="C12" s="89" t="str">
        <f>'Employee Database'!J12</f>
        <v>GOLLAMANDA PRAVEEN KUMAR</v>
      </c>
      <c r="D12" s="62">
        <v>30</v>
      </c>
      <c r="E12" s="84">
        <f>'Attendance Data'!AN12</f>
        <v>30</v>
      </c>
      <c r="F12" s="84"/>
      <c r="G12" s="114">
        <v>25000</v>
      </c>
      <c r="H12" s="112">
        <f>G12*60%</f>
        <v>15000</v>
      </c>
      <c r="I12" s="112">
        <v>0</v>
      </c>
      <c r="J12" s="112">
        <f>(G12-H12)</f>
        <v>10000</v>
      </c>
      <c r="K12" s="112">
        <v>0</v>
      </c>
      <c r="L12" s="112">
        <v>0</v>
      </c>
      <c r="M12" s="113">
        <v>0</v>
      </c>
      <c r="N12" s="113">
        <v>0</v>
      </c>
      <c r="O12" s="112">
        <f>H12/D12*E12</f>
        <v>15000</v>
      </c>
      <c r="P12" s="112">
        <f>I12/D12*E12</f>
        <v>0</v>
      </c>
      <c r="Q12" s="112">
        <f>J12/D12*E12</f>
        <v>10000</v>
      </c>
      <c r="R12" s="112">
        <f>K12/D12*E12</f>
        <v>0</v>
      </c>
      <c r="S12" s="112">
        <f>L12/D12*E12</f>
        <v>0</v>
      </c>
      <c r="T12" s="112">
        <f>M12/D12*E12</f>
        <v>0</v>
      </c>
      <c r="U12" s="112">
        <f>N12/D12*E12</f>
        <v>0</v>
      </c>
      <c r="V12" s="112">
        <f>O12+P12+Q12+R12+S12+U12</f>
        <v>25000</v>
      </c>
      <c r="W12" s="112">
        <f>G12/240*AL12*2</f>
        <v>2916.666666666667</v>
      </c>
      <c r="X12" s="112">
        <f>V12+W12</f>
        <v>27916.666666666668</v>
      </c>
      <c r="Y12" s="113">
        <f>MIN((V12-Q12),15000)</f>
        <v>15000</v>
      </c>
      <c r="Z12" s="112">
        <f>IF(G12&lt;=21000,0.75%*X12,0)</f>
        <v>0</v>
      </c>
      <c r="AA12" s="112">
        <f>MIN(Y12,15000)*12%</f>
        <v>1800</v>
      </c>
      <c r="AB12" s="112">
        <f>IF(X12&gt;20000,200,IF(X12&gt;15000,150,0))</f>
        <v>200</v>
      </c>
      <c r="AC12" s="112">
        <v>1500</v>
      </c>
      <c r="AD12" s="112">
        <f>AP12</f>
        <v>5000</v>
      </c>
      <c r="AE12" s="112">
        <v>500</v>
      </c>
      <c r="AF12" s="113">
        <f>Z12+AA12+AB12+AC12+AD12+AE12</f>
        <v>9000</v>
      </c>
      <c r="AG12" s="112">
        <f>X12-AF12</f>
        <v>18916.666666666668</v>
      </c>
      <c r="AH12" s="81" t="s">
        <v>133</v>
      </c>
      <c r="AI12" s="81" t="s">
        <v>110</v>
      </c>
      <c r="AJ12" s="81" t="s">
        <v>107</v>
      </c>
      <c r="AK12" s="81" t="s">
        <v>108</v>
      </c>
      <c r="AL12" s="82">
        <f>4+2+3+5</f>
        <v>14</v>
      </c>
      <c r="AM12" s="81">
        <v>25000</v>
      </c>
      <c r="AN12" s="81" t="s">
        <v>109</v>
      </c>
      <c r="AO12" s="81">
        <v>5</v>
      </c>
      <c r="AP12" s="81">
        <f>AM12/AO12</f>
        <v>5000</v>
      </c>
      <c r="AQ12" s="111">
        <v>44075</v>
      </c>
      <c r="AR12" s="111">
        <v>44197</v>
      </c>
      <c r="AS12" s="160" t="s">
        <v>103</v>
      </c>
    </row>
    <row r="13" spans="1:45" ht="15.6">
      <c r="A13" s="43">
        <v>3</v>
      </c>
      <c r="B13" s="87"/>
      <c r="C13" s="45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160"/>
    </row>
    <row r="14" spans="1:45" ht="15.6">
      <c r="A14" s="43">
        <v>4</v>
      </c>
      <c r="B14" s="87"/>
      <c r="C14" s="45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160"/>
    </row>
    <row r="15" spans="1:45" ht="15.6">
      <c r="A15" s="43">
        <v>5</v>
      </c>
      <c r="B15" s="87"/>
      <c r="C15" s="45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160"/>
    </row>
    <row r="16" spans="1:45" ht="15.6">
      <c r="A16" s="43">
        <v>6</v>
      </c>
      <c r="B16" s="87"/>
      <c r="C16" s="45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160"/>
    </row>
    <row r="17" spans="1:196" ht="15.6">
      <c r="A17" s="43">
        <v>7</v>
      </c>
      <c r="B17" s="87"/>
      <c r="C17" s="45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160"/>
    </row>
    <row r="18" spans="1:196" ht="15.6">
      <c r="A18" s="43">
        <v>8</v>
      </c>
      <c r="B18" s="87"/>
      <c r="C18" s="45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160"/>
    </row>
    <row r="19" spans="1:196" ht="15.6">
      <c r="A19" s="43">
        <v>9</v>
      </c>
      <c r="B19" s="87"/>
      <c r="C19" s="45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160"/>
    </row>
    <row r="20" spans="1:196" ht="15.6">
      <c r="A20" s="43">
        <v>10</v>
      </c>
      <c r="B20" s="87"/>
      <c r="C20" s="45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160"/>
    </row>
    <row r="21" spans="1:196" ht="15.6">
      <c r="A21" s="43">
        <v>11</v>
      </c>
      <c r="B21" s="87"/>
      <c r="C21" s="45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160"/>
    </row>
    <row r="22" spans="1:196" ht="15.6">
      <c r="A22" s="43">
        <v>12</v>
      </c>
      <c r="B22" s="87"/>
      <c r="C22" s="45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160"/>
    </row>
    <row r="23" spans="1:196" ht="15.6">
      <c r="A23" s="43">
        <v>13</v>
      </c>
      <c r="B23" s="87"/>
      <c r="C23" s="45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160"/>
    </row>
    <row r="24" spans="1:196" ht="15.6">
      <c r="A24" s="43">
        <v>14</v>
      </c>
      <c r="B24" s="87"/>
      <c r="C24" s="45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160"/>
    </row>
    <row r="25" spans="1:196" ht="15.6">
      <c r="A25" s="43">
        <v>15</v>
      </c>
      <c r="B25" s="87"/>
      <c r="C25" s="45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160"/>
    </row>
    <row r="26" spans="1:196" ht="15.6">
      <c r="A26" s="43">
        <v>16</v>
      </c>
      <c r="B26" s="87"/>
      <c r="C26" s="45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160"/>
    </row>
    <row r="27" spans="1:196" ht="15.6">
      <c r="A27" s="43">
        <v>17</v>
      </c>
      <c r="B27" s="87"/>
      <c r="C27" s="45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160"/>
    </row>
    <row r="28" spans="1:196" ht="15.6">
      <c r="A28" s="43">
        <v>18</v>
      </c>
      <c r="B28" s="87"/>
      <c r="C28" s="45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160"/>
    </row>
    <row r="29" spans="1:196" ht="15.6">
      <c r="A29" s="43">
        <v>19</v>
      </c>
      <c r="B29" s="87"/>
      <c r="C29" s="45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160"/>
    </row>
    <row r="30" spans="1:196" ht="15.6">
      <c r="A30" s="43">
        <v>20</v>
      </c>
      <c r="B30" s="87"/>
      <c r="C30" s="45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160"/>
    </row>
    <row r="31" spans="1:196" ht="22.5" customHeight="1">
      <c r="A31" s="18"/>
      <c r="B31" s="8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20"/>
    </row>
    <row r="32" spans="1:196" ht="10.5" customHeight="1" thickBot="1">
      <c r="A32" s="46"/>
      <c r="B32" s="47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61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</row>
  </sheetData>
  <mergeCells count="15">
    <mergeCell ref="A9:A10"/>
    <mergeCell ref="B9:B10"/>
    <mergeCell ref="C9:C10"/>
    <mergeCell ref="D9:E9"/>
    <mergeCell ref="G9:N9"/>
    <mergeCell ref="A1:AO1"/>
    <mergeCell ref="A3:C3"/>
    <mergeCell ref="A5:C5"/>
    <mergeCell ref="A7:C8"/>
    <mergeCell ref="Q7:Q8"/>
    <mergeCell ref="O9:Y9"/>
    <mergeCell ref="Z9:AF9"/>
    <mergeCell ref="AG9:AI9"/>
    <mergeCell ref="AJ9:AL9"/>
    <mergeCell ref="AM9:AS9"/>
  </mergeCells>
  <dataValidations count="1">
    <dataValidation type="list" allowBlank="1" showInputMessage="1" showErrorMessage="1" sqref="AS11:AS30">
      <formula1>"Pending,Cleared"</formula1>
    </dataValidation>
  </dataValidations>
  <pageMargins left="0.7" right="0.7" top="0.75" bottom="0.75" header="0.3" footer="0.3"/>
  <pageSetup paperSize="9" scale="1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GT32"/>
  <sheetViews>
    <sheetView workbookViewId="0">
      <selection activeCell="C11" sqref="C11"/>
    </sheetView>
  </sheetViews>
  <sheetFormatPr defaultRowHeight="14.4"/>
  <cols>
    <col min="1" max="1" width="5.109375" style="49" customWidth="1"/>
    <col min="2" max="2" width="13.33203125" style="49" customWidth="1"/>
    <col min="3" max="3" width="29" customWidth="1"/>
    <col min="4" max="39" width="7.44140625" customWidth="1"/>
    <col min="40" max="40" width="8.5546875" customWidth="1"/>
  </cols>
  <sheetData>
    <row r="1" spans="1:44" ht="48.75" customHeight="1">
      <c r="A1" s="208" t="s">
        <v>138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10"/>
    </row>
    <row r="2" spans="1:44" s="50" customFormat="1" ht="12" customHeight="1">
      <c r="A2" s="123"/>
      <c r="B2" s="124"/>
      <c r="C2" s="125"/>
      <c r="D2" s="144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8"/>
    </row>
    <row r="3" spans="1:44">
      <c r="A3" s="170" t="s">
        <v>84</v>
      </c>
      <c r="B3" s="171"/>
      <c r="C3" s="171"/>
      <c r="D3" s="70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42" t="s">
        <v>135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149"/>
    </row>
    <row r="4" spans="1:44">
      <c r="A4" s="27"/>
      <c r="B4" s="61"/>
      <c r="C4" s="19"/>
      <c r="D4" s="70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30" t="s">
        <v>136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149"/>
    </row>
    <row r="5" spans="1:44">
      <c r="A5" s="170" t="s">
        <v>25</v>
      </c>
      <c r="B5" s="171"/>
      <c r="C5" s="171"/>
      <c r="D5" s="70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30" t="s">
        <v>137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149"/>
    </row>
    <row r="6" spans="1:44">
      <c r="A6" s="27"/>
      <c r="B6" s="61"/>
      <c r="C6" s="19"/>
      <c r="D6" s="70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149"/>
    </row>
    <row r="7" spans="1:44" ht="15.6" customHeight="1">
      <c r="A7" s="172" t="s">
        <v>26</v>
      </c>
      <c r="B7" s="173"/>
      <c r="C7" s="173"/>
      <c r="D7" s="35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193">
        <v>45383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150"/>
    </row>
    <row r="8" spans="1:44" ht="16.5" customHeight="1">
      <c r="A8" s="174"/>
      <c r="B8" s="175"/>
      <c r="C8" s="175"/>
      <c r="D8" s="37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177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136"/>
    </row>
    <row r="9" spans="1:44" s="38" customFormat="1" ht="15" customHeight="1">
      <c r="A9" s="194" t="s">
        <v>27</v>
      </c>
      <c r="B9" s="196" t="s">
        <v>0</v>
      </c>
      <c r="C9" s="196" t="s">
        <v>2</v>
      </c>
      <c r="D9" s="205" t="s">
        <v>134</v>
      </c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7"/>
      <c r="AO9" s="202" t="s">
        <v>57</v>
      </c>
      <c r="AP9" s="203"/>
      <c r="AQ9" s="203"/>
      <c r="AR9" s="204"/>
    </row>
    <row r="10" spans="1:44" ht="70.2" customHeight="1">
      <c r="A10" s="195"/>
      <c r="B10" s="197"/>
      <c r="C10" s="197"/>
      <c r="D10" s="39">
        <v>1</v>
      </c>
      <c r="E10" s="39">
        <v>2</v>
      </c>
      <c r="F10" s="39">
        <v>3</v>
      </c>
      <c r="G10" s="39">
        <v>4</v>
      </c>
      <c r="H10" s="39">
        <v>5</v>
      </c>
      <c r="I10" s="39">
        <v>6</v>
      </c>
      <c r="J10" s="39">
        <v>7</v>
      </c>
      <c r="K10" s="39">
        <v>8</v>
      </c>
      <c r="L10" s="39">
        <v>9</v>
      </c>
      <c r="M10" s="39">
        <v>10</v>
      </c>
      <c r="N10" s="39">
        <v>11</v>
      </c>
      <c r="O10" s="39">
        <v>12</v>
      </c>
      <c r="P10" s="39">
        <v>13</v>
      </c>
      <c r="Q10" s="39">
        <v>14</v>
      </c>
      <c r="R10" s="39">
        <v>15</v>
      </c>
      <c r="S10" s="39">
        <v>16</v>
      </c>
      <c r="T10" s="39">
        <v>17</v>
      </c>
      <c r="U10" s="39">
        <v>18</v>
      </c>
      <c r="V10" s="39">
        <v>19</v>
      </c>
      <c r="W10" s="39">
        <v>20</v>
      </c>
      <c r="X10" s="39">
        <v>21</v>
      </c>
      <c r="Y10" s="39">
        <v>22</v>
      </c>
      <c r="Z10" s="39">
        <v>23</v>
      </c>
      <c r="AA10" s="39">
        <v>24</v>
      </c>
      <c r="AB10" s="40">
        <v>25</v>
      </c>
      <c r="AC10" s="40">
        <v>26</v>
      </c>
      <c r="AD10" s="40">
        <v>27</v>
      </c>
      <c r="AE10" s="39">
        <v>28</v>
      </c>
      <c r="AF10" s="39">
        <v>29</v>
      </c>
      <c r="AG10" s="41">
        <v>30</v>
      </c>
      <c r="AH10" s="42">
        <v>31</v>
      </c>
      <c r="AI10" s="74" t="s">
        <v>120</v>
      </c>
      <c r="AJ10" s="74" t="s">
        <v>121</v>
      </c>
      <c r="AK10" s="74" t="s">
        <v>122</v>
      </c>
      <c r="AL10" s="74" t="s">
        <v>123</v>
      </c>
      <c r="AM10" s="74" t="s">
        <v>124</v>
      </c>
      <c r="AN10" s="74" t="s">
        <v>16</v>
      </c>
      <c r="AO10" s="78" t="s">
        <v>55</v>
      </c>
      <c r="AP10" s="141" t="s">
        <v>56</v>
      </c>
      <c r="AQ10" s="78" t="s">
        <v>54</v>
      </c>
      <c r="AR10" s="151" t="s">
        <v>75</v>
      </c>
    </row>
    <row r="11" spans="1:44" ht="15.6">
      <c r="A11" s="43">
        <v>1</v>
      </c>
      <c r="B11" s="87" t="str">
        <f>'Employee Database'!I11</f>
        <v>GR001</v>
      </c>
      <c r="C11" s="115" t="str">
        <f>'Employee Database'!J11</f>
        <v>GOLLAMANDA SUDEEP KUMAR</v>
      </c>
      <c r="D11" s="44" t="s">
        <v>28</v>
      </c>
      <c r="E11" s="44" t="s">
        <v>28</v>
      </c>
      <c r="F11" s="44" t="s">
        <v>28</v>
      </c>
      <c r="G11" s="44" t="s">
        <v>29</v>
      </c>
      <c r="H11" s="44" t="s">
        <v>29</v>
      </c>
      <c r="I11" s="44" t="s">
        <v>28</v>
      </c>
      <c r="J11" s="44" t="s">
        <v>28</v>
      </c>
      <c r="K11" s="44" t="s">
        <v>28</v>
      </c>
      <c r="L11" s="44" t="s">
        <v>28</v>
      </c>
      <c r="M11" s="44" t="s">
        <v>28</v>
      </c>
      <c r="N11" s="44" t="s">
        <v>29</v>
      </c>
      <c r="O11" s="44" t="s">
        <v>29</v>
      </c>
      <c r="P11" s="44" t="s">
        <v>28</v>
      </c>
      <c r="Q11" s="44" t="s">
        <v>28</v>
      </c>
      <c r="R11" s="44" t="s">
        <v>122</v>
      </c>
      <c r="S11" s="44" t="s">
        <v>28</v>
      </c>
      <c r="T11" s="44" t="s">
        <v>28</v>
      </c>
      <c r="U11" s="44" t="s">
        <v>29</v>
      </c>
      <c r="V11" s="44" t="s">
        <v>29</v>
      </c>
      <c r="W11" s="44" t="s">
        <v>28</v>
      </c>
      <c r="X11" s="44" t="s">
        <v>28</v>
      </c>
      <c r="Y11" s="44" t="s">
        <v>28</v>
      </c>
      <c r="Z11" s="44" t="s">
        <v>28</v>
      </c>
      <c r="AA11" s="44" t="s">
        <v>28</v>
      </c>
      <c r="AB11" s="44" t="s">
        <v>29</v>
      </c>
      <c r="AC11" s="44" t="s">
        <v>29</v>
      </c>
      <c r="AD11" s="44" t="s">
        <v>28</v>
      </c>
      <c r="AE11" s="44" t="s">
        <v>28</v>
      </c>
      <c r="AF11" s="44" t="s">
        <v>28</v>
      </c>
      <c r="AG11" s="44" t="s">
        <v>28</v>
      </c>
      <c r="AH11" s="44"/>
      <c r="AI11" s="44">
        <f>COUNTIF(D11:AH11,"P")</f>
        <v>21</v>
      </c>
      <c r="AJ11" s="44">
        <f>COUNTIF(E11:AI11,"WO")</f>
        <v>8</v>
      </c>
      <c r="AK11" s="44">
        <f>COUNTIF(F11:AJ11,"H")</f>
        <v>1</v>
      </c>
      <c r="AL11" s="44">
        <f>COUNTIF(G11:AK11,"CO")</f>
        <v>0</v>
      </c>
      <c r="AM11" s="44">
        <f>COUNTIF(H11:AL11,"EL")</f>
        <v>0</v>
      </c>
      <c r="AN11" s="62">
        <f>AI11+AJ11+AK11+AL11+AM11</f>
        <v>30</v>
      </c>
      <c r="AO11" s="75">
        <v>0</v>
      </c>
      <c r="AP11" s="76">
        <v>1.5</v>
      </c>
      <c r="AQ11" s="75">
        <v>0</v>
      </c>
      <c r="AR11" s="152">
        <f>(AO11+AP11)-AQ11</f>
        <v>1.5</v>
      </c>
    </row>
    <row r="12" spans="1:44" ht="15.6">
      <c r="A12" s="43">
        <v>2</v>
      </c>
      <c r="B12" s="87" t="str">
        <f>'Employee Database'!I12</f>
        <v>GR002</v>
      </c>
      <c r="C12" s="89" t="str">
        <f>'Employee Database'!J12</f>
        <v>GOLLAMANDA PRAVEEN KUMAR</v>
      </c>
      <c r="D12" s="44" t="s">
        <v>28</v>
      </c>
      <c r="E12" s="44" t="s">
        <v>28</v>
      </c>
      <c r="F12" s="44" t="s">
        <v>28</v>
      </c>
      <c r="G12" s="44" t="s">
        <v>29</v>
      </c>
      <c r="H12" s="44" t="s">
        <v>29</v>
      </c>
      <c r="I12" s="44" t="s">
        <v>28</v>
      </c>
      <c r="J12" s="44" t="s">
        <v>28</v>
      </c>
      <c r="K12" s="44" t="s">
        <v>28</v>
      </c>
      <c r="L12" s="44" t="s">
        <v>28</v>
      </c>
      <c r="M12" s="44" t="s">
        <v>28</v>
      </c>
      <c r="N12" s="44" t="s">
        <v>29</v>
      </c>
      <c r="O12" s="44" t="s">
        <v>29</v>
      </c>
      <c r="P12" s="44" t="s">
        <v>28</v>
      </c>
      <c r="Q12" s="44" t="s">
        <v>28</v>
      </c>
      <c r="R12" s="44" t="s">
        <v>122</v>
      </c>
      <c r="S12" s="44" t="s">
        <v>28</v>
      </c>
      <c r="T12" s="44" t="s">
        <v>28</v>
      </c>
      <c r="U12" s="44" t="s">
        <v>29</v>
      </c>
      <c r="V12" s="44" t="s">
        <v>29</v>
      </c>
      <c r="W12" s="44" t="s">
        <v>28</v>
      </c>
      <c r="X12" s="44" t="s">
        <v>28</v>
      </c>
      <c r="Y12" s="44" t="s">
        <v>28</v>
      </c>
      <c r="Z12" s="44" t="s">
        <v>28</v>
      </c>
      <c r="AA12" s="44" t="s">
        <v>28</v>
      </c>
      <c r="AB12" s="44" t="s">
        <v>29</v>
      </c>
      <c r="AC12" s="44" t="s">
        <v>29</v>
      </c>
      <c r="AD12" s="44" t="s">
        <v>28</v>
      </c>
      <c r="AE12" s="44" t="s">
        <v>28</v>
      </c>
      <c r="AF12" s="44" t="s">
        <v>28</v>
      </c>
      <c r="AG12" s="44" t="s">
        <v>28</v>
      </c>
      <c r="AH12" s="44"/>
      <c r="AI12" s="44">
        <f>COUNTIF(D12:AH12,"P")</f>
        <v>21</v>
      </c>
      <c r="AJ12" s="44">
        <f>COUNTIF(E12:AI12,"WO")</f>
        <v>8</v>
      </c>
      <c r="AK12" s="44">
        <f>COUNTIF(F12:AJ12,"H")</f>
        <v>1</v>
      </c>
      <c r="AL12" s="44">
        <f>COUNTIF(G12:AK12,"CO")</f>
        <v>0</v>
      </c>
      <c r="AM12" s="44">
        <f>COUNTIF(H12:AL12,"EL")</f>
        <v>0</v>
      </c>
      <c r="AN12" s="62">
        <f>AI12+AJ12+AK12+AL12+AM12</f>
        <v>30</v>
      </c>
      <c r="AO12" s="62">
        <v>0</v>
      </c>
      <c r="AP12" s="68">
        <v>1.5</v>
      </c>
      <c r="AQ12" s="75">
        <f>AM12</f>
        <v>0</v>
      </c>
      <c r="AR12" s="153">
        <f>(AO12+AP12)-AQ12</f>
        <v>1.5</v>
      </c>
    </row>
    <row r="13" spans="1:44" ht="15">
      <c r="A13" s="43">
        <v>3</v>
      </c>
      <c r="B13" s="87"/>
      <c r="C13" s="4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56"/>
    </row>
    <row r="14" spans="1:44" ht="15">
      <c r="A14" s="43">
        <v>4</v>
      </c>
      <c r="B14" s="87"/>
      <c r="C14" s="4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56"/>
    </row>
    <row r="15" spans="1:44" ht="15">
      <c r="A15" s="43">
        <v>5</v>
      </c>
      <c r="B15" s="87"/>
      <c r="C15" s="4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56"/>
    </row>
    <row r="16" spans="1:44" ht="15">
      <c r="A16" s="43">
        <v>6</v>
      </c>
      <c r="B16" s="87"/>
      <c r="C16" s="4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56"/>
    </row>
    <row r="17" spans="1:202" ht="15">
      <c r="A17" s="43">
        <v>7</v>
      </c>
      <c r="B17" s="87"/>
      <c r="C17" s="4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56"/>
    </row>
    <row r="18" spans="1:202" ht="15">
      <c r="A18" s="43">
        <v>8</v>
      </c>
      <c r="B18" s="87"/>
      <c r="C18" s="4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56"/>
    </row>
    <row r="19" spans="1:202" ht="15">
      <c r="A19" s="43">
        <v>9</v>
      </c>
      <c r="B19" s="87"/>
      <c r="C19" s="4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56"/>
    </row>
    <row r="20" spans="1:202" ht="15">
      <c r="A20" s="43">
        <v>10</v>
      </c>
      <c r="B20" s="87"/>
      <c r="C20" s="4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56"/>
    </row>
    <row r="21" spans="1:202" ht="15">
      <c r="A21" s="43">
        <v>11</v>
      </c>
      <c r="B21" s="87"/>
      <c r="C21" s="4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56"/>
    </row>
    <row r="22" spans="1:202" ht="15">
      <c r="A22" s="43">
        <v>12</v>
      </c>
      <c r="B22" s="87"/>
      <c r="C22" s="4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56"/>
    </row>
    <row r="23" spans="1:202" ht="15">
      <c r="A23" s="43">
        <v>13</v>
      </c>
      <c r="B23" s="87"/>
      <c r="C23" s="4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56"/>
    </row>
    <row r="24" spans="1:202" ht="15">
      <c r="A24" s="43">
        <v>14</v>
      </c>
      <c r="B24" s="87"/>
      <c r="C24" s="4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56"/>
    </row>
    <row r="25" spans="1:202" ht="15">
      <c r="A25" s="43">
        <v>15</v>
      </c>
      <c r="B25" s="87"/>
      <c r="C25" s="4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56"/>
    </row>
    <row r="26" spans="1:202" ht="15">
      <c r="A26" s="43">
        <v>16</v>
      </c>
      <c r="B26" s="87"/>
      <c r="C26" s="4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56"/>
    </row>
    <row r="27" spans="1:202" ht="15">
      <c r="A27" s="43">
        <v>17</v>
      </c>
      <c r="B27" s="87"/>
      <c r="C27" s="4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56"/>
    </row>
    <row r="28" spans="1:202" ht="15">
      <c r="A28" s="43">
        <v>18</v>
      </c>
      <c r="B28" s="87"/>
      <c r="C28" s="4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56"/>
    </row>
    <row r="29" spans="1:202" ht="15">
      <c r="A29" s="43">
        <v>19</v>
      </c>
      <c r="B29" s="87"/>
      <c r="C29" s="4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56"/>
    </row>
    <row r="30" spans="1:202" ht="15">
      <c r="A30" s="43">
        <v>20</v>
      </c>
      <c r="B30" s="87"/>
      <c r="C30" s="4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56"/>
    </row>
    <row r="31" spans="1:202" ht="22.5" customHeight="1">
      <c r="A31" s="18"/>
      <c r="B31" s="8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20"/>
    </row>
    <row r="32" spans="1:202" ht="10.5" customHeight="1" thickBot="1">
      <c r="A32" s="46"/>
      <c r="B32" s="47"/>
      <c r="C32" s="139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5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</row>
  </sheetData>
  <mergeCells count="10">
    <mergeCell ref="AO9:AR9"/>
    <mergeCell ref="D9:AN9"/>
    <mergeCell ref="P7:P8"/>
    <mergeCell ref="A1:AR1"/>
    <mergeCell ref="A3:C3"/>
    <mergeCell ref="A5:C5"/>
    <mergeCell ref="A7:C8"/>
    <mergeCell ref="A9:A10"/>
    <mergeCell ref="C9:C10"/>
    <mergeCell ref="B9:B10"/>
  </mergeCells>
  <pageMargins left="0.7" right="0.7" top="0.75" bottom="0.75" header="0.3" footer="0.3"/>
  <pageSetup paperSize="9" scale="3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Database</vt:lpstr>
      <vt:lpstr>Wage Data</vt:lpstr>
      <vt:lpstr>Attendance Data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JOY</cp:lastModifiedBy>
  <cp:lastPrinted>2024-02-21T17:48:36Z</cp:lastPrinted>
  <dcterms:created xsi:type="dcterms:W3CDTF">2019-06-23T07:58:34Z</dcterms:created>
  <dcterms:modified xsi:type="dcterms:W3CDTF">2025-04-26T15:52:27Z</dcterms:modified>
</cp:coreProperties>
</file>