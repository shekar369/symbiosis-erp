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5600" windowHeight="11016" tabRatio="1000" activeTab="9"/>
  </bookViews>
  <sheets>
    <sheet name="ACCESS" sheetId="71" r:id="rId1"/>
    <sheet name="Workmen Reg" sheetId="15" r:id="rId2"/>
    <sheet name="Master" sheetId="1" r:id="rId3"/>
    <sheet name="Employment Cards" sheetId="10" r:id="rId4"/>
    <sheet name="Serive Certificate" sheetId="21" r:id="rId5"/>
    <sheet name="Muster Roll" sheetId="2" r:id="rId6"/>
    <sheet name="Leave register" sheetId="66" r:id="rId7"/>
    <sheet name="wages Reg" sheetId="3" r:id="rId8"/>
    <sheet name="wage sllips" sheetId="4" r:id="rId9"/>
    <sheet name="Payslip" sheetId="70" r:id="rId10"/>
    <sheet name="Deductions" sheetId="5" r:id="rId11"/>
    <sheet name="Fines" sheetId="7" r:id="rId12"/>
    <sheet name="Advances" sheetId="6" r:id="rId13"/>
    <sheet name="Overtime" sheetId="8" r:id="rId14"/>
    <sheet name="Bank Upload" sheetId="35" r:id="rId15"/>
    <sheet name="ESI-MC Template" sheetId="32" r:id="rId16"/>
    <sheet name="Accident" sheetId="9" r:id="rId17"/>
    <sheet name="ESI inspection " sheetId="65" r:id="rId18"/>
    <sheet name="EPF-ECR" sheetId="72" r:id="rId19"/>
    <sheet name="EPF Inspection" sheetId="67" r:id="rId20"/>
    <sheet name="PT-FormV" sheetId="34" r:id="rId21"/>
    <sheet name="TDS" sheetId="52" r:id="rId22"/>
    <sheet name="Bonus-C" sheetId="12" r:id="rId23"/>
    <sheet name="Equal remuneration" sheetId="13" r:id="rId24"/>
    <sheet name="FORM-A" sheetId="26" r:id="rId25"/>
    <sheet name="FORM-B" sheetId="27" r:id="rId26"/>
    <sheet name="FORM-C" sheetId="28" r:id="rId27"/>
    <sheet name="FORM-D" sheetId="29" r:id="rId28"/>
    <sheet name="FORM-E" sheetId="25" r:id="rId29"/>
    <sheet name="MIS" sheetId="64" r:id="rId30"/>
    <sheet name="Integrate Annual returns" sheetId="44" r:id="rId31"/>
    <sheet name="POSH return" sheetId="59" r:id="rId32"/>
  </sheets>
  <externalReferences>
    <externalReference r:id="rId33"/>
  </externalReferences>
  <definedNames>
    <definedName name="_xlnm._FilterDatabase" localSheetId="2" hidden="1">Master!$C$14:$JX$32</definedName>
    <definedName name="_xlnm.Print_Area" localSheetId="14">'Bank Upload'!$A$1:$E$53</definedName>
    <definedName name="_xlnm.Print_Area" localSheetId="23">'Equal remuneration'!$A$1:$K$29</definedName>
    <definedName name="_xlnm.Print_Titles" localSheetId="22">'Bonus-C'!$1:$8</definedName>
    <definedName name="_xlnm.Print_Titles" localSheetId="5">'Muster Roll'!$1:$9</definedName>
    <definedName name="_xlnm.Print_Titles" localSheetId="7">'wages Reg'!$1:$11</definedName>
  </definedNames>
  <calcPr calcId="124519"/>
</workbook>
</file>

<file path=xl/calcChain.xml><?xml version="1.0" encoding="utf-8"?>
<calcChain xmlns="http://schemas.openxmlformats.org/spreadsheetml/2006/main">
  <c r="J3" i="72"/>
  <c r="J4"/>
  <c r="J5"/>
  <c r="J6"/>
  <c r="J7"/>
  <c r="J8"/>
  <c r="J9"/>
  <c r="J10"/>
  <c r="J11"/>
  <c r="J12"/>
  <c r="J13"/>
  <c r="J14"/>
  <c r="J15"/>
  <c r="J16"/>
  <c r="J17"/>
  <c r="J18"/>
  <c r="J19"/>
  <c r="J20"/>
  <c r="J21"/>
  <c r="J22"/>
  <c r="J23"/>
  <c r="J24"/>
  <c r="J25"/>
  <c r="J26"/>
  <c r="J27"/>
  <c r="J28"/>
  <c r="J29"/>
  <c r="J30"/>
  <c r="J31"/>
  <c r="J32"/>
  <c r="J33"/>
  <c r="J34"/>
  <c r="J35"/>
  <c r="J36"/>
  <c r="J37"/>
  <c r="J38"/>
  <c r="J39"/>
  <c r="J40"/>
  <c r="J41"/>
  <c r="J42"/>
  <c r="J43"/>
  <c r="J44"/>
  <c r="J45"/>
  <c r="J46"/>
  <c r="J47"/>
  <c r="J48"/>
  <c r="J49"/>
  <c r="J50"/>
  <c r="J51"/>
  <c r="J2"/>
  <c r="D4"/>
  <c r="D5"/>
  <c r="D6"/>
  <c r="D7"/>
  <c r="D8"/>
  <c r="D9"/>
  <c r="D10"/>
  <c r="D11"/>
  <c r="D12"/>
  <c r="D13"/>
  <c r="D14"/>
  <c r="D15"/>
  <c r="D16"/>
  <c r="D17"/>
  <c r="D18"/>
  <c r="D19"/>
  <c r="D20"/>
  <c r="D21"/>
  <c r="D22"/>
  <c r="D23"/>
  <c r="D24"/>
  <c r="D25"/>
  <c r="D26"/>
  <c r="D27"/>
  <c r="D28"/>
  <c r="D29"/>
  <c r="D30"/>
  <c r="D31"/>
  <c r="D32"/>
  <c r="D33"/>
  <c r="D34"/>
  <c r="D35"/>
  <c r="D36"/>
  <c r="D37"/>
  <c r="D38"/>
  <c r="D39"/>
  <c r="D40"/>
  <c r="D41"/>
  <c r="D42"/>
  <c r="D43"/>
  <c r="D44"/>
  <c r="D45"/>
  <c r="D46"/>
  <c r="D47"/>
  <c r="D48"/>
  <c r="D49"/>
  <c r="D50"/>
  <c r="D51"/>
  <c r="D3"/>
  <c r="D2"/>
  <c r="C3"/>
  <c r="C4"/>
  <c r="C5"/>
  <c r="C6"/>
  <c r="C7"/>
  <c r="C8"/>
  <c r="C9"/>
  <c r="C10"/>
  <c r="C11"/>
  <c r="C12"/>
  <c r="C13"/>
  <c r="C14"/>
  <c r="C15"/>
  <c r="C16"/>
  <c r="C17"/>
  <c r="C18"/>
  <c r="C19"/>
  <c r="C20"/>
  <c r="C21"/>
  <c r="C22"/>
  <c r="C23"/>
  <c r="C24"/>
  <c r="C25"/>
  <c r="C26"/>
  <c r="C27"/>
  <c r="C28"/>
  <c r="C29"/>
  <c r="C30"/>
  <c r="C31"/>
  <c r="C32"/>
  <c r="C33"/>
  <c r="C34"/>
  <c r="C35"/>
  <c r="C36"/>
  <c r="C37"/>
  <c r="C38"/>
  <c r="C39"/>
  <c r="C40"/>
  <c r="C41"/>
  <c r="C42"/>
  <c r="C43"/>
  <c r="C44"/>
  <c r="C45"/>
  <c r="C46"/>
  <c r="C47"/>
  <c r="C48"/>
  <c r="C49"/>
  <c r="C50"/>
  <c r="C51"/>
  <c r="C2"/>
  <c r="B3"/>
  <c r="B4"/>
  <c r="B5"/>
  <c r="B6"/>
  <c r="B7"/>
  <c r="B8"/>
  <c r="B9"/>
  <c r="B10"/>
  <c r="B11"/>
  <c r="B12"/>
  <c r="B13"/>
  <c r="B14"/>
  <c r="B15"/>
  <c r="B16"/>
  <c r="B17"/>
  <c r="B18"/>
  <c r="B19"/>
  <c r="B20"/>
  <c r="B21"/>
  <c r="B22"/>
  <c r="B23"/>
  <c r="B24"/>
  <c r="B25"/>
  <c r="B26"/>
  <c r="B27"/>
  <c r="B28"/>
  <c r="B29"/>
  <c r="B30"/>
  <c r="B31"/>
  <c r="B32"/>
  <c r="B33"/>
  <c r="B34"/>
  <c r="B35"/>
  <c r="B36"/>
  <c r="B37"/>
  <c r="B38"/>
  <c r="B39"/>
  <c r="B40"/>
  <c r="B41"/>
  <c r="B42"/>
  <c r="B43"/>
  <c r="B44"/>
  <c r="B45"/>
  <c r="B46"/>
  <c r="B47"/>
  <c r="B48"/>
  <c r="B49"/>
  <c r="B50"/>
  <c r="B51"/>
  <c r="B2"/>
  <c r="A4"/>
  <c r="A5"/>
  <c r="A6"/>
  <c r="A7"/>
  <c r="A8"/>
  <c r="A9"/>
  <c r="A10"/>
  <c r="A11"/>
  <c r="A12"/>
  <c r="A13"/>
  <c r="A14"/>
  <c r="A15"/>
  <c r="A16"/>
  <c r="A17"/>
  <c r="A18"/>
  <c r="A19"/>
  <c r="A20"/>
  <c r="A21"/>
  <c r="A22"/>
  <c r="A23"/>
  <c r="A24"/>
  <c r="A25"/>
  <c r="A26"/>
  <c r="A27"/>
  <c r="A28"/>
  <c r="A29"/>
  <c r="A30"/>
  <c r="A31"/>
  <c r="A32"/>
  <c r="A33"/>
  <c r="A34"/>
  <c r="A35"/>
  <c r="A36"/>
  <c r="A37"/>
  <c r="A38"/>
  <c r="A39"/>
  <c r="A40"/>
  <c r="A41"/>
  <c r="A42"/>
  <c r="A43"/>
  <c r="A44"/>
  <c r="A45"/>
  <c r="A46"/>
  <c r="A47"/>
  <c r="A48"/>
  <c r="A49"/>
  <c r="A50"/>
  <c r="A51"/>
  <c r="A3"/>
  <c r="A2"/>
  <c r="E51"/>
  <c r="H51" s="1"/>
  <c r="G50"/>
  <c r="E49"/>
  <c r="H49" s="1"/>
  <c r="G49"/>
  <c r="I49" s="1"/>
  <c r="E48"/>
  <c r="F48" s="1"/>
  <c r="G47"/>
  <c r="E46"/>
  <c r="H46" s="1"/>
  <c r="G46"/>
  <c r="G45"/>
  <c r="E44"/>
  <c r="H44" s="1"/>
  <c r="G44"/>
  <c r="G43"/>
  <c r="E42"/>
  <c r="H42" s="1"/>
  <c r="G42"/>
  <c r="G41"/>
  <c r="E40"/>
  <c r="H40" s="1"/>
  <c r="G40"/>
  <c r="G39"/>
  <c r="E38"/>
  <c r="H38" s="1"/>
  <c r="G38"/>
  <c r="I38" s="1"/>
  <c r="G37"/>
  <c r="E36"/>
  <c r="H36" s="1"/>
  <c r="G36"/>
  <c r="G35"/>
  <c r="G34"/>
  <c r="G33"/>
  <c r="G32"/>
  <c r="G31"/>
  <c r="G30"/>
  <c r="G29"/>
  <c r="G28"/>
  <c r="G27"/>
  <c r="G26"/>
  <c r="G25"/>
  <c r="G24"/>
  <c r="G23"/>
  <c r="G22"/>
  <c r="G21"/>
  <c r="G20"/>
  <c r="G19"/>
  <c r="G18"/>
  <c r="G17"/>
  <c r="G16"/>
  <c r="G15"/>
  <c r="G14"/>
  <c r="G13"/>
  <c r="G12"/>
  <c r="G11"/>
  <c r="G10"/>
  <c r="G9"/>
  <c r="G8"/>
  <c r="G7"/>
  <c r="G6"/>
  <c r="G5"/>
  <c r="G4"/>
  <c r="E3"/>
  <c r="H3" s="1"/>
  <c r="G3"/>
  <c r="I3" s="1"/>
  <c r="G2"/>
  <c r="I36" l="1"/>
  <c r="G51"/>
  <c r="I51" s="1"/>
  <c r="I40"/>
  <c r="I42"/>
  <c r="I44"/>
  <c r="I46"/>
  <c r="E2"/>
  <c r="F3"/>
  <c r="E4"/>
  <c r="E6"/>
  <c r="E8"/>
  <c r="E10"/>
  <c r="E12"/>
  <c r="E14"/>
  <c r="E16"/>
  <c r="E18"/>
  <c r="E20"/>
  <c r="E22"/>
  <c r="E24"/>
  <c r="E26"/>
  <c r="E28"/>
  <c r="E30"/>
  <c r="E32"/>
  <c r="E34"/>
  <c r="H48"/>
  <c r="I48" s="1"/>
  <c r="E5"/>
  <c r="E7"/>
  <c r="E9"/>
  <c r="E11"/>
  <c r="E13"/>
  <c r="E15"/>
  <c r="E17"/>
  <c r="E19"/>
  <c r="E21"/>
  <c r="E23"/>
  <c r="E25"/>
  <c r="E27"/>
  <c r="E29"/>
  <c r="E31"/>
  <c r="E33"/>
  <c r="E35"/>
  <c r="F36"/>
  <c r="E37"/>
  <c r="F38"/>
  <c r="E39"/>
  <c r="F40"/>
  <c r="E41"/>
  <c r="F42"/>
  <c r="E43"/>
  <c r="F44"/>
  <c r="E45"/>
  <c r="F46"/>
  <c r="E47"/>
  <c r="F49"/>
  <c r="E50"/>
  <c r="F51"/>
  <c r="H50" l="1"/>
  <c r="I50" s="1"/>
  <c r="F50"/>
  <c r="H47"/>
  <c r="I47" s="1"/>
  <c r="F47"/>
  <c r="H45"/>
  <c r="I45" s="1"/>
  <c r="F45"/>
  <c r="H43"/>
  <c r="I43" s="1"/>
  <c r="F43"/>
  <c r="H41"/>
  <c r="I41" s="1"/>
  <c r="F41"/>
  <c r="H39"/>
  <c r="I39" s="1"/>
  <c r="F39"/>
  <c r="H37"/>
  <c r="I37" s="1"/>
  <c r="F37"/>
  <c r="H35"/>
  <c r="I35" s="1"/>
  <c r="F35"/>
  <c r="H31"/>
  <c r="I31" s="1"/>
  <c r="F31"/>
  <c r="H27"/>
  <c r="I27" s="1"/>
  <c r="F27"/>
  <c r="H23"/>
  <c r="I23" s="1"/>
  <c r="F23"/>
  <c r="H19"/>
  <c r="I19" s="1"/>
  <c r="F19"/>
  <c r="H15"/>
  <c r="I15" s="1"/>
  <c r="F15"/>
  <c r="H11"/>
  <c r="I11" s="1"/>
  <c r="F11"/>
  <c r="H7"/>
  <c r="I7" s="1"/>
  <c r="F7"/>
  <c r="H32"/>
  <c r="I32" s="1"/>
  <c r="F32"/>
  <c r="H28"/>
  <c r="I28" s="1"/>
  <c r="F28"/>
  <c r="H24"/>
  <c r="I24" s="1"/>
  <c r="F24"/>
  <c r="H20"/>
  <c r="I20" s="1"/>
  <c r="F20"/>
  <c r="H16"/>
  <c r="I16" s="1"/>
  <c r="F16"/>
  <c r="H12"/>
  <c r="I12" s="1"/>
  <c r="F12"/>
  <c r="H8"/>
  <c r="I8" s="1"/>
  <c r="F8"/>
  <c r="H4"/>
  <c r="I4" s="1"/>
  <c r="F4"/>
  <c r="H2"/>
  <c r="I2" s="1"/>
  <c r="F2"/>
  <c r="H33"/>
  <c r="I33" s="1"/>
  <c r="F33"/>
  <c r="H29"/>
  <c r="I29" s="1"/>
  <c r="F29"/>
  <c r="H25"/>
  <c r="I25" s="1"/>
  <c r="F25"/>
  <c r="H21"/>
  <c r="I21" s="1"/>
  <c r="F21"/>
  <c r="H17"/>
  <c r="I17" s="1"/>
  <c r="F17"/>
  <c r="H13"/>
  <c r="I13" s="1"/>
  <c r="F13"/>
  <c r="H9"/>
  <c r="I9" s="1"/>
  <c r="F9"/>
  <c r="H5"/>
  <c r="I5" s="1"/>
  <c r="F5"/>
  <c r="H34"/>
  <c r="I34" s="1"/>
  <c r="F34"/>
  <c r="H30"/>
  <c r="I30" s="1"/>
  <c r="F30"/>
  <c r="H26"/>
  <c r="I26" s="1"/>
  <c r="F26"/>
  <c r="H22"/>
  <c r="I22" s="1"/>
  <c r="F22"/>
  <c r="H18"/>
  <c r="I18" s="1"/>
  <c r="F18"/>
  <c r="H14"/>
  <c r="I14" s="1"/>
  <c r="F14"/>
  <c r="H10"/>
  <c r="I10" s="1"/>
  <c r="F10"/>
  <c r="H6"/>
  <c r="I6" s="1"/>
  <c r="F6"/>
  <c r="E1" i="35" l="1"/>
  <c r="B1"/>
  <c r="D7" i="64" l="1"/>
  <c r="D6"/>
  <c r="D9"/>
  <c r="D8"/>
  <c r="N59" i="12"/>
  <c r="M59"/>
  <c r="H59"/>
  <c r="D15" i="64" s="1"/>
  <c r="D14"/>
  <c r="D5"/>
  <c r="D4"/>
  <c r="AB65" i="1"/>
  <c r="AA65"/>
  <c r="AR65"/>
  <c r="AQ65"/>
  <c r="AP65"/>
  <c r="AO65"/>
  <c r="AN65"/>
  <c r="AM65"/>
  <c r="AL65"/>
  <c r="AK65"/>
  <c r="AJ65"/>
  <c r="AI65"/>
  <c r="AH65"/>
  <c r="AG65"/>
  <c r="AF65"/>
  <c r="AE65"/>
  <c r="AD65"/>
  <c r="AC65"/>
  <c r="D13" i="64"/>
  <c r="D12"/>
  <c r="I3"/>
  <c r="G7" i="44"/>
  <c r="G6"/>
  <c r="D34" i="21"/>
  <c r="B3" i="70" l="1"/>
  <c r="B2"/>
  <c r="G1"/>
  <c r="C10"/>
  <c r="G10"/>
  <c r="L10" i="66" l="1"/>
  <c r="I9"/>
  <c r="I5"/>
  <c r="C5"/>
  <c r="F4"/>
  <c r="F6" i="65" l="1"/>
  <c r="F7"/>
  <c r="K2195" i="4"/>
  <c r="K2152"/>
  <c r="K2109"/>
  <c r="K2066"/>
  <c r="K2023"/>
  <c r="K1980"/>
  <c r="K1937"/>
  <c r="K1894"/>
  <c r="K1851"/>
  <c r="K1808"/>
  <c r="K1765"/>
  <c r="K1722"/>
  <c r="K1679"/>
  <c r="K1636"/>
  <c r="K1593"/>
  <c r="K1550"/>
  <c r="K1507"/>
  <c r="K1464"/>
  <c r="K1421"/>
  <c r="K1378"/>
  <c r="K1335"/>
  <c r="K1292"/>
  <c r="K1249"/>
  <c r="K1206"/>
  <c r="K1163"/>
  <c r="K1120"/>
  <c r="K1077"/>
  <c r="K1034"/>
  <c r="K991"/>
  <c r="K948"/>
  <c r="K905"/>
  <c r="K862"/>
  <c r="K819"/>
  <c r="K776"/>
  <c r="K733"/>
  <c r="K690"/>
  <c r="K647"/>
  <c r="K604"/>
  <c r="K561"/>
  <c r="K518"/>
  <c r="K475"/>
  <c r="K432"/>
  <c r="K389"/>
  <c r="K346"/>
  <c r="K303"/>
  <c r="K260"/>
  <c r="K217"/>
  <c r="K174"/>
  <c r="K131"/>
  <c r="K88"/>
  <c r="K45"/>
  <c r="K3"/>
  <c r="B1" i="64"/>
  <c r="J34" i="21" l="1"/>
  <c r="G34"/>
  <c r="E34"/>
  <c r="C34"/>
  <c r="B34"/>
  <c r="G28"/>
  <c r="G25"/>
  <c r="G24"/>
  <c r="G23"/>
  <c r="G22"/>
  <c r="G21"/>
  <c r="B3" i="35" l="1"/>
  <c r="B4"/>
  <c r="B5"/>
  <c r="B6"/>
  <c r="B7"/>
  <c r="B8"/>
  <c r="B9"/>
  <c r="B10"/>
  <c r="B11"/>
  <c r="B12"/>
  <c r="B13"/>
  <c r="B14"/>
  <c r="B15"/>
  <c r="B16"/>
  <c r="B17"/>
  <c r="B18"/>
  <c r="B19"/>
  <c r="B20"/>
  <c r="B21"/>
  <c r="B22"/>
  <c r="B23"/>
  <c r="B24"/>
  <c r="B25"/>
  <c r="B26"/>
  <c r="B27"/>
  <c r="B28"/>
  <c r="B29"/>
  <c r="B30"/>
  <c r="B31"/>
  <c r="B32"/>
  <c r="B33"/>
  <c r="B34"/>
  <c r="B35"/>
  <c r="B36"/>
  <c r="B37"/>
  <c r="B38"/>
  <c r="B39"/>
  <c r="B40"/>
  <c r="B41"/>
  <c r="B42"/>
  <c r="B43"/>
  <c r="B44"/>
  <c r="B45"/>
  <c r="B46"/>
  <c r="B47"/>
  <c r="B48"/>
  <c r="B49"/>
  <c r="B50"/>
  <c r="B51"/>
  <c r="B52"/>
  <c r="E52"/>
  <c r="E51"/>
  <c r="E50"/>
  <c r="E49"/>
  <c r="E48"/>
  <c r="E47"/>
  <c r="E46"/>
  <c r="E45"/>
  <c r="E44"/>
  <c r="E43"/>
  <c r="E42"/>
  <c r="E41"/>
  <c r="E40"/>
  <c r="E39"/>
  <c r="E38"/>
  <c r="E37"/>
  <c r="E36"/>
  <c r="E35"/>
  <c r="E34"/>
  <c r="E33"/>
  <c r="E32"/>
  <c r="E31"/>
  <c r="E30"/>
  <c r="E29"/>
  <c r="E28"/>
  <c r="E27"/>
  <c r="E26"/>
  <c r="E25"/>
  <c r="E24"/>
  <c r="E23"/>
  <c r="E22"/>
  <c r="E21"/>
  <c r="E20"/>
  <c r="E19"/>
  <c r="E18"/>
  <c r="E17"/>
  <c r="E16"/>
  <c r="E15"/>
  <c r="E14"/>
  <c r="E13"/>
  <c r="E12"/>
  <c r="E11"/>
  <c r="E10"/>
  <c r="E9"/>
  <c r="E8"/>
  <c r="E7"/>
  <c r="E6"/>
  <c r="E5"/>
  <c r="E4"/>
  <c r="E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C3"/>
  <c r="A11" i="34" l="1"/>
  <c r="B8"/>
  <c r="B6"/>
  <c r="D20"/>
  <c r="D19"/>
  <c r="D18"/>
  <c r="D21" s="1"/>
  <c r="D24" s="1"/>
  <c r="C51" i="32" l="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C3"/>
  <c r="C2"/>
  <c r="A51"/>
  <c r="A50"/>
  <c r="A49"/>
  <c r="A48"/>
  <c r="A47"/>
  <c r="A46"/>
  <c r="A45"/>
  <c r="A44"/>
  <c r="A43"/>
  <c r="A42"/>
  <c r="A41"/>
  <c r="A40"/>
  <c r="A39"/>
  <c r="A38"/>
  <c r="A37"/>
  <c r="A36"/>
  <c r="A35"/>
  <c r="A34"/>
  <c r="A33"/>
  <c r="A32"/>
  <c r="A31"/>
  <c r="A30"/>
  <c r="A29"/>
  <c r="A28"/>
  <c r="A27"/>
  <c r="A26"/>
  <c r="A25"/>
  <c r="A24"/>
  <c r="A23"/>
  <c r="A22"/>
  <c r="A21"/>
  <c r="A20"/>
  <c r="A19"/>
  <c r="A18"/>
  <c r="A17"/>
  <c r="A16"/>
  <c r="A15"/>
  <c r="A14"/>
  <c r="A13"/>
  <c r="A12"/>
  <c r="A11"/>
  <c r="A10"/>
  <c r="A9"/>
  <c r="A8"/>
  <c r="A7"/>
  <c r="A6"/>
  <c r="A5"/>
  <c r="A4"/>
  <c r="A3"/>
  <c r="A2"/>
  <c r="AK63" i="1" l="1"/>
  <c r="AK59"/>
  <c r="AK58"/>
  <c r="AK26"/>
  <c r="AK25"/>
  <c r="AK24"/>
  <c r="AK23"/>
  <c r="AK22"/>
  <c r="AK21"/>
  <c r="AK20"/>
  <c r="AK19"/>
  <c r="D9" i="32" l="1"/>
  <c r="D6"/>
  <c r="D10"/>
  <c r="D45"/>
  <c r="D8"/>
  <c r="D13"/>
  <c r="D7"/>
  <c r="D11"/>
  <c r="D46"/>
  <c r="D12"/>
  <c r="D50"/>
  <c r="H2218" i="4"/>
  <c r="G2218"/>
  <c r="F2218"/>
  <c r="E2218"/>
  <c r="D2218"/>
  <c r="E2207"/>
  <c r="H2201"/>
  <c r="E2201"/>
  <c r="E2205"/>
  <c r="E2203"/>
  <c r="B2198"/>
  <c r="D2197"/>
  <c r="E2175"/>
  <c r="D2175"/>
  <c r="E2164"/>
  <c r="H2158"/>
  <c r="E2158"/>
  <c r="E2162"/>
  <c r="E2160"/>
  <c r="B2155"/>
  <c r="D2154"/>
  <c r="E2132"/>
  <c r="D2132"/>
  <c r="E2121"/>
  <c r="H2115"/>
  <c r="E2115"/>
  <c r="E2119"/>
  <c r="E2117"/>
  <c r="B2112"/>
  <c r="D2111"/>
  <c r="H2089"/>
  <c r="G2089"/>
  <c r="F2089"/>
  <c r="E2089"/>
  <c r="D2089"/>
  <c r="E2078"/>
  <c r="H2072"/>
  <c r="E2072"/>
  <c r="E2076"/>
  <c r="E2074"/>
  <c r="B2069"/>
  <c r="D2068"/>
  <c r="H2046"/>
  <c r="G2046"/>
  <c r="F2046"/>
  <c r="E2046"/>
  <c r="D2046"/>
  <c r="E2035"/>
  <c r="H2029"/>
  <c r="E2029"/>
  <c r="E2033"/>
  <c r="E2031"/>
  <c r="B2026"/>
  <c r="D2025"/>
  <c r="H2003"/>
  <c r="G2003"/>
  <c r="F2003"/>
  <c r="E2003"/>
  <c r="D2003"/>
  <c r="E1992"/>
  <c r="E1990"/>
  <c r="E1988"/>
  <c r="H1986"/>
  <c r="E1986"/>
  <c r="B1983"/>
  <c r="D1982"/>
  <c r="H1960"/>
  <c r="G1960"/>
  <c r="F1960"/>
  <c r="E1960"/>
  <c r="D1960"/>
  <c r="E1949"/>
  <c r="H1943"/>
  <c r="E1943"/>
  <c r="E1947"/>
  <c r="E1945"/>
  <c r="B1940"/>
  <c r="D1939"/>
  <c r="H1917"/>
  <c r="G1917"/>
  <c r="F1917"/>
  <c r="E1917"/>
  <c r="D1917"/>
  <c r="E1906"/>
  <c r="H1900"/>
  <c r="E1900"/>
  <c r="E1904"/>
  <c r="E1902"/>
  <c r="B1897"/>
  <c r="D1896"/>
  <c r="H1874"/>
  <c r="G1874"/>
  <c r="F1874"/>
  <c r="E1874"/>
  <c r="D1874"/>
  <c r="E1863"/>
  <c r="H1857"/>
  <c r="E1857"/>
  <c r="E1861"/>
  <c r="E1859"/>
  <c r="B1854"/>
  <c r="D1853"/>
  <c r="H1831"/>
  <c r="G1831"/>
  <c r="F1831"/>
  <c r="E1831"/>
  <c r="D1831"/>
  <c r="E1820"/>
  <c r="E1818"/>
  <c r="E1816"/>
  <c r="H1814"/>
  <c r="E1814"/>
  <c r="B1811"/>
  <c r="D1810"/>
  <c r="H1788"/>
  <c r="G1788"/>
  <c r="F1788"/>
  <c r="E1788"/>
  <c r="D1788"/>
  <c r="E1777"/>
  <c r="H1771"/>
  <c r="E1771"/>
  <c r="E1775"/>
  <c r="E1773"/>
  <c r="B1768"/>
  <c r="D1767"/>
  <c r="H1745"/>
  <c r="G1745"/>
  <c r="F1745"/>
  <c r="E1745"/>
  <c r="D1745"/>
  <c r="E1734"/>
  <c r="H1728"/>
  <c r="E1728"/>
  <c r="E1732"/>
  <c r="E1730"/>
  <c r="B1725"/>
  <c r="D1724"/>
  <c r="H1702"/>
  <c r="G1702"/>
  <c r="F1702"/>
  <c r="E1702"/>
  <c r="D1702"/>
  <c r="E1691"/>
  <c r="H1685"/>
  <c r="E1685"/>
  <c r="E1689"/>
  <c r="E1687"/>
  <c r="B1682"/>
  <c r="D1681"/>
  <c r="H1659"/>
  <c r="G1659"/>
  <c r="F1659"/>
  <c r="E1659"/>
  <c r="D1659"/>
  <c r="E1648"/>
  <c r="H1642"/>
  <c r="E1642"/>
  <c r="E1646"/>
  <c r="E1644"/>
  <c r="B1639"/>
  <c r="D1638"/>
  <c r="H1616"/>
  <c r="G1616"/>
  <c r="F1616"/>
  <c r="E1616"/>
  <c r="D1616"/>
  <c r="E1605"/>
  <c r="H1599"/>
  <c r="E1599"/>
  <c r="E1603"/>
  <c r="E1601"/>
  <c r="B1596"/>
  <c r="D1595"/>
  <c r="H1573"/>
  <c r="G1573"/>
  <c r="F1573"/>
  <c r="E1573"/>
  <c r="D1573"/>
  <c r="E1562"/>
  <c r="H1556"/>
  <c r="E1556"/>
  <c r="E1560"/>
  <c r="E1558"/>
  <c r="B1553"/>
  <c r="D1552"/>
  <c r="H1530"/>
  <c r="G1530"/>
  <c r="F1530"/>
  <c r="E1530"/>
  <c r="D1530"/>
  <c r="E1519"/>
  <c r="H1513"/>
  <c r="E1513"/>
  <c r="E1517"/>
  <c r="E1515"/>
  <c r="B1510"/>
  <c r="D1509"/>
  <c r="H1487"/>
  <c r="G1487"/>
  <c r="F1487"/>
  <c r="E1487"/>
  <c r="D1487"/>
  <c r="E1476"/>
  <c r="H1470"/>
  <c r="E1470"/>
  <c r="E1474"/>
  <c r="E1472"/>
  <c r="B1467"/>
  <c r="D1466"/>
  <c r="H1444"/>
  <c r="G1444"/>
  <c r="F1444"/>
  <c r="E1444"/>
  <c r="D1444"/>
  <c r="E1433"/>
  <c r="H1427"/>
  <c r="E1427"/>
  <c r="E1431"/>
  <c r="E1429"/>
  <c r="B1424"/>
  <c r="D1423"/>
  <c r="H1401"/>
  <c r="G1401"/>
  <c r="F1401"/>
  <c r="E1401"/>
  <c r="D1401"/>
  <c r="E1390"/>
  <c r="H1384"/>
  <c r="E1384"/>
  <c r="E1388"/>
  <c r="E1386"/>
  <c r="B1381"/>
  <c r="D1380"/>
  <c r="H1358"/>
  <c r="G1358"/>
  <c r="F1358"/>
  <c r="E1358"/>
  <c r="D1358"/>
  <c r="E1347"/>
  <c r="H1341"/>
  <c r="E1341"/>
  <c r="E1345"/>
  <c r="E1343"/>
  <c r="B1338"/>
  <c r="D1337"/>
  <c r="H1315"/>
  <c r="G1315"/>
  <c r="F1315"/>
  <c r="E1315"/>
  <c r="D1315"/>
  <c r="E1304"/>
  <c r="H1298"/>
  <c r="E1298"/>
  <c r="E1302"/>
  <c r="E1300"/>
  <c r="B1295"/>
  <c r="D1294"/>
  <c r="H1272"/>
  <c r="G1272"/>
  <c r="F1272"/>
  <c r="E1272"/>
  <c r="D1272"/>
  <c r="E1261"/>
  <c r="E1259"/>
  <c r="E1257"/>
  <c r="H1255"/>
  <c r="E1255"/>
  <c r="B1252"/>
  <c r="D1251"/>
  <c r="H1229"/>
  <c r="G1229"/>
  <c r="F1229"/>
  <c r="E1229"/>
  <c r="D1229"/>
  <c r="E1218"/>
  <c r="H1212"/>
  <c r="E1212"/>
  <c r="E1216"/>
  <c r="E1214"/>
  <c r="B1209"/>
  <c r="D1208"/>
  <c r="H1186"/>
  <c r="G1186"/>
  <c r="F1186"/>
  <c r="E1186"/>
  <c r="D1186"/>
  <c r="E1171"/>
  <c r="E1175"/>
  <c r="E1173"/>
  <c r="H1169"/>
  <c r="E1169"/>
  <c r="B1166"/>
  <c r="D1165"/>
  <c r="H1143"/>
  <c r="G1143"/>
  <c r="F1143"/>
  <c r="E1143"/>
  <c r="D1143"/>
  <c r="E1132"/>
  <c r="H1126"/>
  <c r="E1126"/>
  <c r="E1130"/>
  <c r="E1128"/>
  <c r="B1123"/>
  <c r="D1122"/>
  <c r="H1100"/>
  <c r="G1100"/>
  <c r="F1100"/>
  <c r="E1100"/>
  <c r="D1100"/>
  <c r="E1089"/>
  <c r="H1083"/>
  <c r="E1083"/>
  <c r="E1087"/>
  <c r="E1085"/>
  <c r="B1080"/>
  <c r="D1079"/>
  <c r="H1057"/>
  <c r="G1057"/>
  <c r="F1057"/>
  <c r="E1057"/>
  <c r="D1057"/>
  <c r="E1046"/>
  <c r="H1040"/>
  <c r="E1040"/>
  <c r="E1044"/>
  <c r="E1042"/>
  <c r="B1037"/>
  <c r="D1036"/>
  <c r="H1014"/>
  <c r="G1014"/>
  <c r="F1014"/>
  <c r="E1014"/>
  <c r="D1014"/>
  <c r="E1003"/>
  <c r="H997"/>
  <c r="E997"/>
  <c r="E1001"/>
  <c r="E999"/>
  <c r="B994"/>
  <c r="D993"/>
  <c r="H971"/>
  <c r="G971"/>
  <c r="F971"/>
  <c r="E971"/>
  <c r="D971"/>
  <c r="E960"/>
  <c r="E958"/>
  <c r="E956"/>
  <c r="H954"/>
  <c r="E954"/>
  <c r="B951"/>
  <c r="D950"/>
  <c r="H928"/>
  <c r="G928"/>
  <c r="F928"/>
  <c r="E928"/>
  <c r="D928"/>
  <c r="E917"/>
  <c r="E915"/>
  <c r="E913"/>
  <c r="H911"/>
  <c r="E911"/>
  <c r="B908"/>
  <c r="D907"/>
  <c r="H885"/>
  <c r="G885"/>
  <c r="F885"/>
  <c r="E885"/>
  <c r="D885"/>
  <c r="E874"/>
  <c r="E872"/>
  <c r="E870"/>
  <c r="H868"/>
  <c r="E868"/>
  <c r="B865"/>
  <c r="D864"/>
  <c r="H842"/>
  <c r="G842"/>
  <c r="F842"/>
  <c r="E842"/>
  <c r="D842"/>
  <c r="E831"/>
  <c r="E829"/>
  <c r="E827"/>
  <c r="H825"/>
  <c r="E825"/>
  <c r="B822"/>
  <c r="D821"/>
  <c r="H799"/>
  <c r="G799"/>
  <c r="F799"/>
  <c r="E799"/>
  <c r="D799"/>
  <c r="E788"/>
  <c r="E786"/>
  <c r="E784"/>
  <c r="H782"/>
  <c r="E782"/>
  <c r="B779"/>
  <c r="D778"/>
  <c r="H756"/>
  <c r="G756"/>
  <c r="F756"/>
  <c r="E756"/>
  <c r="D756"/>
  <c r="E745"/>
  <c r="E743"/>
  <c r="E741"/>
  <c r="H739"/>
  <c r="E739"/>
  <c r="B736"/>
  <c r="D735"/>
  <c r="H713"/>
  <c r="G713"/>
  <c r="F713"/>
  <c r="E713"/>
  <c r="D713"/>
  <c r="E702"/>
  <c r="E700"/>
  <c r="E698"/>
  <c r="H696"/>
  <c r="E696"/>
  <c r="B693"/>
  <c r="D692"/>
  <c r="H670"/>
  <c r="G670"/>
  <c r="F670"/>
  <c r="E670"/>
  <c r="D670"/>
  <c r="E659"/>
  <c r="E657"/>
  <c r="H653"/>
  <c r="E653"/>
  <c r="E655" l="1"/>
  <c r="B650"/>
  <c r="D649"/>
  <c r="H627"/>
  <c r="G627"/>
  <c r="F627"/>
  <c r="E627"/>
  <c r="D627"/>
  <c r="E616"/>
  <c r="E614"/>
  <c r="E612"/>
  <c r="H610"/>
  <c r="E610"/>
  <c r="B607"/>
  <c r="D606"/>
  <c r="H584"/>
  <c r="G584"/>
  <c r="F584"/>
  <c r="E584"/>
  <c r="D584"/>
  <c r="E573"/>
  <c r="E571"/>
  <c r="E569"/>
  <c r="H567"/>
  <c r="E567"/>
  <c r="B564"/>
  <c r="D563"/>
  <c r="G541"/>
  <c r="H541"/>
  <c r="F541"/>
  <c r="E541"/>
  <c r="D541"/>
  <c r="E530"/>
  <c r="H524"/>
  <c r="E524"/>
  <c r="E528"/>
  <c r="E526"/>
  <c r="B521"/>
  <c r="D520"/>
  <c r="H498"/>
  <c r="G498"/>
  <c r="F498"/>
  <c r="E498"/>
  <c r="D498"/>
  <c r="E487"/>
  <c r="E485"/>
  <c r="E483"/>
  <c r="H481"/>
  <c r="E481"/>
  <c r="B478"/>
  <c r="D477"/>
  <c r="H455"/>
  <c r="G455"/>
  <c r="F455"/>
  <c r="E455"/>
  <c r="D455"/>
  <c r="E444"/>
  <c r="E442"/>
  <c r="E440"/>
  <c r="H438"/>
  <c r="E438"/>
  <c r="B435"/>
  <c r="D434"/>
  <c r="H412"/>
  <c r="G412"/>
  <c r="F412"/>
  <c r="E412"/>
  <c r="D412"/>
  <c r="E401"/>
  <c r="E399"/>
  <c r="E397"/>
  <c r="H395"/>
  <c r="E395"/>
  <c r="B392"/>
  <c r="D391"/>
  <c r="H369"/>
  <c r="G369"/>
  <c r="F369"/>
  <c r="E369"/>
  <c r="D369"/>
  <c r="E358"/>
  <c r="E356"/>
  <c r="E354"/>
  <c r="H352"/>
  <c r="E352"/>
  <c r="B349"/>
  <c r="D348"/>
  <c r="H326"/>
  <c r="G326"/>
  <c r="F326"/>
  <c r="E326"/>
  <c r="D326"/>
  <c r="E315"/>
  <c r="E313"/>
  <c r="E311"/>
  <c r="H309"/>
  <c r="E309"/>
  <c r="B306"/>
  <c r="D305"/>
  <c r="H283"/>
  <c r="G283"/>
  <c r="F283"/>
  <c r="E283"/>
  <c r="D283"/>
  <c r="E272"/>
  <c r="E270"/>
  <c r="E268"/>
  <c r="H266"/>
  <c r="E266"/>
  <c r="B263"/>
  <c r="D262"/>
  <c r="H240"/>
  <c r="G240"/>
  <c r="F240"/>
  <c r="E240"/>
  <c r="D240"/>
  <c r="E229"/>
  <c r="E227"/>
  <c r="E225"/>
  <c r="H223"/>
  <c r="E223"/>
  <c r="B220"/>
  <c r="D219"/>
  <c r="H197"/>
  <c r="G197"/>
  <c r="F197"/>
  <c r="E197"/>
  <c r="D197"/>
  <c r="E186"/>
  <c r="E184"/>
  <c r="E182"/>
  <c r="H180"/>
  <c r="E180"/>
  <c r="B177"/>
  <c r="D176"/>
  <c r="H154"/>
  <c r="G154"/>
  <c r="F154"/>
  <c r="E154"/>
  <c r="D154"/>
  <c r="E143"/>
  <c r="E141"/>
  <c r="E139"/>
  <c r="H137"/>
  <c r="E137"/>
  <c r="B134"/>
  <c r="D133"/>
  <c r="H111"/>
  <c r="G111"/>
  <c r="F111"/>
  <c r="E111"/>
  <c r="D111"/>
  <c r="E100"/>
  <c r="E98"/>
  <c r="E96"/>
  <c r="H94"/>
  <c r="E94"/>
  <c r="B91"/>
  <c r="D90"/>
  <c r="Q58" i="12"/>
  <c r="Q57"/>
  <c r="Q56"/>
  <c r="Q55"/>
  <c r="Q54"/>
  <c r="Q53"/>
  <c r="Q52"/>
  <c r="Q51"/>
  <c r="Q50"/>
  <c r="Q49"/>
  <c r="Q48"/>
  <c r="Q47"/>
  <c r="Q46"/>
  <c r="Q45"/>
  <c r="Q44"/>
  <c r="Q43"/>
  <c r="Q42"/>
  <c r="Q41"/>
  <c r="Q40"/>
  <c r="Q39"/>
  <c r="Q38"/>
  <c r="Q37"/>
  <c r="Q36"/>
  <c r="Q35"/>
  <c r="Q34"/>
  <c r="Q33"/>
  <c r="Q32"/>
  <c r="Q31"/>
  <c r="Q30"/>
  <c r="Q29"/>
  <c r="Q28"/>
  <c r="Q27"/>
  <c r="Q26"/>
  <c r="Q25"/>
  <c r="Q24"/>
  <c r="Q23"/>
  <c r="Q22"/>
  <c r="Q21"/>
  <c r="Q20"/>
  <c r="Q19"/>
  <c r="Q18"/>
  <c r="Q17"/>
  <c r="Q16"/>
  <c r="Q15"/>
  <c r="Q14"/>
  <c r="Q13"/>
  <c r="Q12"/>
  <c r="Q11"/>
  <c r="Q10"/>
  <c r="Q9"/>
  <c r="P58"/>
  <c r="P57"/>
  <c r="P56"/>
  <c r="P55"/>
  <c r="P54"/>
  <c r="P53"/>
  <c r="P52"/>
  <c r="P51"/>
  <c r="P50"/>
  <c r="P49"/>
  <c r="P48"/>
  <c r="P47"/>
  <c r="P46"/>
  <c r="P45"/>
  <c r="P44"/>
  <c r="P43"/>
  <c r="P42"/>
  <c r="P41"/>
  <c r="P40"/>
  <c r="P39"/>
  <c r="P38"/>
  <c r="P37"/>
  <c r="P36"/>
  <c r="P35"/>
  <c r="P34"/>
  <c r="P33"/>
  <c r="P32"/>
  <c r="P31"/>
  <c r="P30"/>
  <c r="P29"/>
  <c r="P28"/>
  <c r="P27"/>
  <c r="P26"/>
  <c r="P25"/>
  <c r="P24"/>
  <c r="P23"/>
  <c r="P22"/>
  <c r="P21"/>
  <c r="P20"/>
  <c r="P19"/>
  <c r="P18"/>
  <c r="P17"/>
  <c r="P16"/>
  <c r="P15"/>
  <c r="P14"/>
  <c r="P13"/>
  <c r="P12"/>
  <c r="P11"/>
  <c r="P10"/>
  <c r="O58"/>
  <c r="O57"/>
  <c r="O56"/>
  <c r="O55"/>
  <c r="O54"/>
  <c r="O53"/>
  <c r="O52"/>
  <c r="O51"/>
  <c r="O50"/>
  <c r="O49"/>
  <c r="O48"/>
  <c r="O47"/>
  <c r="O46"/>
  <c r="O45"/>
  <c r="O44"/>
  <c r="O43"/>
  <c r="O42"/>
  <c r="O41"/>
  <c r="O40"/>
  <c r="O39"/>
  <c r="O38"/>
  <c r="O37"/>
  <c r="O36"/>
  <c r="O35"/>
  <c r="O34"/>
  <c r="O33"/>
  <c r="O32"/>
  <c r="O31"/>
  <c r="O30"/>
  <c r="O29"/>
  <c r="O28"/>
  <c r="O27"/>
  <c r="O26"/>
  <c r="O25"/>
  <c r="O24"/>
  <c r="O23"/>
  <c r="O22"/>
  <c r="O21"/>
  <c r="O20"/>
  <c r="O19"/>
  <c r="O18"/>
  <c r="O17"/>
  <c r="O16"/>
  <c r="O15"/>
  <c r="O14"/>
  <c r="O13"/>
  <c r="O12"/>
  <c r="O11"/>
  <c r="O10"/>
  <c r="M58"/>
  <c r="N58" s="1"/>
  <c r="M57"/>
  <c r="N57" s="1"/>
  <c r="M56"/>
  <c r="N56" s="1"/>
  <c r="M55"/>
  <c r="N55" s="1"/>
  <c r="M54"/>
  <c r="N54" s="1"/>
  <c r="M53"/>
  <c r="N53" s="1"/>
  <c r="M52"/>
  <c r="N52" s="1"/>
  <c r="M51"/>
  <c r="N51" s="1"/>
  <c r="M50"/>
  <c r="N50" s="1"/>
  <c r="M49"/>
  <c r="N49" s="1"/>
  <c r="M48"/>
  <c r="N48" s="1"/>
  <c r="M47"/>
  <c r="N47" s="1"/>
  <c r="M46"/>
  <c r="N46" s="1"/>
  <c r="M45"/>
  <c r="N45" s="1"/>
  <c r="M44"/>
  <c r="N44" s="1"/>
  <c r="M43"/>
  <c r="N43" s="1"/>
  <c r="M42"/>
  <c r="N42" s="1"/>
  <c r="M41"/>
  <c r="N41" s="1"/>
  <c r="M40"/>
  <c r="N40" s="1"/>
  <c r="M39"/>
  <c r="N39" s="1"/>
  <c r="M38"/>
  <c r="N38" s="1"/>
  <c r="M37"/>
  <c r="N37" s="1"/>
  <c r="M36"/>
  <c r="N36" s="1"/>
  <c r="M35"/>
  <c r="N35" s="1"/>
  <c r="M34"/>
  <c r="N34" s="1"/>
  <c r="M33"/>
  <c r="N33" s="1"/>
  <c r="M32"/>
  <c r="N32" s="1"/>
  <c r="M31"/>
  <c r="N31" s="1"/>
  <c r="M30"/>
  <c r="N30" s="1"/>
  <c r="M29"/>
  <c r="N29" s="1"/>
  <c r="M28"/>
  <c r="N28" s="1"/>
  <c r="M27"/>
  <c r="N27" s="1"/>
  <c r="M26"/>
  <c r="N26" s="1"/>
  <c r="M25"/>
  <c r="N25" s="1"/>
  <c r="M24"/>
  <c r="N24" s="1"/>
  <c r="M23"/>
  <c r="N23" s="1"/>
  <c r="M22"/>
  <c r="N22" s="1"/>
  <c r="M21"/>
  <c r="N21" s="1"/>
  <c r="M20"/>
  <c r="N20" s="1"/>
  <c r="M19"/>
  <c r="N19" s="1"/>
  <c r="M18"/>
  <c r="N18" s="1"/>
  <c r="M17"/>
  <c r="N17" s="1"/>
  <c r="M16"/>
  <c r="N16" s="1"/>
  <c r="M15"/>
  <c r="N15" s="1"/>
  <c r="M14"/>
  <c r="N14" s="1"/>
  <c r="M13"/>
  <c r="N13" s="1"/>
  <c r="M12"/>
  <c r="N12" s="1"/>
  <c r="M11"/>
  <c r="N11" s="1"/>
  <c r="M10"/>
  <c r="N10" s="1"/>
  <c r="G58"/>
  <c r="G57"/>
  <c r="G56"/>
  <c r="G55"/>
  <c r="G54"/>
  <c r="G53"/>
  <c r="G52"/>
  <c r="G51"/>
  <c r="G50"/>
  <c r="G49"/>
  <c r="G48"/>
  <c r="G47"/>
  <c r="G46"/>
  <c r="G45"/>
  <c r="G44"/>
  <c r="G43"/>
  <c r="G42"/>
  <c r="G41"/>
  <c r="G40"/>
  <c r="G39"/>
  <c r="G38"/>
  <c r="G37"/>
  <c r="G36"/>
  <c r="G35"/>
  <c r="G34"/>
  <c r="G33"/>
  <c r="G32"/>
  <c r="G31"/>
  <c r="G30"/>
  <c r="G29"/>
  <c r="G28"/>
  <c r="G27"/>
  <c r="G26"/>
  <c r="G25"/>
  <c r="G24"/>
  <c r="G23"/>
  <c r="G22"/>
  <c r="G21"/>
  <c r="G20"/>
  <c r="G19"/>
  <c r="G18"/>
  <c r="G17"/>
  <c r="G16"/>
  <c r="G15"/>
  <c r="G14"/>
  <c r="G13"/>
  <c r="G12"/>
  <c r="G11"/>
  <c r="G10"/>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15"/>
  <c r="F14"/>
  <c r="F13"/>
  <c r="F12"/>
  <c r="F11"/>
  <c r="F10"/>
  <c r="E58"/>
  <c r="E57"/>
  <c r="E56"/>
  <c r="E55"/>
  <c r="E54"/>
  <c r="E53"/>
  <c r="E52"/>
  <c r="E51"/>
  <c r="E50"/>
  <c r="E49"/>
  <c r="E48"/>
  <c r="E47"/>
  <c r="E46"/>
  <c r="E45"/>
  <c r="E44"/>
  <c r="E43"/>
  <c r="E42"/>
  <c r="E41"/>
  <c r="E40"/>
  <c r="E39"/>
  <c r="E38"/>
  <c r="E37"/>
  <c r="E36"/>
  <c r="E35"/>
  <c r="E34"/>
  <c r="E33"/>
  <c r="E32"/>
  <c r="E31"/>
  <c r="E30"/>
  <c r="E29"/>
  <c r="E28"/>
  <c r="E27"/>
  <c r="E26"/>
  <c r="E25"/>
  <c r="E24"/>
  <c r="E23"/>
  <c r="E22"/>
  <c r="E21"/>
  <c r="E20"/>
  <c r="E19"/>
  <c r="E18"/>
  <c r="E17"/>
  <c r="E16"/>
  <c r="E15"/>
  <c r="E14"/>
  <c r="E13"/>
  <c r="E12"/>
  <c r="E11"/>
  <c r="E10"/>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B58"/>
  <c r="B57"/>
  <c r="B56"/>
  <c r="B55"/>
  <c r="B54"/>
  <c r="B53"/>
  <c r="B52"/>
  <c r="B51"/>
  <c r="B50"/>
  <c r="B49"/>
  <c r="B48"/>
  <c r="B47"/>
  <c r="B46"/>
  <c r="B45"/>
  <c r="B44"/>
  <c r="B43"/>
  <c r="B42"/>
  <c r="B41"/>
  <c r="B40"/>
  <c r="B39"/>
  <c r="B38"/>
  <c r="B37"/>
  <c r="B36"/>
  <c r="B35"/>
  <c r="B34"/>
  <c r="B33"/>
  <c r="B32"/>
  <c r="B31"/>
  <c r="B30"/>
  <c r="B29"/>
  <c r="B28"/>
  <c r="B27"/>
  <c r="B26"/>
  <c r="B25"/>
  <c r="B24"/>
  <c r="B23"/>
  <c r="B22"/>
  <c r="B21"/>
  <c r="B20"/>
  <c r="B19"/>
  <c r="B18"/>
  <c r="B17"/>
  <c r="B16"/>
  <c r="B15"/>
  <c r="B14"/>
  <c r="B13"/>
  <c r="B12"/>
  <c r="B11"/>
  <c r="B10"/>
  <c r="K15" i="3"/>
  <c r="L2433" i="10"/>
  <c r="K2433"/>
  <c r="I2433"/>
  <c r="G2433"/>
  <c r="E2433"/>
  <c r="H2428"/>
  <c r="H2425"/>
  <c r="H2424"/>
  <c r="H2423"/>
  <c r="H2422"/>
  <c r="H2421"/>
  <c r="H2419"/>
  <c r="H2418"/>
  <c r="H2417"/>
  <c r="H2416"/>
  <c r="H2420"/>
  <c r="H2415"/>
  <c r="H2413"/>
  <c r="H2411"/>
  <c r="H2426"/>
  <c r="B2412"/>
  <c r="B2405"/>
  <c r="B2403"/>
  <c r="L2386"/>
  <c r="K2386"/>
  <c r="I2386"/>
  <c r="G2386"/>
  <c r="E2386"/>
  <c r="H2381"/>
  <c r="H2378"/>
  <c r="H2377"/>
  <c r="H2376"/>
  <c r="H2375"/>
  <c r="H2374"/>
  <c r="H2373"/>
  <c r="H2372"/>
  <c r="H2371"/>
  <c r="H2370"/>
  <c r="H2369"/>
  <c r="H2368"/>
  <c r="H2366"/>
  <c r="H2364"/>
  <c r="H2379"/>
  <c r="B2365"/>
  <c r="B2358"/>
  <c r="B2356"/>
  <c r="L2339"/>
  <c r="K2339"/>
  <c r="I2339"/>
  <c r="G2339"/>
  <c r="E2339"/>
  <c r="H2334"/>
  <c r="H2331"/>
  <c r="H2330"/>
  <c r="H2329"/>
  <c r="H2328"/>
  <c r="H2327"/>
  <c r="H2325"/>
  <c r="H2324"/>
  <c r="H2323"/>
  <c r="H2322"/>
  <c r="H2326"/>
  <c r="H2321"/>
  <c r="H2319"/>
  <c r="H2317"/>
  <c r="H2332"/>
  <c r="B2318"/>
  <c r="B2311"/>
  <c r="B2309"/>
  <c r="L2292"/>
  <c r="K2292"/>
  <c r="I2292"/>
  <c r="G2292"/>
  <c r="E2292"/>
  <c r="H2287"/>
  <c r="H2285"/>
  <c r="H2284"/>
  <c r="H2283"/>
  <c r="H2282"/>
  <c r="H2281"/>
  <c r="H2280"/>
  <c r="H2279"/>
  <c r="H2278"/>
  <c r="H2277"/>
  <c r="H2276"/>
  <c r="H2275"/>
  <c r="H2274"/>
  <c r="H2272"/>
  <c r="H2270"/>
  <c r="B2271"/>
  <c r="B2264"/>
  <c r="B2262"/>
  <c r="L2245"/>
  <c r="K2245"/>
  <c r="I2245"/>
  <c r="G2245"/>
  <c r="E2245"/>
  <c r="H2240"/>
  <c r="H2237"/>
  <c r="H2236"/>
  <c r="H2235"/>
  <c r="H2234"/>
  <c r="H2233"/>
  <c r="H2232"/>
  <c r="H2231"/>
  <c r="H2230"/>
  <c r="H2229"/>
  <c r="H2228"/>
  <c r="H2227"/>
  <c r="H2225"/>
  <c r="H2223"/>
  <c r="H2238"/>
  <c r="B2224"/>
  <c r="B2217"/>
  <c r="B2215"/>
  <c r="L2198"/>
  <c r="K2198"/>
  <c r="I2198"/>
  <c r="G2198"/>
  <c r="E2198"/>
  <c r="H2193"/>
  <c r="H2190"/>
  <c r="H2189"/>
  <c r="H2188"/>
  <c r="H2187"/>
  <c r="H2186"/>
  <c r="H2185"/>
  <c r="H2184"/>
  <c r="H2183"/>
  <c r="H2182"/>
  <c r="H2181"/>
  <c r="H2180"/>
  <c r="H2178"/>
  <c r="H2176"/>
  <c r="H2191"/>
  <c r="B2177"/>
  <c r="B2170"/>
  <c r="B2168"/>
  <c r="Y61" i="3"/>
  <c r="Y60"/>
  <c r="Y59"/>
  <c r="Y58"/>
  <c r="Y57"/>
  <c r="Y56"/>
  <c r="Y55"/>
  <c r="Y54"/>
  <c r="Y53"/>
  <c r="Y52"/>
  <c r="Y51"/>
  <c r="Y50"/>
  <c r="Y49"/>
  <c r="Y48"/>
  <c r="Y47"/>
  <c r="Y46"/>
  <c r="Y45"/>
  <c r="Y44"/>
  <c r="Y43"/>
  <c r="Y42"/>
  <c r="Y41"/>
  <c r="Y40"/>
  <c r="Y39"/>
  <c r="Y38"/>
  <c r="Y37"/>
  <c r="Y36"/>
  <c r="Y35"/>
  <c r="Y34"/>
  <c r="Y33"/>
  <c r="Y32"/>
  <c r="Y31"/>
  <c r="Y30"/>
  <c r="Y29"/>
  <c r="Y28"/>
  <c r="Y27"/>
  <c r="Y26"/>
  <c r="Y25"/>
  <c r="Y24"/>
  <c r="Y23"/>
  <c r="Y22"/>
  <c r="Y21"/>
  <c r="Y20"/>
  <c r="Y19"/>
  <c r="Y18"/>
  <c r="Y17"/>
  <c r="Y16"/>
  <c r="Y15"/>
  <c r="Y14"/>
  <c r="Y13"/>
  <c r="X61"/>
  <c r="X60"/>
  <c r="X59"/>
  <c r="X58"/>
  <c r="X57"/>
  <c r="X56"/>
  <c r="X55"/>
  <c r="X54"/>
  <c r="X53"/>
  <c r="X52"/>
  <c r="X51"/>
  <c r="X50"/>
  <c r="X49"/>
  <c r="X48"/>
  <c r="X47"/>
  <c r="X46"/>
  <c r="X45"/>
  <c r="X44"/>
  <c r="X43"/>
  <c r="X42"/>
  <c r="X41"/>
  <c r="X40"/>
  <c r="X39"/>
  <c r="X38"/>
  <c r="X37"/>
  <c r="X36"/>
  <c r="X35"/>
  <c r="X34"/>
  <c r="X33"/>
  <c r="X32"/>
  <c r="X31"/>
  <c r="X30"/>
  <c r="X29"/>
  <c r="X28"/>
  <c r="X27"/>
  <c r="X26"/>
  <c r="X25"/>
  <c r="X24"/>
  <c r="X23"/>
  <c r="X22"/>
  <c r="X21"/>
  <c r="X20"/>
  <c r="X19"/>
  <c r="X18"/>
  <c r="X17"/>
  <c r="X16"/>
  <c r="X15"/>
  <c r="X14"/>
  <c r="X13"/>
  <c r="W61"/>
  <c r="W60"/>
  <c r="W59"/>
  <c r="W58"/>
  <c r="W57"/>
  <c r="W56"/>
  <c r="W55"/>
  <c r="W54"/>
  <c r="W53"/>
  <c r="W52"/>
  <c r="W51"/>
  <c r="W50"/>
  <c r="W49"/>
  <c r="W48"/>
  <c r="W47"/>
  <c r="W46"/>
  <c r="W45"/>
  <c r="W44"/>
  <c r="W43"/>
  <c r="W42"/>
  <c r="W41"/>
  <c r="W40"/>
  <c r="W39"/>
  <c r="W38"/>
  <c r="W37"/>
  <c r="W36"/>
  <c r="W35"/>
  <c r="W34"/>
  <c r="W33"/>
  <c r="W32"/>
  <c r="W31"/>
  <c r="W30"/>
  <c r="W29"/>
  <c r="W28"/>
  <c r="W27"/>
  <c r="W26"/>
  <c r="W25"/>
  <c r="W24"/>
  <c r="W23"/>
  <c r="W22"/>
  <c r="W21"/>
  <c r="W20"/>
  <c r="W19"/>
  <c r="W18"/>
  <c r="W17"/>
  <c r="W16"/>
  <c r="W15"/>
  <c r="W14"/>
  <c r="W13"/>
  <c r="L2151" i="10"/>
  <c r="K2151"/>
  <c r="I2151"/>
  <c r="G2151"/>
  <c r="E2151"/>
  <c r="H2146"/>
  <c r="H2143"/>
  <c r="H2142"/>
  <c r="H2141"/>
  <c r="H2140"/>
  <c r="H2139"/>
  <c r="H2136"/>
  <c r="H2135"/>
  <c r="H2134"/>
  <c r="H2138"/>
  <c r="H2133"/>
  <c r="H2131"/>
  <c r="H2129"/>
  <c r="H2144"/>
  <c r="B2130"/>
  <c r="B2123"/>
  <c r="B2121"/>
  <c r="L2104"/>
  <c r="K2104"/>
  <c r="I2104"/>
  <c r="G2104"/>
  <c r="E2104"/>
  <c r="H2099"/>
  <c r="H2097"/>
  <c r="H2096"/>
  <c r="H2095"/>
  <c r="H2094"/>
  <c r="H2093"/>
  <c r="H2092"/>
  <c r="H2089"/>
  <c r="H2088"/>
  <c r="H2087"/>
  <c r="H2091"/>
  <c r="H2086"/>
  <c r="H2084"/>
  <c r="H2082"/>
  <c r="B2083"/>
  <c r="B2076"/>
  <c r="B2074"/>
  <c r="L2057"/>
  <c r="K2057"/>
  <c r="I2057"/>
  <c r="G2057"/>
  <c r="E2057"/>
  <c r="H2052"/>
  <c r="H2050"/>
  <c r="H2049"/>
  <c r="H2048"/>
  <c r="H2047"/>
  <c r="H2046"/>
  <c r="H2045"/>
  <c r="H2042"/>
  <c r="H2041"/>
  <c r="H2040"/>
  <c r="H2044"/>
  <c r="H2039"/>
  <c r="H2037"/>
  <c r="H2035"/>
  <c r="B2036"/>
  <c r="B2029"/>
  <c r="B2027"/>
  <c r="L2010"/>
  <c r="K2010"/>
  <c r="I2010"/>
  <c r="G2010"/>
  <c r="E2010"/>
  <c r="H2005"/>
  <c r="H2003"/>
  <c r="H2002"/>
  <c r="H2001"/>
  <c r="H2000"/>
  <c r="H1999"/>
  <c r="H1998"/>
  <c r="H1995"/>
  <c r="H1994"/>
  <c r="H1993"/>
  <c r="H1997"/>
  <c r="H1992"/>
  <c r="H1990"/>
  <c r="H1988"/>
  <c r="B1989"/>
  <c r="B1982"/>
  <c r="B1980"/>
  <c r="L1963"/>
  <c r="K1963"/>
  <c r="I1963"/>
  <c r="G1963"/>
  <c r="E1963"/>
  <c r="H1958"/>
  <c r="H1956"/>
  <c r="H1955"/>
  <c r="H1954"/>
  <c r="H1953"/>
  <c r="H1952"/>
  <c r="H1951"/>
  <c r="H1948"/>
  <c r="H1947"/>
  <c r="H1946"/>
  <c r="H1950"/>
  <c r="H1945"/>
  <c r="H1943"/>
  <c r="H1941"/>
  <c r="B1942"/>
  <c r="B1935"/>
  <c r="B1933"/>
  <c r="L1916"/>
  <c r="K1916"/>
  <c r="I1916"/>
  <c r="G1916"/>
  <c r="E1916"/>
  <c r="H1911"/>
  <c r="H1909"/>
  <c r="H1908"/>
  <c r="H1907"/>
  <c r="H1906"/>
  <c r="H1905"/>
  <c r="H1904"/>
  <c r="H1901"/>
  <c r="H1900"/>
  <c r="H1899"/>
  <c r="H1903"/>
  <c r="H1898"/>
  <c r="H1896"/>
  <c r="H1894"/>
  <c r="B1895"/>
  <c r="B1888"/>
  <c r="B1886"/>
  <c r="L1869"/>
  <c r="K1869"/>
  <c r="I1869"/>
  <c r="G1869"/>
  <c r="E1869"/>
  <c r="H1864"/>
  <c r="H1862"/>
  <c r="H1861"/>
  <c r="H1860"/>
  <c r="H1859"/>
  <c r="H1858"/>
  <c r="H1857"/>
  <c r="H1854"/>
  <c r="H1853"/>
  <c r="H1852"/>
  <c r="H1856"/>
  <c r="H1851"/>
  <c r="H1849"/>
  <c r="H1847"/>
  <c r="B1848"/>
  <c r="B1841"/>
  <c r="B1839"/>
  <c r="L1822"/>
  <c r="K1822"/>
  <c r="I1822"/>
  <c r="G1822"/>
  <c r="E1822"/>
  <c r="H1817"/>
  <c r="H1815"/>
  <c r="H1814"/>
  <c r="H1813"/>
  <c r="H1812"/>
  <c r="H1811"/>
  <c r="H1810"/>
  <c r="H1807"/>
  <c r="H1806"/>
  <c r="H1805"/>
  <c r="H1809"/>
  <c r="H1804"/>
  <c r="H1802"/>
  <c r="H1800"/>
  <c r="B1801"/>
  <c r="B1794"/>
  <c r="B1792"/>
  <c r="L1775"/>
  <c r="K1775"/>
  <c r="I1775"/>
  <c r="G1775"/>
  <c r="E1775"/>
  <c r="H1770"/>
  <c r="H1768"/>
  <c r="H1767"/>
  <c r="H1766"/>
  <c r="H1765"/>
  <c r="H1764"/>
  <c r="H1763"/>
  <c r="H1760"/>
  <c r="H1759"/>
  <c r="H1758"/>
  <c r="H1762"/>
  <c r="H1757"/>
  <c r="H1755"/>
  <c r="H1753"/>
  <c r="B1754"/>
  <c r="B1747"/>
  <c r="B1745"/>
  <c r="L1728"/>
  <c r="K1728"/>
  <c r="I1728"/>
  <c r="G1728"/>
  <c r="E1728"/>
  <c r="H1723"/>
  <c r="H1721"/>
  <c r="H1720"/>
  <c r="H1719"/>
  <c r="H1718"/>
  <c r="H1717"/>
  <c r="H1716"/>
  <c r="H1713"/>
  <c r="H1712"/>
  <c r="H1711"/>
  <c r="H1715"/>
  <c r="H1710"/>
  <c r="H1708"/>
  <c r="H1706"/>
  <c r="B1707"/>
  <c r="B1700"/>
  <c r="B1698"/>
  <c r="L1681"/>
  <c r="K1681"/>
  <c r="I1681"/>
  <c r="G1681"/>
  <c r="E1681"/>
  <c r="H1676"/>
  <c r="H1673"/>
  <c r="H1672"/>
  <c r="H1671"/>
  <c r="H1670"/>
  <c r="H1669"/>
  <c r="H1666"/>
  <c r="H1665"/>
  <c r="H1664"/>
  <c r="H1668"/>
  <c r="H1663"/>
  <c r="H1661"/>
  <c r="H1659"/>
  <c r="H1674"/>
  <c r="B1660"/>
  <c r="B1653"/>
  <c r="B1651"/>
  <c r="L1634"/>
  <c r="K1634"/>
  <c r="I1634"/>
  <c r="G1634"/>
  <c r="E1634"/>
  <c r="H1629"/>
  <c r="H1626"/>
  <c r="H1625"/>
  <c r="H1624"/>
  <c r="H1623"/>
  <c r="H1622"/>
  <c r="H1619"/>
  <c r="H1618"/>
  <c r="H1617"/>
  <c r="H1621"/>
  <c r="H1616"/>
  <c r="H1614"/>
  <c r="H1612"/>
  <c r="H1627"/>
  <c r="B1613"/>
  <c r="B1606"/>
  <c r="B1604"/>
  <c r="L1587"/>
  <c r="K1587"/>
  <c r="I1587"/>
  <c r="G1587"/>
  <c r="E1587"/>
  <c r="H1582" l="1"/>
  <c r="H1580"/>
  <c r="H1579"/>
  <c r="H1578"/>
  <c r="H1577"/>
  <c r="H1576"/>
  <c r="H1575"/>
  <c r="H1572"/>
  <c r="H1571"/>
  <c r="H1570"/>
  <c r="H1574"/>
  <c r="H1569"/>
  <c r="H1567"/>
  <c r="H1565"/>
  <c r="B1566"/>
  <c r="B1559"/>
  <c r="B1557"/>
  <c r="L1540"/>
  <c r="K1540"/>
  <c r="I1540"/>
  <c r="G1540"/>
  <c r="E1540"/>
  <c r="H1535"/>
  <c r="H1533"/>
  <c r="H1532"/>
  <c r="H1531"/>
  <c r="H1530"/>
  <c r="H1529"/>
  <c r="H1528"/>
  <c r="H1525"/>
  <c r="H1524"/>
  <c r="H1523"/>
  <c r="H1527"/>
  <c r="H1522"/>
  <c r="H1520"/>
  <c r="H1518"/>
  <c r="B1519"/>
  <c r="B1512"/>
  <c r="B1510"/>
  <c r="L1493"/>
  <c r="K1493"/>
  <c r="I1493"/>
  <c r="G1493"/>
  <c r="E1493"/>
  <c r="H1488"/>
  <c r="H1486"/>
  <c r="H1485"/>
  <c r="H1484"/>
  <c r="H1483"/>
  <c r="H1482"/>
  <c r="H1481"/>
  <c r="H1478"/>
  <c r="H1477"/>
  <c r="H1476"/>
  <c r="H1480"/>
  <c r="H1475"/>
  <c r="H1473" l="1"/>
  <c r="H1471"/>
  <c r="B1472"/>
  <c r="B1465"/>
  <c r="B1463"/>
  <c r="L1446"/>
  <c r="K1446"/>
  <c r="I1446"/>
  <c r="G1446"/>
  <c r="E1446"/>
  <c r="H1441"/>
  <c r="H1439"/>
  <c r="H1438"/>
  <c r="H1437"/>
  <c r="H1436"/>
  <c r="H1435"/>
  <c r="H1434"/>
  <c r="H1431"/>
  <c r="H1430"/>
  <c r="H1429"/>
  <c r="H1433"/>
  <c r="H1428"/>
  <c r="H1426"/>
  <c r="H1424"/>
  <c r="B1425"/>
  <c r="B1418"/>
  <c r="B1416"/>
  <c r="L1399"/>
  <c r="K1399"/>
  <c r="I1399"/>
  <c r="G1399"/>
  <c r="E1399"/>
  <c r="H1394"/>
  <c r="H1392"/>
  <c r="H1391"/>
  <c r="H1390"/>
  <c r="H1389"/>
  <c r="H1388"/>
  <c r="H1387"/>
  <c r="H1384"/>
  <c r="H1383"/>
  <c r="H1382"/>
  <c r="H1386"/>
  <c r="H1381"/>
  <c r="H1379"/>
  <c r="H1377"/>
  <c r="B1378"/>
  <c r="B1371"/>
  <c r="B1369"/>
  <c r="L1352"/>
  <c r="K1352"/>
  <c r="I1352"/>
  <c r="G1352"/>
  <c r="E1352"/>
  <c r="H1347"/>
  <c r="H1345"/>
  <c r="H1344"/>
  <c r="H1343"/>
  <c r="H1342"/>
  <c r="H1341"/>
  <c r="H1340"/>
  <c r="H1337"/>
  <c r="H1336"/>
  <c r="H1335"/>
  <c r="H1339"/>
  <c r="H1334"/>
  <c r="H1332"/>
  <c r="H1330"/>
  <c r="B1331"/>
  <c r="B1324"/>
  <c r="B1322"/>
  <c r="L1305"/>
  <c r="K1305"/>
  <c r="I1305"/>
  <c r="G1305"/>
  <c r="E1305"/>
  <c r="H1300"/>
  <c r="H1298"/>
  <c r="H1297"/>
  <c r="H1296"/>
  <c r="H1295"/>
  <c r="H1294"/>
  <c r="H1293"/>
  <c r="H1290"/>
  <c r="H1289"/>
  <c r="H1288"/>
  <c r="H1292"/>
  <c r="H1287"/>
  <c r="H1285"/>
  <c r="H1283"/>
  <c r="B1284"/>
  <c r="B1277"/>
  <c r="B1275"/>
  <c r="G13" i="3"/>
  <c r="G12"/>
  <c r="T61"/>
  <c r="T60"/>
  <c r="T59"/>
  <c r="T58"/>
  <c r="T57"/>
  <c r="T56"/>
  <c r="T55"/>
  <c r="T54"/>
  <c r="T53"/>
  <c r="T52"/>
  <c r="T51"/>
  <c r="T50"/>
  <c r="T49"/>
  <c r="T48"/>
  <c r="T47"/>
  <c r="T46"/>
  <c r="T45"/>
  <c r="T44"/>
  <c r="T43"/>
  <c r="T42"/>
  <c r="T41"/>
  <c r="T40"/>
  <c r="T39"/>
  <c r="T38"/>
  <c r="T37"/>
  <c r="T36"/>
  <c r="T35"/>
  <c r="T34"/>
  <c r="T33"/>
  <c r="T32"/>
  <c r="T31"/>
  <c r="T30"/>
  <c r="T29"/>
  <c r="T28"/>
  <c r="T27"/>
  <c r="T26"/>
  <c r="T25"/>
  <c r="T24"/>
  <c r="T23"/>
  <c r="T22"/>
  <c r="T21"/>
  <c r="T20"/>
  <c r="T19"/>
  <c r="T18"/>
  <c r="T17"/>
  <c r="T16"/>
  <c r="T15"/>
  <c r="T14"/>
  <c r="T13"/>
  <c r="T12"/>
  <c r="S61"/>
  <c r="S60"/>
  <c r="S59"/>
  <c r="S58"/>
  <c r="S57"/>
  <c r="S56"/>
  <c r="S55"/>
  <c r="S54"/>
  <c r="S53"/>
  <c r="S52"/>
  <c r="S51"/>
  <c r="S50"/>
  <c r="S49"/>
  <c r="S48"/>
  <c r="S47"/>
  <c r="S46"/>
  <c r="S45"/>
  <c r="S44"/>
  <c r="S43"/>
  <c r="S42"/>
  <c r="S41"/>
  <c r="S40"/>
  <c r="S39"/>
  <c r="S38"/>
  <c r="S37"/>
  <c r="S36"/>
  <c r="S35"/>
  <c r="S34"/>
  <c r="S33"/>
  <c r="S32"/>
  <c r="S31"/>
  <c r="S30"/>
  <c r="S29"/>
  <c r="S28"/>
  <c r="S27"/>
  <c r="S26"/>
  <c r="S25"/>
  <c r="S24"/>
  <c r="S23"/>
  <c r="S22"/>
  <c r="S21"/>
  <c r="S20"/>
  <c r="S19"/>
  <c r="S18"/>
  <c r="S17"/>
  <c r="S16"/>
  <c r="S15"/>
  <c r="S14"/>
  <c r="S13"/>
  <c r="S12"/>
  <c r="R61"/>
  <c r="R60"/>
  <c r="R59"/>
  <c r="R58"/>
  <c r="R57"/>
  <c r="R56"/>
  <c r="R55"/>
  <c r="R54"/>
  <c r="R53"/>
  <c r="R52"/>
  <c r="R51"/>
  <c r="R50"/>
  <c r="R49"/>
  <c r="R48"/>
  <c r="R47"/>
  <c r="R46"/>
  <c r="R45"/>
  <c r="R44"/>
  <c r="R43"/>
  <c r="R42"/>
  <c r="R41"/>
  <c r="R40"/>
  <c r="R39"/>
  <c r="R38"/>
  <c r="R37"/>
  <c r="R36"/>
  <c r="R35"/>
  <c r="R34"/>
  <c r="R33"/>
  <c r="R32"/>
  <c r="R31"/>
  <c r="R30"/>
  <c r="R29"/>
  <c r="R28"/>
  <c r="R27"/>
  <c r="R26"/>
  <c r="R25"/>
  <c r="R24"/>
  <c r="R23"/>
  <c r="R22"/>
  <c r="R21"/>
  <c r="R20"/>
  <c r="R19"/>
  <c r="R18"/>
  <c r="R17"/>
  <c r="R16"/>
  <c r="R15"/>
  <c r="R14"/>
  <c r="R13"/>
  <c r="R12"/>
  <c r="Q61"/>
  <c r="Q60"/>
  <c r="Q59"/>
  <c r="Q58"/>
  <c r="Q57"/>
  <c r="Q56"/>
  <c r="Q55"/>
  <c r="Q54"/>
  <c r="Q53"/>
  <c r="Q52"/>
  <c r="Q51"/>
  <c r="Q50"/>
  <c r="Q49"/>
  <c r="Q48"/>
  <c r="Q47"/>
  <c r="Q46"/>
  <c r="Q45"/>
  <c r="Q44"/>
  <c r="Q43"/>
  <c r="Q42"/>
  <c r="Q41"/>
  <c r="Q40"/>
  <c r="Q39"/>
  <c r="Q38"/>
  <c r="Q37"/>
  <c r="Q36"/>
  <c r="Q35"/>
  <c r="Q34"/>
  <c r="Q33"/>
  <c r="Q32"/>
  <c r="Q31"/>
  <c r="Q30"/>
  <c r="Q29"/>
  <c r="Q28"/>
  <c r="Q27"/>
  <c r="Q26"/>
  <c r="Q25"/>
  <c r="Q24"/>
  <c r="Q23"/>
  <c r="Q22"/>
  <c r="Q21"/>
  <c r="Q20"/>
  <c r="Q19"/>
  <c r="Q18"/>
  <c r="Q17"/>
  <c r="Q16"/>
  <c r="Q15"/>
  <c r="Q14"/>
  <c r="Q13"/>
  <c r="Q12"/>
  <c r="P61"/>
  <c r="P60"/>
  <c r="P59"/>
  <c r="P58"/>
  <c r="P57"/>
  <c r="P56"/>
  <c r="P55"/>
  <c r="P54"/>
  <c r="P53"/>
  <c r="P52"/>
  <c r="P51"/>
  <c r="P50"/>
  <c r="P49"/>
  <c r="P48"/>
  <c r="P47"/>
  <c r="P46"/>
  <c r="P45"/>
  <c r="P44"/>
  <c r="P43"/>
  <c r="P42"/>
  <c r="P41"/>
  <c r="P40"/>
  <c r="P39"/>
  <c r="P38"/>
  <c r="P37"/>
  <c r="P36"/>
  <c r="P35"/>
  <c r="P34"/>
  <c r="P33"/>
  <c r="P32"/>
  <c r="P31"/>
  <c r="P30"/>
  <c r="P29"/>
  <c r="P28"/>
  <c r="P27"/>
  <c r="P26"/>
  <c r="P25"/>
  <c r="P24"/>
  <c r="P23"/>
  <c r="P22"/>
  <c r="P21"/>
  <c r="P20"/>
  <c r="P19"/>
  <c r="P18"/>
  <c r="P17"/>
  <c r="P16"/>
  <c r="P15"/>
  <c r="P14"/>
  <c r="P13"/>
  <c r="P12"/>
  <c r="N61"/>
  <c r="N60"/>
  <c r="N59"/>
  <c r="N58"/>
  <c r="N57"/>
  <c r="N56"/>
  <c r="N55"/>
  <c r="N54"/>
  <c r="N53"/>
  <c r="N52"/>
  <c r="N51"/>
  <c r="N50"/>
  <c r="N49"/>
  <c r="N48"/>
  <c r="N47"/>
  <c r="N46"/>
  <c r="N45"/>
  <c r="N44"/>
  <c r="N43"/>
  <c r="N42"/>
  <c r="N41"/>
  <c r="N40"/>
  <c r="N39"/>
  <c r="N38"/>
  <c r="N37"/>
  <c r="N36"/>
  <c r="N35"/>
  <c r="N34"/>
  <c r="N33"/>
  <c r="N32"/>
  <c r="N31"/>
  <c r="N30"/>
  <c r="N29"/>
  <c r="N28"/>
  <c r="N27"/>
  <c r="N26"/>
  <c r="N25"/>
  <c r="N24"/>
  <c r="N23"/>
  <c r="N22"/>
  <c r="N21"/>
  <c r="N20"/>
  <c r="N19"/>
  <c r="N18"/>
  <c r="N17"/>
  <c r="N16"/>
  <c r="N15"/>
  <c r="N14"/>
  <c r="N13"/>
  <c r="N12"/>
  <c r="M61"/>
  <c r="M60"/>
  <c r="M59"/>
  <c r="M58"/>
  <c r="M57"/>
  <c r="M56"/>
  <c r="M55"/>
  <c r="M54"/>
  <c r="M53"/>
  <c r="M52"/>
  <c r="M51"/>
  <c r="M50"/>
  <c r="M49"/>
  <c r="M48"/>
  <c r="M47"/>
  <c r="M46"/>
  <c r="M45"/>
  <c r="M44"/>
  <c r="M43"/>
  <c r="M42"/>
  <c r="M41"/>
  <c r="M40"/>
  <c r="M39"/>
  <c r="M38"/>
  <c r="M37"/>
  <c r="M36"/>
  <c r="M35"/>
  <c r="M34"/>
  <c r="M33"/>
  <c r="M32"/>
  <c r="M31"/>
  <c r="M30"/>
  <c r="M29"/>
  <c r="M28"/>
  <c r="M27"/>
  <c r="M26"/>
  <c r="M25"/>
  <c r="M24"/>
  <c r="M23"/>
  <c r="M22"/>
  <c r="M21"/>
  <c r="M20"/>
  <c r="M19"/>
  <c r="M18"/>
  <c r="M17"/>
  <c r="M16"/>
  <c r="M15"/>
  <c r="M14"/>
  <c r="M13"/>
  <c r="M1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K61"/>
  <c r="K60"/>
  <c r="K59"/>
  <c r="K58"/>
  <c r="K57"/>
  <c r="K56"/>
  <c r="K55"/>
  <c r="K54"/>
  <c r="K53"/>
  <c r="K52"/>
  <c r="K51"/>
  <c r="K50"/>
  <c r="K49"/>
  <c r="K48"/>
  <c r="K47"/>
  <c r="K46"/>
  <c r="K45"/>
  <c r="K44"/>
  <c r="K43"/>
  <c r="K42"/>
  <c r="K41"/>
  <c r="K40"/>
  <c r="K39"/>
  <c r="K38"/>
  <c r="K37"/>
  <c r="K36"/>
  <c r="K35"/>
  <c r="K34"/>
  <c r="K33"/>
  <c r="K32"/>
  <c r="K31"/>
  <c r="K30"/>
  <c r="K29"/>
  <c r="K28"/>
  <c r="K27"/>
  <c r="K26"/>
  <c r="K25"/>
  <c r="K24"/>
  <c r="K23"/>
  <c r="K22"/>
  <c r="K21"/>
  <c r="K20"/>
  <c r="K19"/>
  <c r="K18"/>
  <c r="K17"/>
  <c r="K16"/>
  <c r="K14"/>
  <c r="K13"/>
  <c r="K1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I61"/>
  <c r="I60"/>
  <c r="I59"/>
  <c r="I58"/>
  <c r="I57"/>
  <c r="I56"/>
  <c r="I55"/>
  <c r="I54"/>
  <c r="I53"/>
  <c r="I52"/>
  <c r="I51"/>
  <c r="I50"/>
  <c r="I49"/>
  <c r="I48"/>
  <c r="I47"/>
  <c r="I46"/>
  <c r="I45"/>
  <c r="I44"/>
  <c r="I43"/>
  <c r="I42"/>
  <c r="I41"/>
  <c r="I40"/>
  <c r="I39"/>
  <c r="I38"/>
  <c r="I37"/>
  <c r="I36"/>
  <c r="I35"/>
  <c r="I34"/>
  <c r="I33"/>
  <c r="I32"/>
  <c r="I31"/>
  <c r="I30"/>
  <c r="I29"/>
  <c r="I28"/>
  <c r="I27"/>
  <c r="I26"/>
  <c r="I25"/>
  <c r="I24"/>
  <c r="I23"/>
  <c r="I22"/>
  <c r="I21"/>
  <c r="I20"/>
  <c r="I19"/>
  <c r="I18"/>
  <c r="I17"/>
  <c r="I16"/>
  <c r="I15"/>
  <c r="I14"/>
  <c r="I13"/>
  <c r="H61"/>
  <c r="H60"/>
  <c r="O60" s="1"/>
  <c r="H59"/>
  <c r="H58"/>
  <c r="O58" s="1"/>
  <c r="H57"/>
  <c r="H56"/>
  <c r="O56" s="1"/>
  <c r="H55"/>
  <c r="H54"/>
  <c r="O54" s="1"/>
  <c r="H53"/>
  <c r="H52"/>
  <c r="O52" s="1"/>
  <c r="H51"/>
  <c r="H50"/>
  <c r="O50" s="1"/>
  <c r="H49"/>
  <c r="H48"/>
  <c r="O48" s="1"/>
  <c r="H47"/>
  <c r="H46"/>
  <c r="O46" s="1"/>
  <c r="H45"/>
  <c r="H44"/>
  <c r="O44" s="1"/>
  <c r="H43"/>
  <c r="H42"/>
  <c r="O42" s="1"/>
  <c r="H41"/>
  <c r="H40"/>
  <c r="O40" s="1"/>
  <c r="H39"/>
  <c r="H38"/>
  <c r="O38" s="1"/>
  <c r="H37"/>
  <c r="H36"/>
  <c r="O36" s="1"/>
  <c r="H35"/>
  <c r="H34"/>
  <c r="O34" s="1"/>
  <c r="H33"/>
  <c r="H32"/>
  <c r="O32" s="1"/>
  <c r="H31"/>
  <c r="H30"/>
  <c r="O30" s="1"/>
  <c r="H29"/>
  <c r="H28"/>
  <c r="O28" s="1"/>
  <c r="H27"/>
  <c r="H26"/>
  <c r="O26" s="1"/>
  <c r="H25"/>
  <c r="H24"/>
  <c r="O24" s="1"/>
  <c r="H23"/>
  <c r="H22"/>
  <c r="O22" s="1"/>
  <c r="H21"/>
  <c r="H20"/>
  <c r="O20" s="1"/>
  <c r="H19"/>
  <c r="H18"/>
  <c r="O18" s="1"/>
  <c r="H17"/>
  <c r="H16"/>
  <c r="O16" s="1"/>
  <c r="H15"/>
  <c r="H14"/>
  <c r="O14" s="1"/>
  <c r="H13"/>
  <c r="G61"/>
  <c r="G60"/>
  <c r="G59"/>
  <c r="G58"/>
  <c r="G57"/>
  <c r="G56"/>
  <c r="G55"/>
  <c r="G54"/>
  <c r="G53"/>
  <c r="G52"/>
  <c r="G51"/>
  <c r="G50"/>
  <c r="G49"/>
  <c r="G48"/>
  <c r="G47"/>
  <c r="G46"/>
  <c r="G45"/>
  <c r="G44"/>
  <c r="G43"/>
  <c r="G42"/>
  <c r="G41"/>
  <c r="G40"/>
  <c r="G39"/>
  <c r="G38"/>
  <c r="G37"/>
  <c r="G36"/>
  <c r="G35"/>
  <c r="G34"/>
  <c r="G33"/>
  <c r="G32"/>
  <c r="G31"/>
  <c r="G30"/>
  <c r="G29"/>
  <c r="G28"/>
  <c r="G27"/>
  <c r="G26"/>
  <c r="G25"/>
  <c r="G24"/>
  <c r="G23"/>
  <c r="G22"/>
  <c r="G21"/>
  <c r="G20"/>
  <c r="G19"/>
  <c r="G18"/>
  <c r="G17"/>
  <c r="G16"/>
  <c r="G15"/>
  <c r="G14"/>
  <c r="E61"/>
  <c r="E60"/>
  <c r="E59"/>
  <c r="E58"/>
  <c r="E57"/>
  <c r="E56"/>
  <c r="E55"/>
  <c r="E54"/>
  <c r="E53"/>
  <c r="E52"/>
  <c r="E51"/>
  <c r="E50"/>
  <c r="E49"/>
  <c r="E48"/>
  <c r="E47"/>
  <c r="E46"/>
  <c r="E45"/>
  <c r="E44"/>
  <c r="E43"/>
  <c r="E42"/>
  <c r="E41"/>
  <c r="E40"/>
  <c r="E39"/>
  <c r="E38"/>
  <c r="E37"/>
  <c r="E36"/>
  <c r="E35"/>
  <c r="E34"/>
  <c r="E33"/>
  <c r="E32"/>
  <c r="E31"/>
  <c r="E30"/>
  <c r="E29"/>
  <c r="E28"/>
  <c r="E27"/>
  <c r="E26"/>
  <c r="E25"/>
  <c r="E24"/>
  <c r="E23"/>
  <c r="E22"/>
  <c r="E21"/>
  <c r="E20"/>
  <c r="E19"/>
  <c r="E18"/>
  <c r="E17"/>
  <c r="E16"/>
  <c r="E15"/>
  <c r="E14"/>
  <c r="E13"/>
  <c r="D61"/>
  <c r="D60"/>
  <c r="D59"/>
  <c r="D58"/>
  <c r="D57"/>
  <c r="D56"/>
  <c r="D55"/>
  <c r="D54"/>
  <c r="D53"/>
  <c r="D52"/>
  <c r="D51"/>
  <c r="D50"/>
  <c r="D49"/>
  <c r="D48"/>
  <c r="D47"/>
  <c r="D46"/>
  <c r="D45"/>
  <c r="D44"/>
  <c r="D43"/>
  <c r="D42"/>
  <c r="D41"/>
  <c r="D40"/>
  <c r="D39"/>
  <c r="D38"/>
  <c r="D37"/>
  <c r="D36"/>
  <c r="D35"/>
  <c r="D34"/>
  <c r="D33"/>
  <c r="D32"/>
  <c r="D31"/>
  <c r="D30"/>
  <c r="D29"/>
  <c r="D28"/>
  <c r="D27"/>
  <c r="D26"/>
  <c r="D25"/>
  <c r="D24"/>
  <c r="D23"/>
  <c r="D22"/>
  <c r="D21"/>
  <c r="D20"/>
  <c r="D19"/>
  <c r="D18"/>
  <c r="D17"/>
  <c r="D16"/>
  <c r="D15"/>
  <c r="D14"/>
  <c r="D13"/>
  <c r="C61"/>
  <c r="C60"/>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B61"/>
  <c r="B60"/>
  <c r="B59"/>
  <c r="B58"/>
  <c r="B57"/>
  <c r="B56"/>
  <c r="B55"/>
  <c r="B54"/>
  <c r="B53"/>
  <c r="B52"/>
  <c r="B51"/>
  <c r="B50"/>
  <c r="B49"/>
  <c r="B48"/>
  <c r="B47"/>
  <c r="B46"/>
  <c r="B45"/>
  <c r="B44"/>
  <c r="B43"/>
  <c r="B42"/>
  <c r="B41"/>
  <c r="B40"/>
  <c r="B39"/>
  <c r="B38"/>
  <c r="B37"/>
  <c r="B36"/>
  <c r="B35"/>
  <c r="B34"/>
  <c r="B33"/>
  <c r="B32"/>
  <c r="B31"/>
  <c r="B30"/>
  <c r="B29"/>
  <c r="B28"/>
  <c r="B27"/>
  <c r="B26"/>
  <c r="B25"/>
  <c r="B24"/>
  <c r="B23"/>
  <c r="B22"/>
  <c r="B21"/>
  <c r="B20"/>
  <c r="B19"/>
  <c r="B18"/>
  <c r="B17"/>
  <c r="B16"/>
  <c r="B15"/>
  <c r="B14"/>
  <c r="B13"/>
  <c r="L62" l="1"/>
  <c r="M62"/>
  <c r="N62"/>
  <c r="P62"/>
  <c r="Q62"/>
  <c r="R62"/>
  <c r="S62"/>
  <c r="T62"/>
  <c r="K62"/>
  <c r="O13"/>
  <c r="O15"/>
  <c r="O17"/>
  <c r="O19"/>
  <c r="O21"/>
  <c r="O23"/>
  <c r="O25"/>
  <c r="O27"/>
  <c r="O29"/>
  <c r="O31"/>
  <c r="O33"/>
  <c r="O35"/>
  <c r="O37"/>
  <c r="O39"/>
  <c r="O41"/>
  <c r="O43"/>
  <c r="O45"/>
  <c r="O47"/>
  <c r="O49"/>
  <c r="O51"/>
  <c r="O53"/>
  <c r="O55"/>
  <c r="O57"/>
  <c r="O59"/>
  <c r="O61"/>
  <c r="G62"/>
  <c r="I49" i="15" l="1"/>
  <c r="I48"/>
  <c r="I47"/>
  <c r="I46"/>
  <c r="I45"/>
  <c r="I44"/>
  <c r="I43"/>
  <c r="I42"/>
  <c r="I41"/>
  <c r="I39"/>
  <c r="I38"/>
  <c r="I37"/>
  <c r="I36"/>
  <c r="I35"/>
  <c r="I34"/>
  <c r="I33"/>
  <c r="I32"/>
  <c r="I31"/>
  <c r="I30"/>
  <c r="I29"/>
  <c r="I28"/>
  <c r="I27"/>
  <c r="I26"/>
  <c r="I25"/>
  <c r="I24"/>
  <c r="I23"/>
  <c r="I22"/>
  <c r="I21"/>
  <c r="I20"/>
  <c r="I19"/>
  <c r="I18"/>
  <c r="I17"/>
  <c r="I16"/>
  <c r="G49"/>
  <c r="G48"/>
  <c r="G47"/>
  <c r="G46"/>
  <c r="G45"/>
  <c r="G44"/>
  <c r="G43"/>
  <c r="G42"/>
  <c r="G41"/>
  <c r="G39"/>
  <c r="G38"/>
  <c r="G37"/>
  <c r="G36"/>
  <c r="G35"/>
  <c r="G34"/>
  <c r="G33"/>
  <c r="G32"/>
  <c r="G31"/>
  <c r="G30"/>
  <c r="G29"/>
  <c r="G28"/>
  <c r="G27"/>
  <c r="G26"/>
  <c r="G25"/>
  <c r="G24"/>
  <c r="G23"/>
  <c r="G22"/>
  <c r="G21"/>
  <c r="G20"/>
  <c r="G19"/>
  <c r="G18"/>
  <c r="G17"/>
  <c r="G16"/>
  <c r="A49"/>
  <c r="A48"/>
  <c r="A47"/>
  <c r="A46"/>
  <c r="A45"/>
  <c r="A44"/>
  <c r="A43"/>
  <c r="A42"/>
  <c r="A41"/>
  <c r="A40"/>
  <c r="A39"/>
  <c r="A38"/>
  <c r="A37"/>
  <c r="A36"/>
  <c r="A35"/>
  <c r="A34"/>
  <c r="A33"/>
  <c r="A32"/>
  <c r="A31"/>
  <c r="A30"/>
  <c r="A29"/>
  <c r="A28"/>
  <c r="A27"/>
  <c r="A26"/>
  <c r="A25"/>
  <c r="A24"/>
  <c r="A23"/>
  <c r="A22"/>
  <c r="A21"/>
  <c r="A20"/>
  <c r="A19"/>
  <c r="A18"/>
  <c r="A17"/>
  <c r="A16"/>
  <c r="A15"/>
  <c r="A14"/>
  <c r="A13"/>
  <c r="A12"/>
  <c r="A11"/>
  <c r="L1258" i="10"/>
  <c r="K1258"/>
  <c r="I1258"/>
  <c r="G1258"/>
  <c r="E1258"/>
  <c r="H1253"/>
  <c r="H1251"/>
  <c r="H1250"/>
  <c r="H1249"/>
  <c r="H1248"/>
  <c r="H1247"/>
  <c r="H1246"/>
  <c r="H1243"/>
  <c r="H1242"/>
  <c r="H1241"/>
  <c r="H1245"/>
  <c r="H1240"/>
  <c r="H1238"/>
  <c r="H1236"/>
  <c r="B1237"/>
  <c r="B1230"/>
  <c r="B1228"/>
  <c r="L1211"/>
  <c r="K1211"/>
  <c r="I1211"/>
  <c r="G1211"/>
  <c r="E1211"/>
  <c r="H1206"/>
  <c r="H1204"/>
  <c r="H1203"/>
  <c r="H1202"/>
  <c r="H1201"/>
  <c r="H1200"/>
  <c r="H1199"/>
  <c r="H1196"/>
  <c r="H1195"/>
  <c r="H1194"/>
  <c r="H1198"/>
  <c r="H1193"/>
  <c r="H1191"/>
  <c r="H1189"/>
  <c r="B1190"/>
  <c r="B1183"/>
  <c r="B1181"/>
  <c r="L1164"/>
  <c r="K1164"/>
  <c r="I1164"/>
  <c r="G1164"/>
  <c r="E1164"/>
  <c r="H1159"/>
  <c r="H1157"/>
  <c r="H1156"/>
  <c r="H1155"/>
  <c r="H1154"/>
  <c r="H1153"/>
  <c r="H1152"/>
  <c r="H1149"/>
  <c r="H1148"/>
  <c r="H1147"/>
  <c r="H1151"/>
  <c r="H1146"/>
  <c r="H1144"/>
  <c r="H1142"/>
  <c r="B1143"/>
  <c r="B1136"/>
  <c r="B1134"/>
  <c r="L1117"/>
  <c r="K1117"/>
  <c r="I1117"/>
  <c r="G1117"/>
  <c r="E1117"/>
  <c r="H1112"/>
  <c r="H1110"/>
  <c r="H1109"/>
  <c r="H1108"/>
  <c r="H1107"/>
  <c r="H1106"/>
  <c r="H1105"/>
  <c r="H1102"/>
  <c r="H1101"/>
  <c r="H1100"/>
  <c r="H1104"/>
  <c r="H1099"/>
  <c r="H1097"/>
  <c r="H1095"/>
  <c r="B1096"/>
  <c r="B1089"/>
  <c r="B1087"/>
  <c r="L1070"/>
  <c r="K1070"/>
  <c r="I1070"/>
  <c r="G1070"/>
  <c r="E1070"/>
  <c r="H1065"/>
  <c r="H1063"/>
  <c r="H1062"/>
  <c r="H1061"/>
  <c r="H1060"/>
  <c r="H1059"/>
  <c r="H1058"/>
  <c r="H1055"/>
  <c r="H1054"/>
  <c r="H1053"/>
  <c r="H1057"/>
  <c r="H1052"/>
  <c r="H1050"/>
  <c r="H1048"/>
  <c r="B1049"/>
  <c r="B1042"/>
  <c r="B1040"/>
  <c r="L1023"/>
  <c r="K1023"/>
  <c r="I1023"/>
  <c r="G1023"/>
  <c r="E1023"/>
  <c r="H1018"/>
  <c r="H1016"/>
  <c r="H1015"/>
  <c r="H1014"/>
  <c r="H1013"/>
  <c r="H1012"/>
  <c r="H1011"/>
  <c r="H1008"/>
  <c r="H1007"/>
  <c r="H1006"/>
  <c r="H1010"/>
  <c r="H1005"/>
  <c r="H1003"/>
  <c r="H1001"/>
  <c r="B1002"/>
  <c r="B995"/>
  <c r="B993"/>
  <c r="L976"/>
  <c r="K976"/>
  <c r="I976"/>
  <c r="G976"/>
  <c r="E976"/>
  <c r="H971"/>
  <c r="H969"/>
  <c r="H968"/>
  <c r="H967"/>
  <c r="H966"/>
  <c r="H965"/>
  <c r="H964"/>
  <c r="H961"/>
  <c r="H960"/>
  <c r="H959"/>
  <c r="H963"/>
  <c r="H958"/>
  <c r="H956"/>
  <c r="H954"/>
  <c r="B955"/>
  <c r="B948"/>
  <c r="B946"/>
  <c r="L929"/>
  <c r="K929"/>
  <c r="I929"/>
  <c r="G929"/>
  <c r="E929"/>
  <c r="H924"/>
  <c r="H922"/>
  <c r="H921"/>
  <c r="H920"/>
  <c r="H919"/>
  <c r="H918"/>
  <c r="H917"/>
  <c r="H914"/>
  <c r="H913"/>
  <c r="H912"/>
  <c r="H916"/>
  <c r="H911"/>
  <c r="H909"/>
  <c r="H907"/>
  <c r="B908"/>
  <c r="B901"/>
  <c r="B899"/>
  <c r="L882"/>
  <c r="K882"/>
  <c r="I882"/>
  <c r="G882"/>
  <c r="E882"/>
  <c r="H877"/>
  <c r="H875"/>
  <c r="H874"/>
  <c r="H873"/>
  <c r="H872"/>
  <c r="H871"/>
  <c r="H870"/>
  <c r="H867"/>
  <c r="H866"/>
  <c r="H865"/>
  <c r="H869"/>
  <c r="H864"/>
  <c r="H862"/>
  <c r="H860"/>
  <c r="B861"/>
  <c r="B854"/>
  <c r="B852"/>
  <c r="L835"/>
  <c r="K835"/>
  <c r="I835"/>
  <c r="G835"/>
  <c r="E835"/>
  <c r="H830"/>
  <c r="H828"/>
  <c r="H827"/>
  <c r="H826"/>
  <c r="H825"/>
  <c r="H824"/>
  <c r="H823"/>
  <c r="H820"/>
  <c r="H819"/>
  <c r="H818"/>
  <c r="H822"/>
  <c r="H817"/>
  <c r="H815"/>
  <c r="H813"/>
  <c r="B814"/>
  <c r="B807"/>
  <c r="B805"/>
  <c r="AJ59" i="2"/>
  <c r="AJ58"/>
  <c r="AJ57"/>
  <c r="AJ56"/>
  <c r="AJ55"/>
  <c r="AJ54"/>
  <c r="AJ53"/>
  <c r="AJ52"/>
  <c r="AJ51"/>
  <c r="AJ50"/>
  <c r="AJ49"/>
  <c r="AJ48"/>
  <c r="AJ47"/>
  <c r="AJ46"/>
  <c r="AJ45"/>
  <c r="AJ44"/>
  <c r="AJ43"/>
  <c r="AJ42"/>
  <c r="AJ41"/>
  <c r="AJ40"/>
  <c r="AJ39"/>
  <c r="AJ38"/>
  <c r="AJ37"/>
  <c r="AJ36"/>
  <c r="AJ35"/>
  <c r="AJ34"/>
  <c r="AJ33"/>
  <c r="AJ32"/>
  <c r="AJ31"/>
  <c r="AJ30"/>
  <c r="AJ29"/>
  <c r="AJ28"/>
  <c r="AJ27"/>
  <c r="AJ26"/>
  <c r="AJ25"/>
  <c r="AJ24"/>
  <c r="AJ23"/>
  <c r="AJ22"/>
  <c r="AJ21"/>
  <c r="AJ20"/>
  <c r="AJ19"/>
  <c r="AJ18"/>
  <c r="AJ17"/>
  <c r="AJ16"/>
  <c r="AJ15"/>
  <c r="AJ14"/>
  <c r="AJ13"/>
  <c r="AJ12"/>
  <c r="AJ11"/>
  <c r="AJ10"/>
  <c r="D59"/>
  <c r="D58"/>
  <c r="D57"/>
  <c r="D56"/>
  <c r="D55"/>
  <c r="D54"/>
  <c r="D53"/>
  <c r="D52"/>
  <c r="D51"/>
  <c r="D50"/>
  <c r="D49"/>
  <c r="D48"/>
  <c r="D47"/>
  <c r="D46"/>
  <c r="D45"/>
  <c r="D44"/>
  <c r="D43"/>
  <c r="D42"/>
  <c r="D41"/>
  <c r="D40"/>
  <c r="D39"/>
  <c r="D38"/>
  <c r="D37"/>
  <c r="D36"/>
  <c r="D35"/>
  <c r="D34"/>
  <c r="D33"/>
  <c r="D32"/>
  <c r="D31"/>
  <c r="D30"/>
  <c r="D29"/>
  <c r="D28"/>
  <c r="D27"/>
  <c r="D26"/>
  <c r="D25"/>
  <c r="D24"/>
  <c r="D23"/>
  <c r="D22"/>
  <c r="D21"/>
  <c r="D20"/>
  <c r="D19"/>
  <c r="D18"/>
  <c r="D17"/>
  <c r="D16"/>
  <c r="D15"/>
  <c r="D14"/>
  <c r="D13"/>
  <c r="D12"/>
  <c r="D11"/>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B59"/>
  <c r="B58"/>
  <c r="B57"/>
  <c r="B56"/>
  <c r="B55"/>
  <c r="B54"/>
  <c r="B53"/>
  <c r="B52"/>
  <c r="B51"/>
  <c r="B50"/>
  <c r="B49"/>
  <c r="B48"/>
  <c r="B47"/>
  <c r="B46"/>
  <c r="B45"/>
  <c r="B44"/>
  <c r="B43"/>
  <c r="B42"/>
  <c r="B41"/>
  <c r="B40"/>
  <c r="B39"/>
  <c r="B38"/>
  <c r="B37"/>
  <c r="B36"/>
  <c r="B35"/>
  <c r="B34"/>
  <c r="B33"/>
  <c r="B32"/>
  <c r="B31"/>
  <c r="B30"/>
  <c r="B29"/>
  <c r="B28"/>
  <c r="B27"/>
  <c r="B26"/>
  <c r="B25"/>
  <c r="B24"/>
  <c r="B23"/>
  <c r="B22"/>
  <c r="B21"/>
  <c r="B20"/>
  <c r="B19"/>
  <c r="B18"/>
  <c r="B17"/>
  <c r="B16"/>
  <c r="B15"/>
  <c r="B14"/>
  <c r="B13"/>
  <c r="B12"/>
  <c r="B11"/>
  <c r="L788" i="10"/>
  <c r="K788"/>
  <c r="I788"/>
  <c r="G788"/>
  <c r="E788"/>
  <c r="H783"/>
  <c r="H781"/>
  <c r="H780"/>
  <c r="H779"/>
  <c r="H778"/>
  <c r="H777"/>
  <c r="H776"/>
  <c r="H773"/>
  <c r="H772"/>
  <c r="H771"/>
  <c r="H775"/>
  <c r="H770"/>
  <c r="H768"/>
  <c r="H766"/>
  <c r="B767"/>
  <c r="B760"/>
  <c r="B758"/>
  <c r="L741"/>
  <c r="K741"/>
  <c r="I741"/>
  <c r="G741"/>
  <c r="E741"/>
  <c r="H736"/>
  <c r="H734"/>
  <c r="H733"/>
  <c r="H732"/>
  <c r="H731"/>
  <c r="H730"/>
  <c r="H729"/>
  <c r="H726"/>
  <c r="H725"/>
  <c r="H724"/>
  <c r="H728"/>
  <c r="H723"/>
  <c r="H721"/>
  <c r="H719"/>
  <c r="B720"/>
  <c r="B713"/>
  <c r="B711"/>
  <c r="L694" l="1"/>
  <c r="K694"/>
  <c r="I694"/>
  <c r="G694"/>
  <c r="E694"/>
  <c r="H689"/>
  <c r="H687"/>
  <c r="H686"/>
  <c r="H685"/>
  <c r="H684"/>
  <c r="H683"/>
  <c r="H682"/>
  <c r="H679"/>
  <c r="H678"/>
  <c r="H677"/>
  <c r="H681"/>
  <c r="H676"/>
  <c r="H674"/>
  <c r="H672"/>
  <c r="B673"/>
  <c r="B666"/>
  <c r="B664"/>
  <c r="L647"/>
  <c r="K647"/>
  <c r="I647"/>
  <c r="G647"/>
  <c r="E647"/>
  <c r="H642"/>
  <c r="H640"/>
  <c r="H639"/>
  <c r="H638"/>
  <c r="H637"/>
  <c r="H636"/>
  <c r="H635"/>
  <c r="H632"/>
  <c r="H631"/>
  <c r="H630"/>
  <c r="H634"/>
  <c r="H629"/>
  <c r="H627"/>
  <c r="H625"/>
  <c r="B626"/>
  <c r="B619"/>
  <c r="B617"/>
  <c r="L600"/>
  <c r="K600"/>
  <c r="I600"/>
  <c r="G600"/>
  <c r="E600"/>
  <c r="H595"/>
  <c r="H593"/>
  <c r="H592"/>
  <c r="H591"/>
  <c r="H590"/>
  <c r="H589"/>
  <c r="H588"/>
  <c r="H585"/>
  <c r="H584"/>
  <c r="H583"/>
  <c r="H587"/>
  <c r="H582"/>
  <c r="B579"/>
  <c r="H580"/>
  <c r="H578"/>
  <c r="B572"/>
  <c r="B570"/>
  <c r="L553"/>
  <c r="K553"/>
  <c r="I553"/>
  <c r="G553"/>
  <c r="E553"/>
  <c r="H546"/>
  <c r="H545"/>
  <c r="H548"/>
  <c r="H544"/>
  <c r="H543"/>
  <c r="H542"/>
  <c r="H541"/>
  <c r="H538"/>
  <c r="H537"/>
  <c r="H536"/>
  <c r="H540"/>
  <c r="H535"/>
  <c r="H533"/>
  <c r="H531"/>
  <c r="B532"/>
  <c r="B525"/>
  <c r="B523"/>
  <c r="L506"/>
  <c r="K506"/>
  <c r="I506"/>
  <c r="G506"/>
  <c r="E506"/>
  <c r="H501"/>
  <c r="H499"/>
  <c r="H498"/>
  <c r="H497"/>
  <c r="H496"/>
  <c r="H495"/>
  <c r="H494"/>
  <c r="H491"/>
  <c r="H490"/>
  <c r="H489"/>
  <c r="H493"/>
  <c r="H488"/>
  <c r="H486"/>
  <c r="H484"/>
  <c r="B485"/>
  <c r="B478"/>
  <c r="B476"/>
  <c r="L459"/>
  <c r="K459"/>
  <c r="I459"/>
  <c r="G459"/>
  <c r="E459"/>
  <c r="H454"/>
  <c r="H452"/>
  <c r="H451"/>
  <c r="H450"/>
  <c r="H449"/>
  <c r="H448"/>
  <c r="H447"/>
  <c r="H444"/>
  <c r="H443"/>
  <c r="H442"/>
  <c r="H446"/>
  <c r="H441"/>
  <c r="H439"/>
  <c r="H437"/>
  <c r="B438"/>
  <c r="B431"/>
  <c r="B429"/>
  <c r="L412"/>
  <c r="K412"/>
  <c r="I412"/>
  <c r="G412"/>
  <c r="E412"/>
  <c r="H407"/>
  <c r="H405"/>
  <c r="H404"/>
  <c r="H403"/>
  <c r="H402"/>
  <c r="H401"/>
  <c r="H400"/>
  <c r="H397"/>
  <c r="H396"/>
  <c r="H395"/>
  <c r="H399"/>
  <c r="H394"/>
  <c r="H392"/>
  <c r="H390"/>
  <c r="B391"/>
  <c r="B384"/>
  <c r="B382"/>
  <c r="L365"/>
  <c r="K365"/>
  <c r="I365"/>
  <c r="G365"/>
  <c r="E365"/>
  <c r="H360"/>
  <c r="H358"/>
  <c r="H357"/>
  <c r="H356"/>
  <c r="H355"/>
  <c r="H354"/>
  <c r="H353"/>
  <c r="H352"/>
  <c r="H350"/>
  <c r="H349"/>
  <c r="H348"/>
  <c r="H347"/>
  <c r="H345"/>
  <c r="H343"/>
  <c r="B344"/>
  <c r="B337"/>
  <c r="B335"/>
  <c r="L318"/>
  <c r="K318"/>
  <c r="I318"/>
  <c r="G318"/>
  <c r="E318"/>
  <c r="H313"/>
  <c r="H311"/>
  <c r="H310"/>
  <c r="H309"/>
  <c r="H308"/>
  <c r="H307"/>
  <c r="H306"/>
  <c r="H305"/>
  <c r="H303"/>
  <c r="H302"/>
  <c r="H301"/>
  <c r="H300"/>
  <c r="H298"/>
  <c r="H296"/>
  <c r="B297"/>
  <c r="B290"/>
  <c r="B288"/>
  <c r="L271"/>
  <c r="K271"/>
  <c r="I271"/>
  <c r="G271"/>
  <c r="E271"/>
  <c r="H266"/>
  <c r="H264"/>
  <c r="H263"/>
  <c r="H262"/>
  <c r="H261"/>
  <c r="H260"/>
  <c r="H259"/>
  <c r="H258"/>
  <c r="H256"/>
  <c r="H255"/>
  <c r="H254"/>
  <c r="H253"/>
  <c r="H251"/>
  <c r="H249"/>
  <c r="B250"/>
  <c r="B243"/>
  <c r="B241"/>
  <c r="L224"/>
  <c r="K224"/>
  <c r="I224"/>
  <c r="G224"/>
  <c r="E224"/>
  <c r="H219"/>
  <c r="H217"/>
  <c r="H216"/>
  <c r="H215"/>
  <c r="H214"/>
  <c r="H213"/>
  <c r="H212"/>
  <c r="H211"/>
  <c r="H209"/>
  <c r="H208"/>
  <c r="H207" l="1"/>
  <c r="H206"/>
  <c r="H204"/>
  <c r="H202"/>
  <c r="B203"/>
  <c r="B196"/>
  <c r="B194"/>
  <c r="L177"/>
  <c r="K177"/>
  <c r="I177"/>
  <c r="G177"/>
  <c r="E177"/>
  <c r="H172"/>
  <c r="H170"/>
  <c r="H169"/>
  <c r="H168"/>
  <c r="H167"/>
  <c r="H166"/>
  <c r="H165"/>
  <c r="H164"/>
  <c r="H162"/>
  <c r="H161"/>
  <c r="H160"/>
  <c r="H159"/>
  <c r="H157"/>
  <c r="H155"/>
  <c r="B156"/>
  <c r="B149"/>
  <c r="B147"/>
  <c r="L128"/>
  <c r="K128"/>
  <c r="I128"/>
  <c r="G128"/>
  <c r="E128"/>
  <c r="H123"/>
  <c r="H121"/>
  <c r="H120"/>
  <c r="H119"/>
  <c r="H118"/>
  <c r="H117"/>
  <c r="H116"/>
  <c r="H115"/>
  <c r="H114"/>
  <c r="H113"/>
  <c r="H112"/>
  <c r="H111"/>
  <c r="H27"/>
  <c r="AQ64" i="1"/>
  <c r="AQ63"/>
  <c r="AQ62"/>
  <c r="AQ61"/>
  <c r="AQ60"/>
  <c r="AQ59"/>
  <c r="AQ58"/>
  <c r="AQ57"/>
  <c r="AQ56"/>
  <c r="AQ55"/>
  <c r="AQ54"/>
  <c r="AQ53"/>
  <c r="AQ52"/>
  <c r="AQ51"/>
  <c r="AQ50"/>
  <c r="AQ49"/>
  <c r="AQ48"/>
  <c r="AQ47"/>
  <c r="AQ46"/>
  <c r="AQ45"/>
  <c r="AQ44"/>
  <c r="AQ43"/>
  <c r="AQ42"/>
  <c r="AQ41"/>
  <c r="AQ40"/>
  <c r="AQ39"/>
  <c r="AQ38"/>
  <c r="AQ37"/>
  <c r="AQ36"/>
  <c r="AQ35"/>
  <c r="AQ34"/>
  <c r="AQ33"/>
  <c r="AQ32"/>
  <c r="AQ31"/>
  <c r="AQ30"/>
  <c r="AQ29"/>
  <c r="AQ28"/>
  <c r="AQ27"/>
  <c r="AQ26"/>
  <c r="AQ25"/>
  <c r="AQ24"/>
  <c r="AQ23"/>
  <c r="AQ22"/>
  <c r="AQ21"/>
  <c r="AQ20"/>
  <c r="AQ19"/>
  <c r="AQ18"/>
  <c r="AQ17"/>
  <c r="AQ16"/>
  <c r="AK64"/>
  <c r="AK62"/>
  <c r="AK61"/>
  <c r="AK60"/>
  <c r="AK57"/>
  <c r="AK56"/>
  <c r="AK55"/>
  <c r="AK54"/>
  <c r="AK53"/>
  <c r="AK52"/>
  <c r="AK51"/>
  <c r="AK50"/>
  <c r="AK49"/>
  <c r="AK48"/>
  <c r="AK47"/>
  <c r="AK46"/>
  <c r="AK45"/>
  <c r="AK44"/>
  <c r="AK43"/>
  <c r="AK42"/>
  <c r="AK41"/>
  <c r="AK40"/>
  <c r="AK39"/>
  <c r="AK38"/>
  <c r="AK37"/>
  <c r="AK36"/>
  <c r="AK35"/>
  <c r="AK34"/>
  <c r="AK33"/>
  <c r="AK32"/>
  <c r="AK31"/>
  <c r="AK30"/>
  <c r="AK29"/>
  <c r="AK28"/>
  <c r="AK27"/>
  <c r="E453" i="4"/>
  <c r="E410"/>
  <c r="AK18" i="1"/>
  <c r="AK17"/>
  <c r="D24" i="32" l="1"/>
  <c r="AR49" i="1"/>
  <c r="D37" i="35" s="1"/>
  <c r="D36" i="32"/>
  <c r="D51"/>
  <c r="U19" i="3"/>
  <c r="V19" s="1"/>
  <c r="D17" i="32"/>
  <c r="AR34" i="1"/>
  <c r="D22" i="35" s="1"/>
  <c r="D21" i="32"/>
  <c r="AR38" i="1"/>
  <c r="D26" i="35" s="1"/>
  <c r="D25" i="32"/>
  <c r="AR42" i="1"/>
  <c r="D30" i="35" s="1"/>
  <c r="D29" i="32"/>
  <c r="AR46" i="1"/>
  <c r="D34" i="35" s="1"/>
  <c r="D33" i="32"/>
  <c r="AR50" i="1"/>
  <c r="D38" i="35" s="1"/>
  <c r="D37" i="32"/>
  <c r="AR54" i="1"/>
  <c r="D42" i="35" s="1"/>
  <c r="D41" i="32"/>
  <c r="AR60" i="1"/>
  <c r="D48" i="35" s="1"/>
  <c r="D47" i="32"/>
  <c r="U16" i="3"/>
  <c r="V16" s="1"/>
  <c r="U20"/>
  <c r="V20" s="1"/>
  <c r="U40"/>
  <c r="V40" s="1"/>
  <c r="U44"/>
  <c r="V44" s="1"/>
  <c r="AR33" i="1"/>
  <c r="D21" i="35" s="1"/>
  <c r="D20" i="32"/>
  <c r="AR45" i="1"/>
  <c r="D33" i="35" s="1"/>
  <c r="D32" i="32"/>
  <c r="AR53" i="1"/>
  <c r="D41" i="35" s="1"/>
  <c r="D40" i="32"/>
  <c r="U15" i="3"/>
  <c r="V15" s="1"/>
  <c r="U23"/>
  <c r="V23" s="1"/>
  <c r="D4" i="32"/>
  <c r="E539" i="4"/>
  <c r="D14" i="32"/>
  <c r="AR31" i="1"/>
  <c r="D19" i="35" s="1"/>
  <c r="D18" i="32"/>
  <c r="AR35" i="1"/>
  <c r="D23" i="35" s="1"/>
  <c r="D22" i="32"/>
  <c r="D26"/>
  <c r="AR43" i="1"/>
  <c r="D31" i="35" s="1"/>
  <c r="D30" i="32"/>
  <c r="AR47" i="1"/>
  <c r="D35" i="35" s="1"/>
  <c r="D34" i="32"/>
  <c r="AR51" i="1"/>
  <c r="D39" i="35" s="1"/>
  <c r="D38" i="32"/>
  <c r="AR55" i="1"/>
  <c r="D43" i="35" s="1"/>
  <c r="D42" i="32"/>
  <c r="D48"/>
  <c r="U13" i="3"/>
  <c r="V13" s="1"/>
  <c r="U17"/>
  <c r="V17" s="1"/>
  <c r="U41"/>
  <c r="V41" s="1"/>
  <c r="E625" i="4"/>
  <c r="D16" i="32"/>
  <c r="D28"/>
  <c r="AR57" i="1"/>
  <c r="D45" i="35" s="1"/>
  <c r="D44" i="32"/>
  <c r="D5"/>
  <c r="D15"/>
  <c r="AR32" i="1"/>
  <c r="D20" i="35" s="1"/>
  <c r="D19" i="32"/>
  <c r="D23"/>
  <c r="D27"/>
  <c r="AR44" i="1"/>
  <c r="D32" i="35" s="1"/>
  <c r="D31" i="32"/>
  <c r="AR48" i="1"/>
  <c r="D36" i="35" s="1"/>
  <c r="D35" i="32"/>
  <c r="AR52" i="1"/>
  <c r="D40" i="35" s="1"/>
  <c r="D39" i="32"/>
  <c r="AR56" i="1"/>
  <c r="D44" i="35" s="1"/>
  <c r="D43" i="32"/>
  <c r="D49"/>
  <c r="U14" i="3"/>
  <c r="V14" s="1"/>
  <c r="U18"/>
  <c r="V18" s="1"/>
  <c r="U34"/>
  <c r="V34" s="1"/>
  <c r="U38"/>
  <c r="V38" s="1"/>
  <c r="U50"/>
  <c r="V50" s="1"/>
  <c r="U58"/>
  <c r="V58" s="1"/>
  <c r="E668" i="4"/>
  <c r="AR30" i="1"/>
  <c r="D18" i="35" s="1"/>
  <c r="E926" i="4"/>
  <c r="AR36" i="1"/>
  <c r="D24" i="35" s="1"/>
  <c r="E1098" i="4"/>
  <c r="AR40" i="1"/>
  <c r="D28" i="35" s="1"/>
  <c r="U56" i="3"/>
  <c r="V56" s="1"/>
  <c r="AR59" i="1"/>
  <c r="D47" i="35" s="1"/>
  <c r="E969" i="4"/>
  <c r="AR37" i="1"/>
  <c r="D25" i="35" s="1"/>
  <c r="E1055" i="4"/>
  <c r="AR39" i="1"/>
  <c r="D27" i="35" s="1"/>
  <c r="E1141" i="4"/>
  <c r="AR41" i="1"/>
  <c r="D29" i="35" s="1"/>
  <c r="U55" i="3"/>
  <c r="V55" s="1"/>
  <c r="AR58" i="1"/>
  <c r="D46" i="35" s="1"/>
  <c r="U22" i="3"/>
  <c r="V22" s="1"/>
  <c r="AR25" i="1"/>
  <c r="D13" i="35" s="1"/>
  <c r="U24" i="3"/>
  <c r="V24" s="1"/>
  <c r="AR27" i="1"/>
  <c r="D15" i="35" s="1"/>
  <c r="U26" i="3"/>
  <c r="V26" s="1"/>
  <c r="AR29" i="1"/>
  <c r="D17" i="35" s="1"/>
  <c r="U28" i="3"/>
  <c r="V28" s="1"/>
  <c r="U30"/>
  <c r="V30" s="1"/>
  <c r="U32"/>
  <c r="V32" s="1"/>
  <c r="U36"/>
  <c r="V36" s="1"/>
  <c r="U42"/>
  <c r="V42" s="1"/>
  <c r="U46"/>
  <c r="V46" s="1"/>
  <c r="U48"/>
  <c r="V48" s="1"/>
  <c r="U52"/>
  <c r="V52" s="1"/>
  <c r="U54"/>
  <c r="V54" s="1"/>
  <c r="U60"/>
  <c r="V60" s="1"/>
  <c r="AR63" i="1"/>
  <c r="D51" i="35" s="1"/>
  <c r="U21" i="3"/>
  <c r="V21" s="1"/>
  <c r="AR24" i="1"/>
  <c r="D12" i="35" s="1"/>
  <c r="U25" i="3"/>
  <c r="V25" s="1"/>
  <c r="AR28" i="1"/>
  <c r="D16" i="35" s="1"/>
  <c r="U27" i="3"/>
  <c r="V27" s="1"/>
  <c r="U29"/>
  <c r="V29" s="1"/>
  <c r="U31"/>
  <c r="V31" s="1"/>
  <c r="U33"/>
  <c r="V33" s="1"/>
  <c r="U35"/>
  <c r="V35" s="1"/>
  <c r="U37"/>
  <c r="V37" s="1"/>
  <c r="U39"/>
  <c r="V39" s="1"/>
  <c r="U43"/>
  <c r="V43" s="1"/>
  <c r="U45"/>
  <c r="V45" s="1"/>
  <c r="U47"/>
  <c r="V47" s="1"/>
  <c r="U49"/>
  <c r="V49" s="1"/>
  <c r="U51"/>
  <c r="V51" s="1"/>
  <c r="U53"/>
  <c r="V53" s="1"/>
  <c r="U57"/>
  <c r="V57" s="1"/>
  <c r="U59"/>
  <c r="V59" s="1"/>
  <c r="AR62" i="1"/>
  <c r="D50" i="35" s="1"/>
  <c r="U61" i="3"/>
  <c r="V61" s="1"/>
  <c r="AR64" i="1"/>
  <c r="D52" i="35" s="1"/>
  <c r="J223" i="10"/>
  <c r="E195" i="4"/>
  <c r="J411" i="10"/>
  <c r="E367" i="4"/>
  <c r="J787" i="10"/>
  <c r="E711" i="4"/>
  <c r="J975" i="10"/>
  <c r="E883" i="4"/>
  <c r="J1447" i="10"/>
  <c r="E1313" i="4"/>
  <c r="J1445" i="10"/>
  <c r="J176"/>
  <c r="E152" i="4"/>
  <c r="J270" i="10"/>
  <c r="E238" i="4"/>
  <c r="J364" i="10"/>
  <c r="E324" i="4"/>
  <c r="J552" i="10"/>
  <c r="E496" i="4"/>
  <c r="J648" i="10"/>
  <c r="E582" i="4"/>
  <c r="J834" i="10"/>
  <c r="E754" i="4"/>
  <c r="J928" i="10"/>
  <c r="E840" i="4"/>
  <c r="J1116" i="10"/>
  <c r="E1012" i="4"/>
  <c r="J1306" i="10"/>
  <c r="E1184" i="4"/>
  <c r="J1304" i="10"/>
  <c r="E1270" i="4"/>
  <c r="J1398" i="10"/>
  <c r="J1494"/>
  <c r="E1356" i="4"/>
  <c r="J1492" i="10"/>
  <c r="J1588"/>
  <c r="E1442" i="4"/>
  <c r="J1586" i="10"/>
  <c r="J1682"/>
  <c r="E1528" i="4"/>
  <c r="J1680" i="10"/>
  <c r="E1614" i="4"/>
  <c r="J1774" i="10"/>
  <c r="J1870"/>
  <c r="E1700" i="4"/>
  <c r="J1868" i="10"/>
  <c r="J1964"/>
  <c r="E1786" i="4"/>
  <c r="J1962" i="10"/>
  <c r="J2058"/>
  <c r="E1872" i="4"/>
  <c r="J2056" i="10"/>
  <c r="E1958" i="4"/>
  <c r="J2150" i="10"/>
  <c r="J2246"/>
  <c r="E2044" i="4"/>
  <c r="J2244" i="10"/>
  <c r="E2130" i="4"/>
  <c r="J2338" i="10"/>
  <c r="E2216" i="4"/>
  <c r="J2432" i="10"/>
  <c r="J127"/>
  <c r="E109" i="4"/>
  <c r="J317" i="10"/>
  <c r="E281" i="4"/>
  <c r="J881" i="10"/>
  <c r="E797" i="4"/>
  <c r="J1353" i="10"/>
  <c r="E1227" i="4"/>
  <c r="J1351" i="10"/>
  <c r="J1541"/>
  <c r="E1399" i="4"/>
  <c r="J1539" i="10"/>
  <c r="J1635"/>
  <c r="E1485" i="4"/>
  <c r="J1633" i="10"/>
  <c r="J1729"/>
  <c r="E1571" i="4"/>
  <c r="J1727" i="10"/>
  <c r="J1823"/>
  <c r="E1657" i="4"/>
  <c r="J1821" i="10"/>
  <c r="J1917"/>
  <c r="E1743" i="4"/>
  <c r="J1915" i="10"/>
  <c r="E1829" i="4"/>
  <c r="J2009" i="10"/>
  <c r="J2105"/>
  <c r="E1915" i="4"/>
  <c r="J2103" i="10"/>
  <c r="AR61" i="1"/>
  <c r="E2001" i="4"/>
  <c r="J2197" i="10"/>
  <c r="J2293"/>
  <c r="E2087" i="4"/>
  <c r="J2291" i="10"/>
  <c r="E2173" i="4"/>
  <c r="J2385" i="10"/>
  <c r="J507"/>
  <c r="J505"/>
  <c r="J601"/>
  <c r="J646"/>
  <c r="J599"/>
  <c r="J695"/>
  <c r="J693"/>
  <c r="J1071"/>
  <c r="J1069"/>
  <c r="J1165"/>
  <c r="J1163"/>
  <c r="J1259"/>
  <c r="J1257"/>
  <c r="AR17" i="1"/>
  <c r="AR19"/>
  <c r="AR21"/>
  <c r="AR23"/>
  <c r="J789" i="10"/>
  <c r="J883"/>
  <c r="J977"/>
  <c r="J458"/>
  <c r="J742"/>
  <c r="J740"/>
  <c r="J1024"/>
  <c r="J1022"/>
  <c r="J1212"/>
  <c r="H1210"/>
  <c r="AR18" i="1"/>
  <c r="AR20"/>
  <c r="AR22"/>
  <c r="AR26"/>
  <c r="J836" i="10"/>
  <c r="J930"/>
  <c r="J1118"/>
  <c r="Z64" i="1"/>
  <c r="Z63"/>
  <c r="Z62"/>
  <c r="Z61"/>
  <c r="Z60"/>
  <c r="Z59"/>
  <c r="Z58"/>
  <c r="Z57"/>
  <c r="Z56"/>
  <c r="Z55"/>
  <c r="Z54"/>
  <c r="Z53"/>
  <c r="Z52"/>
  <c r="Z51"/>
  <c r="Z50"/>
  <c r="Z49"/>
  <c r="Z48"/>
  <c r="Z47"/>
  <c r="Z46"/>
  <c r="Z45"/>
  <c r="Z44"/>
  <c r="Z43"/>
  <c r="Z42"/>
  <c r="Z41"/>
  <c r="Z40"/>
  <c r="Z39"/>
  <c r="Z38"/>
  <c r="Z37"/>
  <c r="Z36"/>
  <c r="Z35"/>
  <c r="Z34"/>
  <c r="Z33"/>
  <c r="Z32"/>
  <c r="Z31"/>
  <c r="Z30"/>
  <c r="Z29"/>
  <c r="Z28"/>
  <c r="Z27"/>
  <c r="Z26"/>
  <c r="Z25"/>
  <c r="Z24"/>
  <c r="Z23"/>
  <c r="Z22"/>
  <c r="Z21"/>
  <c r="Z20"/>
  <c r="Z19"/>
  <c r="Z18"/>
  <c r="Z17"/>
  <c r="Z16"/>
  <c r="A11" i="35" l="1"/>
  <c r="B10" i="32"/>
  <c r="A23" i="35"/>
  <c r="B22" i="32"/>
  <c r="A31" i="35"/>
  <c r="B30" i="32"/>
  <c r="A43" i="35"/>
  <c r="B42" i="32"/>
  <c r="J366" i="10"/>
  <c r="D10" i="35"/>
  <c r="A4"/>
  <c r="B3" i="32"/>
  <c r="A8" i="35"/>
  <c r="B7" i="32"/>
  <c r="A12" i="35"/>
  <c r="B11" i="32"/>
  <c r="A16" i="35"/>
  <c r="B15" i="32"/>
  <c r="A20" i="35"/>
  <c r="B19" i="32"/>
  <c r="A24" i="35"/>
  <c r="B23" i="32"/>
  <c r="A28" i="35"/>
  <c r="B27" i="32"/>
  <c r="A32" i="35"/>
  <c r="B31" i="32"/>
  <c r="A36" i="35"/>
  <c r="B35" i="32"/>
  <c r="A40" i="35"/>
  <c r="B39" i="32"/>
  <c r="A44" i="35"/>
  <c r="B43" i="32"/>
  <c r="A48" i="35"/>
  <c r="B47" i="32"/>
  <c r="A52" i="35"/>
  <c r="B51" i="32"/>
  <c r="J272" i="10"/>
  <c r="D8" i="35"/>
  <c r="J129" i="10"/>
  <c r="D5" i="35"/>
  <c r="J2387" i="10"/>
  <c r="J2011"/>
  <c r="J2152"/>
  <c r="J1776"/>
  <c r="J1400"/>
  <c r="A19" i="35"/>
  <c r="B18" i="32"/>
  <c r="A35" i="35"/>
  <c r="B34" i="32"/>
  <c r="A47" i="35"/>
  <c r="B46" i="32"/>
  <c r="J225" i="10"/>
  <c r="D7" i="35"/>
  <c r="A5"/>
  <c r="B4" i="32"/>
  <c r="A17" i="35"/>
  <c r="B16" i="32"/>
  <c r="J460" i="10"/>
  <c r="A7" i="35"/>
  <c r="B6" i="32"/>
  <c r="A15" i="35"/>
  <c r="B14" i="32"/>
  <c r="A27" i="35"/>
  <c r="B26" i="32"/>
  <c r="A39" i="35"/>
  <c r="B38" i="32"/>
  <c r="A51" i="35"/>
  <c r="B50" i="32"/>
  <c r="J2434" i="10"/>
  <c r="A9" i="35"/>
  <c r="B8" i="32"/>
  <c r="A13" i="35"/>
  <c r="B12" i="32"/>
  <c r="A21" i="35"/>
  <c r="B20" i="32"/>
  <c r="A25" i="35"/>
  <c r="B24" i="32"/>
  <c r="A29" i="35"/>
  <c r="B28" i="32"/>
  <c r="A33" i="35"/>
  <c r="B32" i="32"/>
  <c r="A37" i="35"/>
  <c r="B36" i="32"/>
  <c r="A41" i="35"/>
  <c r="B40" i="32"/>
  <c r="A45" i="35"/>
  <c r="B44" i="32"/>
  <c r="A49" i="35"/>
  <c r="B48" i="32"/>
  <c r="J178" i="10"/>
  <c r="D6" i="35"/>
  <c r="J413" i="10"/>
  <c r="D11" i="35"/>
  <c r="A6"/>
  <c r="B5" i="32"/>
  <c r="A10" i="35"/>
  <c r="B9" i="32"/>
  <c r="A14" i="35"/>
  <c r="B13" i="32"/>
  <c r="A18" i="35"/>
  <c r="B17" i="32"/>
  <c r="A22" i="35"/>
  <c r="B21" i="32"/>
  <c r="A26" i="35"/>
  <c r="B25" i="32"/>
  <c r="A30" i="35"/>
  <c r="B29" i="32"/>
  <c r="A34" i="35"/>
  <c r="B33" i="32"/>
  <c r="A38" i="35"/>
  <c r="B37" i="32"/>
  <c r="A42" i="35"/>
  <c r="B41" i="32"/>
  <c r="A46" i="35"/>
  <c r="B45" i="32"/>
  <c r="A50" i="35"/>
  <c r="B49" i="32"/>
  <c r="J554" i="10"/>
  <c r="D14" i="35"/>
  <c r="J319" i="10"/>
  <c r="D9" i="35"/>
  <c r="J2199" i="10"/>
  <c r="D49" i="35"/>
  <c r="J2340" i="10"/>
  <c r="H2137"/>
  <c r="H2090"/>
  <c r="H2043"/>
  <c r="H1996"/>
  <c r="H1949"/>
  <c r="H1902"/>
  <c r="H1855"/>
  <c r="H1808"/>
  <c r="H1761"/>
  <c r="H1714"/>
  <c r="H1667"/>
  <c r="H1620"/>
  <c r="H1573"/>
  <c r="H1526"/>
  <c r="R2218" i="4"/>
  <c r="Q2218"/>
  <c r="P2218"/>
  <c r="O2218"/>
  <c r="N2218"/>
  <c r="R2217"/>
  <c r="O2212"/>
  <c r="O2207"/>
  <c r="O2205"/>
  <c r="O2203"/>
  <c r="R2201"/>
  <c r="O2201"/>
  <c r="L2198"/>
  <c r="N2197"/>
  <c r="H2175"/>
  <c r="R2175" s="1"/>
  <c r="G2175"/>
  <c r="Q2175" s="1"/>
  <c r="F2175"/>
  <c r="P2175" s="1"/>
  <c r="O2175"/>
  <c r="N2175"/>
  <c r="R2174"/>
  <c r="O2169"/>
  <c r="O2164"/>
  <c r="O2162"/>
  <c r="O2160"/>
  <c r="R2158"/>
  <c r="O2158"/>
  <c r="L2155"/>
  <c r="N2154"/>
  <c r="H2132"/>
  <c r="R2132" s="1"/>
  <c r="G2132"/>
  <c r="Q2132" s="1"/>
  <c r="F2132"/>
  <c r="P2132" s="1"/>
  <c r="O2132"/>
  <c r="N2132"/>
  <c r="R2131"/>
  <c r="O2126"/>
  <c r="O2121"/>
  <c r="O2119"/>
  <c r="O2117"/>
  <c r="R2115"/>
  <c r="O2115"/>
  <c r="L2112"/>
  <c r="N2111"/>
  <c r="R2089"/>
  <c r="Q2089"/>
  <c r="P2089"/>
  <c r="O2089"/>
  <c r="N2089"/>
  <c r="R2088"/>
  <c r="O2083"/>
  <c r="O2078"/>
  <c r="O2076"/>
  <c r="O2074"/>
  <c r="R2072"/>
  <c r="O2072"/>
  <c r="L2069"/>
  <c r="N2068"/>
  <c r="R2046"/>
  <c r="Q2046"/>
  <c r="P2046"/>
  <c r="O2046"/>
  <c r="N2046"/>
  <c r="R2045"/>
  <c r="O2040"/>
  <c r="O2035"/>
  <c r="O2033"/>
  <c r="O2031"/>
  <c r="R2029"/>
  <c r="O2029"/>
  <c r="L2026"/>
  <c r="N2025"/>
  <c r="R2003"/>
  <c r="Q2003"/>
  <c r="P2003"/>
  <c r="O2003"/>
  <c r="N2003"/>
  <c r="R2002"/>
  <c r="O1997"/>
  <c r="O1992"/>
  <c r="O1990"/>
  <c r="O1988"/>
  <c r="R1986"/>
  <c r="O1986"/>
  <c r="L1983"/>
  <c r="N1982"/>
  <c r="R1960"/>
  <c r="Q1960"/>
  <c r="P1960"/>
  <c r="O1960"/>
  <c r="N1960"/>
  <c r="R1959"/>
  <c r="O1954"/>
  <c r="O1949"/>
  <c r="O1947"/>
  <c r="O1945"/>
  <c r="R1943"/>
  <c r="O1943"/>
  <c r="L1940"/>
  <c r="N1939"/>
  <c r="R1917"/>
  <c r="Q1917"/>
  <c r="P1917"/>
  <c r="O1917"/>
  <c r="N1917"/>
  <c r="R1916"/>
  <c r="O1911"/>
  <c r="O1906"/>
  <c r="O1904"/>
  <c r="O1902"/>
  <c r="R1900"/>
  <c r="O1900"/>
  <c r="L1897"/>
  <c r="N1896"/>
  <c r="R1874"/>
  <c r="Q1874"/>
  <c r="P1874"/>
  <c r="O1874"/>
  <c r="N1874"/>
  <c r="R1873"/>
  <c r="O1868"/>
  <c r="O1863"/>
  <c r="O1861"/>
  <c r="O1859"/>
  <c r="R1857"/>
  <c r="O1857"/>
  <c r="L1854"/>
  <c r="N1853"/>
  <c r="R1831"/>
  <c r="Q1831"/>
  <c r="P1831"/>
  <c r="O1831"/>
  <c r="N1831"/>
  <c r="R1830"/>
  <c r="O1825"/>
  <c r="O1820"/>
  <c r="O1818"/>
  <c r="O1816"/>
  <c r="R1814"/>
  <c r="O1814"/>
  <c r="L1811"/>
  <c r="N1810"/>
  <c r="R1788"/>
  <c r="Q1788"/>
  <c r="P1788"/>
  <c r="O1788"/>
  <c r="N1788"/>
  <c r="R1787"/>
  <c r="O1782"/>
  <c r="O1777"/>
  <c r="O1775"/>
  <c r="O1773"/>
  <c r="R1771"/>
  <c r="O1771"/>
  <c r="L1768"/>
  <c r="N1767"/>
  <c r="R1745"/>
  <c r="Q1745"/>
  <c r="P1745"/>
  <c r="O1745"/>
  <c r="N1745"/>
  <c r="R1744"/>
  <c r="O1739"/>
  <c r="O1734"/>
  <c r="O1732"/>
  <c r="O1730"/>
  <c r="R1728"/>
  <c r="O1728"/>
  <c r="L1725"/>
  <c r="N1724"/>
  <c r="R1702"/>
  <c r="Q1702"/>
  <c r="P1702"/>
  <c r="O1702"/>
  <c r="N1702"/>
  <c r="R1701"/>
  <c r="O1696"/>
  <c r="O1691"/>
  <c r="O1689"/>
  <c r="O1687"/>
  <c r="R1685"/>
  <c r="O1685"/>
  <c r="L1682"/>
  <c r="N1681"/>
  <c r="R1659"/>
  <c r="Q1659"/>
  <c r="P1659"/>
  <c r="O1659"/>
  <c r="N1659"/>
  <c r="R1658"/>
  <c r="O1653"/>
  <c r="O1648"/>
  <c r="O1646"/>
  <c r="O1644"/>
  <c r="R1642"/>
  <c r="O1642"/>
  <c r="L1639"/>
  <c r="N1638"/>
  <c r="R1616"/>
  <c r="Q1616"/>
  <c r="P1616"/>
  <c r="O1616"/>
  <c r="N1616"/>
  <c r="R1615"/>
  <c r="O1610"/>
  <c r="O1605"/>
  <c r="O1603"/>
  <c r="O1601"/>
  <c r="R1599"/>
  <c r="O1599"/>
  <c r="L1596"/>
  <c r="N1595"/>
  <c r="R1573"/>
  <c r="Q1573"/>
  <c r="P1573"/>
  <c r="O1573"/>
  <c r="N1573"/>
  <c r="R1572"/>
  <c r="O1567"/>
  <c r="O1562"/>
  <c r="O1560"/>
  <c r="O1558"/>
  <c r="R1556"/>
  <c r="O1556"/>
  <c r="L1553"/>
  <c r="N1552"/>
  <c r="R1530"/>
  <c r="Q1530"/>
  <c r="P1530"/>
  <c r="O1530"/>
  <c r="N1530"/>
  <c r="R1529"/>
  <c r="O1524"/>
  <c r="O1519"/>
  <c r="O1517"/>
  <c r="O1515"/>
  <c r="R1513"/>
  <c r="O1513"/>
  <c r="L1510"/>
  <c r="N1509"/>
  <c r="R1487"/>
  <c r="Q1487"/>
  <c r="P1487"/>
  <c r="O1487"/>
  <c r="N1487"/>
  <c r="R1486"/>
  <c r="O1481"/>
  <c r="O1476"/>
  <c r="O1474"/>
  <c r="O1472"/>
  <c r="R1470"/>
  <c r="O1470"/>
  <c r="L1467"/>
  <c r="N1466"/>
  <c r="R1444"/>
  <c r="Q1444"/>
  <c r="P1444"/>
  <c r="O1444"/>
  <c r="N1444"/>
  <c r="R1443"/>
  <c r="O1438"/>
  <c r="O1433"/>
  <c r="O1431"/>
  <c r="O1429"/>
  <c r="R1427"/>
  <c r="O1427"/>
  <c r="L1424"/>
  <c r="N1423"/>
  <c r="R1401"/>
  <c r="Q1401"/>
  <c r="P1401"/>
  <c r="O1401"/>
  <c r="N1401"/>
  <c r="R1400"/>
  <c r="O1395"/>
  <c r="O1390"/>
  <c r="O1388"/>
  <c r="O1386"/>
  <c r="R1384"/>
  <c r="O1384"/>
  <c r="L1381"/>
  <c r="N1380"/>
  <c r="R1358"/>
  <c r="Q1358"/>
  <c r="P1358"/>
  <c r="O1358"/>
  <c r="N1358"/>
  <c r="R1357"/>
  <c r="O1352"/>
  <c r="O1347"/>
  <c r="O1345"/>
  <c r="O1343"/>
  <c r="R1341"/>
  <c r="O1341"/>
  <c r="L1338"/>
  <c r="N1337"/>
  <c r="R1315"/>
  <c r="Q1315"/>
  <c r="P1315"/>
  <c r="O1315"/>
  <c r="N1315"/>
  <c r="R1314"/>
  <c r="O1309"/>
  <c r="O1304"/>
  <c r="O1302"/>
  <c r="O1300"/>
  <c r="R1298"/>
  <c r="O1298"/>
  <c r="L1295"/>
  <c r="N1294"/>
  <c r="R1272"/>
  <c r="Q1272"/>
  <c r="P1272"/>
  <c r="O1272"/>
  <c r="N1272"/>
  <c r="R1271"/>
  <c r="O1266"/>
  <c r="O1261"/>
  <c r="O1259"/>
  <c r="O1257"/>
  <c r="R1255"/>
  <c r="O1255"/>
  <c r="L1252"/>
  <c r="N1251"/>
  <c r="R1229"/>
  <c r="Q1229"/>
  <c r="P1229"/>
  <c r="O1229"/>
  <c r="N1229"/>
  <c r="R1228"/>
  <c r="O1223"/>
  <c r="O1218"/>
  <c r="O1216"/>
  <c r="O1214"/>
  <c r="R1212"/>
  <c r="O1212"/>
  <c r="L1209"/>
  <c r="N1208"/>
  <c r="R1186"/>
  <c r="Q1186"/>
  <c r="P1186"/>
  <c r="O1186"/>
  <c r="N1186"/>
  <c r="R1185"/>
  <c r="O1180"/>
  <c r="O1175"/>
  <c r="O1173"/>
  <c r="O1171"/>
  <c r="R1169"/>
  <c r="O1169"/>
  <c r="L1166"/>
  <c r="N1165"/>
  <c r="R1143"/>
  <c r="Q1143"/>
  <c r="P1143"/>
  <c r="O1143"/>
  <c r="N1143"/>
  <c r="R1142"/>
  <c r="O1137"/>
  <c r="O1132"/>
  <c r="O1130"/>
  <c r="O1128"/>
  <c r="R1126"/>
  <c r="O1126"/>
  <c r="L1123"/>
  <c r="N1122"/>
  <c r="R1100"/>
  <c r="Q1100"/>
  <c r="P1100"/>
  <c r="O1100"/>
  <c r="N1100"/>
  <c r="R1099"/>
  <c r="O1094"/>
  <c r="O1089"/>
  <c r="O1087"/>
  <c r="O1085"/>
  <c r="R1083"/>
  <c r="O1083"/>
  <c r="L1080"/>
  <c r="N1079"/>
  <c r="R1057"/>
  <c r="Q1057"/>
  <c r="P1057"/>
  <c r="O1057"/>
  <c r="N1057"/>
  <c r="R1056"/>
  <c r="O1051"/>
  <c r="O1046"/>
  <c r="O1044"/>
  <c r="O1042"/>
  <c r="R1040"/>
  <c r="O1040"/>
  <c r="L1037"/>
  <c r="N1036"/>
  <c r="R1014"/>
  <c r="Q1014"/>
  <c r="P1014"/>
  <c r="O1014"/>
  <c r="N1014"/>
  <c r="R1013"/>
  <c r="O1008"/>
  <c r="O1003"/>
  <c r="O1001"/>
  <c r="O999"/>
  <c r="R997"/>
  <c r="O997"/>
  <c r="L994"/>
  <c r="N993"/>
  <c r="R971"/>
  <c r="Q971"/>
  <c r="P971"/>
  <c r="O971"/>
  <c r="N971"/>
  <c r="R970"/>
  <c r="O965"/>
  <c r="O960"/>
  <c r="O958"/>
  <c r="O956"/>
  <c r="R954"/>
  <c r="O954"/>
  <c r="L951"/>
  <c r="N950"/>
  <c r="R928"/>
  <c r="Q928"/>
  <c r="P928"/>
  <c r="O928"/>
  <c r="N928"/>
  <c r="R927"/>
  <c r="O922"/>
  <c r="O917"/>
  <c r="O915"/>
  <c r="O913"/>
  <c r="R911"/>
  <c r="O911"/>
  <c r="L908"/>
  <c r="N907"/>
  <c r="R885"/>
  <c r="Q885"/>
  <c r="P885"/>
  <c r="O885"/>
  <c r="N885"/>
  <c r="R884"/>
  <c r="O879"/>
  <c r="O874"/>
  <c r="O872"/>
  <c r="O870"/>
  <c r="R868"/>
  <c r="O868"/>
  <c r="L865"/>
  <c r="N864"/>
  <c r="R842"/>
  <c r="Q842"/>
  <c r="P842"/>
  <c r="O842"/>
  <c r="N842"/>
  <c r="R841"/>
  <c r="O836"/>
  <c r="O831"/>
  <c r="O829"/>
  <c r="O827"/>
  <c r="R825"/>
  <c r="O825"/>
  <c r="L822"/>
  <c r="N821"/>
  <c r="R799"/>
  <c r="Q799"/>
  <c r="P799"/>
  <c r="O799"/>
  <c r="N799"/>
  <c r="R798"/>
  <c r="O793"/>
  <c r="O788"/>
  <c r="O786"/>
  <c r="O784"/>
  <c r="R782"/>
  <c r="O782"/>
  <c r="L779"/>
  <c r="N778"/>
  <c r="R756"/>
  <c r="Q756"/>
  <c r="P756"/>
  <c r="O756"/>
  <c r="N756"/>
  <c r="R755"/>
  <c r="O750"/>
  <c r="O745"/>
  <c r="O743"/>
  <c r="O741"/>
  <c r="R739"/>
  <c r="O739"/>
  <c r="L736"/>
  <c r="N735"/>
  <c r="R713"/>
  <c r="Q713"/>
  <c r="P713"/>
  <c r="O713"/>
  <c r="N713"/>
  <c r="R712"/>
  <c r="O707"/>
  <c r="O702"/>
  <c r="O700"/>
  <c r="O698"/>
  <c r="R696"/>
  <c r="O696"/>
  <c r="L693"/>
  <c r="N692"/>
  <c r="R670"/>
  <c r="Q670"/>
  <c r="P670"/>
  <c r="O670"/>
  <c r="N670"/>
  <c r="R669"/>
  <c r="O664"/>
  <c r="O659"/>
  <c r="O657"/>
  <c r="O655"/>
  <c r="R653"/>
  <c r="O653"/>
  <c r="L650"/>
  <c r="N649"/>
  <c r="R627"/>
  <c r="Q627"/>
  <c r="P627"/>
  <c r="O627"/>
  <c r="N627"/>
  <c r="R626"/>
  <c r="O621"/>
  <c r="O616"/>
  <c r="O614"/>
  <c r="O612"/>
  <c r="R610"/>
  <c r="O610"/>
  <c r="L607"/>
  <c r="N606"/>
  <c r="R584"/>
  <c r="Q584"/>
  <c r="P584"/>
  <c r="O584"/>
  <c r="N584"/>
  <c r="R583"/>
  <c r="O578"/>
  <c r="O573"/>
  <c r="O571"/>
  <c r="O569"/>
  <c r="R567"/>
  <c r="O567"/>
  <c r="L564"/>
  <c r="N563"/>
  <c r="R541"/>
  <c r="Q541"/>
  <c r="P541"/>
  <c r="O541"/>
  <c r="N541"/>
  <c r="R540"/>
  <c r="O535"/>
  <c r="O530"/>
  <c r="O528"/>
  <c r="O526"/>
  <c r="R524"/>
  <c r="O524"/>
  <c r="L521"/>
  <c r="N520"/>
  <c r="H1479" i="10"/>
  <c r="H1432"/>
  <c r="H1385"/>
  <c r="H1338"/>
  <c r="H1291"/>
  <c r="H1244"/>
  <c r="J1210"/>
  <c r="H1197"/>
  <c r="H1150"/>
  <c r="H1103"/>
  <c r="H1056"/>
  <c r="H1009"/>
  <c r="H962"/>
  <c r="H915"/>
  <c r="H868"/>
  <c r="H821"/>
  <c r="H774"/>
  <c r="H727"/>
  <c r="H680"/>
  <c r="H633"/>
  <c r="H586"/>
  <c r="H539"/>
  <c r="H492"/>
  <c r="H445"/>
  <c r="H398"/>
  <c r="H351"/>
  <c r="H304"/>
  <c r="H257"/>
  <c r="H210"/>
  <c r="H163"/>
  <c r="H68" i="4"/>
  <c r="G68"/>
  <c r="F68"/>
  <c r="E68"/>
  <c r="D68"/>
  <c r="E57"/>
  <c r="E55"/>
  <c r="E53"/>
  <c r="H51"/>
  <c r="E51"/>
  <c r="F25" i="29"/>
  <c r="G22"/>
  <c r="E4"/>
  <c r="D4"/>
  <c r="F20" i="28"/>
  <c r="G17"/>
  <c r="E4"/>
  <c r="D4"/>
  <c r="G22" i="27"/>
  <c r="F25"/>
  <c r="E3"/>
  <c r="D3"/>
  <c r="B48" i="4"/>
  <c r="D47"/>
  <c r="S842" l="1"/>
  <c r="S928"/>
  <c r="S971"/>
  <c r="S1057"/>
  <c r="S1186"/>
  <c r="S1229"/>
  <c r="S1487"/>
  <c r="S1659"/>
  <c r="S1702"/>
  <c r="S1745"/>
  <c r="S1788"/>
  <c r="S1960"/>
  <c r="S2003"/>
  <c r="S2046"/>
  <c r="S2089"/>
  <c r="S2132"/>
  <c r="S2175"/>
  <c r="S2218"/>
  <c r="S584"/>
  <c r="S627"/>
  <c r="S713"/>
  <c r="S756"/>
  <c r="S799"/>
  <c r="S1143"/>
  <c r="S1831"/>
  <c r="S1874"/>
  <c r="S1917"/>
  <c r="S1014"/>
  <c r="I2218"/>
  <c r="E2220" s="1"/>
  <c r="O2220" s="1"/>
  <c r="O2216"/>
  <c r="I2175"/>
  <c r="E2177" s="1"/>
  <c r="O2177" s="1"/>
  <c r="O2173"/>
  <c r="I2132"/>
  <c r="O2130"/>
  <c r="I2089"/>
  <c r="O2087"/>
  <c r="I2046"/>
  <c r="O2044"/>
  <c r="I2003"/>
  <c r="E2005" s="1"/>
  <c r="O2005" s="1"/>
  <c r="O2001"/>
  <c r="I1960"/>
  <c r="E1962" s="1"/>
  <c r="O1962" s="1"/>
  <c r="O1958"/>
  <c r="I1917"/>
  <c r="E1919" s="1"/>
  <c r="O1919" s="1"/>
  <c r="O1915"/>
  <c r="I1874"/>
  <c r="E1876" s="1"/>
  <c r="O1876" s="1"/>
  <c r="O1872"/>
  <c r="I1831"/>
  <c r="E1833" s="1"/>
  <c r="O1833" s="1"/>
  <c r="O1829"/>
  <c r="I1788"/>
  <c r="E1790" s="1"/>
  <c r="O1790" s="1"/>
  <c r="O1786"/>
  <c r="I1745"/>
  <c r="E1747" s="1"/>
  <c r="O1747" s="1"/>
  <c r="O1743"/>
  <c r="I1702"/>
  <c r="E1704" s="1"/>
  <c r="O1704" s="1"/>
  <c r="O1700"/>
  <c r="I1659"/>
  <c r="O1657"/>
  <c r="S1616"/>
  <c r="I1616"/>
  <c r="E1618" s="1"/>
  <c r="O1618" s="1"/>
  <c r="O1614"/>
  <c r="S1272"/>
  <c r="S1401"/>
  <c r="S1444"/>
  <c r="S1573"/>
  <c r="S1315"/>
  <c r="S1358"/>
  <c r="S885"/>
  <c r="S1530"/>
  <c r="I1573"/>
  <c r="E1575" s="1"/>
  <c r="O1575" s="1"/>
  <c r="O1571"/>
  <c r="I1530"/>
  <c r="O1528"/>
  <c r="I1487"/>
  <c r="E1489" s="1"/>
  <c r="O1489" s="1"/>
  <c r="O1485"/>
  <c r="I1444"/>
  <c r="O1442"/>
  <c r="I1401"/>
  <c r="O1399"/>
  <c r="I1358"/>
  <c r="E1360" s="1"/>
  <c r="O1360" s="1"/>
  <c r="O1356"/>
  <c r="I1315"/>
  <c r="E1317" s="1"/>
  <c r="O1317" s="1"/>
  <c r="O1313"/>
  <c r="I1272"/>
  <c r="E1274" s="1"/>
  <c r="O1274" s="1"/>
  <c r="O1270"/>
  <c r="I1229"/>
  <c r="E1231" s="1"/>
  <c r="O1231" s="1"/>
  <c r="O1227"/>
  <c r="I1186"/>
  <c r="E1188" s="1"/>
  <c r="O1188" s="1"/>
  <c r="O1184"/>
  <c r="I1143"/>
  <c r="E1145" s="1"/>
  <c r="O1145" s="1"/>
  <c r="O1141"/>
  <c r="S1100"/>
  <c r="I1100"/>
  <c r="O1098"/>
  <c r="I1057"/>
  <c r="O1055"/>
  <c r="I1014"/>
  <c r="E1016" s="1"/>
  <c r="O1016" s="1"/>
  <c r="O1012"/>
  <c r="I971"/>
  <c r="E973" s="1"/>
  <c r="O973" s="1"/>
  <c r="O969"/>
  <c r="I928"/>
  <c r="O926"/>
  <c r="I885"/>
  <c r="E887" s="1"/>
  <c r="O887" s="1"/>
  <c r="O883"/>
  <c r="I842"/>
  <c r="E844" s="1"/>
  <c r="O844" s="1"/>
  <c r="O840"/>
  <c r="I799"/>
  <c r="E801" s="1"/>
  <c r="O801" s="1"/>
  <c r="O797"/>
  <c r="I756"/>
  <c r="E758" s="1"/>
  <c r="O758" s="1"/>
  <c r="O754"/>
  <c r="I713"/>
  <c r="E715" s="1"/>
  <c r="O715" s="1"/>
  <c r="O711"/>
  <c r="S670"/>
  <c r="I670"/>
  <c r="O668"/>
  <c r="I627"/>
  <c r="O625"/>
  <c r="S541"/>
  <c r="I584"/>
  <c r="O582"/>
  <c r="I541"/>
  <c r="O539"/>
  <c r="R498"/>
  <c r="Q498"/>
  <c r="P498"/>
  <c r="O498"/>
  <c r="N498"/>
  <c r="R497"/>
  <c r="O492"/>
  <c r="O487"/>
  <c r="O485"/>
  <c r="O483"/>
  <c r="R481"/>
  <c r="O481"/>
  <c r="L478"/>
  <c r="N477"/>
  <c r="R455"/>
  <c r="Q455"/>
  <c r="P455"/>
  <c r="O455"/>
  <c r="N455"/>
  <c r="R454"/>
  <c r="O449"/>
  <c r="O444"/>
  <c r="O442"/>
  <c r="O440"/>
  <c r="R438"/>
  <c r="O438"/>
  <c r="L435"/>
  <c r="N434"/>
  <c r="R412"/>
  <c r="Q412"/>
  <c r="P412"/>
  <c r="O412"/>
  <c r="N412"/>
  <c r="R411"/>
  <c r="O406"/>
  <c r="O401"/>
  <c r="O399"/>
  <c r="O397"/>
  <c r="R395"/>
  <c r="O395"/>
  <c r="L392"/>
  <c r="N391"/>
  <c r="R369"/>
  <c r="Q369"/>
  <c r="P369"/>
  <c r="O369"/>
  <c r="N369"/>
  <c r="R368"/>
  <c r="O363"/>
  <c r="O358"/>
  <c r="O356"/>
  <c r="O354"/>
  <c r="R352"/>
  <c r="O352"/>
  <c r="L349"/>
  <c r="N348"/>
  <c r="R326"/>
  <c r="Q326"/>
  <c r="P326"/>
  <c r="O326"/>
  <c r="N326"/>
  <c r="R325"/>
  <c r="O320"/>
  <c r="O315"/>
  <c r="O313"/>
  <c r="O311"/>
  <c r="R309"/>
  <c r="O309"/>
  <c r="L306"/>
  <c r="N305"/>
  <c r="R283"/>
  <c r="Q283"/>
  <c r="P283"/>
  <c r="O283"/>
  <c r="N283"/>
  <c r="R282"/>
  <c r="O277"/>
  <c r="O272"/>
  <c r="O270"/>
  <c r="O268"/>
  <c r="R266"/>
  <c r="O266"/>
  <c r="L263"/>
  <c r="N262"/>
  <c r="R240"/>
  <c r="Q240"/>
  <c r="P240"/>
  <c r="O240"/>
  <c r="N240"/>
  <c r="R239"/>
  <c r="O234"/>
  <c r="O229"/>
  <c r="O227"/>
  <c r="O225"/>
  <c r="R223"/>
  <c r="O223"/>
  <c r="L220"/>
  <c r="N219"/>
  <c r="R197"/>
  <c r="Q197"/>
  <c r="P197"/>
  <c r="O197"/>
  <c r="N197"/>
  <c r="R196"/>
  <c r="O191"/>
  <c r="O186"/>
  <c r="O184"/>
  <c r="O182"/>
  <c r="R180"/>
  <c r="O180"/>
  <c r="L177"/>
  <c r="N176"/>
  <c r="R154"/>
  <c r="Q154"/>
  <c r="P154"/>
  <c r="O154"/>
  <c r="N154"/>
  <c r="R153"/>
  <c r="O148"/>
  <c r="O143"/>
  <c r="O141"/>
  <c r="O139"/>
  <c r="R137"/>
  <c r="O137"/>
  <c r="L134"/>
  <c r="N133"/>
  <c r="R111"/>
  <c r="Q111"/>
  <c r="P111"/>
  <c r="O111"/>
  <c r="N111"/>
  <c r="R110"/>
  <c r="O105"/>
  <c r="O100"/>
  <c r="O98"/>
  <c r="O96"/>
  <c r="R94"/>
  <c r="O94"/>
  <c r="L91"/>
  <c r="N90"/>
  <c r="R68"/>
  <c r="Q68"/>
  <c r="P68"/>
  <c r="O68"/>
  <c r="N68"/>
  <c r="R67"/>
  <c r="O62"/>
  <c r="O57"/>
  <c r="O55"/>
  <c r="O53"/>
  <c r="R51"/>
  <c r="O51"/>
  <c r="L48"/>
  <c r="N47"/>
  <c r="C5" i="12"/>
  <c r="C4"/>
  <c r="G34" i="26"/>
  <c r="E4"/>
  <c r="D4"/>
  <c r="F36"/>
  <c r="F7" i="13"/>
  <c r="H109" i="10"/>
  <c r="H107"/>
  <c r="B108"/>
  <c r="B101"/>
  <c r="B99"/>
  <c r="L81"/>
  <c r="K81"/>
  <c r="I81"/>
  <c r="G81"/>
  <c r="E81"/>
  <c r="H76"/>
  <c r="H74"/>
  <c r="H73"/>
  <c r="H72"/>
  <c r="H71"/>
  <c r="H70"/>
  <c r="H69"/>
  <c r="H68"/>
  <c r="H67"/>
  <c r="H66"/>
  <c r="H65"/>
  <c r="H64"/>
  <c r="H63"/>
  <c r="H61"/>
  <c r="H59"/>
  <c r="B60"/>
  <c r="B53"/>
  <c r="B51"/>
  <c r="H23"/>
  <c r="H22"/>
  <c r="H21"/>
  <c r="H20"/>
  <c r="AN6" i="1"/>
  <c r="AN5"/>
  <c r="H9" i="10"/>
  <c r="H7"/>
  <c r="H32"/>
  <c r="H28"/>
  <c r="F11" i="9"/>
  <c r="B10" i="21"/>
  <c r="B8"/>
  <c r="D20" i="25"/>
  <c r="D19"/>
  <c r="B4" i="5"/>
  <c r="D3"/>
  <c r="B4" i="7"/>
  <c r="D3"/>
  <c r="D3" i="6"/>
  <c r="B4"/>
  <c r="B4" i="8"/>
  <c r="D3"/>
  <c r="B6" i="4"/>
  <c r="D5"/>
  <c r="D4" i="3"/>
  <c r="D3"/>
  <c r="D3" i="2"/>
  <c r="D2"/>
  <c r="B9" i="10"/>
  <c r="B7"/>
  <c r="F4" i="15"/>
  <c r="F3"/>
  <c r="E6" i="67" l="1"/>
  <c r="E8"/>
  <c r="H2358" i="10"/>
  <c r="H2170"/>
  <c r="H2076"/>
  <c r="H2029"/>
  <c r="H1982"/>
  <c r="H1935"/>
  <c r="H1888"/>
  <c r="H1841"/>
  <c r="H1653"/>
  <c r="H2405"/>
  <c r="H2311"/>
  <c r="H2264"/>
  <c r="H2217"/>
  <c r="H2123"/>
  <c r="H1794"/>
  <c r="H1747"/>
  <c r="H1700"/>
  <c r="H1606"/>
  <c r="H1559"/>
  <c r="H1512"/>
  <c r="H1465"/>
  <c r="H1418"/>
  <c r="H1371"/>
  <c r="H1324"/>
  <c r="H1277"/>
  <c r="H2403"/>
  <c r="H2309"/>
  <c r="H2262"/>
  <c r="H2215"/>
  <c r="H2121"/>
  <c r="H1792"/>
  <c r="H1745"/>
  <c r="H1698"/>
  <c r="H2356"/>
  <c r="H2168"/>
  <c r="H2074"/>
  <c r="H2027"/>
  <c r="H1980"/>
  <c r="H1933"/>
  <c r="H1886"/>
  <c r="H1839"/>
  <c r="H1651"/>
  <c r="H1604"/>
  <c r="H1557"/>
  <c r="H1510"/>
  <c r="H1463"/>
  <c r="H1416"/>
  <c r="H1369"/>
  <c r="H1322"/>
  <c r="H1275"/>
  <c r="E543" i="4"/>
  <c r="O543" s="1"/>
  <c r="E586"/>
  <c r="O586" s="1"/>
  <c r="E930"/>
  <c r="O930" s="1"/>
  <c r="E1059"/>
  <c r="O1059" s="1"/>
  <c r="E1102"/>
  <c r="O1102" s="1"/>
  <c r="E1661"/>
  <c r="O1661" s="1"/>
  <c r="E2048"/>
  <c r="O2048" s="1"/>
  <c r="E2091"/>
  <c r="O2091" s="1"/>
  <c r="E2134"/>
  <c r="O2134" s="1"/>
  <c r="E629"/>
  <c r="O629" s="1"/>
  <c r="E672"/>
  <c r="O672" s="1"/>
  <c r="E1403"/>
  <c r="O1403" s="1"/>
  <c r="E1446"/>
  <c r="O1446" s="1"/>
  <c r="E1532"/>
  <c r="O1532" s="1"/>
  <c r="F4" i="8"/>
  <c r="H758" i="10"/>
  <c r="H711"/>
  <c r="H1228"/>
  <c r="H1181"/>
  <c r="H1134"/>
  <c r="H1087"/>
  <c r="H1040"/>
  <c r="H993"/>
  <c r="H946"/>
  <c r="H899"/>
  <c r="H852"/>
  <c r="H805"/>
  <c r="H570"/>
  <c r="H429"/>
  <c r="H288"/>
  <c r="H241"/>
  <c r="H664"/>
  <c r="H617"/>
  <c r="H523"/>
  <c r="H476"/>
  <c r="H382"/>
  <c r="H335"/>
  <c r="H194"/>
  <c r="H147"/>
  <c r="F5" i="8"/>
  <c r="H1230" i="10"/>
  <c r="H1183"/>
  <c r="H1136"/>
  <c r="H1089"/>
  <c r="H1042"/>
  <c r="H995"/>
  <c r="H948"/>
  <c r="H901"/>
  <c r="H854"/>
  <c r="H807"/>
  <c r="H713"/>
  <c r="H760"/>
  <c r="H666"/>
  <c r="H619"/>
  <c r="H525"/>
  <c r="H478"/>
  <c r="H384"/>
  <c r="H337"/>
  <c r="H243"/>
  <c r="H572"/>
  <c r="H431"/>
  <c r="H290"/>
  <c r="H196"/>
  <c r="H149"/>
  <c r="H53"/>
  <c r="H101"/>
  <c r="Z3" i="2"/>
  <c r="E5" i="5"/>
  <c r="E5" i="7"/>
  <c r="E5" i="6"/>
  <c r="H51" i="10"/>
  <c r="H99"/>
  <c r="Z2" i="2"/>
  <c r="E4" i="5"/>
  <c r="E4" i="7"/>
  <c r="E4" i="6"/>
  <c r="S369" i="4"/>
  <c r="S412"/>
  <c r="S498"/>
  <c r="S111"/>
  <c r="S154"/>
  <c r="S240"/>
  <c r="S455"/>
  <c r="S68"/>
  <c r="S326"/>
  <c r="S197"/>
  <c r="S283"/>
  <c r="I498"/>
  <c r="E500" s="1"/>
  <c r="O500" s="1"/>
  <c r="O496"/>
  <c r="I455"/>
  <c r="E457" s="1"/>
  <c r="O457" s="1"/>
  <c r="O453"/>
  <c r="I412"/>
  <c r="E414" s="1"/>
  <c r="O414" s="1"/>
  <c r="O410"/>
  <c r="I369"/>
  <c r="E371" s="1"/>
  <c r="O371" s="1"/>
  <c r="O367"/>
  <c r="I326"/>
  <c r="E328" s="1"/>
  <c r="O328" s="1"/>
  <c r="O324"/>
  <c r="I283"/>
  <c r="E285" s="1"/>
  <c r="O285" s="1"/>
  <c r="O281"/>
  <c r="I240"/>
  <c r="E242" s="1"/>
  <c r="O242" s="1"/>
  <c r="O238"/>
  <c r="I197"/>
  <c r="E199" s="1"/>
  <c r="O199" s="1"/>
  <c r="O195"/>
  <c r="I154"/>
  <c r="E156" s="1"/>
  <c r="O156" s="1"/>
  <c r="O152"/>
  <c r="I111"/>
  <c r="E113" s="1"/>
  <c r="O113" s="1"/>
  <c r="O109"/>
  <c r="I68"/>
  <c r="A20" i="13" l="1"/>
  <c r="F20"/>
  <c r="H26" i="4"/>
  <c r="L37" i="10"/>
  <c r="H26"/>
  <c r="D12" i="3"/>
  <c r="AK16" i="1"/>
  <c r="AR16" l="1"/>
  <c r="D4" i="35" s="1"/>
  <c r="D3" i="32"/>
  <c r="E20" i="13"/>
  <c r="E66" i="4"/>
  <c r="J80" i="10"/>
  <c r="G20" i="13"/>
  <c r="J82" i="10"/>
  <c r="F19" i="13"/>
  <c r="A19"/>
  <c r="P9" i="12"/>
  <c r="O9"/>
  <c r="M9"/>
  <c r="N9" s="1"/>
  <c r="F9"/>
  <c r="F59" s="1"/>
  <c r="E9"/>
  <c r="C9"/>
  <c r="B9"/>
  <c r="G26" i="4"/>
  <c r="F26"/>
  <c r="E26"/>
  <c r="D26"/>
  <c r="E15"/>
  <c r="E13"/>
  <c r="E11"/>
  <c r="H9"/>
  <c r="E9"/>
  <c r="K37" i="10"/>
  <c r="I37"/>
  <c r="G37"/>
  <c r="E37"/>
  <c r="H29"/>
  <c r="H25"/>
  <c r="H24"/>
  <c r="H19"/>
  <c r="Y12" i="3"/>
  <c r="X12"/>
  <c r="W12"/>
  <c r="J12"/>
  <c r="J62" s="1"/>
  <c r="I12"/>
  <c r="I62" s="1"/>
  <c r="H12"/>
  <c r="H62" s="1"/>
  <c r="E12"/>
  <c r="C12"/>
  <c r="B12"/>
  <c r="D10" i="2"/>
  <c r="C10"/>
  <c r="B10"/>
  <c r="AQ15" i="1"/>
  <c r="Z15"/>
  <c r="A3" i="35" l="1"/>
  <c r="B2" i="32"/>
  <c r="U12" i="3"/>
  <c r="U62" s="1"/>
  <c r="G19" i="13"/>
  <c r="AK15" i="1"/>
  <c r="O66" i="4"/>
  <c r="E70"/>
  <c r="O70" s="1"/>
  <c r="H20" i="13"/>
  <c r="G9" i="12"/>
  <c r="G59" s="1"/>
  <c r="O12" i="3"/>
  <c r="O62" s="1"/>
  <c r="J36" i="10" l="1"/>
  <c r="D2" i="32"/>
  <c r="V12" i="3"/>
  <c r="V62" s="1"/>
  <c r="E19" i="13" l="1"/>
  <c r="E24" i="4"/>
  <c r="AR15" i="1"/>
  <c r="J38" i="10" l="1"/>
  <c r="D3" i="35"/>
  <c r="M4" i="15"/>
  <c r="R9" i="4" l="1"/>
  <c r="R25"/>
  <c r="U3" i="3" l="1"/>
  <c r="F8" i="13"/>
  <c r="U4" i="3"/>
  <c r="C21" i="13" l="1"/>
  <c r="C15" l="1"/>
  <c r="H19"/>
  <c r="L4" i="12" l="1"/>
  <c r="G18" i="21" l="1"/>
  <c r="G16"/>
  <c r="B18"/>
  <c r="G10"/>
  <c r="F5" i="15" l="1"/>
  <c r="N5"/>
  <c r="N4"/>
  <c r="F12" i="13"/>
  <c r="F11"/>
  <c r="D5"/>
  <c r="D21"/>
  <c r="C13" s="1"/>
  <c r="G8" i="21" l="1"/>
  <c r="H30" i="10" l="1"/>
  <c r="F8" i="8" l="1"/>
  <c r="F7"/>
  <c r="D6"/>
  <c r="F15"/>
  <c r="E14" i="6"/>
  <c r="E8"/>
  <c r="E7"/>
  <c r="D6"/>
  <c r="H15" i="7"/>
  <c r="E8"/>
  <c r="E7"/>
  <c r="D6"/>
  <c r="H15" i="5"/>
  <c r="E8"/>
  <c r="E7"/>
  <c r="D6"/>
  <c r="R26" i="4"/>
  <c r="Q26"/>
  <c r="P26"/>
  <c r="O26"/>
  <c r="N26"/>
  <c r="O15"/>
  <c r="O11"/>
  <c r="O9"/>
  <c r="L6"/>
  <c r="N5"/>
  <c r="O20"/>
  <c r="O13"/>
  <c r="I26" l="1"/>
  <c r="S26"/>
  <c r="U8" i="3" l="1"/>
  <c r="U7"/>
  <c r="D7"/>
  <c r="D5"/>
  <c r="D6" i="2"/>
  <c r="Z7"/>
  <c r="Z6"/>
  <c r="D4"/>
  <c r="B16" i="10" l="1"/>
  <c r="H17"/>
  <c r="H15"/>
  <c r="E28" i="4" l="1"/>
  <c r="O28" s="1"/>
  <c r="O24" l="1"/>
</calcChain>
</file>

<file path=xl/sharedStrings.xml><?xml version="1.0" encoding="utf-8"?>
<sst xmlns="http://schemas.openxmlformats.org/spreadsheetml/2006/main" count="7830" uniqueCount="1181">
  <si>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</si>
  <si>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</si>
  <si>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</si>
  <si>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</si>
  <si>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</si>
  <si>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</si>
  <si>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</si>
  <si>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</si>
  <si>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</si>
  <si>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</si>
  <si>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</si>
  <si>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</si>
  <si>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</si>
  <si>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</si>
  <si>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HRA</t>
  </si>
  <si>
    <t>SPECIAL ALLOWNANCES</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</si>
  <si>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</si>
  <si>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</si>
  <si>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</si>
  <si>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</si>
  <si>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</si>
  <si>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</si>
  <si>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</si>
  <si>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</si>
  <si>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</si>
  <si>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</si>
  <si>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</si>
  <si>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Total Deductions</t>
  </si>
  <si>
    <t>N/A</t>
  </si>
  <si>
    <t xml:space="preserve">Signature of the Contractor with Seal </t>
  </si>
  <si>
    <t>Father's/ 
Husband's Name</t>
  </si>
  <si>
    <t>Sex</t>
  </si>
  <si>
    <t>Remarks</t>
  </si>
  <si>
    <t>Father's /Husband Name</t>
  </si>
  <si>
    <t>Date of Commencement of Employment</t>
  </si>
  <si>
    <t>Signature or thumb impression of Workman</t>
  </si>
  <si>
    <t>Date of termination of Employment</t>
  </si>
  <si>
    <t>Reasons for termination</t>
  </si>
  <si>
    <t xml:space="preserve">Age </t>
  </si>
  <si>
    <t>Form XIX - WAGE SLIP</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</si>
  <si>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</si>
  <si>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</si>
  <si>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</si>
  <si>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</si>
  <si>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</si>
  <si>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</si>
  <si>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</si>
  <si>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</si>
  <si>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</si>
  <si>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</si>
  <si>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</si>
  <si>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Total Ded</t>
  </si>
  <si>
    <t>Deductions, if any</t>
  </si>
  <si>
    <t>Net amount of wages paid</t>
  </si>
  <si>
    <t>Initial of the Contractor or his representative</t>
  </si>
  <si>
    <t>FORM XX- REGISTER OF DEDUCTIONS FOR DAMAGE OR LOSS</t>
  </si>
  <si>
    <t xml:space="preserve">Name and address of principal employer: </t>
  </si>
  <si>
    <t>Name of workman</t>
  </si>
  <si>
    <t>Father's / Husband's Name</t>
  </si>
  <si>
    <t>Designation / Nature of employment</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</si>
  <si>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</si>
  <si>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</si>
  <si>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</si>
  <si>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</si>
  <si>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</si>
  <si>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</si>
  <si>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</si>
  <si>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</si>
  <si>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         </t>
  </si>
  <si>
    <t xml:space="preserve">Nature and Location of Work: </t>
  </si>
  <si>
    <t xml:space="preserve">Name and address of the establishment in  / under which contract is carried on:                             </t>
  </si>
  <si>
    <t>FORM XXI- REGISTER OF FINES</t>
  </si>
  <si>
    <t>Act/Omission for which fine imposed</t>
  </si>
  <si>
    <t>Date of offence</t>
  </si>
  <si>
    <t>Whether workman showed cause against fine</t>
  </si>
  <si>
    <t>Wage-period and wge payable</t>
  </si>
  <si>
    <t>Amount of fine Imposed</t>
  </si>
  <si>
    <t>Date on which fine realised</t>
  </si>
  <si>
    <t>FORM XXII- REGISTER OF ADVANCES</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</si>
  <si>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</si>
  <si>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</si>
  <si>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</si>
  <si>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</si>
  <si>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</si>
  <si>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</si>
  <si>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FORM XXIII- REGISTER OF OVERTIME</t>
  </si>
  <si>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</si>
  <si>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</si>
  <si>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</si>
  <si>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</si>
  <si>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</si>
  <si>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</si>
  <si>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</si>
  <si>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</si>
  <si>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</si>
  <si>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</si>
  <si>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</si>
  <si>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</si>
  <si>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</si>
  <si>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FORM XIV</t>
  </si>
  <si>
    <t>EMPLOYMENT CUM WAGE CARD</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</si>
  <si>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</si>
  <si>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</si>
  <si>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</si>
  <si>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</si>
  <si>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</si>
  <si>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</si>
  <si>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</si>
  <si>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</si>
  <si>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</si>
  <si>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</si>
  <si>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</si>
  <si>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</si>
  <si>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</si>
  <si>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</si>
  <si>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</si>
  <si>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</si>
  <si>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</si>
  <si>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</si>
  <si>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</si>
  <si>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</si>
  <si>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</si>
  <si>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</si>
  <si>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</si>
  <si>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</si>
  <si>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</si>
  <si>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 xml:space="preserve">Name of the Employee: </t>
  </si>
  <si>
    <t>Registration Number:</t>
  </si>
  <si>
    <t>Father’s / Husband’s Name:</t>
  </si>
  <si>
    <t>Date of appointment :</t>
  </si>
  <si>
    <t>Date of Application</t>
  </si>
  <si>
    <t>To</t>
  </si>
  <si>
    <t xml:space="preserve">No. of
Days </t>
  </si>
  <si>
    <t>No. of
Days to
which the
employee
is entitled</t>
  </si>
  <si>
    <t>TO</t>
  </si>
  <si>
    <t xml:space="preserve">Balance </t>
  </si>
  <si>
    <t>REASONS</t>
  </si>
  <si>
    <t>Signature of the Employer</t>
  </si>
  <si>
    <t>NO</t>
  </si>
  <si>
    <t>Sr. No</t>
  </si>
  <si>
    <t>Name of the Employee</t>
  </si>
  <si>
    <t>Father's Name / Husband's Name</t>
  </si>
  <si>
    <t>Whether he has completed 15 yrs of age at the beginning of the accounting year</t>
  </si>
  <si>
    <t>Designation</t>
  </si>
  <si>
    <t>No. of days worked in the year</t>
  </si>
  <si>
    <t>Total Salary or wages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</si>
  <si>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</si>
  <si>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</si>
  <si>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</si>
  <si>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</si>
  <si>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</si>
  <si>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</si>
  <si>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</si>
  <si>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</si>
  <si>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</si>
  <si>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</si>
  <si>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</si>
  <si>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</si>
  <si>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</si>
  <si>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</si>
  <si>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</si>
  <si>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</si>
  <si>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</si>
  <si>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</si>
  <si>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</si>
  <si>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</si>
  <si>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</si>
  <si>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</si>
  <si>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</si>
  <si>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</si>
  <si>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</si>
  <si>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</si>
  <si>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</si>
  <si>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</si>
  <si>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</si>
  <si>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</si>
  <si>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</si>
  <si>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Infosys Limited</t>
  </si>
  <si>
    <t>HYDERABAD</t>
  </si>
  <si>
    <t>Name of the Establishment:</t>
  </si>
  <si>
    <t>Monthly rate of wages/
piece rate</t>
  </si>
  <si>
    <t>Male</t>
  </si>
  <si>
    <t>FORM XV</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</si>
  <si>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</si>
  <si>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</si>
  <si>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</si>
  <si>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</si>
  <si>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</si>
  <si>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</si>
  <si>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</si>
  <si>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</si>
  <si>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</si>
  <si>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</si>
  <si>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</si>
  <si>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</si>
  <si>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</si>
  <si>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</si>
  <si>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IT SUPPORTIVE SERVICES</t>
  </si>
  <si>
    <r>
      <t xml:space="preserve">Name and address of Contractor: </t>
    </r>
    <r>
      <rPr>
        <b/>
        <sz val="9"/>
        <rFont val="Arial"/>
        <family val="2"/>
      </rPr>
      <t xml:space="preserve"> </t>
    </r>
  </si>
  <si>
    <t xml:space="preserve">Name and address of Contractor: </t>
  </si>
  <si>
    <t>Wage Period</t>
  </si>
  <si>
    <t>SEZ</t>
  </si>
  <si>
    <t>ADV</t>
  </si>
  <si>
    <t>Resignation</t>
  </si>
  <si>
    <t xml:space="preserve">No employee has taken advance for the month of </t>
  </si>
  <si>
    <t>Name and address of the Principle Employer</t>
  </si>
  <si>
    <t>JAN'20</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</si>
  <si>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</si>
  <si>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</si>
  <si>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</si>
  <si>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</si>
  <si>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</si>
  <si>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</si>
  <si>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</si>
  <si>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</si>
  <si>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</si>
  <si>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</si>
  <si>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</si>
  <si>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</si>
  <si>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</si>
  <si>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</si>
  <si>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</si>
  <si>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</si>
  <si>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Place</t>
  </si>
  <si>
    <t>Name and surname of 
Workman</t>
  </si>
  <si>
    <t>Nature of Employment/ Designation</t>
  </si>
  <si>
    <t>Serial No.</t>
  </si>
  <si>
    <t>Permanent Address-1   (H.No.&amp;Street Name)</t>
  </si>
  <si>
    <t>Permanent Address-2   (Village Name)</t>
  </si>
  <si>
    <t>Permanent Address-3   (Mandal&amp;District Name)</t>
  </si>
  <si>
    <t>Permanent Address-4   (State with PIN code)</t>
  </si>
  <si>
    <t>Local Address-1   (H.No.&amp;Street Name)</t>
  </si>
  <si>
    <t>Local Address-2   (Village Name)</t>
  </si>
  <si>
    <t>Local Address-3   (Mandal&amp;District Name)</t>
  </si>
  <si>
    <t xml:space="preserve">NO EMPLOYEE WAS IMPOSED FINES FOR THE MONTH OF </t>
  </si>
  <si>
    <r>
      <t xml:space="preserve">Name and address of Contractor: </t>
    </r>
    <r>
      <rPr>
        <sz val="10"/>
        <rFont val="Arial"/>
        <family val="2"/>
      </rPr>
      <t xml:space="preserve">                                                                                                                                                              </t>
    </r>
  </si>
  <si>
    <t xml:space="preserve">Name of the Establishment : </t>
  </si>
  <si>
    <t>Serial No</t>
  </si>
  <si>
    <t>Employee ID</t>
  </si>
  <si>
    <t>Father Name</t>
  </si>
  <si>
    <t>Husband/Wife Name</t>
  </si>
  <si>
    <t>Department</t>
  </si>
  <si>
    <t>Present Address-1   (H.No.&amp;Street Name)</t>
  </si>
  <si>
    <t>Present Address-2   (Village Name)</t>
  </si>
  <si>
    <t>Present Address-3   (Mandal&amp;District Name)</t>
  </si>
  <si>
    <t>Present Address-4   (State with PIN code)</t>
  </si>
  <si>
    <t>Date of Joining</t>
  </si>
  <si>
    <t>EMPLOYEE DATABASE</t>
  </si>
  <si>
    <r>
      <t xml:space="preserve">                                                                                                           </t>
    </r>
    <r>
      <rPr>
        <sz val="25"/>
        <color indexed="8"/>
        <rFont val="Arial Black"/>
        <family val="2"/>
      </rPr>
      <t xml:space="preserve">FORM - XIII REGISTER OF WORKMEN EMPLOYED BY CONTRACTOR
</t>
    </r>
  </si>
  <si>
    <t>FORM XXV- REGISTER OF LEAVE</t>
  </si>
  <si>
    <t>FORM-D</t>
  </si>
  <si>
    <t>S.NO</t>
  </si>
  <si>
    <t>Total amount of bonus actually paid</t>
  </si>
  <si>
    <t>Date on which payment made</t>
  </si>
  <si>
    <t>FORM   E</t>
  </si>
  <si>
    <t>[See sub-rule (2) of Rule 4]</t>
  </si>
  <si>
    <t>Sl. No.</t>
  </si>
  <si>
    <t>During</t>
  </si>
  <si>
    <t>Quarter ending 31st March</t>
  </si>
  <si>
    <t>Quarter ending 30th June</t>
  </si>
  <si>
    <t>Quarter ending 30th September</t>
  </si>
  <si>
    <t>Quarter ending 31st December</t>
  </si>
  <si>
    <t>Total realisation under fines</t>
  </si>
  <si>
    <t>NIL</t>
  </si>
  <si>
    <t xml:space="preserve">Total amount becoming unpaid accumulations* of </t>
  </si>
  <si>
    <t>(i) Basic Wage</t>
  </si>
  <si>
    <t>(ii) Overtime</t>
  </si>
  <si>
    <t>(iii) Dearness Allowance and other allowances</t>
  </si>
  <si>
    <t>Total of (1) and (2) ………….</t>
  </si>
  <si>
    <t>*See definition of “unpaid Accumulation” under sub-section (11) of Section 2 of the Act.</t>
  </si>
  <si>
    <t xml:space="preserve">                          NO EMPLOYEE WAS IMPOSED DEDUCTIONS FOR DAMAGE OR LOSS FOR THE MONTH OF </t>
  </si>
  <si>
    <t>Particulars of Damage or loss</t>
  </si>
  <si>
    <t>FORM A</t>
  </si>
  <si>
    <t>MUSTER ROLL</t>
  </si>
  <si>
    <t xml:space="preserve">Serial Number. </t>
  </si>
  <si>
    <t>Name of woman and her father's (or, if married, husband's) name.</t>
  </si>
  <si>
    <t>Date of appointment.</t>
  </si>
  <si>
    <t>Nature of work.</t>
  </si>
  <si>
    <t>Dates with month and year in which she is employed, laid off and not employed.</t>
  </si>
  <si>
    <t>Month</t>
  </si>
  <si>
    <t>No.of days employed</t>
  </si>
  <si>
    <t>No.of days laid off</t>
  </si>
  <si>
    <t>No.of days not employed</t>
  </si>
  <si>
    <t>Date on which the woman gives notice under section 6.</t>
  </si>
  <si>
    <t>Date of discharge/dismissal, if any.</t>
  </si>
  <si>
    <t>Date of production of proof of pregnancy under section 6.</t>
  </si>
  <si>
    <t>Date of birth of child.</t>
  </si>
  <si>
    <r>
      <t>Date of production of proof of delivery/miscarriage/ </t>
    </r>
    <r>
      <rPr>
        <vertAlign val="superscript"/>
        <sz val="11.5"/>
        <rFont val="Times New Roman"/>
        <family val="1"/>
      </rPr>
      <t>1</t>
    </r>
    <r>
      <rPr>
        <sz val="12"/>
        <rFont val="Times New Roman"/>
        <family val="1"/>
      </rPr>
      <t>[Medical Termination of pregnancy/ tubectomy operation/death.]</t>
    </r>
  </si>
  <si>
    <t>Date of production of proof of illness referred to in section 10.</t>
  </si>
  <si>
    <t>Date with the amount of maternity benefit paid in advance of expected delivery.</t>
  </si>
  <si>
    <t>Date with the amount of subsequent payment of maternity benefit.</t>
  </si>
  <si>
    <t>Date with the amount of bonus, if paid, under section 8.</t>
  </si>
  <si>
    <t>Date with the amount of wages paid on account of leave under section 9.</t>
  </si>
  <si>
    <t>15A</t>
  </si>
  <si>
    <t>Date with the amount of wages paid on account of leave under section 9A</t>
  </si>
  <si>
    <t>Date with the amount of wages paid on account of leave under section 10 and period of leave granted</t>
  </si>
  <si>
    <t>Name of the person nominated by the woman under section 6.</t>
  </si>
  <si>
    <t>If the woman dies, the date of her death, the name of the person to whom maternity benefit and/or other amount was paid, the amount thereof, and the date of payment.</t>
  </si>
  <si>
    <t>If the woman dies and the child survives, the name of the person to whom the amount of maternity benefit was paid on behalf of the child and the period for which it was paid.</t>
  </si>
  <si>
    <r>
      <t>Signature of the employer of </t>
    </r>
    <r>
      <rPr>
        <vertAlign val="superscript"/>
        <sz val="11.5"/>
        <rFont val="Times New Roman"/>
        <family val="1"/>
      </rPr>
      <t>3</t>
    </r>
    <r>
      <rPr>
        <sz val="12"/>
        <rFont val="Times New Roman"/>
        <family val="1"/>
      </rPr>
      <t>[the mine or circus] authenticating the entries in the muster-roll.</t>
    </r>
  </si>
  <si>
    <t>Remarks column for the use of the Inspector.</t>
  </si>
  <si>
    <t xml:space="preserve">Certifited that no pregnant employee worked for the month of </t>
  </si>
  <si>
    <t>For</t>
  </si>
  <si>
    <t>Authorized Signatory</t>
  </si>
  <si>
    <t>[See Rule 3 of Maternity Act Rules, 1965]</t>
  </si>
  <si>
    <r>
      <rPr>
        <b/>
        <sz val="10"/>
        <rFont val="Book Antiqua"/>
        <family val="1"/>
      </rPr>
      <t>Name of [mine or circus]</t>
    </r>
    <r>
      <rPr>
        <sz val="10"/>
        <rFont val="Book Antiqua"/>
        <family val="1"/>
      </rPr>
      <t xml:space="preserve">: </t>
    </r>
  </si>
  <si>
    <t>FORM B</t>
  </si>
  <si>
    <t>[See Rule 4(1) of Maternity Act Rules, 1965]</t>
  </si>
  <si>
    <t>Date…..</t>
  </si>
  <si>
    <t>Definitions of "child" and "miscarriage" as in the Maternity Benefit Act, 1961.-</t>
  </si>
  <si>
    <t>1. "Child" includes a still-born child.</t>
  </si>
  <si>
    <t>This is to certify that I examined…. wife /daughter of ….. a woman employee in  name of Mine or Circus on (Date)</t>
  </si>
  <si>
    <t xml:space="preserve">mentioned date date/has undergone miscarriage/[Medical termination of pregnancy or tubectomy operation]/has been delivered </t>
  </si>
  <si>
    <t>of a child on….. (date) or is suffering from…..(date) from illness arising out of pregnancy/delivery/premature birth of a child or miscarriage/</t>
  </si>
  <si>
    <t>[Medical termination of pregnancy or tubectomy operation ].</t>
  </si>
  <si>
    <t xml:space="preserve">Signature, qualifications and designation of Medical Officer/Medical Practitioner. </t>
  </si>
  <si>
    <t xml:space="preserve">2. "Miscarriage" means expulsion of the contents of a pregnant uterus at any period prior to or during the twenty-sixth week of pregnancy </t>
  </si>
  <si>
    <t>but does not include any miscarriage,the causing of which is punishable under the Indian Penal Code.</t>
  </si>
  <si>
    <r>
      <t>Ins. by G.S.R. 70(E), dated 31st January, 1996 (w.e.f. 31-1-1996</t>
    </r>
    <r>
      <rPr>
        <sz val="11"/>
        <color theme="1"/>
        <rFont val="Calibri"/>
        <family val="2"/>
        <scheme val="minor"/>
      </rPr>
      <t>).</t>
    </r>
  </si>
  <si>
    <t>FORM C</t>
  </si>
  <si>
    <t>[See Rule 4(4) of Maternity Act Rules, 1965]</t>
  </si>
  <si>
    <t>This is to certify that</t>
  </si>
  <si>
    <t>Smt……………………………….wife/daughter of ……………………….employed in ……………….(name of [Mine or Circus]</t>
  </si>
  <si>
    <t>expired on ……………………..before/during/after confinement. The child died on …./survives her.</t>
  </si>
  <si>
    <t>Ins. by G.S.R. 70(E), dated 31st January, 1996 (w.e.f. 31-1-1996).</t>
  </si>
  <si>
    <t>FORM D</t>
  </si>
  <si>
    <t>[See Rule 4(5) of Maternity Act Rules, 1965]</t>
  </si>
  <si>
    <t>This is to certify that I examined……………..wife/daughter of ……….a woman employed in ………..(name of [Mine or Circus ]</t>
  </si>
  <si>
    <t>and found that she has been delivered of a child/has undergone miscarriage on ….(date)</t>
  </si>
  <si>
    <t xml:space="preserve">Signature of registered Midwife </t>
  </si>
  <si>
    <t>Date….</t>
  </si>
  <si>
    <t>Definitions of "child" and "miscarriage" as in the Maternity Benefit Act, 1961-</t>
  </si>
  <si>
    <t xml:space="preserve">2. "Miscarriage" means expulsion of the contents of a pregnant uterus at any period prior to or during the twenty-sixth </t>
  </si>
  <si>
    <t>week of pregnancy but does not include any miscarriage, the causing of which is punishable under the Indian Penal Code.</t>
  </si>
  <si>
    <t>Subs. by G.S.R. 59(E), dated 27th February, 1975 (w.e.f. 1-3-1975).</t>
  </si>
  <si>
    <t>Net Salary</t>
  </si>
  <si>
    <t>Date of Payment</t>
  </si>
  <si>
    <t>Bank Name</t>
  </si>
  <si>
    <t>Bank Account Number</t>
  </si>
  <si>
    <t>Name of Work man</t>
  </si>
  <si>
    <t>Payble Days</t>
  </si>
  <si>
    <t>Monthly rate of wages</t>
  </si>
  <si>
    <t>Unit of Work done</t>
  </si>
  <si>
    <t>Basic Wages</t>
  </si>
  <si>
    <t>Dearness Allowances</t>
  </si>
  <si>
    <t>Overtime</t>
  </si>
  <si>
    <t>Total Amount</t>
  </si>
  <si>
    <t>290/E, Khanapur Village, Gandipet Mandal, Ranga Reddy, Hyderabad-500075 T.S.</t>
  </si>
  <si>
    <t>GARDENING SERVICES&amp;ISB HYDERABAD</t>
  </si>
  <si>
    <t>INDIAN SCHOOL OF BUSINESS</t>
  </si>
  <si>
    <t>Opp.Infosys Limited,Gachibowli,Hyderabad</t>
  </si>
  <si>
    <t>ARJUN KUMAR</t>
  </si>
  <si>
    <t>GAJAN SINGH</t>
  </si>
  <si>
    <t>GUDALA RUSHESHWAR SWAMY</t>
  </si>
  <si>
    <t xml:space="preserve">KASALA NARSIMLU </t>
  </si>
  <si>
    <t>PITANI SATHYA NARAYANA</t>
  </si>
  <si>
    <t>SANGOLLA ASHOK</t>
  </si>
  <si>
    <t>28/7/1984</t>
  </si>
  <si>
    <t>ASHOK LINGURAM GAIKWAD</t>
  </si>
  <si>
    <t>MADHUKAR KAMTAM</t>
  </si>
  <si>
    <t>21/6/1988</t>
  </si>
  <si>
    <t>Ningolla Raju</t>
  </si>
  <si>
    <t>Nagani pochaiah</t>
  </si>
  <si>
    <t>Mutholla Mallesh</t>
  </si>
  <si>
    <t>21/5/1975</t>
  </si>
  <si>
    <t>ALIJANA JAYARAMI REDDY</t>
  </si>
  <si>
    <t>Kapil</t>
  </si>
  <si>
    <t xml:space="preserve">Bablu kumar </t>
  </si>
  <si>
    <t>Pradeep kumar</t>
  </si>
  <si>
    <t>SHAIK KULSUM BEE</t>
  </si>
  <si>
    <t>Female</t>
  </si>
  <si>
    <t>S GOWRI</t>
  </si>
  <si>
    <t>16/9/1977</t>
  </si>
  <si>
    <t>FARZANA BEGUM</t>
  </si>
  <si>
    <t>MANAGALI SUHASINI</t>
  </si>
  <si>
    <t>KONA SUJATHA</t>
  </si>
  <si>
    <t>GOLLA UMA</t>
  </si>
  <si>
    <t>SINGARAM BHAGYAMMA</t>
  </si>
  <si>
    <t>KODICHERLA INDIRAMMA</t>
  </si>
  <si>
    <t>18/5/1964</t>
  </si>
  <si>
    <t>SANGOLLA LAVANYA</t>
  </si>
  <si>
    <t>MANGALI LAVANYA</t>
  </si>
  <si>
    <t>MANGLI CHANDRAMMA</t>
  </si>
  <si>
    <t>DASARI SUVARNA</t>
  </si>
  <si>
    <t>14/3/1985</t>
  </si>
  <si>
    <t>MARATHI CHANDRAKALA</t>
  </si>
  <si>
    <t>ANKAGALLA YADAMMA</t>
  </si>
  <si>
    <t>25/3/1969</t>
  </si>
  <si>
    <t xml:space="preserve">NINGAMMA </t>
  </si>
  <si>
    <t>V AMBAMMA</t>
  </si>
  <si>
    <t>PALLAPU LAXMI</t>
  </si>
  <si>
    <t>Nagani laxmi</t>
  </si>
  <si>
    <t>Lingola amrutha</t>
  </si>
  <si>
    <t>20/11/1980</t>
  </si>
  <si>
    <t>Kuduru satyamma</t>
  </si>
  <si>
    <t>21/3/1966</t>
  </si>
  <si>
    <t>Mangali Lakshmi</t>
  </si>
  <si>
    <t>Ningolla santhosha</t>
  </si>
  <si>
    <t>Mutholla Suneeta</t>
  </si>
  <si>
    <t>Mutholla sushila</t>
  </si>
  <si>
    <t>Kummari kalavathi</t>
  </si>
  <si>
    <t xml:space="preserve">Vadla Naveena </t>
  </si>
  <si>
    <t>Nagani shantamma</t>
  </si>
  <si>
    <t>Gaddmidi lakshmi</t>
  </si>
  <si>
    <t>Gaddamidi raghu</t>
  </si>
  <si>
    <t>Laxman</t>
  </si>
  <si>
    <t>VADLA JYOTHI</t>
  </si>
  <si>
    <t>Rupesh Chandra Jakhmola</t>
  </si>
  <si>
    <t>Mutyala Poshavva</t>
  </si>
  <si>
    <t>Supervisor</t>
  </si>
  <si>
    <t>Semi Skilled Gardner</t>
  </si>
  <si>
    <t>Unskilled Gardner</t>
  </si>
  <si>
    <t>Manager</t>
  </si>
  <si>
    <t>Nursery</t>
  </si>
  <si>
    <t xml:space="preserve">kallu </t>
  </si>
  <si>
    <t>Chandrapal singh</t>
  </si>
  <si>
    <t>GUDALA KRISHANA MURTHY</t>
  </si>
  <si>
    <t>KASALA POCHAIAH</t>
  </si>
  <si>
    <t>P SURYANARAYANA</t>
  </si>
  <si>
    <t>SANGOLLA ESWARAIAH</t>
  </si>
  <si>
    <t>M LINGRAM</t>
  </si>
  <si>
    <t>KAMTAM KISHAN</t>
  </si>
  <si>
    <t>ningolla pochaiah</t>
  </si>
  <si>
    <t>Nagani mallaiah</t>
  </si>
  <si>
    <t>Mutholla balaiah</t>
  </si>
  <si>
    <t>ALIJANA OBULU REDDY</t>
  </si>
  <si>
    <t>Ganesh lal</t>
  </si>
  <si>
    <t>Harilal</t>
  </si>
  <si>
    <t>Jagdev</t>
  </si>
  <si>
    <t xml:space="preserve">SHAIK LALA </t>
  </si>
  <si>
    <t>S SURYANARAYANA</t>
  </si>
  <si>
    <t>SHAIK MASTAN WALI</t>
  </si>
  <si>
    <t>MANGALI RAJU</t>
  </si>
  <si>
    <t>KONA SURYANARAYANA</t>
  </si>
  <si>
    <t>GOLLA ONURU SWAMY</t>
  </si>
  <si>
    <t>SINGARAM NARSIMULU</t>
  </si>
  <si>
    <t xml:space="preserve">BABAIAH </t>
  </si>
  <si>
    <t>MANGALI PANDU</t>
  </si>
  <si>
    <t>MANGALI VENKATESH</t>
  </si>
  <si>
    <t>DASARI RAVINDAR</t>
  </si>
  <si>
    <t>M ASHOKS</t>
  </si>
  <si>
    <t>ANKAGALLA YADAGIRI</t>
  </si>
  <si>
    <t>RAMANNA</t>
  </si>
  <si>
    <t>V YELLAIAH</t>
  </si>
  <si>
    <t>VENAKAIAH</t>
  </si>
  <si>
    <t>Ningolla swamy</t>
  </si>
  <si>
    <t xml:space="preserve">NARAYANA </t>
  </si>
  <si>
    <t>Village - Dharai</t>
  </si>
  <si>
    <t>Amethi</t>
  </si>
  <si>
    <t>Uttar pradesh - 229127</t>
  </si>
  <si>
    <t>Village - Uncha gaon, Pikhani,</t>
  </si>
  <si>
    <t xml:space="preserve">Bulandshahr, </t>
  </si>
  <si>
    <t>Uttar pradesh - 202398</t>
  </si>
  <si>
    <t>House no. - 8-153 Kottapeta</t>
  </si>
  <si>
    <t>Gummaluru, west godavari</t>
  </si>
  <si>
    <t>Andhra pradesh - 534267</t>
  </si>
  <si>
    <t>H.no.3-90,</t>
  </si>
  <si>
    <t>Mwdharam,Medhak</t>
  </si>
  <si>
    <t>TS-502319</t>
  </si>
  <si>
    <t>H.no 12-60/3,Gopinagar colony,</t>
  </si>
  <si>
    <t>Near church,serilingampally</t>
  </si>
  <si>
    <t>KV R.R,TS-500019</t>
  </si>
  <si>
    <t>3-35,Jankampet,</t>
  </si>
  <si>
    <t>Patancheru,Sulthanpur</t>
  </si>
  <si>
    <t>Gaikwada at sangavi bu</t>
  </si>
  <si>
    <t>Post-sawargaon,Mukhed,Nanded,</t>
  </si>
  <si>
    <t>Mahrastra-431715</t>
  </si>
  <si>
    <t>9-41,Serilingampally,Gopinagar colony,</t>
  </si>
  <si>
    <t>opp Hanuman temple</t>
  </si>
  <si>
    <t>R.R-TS,500084</t>
  </si>
  <si>
    <t>3-27/1,janakampet,</t>
  </si>
  <si>
    <t>patancherusultanpur,medhak</t>
  </si>
  <si>
    <t xml:space="preserve">H.no.3-18, </t>
  </si>
  <si>
    <t>Madaram,Medhak</t>
  </si>
  <si>
    <t>3-37,Jnakapet,</t>
  </si>
  <si>
    <t>sulthanpur,Medhak</t>
  </si>
  <si>
    <t>5/126,</t>
  </si>
  <si>
    <t>Parnapalle,Cuddaph</t>
  </si>
  <si>
    <t>AP-516396</t>
  </si>
  <si>
    <t>Khamiriya,Puru kusal,Jilla,</t>
  </si>
  <si>
    <t>reabarelli,Khamariya,naiani amethi</t>
  </si>
  <si>
    <t>U.P-229127</t>
  </si>
  <si>
    <t>Nayan,Saion,</t>
  </si>
  <si>
    <t>Khamariya pure Kushal,amethi,nini</t>
  </si>
  <si>
    <t>PLOT.NO.175,MASID BAND,</t>
  </si>
  <si>
    <t>KONDAPUR,SERILINGAMPALLY</t>
  </si>
  <si>
    <t>2/686,Modinabad</t>
  </si>
  <si>
    <t>,Gutkal,Ananthpur</t>
  </si>
  <si>
    <t>AP-515801</t>
  </si>
  <si>
    <t>9-4-57/7/D/10/2/B43,</t>
  </si>
  <si>
    <t>HAKEEMPET,THOLICHOUK,GOLUKOND</t>
  </si>
  <si>
    <t>HYDERABAD,TS-500008</t>
  </si>
  <si>
    <t>H.no.2-36,</t>
  </si>
  <si>
    <t>Medharam,medak</t>
  </si>
  <si>
    <t>2-503/A,modinabad</t>
  </si>
  <si>
    <t>2-503-B,MODINABAD,</t>
  </si>
  <si>
    <t>GUTAL,ANANTHAPURM</t>
  </si>
  <si>
    <t>1-43,patancheru-mndl,</t>
  </si>
  <si>
    <t>Krishnareddipet,Medak</t>
  </si>
  <si>
    <t>1-92,maseed banda-Vill</t>
  </si>
  <si>
    <t>Kondapoor,Serilinampally</t>
  </si>
  <si>
    <t>R.R-TS,500032</t>
  </si>
  <si>
    <t>3-35,janakapet,</t>
  </si>
  <si>
    <t>Patancheru,Medak</t>
  </si>
  <si>
    <t>H.no.3-10,</t>
  </si>
  <si>
    <t>Madhavaram,madharam,Medhak</t>
  </si>
  <si>
    <t>House no. - 3-33 Madharam,</t>
  </si>
  <si>
    <t>MADHARAM,MEDHAK</t>
  </si>
  <si>
    <t>Andhra pradesh - 502319</t>
  </si>
  <si>
    <t>H.NO.11-50,GOPINAGAR,SERILINGMPLLI</t>
  </si>
  <si>
    <t>NEAR GVT SCHOOL LINGAMPALLI,</t>
  </si>
  <si>
    <t>3/32,janagampet</t>
  </si>
  <si>
    <t>patancheru,sultanpur,Medak</t>
  </si>
  <si>
    <t>Sulthanpoor,patancheru,Sulthanpur</t>
  </si>
  <si>
    <t>5/4/256</t>
  </si>
  <si>
    <t>Janatha colony,Bhalki,Bidar</t>
  </si>
  <si>
    <t>karnataka-585328</t>
  </si>
  <si>
    <t>H.no.6-199/1</t>
  </si>
  <si>
    <t>Narra basthi,Patancheru,Medak</t>
  </si>
  <si>
    <t>Nagdar,kalher,medak</t>
  </si>
  <si>
    <t>AP-502371</t>
  </si>
  <si>
    <t>H.NO.3-18</t>
  </si>
  <si>
    <t>3-31,Janakampet</t>
  </si>
  <si>
    <t>patancheru,Sultanpur,medak</t>
  </si>
  <si>
    <t>5-11 BC colony</t>
  </si>
  <si>
    <t>mahabubnagar,dhrmapur-mndl,</t>
  </si>
  <si>
    <t>Gachibowli Village</t>
  </si>
  <si>
    <t>Hyderabad</t>
  </si>
  <si>
    <t>Telangana State</t>
  </si>
  <si>
    <t>101252819921</t>
  </si>
  <si>
    <t>100025787555</t>
  </si>
  <si>
    <t>101335495091</t>
  </si>
  <si>
    <t>101423797426</t>
  </si>
  <si>
    <t>100321400080</t>
  </si>
  <si>
    <t>100807941415</t>
  </si>
  <si>
    <t>101438575409</t>
  </si>
  <si>
    <t>100043556888</t>
  </si>
  <si>
    <t>100993759408</t>
  </si>
  <si>
    <t>101196116055</t>
  </si>
  <si>
    <t>100844389108</t>
  </si>
  <si>
    <t>101554508977</t>
  </si>
  <si>
    <t>101554509007</t>
  </si>
  <si>
    <t>101554508996</t>
  </si>
  <si>
    <t>100201354809</t>
  </si>
  <si>
    <t>101412580029</t>
  </si>
  <si>
    <t>100146756163</t>
  </si>
  <si>
    <t>101257341492</t>
  </si>
  <si>
    <t>101421043457</t>
  </si>
  <si>
    <t>101412580017</t>
  </si>
  <si>
    <t>100118386595</t>
  </si>
  <si>
    <t>100181240855</t>
  </si>
  <si>
    <t>100993758799</t>
  </si>
  <si>
    <t>101269710584</t>
  </si>
  <si>
    <t>101554508983</t>
  </si>
  <si>
    <t>101521098686</t>
  </si>
  <si>
    <t>100127755377</t>
  </si>
  <si>
    <t>101553811711</t>
  </si>
  <si>
    <t>101381353296</t>
  </si>
  <si>
    <t>101362702317</t>
  </si>
  <si>
    <t>101362702340</t>
  </si>
  <si>
    <t>100245723121</t>
  </si>
  <si>
    <t>100201625830</t>
  </si>
  <si>
    <t>101440681199</t>
  </si>
  <si>
    <t>101556794449</t>
  </si>
  <si>
    <t>101344596547</t>
  </si>
  <si>
    <t>101556794454</t>
  </si>
  <si>
    <t>100209063448</t>
  </si>
  <si>
    <t>101322441815</t>
  </si>
  <si>
    <t>101458887492</t>
  </si>
  <si>
    <t>100246061839</t>
  </si>
  <si>
    <t>101170655221</t>
  </si>
  <si>
    <t>101563813332</t>
  </si>
  <si>
    <t>BONUS</t>
  </si>
  <si>
    <t>LTA</t>
  </si>
  <si>
    <t>KKBK0000205</t>
  </si>
  <si>
    <t>KKBK0007476</t>
  </si>
  <si>
    <t>ANDB0001414</t>
  </si>
  <si>
    <t>SBIN0020106</t>
  </si>
  <si>
    <t>SBIN0014234</t>
  </si>
  <si>
    <t>IDIB000N116</t>
  </si>
  <si>
    <t>BKID0008614</t>
  </si>
  <si>
    <t>SBIN0008495</t>
  </si>
  <si>
    <t>KKBK0007466</t>
  </si>
  <si>
    <t>SBIN0005916</t>
  </si>
  <si>
    <t>SBIN0000957</t>
  </si>
  <si>
    <t>ANDB0001306</t>
  </si>
  <si>
    <t>APGV0008110</t>
  </si>
  <si>
    <t>FDRL0001605</t>
  </si>
  <si>
    <t>ICIC0001111</t>
  </si>
  <si>
    <t>APGV0008163</t>
  </si>
  <si>
    <t>SBIN0016375</t>
  </si>
  <si>
    <t>CNRB0003868</t>
  </si>
  <si>
    <t>IBKL0000888</t>
  </si>
  <si>
    <t>IDFB0021001</t>
  </si>
  <si>
    <t>SBIN0020092</t>
  </si>
  <si>
    <t>SBINORRAPGB</t>
  </si>
  <si>
    <t>Bank Cheque</t>
  </si>
  <si>
    <t>7310404993-5</t>
  </si>
  <si>
    <t>w/o</t>
  </si>
  <si>
    <t>C</t>
  </si>
  <si>
    <t>p</t>
  </si>
  <si>
    <t>VIKAS SHARMA</t>
  </si>
  <si>
    <t xml:space="preserve">ARJUN </t>
  </si>
  <si>
    <t>MANGALI LAXSHMI</t>
  </si>
  <si>
    <t>NINGOLLA SANTHOSHA</t>
  </si>
  <si>
    <t>MUTHOLLA SUNEETA</t>
  </si>
  <si>
    <t>MUTHOLLA SUSHILA</t>
  </si>
  <si>
    <t>KUMARI KALAVATHI</t>
  </si>
  <si>
    <t>VADLA NAVEENA</t>
  </si>
  <si>
    <t>NAGANI SHANTAMA</t>
  </si>
  <si>
    <t>GADDMIDI LAKSHMI</t>
  </si>
  <si>
    <t>GADDMIDI PARMEELA</t>
  </si>
  <si>
    <t>GADDMIDI RAGHU</t>
  </si>
  <si>
    <t>LAXMAN</t>
  </si>
  <si>
    <t>VADLA  JYOTHI</t>
  </si>
  <si>
    <t>RUPESH CHANDRA</t>
  </si>
  <si>
    <t>BAKKANI MALLAIH</t>
  </si>
  <si>
    <t>CHAKALI NARAYAN</t>
  </si>
  <si>
    <t>MUTYALA POSHAVA</t>
  </si>
  <si>
    <t xml:space="preserve">DUMPLA LAXMI </t>
  </si>
  <si>
    <t>KURMA DASHARATHA</t>
  </si>
  <si>
    <t>GOLLA KRISHNAIAH</t>
  </si>
  <si>
    <t>BONIGA MARIYA KUMAR</t>
  </si>
  <si>
    <t>BONIGA MARIYAMMA</t>
  </si>
  <si>
    <t>MANGALI PEDDA</t>
  </si>
  <si>
    <t>NINGOLLA RAJU</t>
  </si>
  <si>
    <t>MUTHOLLA MALLESH</t>
  </si>
  <si>
    <t>MUTHOLLA CHANDRA</t>
  </si>
  <si>
    <t>KUMARI KRISHNA</t>
  </si>
  <si>
    <t>VADLA BHASHKAR</t>
  </si>
  <si>
    <t>NANGANI VEERAIAH</t>
  </si>
  <si>
    <t>GADDAMIDI RAGHU</t>
  </si>
  <si>
    <t>GADDAMIDI BALAIAH</t>
  </si>
  <si>
    <t>IRAPPA</t>
  </si>
  <si>
    <t>VADLA SHANKAR CHARY</t>
  </si>
  <si>
    <t>RAJENDRA PRASAD</t>
  </si>
  <si>
    <t>BAKKANI HANMAIH</t>
  </si>
  <si>
    <t>CHAKALI PETAIAH</t>
  </si>
  <si>
    <t>MUTYALA BABU</t>
  </si>
  <si>
    <t>DUMPALA DAKAIAH</t>
  </si>
  <si>
    <t>KURMA SATTAIH</t>
  </si>
  <si>
    <t>Nandkishor sharma</t>
  </si>
  <si>
    <t>G BHIMANNA</t>
  </si>
  <si>
    <t>BONIGA PRASAD RAO</t>
  </si>
  <si>
    <t>MARIYA KUMAR</t>
  </si>
  <si>
    <t>Horticulture Manager</t>
  </si>
  <si>
    <t>Organic Waste</t>
  </si>
  <si>
    <t>HORTICULTURIST</t>
  </si>
  <si>
    <t>House No. A-168, Street no. 07, Near power house,</t>
  </si>
  <si>
    <t>House No. 11-106 krishna nagar, Atmakur mandal</t>
  </si>
  <si>
    <t>H NO 2-36</t>
  </si>
  <si>
    <t>H NO 3-27/1</t>
  </si>
  <si>
    <t>H NO 3-37</t>
  </si>
  <si>
    <t>H NO 3-26JANAKPET</t>
  </si>
  <si>
    <t>H NO 2-71\1</t>
  </si>
  <si>
    <t>H NO 3-10 MADHRAM</t>
  </si>
  <si>
    <t>H NO 3-44</t>
  </si>
  <si>
    <t>H N0 3-95/1</t>
  </si>
  <si>
    <t>H NO 3-84</t>
  </si>
  <si>
    <t>H NO 3-95/1</t>
  </si>
  <si>
    <t>H NO 1/22 KOLLUR</t>
  </si>
  <si>
    <t>KALALGHATI</t>
  </si>
  <si>
    <t>H NO1-56</t>
  </si>
  <si>
    <t>H NO 3-7/1</t>
  </si>
  <si>
    <t>H NO 65/1</t>
  </si>
  <si>
    <t>H NO 2-11</t>
  </si>
  <si>
    <t>H NO 3-46</t>
  </si>
  <si>
    <t>Meet Nagar shahadra,</t>
  </si>
  <si>
    <t xml:space="preserve">Amarchinta, Amerchinta, Mahbubnagar </t>
  </si>
  <si>
    <t>Bapu nagar,Lingampally</t>
  </si>
  <si>
    <t>.guntkal,anthapuram</t>
  </si>
  <si>
    <t>Bapu nagar,Lingampally,</t>
  </si>
  <si>
    <t>MADHRAM MEDAK</t>
  </si>
  <si>
    <t xml:space="preserve"> SULTANPUR</t>
  </si>
  <si>
    <t>SULTANPUR</t>
  </si>
  <si>
    <t>BIDAR</t>
  </si>
  <si>
    <t>KOTDWAR</t>
  </si>
  <si>
    <t>SOMANGUTHI R.R</t>
  </si>
  <si>
    <t>NIJAMBAD</t>
  </si>
  <si>
    <t>North East, Delhi - 110094</t>
  </si>
  <si>
    <t>Andhra pradesh - 509130</t>
  </si>
  <si>
    <t>KR-585326</t>
  </si>
  <si>
    <t>UK 246149</t>
  </si>
  <si>
    <t>21-01-2020</t>
  </si>
  <si>
    <t>31-01-2020</t>
  </si>
  <si>
    <t xml:space="preserve">  BONUS</t>
  </si>
  <si>
    <t>Advance</t>
  </si>
  <si>
    <t>GLDPL/EMP/079</t>
  </si>
  <si>
    <t>GLDPL/EMP/142</t>
  </si>
  <si>
    <t>GLDPL/EMP/141</t>
  </si>
  <si>
    <t>GLDPL/LB/9002</t>
  </si>
  <si>
    <t>GLDPL/LB/9003</t>
  </si>
  <si>
    <t>GLDPL/LB/9004</t>
  </si>
  <si>
    <t>GLDPL/LB/9005</t>
  </si>
  <si>
    <t>GLDPL/LB/9006</t>
  </si>
  <si>
    <t>GLDPL/LB/9009</t>
  </si>
  <si>
    <t>GLDPL/LB/9010</t>
  </si>
  <si>
    <t>GLDPL/LB/9011</t>
  </si>
  <si>
    <t>GLDPL/LB/9008</t>
  </si>
  <si>
    <t>GLDPL/LB/9012</t>
  </si>
  <si>
    <t>GLDPL/LB/9013</t>
  </si>
  <si>
    <t>GLDPL/LB/9014</t>
  </si>
  <si>
    <t>GLDPL/LB/9015</t>
  </si>
  <si>
    <t>GLDPL/LB/9016</t>
  </si>
  <si>
    <t>GLDPL/LB/9017</t>
  </si>
  <si>
    <t>GLDPL/LB/9018</t>
  </si>
  <si>
    <t>GLDPL/LB/9019</t>
  </si>
  <si>
    <t>GLDPL/LB/9020</t>
  </si>
  <si>
    <t>GLDPL/LB/9021</t>
  </si>
  <si>
    <t>GLDPL/LB/9023</t>
  </si>
  <si>
    <t>GLDPL/LB/9024</t>
  </si>
  <si>
    <t>GLDPL/LB/9025</t>
  </si>
  <si>
    <t>GLDPL/LB/9026</t>
  </si>
  <si>
    <t>GLDPL/LB/9027</t>
  </si>
  <si>
    <t>GLDPL/LB/9043</t>
  </si>
  <si>
    <t>GLDPL/LB/9042</t>
  </si>
  <si>
    <t>GLDPL/LB/9041</t>
  </si>
  <si>
    <t>GLDPL/LB/9040</t>
  </si>
  <si>
    <t>GLDPL/LB/9039</t>
  </si>
  <si>
    <t>GLDPL/LB/9038</t>
  </si>
  <si>
    <t>GLDPL/LB/9037</t>
  </si>
  <si>
    <t>GLDPL/LB/9036</t>
  </si>
  <si>
    <t>GLDPL/LB/9035</t>
  </si>
  <si>
    <t>GLDPL/LB/9034</t>
  </si>
  <si>
    <t>GLDPL/LB/9033</t>
  </si>
  <si>
    <t>GLDPL/LB/9032</t>
  </si>
  <si>
    <t>GLDPL/LB/9031</t>
  </si>
  <si>
    <t>GLDPL/LB/9030</t>
  </si>
  <si>
    <t>GLDPL/LB/9029</t>
  </si>
  <si>
    <t>GLDPL/LB/9028</t>
  </si>
  <si>
    <t>GLDPL/LB/9045</t>
  </si>
  <si>
    <t>GLDPL/LB/9046</t>
  </si>
  <si>
    <t>GLDPL/LB/9047</t>
  </si>
  <si>
    <t>GLDPL/EMP/148</t>
  </si>
  <si>
    <t>GLDPL/LB/9048</t>
  </si>
  <si>
    <t>GLDPL/LB/9049</t>
  </si>
  <si>
    <t>GLDPL/LB/9050</t>
  </si>
  <si>
    <t>ADVANCE</t>
  </si>
  <si>
    <t>TSAB0017030</t>
  </si>
  <si>
    <t>0888104000048675'</t>
  </si>
  <si>
    <t>ICIC0000202</t>
  </si>
  <si>
    <t>Bakkani Mallaiah</t>
  </si>
  <si>
    <t>Chakali Narayana</t>
  </si>
  <si>
    <t>(Other cash payments(Nature of payments to be indicated)</t>
  </si>
  <si>
    <t>26</t>
  </si>
  <si>
    <t>c</t>
  </si>
  <si>
    <t>7th May 2020</t>
  </si>
  <si>
    <t>31st May 2020</t>
  </si>
  <si>
    <r>
      <t xml:space="preserve">IP Number 
</t>
    </r>
    <r>
      <rPr>
        <b/>
        <sz val="11"/>
        <color indexed="10"/>
        <rFont val="Aharoni"/>
        <charset val="177"/>
      </rPr>
      <t>(</t>
    </r>
    <r>
      <rPr>
        <b/>
        <sz val="16"/>
        <color indexed="10"/>
        <rFont val="Aharoni"/>
        <charset val="177"/>
      </rPr>
      <t>10</t>
    </r>
    <r>
      <rPr>
        <b/>
        <sz val="12"/>
        <color indexed="10"/>
        <rFont val="Aharoni"/>
        <charset val="177"/>
      </rPr>
      <t xml:space="preserve"> Digits</t>
    </r>
    <r>
      <rPr>
        <b/>
        <sz val="11"/>
        <color indexed="10"/>
        <rFont val="Aharoni"/>
        <charset val="177"/>
      </rPr>
      <t>)</t>
    </r>
  </si>
  <si>
    <r>
      <t xml:space="preserve">IP Name
</t>
    </r>
    <r>
      <rPr>
        <b/>
        <sz val="11"/>
        <color indexed="10"/>
        <rFont val="Aharoni"/>
        <charset val="177"/>
      </rPr>
      <t>( Only alphabets and space )</t>
    </r>
  </si>
  <si>
    <t>No of Days for which wages paid/payable during the month</t>
  </si>
  <si>
    <t>Total Monthly Wages</t>
  </si>
  <si>
    <t xml:space="preserve"> Reason Code for Zero workings days(numeric only; provide 0 for all other reasons- Click on the link for reference)</t>
  </si>
  <si>
    <r>
      <t xml:space="preserve"> Last Working Day
</t>
    </r>
    <r>
      <rPr>
        <b/>
        <sz val="11"/>
        <color indexed="10"/>
        <rFont val="Aharoni"/>
        <charset val="177"/>
      </rPr>
      <t>( Format DD/MM/YYYY  or DD-MM-YYYY)</t>
    </r>
  </si>
  <si>
    <t>UAN</t>
  </si>
  <si>
    <t>MEMBER NAME</t>
  </si>
  <si>
    <t>GROSS WAGES</t>
  </si>
  <si>
    <t>EPF WAGES</t>
  </si>
  <si>
    <t>EPS WAGES</t>
  </si>
  <si>
    <t>EDLI WAGES</t>
  </si>
  <si>
    <t>EPF CONTRI REMITTED</t>
  </si>
  <si>
    <t>EPS CONTRI REMITTED</t>
  </si>
  <si>
    <t>EPF EPS DIFF REMITTED</t>
  </si>
  <si>
    <t>NCP DAYS</t>
  </si>
  <si>
    <t>REFUND OF ADVANCES</t>
  </si>
  <si>
    <t>FORM -V</t>
  </si>
  <si>
    <t>(See Rule 12)</t>
  </si>
  <si>
    <t>RETURNS OF TAX PAYABLE BY EMPLOYER</t>
  </si>
  <si>
    <t>Under sub-section (1) of Section 7 of the A.P.Tax on Professions, Trades, Callings and Employments Act, 1987</t>
  </si>
  <si>
    <t xml:space="preserve">Return of tax payable for the month ending  on </t>
  </si>
  <si>
    <t>Name of the Employer</t>
  </si>
  <si>
    <t>Address</t>
  </si>
  <si>
    <t>Registration Certificate No.</t>
  </si>
  <si>
    <t>Number of employees during the month in respect of whoom the tax is payable is as under:</t>
  </si>
  <si>
    <t>Employees whose monthly salaries or wages or both are</t>
  </si>
  <si>
    <t>Number of employees</t>
  </si>
  <si>
    <t>Rate of  Tax per month</t>
  </si>
  <si>
    <t xml:space="preserve">Amount of tax deducted </t>
  </si>
  <si>
    <t>Total</t>
  </si>
  <si>
    <t>Add: Simple inerest payable (if any) on the above amount at two percent  per month or part there of (vide Section 11 of the Act)</t>
  </si>
  <si>
    <t>Grand Total</t>
  </si>
  <si>
    <t xml:space="preserve">Amount paid Rs. </t>
  </si>
  <si>
    <t xml:space="preserve">Under Cheque no. </t>
  </si>
  <si>
    <t>Dated:</t>
  </si>
  <si>
    <t>I certify that all the employees who are liable to pay the tax in my employ during the period of return have been covered by the foregoing particulars. I also certify that the necessary revision in the amount of tax deductible from the salary or wages of the employees on account of variation in the salary or wages earned by them has been made wherever necessary.</t>
  </si>
  <si>
    <r>
      <t>I,</t>
    </r>
    <r>
      <rPr>
        <b/>
        <sz val="10"/>
        <rFont val="Arial"/>
        <family val="2"/>
      </rPr>
      <t xml:space="preserve"> Shri.                                   </t>
    </r>
    <r>
      <rPr>
        <sz val="10"/>
        <rFont val="Arial"/>
        <family val="2"/>
      </rPr>
      <t xml:space="preserve"> solemnly declare that the above statements are true to the best of my knowledge and belief.</t>
    </r>
  </si>
  <si>
    <t xml:space="preserve">Place: </t>
  </si>
  <si>
    <t>Signature</t>
  </si>
  <si>
    <t>Date :</t>
  </si>
  <si>
    <t>Status</t>
  </si>
  <si>
    <t>(FOR OFFICIAL USE)</t>
  </si>
  <si>
    <t>The return is accepted on verification</t>
  </si>
  <si>
    <t xml:space="preserve">Tax Assessed </t>
  </si>
  <si>
    <t>Rs.</t>
  </si>
  <si>
    <t>Tax Paid</t>
  </si>
  <si>
    <t>Balance</t>
  </si>
  <si>
    <t>Assessing Authority.</t>
  </si>
  <si>
    <t>Below Rs.15000/-</t>
  </si>
  <si>
    <t>Between Rs.15001/- to Rs.20000/-</t>
  </si>
  <si>
    <t>Above Rs.20000/-</t>
  </si>
  <si>
    <t>Employee Name</t>
  </si>
  <si>
    <t>IFSC Code</t>
  </si>
  <si>
    <t>GROTECH LANDSCAPE DEVELOPERS PVT. LTD.</t>
  </si>
  <si>
    <t>SELECT</t>
  </si>
  <si>
    <t>TYPE</t>
  </si>
  <si>
    <t>Name of the Establishment :</t>
  </si>
  <si>
    <t xml:space="preserve">                                                                        and found/ cannot discover that she is pregnant and is expected to be delivered of a child within (month/days) from the above </t>
  </si>
  <si>
    <t>(a)</t>
  </si>
  <si>
    <t>(b)</t>
  </si>
  <si>
    <t>(d)</t>
  </si>
  <si>
    <t>(e)</t>
  </si>
  <si>
    <t>Form- I</t>
  </si>
  <si>
    <t>(to be filed before 30th April to the inspector concerned)</t>
  </si>
  <si>
    <t>Details of Establishment:</t>
  </si>
  <si>
    <t>Address of the Establishment:</t>
  </si>
  <si>
    <t>(c)</t>
  </si>
  <si>
    <t xml:space="preserve">Establishment registered under which Act? (ticket the correct option) </t>
  </si>
  <si>
    <t xml:space="preserve">(i)    The Telangana Shops and Establishments Act, 1988 
</t>
  </si>
  <si>
    <t xml:space="preserve">(ii)   The Factories Act, 1948  </t>
  </si>
  <si>
    <t xml:space="preserve">(iii)  The Motor Transport Workers Act, 1961    </t>
  </si>
  <si>
    <t xml:space="preserve">(iv)  Other (Specify)  </t>
  </si>
  <si>
    <t>Name of Employer</t>
  </si>
  <si>
    <t xml:space="preserve">Address of Employer
</t>
  </si>
  <si>
    <t>(f)</t>
  </si>
  <si>
    <t>Email of employer</t>
  </si>
  <si>
    <t>(g)</t>
  </si>
  <si>
    <t xml:space="preserve">Telephone Number of employer (Office )            
</t>
  </si>
  <si>
    <t>(Residency)</t>
  </si>
  <si>
    <t>(h)</t>
  </si>
  <si>
    <t>Mobile Number</t>
  </si>
  <si>
    <t>(i)</t>
  </si>
  <si>
    <t xml:space="preserve">Name and address of the Manager or person responsible for supervision and control of the establishment:
</t>
  </si>
  <si>
    <t xml:space="preserve">(j) </t>
  </si>
  <si>
    <t xml:space="preserve">Brief description of business/work/product:
</t>
  </si>
  <si>
    <t>Details of Registration under Applicable Acts:</t>
  </si>
  <si>
    <t>Enter details only for the Acts which are applicable:</t>
  </si>
  <si>
    <t xml:space="preserve">Name of Act (tick at appropriate Acts) </t>
  </si>
  <si>
    <t xml:space="preserve">Registration / License No. </t>
  </si>
  <si>
    <t xml:space="preserve">Date of issue /last renewal </t>
  </si>
  <si>
    <t>i.</t>
  </si>
  <si>
    <t>Telangana Shops &amp; Establishments Act, 1988 / Factories Act, 1948 / Moto Transport Workers Act, 1961</t>
  </si>
  <si>
    <t>ii.</t>
  </si>
  <si>
    <t xml:space="preserve">Contract Labour (R&amp;A) Act, 1970 (if applicable) </t>
  </si>
  <si>
    <t>iii.</t>
  </si>
  <si>
    <t xml:space="preserve">Inter-state Migrant Workmen (Regulation of Employment and Condition of Service), Act, 1979 (if applicable) </t>
  </si>
  <si>
    <t xml:space="preserve">Details of workers directly employed the establishment (excluding contract workers) during the financial year </t>
  </si>
  <si>
    <t>Average number of workers employed daily:</t>
  </si>
  <si>
    <t>Average number of hours worked in a day (including overtime):</t>
  </si>
  <si>
    <t xml:space="preserve">Number of man-days during the year: </t>
  </si>
  <si>
    <t xml:space="preserve">(i)   Male  </t>
  </si>
  <si>
    <t xml:space="preserve">(ii)   Female </t>
  </si>
  <si>
    <t xml:space="preserve">(iii)   Adolescent </t>
  </si>
  <si>
    <t xml:space="preserve">(iv)   Children </t>
  </si>
  <si>
    <t>TOTAL</t>
  </si>
  <si>
    <t xml:space="preserve">Day of weekly holiday (Tick ):  </t>
  </si>
  <si>
    <t xml:space="preserve">         (Monday/Tuesday/Wednesday/Thursday/Friday/Saturday/Sunday). </t>
  </si>
  <si>
    <t xml:space="preserve">Timings of shift working: </t>
  </si>
  <si>
    <t>General Shift</t>
  </si>
  <si>
    <t>Time from___________Hrs</t>
  </si>
  <si>
    <t>To……………..Hrs</t>
  </si>
  <si>
    <t>First Shift:</t>
  </si>
  <si>
    <t>Second Shift:</t>
  </si>
  <si>
    <t>(if applicable)</t>
  </si>
  <si>
    <t>Third Shift:</t>
  </si>
  <si>
    <t>Number of working days during the financial year:</t>
  </si>
  <si>
    <t>Details of Contract Labour (if employed):</t>
  </si>
  <si>
    <t>No of Contractors engaged</t>
  </si>
  <si>
    <t>No. of Contract Labour Employed</t>
  </si>
  <si>
    <t>Total Mandays during g the year</t>
  </si>
  <si>
    <t>Males</t>
  </si>
  <si>
    <t>Females</t>
  </si>
  <si>
    <t>Adolescents(bet ween the age of 14 to 18 years)</t>
  </si>
  <si>
    <t>Children(bel ow 14 years of age)</t>
  </si>
  <si>
    <t>Maximum number of persons employed in any day during the financial year</t>
  </si>
  <si>
    <t>Adolescents (between the age of 14 to 18 years)</t>
  </si>
  <si>
    <t>Children (below 14 years of age)</t>
  </si>
  <si>
    <t>Details of workers retired, retrenched, discharged etc. during the Financial year:</t>
  </si>
  <si>
    <t>No. of workers</t>
  </si>
  <si>
    <t xml:space="preserve">Amount of benefits paid (benefit wise) Rs. </t>
  </si>
  <si>
    <t>Retired on superannuation</t>
  </si>
  <si>
    <t>Retrenched/ Discharged / Terminated</t>
  </si>
  <si>
    <t>Dismissed</t>
  </si>
  <si>
    <t>Terminal Benefit Paid Rs.</t>
  </si>
  <si>
    <t>Man-days lost during the Financial year on account of</t>
  </si>
  <si>
    <t>Reasons</t>
  </si>
  <si>
    <t>No. of workers involved</t>
  </si>
  <si>
    <t>No. of man-days lost</t>
  </si>
  <si>
    <t>Loss in terms of money</t>
  </si>
  <si>
    <t>Strike</t>
  </si>
  <si>
    <t>Lockout</t>
  </si>
  <si>
    <t>Lay - off</t>
  </si>
  <si>
    <t>Retrenchment</t>
  </si>
  <si>
    <t>Fatal accidents</t>
  </si>
  <si>
    <t>Non-fatal but serious accidents</t>
  </si>
  <si>
    <t>Any other</t>
  </si>
  <si>
    <t>Wages paid during the Financial year</t>
  </si>
  <si>
    <t>Category</t>
  </si>
  <si>
    <t>Rates of Wages</t>
  </si>
  <si>
    <t>No. of Workers</t>
  </si>
  <si>
    <t>Children</t>
  </si>
  <si>
    <t>Adolescent</t>
  </si>
  <si>
    <t>Highly Skilled</t>
  </si>
  <si>
    <t>Skilled</t>
  </si>
  <si>
    <t>Semi Skilled</t>
  </si>
  <si>
    <t>Un Skilled</t>
  </si>
  <si>
    <t>a)</t>
  </si>
  <si>
    <t>Whether Minimum wages GO is applicable to the establishment and if so mention the G.O. No. and Date</t>
  </si>
  <si>
    <t>b)</t>
  </si>
  <si>
    <t>Whether Minimum wages paid to all the workers</t>
  </si>
  <si>
    <t>c)</t>
  </si>
  <si>
    <t>Whether equal wages paid to male and female workers</t>
  </si>
  <si>
    <t>d)</t>
  </si>
  <si>
    <t xml:space="preserve">Whether claim applications under Minimum Wages Act are pending before the Authority </t>
  </si>
  <si>
    <t>e)</t>
  </si>
  <si>
    <t>If so, the amount claimed in the application</t>
  </si>
  <si>
    <t xml:space="preserve">i)  No. of workers filled claim application </t>
  </si>
  <si>
    <t xml:space="preserve">ii) Period of claim </t>
  </si>
  <si>
    <t>Details of Wage Payments</t>
  </si>
  <si>
    <t>Gross wages paid</t>
  </si>
  <si>
    <t>Deductions</t>
  </si>
  <si>
    <t>Net Wages paid</t>
  </si>
  <si>
    <t>In cash</t>
  </si>
  <si>
    <t>In kind</t>
  </si>
  <si>
    <t>Fines</t>
  </si>
  <si>
    <t>Deductions for damage or loss</t>
  </si>
  <si>
    <t>Others (Welfare contribution etc)</t>
  </si>
  <si>
    <t>Details of various welfare amenities provided to workers</t>
  </si>
  <si>
    <t>1   Total number of workers in the establishment:</t>
  </si>
  <si>
    <t xml:space="preserve">2   No. of workers granted Casual Leave: / Sick leave / Leave with Wages / Earned Leave </t>
  </si>
  <si>
    <t>3   No. of workers granted Leave with wages or paid wages in lieu of leave:</t>
  </si>
  <si>
    <t>4   No. of workers who were provided ambulance facility:</t>
  </si>
  <si>
    <t xml:space="preserve">5   No. of workers who availed facility of canteen: </t>
  </si>
  <si>
    <t>6   No. of rest rooms:</t>
  </si>
  <si>
    <t>Payment of Bonus Act, 1965</t>
  </si>
  <si>
    <t>Number of employees benefited by bonus payments during the Financial Year</t>
  </si>
  <si>
    <t>Total no. of     workers in the Estt</t>
  </si>
  <si>
    <t>Total No. of worker entitled to bonus</t>
  </si>
  <si>
    <t>Total amount payable as bonus</t>
  </si>
  <si>
    <t>Settlement, if any, reached</t>
  </si>
  <si>
    <t>Percentage of bonus declared or Minimum Bonus @ 8.33% Paid</t>
  </si>
  <si>
    <t>Whether bonus has been paid to all the employees (Yes/No)</t>
  </si>
  <si>
    <t>Reasons for nonpayment of bonus to any employee (if applicable)</t>
  </si>
  <si>
    <t>Payment of Gratuity Act, 1972 Details of Gratuity paid to workers during the Financial Year</t>
  </si>
  <si>
    <t>Sl.No</t>
  </si>
  <si>
    <t>Name of worker</t>
  </si>
  <si>
    <t xml:space="preserve">Employment No </t>
  </si>
  <si>
    <t>Superannuation /retrenchment / Resignation</t>
  </si>
  <si>
    <t>Period of service (years and days)</t>
  </si>
  <si>
    <t>Last monthly wage drawn (Rs.)</t>
  </si>
  <si>
    <t>Gratuity Paid (Rs.)</t>
  </si>
  <si>
    <t>If not paid (Reasons)</t>
  </si>
  <si>
    <t>Details of contribution to Labour Welfare Fund</t>
  </si>
  <si>
    <t>No. of Employees</t>
  </si>
  <si>
    <t>Contribution paid to Labour Welfare Board (Rs.)</t>
  </si>
  <si>
    <t>Employees Contribution</t>
  </si>
  <si>
    <t>Employer Contribution</t>
  </si>
  <si>
    <t>Total Contribution (Half yearly)</t>
  </si>
  <si>
    <t>Unpaid amount (if any)</t>
  </si>
  <si>
    <t>If woman worker is employed, enter following details, otherwise skip:</t>
  </si>
  <si>
    <t>(A)</t>
  </si>
  <si>
    <t xml:space="preserve"> Leave granted under Maternity Benefit Act, 1965 or ESI Act, 1948: </t>
  </si>
  <si>
    <t xml:space="preserve">(a) Total no. of female employees in the establishment: </t>
  </si>
  <si>
    <t>(b) Total no. of days of leave granted:</t>
  </si>
  <si>
    <t xml:space="preserve">(c)  No. of employees who availed maternity leave or other benefits from ESI </t>
  </si>
  <si>
    <t>(B)</t>
  </si>
  <si>
    <t>Detail of medical check-up</t>
  </si>
  <si>
    <t xml:space="preserve">i.   Name of Medical Officer who paid visit during the calendar year: </t>
  </si>
  <si>
    <t>ii.  Qualification of Medical Officer:</t>
  </si>
  <si>
    <t>iii. Is medical officer employed by the establishment or part-time?</t>
  </si>
  <si>
    <t xml:space="preserve">iv. If a part time, how often does he/she pay visit to establishment?  </t>
  </si>
  <si>
    <t xml:space="preserve">(mention no. of visit in a quarter): </t>
  </si>
  <si>
    <t xml:space="preserve">v.  Is there any Hospital in the establishment? (YES / NO): </t>
  </si>
  <si>
    <t>vi. If so, how many beds are provided?:</t>
  </si>
  <si>
    <t xml:space="preserve">vii   Is a lady Doctor engaged by the establishment on regular or part time basis? (YES / NO): </t>
  </si>
  <si>
    <t xml:space="preserve">viii What are her qualification?: </t>
  </si>
  <si>
    <t xml:space="preserve">ix.  Is there a qualified mid-wife in the establishment? (YES / NO): </t>
  </si>
  <si>
    <t xml:space="preserve">x   Has any crèche been provided? (YES / NO): </t>
  </si>
  <si>
    <t>Factories Act, 1948 (If applicable, otherwise skip)</t>
  </si>
  <si>
    <t>Minimum number of workers employed on any day during the year:</t>
  </si>
  <si>
    <t>Total number of accidents that took place during the year:</t>
  </si>
  <si>
    <t>Accident Category-I :</t>
  </si>
  <si>
    <t>(a) Number of accidents resulting in disablement of any worker for less than 48 hrs:</t>
  </si>
  <si>
    <t>(b) Number of workers involved in such accident:</t>
  </si>
  <si>
    <t>(c) Number of man-days lost due to such accidents:</t>
  </si>
  <si>
    <t>Accident Category-II :</t>
  </si>
  <si>
    <t>(ii)</t>
  </si>
  <si>
    <t>(a) Number of accidents resulting in disablement of any worker beyond 48 hrs but not resulting in any permanent partial or permanent total disablement:</t>
  </si>
  <si>
    <t>(c) Number of man-days lost on account of such accidents:</t>
  </si>
  <si>
    <t>Accident Category-III :</t>
  </si>
  <si>
    <t>(iii)</t>
  </si>
  <si>
    <t>(a) Number of accidents resulting in permanent partial or total disablement of any worker:</t>
  </si>
  <si>
    <t>Accident Category-IV</t>
  </si>
  <si>
    <t>(iv)</t>
  </si>
  <si>
    <t xml:space="preserve">(a) Number of accidents resulting in death of any worker and the number of resultant deaths: (a) Number of accidents resulting in death of any worker and the number of resultant deaths: 
</t>
  </si>
  <si>
    <t>(C)</t>
  </si>
  <si>
    <t>Details of change in management (if any):-</t>
  </si>
  <si>
    <t>Change, if any, in the management of the establishment, its location, or any other particulars already furnished to the Registering Officer at the time of Registration indicating also the dates:</t>
  </si>
  <si>
    <t>Date of change</t>
  </si>
  <si>
    <t>Information furnished at the time of registration</t>
  </si>
  <si>
    <t>Changed information</t>
  </si>
  <si>
    <t>(D)</t>
  </si>
  <si>
    <t>Whether Canteen Provided:</t>
  </si>
  <si>
    <t xml:space="preserve">(i)   whether canteen committee constituted. </t>
  </si>
  <si>
    <t xml:space="preserve">(ii)   Whether food items being provided on subsidized rates. </t>
  </si>
  <si>
    <t>Details of Works Committee under Industrial Disputes Act, 1947 (if more than 100 workers are employed):</t>
  </si>
  <si>
    <t xml:space="preserve">Whether works committee has been functioning (YES / NO): </t>
  </si>
  <si>
    <t>If yes, please provide the following information:</t>
  </si>
  <si>
    <t xml:space="preserve">(a) Date of its constitution: </t>
  </si>
  <si>
    <t>(b) Number of workmen’s representatives (elected members):</t>
  </si>
  <si>
    <t>(c) Number of employer’s representatives (nominated members):</t>
  </si>
  <si>
    <t>(d) Number of meeting held during the year with dates:</t>
  </si>
  <si>
    <t>If the works committee had not been functioning, the difficulties encountered in its constitution / functioning:</t>
  </si>
  <si>
    <t>Number of Unions in the establishment:</t>
  </si>
  <si>
    <t>Details of Inter-state migrant workmen (if employed):</t>
  </si>
  <si>
    <t>Total Wages paid</t>
  </si>
  <si>
    <t>Digital signature/Signature of the Employer/Manager</t>
  </si>
  <si>
    <t>Name of signatory</t>
  </si>
  <si>
    <t xml:space="preserve">Place : </t>
  </si>
  <si>
    <t>Designation in the establishment :</t>
  </si>
  <si>
    <t xml:space="preserve">                                                           Annual Return for the Financial Year………..</t>
  </si>
  <si>
    <t>select</t>
  </si>
  <si>
    <t>Date of Birth</t>
  </si>
  <si>
    <t>The District Officer</t>
  </si>
  <si>
    <t>And Deputy Collector</t>
  </si>
  <si>
    <t>Hyderabad District Collectorate</t>
  </si>
  <si>
    <t xml:space="preserve">Hyderabad  </t>
  </si>
  <si>
    <t>Telangana</t>
  </si>
  <si>
    <t>Name and address of the POSH Authority</t>
  </si>
  <si>
    <t xml:space="preserve">Annual report for the Year ending year </t>
  </si>
  <si>
    <t>Under section 21 of The Sexual Harassment of women at  workplace(PRSH Act,2013)</t>
  </si>
  <si>
    <t>No.of Complaints received during the year :</t>
  </si>
  <si>
    <t>No.of Complaints disposed off during the year :</t>
  </si>
  <si>
    <t>No.of Cased pending for more than 90 days :</t>
  </si>
  <si>
    <t>No. of Workshops or Awareness programs against Sexual Harassment Carried out :</t>
  </si>
  <si>
    <t>(Kindly mention static data or Number of total workshop/Training Program conducted during the year)</t>
  </si>
  <si>
    <t>Nature of action taken by the Employer :</t>
  </si>
  <si>
    <t>ANNEXURE</t>
  </si>
  <si>
    <t xml:space="preserve">The following action was taken by the Employer in respect of the complaints received </t>
  </si>
  <si>
    <t xml:space="preserve">during the year </t>
  </si>
  <si>
    <t>No.of Complaints during the year :</t>
  </si>
  <si>
    <t>Investigated and completed by the Committee:</t>
  </si>
  <si>
    <t>Action taken</t>
  </si>
  <si>
    <t>Written Apology :</t>
  </si>
  <si>
    <t>Warning :</t>
  </si>
  <si>
    <t>Reprimand or Censure :</t>
  </si>
  <si>
    <t>Withholding of Promotion :</t>
  </si>
  <si>
    <t>Withholding of Pay rise/Increment :</t>
  </si>
  <si>
    <t>Termination :</t>
  </si>
  <si>
    <t>Transfer :</t>
  </si>
  <si>
    <t>Undergo Counselling :</t>
  </si>
  <si>
    <t>Carrying out Community Service :</t>
  </si>
  <si>
    <t>(Officer name : )</t>
  </si>
  <si>
    <t>Sign/-</t>
  </si>
  <si>
    <t>Presiding Officer-Internal Committee</t>
  </si>
  <si>
    <t>Description of the Complaint</t>
  </si>
  <si>
    <t>on letter head</t>
  </si>
  <si>
    <r>
      <rPr>
        <b/>
        <sz val="25"/>
        <rFont val="Calibri"/>
        <family val="2"/>
      </rPr>
      <t xml:space="preserve">FORM - XVI MUSTER ROLL
</t>
    </r>
    <r>
      <rPr>
        <sz val="11"/>
        <rFont val="Calibri"/>
        <family val="2"/>
        <scheme val="minor"/>
      </rPr>
      <t>[Vide Rule 78 (1) (a) (i) of Contract Labour (Reg. &amp; Abolition) Central &amp; AP{TS} Rules 1971]</t>
    </r>
  </si>
  <si>
    <t>TWO</t>
  </si>
  <si>
    <t>NO ACTION TAKEN AS NO COMPLAINTS</t>
  </si>
  <si>
    <t>MANAGEMENT INFORMATION SYSTEM</t>
  </si>
  <si>
    <t>MONTHLY REPORT</t>
  </si>
  <si>
    <t>Employee Total Earned Salaries</t>
  </si>
  <si>
    <t>Employee Total Net Salaries</t>
  </si>
  <si>
    <t>ESI Employer Contribution</t>
  </si>
  <si>
    <t>Workmen Compensation/Insurance contribution</t>
  </si>
  <si>
    <t>Maternity benefit contribution</t>
  </si>
  <si>
    <t>PT contribution</t>
  </si>
  <si>
    <t>TDS Contribution</t>
  </si>
  <si>
    <t>Bonus Contribution</t>
  </si>
  <si>
    <t>Gratuity Contribution</t>
  </si>
  <si>
    <t>(Vide Rule 76 of Contract Labour (R&amp;A) Central &amp; A.P{T.S.} Rules, 1971)</t>
  </si>
  <si>
    <t>(Vide rule 75 of Contract labour(Regulation and Abolition) Central/A.P.{T.S.} Rules 1971)</t>
  </si>
  <si>
    <t>[Vide rule 77 of Contract Labour (Regul. &amp; Abolition) Central &amp; A.P.{T.S.} Rules, 1971]</t>
  </si>
  <si>
    <t>(Vide Rule 29(6) of A.P.{T.S.} Shops &amp; Establishments Rules,1990)</t>
  </si>
  <si>
    <r>
      <rPr>
        <b/>
        <sz val="25"/>
        <color indexed="8"/>
        <rFont val="Calibri"/>
        <family val="2"/>
      </rPr>
      <t xml:space="preserve">FORM - XVII REGISTER OF WAGES
</t>
    </r>
    <r>
      <rPr>
        <sz val="11"/>
        <color theme="1"/>
        <rFont val="Calibri"/>
        <family val="2"/>
        <scheme val="minor"/>
      </rPr>
      <t>[Vide Rule 78 (1) (a) (i) of Contract Labour (Reg. &amp; Abolition) Central &amp; A.P.{T.S.}.Rules 1971]</t>
    </r>
  </si>
  <si>
    <t>[Vide rule 78 (1) (b) of the Contract Labour (Regulation and Abolition) Central and A.P.{T.S.}Rules, 1971]</t>
  </si>
  <si>
    <t>(Vide Rule 78(1) (a) (i) of Contract Labour (Regulation and Abolition) Central /A.P{T.S.}.Rules 1971</t>
  </si>
  <si>
    <t>(Vide Rule 78(1) (a) (i) of Contract Labour (Regulation and Abolition) Central /A.P.{T.S.}Rules 1971</t>
  </si>
  <si>
    <t>INSPECTION BOOK UNDER E.S.I.ACT</t>
  </si>
  <si>
    <t xml:space="preserve">Name of the Inspector:                                                                                                                                                               </t>
  </si>
  <si>
    <t>Date of Inspection</t>
  </si>
  <si>
    <t>Manager or other officer present at the time of Inspection</t>
  </si>
  <si>
    <t>Remarks by Inspector</t>
  </si>
  <si>
    <t>FORM "C" ( See rule 4 [c] ) of the Payment of Bonus Rules, 1975)</t>
  </si>
  <si>
    <t>FORM C- Bonus paid to employees for the accounting year ending on the</t>
  </si>
  <si>
    <t>Name and address of the Establishment/Shop:</t>
  </si>
  <si>
    <t>APPLIED</t>
  </si>
  <si>
    <t>LEAVE GRANTED</t>
  </si>
  <si>
    <t>IF REFUSED IN PART OR FULL</t>
  </si>
  <si>
    <t>SIGNATURE OF</t>
  </si>
  <si>
    <t>Form(Date)</t>
  </si>
  <si>
    <t>To(Date)</t>
  </si>
  <si>
    <t>Employee</t>
  </si>
  <si>
    <t>Employer</t>
  </si>
  <si>
    <t>LEAVE WITH WAGES</t>
  </si>
  <si>
    <t>SICK LEAVE</t>
  </si>
  <si>
    <t>CASUAL LEAVE</t>
  </si>
  <si>
    <t>INSPECTION NOTE BOOK</t>
  </si>
  <si>
    <t>(vide para 36 of the E.P.F.Scheme,1952)</t>
  </si>
  <si>
    <t>&amp;</t>
  </si>
  <si>
    <t>Code No. AP/</t>
  </si>
  <si>
    <t>Date of Visit</t>
  </si>
  <si>
    <t>Period for which accounts checked</t>
  </si>
  <si>
    <t>Observations of Inspector</t>
  </si>
  <si>
    <t>Compliance by employer #</t>
  </si>
  <si>
    <t>PAN NUMBER</t>
  </si>
  <si>
    <t>EMPLOYEE  NAME</t>
  </si>
  <si>
    <t>EARNED GROSS WAGES</t>
  </si>
  <si>
    <t>DATE OF PAYMENT</t>
  </si>
  <si>
    <t>PAYMENT MODE</t>
  </si>
  <si>
    <t>BANK NAME</t>
  </si>
  <si>
    <t>ACCOUNT NUMBER</t>
  </si>
  <si>
    <t>IFSC CODE</t>
  </si>
  <si>
    <t>REMARKS</t>
  </si>
  <si>
    <t>AMOUNT OF TAX DEDUCTED</t>
  </si>
  <si>
    <r>
      <rPr>
        <b/>
        <sz val="10"/>
        <rFont val="Times New Roman"/>
        <family val="1"/>
      </rPr>
      <t>Employee ID</t>
    </r>
  </si>
  <si>
    <r>
      <rPr>
        <sz val="10"/>
        <rFont val="Times New Roman"/>
        <family val="1"/>
      </rPr>
      <t>S520</t>
    </r>
  </si>
  <si>
    <r>
      <rPr>
        <b/>
        <sz val="10"/>
        <rFont val="Times New Roman"/>
        <family val="1"/>
      </rPr>
      <t>Employee Name</t>
    </r>
  </si>
  <si>
    <r>
      <rPr>
        <sz val="10"/>
        <rFont val="Times New Roman"/>
        <family val="1"/>
      </rPr>
      <t>Sanghamitra Dash</t>
    </r>
  </si>
  <si>
    <r>
      <rPr>
        <b/>
        <sz val="10"/>
        <rFont val="Times New Roman"/>
        <family val="1"/>
      </rPr>
      <t>No. Of  Paid Days</t>
    </r>
  </si>
  <si>
    <r>
      <rPr>
        <b/>
        <sz val="10"/>
        <rFont val="Times New Roman"/>
        <family val="1"/>
      </rPr>
      <t>Designation</t>
    </r>
  </si>
  <si>
    <r>
      <rPr>
        <sz val="10"/>
        <rFont val="Times New Roman"/>
        <family val="1"/>
      </rPr>
      <t>Automation Test Engineer</t>
    </r>
  </si>
  <si>
    <r>
      <rPr>
        <b/>
        <sz val="10"/>
        <rFont val="Times New Roman"/>
        <family val="1"/>
      </rPr>
      <t>Department</t>
    </r>
  </si>
  <si>
    <r>
      <rPr>
        <sz val="10"/>
        <rFont val="Times New Roman"/>
        <family val="1"/>
      </rPr>
      <t>Software Development</t>
    </r>
  </si>
  <si>
    <r>
      <rPr>
        <b/>
        <sz val="10"/>
        <rFont val="Times New Roman"/>
        <family val="1"/>
      </rPr>
      <t>Bank Name</t>
    </r>
  </si>
  <si>
    <r>
      <rPr>
        <sz val="10"/>
        <rFont val="Times New Roman"/>
        <family val="1"/>
      </rPr>
      <t>HDFC BANK</t>
    </r>
  </si>
  <si>
    <r>
      <rPr>
        <b/>
        <sz val="10"/>
        <rFont val="Times New Roman"/>
        <family val="1"/>
      </rPr>
      <t>Account No.</t>
    </r>
  </si>
  <si>
    <r>
      <rPr>
        <b/>
        <sz val="10"/>
        <rFont val="Times New Roman"/>
        <family val="1"/>
      </rPr>
      <t>UAN No.</t>
    </r>
  </si>
  <si>
    <r>
      <rPr>
        <b/>
        <sz val="10"/>
        <rFont val="Times New Roman"/>
        <family val="1"/>
      </rPr>
      <t>EARNINGS</t>
    </r>
  </si>
  <si>
    <r>
      <rPr>
        <b/>
        <sz val="10"/>
        <rFont val="Times New Roman"/>
        <family val="1"/>
      </rPr>
      <t xml:space="preserve">Actuals
</t>
    </r>
    <r>
      <rPr>
        <b/>
        <sz val="10"/>
        <rFont val="Times New Roman"/>
        <family val="1"/>
      </rPr>
      <t>(Rs.)</t>
    </r>
  </si>
  <si>
    <r>
      <rPr>
        <b/>
        <sz val="10"/>
        <rFont val="Times New Roman"/>
        <family val="1"/>
      </rPr>
      <t>Amount (Rs.)</t>
    </r>
  </si>
  <si>
    <r>
      <rPr>
        <b/>
        <sz val="10"/>
        <rFont val="Times New Roman"/>
        <family val="1"/>
      </rPr>
      <t>DEDUCTIONS</t>
    </r>
  </si>
  <si>
    <r>
      <rPr>
        <b/>
        <sz val="10"/>
        <rFont val="Times New Roman"/>
        <family val="1"/>
      </rPr>
      <t>Amount (Rs)</t>
    </r>
  </si>
  <si>
    <r>
      <rPr>
        <b/>
        <sz val="10"/>
        <rFont val="Times New Roman"/>
        <family val="1"/>
      </rPr>
      <t>Basic Salary</t>
    </r>
  </si>
  <si>
    <r>
      <rPr>
        <b/>
        <sz val="10"/>
        <rFont val="Times New Roman"/>
        <family val="1"/>
      </rPr>
      <t>HRA</t>
    </r>
  </si>
  <si>
    <r>
      <rPr>
        <b/>
        <sz val="10"/>
        <rFont val="Times New Roman"/>
        <family val="1"/>
      </rPr>
      <t>Conveyance Allowance</t>
    </r>
  </si>
  <si>
    <r>
      <rPr>
        <b/>
        <sz val="10"/>
        <rFont val="Times New Roman"/>
        <family val="1"/>
      </rPr>
      <t>Gross Salary</t>
    </r>
  </si>
  <si>
    <r>
      <rPr>
        <b/>
        <sz val="10"/>
        <rFont val="Times New Roman"/>
        <family val="1"/>
      </rPr>
      <t>Total Deductions</t>
    </r>
  </si>
  <si>
    <r>
      <rPr>
        <b/>
        <sz val="10"/>
        <rFont val="Times New Roman"/>
        <family val="1"/>
      </rPr>
      <t>Net Salary</t>
    </r>
  </si>
  <si>
    <r>
      <rPr>
        <b/>
        <i/>
        <sz val="10"/>
        <rFont val="Times New Roman"/>
        <family val="1"/>
      </rPr>
      <t>Net Salary in Words:</t>
    </r>
  </si>
  <si>
    <r>
      <rPr>
        <b/>
        <i/>
        <sz val="10"/>
        <rFont val="Times New Roman"/>
        <family val="1"/>
      </rPr>
      <t>Seventy-Six Thousand Thirty-Three Rupees Only</t>
    </r>
  </si>
  <si>
    <r>
      <rPr>
        <i/>
        <sz val="9"/>
        <rFont val="Times New Roman"/>
        <family val="1"/>
      </rPr>
      <t>Note:  This is a computer generated document, hence no signature is required.</t>
    </r>
  </si>
  <si>
    <t>Special Allowance
Insurance)</t>
  </si>
  <si>
    <t>ESI No.</t>
  </si>
  <si>
    <t>ESI Contribution</t>
  </si>
  <si>
    <t>EPF Contribution</t>
  </si>
  <si>
    <t>Other Deductions</t>
  </si>
  <si>
    <t>Medical Allowance
Insurance)</t>
  </si>
  <si>
    <t>Other Allowance
Insurance)</t>
  </si>
  <si>
    <t xml:space="preserve">   Payslip For the Month of  </t>
  </si>
  <si>
    <t>PAN Card No</t>
  </si>
  <si>
    <t>BZRPM7258K</t>
  </si>
  <si>
    <t xml:space="preserve">BANK UPLOAD DATA OF </t>
  </si>
  <si>
    <t>FOR THE MONTH OF</t>
  </si>
  <si>
    <t>Register of Fines Realised and unpaid accumulations for the year 2022</t>
  </si>
  <si>
    <t>Contract Labour Act 1970</t>
  </si>
  <si>
    <t>Employee Attendance in days</t>
  </si>
  <si>
    <t>ESI Employee Contribution</t>
  </si>
  <si>
    <t>EPF Employer Contribution</t>
  </si>
  <si>
    <t>EPF Employee Contribution</t>
  </si>
  <si>
    <t>ADMIN</t>
  </si>
  <si>
    <t>EMPLOYER</t>
  </si>
  <si>
    <t>EMPLOYEE</t>
  </si>
  <si>
    <t>(PROGRAMMING &amp;EVERY MODIFICATION )</t>
  </si>
  <si>
    <t>(ENTRIES UPLOAD)</t>
  </si>
  <si>
    <t>(PARTICULAR EMPLOYEE ONLY)</t>
  </si>
  <si>
    <t>Database sheet upload</t>
  </si>
  <si>
    <t>EMPLOYMENT CARDS</t>
  </si>
  <si>
    <t>LEAVE REGISTER</t>
  </si>
  <si>
    <t>WAGE SLIPS</t>
  </si>
  <si>
    <t>PAYSLIP</t>
  </si>
  <si>
    <t>CHECK &amp; SIGN</t>
  </si>
  <si>
    <t>2022-23</t>
  </si>
  <si>
    <t xml:space="preserve">ACCESSES TO DIFFERENT USERS </t>
  </si>
  <si>
    <t>AUDITOR</t>
  </si>
  <si>
    <t>ESTABLISHMENT</t>
  </si>
  <si>
    <t>(FOR REGISTRATION LOG IN DETAILS)</t>
  </si>
  <si>
    <t>Attendance sheet upload</t>
  </si>
  <si>
    <t xml:space="preserve">BANK TRANSFER,EPF,ESI,PT Upload </t>
  </si>
  <si>
    <t>(FINAL REGISTERS VIEW,PENDING&amp; APRROVAL)</t>
  </si>
  <si>
    <t>No. Of Total Days</t>
  </si>
</sst>
</file>

<file path=xl/styles.xml><?xml version="1.0" encoding="utf-8"?>
<styleSheet xmlns="http://schemas.openxmlformats.org/spreadsheetml/2006/main">
  <numFmts count="8">
    <numFmt numFmtId="164" formatCode="_(* #,##0.00_);_(* \(#,##0.00\);_(* &quot;-&quot;??_);_(@_)"/>
    <numFmt numFmtId="165" formatCode="mmmm/yyyy"/>
    <numFmt numFmtId="166" formatCode="[$-409]d/mmm/yy;@"/>
    <numFmt numFmtId="167" formatCode="###,##0"/>
    <numFmt numFmtId="168" formatCode="_(* #,##0_);_(* \(#,##0\);_(* &quot;-&quot;??_);_(@_)"/>
    <numFmt numFmtId="169" formatCode="dd\-mmm\-yyyy;@"/>
    <numFmt numFmtId="170" formatCode="\₹\ #,##0.00"/>
    <numFmt numFmtId="171" formatCode="mmm\-yyyy"/>
  </numFmts>
  <fonts count="118">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0"/>
      <name val="Cambria"/>
      <family val="1"/>
      <scheme val="major"/>
    </font>
    <font>
      <sz val="12"/>
      <name val="Cambria"/>
      <family val="1"/>
      <scheme val="major"/>
    </font>
    <font>
      <sz val="14"/>
      <name val="Calibri"/>
      <family val="2"/>
      <scheme val="minor"/>
    </font>
    <font>
      <sz val="14"/>
      <name val="Book Antiqua"/>
      <family val="1"/>
    </font>
    <font>
      <sz val="12"/>
      <name val="Calibri"/>
      <family val="2"/>
      <scheme val="minor"/>
    </font>
    <font>
      <b/>
      <sz val="12"/>
      <name val="Arial"/>
      <family val="2"/>
    </font>
    <font>
      <sz val="10"/>
      <color indexed="8"/>
      <name val="Arial"/>
      <family val="2"/>
    </font>
    <font>
      <sz val="10"/>
      <color theme="1"/>
      <name val="Arial"/>
      <family val="2"/>
    </font>
    <font>
      <b/>
      <sz val="20"/>
      <name val="Arial"/>
      <family val="2"/>
    </font>
    <font>
      <sz val="9"/>
      <name val="Arial"/>
      <family val="2"/>
    </font>
    <font>
      <b/>
      <sz val="9"/>
      <name val="Arial"/>
      <family val="2"/>
    </font>
    <font>
      <sz val="10"/>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b/>
      <sz val="9"/>
      <name val="Times New Roman"/>
      <family val="1"/>
    </font>
    <font>
      <sz val="11"/>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sz val="11"/>
      <color theme="1"/>
      <name val="Arial Black"/>
      <family val="2"/>
    </font>
    <font>
      <sz val="10"/>
      <color theme="1"/>
      <name val="Calibri"/>
      <family val="2"/>
      <scheme val="minor"/>
    </font>
    <font>
      <sz val="9"/>
      <color theme="1"/>
      <name val="Calibri"/>
      <family val="2"/>
      <scheme val="minor"/>
    </font>
    <font>
      <sz val="8"/>
      <name val="Arial"/>
      <family val="2"/>
    </font>
    <font>
      <sz val="10"/>
      <color indexed="8"/>
      <name val="Arial1"/>
      <charset val="1"/>
    </font>
    <font>
      <sz val="10"/>
      <name val="Arial"/>
      <family val="2"/>
      <charset val="1"/>
    </font>
    <font>
      <sz val="10"/>
      <name val="Book Antiqua"/>
      <family val="1"/>
    </font>
    <font>
      <sz val="9"/>
      <name val="Calibri"/>
      <family val="2"/>
      <scheme val="minor"/>
    </font>
    <font>
      <sz val="11"/>
      <name val="Cambria"/>
      <family val="1"/>
      <scheme val="major"/>
    </font>
    <font>
      <sz val="10"/>
      <name val="Arial Narrow"/>
      <family val="2"/>
    </font>
    <font>
      <b/>
      <sz val="25"/>
      <name val="Calibri"/>
      <family val="2"/>
    </font>
    <font>
      <sz val="12"/>
      <color theme="1"/>
      <name val="Times New Roman"/>
      <family val="1"/>
    </font>
    <font>
      <sz val="12"/>
      <color theme="1"/>
      <name val="Arial"/>
      <family val="2"/>
    </font>
    <font>
      <b/>
      <sz val="16"/>
      <name val="VERDANA"/>
      <family val="2"/>
    </font>
    <font>
      <b/>
      <sz val="11"/>
      <color theme="1"/>
      <name val="Times New Roman"/>
      <family val="1"/>
    </font>
    <font>
      <b/>
      <sz val="10"/>
      <color theme="1"/>
      <name val="Calibri"/>
      <family val="2"/>
      <scheme val="minor"/>
    </font>
    <font>
      <sz val="25"/>
      <color indexed="8"/>
      <name val="Arial Black"/>
      <family val="2"/>
    </font>
    <font>
      <b/>
      <sz val="24"/>
      <name val="Arial"/>
      <family val="2"/>
    </font>
    <font>
      <b/>
      <sz val="12"/>
      <name val="Calibri"/>
      <family val="2"/>
      <scheme val="minor"/>
    </font>
    <font>
      <b/>
      <sz val="12"/>
      <name val="Book Antiqua"/>
      <family val="1"/>
    </font>
    <font>
      <sz val="12"/>
      <name val="Book Antiqua"/>
      <family val="1"/>
    </font>
    <font>
      <b/>
      <sz val="10"/>
      <name val="Book Antiqua"/>
      <family val="1"/>
    </font>
    <font>
      <vertAlign val="superscript"/>
      <sz val="11.5"/>
      <name val="Times New Roman"/>
      <family val="1"/>
    </font>
    <font>
      <sz val="12"/>
      <color rgb="FF000000"/>
      <name val="Times New Roman"/>
      <family val="1"/>
    </font>
    <font>
      <sz val="11"/>
      <color rgb="FF000000"/>
      <name val="Calibri"/>
      <family val="2"/>
      <scheme val="minor"/>
    </font>
    <font>
      <sz val="11"/>
      <color rgb="FF000000"/>
      <name val="Cambria"/>
      <family val="1"/>
      <scheme val="major"/>
    </font>
    <font>
      <b/>
      <sz val="20"/>
      <color theme="1"/>
      <name val="Calibri"/>
      <family val="2"/>
      <scheme val="minor"/>
    </font>
    <font>
      <sz val="11"/>
      <color indexed="8"/>
      <name val="Calibri"/>
      <family val="2"/>
    </font>
    <font>
      <sz val="11"/>
      <name val="Arial Narrow"/>
      <family val="2"/>
    </font>
    <font>
      <sz val="11.5"/>
      <color theme="1"/>
      <name val="Calibri"/>
      <family val="2"/>
      <scheme val="minor"/>
    </font>
    <font>
      <sz val="9"/>
      <name val="Arial Narrow"/>
      <family val="2"/>
    </font>
    <font>
      <sz val="11.5"/>
      <name val="Calibri"/>
      <family val="2"/>
      <scheme val="minor"/>
    </font>
    <font>
      <sz val="11.5"/>
      <name val="Arial Narrow"/>
      <family val="2"/>
    </font>
    <font>
      <sz val="14"/>
      <name val="Arial Narrow"/>
      <family val="2"/>
    </font>
    <font>
      <sz val="12"/>
      <name val="Arial"/>
      <family val="2"/>
    </font>
    <font>
      <b/>
      <sz val="10"/>
      <name val="Calibri"/>
      <family val="2"/>
      <scheme val="minor"/>
    </font>
    <font>
      <b/>
      <sz val="9"/>
      <color theme="1"/>
      <name val="Calibri"/>
      <family val="2"/>
      <scheme val="minor"/>
    </font>
    <font>
      <sz val="9"/>
      <color theme="1"/>
      <name val="Cambria"/>
      <family val="1"/>
      <scheme val="major"/>
    </font>
    <font>
      <sz val="9"/>
      <name val="Cambria"/>
      <family val="1"/>
      <scheme val="major"/>
    </font>
    <font>
      <sz val="11"/>
      <color indexed="8"/>
      <name val="Calibri"/>
      <family val="2"/>
      <scheme val="minor"/>
    </font>
    <font>
      <sz val="11"/>
      <color rgb="FFFF0000"/>
      <name val="Calibri"/>
      <family val="2"/>
      <scheme val="minor"/>
    </font>
    <font>
      <sz val="10"/>
      <color theme="1"/>
      <name val="Times New Roman"/>
      <family val="1"/>
    </font>
    <font>
      <sz val="11"/>
      <color theme="1"/>
      <name val="Arial Narrow"/>
      <family val="2"/>
    </font>
    <font>
      <b/>
      <sz val="10"/>
      <name val="Cambria"/>
      <family val="1"/>
      <scheme val="major"/>
    </font>
    <font>
      <sz val="9"/>
      <name val="Times New Roman"/>
      <family val="1"/>
    </font>
    <font>
      <b/>
      <sz val="9.5"/>
      <color theme="1"/>
      <name val="Calibri"/>
      <family val="2"/>
      <scheme val="minor"/>
    </font>
    <font>
      <b/>
      <sz val="11"/>
      <name val="Aharoni"/>
      <charset val="177"/>
    </font>
    <font>
      <b/>
      <sz val="11"/>
      <color indexed="10"/>
      <name val="Aharoni"/>
      <charset val="177"/>
    </font>
    <font>
      <b/>
      <sz val="16"/>
      <color indexed="10"/>
      <name val="Aharoni"/>
      <charset val="177"/>
    </font>
    <font>
      <b/>
      <sz val="12"/>
      <color indexed="10"/>
      <name val="Aharoni"/>
      <charset val="177"/>
    </font>
    <font>
      <b/>
      <u/>
      <sz val="10"/>
      <color indexed="8"/>
      <name val="Arial"/>
      <family val="2"/>
    </font>
    <font>
      <sz val="10"/>
      <color indexed="10"/>
      <name val="Arial"/>
      <family val="2"/>
    </font>
    <font>
      <b/>
      <sz val="10"/>
      <color indexed="9"/>
      <name val="Arial"/>
      <family val="2"/>
    </font>
    <font>
      <b/>
      <sz val="9"/>
      <name val="Century Gothic"/>
      <family val="2"/>
    </font>
    <font>
      <sz val="9"/>
      <color indexed="8"/>
      <name val="Verdana"/>
      <family val="2"/>
    </font>
    <font>
      <sz val="10"/>
      <name val="Arial"/>
      <family val="2"/>
    </font>
    <font>
      <b/>
      <sz val="18"/>
      <name val="Times New Roman"/>
      <family val="1"/>
    </font>
    <font>
      <b/>
      <sz val="14"/>
      <name val="Times New Roman"/>
      <family val="1"/>
    </font>
    <font>
      <b/>
      <sz val="10"/>
      <color rgb="FF000000"/>
      <name val="Times New Roman"/>
      <family val="1"/>
    </font>
    <font>
      <b/>
      <sz val="14"/>
      <color theme="1"/>
      <name val="Calibri"/>
      <family val="2"/>
      <scheme val="minor"/>
    </font>
    <font>
      <sz val="8"/>
      <color theme="1"/>
      <name val="Calibri"/>
      <family val="2"/>
      <scheme val="minor"/>
    </font>
    <font>
      <b/>
      <sz val="16"/>
      <name val="Arial"/>
      <family val="2"/>
    </font>
    <font>
      <b/>
      <sz val="14"/>
      <name val="Arial"/>
      <family val="2"/>
    </font>
    <font>
      <b/>
      <i/>
      <sz val="12"/>
      <name val="Calibri"/>
      <family val="2"/>
      <scheme val="minor"/>
    </font>
    <font>
      <b/>
      <sz val="16"/>
      <color theme="1"/>
      <name val="Calibri"/>
      <family val="2"/>
      <scheme val="minor"/>
    </font>
    <font>
      <b/>
      <sz val="20"/>
      <name val="Imprint MT Shadow"/>
      <family val="5"/>
    </font>
    <font>
      <i/>
      <sz val="10"/>
      <color theme="1"/>
      <name val="Calibri"/>
      <family val="2"/>
      <scheme val="minor"/>
    </font>
    <font>
      <sz val="10"/>
      <color rgb="FF000000"/>
      <name val="Times New Roman"/>
      <family val="2"/>
    </font>
    <font>
      <b/>
      <sz val="10"/>
      <color rgb="FF000000"/>
      <name val="Times New Roman"/>
      <family val="2"/>
    </font>
    <font>
      <b/>
      <i/>
      <sz val="10"/>
      <name val="Times New Roman"/>
      <family val="1"/>
    </font>
    <font>
      <i/>
      <sz val="9"/>
      <name val="Times New Roman"/>
      <family val="1"/>
    </font>
  </fonts>
  <fills count="2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FFFF99"/>
        <bgColor indexed="64"/>
      </patternFill>
    </fill>
    <fill>
      <patternFill patternType="solid">
        <fgColor rgb="FF92D050"/>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indexed="27"/>
        <bgColor indexed="64"/>
      </patternFill>
    </fill>
    <fill>
      <patternFill patternType="solid">
        <fgColor indexed="9"/>
        <bgColor indexed="64"/>
      </patternFill>
    </fill>
    <fill>
      <patternFill patternType="solid">
        <fgColor indexed="12"/>
        <bgColor indexed="64"/>
      </patternFill>
    </fill>
    <fill>
      <patternFill patternType="solid">
        <fgColor indexed="22"/>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rgb="FFE2EFDA"/>
      </patternFill>
    </fill>
  </fills>
  <borders count="121">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theme="1"/>
      </left>
      <right style="thin">
        <color indexed="64"/>
      </right>
      <top/>
      <bottom style="thin">
        <color indexed="64"/>
      </bottom>
      <diagonal/>
    </border>
    <border>
      <left style="thin">
        <color theme="1"/>
      </left>
      <right style="thin">
        <color indexed="64"/>
      </right>
      <top/>
      <bottom style="thin">
        <color theme="1"/>
      </bottom>
      <diagonal/>
    </border>
    <border>
      <left style="thin">
        <color indexed="64"/>
      </left>
      <right style="thin">
        <color indexed="64"/>
      </right>
      <top/>
      <bottom style="thin">
        <color theme="1"/>
      </bottom>
      <diagonal/>
    </border>
    <border>
      <left style="thin">
        <color indexed="64"/>
      </left>
      <right style="thin">
        <color theme="1"/>
      </right>
      <top/>
      <bottom style="thin">
        <color theme="1"/>
      </bottom>
      <diagonal/>
    </border>
    <border>
      <left style="thin">
        <color theme="1"/>
      </left>
      <right style="thin">
        <color indexed="64"/>
      </right>
      <top style="thin">
        <color indexed="64"/>
      </top>
      <bottom/>
      <diagonal/>
    </border>
    <border>
      <left style="thin">
        <color indexed="64"/>
      </left>
      <right style="thin">
        <color theme="1"/>
      </right>
      <top/>
      <bottom/>
      <diagonal/>
    </border>
    <border>
      <left style="thin">
        <color theme="1"/>
      </left>
      <right style="thin">
        <color indexed="64"/>
      </right>
      <top style="thin">
        <color theme="1"/>
      </top>
      <bottom/>
      <diagonal/>
    </border>
    <border>
      <left style="thin">
        <color indexed="64"/>
      </left>
      <right style="thin">
        <color indexed="64"/>
      </right>
      <top style="thin">
        <color theme="1"/>
      </top>
      <bottom/>
      <diagonal/>
    </border>
    <border>
      <left style="thin">
        <color indexed="64"/>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rgb="FFD8D8D8"/>
      </bottom>
      <diagonal/>
    </border>
    <border>
      <left/>
      <right style="thin">
        <color rgb="FFD8D8D8"/>
      </right>
      <top/>
      <bottom style="thin">
        <color rgb="FFD8D8D8"/>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right/>
      <top style="thin">
        <color theme="1"/>
      </top>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style="thin">
        <color theme="1"/>
      </top>
      <bottom/>
      <diagonal/>
    </border>
    <border>
      <left style="medium">
        <color indexed="64"/>
      </left>
      <right style="thin">
        <color theme="1"/>
      </right>
      <top/>
      <bottom/>
      <diagonal/>
    </border>
    <border>
      <left style="medium">
        <color indexed="64"/>
      </left>
      <right style="thin">
        <color theme="1"/>
      </right>
      <top/>
      <bottom style="thin">
        <color theme="1"/>
      </bottom>
      <diagonal/>
    </border>
    <border>
      <left/>
      <right style="medium">
        <color indexed="64"/>
      </right>
      <top style="thin">
        <color theme="1"/>
      </top>
      <bottom style="thin">
        <color theme="1"/>
      </bottom>
      <diagonal/>
    </border>
    <border>
      <left style="medium">
        <color indexed="64"/>
      </left>
      <right style="thin">
        <color theme="1"/>
      </right>
      <top style="thin">
        <color indexed="64"/>
      </top>
      <bottom/>
      <diagonal/>
    </border>
    <border>
      <left style="medium">
        <color indexed="64"/>
      </left>
      <right style="thin">
        <color theme="1"/>
      </right>
      <top/>
      <bottom style="thin">
        <color indexed="64"/>
      </bottom>
      <diagonal/>
    </border>
    <border>
      <left/>
      <right style="medium">
        <color indexed="64"/>
      </right>
      <top style="thin">
        <color theme="1"/>
      </top>
      <bottom/>
      <diagonal/>
    </border>
    <border>
      <left/>
      <right style="medium">
        <color indexed="64"/>
      </right>
      <top style="thin">
        <color indexed="64"/>
      </top>
      <bottom style="thin">
        <color theme="1"/>
      </bottom>
      <diagonal/>
    </border>
    <border>
      <left style="medium">
        <color indexed="64"/>
      </left>
      <right/>
      <top style="thin">
        <color theme="1"/>
      </top>
      <bottom/>
      <diagonal/>
    </border>
    <border>
      <left/>
      <right style="thin">
        <color rgb="FFD8D8D8"/>
      </right>
      <top style="thin">
        <color indexed="64"/>
      </top>
      <bottom style="thin">
        <color indexed="64"/>
      </bottom>
      <diagonal/>
    </border>
    <border>
      <left/>
      <right style="thin">
        <color rgb="FFD8D8D8"/>
      </right>
      <top style="thin">
        <color indexed="64"/>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11">
    <xf numFmtId="0" fontId="0" fillId="0" borderId="0"/>
    <xf numFmtId="0" fontId="8" fillId="0" borderId="0" applyFont="0" applyFill="0" applyBorder="0" applyAlignment="0" applyProtection="0"/>
    <xf numFmtId="0" fontId="1" fillId="0" borderId="0"/>
    <xf numFmtId="0" fontId="8" fillId="0" borderId="0"/>
    <xf numFmtId="0" fontId="1" fillId="0" borderId="0"/>
    <xf numFmtId="0" fontId="51" fillId="0" borderId="0"/>
    <xf numFmtId="0" fontId="52" fillId="0" borderId="0"/>
    <xf numFmtId="164" fontId="1" fillId="0" borderId="0" applyFont="0" applyFill="0" applyBorder="0" applyAlignment="0" applyProtection="0"/>
    <xf numFmtId="0" fontId="74" fillId="0" borderId="0"/>
    <xf numFmtId="0" fontId="8" fillId="0" borderId="0"/>
    <xf numFmtId="0" fontId="8" fillId="0" borderId="0"/>
  </cellStyleXfs>
  <cellXfs count="1441">
    <xf numFmtId="0" fontId="0" fillId="0" borderId="0" xfId="0"/>
    <xf numFmtId="0" fontId="5" fillId="0" borderId="0" xfId="0" applyFont="1"/>
    <xf numFmtId="0" fontId="2" fillId="0" borderId="0" xfId="0" applyFont="1"/>
    <xf numFmtId="0" fontId="7" fillId="0" borderId="0" xfId="0" applyFont="1"/>
    <xf numFmtId="0" fontId="2" fillId="0" borderId="0" xfId="0" applyFont="1" applyAlignment="1">
      <alignment horizontal="center"/>
    </xf>
    <xf numFmtId="0" fontId="8" fillId="0" borderId="0" xfId="0" applyFont="1"/>
    <xf numFmtId="0" fontId="0" fillId="0" borderId="0" xfId="0" applyAlignment="1">
      <alignment horizontal="left"/>
    </xf>
    <xf numFmtId="0" fontId="0" fillId="0" borderId="0" xfId="0" applyAlignment="1">
      <alignment horizontal="center"/>
    </xf>
    <xf numFmtId="0" fontId="7" fillId="0" borderId="0" xfId="0" applyFont="1" applyAlignment="1">
      <alignment horizontal="center"/>
    </xf>
    <xf numFmtId="0" fontId="10" fillId="0" borderId="0" xfId="0" applyFont="1" applyAlignment="1">
      <alignment horizontal="left"/>
    </xf>
    <xf numFmtId="17" fontId="2" fillId="0" borderId="0" xfId="0" applyNumberFormat="1" applyFont="1"/>
    <xf numFmtId="0" fontId="0" fillId="0" borderId="0" xfId="0" applyAlignment="1">
      <alignment vertical="center"/>
    </xf>
    <xf numFmtId="0" fontId="8" fillId="0" borderId="0" xfId="3" applyAlignment="1">
      <alignment horizontal="center"/>
    </xf>
    <xf numFmtId="0" fontId="8" fillId="0" borderId="0" xfId="3"/>
    <xf numFmtId="0" fontId="0" fillId="0" borderId="0" xfId="0" applyAlignment="1">
      <alignment wrapText="1"/>
    </xf>
    <xf numFmtId="0" fontId="0" fillId="0" borderId="24" xfId="0" applyBorder="1"/>
    <xf numFmtId="0" fontId="0" fillId="0" borderId="25" xfId="0" applyBorder="1"/>
    <xf numFmtId="0" fontId="8" fillId="0" borderId="24" xfId="0" applyFont="1" applyBorder="1"/>
    <xf numFmtId="0" fontId="8" fillId="0" borderId="21" xfId="0" applyFont="1" applyBorder="1"/>
    <xf numFmtId="0" fontId="0" fillId="0" borderId="21" xfId="0" applyBorder="1"/>
    <xf numFmtId="17" fontId="9" fillId="0" borderId="21" xfId="0" applyNumberFormat="1" applyFont="1" applyBorder="1"/>
    <xf numFmtId="0" fontId="9" fillId="0" borderId="24" xfId="0" applyFont="1" applyBorder="1"/>
    <xf numFmtId="2" fontId="8" fillId="0" borderId="21" xfId="0" applyNumberFormat="1" applyFont="1" applyBorder="1"/>
    <xf numFmtId="0" fontId="9" fillId="0" borderId="21" xfId="0" applyFont="1" applyBorder="1"/>
    <xf numFmtId="1" fontId="8" fillId="0" borderId="21" xfId="0" applyNumberFormat="1" applyFont="1" applyBorder="1"/>
    <xf numFmtId="0" fontId="0" fillId="0" borderId="26" xfId="0" applyBorder="1"/>
    <xf numFmtId="0" fontId="0" fillId="0" borderId="27" xfId="0" applyBorder="1"/>
    <xf numFmtId="0" fontId="0" fillId="0" borderId="28" xfId="0" applyBorder="1"/>
    <xf numFmtId="0" fontId="0" fillId="0" borderId="15" xfId="0" applyBorder="1"/>
    <xf numFmtId="0" fontId="0" fillId="0" borderId="16" xfId="0" applyBorder="1"/>
    <xf numFmtId="0" fontId="8" fillId="0" borderId="30" xfId="0" applyFont="1" applyBorder="1" applyAlignment="1">
      <alignment vertical="top"/>
    </xf>
    <xf numFmtId="0" fontId="8" fillId="0" borderId="31" xfId="0" applyFont="1" applyBorder="1" applyAlignment="1">
      <alignment vertical="top"/>
    </xf>
    <xf numFmtId="0" fontId="8" fillId="0" borderId="19" xfId="0" applyFont="1" applyBorder="1" applyAlignment="1">
      <alignment vertical="top"/>
    </xf>
    <xf numFmtId="0" fontId="8" fillId="0" borderId="0" xfId="0" applyFont="1" applyAlignment="1">
      <alignment vertical="top"/>
    </xf>
    <xf numFmtId="0" fontId="8" fillId="0" borderId="32" xfId="0" applyFont="1" applyBorder="1" applyAlignment="1">
      <alignment vertical="top"/>
    </xf>
    <xf numFmtId="0" fontId="8" fillId="0" borderId="13" xfId="0" applyFont="1" applyBorder="1" applyAlignment="1">
      <alignment vertical="top"/>
    </xf>
    <xf numFmtId="0" fontId="8" fillId="0" borderId="21" xfId="0" applyFont="1" applyBorder="1" applyAlignment="1">
      <alignment vertical="top"/>
    </xf>
    <xf numFmtId="0" fontId="8" fillId="0" borderId="17" xfId="0" applyFont="1" applyBorder="1" applyAlignment="1">
      <alignment vertical="top"/>
    </xf>
    <xf numFmtId="0" fontId="8" fillId="0" borderId="29" xfId="0" applyFont="1" applyBorder="1" applyAlignment="1">
      <alignment vertical="top"/>
    </xf>
    <xf numFmtId="0" fontId="9" fillId="0" borderId="19" xfId="0" applyFont="1" applyBorder="1" applyAlignment="1">
      <alignment vertical="top"/>
    </xf>
    <xf numFmtId="0" fontId="9" fillId="3" borderId="33" xfId="0" applyFont="1" applyFill="1" applyBorder="1" applyAlignment="1">
      <alignment horizontal="center" vertical="top" wrapText="1"/>
    </xf>
    <xf numFmtId="0" fontId="9" fillId="3" borderId="9" xfId="0" applyFont="1" applyFill="1" applyBorder="1" applyAlignment="1">
      <alignment vertical="top" wrapText="1"/>
    </xf>
    <xf numFmtId="0" fontId="9" fillId="3" borderId="8" xfId="0" applyFont="1" applyFill="1" applyBorder="1" applyAlignment="1">
      <alignment vertical="top"/>
    </xf>
    <xf numFmtId="0" fontId="9" fillId="3" borderId="9" xfId="0" applyFont="1" applyFill="1" applyBorder="1" applyAlignment="1">
      <alignment horizontal="center" vertical="top" wrapText="1"/>
    </xf>
    <xf numFmtId="0" fontId="9" fillId="3" borderId="9" xfId="0" applyFont="1" applyFill="1" applyBorder="1" applyAlignment="1">
      <alignment vertical="top"/>
    </xf>
    <xf numFmtId="0" fontId="9" fillId="3" borderId="9" xfId="0" applyFont="1" applyFill="1" applyBorder="1" applyAlignment="1">
      <alignment horizontal="center" vertical="top"/>
    </xf>
    <xf numFmtId="0" fontId="25" fillId="0" borderId="9" xfId="0" applyFont="1" applyBorder="1" applyAlignment="1">
      <alignment vertical="top"/>
    </xf>
    <xf numFmtId="0" fontId="8" fillId="0" borderId="9" xfId="0" applyFont="1" applyBorder="1" applyAlignment="1">
      <alignment vertical="top"/>
    </xf>
    <xf numFmtId="0" fontId="25" fillId="0" borderId="9" xfId="0" applyFont="1" applyBorder="1" applyAlignment="1" applyProtection="1">
      <alignment vertical="top"/>
      <protection locked="0"/>
    </xf>
    <xf numFmtId="0" fontId="25" fillId="0" borderId="18" xfId="0" applyFont="1" applyBorder="1" applyAlignment="1">
      <alignment vertical="top"/>
    </xf>
    <xf numFmtId="0" fontId="25" fillId="0" borderId="33" xfId="0" applyFont="1" applyBorder="1" applyAlignment="1">
      <alignment vertical="top"/>
    </xf>
    <xf numFmtId="0" fontId="25" fillId="0" borderId="8" xfId="0" applyFont="1" applyBorder="1" applyAlignment="1">
      <alignment vertical="top"/>
    </xf>
    <xf numFmtId="0" fontId="9" fillId="3" borderId="8" xfId="0" applyFont="1" applyFill="1" applyBorder="1" applyAlignment="1">
      <alignment horizontal="center" vertical="top"/>
    </xf>
    <xf numFmtId="0" fontId="9" fillId="3" borderId="13" xfId="0" applyFont="1" applyFill="1" applyBorder="1" applyAlignment="1">
      <alignment horizontal="center" vertical="top"/>
    </xf>
    <xf numFmtId="0" fontId="9" fillId="3" borderId="8" xfId="0" applyFont="1" applyFill="1" applyBorder="1" applyAlignment="1">
      <alignment vertical="top" wrapText="1"/>
    </xf>
    <xf numFmtId="0" fontId="9" fillId="3" borderId="17" xfId="0" applyFont="1" applyFill="1" applyBorder="1" applyAlignment="1">
      <alignment horizontal="center" vertical="top"/>
    </xf>
    <xf numFmtId="0" fontId="0" fillId="0" borderId="31" xfId="0" applyBorder="1"/>
    <xf numFmtId="0" fontId="8" fillId="0" borderId="33" xfId="0" applyFont="1" applyBorder="1" applyAlignment="1">
      <alignment vertical="top"/>
    </xf>
    <xf numFmtId="0" fontId="8" fillId="0" borderId="8" xfId="0" applyFont="1" applyBorder="1" applyAlignment="1">
      <alignment vertical="top"/>
    </xf>
    <xf numFmtId="0" fontId="26" fillId="0" borderId="9" xfId="0" applyFont="1" applyBorder="1" applyAlignment="1">
      <alignment vertical="top"/>
    </xf>
    <xf numFmtId="0" fontId="0" fillId="0" borderId="13" xfId="0" applyBorder="1"/>
    <xf numFmtId="0" fontId="0" fillId="0" borderId="17" xfId="0" applyBorder="1"/>
    <xf numFmtId="0" fontId="9" fillId="3" borderId="8" xfId="0" applyFont="1" applyFill="1" applyBorder="1" applyAlignment="1">
      <alignment horizontal="center" vertical="center" textRotation="90"/>
    </xf>
    <xf numFmtId="0" fontId="8" fillId="0" borderId="21" xfId="0" applyFont="1" applyBorder="1" applyAlignment="1">
      <alignment vertical="top" wrapText="1"/>
    </xf>
    <xf numFmtId="0" fontId="8" fillId="0" borderId="34" xfId="0" applyFont="1" applyBorder="1" applyAlignment="1">
      <alignment vertical="top"/>
    </xf>
    <xf numFmtId="0" fontId="8" fillId="0" borderId="35" xfId="0" applyFont="1" applyBorder="1" applyAlignment="1">
      <alignment vertical="top"/>
    </xf>
    <xf numFmtId="0" fontId="8" fillId="0" borderId="36" xfId="0" applyFont="1" applyBorder="1" applyAlignment="1">
      <alignment vertical="top"/>
    </xf>
    <xf numFmtId="0" fontId="9" fillId="3" borderId="8" xfId="0" applyFont="1" applyFill="1" applyBorder="1" applyAlignment="1">
      <alignment vertical="center" textRotation="90" wrapText="1"/>
    </xf>
    <xf numFmtId="0" fontId="0" fillId="0" borderId="22" xfId="0" applyBorder="1"/>
    <xf numFmtId="0" fontId="0" fillId="0" borderId="23" xfId="0" applyBorder="1"/>
    <xf numFmtId="0" fontId="2" fillId="0" borderId="24" xfId="0" applyFont="1" applyBorder="1"/>
    <xf numFmtId="0" fontId="2" fillId="0" borderId="25" xfId="0" applyFont="1" applyBorder="1"/>
    <xf numFmtId="0" fontId="2" fillId="0" borderId="26" xfId="0" applyFont="1" applyBorder="1"/>
    <xf numFmtId="0" fontId="0" fillId="0" borderId="24" xfId="0" applyBorder="1" applyAlignment="1">
      <alignment vertical="center"/>
    </xf>
    <xf numFmtId="0" fontId="2" fillId="0" borderId="30" xfId="0" applyFont="1" applyBorder="1"/>
    <xf numFmtId="0" fontId="2" fillId="0" borderId="31" xfId="0" applyFont="1" applyBorder="1"/>
    <xf numFmtId="0" fontId="0" fillId="0" borderId="29" xfId="0" applyBorder="1"/>
    <xf numFmtId="0" fontId="0" fillId="0" borderId="30" xfId="0" applyBorder="1"/>
    <xf numFmtId="0" fontId="0" fillId="0" borderId="41" xfId="0" applyBorder="1"/>
    <xf numFmtId="0" fontId="2" fillId="0" borderId="21" xfId="0" applyFont="1" applyBorder="1"/>
    <xf numFmtId="0" fontId="2" fillId="0" borderId="17" xfId="0" applyFont="1" applyBorder="1"/>
    <xf numFmtId="0" fontId="0" fillId="0" borderId="39" xfId="0" applyBorder="1"/>
    <xf numFmtId="14" fontId="8" fillId="0" borderId="21" xfId="0" applyNumberFormat="1" applyFont="1" applyBorder="1" applyAlignment="1">
      <alignment vertical="top"/>
    </xf>
    <xf numFmtId="0" fontId="8" fillId="0" borderId="25" xfId="0" applyFont="1" applyBorder="1" applyAlignment="1">
      <alignment vertical="top" wrapText="1"/>
    </xf>
    <xf numFmtId="0" fontId="8" fillId="0" borderId="39" xfId="0" applyFont="1" applyBorder="1" applyAlignment="1">
      <alignment vertical="top" wrapText="1"/>
    </xf>
    <xf numFmtId="0" fontId="8" fillId="0" borderId="41" xfId="0" applyFont="1" applyBorder="1" applyAlignment="1">
      <alignment vertical="top"/>
    </xf>
    <xf numFmtId="0" fontId="8" fillId="0" borderId="25" xfId="0" applyFont="1" applyBorder="1" applyAlignment="1">
      <alignment vertical="top"/>
    </xf>
    <xf numFmtId="0" fontId="8" fillId="0" borderId="39" xfId="0" applyFont="1" applyBorder="1" applyAlignment="1">
      <alignment vertical="top"/>
    </xf>
    <xf numFmtId="0" fontId="9" fillId="3" borderId="37" xfId="0" applyFont="1" applyFill="1" applyBorder="1" applyAlignment="1">
      <alignment horizontal="center" vertical="top"/>
    </xf>
    <xf numFmtId="0" fontId="8" fillId="0" borderId="37" xfId="0" applyFont="1" applyBorder="1" applyAlignment="1">
      <alignment vertical="top"/>
    </xf>
    <xf numFmtId="0" fontId="38" fillId="2" borderId="25" xfId="0" applyFont="1" applyFill="1" applyBorder="1" applyAlignment="1">
      <alignment horizontal="center" vertical="top" wrapText="1"/>
    </xf>
    <xf numFmtId="0" fontId="39" fillId="2" borderId="25" xfId="0" applyFont="1" applyFill="1" applyBorder="1" applyAlignment="1">
      <alignment horizontal="center" vertical="top" wrapText="1"/>
    </xf>
    <xf numFmtId="0" fontId="40" fillId="2" borderId="24" xfId="0" applyFont="1" applyFill="1" applyBorder="1" applyAlignment="1">
      <alignment horizontal="center" vertical="top" wrapText="1"/>
    </xf>
    <xf numFmtId="0" fontId="40" fillId="2" borderId="25" xfId="0" applyFont="1" applyFill="1" applyBorder="1" applyAlignment="1">
      <alignment horizontal="center" vertical="top" wrapText="1"/>
    </xf>
    <xf numFmtId="0" fontId="41" fillId="2" borderId="24" xfId="0" applyFont="1" applyFill="1" applyBorder="1"/>
    <xf numFmtId="0" fontId="41" fillId="2" borderId="25" xfId="0" applyFont="1" applyFill="1" applyBorder="1"/>
    <xf numFmtId="0" fontId="42" fillId="2" borderId="24" xfId="0" applyFont="1" applyFill="1" applyBorder="1"/>
    <xf numFmtId="0" fontId="43" fillId="2" borderId="25" xfId="0" applyFont="1" applyFill="1" applyBorder="1" applyAlignment="1">
      <alignment horizontal="justify" vertical="top" wrapText="1"/>
    </xf>
    <xf numFmtId="0" fontId="0" fillId="2" borderId="25" xfId="0" applyFill="1" applyBorder="1" applyAlignment="1">
      <alignment horizontal="justify" vertical="top" wrapText="1"/>
    </xf>
    <xf numFmtId="0" fontId="44" fillId="2" borderId="38" xfId="0" applyFont="1" applyFill="1" applyBorder="1" applyAlignment="1">
      <alignment horizontal="center" vertical="center" wrapText="1"/>
    </xf>
    <xf numFmtId="0" fontId="0" fillId="0" borderId="44" xfId="0" applyBorder="1" applyAlignment="1">
      <alignment vertical="center"/>
    </xf>
    <xf numFmtId="0" fontId="0" fillId="0" borderId="37" xfId="0" applyBorder="1" applyAlignment="1">
      <alignment horizontal="center" vertical="center"/>
    </xf>
    <xf numFmtId="0" fontId="45" fillId="0" borderId="8" xfId="0" applyFont="1" applyBorder="1" applyAlignment="1">
      <alignment horizontal="center" vertical="center"/>
    </xf>
    <xf numFmtId="0" fontId="47" fillId="0" borderId="0" xfId="0" applyFont="1"/>
    <xf numFmtId="0" fontId="2" fillId="0" borderId="0" xfId="0" applyFont="1" applyAlignment="1">
      <alignment vertical="center" wrapText="1"/>
    </xf>
    <xf numFmtId="0" fontId="50" fillId="0" borderId="44" xfId="0" applyFont="1" applyBorder="1" applyAlignment="1">
      <alignment horizontal="center"/>
    </xf>
    <xf numFmtId="0" fontId="50" fillId="0" borderId="37" xfId="0" applyFont="1" applyBorder="1" applyAlignment="1">
      <alignment horizontal="center"/>
    </xf>
    <xf numFmtId="0" fontId="0" fillId="0" borderId="46" xfId="0" applyBorder="1"/>
    <xf numFmtId="1" fontId="13" fillId="2" borderId="11" xfId="0" applyNumberFormat="1" applyFont="1" applyFill="1" applyBorder="1"/>
    <xf numFmtId="0" fontId="9" fillId="3" borderId="25" xfId="0" applyFont="1" applyFill="1" applyBorder="1" applyAlignment="1">
      <alignment horizontal="center" wrapText="1"/>
    </xf>
    <xf numFmtId="0" fontId="8" fillId="2" borderId="46" xfId="3" applyFont="1" applyFill="1" applyBorder="1" applyAlignment="1">
      <alignment horizontal="center"/>
    </xf>
    <xf numFmtId="0" fontId="10" fillId="2" borderId="46" xfId="0" applyFont="1" applyFill="1" applyBorder="1"/>
    <xf numFmtId="1" fontId="13" fillId="2" borderId="0" xfId="0" applyNumberFormat="1" applyFont="1" applyFill="1" applyBorder="1" applyAlignment="1">
      <alignment horizontal="center"/>
    </xf>
    <xf numFmtId="0" fontId="15" fillId="2" borderId="0" xfId="0" applyFont="1" applyFill="1" applyBorder="1"/>
    <xf numFmtId="0" fontId="0" fillId="0" borderId="0" xfId="0" applyBorder="1"/>
    <xf numFmtId="0" fontId="2" fillId="0" borderId="0" xfId="0" applyFont="1" applyBorder="1"/>
    <xf numFmtId="0" fontId="2" fillId="0" borderId="50" xfId="0" applyFont="1" applyBorder="1" applyAlignment="1">
      <alignment horizontal="left" vertical="center"/>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2" fillId="0" borderId="48" xfId="0" applyFont="1" applyBorder="1" applyAlignment="1">
      <alignment horizontal="left" vertical="center"/>
    </xf>
    <xf numFmtId="0" fontId="8" fillId="0" borderId="0" xfId="0" applyFont="1" applyBorder="1"/>
    <xf numFmtId="0" fontId="9" fillId="0" borderId="0" xfId="0" applyFont="1" applyBorder="1"/>
    <xf numFmtId="14" fontId="0" fillId="0" borderId="46" xfId="0" applyNumberFormat="1" applyBorder="1"/>
    <xf numFmtId="0" fontId="9" fillId="5" borderId="19"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2" fillId="0" borderId="40" xfId="0" applyFont="1" applyBorder="1" applyAlignment="1">
      <alignment horizontal="center" vertical="center"/>
    </xf>
    <xf numFmtId="0" fontId="8" fillId="0" borderId="37" xfId="0" applyFont="1" applyBorder="1"/>
    <xf numFmtId="1" fontId="8" fillId="0" borderId="37" xfId="0" applyNumberFormat="1" applyFont="1" applyBorder="1"/>
    <xf numFmtId="1" fontId="8" fillId="2" borderId="21" xfId="0" applyNumberFormat="1" applyFont="1" applyFill="1" applyBorder="1"/>
    <xf numFmtId="0" fontId="8" fillId="0" borderId="46" xfId="0" applyFont="1" applyBorder="1" applyAlignment="1">
      <alignment vertical="top"/>
    </xf>
    <xf numFmtId="0" fontId="9" fillId="0" borderId="46" xfId="0" applyFont="1" applyBorder="1" applyAlignment="1">
      <alignment vertical="top"/>
    </xf>
    <xf numFmtId="0" fontId="8" fillId="0" borderId="33" xfId="0" applyFont="1" applyBorder="1" applyAlignment="1">
      <alignment horizontal="right" vertical="top"/>
    </xf>
    <xf numFmtId="0" fontId="0" fillId="0" borderId="25" xfId="0" applyBorder="1" applyAlignment="1">
      <alignment horizontal="left"/>
    </xf>
    <xf numFmtId="0" fontId="49" fillId="0" borderId="51" xfId="0" applyFont="1" applyBorder="1" applyAlignment="1">
      <alignment horizontal="left"/>
    </xf>
    <xf numFmtId="1" fontId="54" fillId="2" borderId="51" xfId="1" applyNumberFormat="1" applyFont="1" applyFill="1" applyBorder="1"/>
    <xf numFmtId="1" fontId="54" fillId="2" borderId="51" xfId="0" applyNumberFormat="1" applyFont="1" applyFill="1" applyBorder="1"/>
    <xf numFmtId="0" fontId="0" fillId="0" borderId="51" xfId="0" applyBorder="1"/>
    <xf numFmtId="1" fontId="13" fillId="2" borderId="51" xfId="0" applyNumberFormat="1" applyFont="1" applyFill="1" applyBorder="1"/>
    <xf numFmtId="1" fontId="13" fillId="2" borderId="51" xfId="0" applyNumberFormat="1" applyFont="1" applyFill="1" applyBorder="1" applyAlignment="1">
      <alignment horizontal="center"/>
    </xf>
    <xf numFmtId="0" fontId="15" fillId="2" borderId="51" xfId="0" applyFont="1" applyFill="1" applyBorder="1"/>
    <xf numFmtId="1" fontId="13" fillId="2" borderId="51" xfId="1" applyNumberFormat="1" applyFont="1" applyFill="1" applyBorder="1" applyAlignment="1">
      <alignment horizontal="center"/>
    </xf>
    <xf numFmtId="1" fontId="15" fillId="2" borderId="51" xfId="0" applyNumberFormat="1" applyFont="1" applyFill="1" applyBorder="1" applyAlignment="1">
      <alignment horizontal="center"/>
    </xf>
    <xf numFmtId="168" fontId="15" fillId="2" borderId="51" xfId="1" applyNumberFormat="1" applyFont="1" applyFill="1" applyBorder="1"/>
    <xf numFmtId="1" fontId="13" fillId="2" borderId="51" xfId="0" applyNumberFormat="1" applyFont="1" applyFill="1" applyBorder="1" applyAlignment="1">
      <alignment horizontal="center" vertical="center"/>
    </xf>
    <xf numFmtId="1" fontId="13" fillId="2" borderId="51" xfId="1" applyNumberFormat="1" applyFont="1" applyFill="1" applyBorder="1"/>
    <xf numFmtId="0" fontId="10" fillId="2" borderId="51" xfId="0" applyFont="1" applyFill="1" applyBorder="1"/>
    <xf numFmtId="0" fontId="4" fillId="0" borderId="29" xfId="0" applyFont="1" applyBorder="1"/>
    <xf numFmtId="0" fontId="9" fillId="0" borderId="49" xfId="0" applyFont="1" applyBorder="1"/>
    <xf numFmtId="0" fontId="9" fillId="0" borderId="50" xfId="0" applyFont="1" applyBorder="1"/>
    <xf numFmtId="17" fontId="2" fillId="0" borderId="29" xfId="0" applyNumberFormat="1" applyFont="1" applyBorder="1"/>
    <xf numFmtId="0" fontId="2" fillId="0" borderId="24" xfId="0" applyFont="1" applyBorder="1" applyAlignment="1">
      <alignment horizontal="center"/>
    </xf>
    <xf numFmtId="1" fontId="20" fillId="2" borderId="51" xfId="0" applyNumberFormat="1" applyFont="1" applyFill="1" applyBorder="1" applyAlignment="1">
      <alignment horizontal="center" vertical="top"/>
    </xf>
    <xf numFmtId="1" fontId="21" fillId="0" borderId="51" xfId="0" applyNumberFormat="1" applyFont="1" applyBorder="1" applyAlignment="1">
      <alignment horizontal="center" vertical="top"/>
    </xf>
    <xf numFmtId="0" fontId="0" fillId="0" borderId="50" xfId="0" applyBorder="1"/>
    <xf numFmtId="0" fontId="5" fillId="0" borderId="50" xfId="0" applyFont="1" applyBorder="1"/>
    <xf numFmtId="0" fontId="5" fillId="0" borderId="30" xfId="0" applyFont="1" applyBorder="1"/>
    <xf numFmtId="0" fontId="8" fillId="0" borderId="49" xfId="0" applyFont="1" applyBorder="1"/>
    <xf numFmtId="0" fontId="0" fillId="0" borderId="50" xfId="0" applyBorder="1" applyAlignment="1">
      <alignment horizontal="left"/>
    </xf>
    <xf numFmtId="0" fontId="0" fillId="0" borderId="48" xfId="0" applyBorder="1" applyAlignment="1">
      <alignment horizontal="left"/>
    </xf>
    <xf numFmtId="0" fontId="2" fillId="0" borderId="29" xfId="0" applyFont="1" applyBorder="1" applyAlignment="1">
      <alignment horizontal="left"/>
    </xf>
    <xf numFmtId="0" fontId="2" fillId="0" borderId="30" xfId="0" applyFont="1" applyBorder="1" applyAlignment="1">
      <alignment horizontal="center"/>
    </xf>
    <xf numFmtId="0" fontId="10" fillId="0" borderId="13" xfId="0" applyFont="1" applyBorder="1"/>
    <xf numFmtId="0" fontId="5" fillId="0" borderId="0" xfId="0" applyFont="1" applyBorder="1"/>
    <xf numFmtId="0" fontId="0" fillId="0" borderId="0" xfId="0" applyBorder="1" applyAlignment="1">
      <alignment horizontal="left"/>
    </xf>
    <xf numFmtId="0" fontId="2" fillId="0" borderId="0" xfId="0" applyFont="1" applyBorder="1" applyAlignment="1">
      <alignment wrapText="1"/>
    </xf>
    <xf numFmtId="0" fontId="2" fillId="0" borderId="41" xfId="0" applyFont="1" applyBorder="1" applyAlignment="1">
      <alignment horizontal="center"/>
    </xf>
    <xf numFmtId="1" fontId="13" fillId="2" borderId="24" xfId="0" applyNumberFormat="1" applyFont="1" applyFill="1" applyBorder="1" applyAlignment="1">
      <alignment horizontal="center"/>
    </xf>
    <xf numFmtId="1" fontId="14" fillId="2" borderId="0" xfId="0" applyNumberFormat="1" applyFont="1" applyFill="1" applyBorder="1" applyAlignment="1">
      <alignment horizontal="left"/>
    </xf>
    <xf numFmtId="1" fontId="13" fillId="2" borderId="0" xfId="0" applyNumberFormat="1" applyFont="1" applyFill="1" applyBorder="1"/>
    <xf numFmtId="1" fontId="14" fillId="2" borderId="0" xfId="1" applyNumberFormat="1" applyFont="1" applyFill="1" applyBorder="1" applyAlignment="1">
      <alignment horizontal="center"/>
    </xf>
    <xf numFmtId="1" fontId="13" fillId="2" borderId="0" xfId="1" applyNumberFormat="1" applyFont="1" applyFill="1" applyBorder="1" applyAlignment="1">
      <alignment horizontal="center"/>
    </xf>
    <xf numFmtId="1" fontId="13" fillId="2" borderId="0" xfId="0" applyNumberFormat="1" applyFont="1" applyFill="1" applyBorder="1" applyAlignment="1">
      <alignment horizontal="center" vertical="center"/>
    </xf>
    <xf numFmtId="1" fontId="13" fillId="2" borderId="0" xfId="1" applyNumberFormat="1" applyFont="1" applyFill="1" applyBorder="1"/>
    <xf numFmtId="1" fontId="13" fillId="2" borderId="25" xfId="1" applyNumberFormat="1" applyFont="1" applyFill="1" applyBorder="1"/>
    <xf numFmtId="0" fontId="8" fillId="0" borderId="28" xfId="3" applyBorder="1" applyAlignment="1">
      <alignment horizontal="center"/>
    </xf>
    <xf numFmtId="0" fontId="8" fillId="0" borderId="26" xfId="3" applyBorder="1" applyAlignment="1">
      <alignment horizontal="center"/>
    </xf>
    <xf numFmtId="0" fontId="9" fillId="0" borderId="26" xfId="3" applyFont="1" applyBorder="1" applyAlignment="1">
      <alignment vertical="center"/>
    </xf>
    <xf numFmtId="0" fontId="19" fillId="0" borderId="26" xfId="3" applyFont="1" applyBorder="1" applyAlignment="1">
      <alignment vertical="center"/>
    </xf>
    <xf numFmtId="14" fontId="0" fillId="0" borderId="51" xfId="0" applyNumberFormat="1" applyBorder="1" applyAlignment="1">
      <alignment vertical="top" wrapText="1"/>
    </xf>
    <xf numFmtId="0" fontId="0" fillId="0" borderId="51" xfId="0" applyBorder="1" applyAlignment="1">
      <alignment horizontal="left"/>
    </xf>
    <xf numFmtId="1" fontId="0" fillId="0" borderId="51" xfId="0" applyNumberFormat="1" applyBorder="1"/>
    <xf numFmtId="0" fontId="0" fillId="0" borderId="51" xfId="0" applyBorder="1" applyAlignment="1">
      <alignment horizontal="right"/>
    </xf>
    <xf numFmtId="0" fontId="9" fillId="0" borderId="29" xfId="0" applyFont="1" applyBorder="1" applyAlignment="1">
      <alignment horizontal="center" vertical="top"/>
    </xf>
    <xf numFmtId="0" fontId="9" fillId="3" borderId="29" xfId="0" applyFont="1" applyFill="1" applyBorder="1" applyAlignment="1">
      <alignment horizontal="left" vertical="center" textRotation="90" wrapText="1"/>
    </xf>
    <xf numFmtId="0" fontId="9" fillId="3" borderId="51" xfId="0" applyFont="1" applyFill="1" applyBorder="1" applyAlignment="1">
      <alignment horizontal="center" vertical="top"/>
    </xf>
    <xf numFmtId="0" fontId="8" fillId="6" borderId="51" xfId="0" applyFont="1" applyFill="1" applyBorder="1" applyAlignment="1">
      <alignment vertical="top"/>
    </xf>
    <xf numFmtId="0" fontId="8" fillId="6" borderId="8" xfId="0" applyFont="1" applyFill="1" applyBorder="1" applyAlignment="1">
      <alignment vertical="top"/>
    </xf>
    <xf numFmtId="0" fontId="8" fillId="0" borderId="51" xfId="0" applyFont="1" applyBorder="1" applyAlignment="1">
      <alignment vertical="top"/>
    </xf>
    <xf numFmtId="0" fontId="8" fillId="0" borderId="47" xfId="0" applyFont="1" applyBorder="1" applyAlignment="1">
      <alignment vertical="top"/>
    </xf>
    <xf numFmtId="0" fontId="8" fillId="0" borderId="49" xfId="0" applyFont="1" applyBorder="1" applyAlignment="1">
      <alignment vertical="top"/>
    </xf>
    <xf numFmtId="17" fontId="9" fillId="0" borderId="48" xfId="0" applyNumberFormat="1" applyFont="1" applyBorder="1" applyAlignment="1">
      <alignment vertical="top"/>
    </xf>
    <xf numFmtId="0" fontId="2" fillId="0" borderId="50" xfId="0" applyFont="1" applyBorder="1" applyAlignment="1">
      <alignment horizontal="left"/>
    </xf>
    <xf numFmtId="0" fontId="2" fillId="0" borderId="48" xfId="0" applyFont="1" applyBorder="1" applyAlignment="1">
      <alignment horizontal="left"/>
    </xf>
    <xf numFmtId="0" fontId="9" fillId="3" borderId="8" xfId="0" applyFont="1" applyFill="1" applyBorder="1" applyAlignment="1">
      <alignment horizontal="center" vertical="top" wrapText="1"/>
    </xf>
    <xf numFmtId="0" fontId="0" fillId="0" borderId="0" xfId="0"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0" xfId="0" applyBorder="1" applyAlignment="1">
      <alignment horizontal="center"/>
    </xf>
    <xf numFmtId="0" fontId="43" fillId="2" borderId="24" xfId="0" applyFont="1" applyFill="1" applyBorder="1" applyAlignment="1">
      <alignment horizontal="left" vertical="top" wrapText="1"/>
    </xf>
    <xf numFmtId="0" fontId="39" fillId="2" borderId="24" xfId="0" applyFont="1" applyFill="1" applyBorder="1" applyAlignment="1">
      <alignment horizontal="center" vertical="top" wrapText="1"/>
    </xf>
    <xf numFmtId="0" fontId="2" fillId="0" borderId="0" xfId="0" applyFont="1" applyAlignment="1">
      <alignment horizontal="left"/>
    </xf>
    <xf numFmtId="0" fontId="0" fillId="0" borderId="48" xfId="0" applyBorder="1"/>
    <xf numFmtId="0" fontId="0" fillId="0" borderId="21" xfId="0" applyBorder="1" applyAlignment="1">
      <alignment horizontal="left"/>
    </xf>
    <xf numFmtId="0" fontId="0" fillId="0" borderId="17" xfId="0" applyBorder="1" applyAlignment="1">
      <alignment horizontal="left"/>
    </xf>
    <xf numFmtId="0" fontId="2" fillId="0" borderId="49" xfId="0" applyFont="1" applyBorder="1" applyAlignment="1">
      <alignment vertical="center"/>
    </xf>
    <xf numFmtId="0" fontId="2" fillId="0" borderId="50" xfId="0" applyFont="1" applyBorder="1" applyAlignment="1">
      <alignment vertical="center"/>
    </xf>
    <xf numFmtId="0" fontId="2" fillId="0" borderId="48" xfId="0" applyFont="1" applyBorder="1" applyAlignment="1">
      <alignment vertical="center"/>
    </xf>
    <xf numFmtId="0" fontId="9" fillId="3" borderId="23" xfId="0" applyFont="1" applyFill="1" applyBorder="1" applyAlignment="1">
      <alignment horizontal="center" wrapText="1"/>
    </xf>
    <xf numFmtId="0" fontId="2" fillId="5" borderId="11" xfId="0" applyFont="1" applyFill="1" applyBorder="1" applyAlignment="1">
      <alignment vertical="center"/>
    </xf>
    <xf numFmtId="0" fontId="9" fillId="3" borderId="49" xfId="0" applyFont="1" applyFill="1" applyBorder="1" applyAlignment="1">
      <alignment horizontal="center" vertical="center" wrapText="1"/>
    </xf>
    <xf numFmtId="0" fontId="9" fillId="3" borderId="50" xfId="0" applyFont="1" applyFill="1" applyBorder="1" applyAlignment="1">
      <alignment horizontal="center" vertical="center" wrapText="1"/>
    </xf>
    <xf numFmtId="0" fontId="9" fillId="3" borderId="48" xfId="0" applyFont="1" applyFill="1" applyBorder="1" applyAlignment="1">
      <alignment horizontal="center" vertical="center" wrapText="1"/>
    </xf>
    <xf numFmtId="0" fontId="2" fillId="0" borderId="40" xfId="0" applyFont="1" applyBorder="1" applyAlignment="1">
      <alignment vertical="center"/>
    </xf>
    <xf numFmtId="0" fontId="0" fillId="0" borderId="17" xfId="0" applyBorder="1" applyAlignment="1">
      <alignment horizontal="center"/>
    </xf>
    <xf numFmtId="0" fontId="2" fillId="0" borderId="30" xfId="0" applyFont="1" applyBorder="1" applyAlignment="1">
      <alignment horizontal="left"/>
    </xf>
    <xf numFmtId="0" fontId="2" fillId="0" borderId="31" xfId="0" applyFont="1" applyBorder="1" applyAlignment="1">
      <alignment horizontal="left"/>
    </xf>
    <xf numFmtId="0" fontId="0" fillId="0" borderId="49" xfId="0" applyBorder="1" applyAlignment="1">
      <alignment horizontal="left"/>
    </xf>
    <xf numFmtId="0" fontId="6" fillId="0" borderId="50" xfId="0" applyFont="1" applyBorder="1"/>
    <xf numFmtId="0" fontId="10" fillId="0" borderId="50" xfId="0" applyFont="1" applyBorder="1" applyAlignment="1">
      <alignment horizontal="left"/>
    </xf>
    <xf numFmtId="0" fontId="5" fillId="0" borderId="21" xfId="0" applyFont="1" applyBorder="1"/>
    <xf numFmtId="0" fontId="0" fillId="0" borderId="40" xfId="0" applyBorder="1" applyAlignment="1">
      <alignment horizontal="left"/>
    </xf>
    <xf numFmtId="0" fontId="4" fillId="0" borderId="49" xfId="0" applyFont="1" applyBorder="1"/>
    <xf numFmtId="0" fontId="0" fillId="0" borderId="31" xfId="0" applyBorder="1" applyAlignment="1">
      <alignment horizontal="center"/>
    </xf>
    <xf numFmtId="0" fontId="10" fillId="0" borderId="49" xfId="0" applyFont="1" applyBorder="1" applyAlignment="1">
      <alignment horizontal="left"/>
    </xf>
    <xf numFmtId="0" fontId="7" fillId="0" borderId="21" xfId="0" applyFont="1" applyBorder="1" applyAlignment="1">
      <alignment horizontal="center"/>
    </xf>
    <xf numFmtId="1" fontId="0" fillId="0" borderId="51" xfId="0" applyNumberFormat="1" applyBorder="1" applyAlignment="1">
      <alignment horizontal="center"/>
    </xf>
    <xf numFmtId="0" fontId="2" fillId="0" borderId="52" xfId="0" applyFont="1" applyBorder="1" applyAlignment="1">
      <alignment horizontal="center"/>
    </xf>
    <xf numFmtId="0" fontId="2" fillId="3" borderId="51" xfId="0" applyFont="1" applyFill="1" applyBorder="1" applyAlignment="1">
      <alignment horizontal="center"/>
    </xf>
    <xf numFmtId="0" fontId="2" fillId="3" borderId="51" xfId="0" applyFont="1" applyFill="1" applyBorder="1" applyAlignment="1">
      <alignment horizontal="center" wrapText="1"/>
    </xf>
    <xf numFmtId="1" fontId="55" fillId="2" borderId="51" xfId="0" applyNumberFormat="1" applyFont="1" applyFill="1" applyBorder="1" applyAlignment="1">
      <alignment horizontal="center" vertical="center"/>
    </xf>
    <xf numFmtId="0" fontId="0" fillId="2" borderId="51" xfId="0" applyFill="1" applyBorder="1" applyAlignment="1">
      <alignment horizontal="center" vertical="center"/>
    </xf>
    <xf numFmtId="1" fontId="13" fillId="2" borderId="51" xfId="1" applyNumberFormat="1" applyFont="1" applyFill="1" applyBorder="1" applyAlignment="1">
      <alignment horizontal="center" vertical="center"/>
    </xf>
    <xf numFmtId="1" fontId="10" fillId="2" borderId="51" xfId="2" quotePrefix="1" applyNumberFormat="1" applyFont="1" applyFill="1" applyBorder="1" applyAlignment="1">
      <alignment horizontal="left"/>
    </xf>
    <xf numFmtId="1" fontId="13" fillId="2" borderId="25" xfId="1" applyNumberFormat="1" applyFont="1" applyFill="1" applyBorder="1" applyAlignment="1">
      <alignment horizontal="center"/>
    </xf>
    <xf numFmtId="0" fontId="8" fillId="0" borderId="27" xfId="3" applyBorder="1"/>
    <xf numFmtId="0" fontId="0" fillId="0" borderId="49" xfId="0" applyBorder="1"/>
    <xf numFmtId="0" fontId="4" fillId="0" borderId="50" xfId="0" applyFont="1" applyBorder="1"/>
    <xf numFmtId="0" fontId="2" fillId="0" borderId="50" xfId="0" applyFont="1" applyBorder="1" applyAlignment="1">
      <alignment vertical="center" wrapText="1"/>
    </xf>
    <xf numFmtId="0" fontId="8" fillId="0" borderId="51" xfId="0" applyFont="1" applyBorder="1"/>
    <xf numFmtId="0" fontId="9" fillId="0" borderId="51" xfId="0" applyFont="1" applyBorder="1"/>
    <xf numFmtId="0" fontId="8" fillId="0" borderId="30" xfId="0" applyFont="1" applyBorder="1"/>
    <xf numFmtId="0" fontId="2" fillId="0" borderId="40" xfId="0" applyFont="1" applyBorder="1" applyAlignment="1">
      <alignment vertical="center" wrapText="1"/>
    </xf>
    <xf numFmtId="0" fontId="2" fillId="0" borderId="53" xfId="0" applyFont="1" applyBorder="1" applyAlignment="1">
      <alignment horizontal="center"/>
    </xf>
    <xf numFmtId="0" fontId="8" fillId="0" borderId="41" xfId="0" applyFont="1" applyBorder="1"/>
    <xf numFmtId="0" fontId="9" fillId="0" borderId="39" xfId="0" applyFont="1" applyBorder="1"/>
    <xf numFmtId="1" fontId="13" fillId="2" borderId="25" xfId="0" applyNumberFormat="1" applyFont="1" applyFill="1" applyBorder="1"/>
    <xf numFmtId="0" fontId="0" fillId="0" borderId="28" xfId="0" applyBorder="1" applyAlignment="1">
      <alignment horizontal="center"/>
    </xf>
    <xf numFmtId="14" fontId="33" fillId="2" borderId="51" xfId="0" applyNumberFormat="1" applyFont="1" applyFill="1" applyBorder="1" applyAlignment="1">
      <alignment vertical="center"/>
    </xf>
    <xf numFmtId="0" fontId="33" fillId="2" borderId="51" xfId="0" applyFont="1" applyFill="1" applyBorder="1" applyAlignment="1">
      <alignment vertical="center"/>
    </xf>
    <xf numFmtId="1" fontId="58" fillId="0" borderId="51" xfId="0" applyNumberFormat="1" applyFont="1" applyBorder="1" applyAlignment="1">
      <alignment horizontal="center" vertical="center"/>
    </xf>
    <xf numFmtId="0" fontId="0" fillId="0" borderId="0" xfId="0" applyFill="1" applyBorder="1" applyAlignment="1">
      <alignment horizontal="center"/>
    </xf>
    <xf numFmtId="14" fontId="58" fillId="0" borderId="51" xfId="0" applyNumberFormat="1" applyFont="1" applyBorder="1" applyAlignment="1">
      <alignment horizontal="center" vertical="center"/>
    </xf>
    <xf numFmtId="17" fontId="2" fillId="0" borderId="51" xfId="0" applyNumberFormat="1" applyFont="1" applyBorder="1" applyAlignment="1">
      <alignment horizontal="right"/>
    </xf>
    <xf numFmtId="0" fontId="23" fillId="0" borderId="49" xfId="0" applyFont="1" applyBorder="1" applyAlignment="1">
      <alignment vertical="top"/>
    </xf>
    <xf numFmtId="0" fontId="8" fillId="0" borderId="50" xfId="0" applyFont="1" applyBorder="1" applyAlignment="1">
      <alignment vertical="top"/>
    </xf>
    <xf numFmtId="0" fontId="8" fillId="0" borderId="48" xfId="0" applyFont="1" applyBorder="1" applyAlignment="1">
      <alignment vertical="top"/>
    </xf>
    <xf numFmtId="0" fontId="9" fillId="0" borderId="51" xfId="0" applyFont="1" applyBorder="1" applyAlignment="1">
      <alignment vertical="top"/>
    </xf>
    <xf numFmtId="0" fontId="8" fillId="0" borderId="0" xfId="0" applyFont="1" applyBorder="1" applyAlignment="1">
      <alignment vertical="top"/>
    </xf>
    <xf numFmtId="0" fontId="25" fillId="0" borderId="50" xfId="0" applyFont="1" applyBorder="1" applyAlignment="1">
      <alignment vertical="top"/>
    </xf>
    <xf numFmtId="0" fontId="25" fillId="0" borderId="48" xfId="0" applyFont="1" applyBorder="1" applyAlignment="1">
      <alignment vertical="top"/>
    </xf>
    <xf numFmtId="0" fontId="25" fillId="0" borderId="49" xfId="0" applyFont="1" applyBorder="1" applyAlignment="1">
      <alignment vertical="top"/>
    </xf>
    <xf numFmtId="0" fontId="9" fillId="3" borderId="47" xfId="0" applyFont="1" applyFill="1" applyBorder="1" applyAlignment="1">
      <alignment horizontal="center" vertical="top" wrapText="1"/>
    </xf>
    <xf numFmtId="0" fontId="8" fillId="0" borderId="52" xfId="0" applyFont="1" applyBorder="1" applyAlignment="1">
      <alignment vertical="top"/>
    </xf>
    <xf numFmtId="0" fontId="8" fillId="0" borderId="40" xfId="0" applyFont="1" applyBorder="1" applyAlignment="1">
      <alignment vertical="top"/>
    </xf>
    <xf numFmtId="0" fontId="8" fillId="0" borderId="53" xfId="0" applyFont="1" applyBorder="1" applyAlignment="1">
      <alignment vertical="top"/>
    </xf>
    <xf numFmtId="0" fontId="8" fillId="0" borderId="24" xfId="0" applyFont="1" applyBorder="1" applyAlignment="1">
      <alignment vertical="top"/>
    </xf>
    <xf numFmtId="0" fontId="8" fillId="0" borderId="54" xfId="0" applyFont="1" applyBorder="1" applyAlignment="1">
      <alignment vertical="top"/>
    </xf>
    <xf numFmtId="0" fontId="9" fillId="3" borderId="44" xfId="0" applyFont="1" applyFill="1" applyBorder="1" applyAlignment="1">
      <alignment horizontal="center" vertical="top"/>
    </xf>
    <xf numFmtId="0" fontId="8" fillId="0" borderId="44" xfId="0" applyFont="1" applyBorder="1" applyAlignment="1">
      <alignment vertical="top"/>
    </xf>
    <xf numFmtId="0" fontId="41" fillId="2" borderId="50" xfId="0" applyFont="1" applyFill="1" applyBorder="1" applyAlignment="1">
      <alignment horizontal="left" vertical="center"/>
    </xf>
    <xf numFmtId="0" fontId="41" fillId="2" borderId="48" xfId="0" applyFont="1" applyFill="1" applyBorder="1" applyAlignment="1">
      <alignment horizontal="left" vertical="center"/>
    </xf>
    <xf numFmtId="0" fontId="10" fillId="0" borderId="49" xfId="0" applyFont="1" applyBorder="1"/>
    <xf numFmtId="0" fontId="42" fillId="2" borderId="50" xfId="0" applyFont="1" applyFill="1" applyBorder="1" applyAlignment="1">
      <alignment horizontal="center"/>
    </xf>
    <xf numFmtId="0" fontId="42" fillId="2" borderId="50" xfId="0" applyFont="1" applyFill="1" applyBorder="1"/>
    <xf numFmtId="0" fontId="38" fillId="2" borderId="51" xfId="0" applyFont="1" applyFill="1" applyBorder="1" applyAlignment="1">
      <alignment horizontal="center" vertical="top" wrapText="1"/>
    </xf>
    <xf numFmtId="0" fontId="44" fillId="2" borderId="49" xfId="0" applyFont="1" applyFill="1" applyBorder="1" applyAlignment="1">
      <alignment horizontal="center" vertical="top" wrapText="1"/>
    </xf>
    <xf numFmtId="0" fontId="44" fillId="2" borderId="48" xfId="0" applyFont="1" applyFill="1" applyBorder="1" applyAlignment="1">
      <alignment horizontal="center" vertical="top" wrapText="1"/>
    </xf>
    <xf numFmtId="0" fontId="38" fillId="2" borderId="0" xfId="0" applyFont="1" applyFill="1" applyBorder="1" applyAlignment="1">
      <alignment horizontal="center" vertical="top" wrapText="1"/>
    </xf>
    <xf numFmtId="0" fontId="39" fillId="2" borderId="0" xfId="0" applyFont="1" applyFill="1" applyBorder="1" applyAlignment="1">
      <alignment horizontal="center" vertical="top" wrapText="1"/>
    </xf>
    <xf numFmtId="0" fontId="40" fillId="2" borderId="0" xfId="0" applyFont="1" applyFill="1" applyBorder="1" applyAlignment="1">
      <alignment horizontal="center" vertical="top" wrapText="1"/>
    </xf>
    <xf numFmtId="0" fontId="41" fillId="2" borderId="52" xfId="0" applyFont="1" applyFill="1" applyBorder="1" applyAlignment="1">
      <alignment horizontal="left" vertical="center"/>
    </xf>
    <xf numFmtId="0" fontId="10" fillId="0" borderId="0" xfId="0" applyFont="1" applyBorder="1" applyAlignment="1">
      <alignment horizontal="left" vertical="center"/>
    </xf>
    <xf numFmtId="0" fontId="41" fillId="2" borderId="0" xfId="0" applyFont="1" applyFill="1" applyBorder="1" applyAlignment="1">
      <alignment horizontal="center"/>
    </xf>
    <xf numFmtId="0" fontId="41" fillId="0" borderId="0" xfId="0" applyFont="1" applyBorder="1" applyAlignment="1">
      <alignment horizontal="center"/>
    </xf>
    <xf numFmtId="0" fontId="41" fillId="2" borderId="0" xfId="0" applyFont="1" applyFill="1" applyBorder="1" applyAlignment="1">
      <alignment horizontal="center" wrapText="1"/>
    </xf>
    <xf numFmtId="0" fontId="41" fillId="2" borderId="0" xfId="0" applyFont="1" applyFill="1" applyBorder="1"/>
    <xf numFmtId="0" fontId="42" fillId="2" borderId="0" xfId="0" applyFont="1" applyFill="1" applyBorder="1" applyAlignment="1">
      <alignment horizontal="center"/>
    </xf>
    <xf numFmtId="0" fontId="42" fillId="2" borderId="0" xfId="0" applyFont="1" applyFill="1" applyBorder="1" applyAlignment="1">
      <alignment vertical="center"/>
    </xf>
    <xf numFmtId="0" fontId="42" fillId="2" borderId="40" xfId="0" applyFont="1" applyFill="1" applyBorder="1"/>
    <xf numFmtId="0" fontId="43" fillId="2" borderId="0" xfId="0" applyFont="1" applyFill="1" applyBorder="1" applyAlignment="1">
      <alignment vertical="top" wrapText="1"/>
    </xf>
    <xf numFmtId="0" fontId="43" fillId="2" borderId="0" xfId="0" applyFont="1" applyFill="1" applyBorder="1" applyAlignment="1">
      <alignment horizontal="justify" vertical="top" wrapText="1"/>
    </xf>
    <xf numFmtId="0" fontId="43" fillId="2" borderId="0" xfId="0" applyFont="1" applyFill="1" applyBorder="1" applyAlignment="1">
      <alignment horizontal="left" vertical="top" wrapText="1"/>
    </xf>
    <xf numFmtId="0" fontId="0" fillId="2" borderId="0" xfId="0" applyFill="1" applyBorder="1" applyAlignment="1">
      <alignment horizontal="justify" vertical="top" wrapText="1"/>
    </xf>
    <xf numFmtId="0" fontId="44" fillId="2" borderId="52" xfId="0" applyFont="1" applyFill="1" applyBorder="1" applyAlignment="1">
      <alignment horizontal="center" vertical="top" wrapText="1"/>
    </xf>
    <xf numFmtId="0" fontId="44" fillId="2" borderId="40" xfId="0" applyFont="1" applyFill="1" applyBorder="1" applyAlignment="1">
      <alignment horizontal="center" vertical="top" wrapText="1"/>
    </xf>
    <xf numFmtId="0" fontId="44" fillId="2" borderId="47" xfId="0" applyFont="1" applyFill="1" applyBorder="1" applyAlignment="1">
      <alignment horizontal="center" vertical="center" wrapText="1"/>
    </xf>
    <xf numFmtId="0" fontId="0" fillId="0" borderId="51" xfId="0" applyBorder="1" applyAlignment="1">
      <alignment horizontal="center" vertical="center"/>
    </xf>
    <xf numFmtId="1" fontId="54" fillId="2" borderId="51" xfId="1" applyNumberFormat="1" applyFont="1" applyFill="1" applyBorder="1" applyAlignment="1">
      <alignment horizontal="center"/>
    </xf>
    <xf numFmtId="167" fontId="0" fillId="0" borderId="51" xfId="0" applyNumberFormat="1" applyBorder="1" applyAlignment="1">
      <alignment horizontal="center" vertical="center"/>
    </xf>
    <xf numFmtId="0" fontId="0" fillId="0" borderId="51" xfId="0" applyBorder="1" applyAlignment="1">
      <alignment vertical="center"/>
    </xf>
    <xf numFmtId="0" fontId="0" fillId="0" borderId="51" xfId="0" applyBorder="1" applyAlignment="1">
      <alignment horizontal="center" wrapText="1"/>
    </xf>
    <xf numFmtId="1" fontId="5" fillId="2" borderId="51" xfId="4" applyNumberFormat="1" applyFont="1" applyFill="1" applyBorder="1" applyAlignment="1">
      <alignment horizontal="left"/>
    </xf>
    <xf numFmtId="0" fontId="0" fillId="0" borderId="51" xfId="0" applyBorder="1" applyAlignment="1">
      <alignment horizontal="left" wrapText="1"/>
    </xf>
    <xf numFmtId="1" fontId="37" fillId="2" borderId="51" xfId="0" applyNumberFormat="1" applyFont="1" applyFill="1" applyBorder="1" applyAlignment="1">
      <alignment vertical="top"/>
    </xf>
    <xf numFmtId="1" fontId="37" fillId="2" borderId="51" xfId="0" applyNumberFormat="1" applyFont="1" applyFill="1" applyBorder="1"/>
    <xf numFmtId="1" fontId="0" fillId="0" borderId="51" xfId="0" applyNumberFormat="1" applyBorder="1" applyAlignment="1">
      <alignment horizontal="center" wrapText="1"/>
    </xf>
    <xf numFmtId="0" fontId="0" fillId="0" borderId="0" xfId="0" applyBorder="1" applyAlignment="1">
      <alignment wrapText="1"/>
    </xf>
    <xf numFmtId="0" fontId="33" fillId="0" borderId="0" xfId="0" applyFont="1" applyBorder="1"/>
    <xf numFmtId="0" fontId="0" fillId="0" borderId="43" xfId="0" applyBorder="1" applyAlignment="1">
      <alignment horizontal="center"/>
    </xf>
    <xf numFmtId="0" fontId="0" fillId="0" borderId="47" xfId="0" applyBorder="1" applyAlignment="1">
      <alignment horizontal="center" wrapText="1"/>
    </xf>
    <xf numFmtId="0" fontId="0" fillId="0" borderId="47" xfId="0" applyBorder="1" applyAlignment="1">
      <alignment horizontal="center"/>
    </xf>
    <xf numFmtId="0" fontId="0" fillId="0" borderId="44" xfId="0" applyBorder="1" applyAlignment="1">
      <alignment horizontal="center" wrapText="1"/>
    </xf>
    <xf numFmtId="0" fontId="0" fillId="0" borderId="26" xfId="0" applyBorder="1" applyAlignment="1">
      <alignment wrapText="1"/>
    </xf>
    <xf numFmtId="0" fontId="36" fillId="0" borderId="8" xfId="0" applyFont="1" applyBorder="1" applyAlignment="1">
      <alignment horizontal="center" vertical="center" wrapText="1"/>
    </xf>
    <xf numFmtId="0" fontId="33" fillId="0" borderId="48" xfId="0" applyFont="1" applyBorder="1" applyAlignment="1">
      <alignment wrapText="1"/>
    </xf>
    <xf numFmtId="0" fontId="33" fillId="0" borderId="50" xfId="0" applyFont="1" applyBorder="1"/>
    <xf numFmtId="0" fontId="33" fillId="0" borderId="48" xfId="0" applyFont="1" applyBorder="1"/>
    <xf numFmtId="0" fontId="2" fillId="0" borderId="49" xfId="0" applyFont="1" applyBorder="1"/>
    <xf numFmtId="0" fontId="44" fillId="2" borderId="43" xfId="0" applyFont="1" applyFill="1" applyBorder="1" applyAlignment="1">
      <alignment horizontal="left" vertical="center" wrapText="1"/>
    </xf>
    <xf numFmtId="0" fontId="61" fillId="0" borderId="13" xfId="0" applyFont="1" applyBorder="1"/>
    <xf numFmtId="17" fontId="61" fillId="0" borderId="8" xfId="0" applyNumberFormat="1" applyFont="1" applyBorder="1"/>
    <xf numFmtId="0" fontId="32" fillId="0" borderId="52" xfId="0" applyFont="1" applyBorder="1"/>
    <xf numFmtId="0" fontId="2" fillId="0" borderId="50" xfId="0" applyFont="1" applyBorder="1" applyAlignment="1">
      <alignment horizontal="left"/>
    </xf>
    <xf numFmtId="0" fontId="2" fillId="0" borderId="48" xfId="0" applyFont="1" applyBorder="1" applyAlignment="1">
      <alignment horizontal="left"/>
    </xf>
    <xf numFmtId="0" fontId="8" fillId="0" borderId="0" xfId="0" applyFont="1" applyBorder="1" applyAlignment="1">
      <alignment horizontal="left"/>
    </xf>
    <xf numFmtId="0" fontId="0" fillId="0" borderId="0" xfId="0" applyBorder="1" applyAlignment="1">
      <alignment horizontal="center"/>
    </xf>
    <xf numFmtId="0" fontId="62" fillId="7" borderId="35" xfId="0" applyFont="1" applyFill="1" applyBorder="1" applyAlignment="1">
      <alignment vertical="center"/>
    </xf>
    <xf numFmtId="0" fontId="8" fillId="2" borderId="51" xfId="3" applyFont="1" applyFill="1" applyBorder="1" applyAlignment="1">
      <alignment horizontal="left" vertical="center"/>
    </xf>
    <xf numFmtId="0" fontId="62" fillId="7" borderId="35" xfId="0" applyFont="1" applyFill="1" applyBorder="1" applyAlignment="1">
      <alignment horizontal="center" vertical="center" wrapText="1"/>
    </xf>
    <xf numFmtId="0" fontId="62" fillId="8" borderId="35" xfId="0" applyFont="1" applyFill="1" applyBorder="1" applyAlignment="1">
      <alignment horizontal="center" vertical="center" wrapText="1"/>
    </xf>
    <xf numFmtId="0" fontId="62" fillId="9" borderId="35" xfId="0" applyFont="1" applyFill="1" applyBorder="1" applyAlignment="1">
      <alignment horizontal="center" vertical="center" wrapText="1"/>
    </xf>
    <xf numFmtId="0" fontId="62" fillId="10" borderId="35" xfId="0" applyFont="1" applyFill="1" applyBorder="1" applyAlignment="1">
      <alignment horizontal="center" vertical="center" wrapText="1"/>
    </xf>
    <xf numFmtId="0" fontId="62" fillId="11" borderId="35" xfId="0" applyFont="1" applyFill="1" applyBorder="1" applyAlignment="1">
      <alignment horizontal="center" vertical="center" wrapText="1"/>
    </xf>
    <xf numFmtId="0" fontId="62" fillId="12" borderId="35" xfId="0" applyFont="1" applyFill="1" applyBorder="1" applyAlignment="1">
      <alignment horizontal="center" vertical="center" wrapText="1"/>
    </xf>
    <xf numFmtId="0" fontId="33" fillId="0" borderId="49" xfId="0" applyFont="1" applyBorder="1"/>
    <xf numFmtId="1" fontId="8" fillId="0" borderId="51" xfId="0" applyNumberFormat="1" applyFont="1" applyBorder="1"/>
    <xf numFmtId="1" fontId="23" fillId="2" borderId="0" xfId="1" applyNumberFormat="1" applyFont="1" applyFill="1" applyBorder="1"/>
    <xf numFmtId="0" fontId="8" fillId="0" borderId="0" xfId="0" applyFont="1" applyBorder="1" applyAlignment="1">
      <alignment vertical="top" wrapText="1"/>
    </xf>
    <xf numFmtId="1" fontId="15" fillId="2" borderId="51" xfId="0" applyNumberFormat="1" applyFont="1" applyFill="1" applyBorder="1" applyAlignment="1">
      <alignment horizontal="left"/>
    </xf>
    <xf numFmtId="0" fontId="2" fillId="0" borderId="51" xfId="0" applyFont="1" applyBorder="1" applyAlignment="1">
      <alignment vertical="center" wrapText="1"/>
    </xf>
    <xf numFmtId="17" fontId="2" fillId="0" borderId="51" xfId="0" applyNumberFormat="1" applyFont="1" applyBorder="1"/>
    <xf numFmtId="0" fontId="9" fillId="0" borderId="49" xfId="0" applyFont="1" applyBorder="1" applyAlignment="1">
      <alignment vertical="top"/>
    </xf>
    <xf numFmtId="0" fontId="38" fillId="7" borderId="4" xfId="0" applyFont="1" applyFill="1" applyBorder="1" applyAlignment="1">
      <alignment horizontal="center" vertical="center" wrapText="1"/>
    </xf>
    <xf numFmtId="0" fontId="38" fillId="7" borderId="56" xfId="0" applyFont="1" applyFill="1" applyBorder="1" applyAlignment="1">
      <alignment horizontal="center" vertical="center" wrapText="1"/>
    </xf>
    <xf numFmtId="0" fontId="18" fillId="0" borderId="0" xfId="0" applyFont="1"/>
    <xf numFmtId="0" fontId="18" fillId="0" borderId="22" xfId="0" applyFont="1" applyBorder="1"/>
    <xf numFmtId="0" fontId="18" fillId="0" borderId="23" xfId="0" applyFont="1" applyBorder="1" applyAlignment="1">
      <alignment horizontal="center"/>
    </xf>
    <xf numFmtId="0" fontId="18" fillId="0" borderId="24" xfId="0" applyFont="1" applyBorder="1"/>
    <xf numFmtId="0" fontId="18" fillId="0" borderId="25" xfId="0" applyFont="1" applyBorder="1" applyAlignment="1">
      <alignment horizontal="center"/>
    </xf>
    <xf numFmtId="0" fontId="65" fillId="14" borderId="22" xfId="0" applyFont="1" applyFill="1" applyBorder="1" applyAlignment="1">
      <alignment horizontal="center"/>
    </xf>
    <xf numFmtId="0" fontId="65" fillId="14" borderId="23" xfId="0" applyFont="1" applyFill="1" applyBorder="1" applyAlignment="1">
      <alignment vertical="center" wrapText="1"/>
    </xf>
    <xf numFmtId="0" fontId="65" fillId="0" borderId="25" xfId="0" applyFont="1" applyBorder="1" applyAlignment="1">
      <alignment vertical="center" wrapText="1"/>
    </xf>
    <xf numFmtId="0" fontId="18" fillId="0" borderId="49" xfId="0" applyFont="1" applyBorder="1"/>
    <xf numFmtId="0" fontId="18" fillId="0" borderId="50" xfId="0" applyFont="1" applyBorder="1"/>
    <xf numFmtId="0" fontId="18" fillId="0" borderId="48" xfId="0" applyFont="1" applyBorder="1"/>
    <xf numFmtId="0" fontId="18" fillId="0" borderId="25"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70" xfId="0" applyFont="1" applyBorder="1" applyAlignment="1">
      <alignment horizontal="center" vertical="center" wrapText="1"/>
    </xf>
    <xf numFmtId="0" fontId="18" fillId="0" borderId="71" xfId="0" applyFont="1" applyBorder="1" applyAlignment="1">
      <alignment horizontal="center" vertical="center"/>
    </xf>
    <xf numFmtId="0" fontId="18" fillId="0" borderId="72" xfId="0" applyFont="1" applyBorder="1" applyAlignment="1">
      <alignment horizontal="center" vertical="center"/>
    </xf>
    <xf numFmtId="0" fontId="18" fillId="0" borderId="73" xfId="0" applyFont="1" applyBorder="1" applyAlignment="1">
      <alignment horizontal="center" vertical="center"/>
    </xf>
    <xf numFmtId="0" fontId="18" fillId="0" borderId="74" xfId="0" applyFont="1" applyBorder="1" applyAlignment="1">
      <alignment horizontal="center" vertical="center"/>
    </xf>
    <xf numFmtId="0" fontId="18" fillId="0" borderId="75" xfId="0" applyFont="1" applyBorder="1" applyAlignment="1">
      <alignment horizontal="left" vertical="center"/>
    </xf>
    <xf numFmtId="0" fontId="2" fillId="0" borderId="51" xfId="0" applyFont="1" applyBorder="1" applyAlignment="1">
      <alignment horizontal="center"/>
    </xf>
    <xf numFmtId="0" fontId="18" fillId="0" borderId="25" xfId="0" applyFont="1" applyBorder="1"/>
    <xf numFmtId="0" fontId="18" fillId="0" borderId="74" xfId="0" applyFont="1" applyBorder="1" applyAlignment="1">
      <alignment horizontal="center"/>
    </xf>
    <xf numFmtId="0" fontId="18" fillId="0" borderId="77" xfId="0" applyFont="1" applyBorder="1"/>
    <xf numFmtId="0" fontId="18" fillId="0" borderId="74" xfId="0" applyFont="1" applyBorder="1"/>
    <xf numFmtId="0" fontId="18" fillId="0" borderId="74" xfId="0" applyFont="1" applyBorder="1" applyAlignment="1">
      <alignment horizontal="left" vertical="center"/>
    </xf>
    <xf numFmtId="0" fontId="18" fillId="0" borderId="25" xfId="0" applyFont="1" applyBorder="1" applyAlignment="1">
      <alignment horizontal="left" vertical="center" wrapText="1"/>
    </xf>
    <xf numFmtId="0" fontId="18" fillId="0" borderId="0" xfId="0" applyFont="1" applyBorder="1" applyAlignment="1">
      <alignment horizontal="left" vertical="center" wrapText="1"/>
    </xf>
    <xf numFmtId="0" fontId="65" fillId="0" borderId="0" xfId="0" applyFont="1" applyBorder="1" applyAlignment="1">
      <alignment horizontal="left" vertical="center"/>
    </xf>
    <xf numFmtId="0" fontId="18" fillId="0" borderId="28" xfId="0" applyFont="1" applyBorder="1"/>
    <xf numFmtId="0" fontId="18" fillId="0" borderId="26" xfId="0" applyFont="1" applyBorder="1"/>
    <xf numFmtId="0" fontId="18" fillId="0" borderId="27" xfId="0" applyFont="1" applyBorder="1"/>
    <xf numFmtId="0" fontId="2" fillId="0" borderId="51" xfId="0" applyFont="1" applyBorder="1" applyAlignment="1">
      <alignment horizontal="center" vertical="center"/>
    </xf>
    <xf numFmtId="1" fontId="2" fillId="0" borderId="51" xfId="0" applyNumberFormat="1" applyFont="1" applyBorder="1" applyAlignment="1">
      <alignment horizontal="center" vertical="center"/>
    </xf>
    <xf numFmtId="0" fontId="8" fillId="0" borderId="0" xfId="0" applyFont="1" applyBorder="1" applyAlignment="1">
      <alignment horizontal="left"/>
    </xf>
    <xf numFmtId="0" fontId="62" fillId="0" borderId="24" xfId="0" applyFont="1" applyBorder="1"/>
    <xf numFmtId="0" fontId="0" fillId="0" borderId="32" xfId="0" applyBorder="1"/>
    <xf numFmtId="0" fontId="0" fillId="0" borderId="19" xfId="0" applyBorder="1"/>
    <xf numFmtId="0" fontId="2" fillId="0" borderId="19" xfId="0" applyFont="1" applyBorder="1"/>
    <xf numFmtId="0" fontId="0" fillId="0" borderId="53" xfId="0" applyBorder="1"/>
    <xf numFmtId="0" fontId="0" fillId="0" borderId="54" xfId="0" applyBorder="1"/>
    <xf numFmtId="0" fontId="2" fillId="0" borderId="41" xfId="0" applyFont="1" applyBorder="1"/>
    <xf numFmtId="0" fontId="2" fillId="0" borderId="39" xfId="0" applyFont="1" applyBorder="1"/>
    <xf numFmtId="0" fontId="30" fillId="0" borderId="52" xfId="0" applyFont="1" applyBorder="1"/>
    <xf numFmtId="0" fontId="30" fillId="0" borderId="53" xfId="0" applyFont="1" applyBorder="1"/>
    <xf numFmtId="0" fontId="30" fillId="0" borderId="54" xfId="0" applyFont="1" applyBorder="1"/>
    <xf numFmtId="0" fontId="0" fillId="7" borderId="53" xfId="0" applyFill="1" applyBorder="1"/>
    <xf numFmtId="0" fontId="0" fillId="7" borderId="30" xfId="0" applyFill="1" applyBorder="1"/>
    <xf numFmtId="0" fontId="0" fillId="7" borderId="31" xfId="0" applyFill="1" applyBorder="1"/>
    <xf numFmtId="0" fontId="0" fillId="7" borderId="32" xfId="0" applyFill="1" applyBorder="1"/>
    <xf numFmtId="0" fontId="0" fillId="7" borderId="54" xfId="0" applyFill="1" applyBorder="1"/>
    <xf numFmtId="0" fontId="0" fillId="7" borderId="21" xfId="0" applyFill="1" applyBorder="1"/>
    <xf numFmtId="0" fontId="0" fillId="7" borderId="17" xfId="0" applyFill="1" applyBorder="1"/>
    <xf numFmtId="0" fontId="0" fillId="7" borderId="29" xfId="0" applyFill="1" applyBorder="1"/>
    <xf numFmtId="0" fontId="0" fillId="7" borderId="41" xfId="0" applyFill="1" applyBorder="1"/>
    <xf numFmtId="0" fontId="0" fillId="7" borderId="13" xfId="0" applyFill="1" applyBorder="1"/>
    <xf numFmtId="0" fontId="0" fillId="7" borderId="39" xfId="0" applyFill="1" applyBorder="1"/>
    <xf numFmtId="1" fontId="2" fillId="0" borderId="37" xfId="0" applyNumberFormat="1" applyFont="1" applyBorder="1" applyAlignment="1">
      <alignment horizontal="center" vertical="center" wrapText="1"/>
    </xf>
    <xf numFmtId="0" fontId="7" fillId="0" borderId="30" xfId="0" applyFont="1" applyBorder="1" applyAlignment="1">
      <alignment horizontal="center"/>
    </xf>
    <xf numFmtId="0" fontId="7" fillId="0" borderId="30" xfId="0" applyFont="1" applyBorder="1"/>
    <xf numFmtId="0" fontId="7" fillId="0" borderId="41" xfId="0" applyFont="1" applyBorder="1" applyAlignment="1">
      <alignment horizontal="center"/>
    </xf>
    <xf numFmtId="0" fontId="10" fillId="0" borderId="40" xfId="0" applyFont="1" applyBorder="1" applyAlignment="1">
      <alignment horizontal="left"/>
    </xf>
    <xf numFmtId="0" fontId="7" fillId="0" borderId="41" xfId="0" applyFont="1" applyBorder="1"/>
    <xf numFmtId="0" fontId="7" fillId="0" borderId="39" xfId="0" applyFont="1" applyBorder="1" applyAlignment="1">
      <alignment horizontal="center"/>
    </xf>
    <xf numFmtId="0" fontId="0" fillId="0" borderId="32" xfId="0" applyBorder="1" applyAlignment="1">
      <alignment horizontal="center"/>
    </xf>
    <xf numFmtId="0" fontId="0" fillId="7" borderId="29" xfId="0" applyFill="1" applyBorder="1" applyAlignment="1"/>
    <xf numFmtId="0" fontId="0" fillId="7" borderId="30" xfId="0" applyFill="1" applyBorder="1" applyAlignment="1"/>
    <xf numFmtId="0" fontId="0" fillId="7" borderId="31" xfId="0" applyFill="1" applyBorder="1" applyAlignment="1"/>
    <xf numFmtId="0" fontId="0" fillId="7" borderId="17" xfId="0" applyFill="1" applyBorder="1" applyAlignment="1">
      <alignment horizontal="center" vertical="center"/>
    </xf>
    <xf numFmtId="0" fontId="0" fillId="0" borderId="51" xfId="0" applyBorder="1" applyAlignment="1">
      <alignment horizontal="center" vertical="center" wrapText="1"/>
    </xf>
    <xf numFmtId="0" fontId="50" fillId="0" borderId="51" xfId="0" applyFont="1" applyBorder="1" applyAlignment="1">
      <alignment horizontal="center"/>
    </xf>
    <xf numFmtId="1" fontId="50" fillId="0" borderId="51" xfId="0" applyNumberFormat="1" applyFont="1" applyBorder="1" applyAlignment="1">
      <alignment horizontal="center"/>
    </xf>
    <xf numFmtId="14" fontId="50" fillId="0" borderId="51" xfId="0" applyNumberFormat="1" applyFont="1" applyBorder="1" applyAlignment="1">
      <alignment horizontal="center"/>
    </xf>
    <xf numFmtId="0" fontId="9" fillId="0" borderId="49" xfId="0" applyFont="1" applyBorder="1" applyAlignment="1">
      <alignment horizontal="left"/>
    </xf>
    <xf numFmtId="0" fontId="9" fillId="0" borderId="50" xfId="0" applyFont="1" applyBorder="1" applyAlignment="1">
      <alignment horizontal="left"/>
    </xf>
    <xf numFmtId="1" fontId="0" fillId="0" borderId="49" xfId="0" applyNumberFormat="1" applyBorder="1"/>
    <xf numFmtId="14" fontId="0" fillId="0" borderId="49" xfId="0" applyNumberFormat="1" applyBorder="1"/>
    <xf numFmtId="0" fontId="0" fillId="2" borderId="0" xfId="0" applyFill="1"/>
    <xf numFmtId="0" fontId="9" fillId="0" borderId="29" xfId="0" applyFont="1" applyBorder="1" applyAlignment="1">
      <alignment vertical="top"/>
    </xf>
    <xf numFmtId="17" fontId="9" fillId="0" borderId="51" xfId="0" applyNumberFormat="1" applyFont="1" applyBorder="1" applyAlignment="1">
      <alignment horizontal="left" vertical="top"/>
    </xf>
    <xf numFmtId="17" fontId="9" fillId="0" borderId="20" xfId="0" applyNumberFormat="1" applyFont="1" applyBorder="1" applyAlignment="1">
      <alignment horizontal="left" vertical="top"/>
    </xf>
    <xf numFmtId="17" fontId="9" fillId="0" borderId="48" xfId="0" applyNumberFormat="1" applyFont="1" applyBorder="1" applyAlignment="1">
      <alignment horizontal="left" vertical="top"/>
    </xf>
    <xf numFmtId="0" fontId="2" fillId="3" borderId="51" xfId="0" applyFont="1" applyFill="1" applyBorder="1" applyAlignment="1">
      <alignment horizontal="center" vertical="center" wrapText="1"/>
    </xf>
    <xf numFmtId="0" fontId="2" fillId="3" borderId="51" xfId="0" applyFont="1" applyFill="1" applyBorder="1" applyAlignment="1">
      <alignment horizontal="center" vertical="center"/>
    </xf>
    <xf numFmtId="0" fontId="12" fillId="3" borderId="51" xfId="0" applyFont="1" applyFill="1" applyBorder="1" applyAlignment="1">
      <alignment horizontal="center" vertical="center" wrapText="1"/>
    </xf>
    <xf numFmtId="0" fontId="0" fillId="7" borderId="32" xfId="0" applyFill="1" applyBorder="1" applyAlignment="1">
      <alignment horizontal="center" vertical="center"/>
    </xf>
    <xf numFmtId="0" fontId="65" fillId="0" borderId="15" xfId="0" applyFont="1" applyBorder="1"/>
    <xf numFmtId="0" fontId="65" fillId="0" borderId="0" xfId="0" applyFont="1" applyBorder="1" applyAlignment="1">
      <alignment horizontal="left" vertical="center" wrapText="1"/>
    </xf>
    <xf numFmtId="0" fontId="68" fillId="0" borderId="44" xfId="0" applyFont="1" applyBorder="1" applyAlignment="1">
      <alignment horizontal="center"/>
    </xf>
    <xf numFmtId="0" fontId="68" fillId="0" borderId="51" xfId="0" applyFont="1" applyBorder="1" applyAlignment="1">
      <alignment horizontal="center"/>
    </xf>
    <xf numFmtId="0" fontId="68" fillId="0" borderId="37" xfId="0" applyFont="1" applyBorder="1" applyAlignment="1">
      <alignment horizontal="center"/>
    </xf>
    <xf numFmtId="0" fontId="68" fillId="0" borderId="0" xfId="0" applyFont="1" applyAlignment="1">
      <alignment horizontal="center"/>
    </xf>
    <xf numFmtId="0" fontId="0" fillId="0" borderId="44" xfId="0" applyBorder="1" applyAlignment="1">
      <alignment horizontal="center"/>
    </xf>
    <xf numFmtId="0" fontId="0" fillId="0" borderId="37" xfId="0" applyBorder="1"/>
    <xf numFmtId="0" fontId="0" fillId="0" borderId="37" xfId="0" applyBorder="1" applyAlignment="1">
      <alignment horizontal="center"/>
    </xf>
    <xf numFmtId="0" fontId="33" fillId="0" borderId="51" xfId="0" applyFont="1" applyBorder="1"/>
    <xf numFmtId="0" fontId="53" fillId="0" borderId="44" xfId="0" applyFont="1" applyBorder="1" applyAlignment="1">
      <alignment horizontal="center"/>
    </xf>
    <xf numFmtId="0" fontId="0" fillId="0" borderId="0" xfId="0" applyBorder="1" applyAlignment="1">
      <alignment horizontal="right"/>
    </xf>
    <xf numFmtId="0" fontId="0" fillId="0" borderId="26" xfId="0" applyFont="1" applyBorder="1" applyAlignment="1">
      <alignment horizontal="center"/>
    </xf>
    <xf numFmtId="0" fontId="0" fillId="0" borderId="26" xfId="0" applyBorder="1" applyAlignment="1">
      <alignment horizontal="right"/>
    </xf>
    <xf numFmtId="0" fontId="0" fillId="0" borderId="30" xfId="0" applyBorder="1" applyAlignment="1"/>
    <xf numFmtId="0" fontId="2" fillId="0" borderId="30" xfId="0" applyFont="1" applyBorder="1" applyAlignment="1"/>
    <xf numFmtId="0" fontId="53" fillId="0" borderId="53" xfId="0" applyFont="1" applyBorder="1" applyAlignment="1"/>
    <xf numFmtId="17" fontId="2" fillId="0" borderId="25" xfId="0" applyNumberFormat="1" applyFont="1" applyBorder="1" applyAlignment="1">
      <alignment horizontal="left"/>
    </xf>
    <xf numFmtId="0" fontId="12" fillId="3" borderId="11" xfId="0" applyFont="1" applyFill="1" applyBorder="1" applyAlignment="1">
      <alignment horizontal="center" vertical="center" wrapText="1"/>
    </xf>
    <xf numFmtId="0" fontId="0" fillId="0" borderId="0" xfId="0" applyBorder="1" applyAlignment="1"/>
    <xf numFmtId="0" fontId="53" fillId="0" borderId="0" xfId="0" applyFont="1" applyBorder="1" applyAlignment="1"/>
    <xf numFmtId="0" fontId="71" fillId="0" borderId="0" xfId="0" applyFont="1"/>
    <xf numFmtId="0" fontId="0" fillId="0" borderId="0" xfId="0" applyFont="1"/>
    <xf numFmtId="0" fontId="70" fillId="0" borderId="24" xfId="0" applyFont="1" applyBorder="1" applyAlignment="1"/>
    <xf numFmtId="0" fontId="0" fillId="0" borderId="25" xfId="0" applyBorder="1" applyAlignment="1"/>
    <xf numFmtId="0" fontId="33" fillId="0" borderId="24" xfId="0" applyFont="1" applyBorder="1"/>
    <xf numFmtId="0" fontId="0" fillId="0" borderId="24" xfId="0" applyBorder="1" applyAlignment="1"/>
    <xf numFmtId="0" fontId="71" fillId="0" borderId="24" xfId="0" applyFont="1" applyBorder="1"/>
    <xf numFmtId="0" fontId="71" fillId="0" borderId="0" xfId="0" applyFont="1" applyBorder="1"/>
    <xf numFmtId="0" fontId="0" fillId="0" borderId="24" xfId="0" applyFont="1" applyBorder="1"/>
    <xf numFmtId="0" fontId="53" fillId="0" borderId="24" xfId="0" applyFont="1" applyBorder="1" applyAlignment="1">
      <alignment horizontal="center"/>
    </xf>
    <xf numFmtId="0" fontId="2" fillId="0" borderId="0" xfId="0" applyFont="1" applyBorder="1" applyAlignment="1">
      <alignment horizontal="center"/>
    </xf>
    <xf numFmtId="0" fontId="0" fillId="0" borderId="0" xfId="0" applyFont="1" applyBorder="1" applyAlignment="1">
      <alignment horizontal="center"/>
    </xf>
    <xf numFmtId="0" fontId="58" fillId="0" borderId="24" xfId="0" applyFont="1" applyBorder="1" applyAlignment="1"/>
    <xf numFmtId="0" fontId="53" fillId="0" borderId="24" xfId="0" applyFont="1" applyBorder="1" applyAlignment="1"/>
    <xf numFmtId="0" fontId="72" fillId="0" borderId="0" xfId="0" applyFont="1"/>
    <xf numFmtId="0" fontId="2" fillId="0" borderId="51" xfId="0" applyFont="1" applyBorder="1" applyAlignment="1">
      <alignment horizontal="center" vertical="center"/>
    </xf>
    <xf numFmtId="1" fontId="2" fillId="0" borderId="51" xfId="0" applyNumberFormat="1" applyFont="1" applyBorder="1" applyAlignment="1">
      <alignment horizontal="center" vertical="center"/>
    </xf>
    <xf numFmtId="1" fontId="2" fillId="0" borderId="50" xfId="0" applyNumberFormat="1" applyFont="1" applyBorder="1" applyAlignment="1">
      <alignment horizontal="center" vertical="center"/>
    </xf>
    <xf numFmtId="0" fontId="8" fillId="0" borderId="0" xfId="0" applyFont="1" applyBorder="1" applyAlignment="1">
      <alignment horizontal="left"/>
    </xf>
    <xf numFmtId="0" fontId="2" fillId="0" borderId="49" xfId="0" applyFont="1" applyBorder="1" applyAlignment="1">
      <alignment horizontal="left"/>
    </xf>
    <xf numFmtId="0" fontId="0" fillId="0" borderId="49" xfId="0" applyBorder="1" applyAlignment="1">
      <alignment horizontal="center"/>
    </xf>
    <xf numFmtId="0" fontId="0" fillId="0" borderId="51" xfId="0" applyBorder="1" applyAlignment="1">
      <alignment horizontal="center"/>
    </xf>
    <xf numFmtId="0" fontId="2" fillId="7" borderId="49" xfId="0" applyFont="1" applyFill="1" applyBorder="1" applyAlignment="1">
      <alignment horizontal="center"/>
    </xf>
    <xf numFmtId="0" fontId="0" fillId="7" borderId="50" xfId="0" applyFill="1" applyBorder="1"/>
    <xf numFmtId="0" fontId="0" fillId="7" borderId="48" xfId="0" applyFill="1" applyBorder="1"/>
    <xf numFmtId="0" fontId="2" fillId="0" borderId="50" xfId="0" applyFont="1" applyBorder="1"/>
    <xf numFmtId="0" fontId="2" fillId="0" borderId="48" xfId="0" applyFont="1" applyBorder="1"/>
    <xf numFmtId="0" fontId="7" fillId="0" borderId="50" xfId="0" applyFont="1" applyBorder="1" applyAlignment="1">
      <alignment horizontal="center"/>
    </xf>
    <xf numFmtId="0" fontId="7" fillId="0" borderId="48" xfId="0" applyFont="1" applyBorder="1" applyAlignment="1">
      <alignment horizontal="center"/>
    </xf>
    <xf numFmtId="0" fontId="0" fillId="7" borderId="49" xfId="0" applyFill="1" applyBorder="1"/>
    <xf numFmtId="0" fontId="0" fillId="7" borderId="50" xfId="0" applyFill="1" applyBorder="1" applyAlignment="1">
      <alignment horizontal="left"/>
    </xf>
    <xf numFmtId="0" fontId="0" fillId="7" borderId="50" xfId="0" applyFill="1" applyBorder="1" applyAlignment="1">
      <alignment horizontal="center"/>
    </xf>
    <xf numFmtId="0" fontId="0" fillId="7" borderId="48" xfId="0" applyFill="1" applyBorder="1" applyAlignment="1">
      <alignment horizontal="center"/>
    </xf>
    <xf numFmtId="0" fontId="0" fillId="5" borderId="49" xfId="0" applyFill="1" applyBorder="1"/>
    <xf numFmtId="0" fontId="2" fillId="5" borderId="50" xfId="0" applyFont="1" applyFill="1" applyBorder="1" applyAlignment="1">
      <alignment horizontal="left"/>
    </xf>
    <xf numFmtId="0" fontId="2" fillId="5" borderId="50" xfId="0" applyFont="1" applyFill="1" applyBorder="1" applyAlignment="1">
      <alignment horizontal="center"/>
    </xf>
    <xf numFmtId="0" fontId="2" fillId="5" borderId="48" xfId="0" applyFont="1" applyFill="1" applyBorder="1" applyAlignment="1">
      <alignment horizontal="center"/>
    </xf>
    <xf numFmtId="1" fontId="2" fillId="0" borderId="49" xfId="0" applyNumberFormat="1" applyFont="1" applyBorder="1" applyAlignment="1">
      <alignment horizontal="center" vertical="center"/>
    </xf>
    <xf numFmtId="0" fontId="9" fillId="2" borderId="49" xfId="0" applyFont="1" applyFill="1" applyBorder="1"/>
    <xf numFmtId="0" fontId="75" fillId="2" borderId="51" xfId="0" applyFont="1" applyFill="1" applyBorder="1" applyAlignment="1">
      <alignment horizontal="left" vertical="top"/>
    </xf>
    <xf numFmtId="0" fontId="75" fillId="0" borderId="51" xfId="0" applyFont="1" applyBorder="1" applyAlignment="1">
      <alignment horizontal="left" vertical="top"/>
    </xf>
    <xf numFmtId="0" fontId="75" fillId="2" borderId="51" xfId="0" applyFont="1" applyFill="1" applyBorder="1" applyAlignment="1">
      <alignment horizontal="left" vertical="top" wrapText="1"/>
    </xf>
    <xf numFmtId="0" fontId="0" fillId="2" borderId="51" xfId="0" applyFill="1" applyBorder="1"/>
    <xf numFmtId="0" fontId="76" fillId="2" borderId="51" xfId="0" applyFont="1" applyFill="1" applyBorder="1" applyAlignment="1">
      <alignment vertical="center"/>
    </xf>
    <xf numFmtId="14" fontId="0" fillId="0" borderId="51" xfId="0" applyNumberFormat="1" applyBorder="1" applyAlignment="1">
      <alignment horizontal="center"/>
    </xf>
    <xf numFmtId="0" fontId="0" fillId="0" borderId="51" xfId="0" applyFill="1" applyBorder="1"/>
    <xf numFmtId="0" fontId="62" fillId="7" borderId="2" xfId="0" applyFont="1" applyFill="1" applyBorder="1" applyAlignment="1">
      <alignment horizontal="center" vertical="center" wrapText="1"/>
    </xf>
    <xf numFmtId="0" fontId="62" fillId="7" borderId="2" xfId="0" applyFont="1" applyFill="1" applyBorder="1" applyAlignment="1">
      <alignment vertical="center"/>
    </xf>
    <xf numFmtId="0" fontId="0" fillId="0" borderId="11" xfId="0" applyFill="1" applyBorder="1" applyAlignment="1">
      <alignment horizontal="left"/>
    </xf>
    <xf numFmtId="0" fontId="0" fillId="0" borderId="47" xfId="0" applyBorder="1" applyAlignment="1">
      <alignment horizontal="left"/>
    </xf>
    <xf numFmtId="0" fontId="76" fillId="0" borderId="51" xfId="0" applyFont="1" applyBorder="1" applyAlignment="1">
      <alignment vertical="center"/>
    </xf>
    <xf numFmtId="0" fontId="76" fillId="0" borderId="51" xfId="0" applyFont="1" applyFill="1" applyBorder="1" applyAlignment="1">
      <alignment vertical="center"/>
    </xf>
    <xf numFmtId="0" fontId="78" fillId="0" borderId="51" xfId="0" applyFont="1" applyFill="1" applyBorder="1" applyAlignment="1">
      <alignment horizontal="left" vertical="top"/>
    </xf>
    <xf numFmtId="14" fontId="15" fillId="2" borderId="51" xfId="0" applyNumberFormat="1" applyFont="1" applyFill="1" applyBorder="1" applyAlignment="1">
      <alignment horizontal="center" vertical="center"/>
    </xf>
    <xf numFmtId="0" fontId="0" fillId="0" borderId="49" xfId="0" applyBorder="1" applyAlignment="1">
      <alignment horizontal="left" wrapText="1"/>
    </xf>
    <xf numFmtId="0" fontId="8" fillId="0" borderId="49" xfId="3" applyBorder="1" applyAlignment="1">
      <alignment horizontal="left" wrapText="1"/>
    </xf>
    <xf numFmtId="0" fontId="8" fillId="0" borderId="51" xfId="3" applyBorder="1" applyAlignment="1">
      <alignment horizontal="left" wrapText="1"/>
    </xf>
    <xf numFmtId="0" fontId="0" fillId="2" borderId="0" xfId="0" applyFill="1" applyAlignment="1">
      <alignment horizontal="left" wrapText="1"/>
    </xf>
    <xf numFmtId="0" fontId="0" fillId="2" borderId="49" xfId="0" applyFill="1" applyBorder="1" applyAlignment="1">
      <alignment horizontal="left" wrapText="1"/>
    </xf>
    <xf numFmtId="0" fontId="0" fillId="2" borderId="51" xfId="0" applyFill="1" applyBorder="1" applyAlignment="1">
      <alignment horizontal="left" wrapText="1"/>
    </xf>
    <xf numFmtId="17" fontId="0" fillId="0" borderId="49" xfId="0" applyNumberFormat="1" applyBorder="1" applyAlignment="1">
      <alignment horizontal="left" wrapText="1"/>
    </xf>
    <xf numFmtId="17" fontId="0" fillId="0" borderId="51" xfId="0" applyNumberFormat="1" applyBorder="1" applyAlignment="1">
      <alignment horizontal="left"/>
    </xf>
    <xf numFmtId="14" fontId="78" fillId="0" borderId="51" xfId="0" applyNumberFormat="1" applyFont="1" applyBorder="1" applyAlignment="1">
      <alignment horizontal="center" vertical="top"/>
    </xf>
    <xf numFmtId="14" fontId="0" fillId="2" borderId="51" xfId="0" applyNumberFormat="1" applyFill="1" applyBorder="1" applyAlignment="1">
      <alignment horizontal="center"/>
    </xf>
    <xf numFmtId="0" fontId="0" fillId="0" borderId="51" xfId="0" quotePrefix="1" applyBorder="1" applyAlignment="1">
      <alignment horizontal="center"/>
    </xf>
    <xf numFmtId="0" fontId="0" fillId="0" borderId="0" xfId="0" quotePrefix="1" applyAlignment="1">
      <alignment horizontal="center"/>
    </xf>
    <xf numFmtId="49" fontId="79" fillId="0" borderId="51" xfId="0" applyNumberFormat="1" applyFont="1" applyBorder="1" applyAlignment="1">
      <alignment horizontal="right" vertical="top"/>
    </xf>
    <xf numFmtId="0" fontId="0" fillId="0" borderId="48" xfId="0" quotePrefix="1" applyBorder="1" applyAlignment="1">
      <alignment horizontal="center"/>
    </xf>
    <xf numFmtId="3" fontId="80" fillId="2" borderId="51" xfId="0" applyNumberFormat="1" applyFont="1" applyFill="1" applyBorder="1" applyAlignment="1">
      <alignment horizontal="center" vertical="center"/>
    </xf>
    <xf numFmtId="49" fontId="80" fillId="2" borderId="51" xfId="0" applyNumberFormat="1" applyFont="1" applyFill="1" applyBorder="1" applyAlignment="1">
      <alignment horizontal="center" vertical="center"/>
    </xf>
    <xf numFmtId="0" fontId="5" fillId="0" borderId="51" xfId="0" applyFont="1" applyBorder="1" applyAlignment="1">
      <alignment horizontal="center"/>
    </xf>
    <xf numFmtId="0" fontId="81" fillId="0" borderId="51" xfId="3" applyFont="1" applyBorder="1" applyAlignment="1">
      <alignment horizontal="center" vertical="center"/>
    </xf>
    <xf numFmtId="1" fontId="56" fillId="2" borderId="48" xfId="0" applyNumberFormat="1" applyFont="1" applyFill="1" applyBorder="1" applyAlignment="1">
      <alignment horizontal="center" vertical="center"/>
    </xf>
    <xf numFmtId="1" fontId="13" fillId="2" borderId="48" xfId="0" applyNumberFormat="1" applyFont="1" applyFill="1" applyBorder="1" applyAlignment="1">
      <alignment horizontal="center" vertical="center"/>
    </xf>
    <xf numFmtId="168" fontId="49" fillId="0" borderId="51" xfId="7" applyNumberFormat="1" applyFont="1" applyBorder="1" applyAlignment="1">
      <alignment horizontal="center"/>
    </xf>
    <xf numFmtId="168" fontId="54" fillId="2" borderId="51" xfId="7" applyNumberFormat="1" applyFont="1" applyFill="1" applyBorder="1"/>
    <xf numFmtId="168" fontId="49" fillId="0" borderId="51" xfId="7" applyNumberFormat="1" applyFont="1" applyBorder="1"/>
    <xf numFmtId="1" fontId="56" fillId="2" borderId="51" xfId="0" applyNumberFormat="1" applyFont="1" applyFill="1" applyBorder="1" applyAlignment="1">
      <alignment vertical="center"/>
    </xf>
    <xf numFmtId="1" fontId="13" fillId="2" borderId="51" xfId="0" applyNumberFormat="1" applyFont="1" applyFill="1" applyBorder="1" applyAlignment="1">
      <alignment vertical="center"/>
    </xf>
    <xf numFmtId="1" fontId="10" fillId="2" borderId="51" xfId="0" applyNumberFormat="1" applyFont="1" applyFill="1" applyBorder="1" applyAlignment="1"/>
    <xf numFmtId="1" fontId="0" fillId="0" borderId="51" xfId="0" applyNumberFormat="1" applyBorder="1" applyAlignment="1"/>
    <xf numFmtId="1" fontId="15" fillId="2" borderId="51" xfId="1" applyNumberFormat="1" applyFont="1" applyFill="1" applyBorder="1"/>
    <xf numFmtId="1" fontId="54" fillId="2" borderId="48" xfId="1" applyNumberFormat="1" applyFont="1" applyFill="1" applyBorder="1"/>
    <xf numFmtId="168" fontId="15" fillId="2" borderId="51" xfId="1" applyNumberFormat="1" applyFont="1" applyFill="1" applyBorder="1" applyAlignment="1">
      <alignment horizontal="right"/>
    </xf>
    <xf numFmtId="1" fontId="13" fillId="2" borderId="51" xfId="1" applyNumberFormat="1" applyFont="1" applyFill="1" applyBorder="1" applyAlignment="1"/>
    <xf numFmtId="1" fontId="15" fillId="2" borderId="51" xfId="1" applyNumberFormat="1" applyFont="1" applyFill="1" applyBorder="1" applyAlignment="1">
      <alignment horizontal="right"/>
    </xf>
    <xf numFmtId="0" fontId="10" fillId="2" borderId="51" xfId="0" applyFont="1" applyFill="1" applyBorder="1" applyAlignment="1">
      <alignment horizontal="right"/>
    </xf>
    <xf numFmtId="1" fontId="54" fillId="2" borderId="51" xfId="1" applyNumberFormat="1" applyFont="1" applyFill="1" applyBorder="1" applyAlignment="1">
      <alignment horizontal="right"/>
    </xf>
    <xf numFmtId="0" fontId="83" fillId="0" borderId="24" xfId="0" applyFont="1" applyBorder="1"/>
    <xf numFmtId="0" fontId="83" fillId="0" borderId="19" xfId="0" applyFont="1" applyBorder="1"/>
    <xf numFmtId="1" fontId="2" fillId="0" borderId="50" xfId="0" applyNumberFormat="1" applyFont="1" applyBorder="1" applyAlignment="1">
      <alignment vertical="center"/>
    </xf>
    <xf numFmtId="1" fontId="2" fillId="0" borderId="50" xfId="0" applyNumberFormat="1" applyFont="1" applyBorder="1" applyAlignment="1">
      <alignment horizontal="right" vertical="center"/>
    </xf>
    <xf numFmtId="0" fontId="8" fillId="0" borderId="51" xfId="0" applyFont="1" applyFill="1" applyBorder="1" applyAlignment="1">
      <alignment horizontal="center" vertical="center"/>
    </xf>
    <xf numFmtId="0" fontId="0" fillId="0" borderId="51" xfId="0" applyFill="1" applyBorder="1" applyAlignment="1">
      <alignment horizontal="center" vertical="center"/>
    </xf>
    <xf numFmtId="1" fontId="5" fillId="0" borderId="51" xfId="0" applyNumberFormat="1" applyFont="1" applyBorder="1"/>
    <xf numFmtId="1" fontId="86" fillId="2" borderId="51" xfId="0" applyNumberFormat="1" applyFont="1" applyFill="1" applyBorder="1" applyAlignment="1">
      <alignment horizontal="center" vertical="center"/>
    </xf>
    <xf numFmtId="0" fontId="10" fillId="2" borderId="51" xfId="0" applyFont="1" applyFill="1" applyBorder="1" applyAlignment="1">
      <alignment vertical="center"/>
    </xf>
    <xf numFmtId="0" fontId="8" fillId="0" borderId="51" xfId="0" applyFont="1" applyBorder="1" applyAlignment="1">
      <alignment horizontal="center" vertical="center"/>
    </xf>
    <xf numFmtId="0" fontId="82" fillId="0" borderId="29" xfId="0" applyFont="1" applyBorder="1"/>
    <xf numFmtId="0" fontId="49" fillId="2" borderId="51" xfId="0" applyFont="1" applyFill="1" applyBorder="1" applyAlignment="1">
      <alignment horizontal="left"/>
    </xf>
    <xf numFmtId="0" fontId="84" fillId="2" borderId="49" xfId="8" applyFont="1" applyFill="1" applyBorder="1" applyAlignment="1"/>
    <xf numFmtId="0" fontId="85" fillId="2" borderId="50" xfId="8" applyFont="1" applyFill="1" applyBorder="1" applyAlignment="1"/>
    <xf numFmtId="0" fontId="85" fillId="2" borderId="48" xfId="8" applyFont="1" applyFill="1" applyBorder="1" applyAlignment="1"/>
    <xf numFmtId="1" fontId="13" fillId="2" borderId="51" xfId="0" applyNumberFormat="1" applyFont="1" applyFill="1" applyBorder="1" applyAlignment="1">
      <alignment horizontal="center" vertical="top"/>
    </xf>
    <xf numFmtId="14" fontId="88" fillId="0" borderId="51" xfId="0" applyNumberFormat="1" applyFont="1" applyBorder="1" applyAlignment="1">
      <alignment horizontal="center" vertical="center"/>
    </xf>
    <xf numFmtId="1" fontId="59" fillId="0" borderId="40" xfId="0" applyNumberFormat="1" applyFont="1" applyBorder="1" applyAlignment="1">
      <alignment horizontal="center" vertical="center"/>
    </xf>
    <xf numFmtId="1" fontId="59" fillId="0" borderId="40" xfId="0" applyNumberFormat="1" applyFont="1" applyBorder="1" applyAlignment="1">
      <alignment horizontal="center" vertical="top"/>
    </xf>
    <xf numFmtId="1" fontId="18" fillId="2" borderId="40" xfId="0" applyNumberFormat="1" applyFont="1" applyFill="1" applyBorder="1"/>
    <xf numFmtId="1" fontId="13" fillId="2" borderId="40" xfId="0" applyNumberFormat="1" applyFont="1" applyFill="1" applyBorder="1"/>
    <xf numFmtId="1" fontId="88" fillId="0" borderId="51" xfId="0" applyNumberFormat="1" applyFont="1" applyBorder="1" applyAlignment="1">
      <alignment horizontal="center" vertical="center"/>
    </xf>
    <xf numFmtId="1" fontId="82" fillId="2" borderId="0" xfId="1" applyNumberFormat="1" applyFont="1" applyFill="1" applyBorder="1" applyAlignment="1">
      <alignment horizontal="center"/>
    </xf>
    <xf numFmtId="0" fontId="77" fillId="2" borderId="51" xfId="0" applyFont="1" applyFill="1" applyBorder="1" applyAlignment="1">
      <alignment vertical="top" wrapText="1"/>
    </xf>
    <xf numFmtId="0" fontId="18" fillId="2" borderId="51" xfId="0" applyFont="1" applyFill="1" applyBorder="1" applyAlignment="1">
      <alignment horizontal="left" vertical="top" wrapText="1"/>
    </xf>
    <xf numFmtId="1" fontId="8" fillId="0" borderId="51" xfId="3" applyNumberFormat="1" applyFont="1" applyBorder="1" applyAlignment="1">
      <alignment vertical="center"/>
    </xf>
    <xf numFmtId="168" fontId="54" fillId="0" borderId="51" xfId="7" applyNumberFormat="1" applyFont="1" applyBorder="1" applyAlignment="1">
      <alignment vertical="center"/>
    </xf>
    <xf numFmtId="0" fontId="9" fillId="0" borderId="51" xfId="3" applyFont="1" applyBorder="1" applyAlignment="1">
      <alignment horizontal="center" vertical="center"/>
    </xf>
    <xf numFmtId="0" fontId="62" fillId="7" borderId="1" xfId="0" applyFont="1" applyFill="1" applyBorder="1" applyAlignment="1">
      <alignment horizontal="center" vertical="center" wrapText="1"/>
    </xf>
    <xf numFmtId="2" fontId="10" fillId="2" borderId="51" xfId="0" applyNumberFormat="1" applyFont="1" applyFill="1" applyBorder="1" applyAlignment="1">
      <alignment vertical="top"/>
    </xf>
    <xf numFmtId="2" fontId="10" fillId="2" borderId="51" xfId="7" applyNumberFormat="1" applyFont="1" applyFill="1" applyBorder="1"/>
    <xf numFmtId="2" fontId="10" fillId="2" borderId="51" xfId="0" applyNumberFormat="1" applyFont="1" applyFill="1" applyBorder="1" applyAlignment="1">
      <alignment horizontal="left" vertical="top" wrapText="1"/>
    </xf>
    <xf numFmtId="2" fontId="10" fillId="2" borderId="51" xfId="0" applyNumberFormat="1" applyFont="1" applyFill="1" applyBorder="1"/>
    <xf numFmtId="2" fontId="10" fillId="2" borderId="51" xfId="0" applyNumberFormat="1" applyFont="1" applyFill="1" applyBorder="1" applyAlignment="1">
      <alignment horizontal="left" vertical="top"/>
    </xf>
    <xf numFmtId="2" fontId="10" fillId="2" borderId="51" xfId="0" applyNumberFormat="1" applyFont="1" applyFill="1" applyBorder="1" applyAlignment="1">
      <alignment horizontal="left"/>
    </xf>
    <xf numFmtId="1" fontId="10" fillId="2" borderId="51" xfId="0" applyNumberFormat="1" applyFont="1" applyFill="1" applyBorder="1" applyAlignment="1">
      <alignment horizontal="center" vertical="top"/>
    </xf>
    <xf numFmtId="1" fontId="10" fillId="2" borderId="51" xfId="0" applyNumberFormat="1" applyFont="1" applyFill="1" applyBorder="1" applyAlignment="1">
      <alignment horizontal="center"/>
    </xf>
    <xf numFmtId="0" fontId="89" fillId="0" borderId="51" xfId="0" applyFont="1" applyBorder="1" applyAlignment="1">
      <alignment horizontal="left" vertical="top" wrapText="1"/>
    </xf>
    <xf numFmtId="14" fontId="0" fillId="0" borderId="51" xfId="0" applyNumberFormat="1" applyBorder="1" applyAlignment="1">
      <alignment horizontal="left" vertical="top"/>
    </xf>
    <xf numFmtId="49" fontId="79" fillId="0" borderId="48" xfId="0" applyNumberFormat="1" applyFont="1" applyBorder="1" applyAlignment="1">
      <alignment horizontal="center" vertical="top"/>
    </xf>
    <xf numFmtId="1" fontId="79" fillId="0" borderId="48" xfId="0" applyNumberFormat="1" applyFont="1" applyBorder="1" applyAlignment="1">
      <alignment horizontal="center" vertical="top"/>
    </xf>
    <xf numFmtId="1" fontId="0" fillId="0" borderId="48" xfId="0" applyNumberFormat="1" applyBorder="1" applyAlignment="1">
      <alignment horizontal="center"/>
    </xf>
    <xf numFmtId="0" fontId="8" fillId="0" borderId="51" xfId="3" applyBorder="1" applyAlignment="1">
      <alignment horizontal="center"/>
    </xf>
    <xf numFmtId="0" fontId="2" fillId="0" borderId="37" xfId="0" applyFont="1" applyBorder="1" applyAlignment="1">
      <alignment horizontal="center" vertical="center"/>
    </xf>
    <xf numFmtId="0" fontId="90" fillId="2" borderId="29" xfId="0" applyFont="1" applyFill="1" applyBorder="1"/>
    <xf numFmtId="0" fontId="0" fillId="0" borderId="50" xfId="0" applyBorder="1" applyAlignment="1">
      <alignment horizontal="center"/>
    </xf>
    <xf numFmtId="0" fontId="0" fillId="0" borderId="50" xfId="0" applyBorder="1" applyAlignment="1">
      <alignment horizontal="left"/>
    </xf>
    <xf numFmtId="0" fontId="0" fillId="0" borderId="48" xfId="0" applyBorder="1" applyAlignment="1">
      <alignment horizontal="left"/>
    </xf>
    <xf numFmtId="0" fontId="0" fillId="0" borderId="0" xfId="0" applyBorder="1" applyAlignment="1">
      <alignment horizontal="left"/>
    </xf>
    <xf numFmtId="0" fontId="2" fillId="0" borderId="50" xfId="0" applyFont="1" applyBorder="1" applyAlignment="1">
      <alignment horizontal="right" vertical="center"/>
    </xf>
    <xf numFmtId="0" fontId="0" fillId="0" borderId="50" xfId="0" applyBorder="1" applyAlignment="1">
      <alignment horizontal="center"/>
    </xf>
    <xf numFmtId="0" fontId="0" fillId="0" borderId="26" xfId="0" applyBorder="1" applyAlignment="1">
      <alignment horizontal="center"/>
    </xf>
    <xf numFmtId="1" fontId="13" fillId="2" borderId="44" xfId="0" applyNumberFormat="1" applyFont="1" applyFill="1" applyBorder="1" applyAlignment="1">
      <alignment horizontal="center"/>
    </xf>
    <xf numFmtId="1" fontId="16" fillId="2" borderId="37" xfId="0" applyNumberFormat="1" applyFont="1" applyFill="1" applyBorder="1"/>
    <xf numFmtId="1" fontId="17" fillId="2" borderId="37" xfId="0" applyNumberFormat="1" applyFont="1" applyFill="1" applyBorder="1"/>
    <xf numFmtId="1" fontId="16" fillId="2" borderId="37" xfId="2" quotePrefix="1" applyNumberFormat="1" applyFont="1" applyFill="1" applyBorder="1" applyAlignment="1">
      <alignment wrapText="1"/>
    </xf>
    <xf numFmtId="1" fontId="18" fillId="2" borderId="37" xfId="2" quotePrefix="1" applyNumberFormat="1" applyFont="1" applyFill="1" applyBorder="1"/>
    <xf numFmtId="1" fontId="10" fillId="2" borderId="37" xfId="0" applyNumberFormat="1" applyFont="1" applyFill="1" applyBorder="1"/>
    <xf numFmtId="0" fontId="23" fillId="0" borderId="49" xfId="0" applyFont="1" applyBorder="1"/>
    <xf numFmtId="0" fontId="91" fillId="0" borderId="29" xfId="0" applyFont="1" applyBorder="1"/>
    <xf numFmtId="0" fontId="62" fillId="0" borderId="49" xfId="0" applyFont="1" applyBorder="1" applyAlignment="1">
      <alignment vertical="center"/>
    </xf>
    <xf numFmtId="0" fontId="2" fillId="0" borderId="29" xfId="0" applyFont="1" applyBorder="1" applyAlignment="1"/>
    <xf numFmtId="0" fontId="2" fillId="0" borderId="31" xfId="0" applyFont="1" applyBorder="1" applyAlignment="1"/>
    <xf numFmtId="0" fontId="2" fillId="0" borderId="13" xfId="0" applyFont="1" applyBorder="1" applyAlignment="1"/>
    <xf numFmtId="0" fontId="2" fillId="0" borderId="21" xfId="0" applyFont="1" applyBorder="1" applyAlignment="1"/>
    <xf numFmtId="0" fontId="2" fillId="0" borderId="17" xfId="0" applyFont="1" applyBorder="1" applyAlignment="1"/>
    <xf numFmtId="0" fontId="83" fillId="0" borderId="30" xfId="0" applyFont="1" applyBorder="1" applyAlignment="1">
      <alignment horizontal="right"/>
    </xf>
    <xf numFmtId="0" fontId="83" fillId="0" borderId="0" xfId="0" applyFont="1" applyBorder="1" applyAlignment="1">
      <alignment horizontal="right"/>
    </xf>
    <xf numFmtId="0" fontId="67" fillId="7" borderId="28" xfId="0" applyFont="1" applyFill="1" applyBorder="1" applyAlignment="1">
      <alignment horizontal="center"/>
    </xf>
    <xf numFmtId="0" fontId="67" fillId="7" borderId="26" xfId="0" applyFont="1" applyFill="1" applyBorder="1" applyAlignment="1">
      <alignment horizontal="center"/>
    </xf>
    <xf numFmtId="0" fontId="67" fillId="7" borderId="27" xfId="0" applyFont="1" applyFill="1" applyBorder="1" applyAlignment="1">
      <alignment horizontal="center"/>
    </xf>
    <xf numFmtId="0" fontId="76" fillId="2" borderId="51" xfId="0" applyFont="1" applyFill="1" applyBorder="1" applyAlignment="1"/>
    <xf numFmtId="0" fontId="24" fillId="0" borderId="51" xfId="0" applyFont="1" applyBorder="1" applyAlignment="1">
      <alignment vertical="top"/>
    </xf>
    <xf numFmtId="0" fontId="0" fillId="0" borderId="50" xfId="0" applyBorder="1" applyAlignment="1">
      <alignment wrapText="1"/>
    </xf>
    <xf numFmtId="0" fontId="34" fillId="0" borderId="48" xfId="0" applyFont="1" applyBorder="1" applyAlignment="1">
      <alignment wrapText="1"/>
    </xf>
    <xf numFmtId="0" fontId="34" fillId="0" borderId="49" xfId="0" applyFont="1" applyBorder="1"/>
    <xf numFmtId="0" fontId="34" fillId="0" borderId="50" xfId="0" applyFont="1" applyBorder="1"/>
    <xf numFmtId="0" fontId="34" fillId="0" borderId="50" xfId="0" applyFont="1" applyBorder="1" applyAlignment="1">
      <alignment horizontal="center"/>
    </xf>
    <xf numFmtId="0" fontId="34" fillId="0" borderId="48" xfId="0" applyFont="1" applyBorder="1" applyAlignment="1">
      <alignment horizontal="center"/>
    </xf>
    <xf numFmtId="0" fontId="34" fillId="0" borderId="48" xfId="0" applyFont="1" applyBorder="1"/>
    <xf numFmtId="0" fontId="34" fillId="0" borderId="51" xfId="0" applyFont="1" applyBorder="1"/>
    <xf numFmtId="0" fontId="31" fillId="5" borderId="40" xfId="0" applyFont="1" applyFill="1" applyBorder="1" applyAlignment="1">
      <alignment horizontal="center"/>
    </xf>
    <xf numFmtId="0" fontId="0" fillId="0" borderId="52" xfId="0" applyBorder="1" applyAlignment="1">
      <alignment horizontal="center"/>
    </xf>
    <xf numFmtId="0" fontId="0" fillId="0" borderId="40" xfId="0" applyBorder="1"/>
    <xf numFmtId="0" fontId="33" fillId="0" borderId="40" xfId="0" applyFont="1" applyBorder="1"/>
    <xf numFmtId="0" fontId="34" fillId="0" borderId="52" xfId="0" applyFont="1" applyBorder="1" applyAlignment="1">
      <alignment horizontal="center"/>
    </xf>
    <xf numFmtId="0" fontId="34" fillId="0" borderId="40" xfId="0" applyFont="1" applyBorder="1"/>
    <xf numFmtId="0" fontId="35" fillId="0" borderId="38" xfId="0" applyFont="1" applyBorder="1" applyAlignment="1">
      <alignment horizontal="center" wrapText="1"/>
    </xf>
    <xf numFmtId="0" fontId="35" fillId="0" borderId="10" xfId="0" applyFont="1" applyBorder="1" applyAlignment="1">
      <alignment horizontal="center" vertical="center" wrapText="1"/>
    </xf>
    <xf numFmtId="1" fontId="5" fillId="2" borderId="37" xfId="0" quotePrefix="1" applyNumberFormat="1" applyFont="1" applyFill="1" applyBorder="1" applyAlignment="1">
      <alignment horizontal="left"/>
    </xf>
    <xf numFmtId="1" fontId="23" fillId="2" borderId="21" xfId="0" applyNumberFormat="1" applyFont="1" applyFill="1" applyBorder="1"/>
    <xf numFmtId="0" fontId="49" fillId="0" borderId="21" xfId="0" applyFont="1" applyBorder="1"/>
    <xf numFmtId="0" fontId="23" fillId="0" borderId="21" xfId="0" applyFont="1" applyBorder="1"/>
    <xf numFmtId="0" fontId="0" fillId="0" borderId="51" xfId="0" applyBorder="1" applyAlignment="1">
      <alignment horizontal="center"/>
    </xf>
    <xf numFmtId="0" fontId="49" fillId="0" borderId="19" xfId="0" applyFont="1" applyBorder="1"/>
    <xf numFmtId="0" fontId="0" fillId="0" borderId="51" xfId="0" applyBorder="1" applyAlignment="1">
      <alignment horizontal="center"/>
    </xf>
    <xf numFmtId="1" fontId="5" fillId="0" borderId="51" xfId="0" applyNumberFormat="1" applyFont="1" applyBorder="1" applyAlignment="1">
      <alignment horizontal="right"/>
    </xf>
    <xf numFmtId="0" fontId="8" fillId="0" borderId="51" xfId="0" applyFont="1" applyFill="1" applyBorder="1" applyAlignment="1">
      <alignment horizontal="center"/>
    </xf>
    <xf numFmtId="0" fontId="0" fillId="0" borderId="51" xfId="0" applyFill="1" applyBorder="1" applyAlignment="1">
      <alignment horizontal="center"/>
    </xf>
    <xf numFmtId="0" fontId="8" fillId="0" borderId="51" xfId="0" applyFont="1" applyFill="1" applyBorder="1" applyAlignment="1">
      <alignment horizontal="center" vertical="top"/>
    </xf>
    <xf numFmtId="0" fontId="8" fillId="0" borderId="48" xfId="0" applyFont="1" applyFill="1" applyBorder="1" applyAlignment="1">
      <alignment horizontal="center" vertical="top"/>
    </xf>
    <xf numFmtId="0" fontId="0" fillId="0" borderId="48" xfId="0" applyFill="1" applyBorder="1" applyAlignment="1">
      <alignment horizontal="center" vertical="center"/>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2" fillId="0" borderId="40" xfId="0" applyFont="1" applyBorder="1" applyAlignment="1">
      <alignment horizontal="center" vertical="center"/>
    </xf>
    <xf numFmtId="1" fontId="2" fillId="0" borderId="50" xfId="0" applyNumberFormat="1" applyFont="1" applyBorder="1" applyAlignment="1">
      <alignment horizontal="center" vertical="center"/>
    </xf>
    <xf numFmtId="0" fontId="2" fillId="0" borderId="51" xfId="0" applyFont="1" applyBorder="1" applyAlignment="1">
      <alignment horizontal="center" vertical="center"/>
    </xf>
    <xf numFmtId="0" fontId="2" fillId="0" borderId="37" xfId="0" applyFont="1" applyBorder="1" applyAlignment="1">
      <alignment horizontal="center" vertical="center"/>
    </xf>
    <xf numFmtId="1" fontId="2" fillId="0" borderId="51" xfId="0" applyNumberFormat="1" applyFont="1" applyBorder="1" applyAlignment="1">
      <alignment horizontal="center" vertical="center"/>
    </xf>
    <xf numFmtId="1" fontId="10" fillId="2" borderId="51" xfId="0" quotePrefix="1" applyNumberFormat="1" applyFont="1" applyFill="1" applyBorder="1" applyAlignment="1">
      <alignment horizontal="center"/>
    </xf>
    <xf numFmtId="1" fontId="10" fillId="2" borderId="51" xfId="0" applyNumberFormat="1" applyFont="1" applyFill="1" applyBorder="1"/>
    <xf numFmtId="1" fontId="10" fillId="2" borderId="51" xfId="0" applyNumberFormat="1" applyFont="1" applyFill="1" applyBorder="1" applyAlignment="1">
      <alignment horizontal="right"/>
    </xf>
    <xf numFmtId="0" fontId="10" fillId="2" borderId="48" xfId="0" applyFont="1" applyFill="1" applyBorder="1" applyAlignment="1">
      <alignment horizontal="center"/>
    </xf>
    <xf numFmtId="0" fontId="10" fillId="2" borderId="51" xfId="0" applyFont="1" applyFill="1" applyBorder="1" applyAlignment="1">
      <alignment horizontal="center"/>
    </xf>
    <xf numFmtId="0" fontId="10" fillId="2" borderId="51" xfId="0" quotePrefix="1" applyNumberFormat="1" applyFont="1" applyFill="1" applyBorder="1" applyAlignment="1">
      <alignment horizontal="center" vertical="top"/>
    </xf>
    <xf numFmtId="1" fontId="10" fillId="2" borderId="51" xfId="0" applyNumberFormat="1" applyFont="1" applyFill="1" applyBorder="1" applyAlignment="1">
      <alignment horizontal="center" vertical="top" wrapText="1"/>
    </xf>
    <xf numFmtId="0" fontId="10" fillId="2" borderId="51" xfId="0" applyNumberFormat="1" applyFont="1" applyFill="1" applyBorder="1" applyAlignment="1">
      <alignment horizontal="center" vertical="top" wrapText="1"/>
    </xf>
    <xf numFmtId="0" fontId="2" fillId="3" borderId="9" xfId="0" applyFont="1" applyFill="1" applyBorder="1" applyAlignment="1">
      <alignment horizontal="center" vertical="center"/>
    </xf>
    <xf numFmtId="0" fontId="2" fillId="3" borderId="9" xfId="0" applyFont="1" applyFill="1" applyBorder="1" applyAlignment="1">
      <alignment horizontal="center" vertical="center" wrapText="1"/>
    </xf>
    <xf numFmtId="49" fontId="93" fillId="18" borderId="51" xfId="0" applyNumberFormat="1" applyFont="1" applyFill="1" applyBorder="1" applyAlignment="1">
      <alignment wrapText="1"/>
    </xf>
    <xf numFmtId="0" fontId="98" fillId="19" borderId="0" xfId="0" applyFont="1" applyFill="1"/>
    <xf numFmtId="49" fontId="0" fillId="0" borderId="51" xfId="0" applyNumberFormat="1" applyBorder="1"/>
    <xf numFmtId="49" fontId="0" fillId="0" borderId="51" xfId="0" applyNumberFormat="1" applyBorder="1" applyAlignment="1">
      <alignment horizontal="center"/>
    </xf>
    <xf numFmtId="0" fontId="0" fillId="0" borderId="51" xfId="0" applyFont="1" applyBorder="1"/>
    <xf numFmtId="1" fontId="0" fillId="0" borderId="51" xfId="0" applyNumberFormat="1" applyBorder="1" applyAlignment="1">
      <alignment horizontal="left"/>
    </xf>
    <xf numFmtId="0" fontId="87" fillId="0" borderId="51" xfId="0" applyFont="1" applyBorder="1"/>
    <xf numFmtId="0" fontId="0" fillId="0" borderId="24" xfId="9" applyFont="1" applyBorder="1"/>
    <xf numFmtId="0" fontId="0" fillId="0" borderId="0" xfId="9" applyFont="1" applyBorder="1"/>
    <xf numFmtId="0" fontId="0" fillId="0" borderId="25" xfId="9" applyFont="1" applyBorder="1"/>
    <xf numFmtId="0" fontId="9" fillId="0" borderId="0" xfId="9" applyFont="1" applyBorder="1"/>
    <xf numFmtId="0" fontId="9" fillId="21" borderId="34" xfId="9" applyFont="1" applyFill="1" applyBorder="1" applyAlignment="1">
      <alignment horizontal="left" vertical="center" wrapText="1"/>
    </xf>
    <xf numFmtId="0" fontId="9" fillId="21" borderId="35" xfId="9" applyFont="1" applyFill="1" applyBorder="1" applyAlignment="1">
      <alignment horizontal="left" vertical="center" wrapText="1"/>
    </xf>
    <xf numFmtId="0" fontId="9" fillId="21" borderId="36" xfId="9" applyFont="1" applyFill="1" applyBorder="1" applyAlignment="1">
      <alignment horizontal="left" vertical="center" wrapText="1"/>
    </xf>
    <xf numFmtId="0" fontId="0" fillId="0" borderId="7" xfId="9" applyFont="1" applyBorder="1"/>
    <xf numFmtId="0" fontId="0" fillId="0" borderId="8" xfId="9" applyFont="1" applyBorder="1"/>
    <xf numFmtId="0" fontId="0" fillId="0" borderId="10" xfId="9" applyFont="1" applyBorder="1"/>
    <xf numFmtId="0" fontId="101" fillId="0" borderId="51" xfId="9" applyNumberFormat="1" applyFont="1" applyFill="1" applyBorder="1" applyAlignment="1" applyProtection="1"/>
    <xf numFmtId="0" fontId="0" fillId="0" borderId="51" xfId="9" applyFont="1" applyBorder="1"/>
    <xf numFmtId="0" fontId="102" fillId="0" borderId="51" xfId="9" applyFont="1" applyFill="1" applyBorder="1"/>
    <xf numFmtId="0" fontId="9" fillId="0" borderId="44" xfId="9" applyFont="1" applyBorder="1"/>
    <xf numFmtId="0" fontId="9" fillId="0" borderId="51" xfId="9" applyFont="1" applyFill="1" applyBorder="1"/>
    <xf numFmtId="0" fontId="9" fillId="0" borderId="51" xfId="9" applyFont="1" applyBorder="1"/>
    <xf numFmtId="0" fontId="0" fillId="0" borderId="44" xfId="9" applyFont="1" applyBorder="1" applyAlignment="1">
      <alignment horizontal="left" vertical="center" wrapText="1"/>
    </xf>
    <xf numFmtId="0" fontId="0" fillId="0" borderId="51" xfId="9" applyFont="1" applyBorder="1" applyAlignment="1">
      <alignment horizontal="left" vertical="center"/>
    </xf>
    <xf numFmtId="1" fontId="0" fillId="0" borderId="37" xfId="9" applyNumberFormat="1" applyFont="1" applyBorder="1" applyAlignment="1">
      <alignment horizontal="left" vertical="center"/>
    </xf>
    <xf numFmtId="0" fontId="0" fillId="0" borderId="43" xfId="9" applyFont="1" applyBorder="1"/>
    <xf numFmtId="0" fontId="0" fillId="0" borderId="47" xfId="9" applyFont="1" applyBorder="1"/>
    <xf numFmtId="1" fontId="0" fillId="0" borderId="38" xfId="9" applyNumberFormat="1" applyFont="1" applyBorder="1"/>
    <xf numFmtId="0" fontId="9" fillId="21" borderId="34" xfId="9" applyFont="1" applyFill="1" applyBorder="1"/>
    <xf numFmtId="0" fontId="9" fillId="21" borderId="35" xfId="9" applyFont="1" applyFill="1" applyBorder="1"/>
    <xf numFmtId="0" fontId="0" fillId="0" borderId="0" xfId="9" quotePrefix="1" applyFont="1" applyBorder="1"/>
    <xf numFmtId="14" fontId="0" fillId="0" borderId="25" xfId="9" applyNumberFormat="1" applyFont="1" applyBorder="1"/>
    <xf numFmtId="14" fontId="0" fillId="0" borderId="24" xfId="9" applyNumberFormat="1" applyFont="1" applyBorder="1" applyAlignment="1">
      <alignment horizontal="left"/>
    </xf>
    <xf numFmtId="0" fontId="9" fillId="0" borderId="24" xfId="9" applyFont="1" applyBorder="1" applyAlignment="1">
      <alignment horizontal="center"/>
    </xf>
    <xf numFmtId="0" fontId="9" fillId="0" borderId="0" xfId="9" applyFont="1" applyBorder="1" applyAlignment="1">
      <alignment horizontal="center"/>
    </xf>
    <xf numFmtId="0" fontId="9" fillId="0" borderId="25" xfId="9" applyFont="1" applyBorder="1" applyAlignment="1">
      <alignment horizontal="center"/>
    </xf>
    <xf numFmtId="0" fontId="0" fillId="0" borderId="28" xfId="9" applyFont="1" applyBorder="1"/>
    <xf numFmtId="0" fontId="0" fillId="0" borderId="26" xfId="9" applyFont="1" applyBorder="1"/>
    <xf numFmtId="0" fontId="0" fillId="0" borderId="27" xfId="9" applyFont="1" applyBorder="1"/>
    <xf numFmtId="0" fontId="0" fillId="0" borderId="51" xfId="9" applyFont="1" applyBorder="1" applyAlignment="1">
      <alignment horizontal="right"/>
    </xf>
    <xf numFmtId="0" fontId="0" fillId="0" borderId="37" xfId="9" applyFont="1" applyBorder="1" applyAlignment="1">
      <alignment horizontal="center"/>
    </xf>
    <xf numFmtId="1" fontId="9" fillId="0" borderId="37" xfId="9" applyNumberFormat="1" applyFont="1" applyBorder="1" applyAlignment="1">
      <alignment horizontal="center"/>
    </xf>
    <xf numFmtId="1" fontId="9" fillId="21" borderId="36" xfId="9" applyNumberFormat="1" applyFont="1" applyFill="1" applyBorder="1" applyAlignment="1">
      <alignment horizontal="center"/>
    </xf>
    <xf numFmtId="17" fontId="2" fillId="0" borderId="0" xfId="9" applyNumberFormat="1" applyFont="1" applyBorder="1"/>
    <xf numFmtId="0" fontId="100" fillId="0" borderId="0" xfId="9" applyFont="1" applyBorder="1"/>
    <xf numFmtId="0" fontId="9" fillId="0" borderId="24" xfId="9" applyFont="1" applyBorder="1"/>
    <xf numFmtId="0" fontId="33" fillId="0" borderId="44" xfId="0" applyFont="1" applyBorder="1" applyAlignment="1">
      <alignment horizontal="justify" vertical="center" wrapText="1"/>
    </xf>
    <xf numFmtId="0" fontId="0" fillId="0" borderId="0" xfId="0" applyFill="1" applyBorder="1" applyAlignment="1">
      <alignment horizontal="left" vertical="top"/>
    </xf>
    <xf numFmtId="0" fontId="33" fillId="0" borderId="17" xfId="0" applyFont="1" applyFill="1" applyBorder="1" applyAlignment="1">
      <alignment vertical="top"/>
    </xf>
    <xf numFmtId="0" fontId="0" fillId="0" borderId="48" xfId="0" applyFill="1" applyBorder="1" applyAlignment="1">
      <alignment horizontal="left" vertical="top"/>
    </xf>
    <xf numFmtId="0" fontId="105" fillId="0" borderId="0" xfId="0" applyFont="1" applyBorder="1"/>
    <xf numFmtId="0" fontId="0" fillId="0" borderId="81" xfId="0" applyFill="1" applyBorder="1" applyAlignment="1">
      <alignment vertical="top" wrapText="1"/>
    </xf>
    <xf numFmtId="0" fontId="0" fillId="0" borderId="82" xfId="0" applyFill="1" applyBorder="1" applyAlignment="1">
      <alignment vertical="top" wrapText="1"/>
    </xf>
    <xf numFmtId="0" fontId="0" fillId="0" borderId="83" xfId="0" applyFill="1" applyBorder="1" applyAlignment="1">
      <alignment horizontal="left" vertical="top"/>
    </xf>
    <xf numFmtId="0" fontId="0" fillId="0" borderId="14" xfId="0" applyBorder="1"/>
    <xf numFmtId="0" fontId="11" fillId="0" borderId="0" xfId="0" applyFont="1" applyBorder="1"/>
    <xf numFmtId="0" fontId="0" fillId="4" borderId="51" xfId="9" applyFont="1" applyFill="1" applyBorder="1" applyAlignment="1">
      <alignment horizontal="center"/>
    </xf>
    <xf numFmtId="0" fontId="0" fillId="7" borderId="19" xfId="0" applyFill="1" applyBorder="1" applyAlignment="1"/>
    <xf numFmtId="0" fontId="0" fillId="7" borderId="0" xfId="0" applyFill="1" applyBorder="1" applyAlignment="1"/>
    <xf numFmtId="0" fontId="0" fillId="7" borderId="32" xfId="0" applyFill="1" applyBorder="1" applyAlignment="1"/>
    <xf numFmtId="0" fontId="65" fillId="0" borderId="26" xfId="0" applyFont="1" applyBorder="1"/>
    <xf numFmtId="0" fontId="0" fillId="7" borderId="24" xfId="0" applyFill="1" applyBorder="1" applyAlignment="1"/>
    <xf numFmtId="0" fontId="0" fillId="7" borderId="25" xfId="0" applyFill="1" applyBorder="1" applyAlignment="1"/>
    <xf numFmtId="1" fontId="50" fillId="0" borderId="37" xfId="0" applyNumberFormat="1" applyFont="1" applyBorder="1" applyAlignment="1">
      <alignment horizontal="center"/>
    </xf>
    <xf numFmtId="0" fontId="0" fillId="0" borderId="60" xfId="0" applyBorder="1"/>
    <xf numFmtId="0" fontId="107" fillId="0" borderId="0" xfId="0" applyFont="1"/>
    <xf numFmtId="0" fontId="53" fillId="0" borderId="22" xfId="0" applyFont="1" applyBorder="1" applyAlignment="1"/>
    <xf numFmtId="0" fontId="83" fillId="0" borderId="14" xfId="0" applyFont="1" applyBorder="1" applyAlignment="1">
      <alignment horizontal="right"/>
    </xf>
    <xf numFmtId="0" fontId="0" fillId="0" borderId="14" xfId="0" applyBorder="1" applyAlignment="1"/>
    <xf numFmtId="0" fontId="18" fillId="0" borderId="51" xfId="0" applyFont="1" applyBorder="1" applyAlignment="1">
      <alignment horizontal="center" vertical="center" wrapText="1"/>
    </xf>
    <xf numFmtId="0" fontId="5" fillId="0" borderId="51" xfId="0" applyFont="1" applyBorder="1"/>
    <xf numFmtId="0" fontId="5" fillId="0" borderId="22" xfId="0" applyFont="1" applyBorder="1"/>
    <xf numFmtId="0" fontId="5" fillId="0" borderId="14" xfId="0" applyFont="1" applyBorder="1"/>
    <xf numFmtId="0" fontId="5" fillId="0" borderId="23" xfId="0" applyFont="1" applyBorder="1"/>
    <xf numFmtId="0" fontId="5" fillId="0" borderId="24" xfId="0" applyFont="1" applyBorder="1" applyAlignment="1">
      <alignment vertical="top"/>
    </xf>
    <xf numFmtId="0" fontId="5" fillId="0" borderId="24" xfId="0" applyFont="1" applyBorder="1"/>
    <xf numFmtId="0" fontId="5" fillId="0" borderId="28" xfId="0" applyFont="1" applyBorder="1"/>
    <xf numFmtId="0" fontId="5" fillId="0" borderId="26" xfId="0" applyFont="1" applyBorder="1"/>
    <xf numFmtId="0" fontId="5" fillId="0" borderId="27" xfId="0" applyFont="1" applyBorder="1"/>
    <xf numFmtId="0" fontId="11" fillId="0" borderId="53" xfId="0" applyFont="1" applyBorder="1" applyAlignment="1">
      <alignment vertical="center"/>
    </xf>
    <xf numFmtId="0" fontId="11" fillId="0" borderId="30" xfId="0" applyFont="1" applyBorder="1" applyAlignment="1">
      <alignment vertical="center"/>
    </xf>
    <xf numFmtId="0" fontId="11" fillId="0" borderId="41" xfId="0" applyFont="1" applyBorder="1" applyAlignment="1">
      <alignment vertical="center"/>
    </xf>
    <xf numFmtId="0" fontId="11" fillId="4" borderId="51" xfId="0" applyFont="1" applyFill="1" applyBorder="1" applyAlignment="1">
      <alignment vertical="center"/>
    </xf>
    <xf numFmtId="0" fontId="5" fillId="0" borderId="74" xfId="0" applyFont="1" applyBorder="1" applyAlignment="1">
      <alignment horizontal="center" vertical="center"/>
    </xf>
    <xf numFmtId="0" fontId="5" fillId="0" borderId="74" xfId="0" applyFont="1" applyBorder="1"/>
    <xf numFmtId="0" fontId="5" fillId="0" borderId="75" xfId="0" applyFont="1" applyBorder="1" applyAlignment="1"/>
    <xf numFmtId="0" fontId="5" fillId="0" borderId="88" xfId="0" applyFont="1" applyBorder="1" applyAlignment="1"/>
    <xf numFmtId="0" fontId="5" fillId="0" borderId="76" xfId="0" applyFont="1" applyBorder="1" applyAlignment="1"/>
    <xf numFmtId="0" fontId="5" fillId="0" borderId="74" xfId="0" applyFont="1" applyBorder="1" applyAlignment="1"/>
    <xf numFmtId="0" fontId="5" fillId="0" borderId="51" xfId="0" applyFont="1" applyBorder="1" applyAlignment="1">
      <alignment horizontal="center" vertical="center"/>
    </xf>
    <xf numFmtId="0" fontId="5" fillId="0" borderId="74" xfId="0" applyFont="1" applyBorder="1" applyAlignment="1">
      <alignment horizontal="center" wrapText="1"/>
    </xf>
    <xf numFmtId="0" fontId="5" fillId="0" borderId="74" xfId="0" applyFont="1" applyBorder="1" applyAlignment="1">
      <alignment horizontal="center" vertical="center" wrapText="1"/>
    </xf>
    <xf numFmtId="0" fontId="5" fillId="0" borderId="74" xfId="0" applyFont="1" applyBorder="1" applyAlignment="1">
      <alignment wrapText="1"/>
    </xf>
    <xf numFmtId="0" fontId="5" fillId="0" borderId="74" xfId="0" applyFont="1" applyBorder="1" applyAlignment="1">
      <alignment vertical="center"/>
    </xf>
    <xf numFmtId="0" fontId="5" fillId="0" borderId="47" xfId="0" applyFont="1" applyBorder="1"/>
    <xf numFmtId="0" fontId="5" fillId="0" borderId="91" xfId="0" applyFont="1" applyBorder="1" applyAlignment="1">
      <alignment horizontal="left" vertical="center"/>
    </xf>
    <xf numFmtId="0" fontId="5" fillId="0" borderId="95" xfId="0" applyFont="1" applyBorder="1" applyAlignment="1">
      <alignment horizontal="center" vertical="center"/>
    </xf>
    <xf numFmtId="0" fontId="5" fillId="0" borderId="97" xfId="0" applyFont="1" applyBorder="1" applyAlignment="1">
      <alignment horizontal="center" vertical="center"/>
    </xf>
    <xf numFmtId="0" fontId="5" fillId="0" borderId="44" xfId="0" applyFont="1" applyBorder="1" applyAlignment="1">
      <alignment horizontal="center" vertical="center"/>
    </xf>
    <xf numFmtId="0" fontId="5" fillId="0" borderId="44" xfId="0" applyFont="1" applyBorder="1" applyAlignment="1">
      <alignment horizontal="center" vertical="center" wrapText="1"/>
    </xf>
    <xf numFmtId="0" fontId="5" fillId="0" borderId="96" xfId="0" applyFont="1" applyBorder="1" applyAlignment="1">
      <alignment horizontal="center" vertical="center"/>
    </xf>
    <xf numFmtId="0" fontId="5" fillId="0" borderId="96" xfId="0" applyFont="1" applyBorder="1"/>
    <xf numFmtId="0" fontId="5" fillId="0" borderId="95" xfId="0" applyFont="1" applyBorder="1" applyAlignment="1">
      <alignment horizontal="center" vertical="center" wrapText="1"/>
    </xf>
    <xf numFmtId="0" fontId="5" fillId="0" borderId="96" xfId="0" applyFont="1" applyBorder="1" applyAlignment="1">
      <alignment vertical="center" wrapText="1"/>
    </xf>
    <xf numFmtId="0" fontId="5" fillId="0" borderId="43" xfId="0" applyFont="1" applyBorder="1" applyAlignment="1">
      <alignment horizontal="center" vertical="center"/>
    </xf>
    <xf numFmtId="0" fontId="5" fillId="0" borderId="105" xfId="0" applyFont="1" applyBorder="1" applyAlignment="1">
      <alignment horizontal="left" vertical="center"/>
    </xf>
    <xf numFmtId="0" fontId="5" fillId="0" borderId="103" xfId="0" applyFont="1" applyBorder="1" applyAlignment="1">
      <alignment horizontal="left" vertical="center"/>
    </xf>
    <xf numFmtId="0" fontId="5" fillId="0" borderId="25" xfId="0" applyFont="1" applyBorder="1"/>
    <xf numFmtId="0" fontId="11" fillId="0" borderId="0" xfId="0" applyFont="1" applyBorder="1" applyAlignment="1">
      <alignment vertical="top"/>
    </xf>
    <xf numFmtId="0" fontId="18" fillId="0" borderId="51" xfId="0" applyFont="1" applyBorder="1" applyAlignment="1">
      <alignment horizontal="center" vertical="center"/>
    </xf>
    <xf numFmtId="0" fontId="18" fillId="0" borderId="51" xfId="0" applyFont="1" applyBorder="1" applyAlignment="1">
      <alignment horizontal="left" vertical="center"/>
    </xf>
    <xf numFmtId="0" fontId="65" fillId="0" borderId="47" xfId="0" applyFont="1" applyBorder="1" applyAlignment="1">
      <alignment horizontal="center" vertical="center" wrapText="1"/>
    </xf>
    <xf numFmtId="0" fontId="11" fillId="0" borderId="47" xfId="0" applyFont="1" applyBorder="1" applyAlignment="1">
      <alignment horizontal="center" wrapText="1"/>
    </xf>
    <xf numFmtId="0" fontId="11" fillId="0" borderId="31" xfId="0" applyFont="1" applyBorder="1" applyAlignment="1">
      <alignment horizontal="center" wrapText="1"/>
    </xf>
    <xf numFmtId="0" fontId="18" fillId="0" borderId="31" xfId="0" applyFont="1" applyBorder="1"/>
    <xf numFmtId="0" fontId="5" fillId="0" borderId="29" xfId="0" applyFont="1" applyBorder="1"/>
    <xf numFmtId="0" fontId="18" fillId="0" borderId="49" xfId="0" applyFont="1" applyBorder="1" applyAlignment="1">
      <alignment horizontal="left" vertical="center"/>
    </xf>
    <xf numFmtId="0" fontId="18" fillId="0" borderId="47" xfId="0" applyFont="1" applyBorder="1" applyAlignment="1">
      <alignment horizontal="left" vertical="center"/>
    </xf>
    <xf numFmtId="0" fontId="11" fillId="0" borderId="0" xfId="0" applyFont="1" applyBorder="1" applyAlignment="1">
      <alignment horizontal="center"/>
    </xf>
    <xf numFmtId="0" fontId="18" fillId="0" borderId="51" xfId="0" applyFont="1" applyBorder="1" applyAlignment="1">
      <alignment horizontal="left" vertical="center" wrapText="1"/>
    </xf>
    <xf numFmtId="0" fontId="11" fillId="0" borderId="29" xfId="0" applyFont="1" applyBorder="1" applyAlignment="1"/>
    <xf numFmtId="0" fontId="11" fillId="0" borderId="30" xfId="0" applyFont="1" applyBorder="1" applyAlignment="1"/>
    <xf numFmtId="0" fontId="11" fillId="2" borderId="31" xfId="0" applyFont="1" applyFill="1" applyBorder="1" applyAlignment="1"/>
    <xf numFmtId="0" fontId="18" fillId="0" borderId="49" xfId="0" applyFont="1" applyBorder="1" applyAlignment="1">
      <alignment horizontal="center" vertical="center"/>
    </xf>
    <xf numFmtId="0" fontId="18" fillId="0" borderId="11" xfId="0" applyFont="1" applyBorder="1" applyAlignment="1">
      <alignment horizontal="left"/>
    </xf>
    <xf numFmtId="0" fontId="18" fillId="0" borderId="29" xfId="0" applyFont="1" applyBorder="1" applyAlignment="1">
      <alignment horizontal="left" vertical="center"/>
    </xf>
    <xf numFmtId="0" fontId="11" fillId="0" borderId="3" xfId="0" applyFont="1" applyBorder="1" applyAlignment="1"/>
    <xf numFmtId="0" fontId="11" fillId="0" borderId="5" xfId="0" applyFont="1" applyBorder="1" applyAlignment="1"/>
    <xf numFmtId="0" fontId="65" fillId="0" borderId="23" xfId="0" applyFont="1" applyBorder="1" applyAlignment="1">
      <alignment vertical="center" wrapText="1"/>
    </xf>
    <xf numFmtId="0" fontId="11" fillId="4" borderId="12" xfId="0" applyFont="1" applyFill="1" applyBorder="1" applyAlignment="1">
      <alignment horizontal="center"/>
    </xf>
    <xf numFmtId="0" fontId="18" fillId="0" borderId="51" xfId="0" applyFont="1" applyBorder="1" applyAlignment="1">
      <alignment horizontal="left" vertical="center" wrapText="1"/>
    </xf>
    <xf numFmtId="0" fontId="0" fillId="0" borderId="0" xfId="0" applyBorder="1"/>
    <xf numFmtId="1" fontId="0" fillId="0" borderId="51" xfId="0" applyNumberFormat="1" applyBorder="1" applyAlignment="1">
      <alignment horizontal="center"/>
    </xf>
    <xf numFmtId="0" fontId="65" fillId="0" borderId="11" xfId="0" applyFont="1" applyBorder="1"/>
    <xf numFmtId="0" fontId="18" fillId="4" borderId="51" xfId="0" applyFont="1" applyFill="1" applyBorder="1" applyAlignment="1">
      <alignment horizontal="left" vertical="center" wrapText="1"/>
    </xf>
    <xf numFmtId="0" fontId="104" fillId="14" borderId="52" xfId="0" applyFont="1" applyFill="1" applyBorder="1" applyAlignment="1">
      <alignment vertical="top"/>
    </xf>
    <xf numFmtId="0" fontId="104" fillId="14" borderId="50" xfId="0" applyFont="1" applyFill="1" applyBorder="1" applyAlignment="1">
      <alignment vertical="top"/>
    </xf>
    <xf numFmtId="0" fontId="104" fillId="14" borderId="40" xfId="0" applyFont="1" applyFill="1" applyBorder="1" applyAlignment="1">
      <alignment vertical="top"/>
    </xf>
    <xf numFmtId="0" fontId="104" fillId="4" borderId="49" xfId="0" applyFont="1" applyFill="1" applyBorder="1" applyAlignment="1">
      <alignment vertical="top"/>
    </xf>
    <xf numFmtId="0" fontId="104" fillId="4" borderId="48" xfId="0" applyFont="1" applyFill="1" applyBorder="1" applyAlignment="1">
      <alignment vertical="top"/>
    </xf>
    <xf numFmtId="0" fontId="0" fillId="0" borderId="51" xfId="0" applyFill="1" applyBorder="1" applyAlignment="1">
      <alignment horizontal="left" vertical="top"/>
    </xf>
    <xf numFmtId="0" fontId="0" fillId="0" borderId="21" xfId="0" applyFill="1" applyBorder="1" applyAlignment="1">
      <alignment horizontal="left" vertical="top"/>
    </xf>
    <xf numFmtId="0" fontId="33" fillId="0" borderId="106" xfId="0" applyFont="1" applyFill="1" applyBorder="1" applyAlignment="1">
      <alignment horizontal="left" vertical="top" wrapText="1"/>
    </xf>
    <xf numFmtId="0" fontId="33" fillId="0" borderId="107" xfId="0" applyFont="1" applyFill="1" applyBorder="1" applyAlignment="1">
      <alignment horizontal="left" vertical="top" wrapText="1"/>
    </xf>
    <xf numFmtId="49" fontId="0" fillId="0" borderId="0" xfId="0" applyNumberFormat="1" applyBorder="1"/>
    <xf numFmtId="49" fontId="0" fillId="0" borderId="0" xfId="0" applyNumberFormat="1" applyBorder="1" applyAlignment="1">
      <alignment horizontal="center"/>
    </xf>
    <xf numFmtId="0" fontId="98" fillId="19" borderId="0" xfId="0" applyFont="1" applyFill="1" applyBorder="1"/>
    <xf numFmtId="49" fontId="93" fillId="22" borderId="45" xfId="0" applyNumberFormat="1" applyFont="1" applyFill="1" applyBorder="1" applyAlignment="1">
      <alignment horizontal="left" vertical="center" wrapText="1"/>
    </xf>
    <xf numFmtId="49" fontId="93" fillId="22" borderId="12" xfId="0" applyNumberFormat="1" applyFont="1" applyFill="1" applyBorder="1" applyAlignment="1">
      <alignment horizontal="center" vertical="center" wrapText="1"/>
    </xf>
    <xf numFmtId="49" fontId="93" fillId="22" borderId="42" xfId="0" applyNumberFormat="1" applyFont="1" applyFill="1" applyBorder="1" applyAlignment="1">
      <alignment horizontal="center" vertical="center" wrapText="1"/>
    </xf>
    <xf numFmtId="49" fontId="0" fillId="0" borderId="44" xfId="0" applyNumberFormat="1" applyBorder="1"/>
    <xf numFmtId="1" fontId="0" fillId="0" borderId="37" xfId="0" applyNumberFormat="1" applyBorder="1" applyAlignment="1">
      <alignment horizontal="center"/>
    </xf>
    <xf numFmtId="49" fontId="0" fillId="0" borderId="58" xfId="0" applyNumberFormat="1" applyBorder="1"/>
    <xf numFmtId="49" fontId="0" fillId="0" borderId="59" xfId="0" applyNumberFormat="1" applyBorder="1"/>
    <xf numFmtId="49" fontId="0" fillId="0" borderId="59" xfId="0" applyNumberFormat="1" applyBorder="1" applyAlignment="1">
      <alignment horizontal="center"/>
    </xf>
    <xf numFmtId="49" fontId="0" fillId="0" borderId="60" xfId="0" applyNumberFormat="1" applyBorder="1" applyAlignment="1">
      <alignment horizontal="center"/>
    </xf>
    <xf numFmtId="49" fontId="97" fillId="18" borderId="51" xfId="0" applyNumberFormat="1" applyFont="1" applyFill="1" applyBorder="1" applyAlignment="1">
      <alignment horizontal="left" vertical="center" wrapText="1"/>
    </xf>
    <xf numFmtId="49" fontId="93" fillId="18" borderId="51" xfId="0" applyNumberFormat="1" applyFont="1" applyFill="1" applyBorder="1" applyAlignment="1">
      <alignment vertical="center" wrapText="1"/>
    </xf>
    <xf numFmtId="49" fontId="93" fillId="18" borderId="51" xfId="0" applyNumberFormat="1" applyFont="1" applyFill="1" applyBorder="1" applyAlignment="1">
      <alignment horizontal="left" vertical="center" wrapText="1"/>
    </xf>
    <xf numFmtId="49" fontId="93" fillId="18" borderId="51" xfId="0" applyNumberFormat="1" applyFont="1" applyFill="1" applyBorder="1" applyAlignment="1">
      <alignment horizontal="center" vertical="center" wrapText="1"/>
    </xf>
    <xf numFmtId="0" fontId="99" fillId="20" borderId="51" xfId="0" applyFont="1" applyFill="1" applyBorder="1" applyAlignment="1">
      <alignment vertical="center"/>
    </xf>
    <xf numFmtId="0" fontId="0" fillId="7" borderId="0" xfId="0" applyFill="1" applyAlignment="1">
      <alignment vertical="center"/>
    </xf>
    <xf numFmtId="14" fontId="0" fillId="0" borderId="51" xfId="0" applyNumberFormat="1" applyBorder="1" applyAlignment="1">
      <alignment vertical="center" wrapText="1"/>
    </xf>
    <xf numFmtId="0" fontId="8" fillId="0" borderId="51" xfId="0" applyFont="1" applyBorder="1" applyAlignment="1">
      <alignment vertical="center"/>
    </xf>
    <xf numFmtId="0" fontId="0" fillId="0" borderId="0" xfId="0" applyBorder="1"/>
    <xf numFmtId="0" fontId="0" fillId="0" borderId="0" xfId="0" applyBorder="1"/>
    <xf numFmtId="0" fontId="0" fillId="0" borderId="0" xfId="0" applyBorder="1" applyAlignment="1">
      <alignment horizontal="center"/>
    </xf>
    <xf numFmtId="0" fontId="112" fillId="7" borderId="56" xfId="0" applyFont="1" applyFill="1" applyBorder="1" applyAlignment="1">
      <alignment horizontal="center" vertical="center"/>
    </xf>
    <xf numFmtId="0" fontId="8" fillId="0" borderId="17" xfId="0" applyFont="1" applyBorder="1" applyAlignment="1">
      <alignment vertical="top" wrapText="1"/>
    </xf>
    <xf numFmtId="0" fontId="8" fillId="0" borderId="50" xfId="0" applyFont="1" applyBorder="1" applyAlignment="1">
      <alignment vertical="top" wrapText="1"/>
    </xf>
    <xf numFmtId="0" fontId="8" fillId="0" borderId="48" xfId="0" applyFont="1" applyBorder="1" applyAlignment="1">
      <alignment vertical="top" wrapText="1"/>
    </xf>
    <xf numFmtId="1" fontId="23" fillId="2" borderId="50" xfId="1" applyNumberFormat="1" applyFont="1" applyFill="1" applyBorder="1"/>
    <xf numFmtId="1" fontId="23" fillId="2" borderId="48" xfId="1" applyNumberFormat="1" applyFont="1" applyFill="1" applyBorder="1"/>
    <xf numFmtId="14" fontId="8" fillId="0" borderId="51" xfId="0" applyNumberFormat="1" applyFont="1" applyBorder="1" applyAlignment="1">
      <alignment vertical="top"/>
    </xf>
    <xf numFmtId="0" fontId="9" fillId="3" borderId="47" xfId="0" applyFont="1" applyFill="1" applyBorder="1" applyAlignment="1">
      <alignment horizontal="center" vertical="top"/>
    </xf>
    <xf numFmtId="0" fontId="9" fillId="3" borderId="38" xfId="0" applyFont="1" applyFill="1" applyBorder="1" applyAlignment="1">
      <alignment horizontal="center" vertical="top"/>
    </xf>
    <xf numFmtId="0" fontId="8" fillId="0" borderId="10" xfId="0" applyFont="1" applyBorder="1" applyAlignment="1">
      <alignment vertical="top"/>
    </xf>
    <xf numFmtId="0" fontId="62" fillId="0" borderId="32" xfId="0" applyFont="1" applyBorder="1"/>
    <xf numFmtId="0" fontId="9" fillId="3" borderId="8" xfId="0" applyFont="1" applyFill="1" applyBorder="1" applyAlignment="1">
      <alignment horizontal="center" vertical="center" textRotation="90"/>
    </xf>
    <xf numFmtId="0" fontId="50" fillId="0" borderId="7" xfId="0" applyFont="1" applyBorder="1" applyAlignment="1">
      <alignment horizontal="center"/>
    </xf>
    <xf numFmtId="0" fontId="50" fillId="0" borderId="10" xfId="0" applyFont="1" applyBorder="1" applyAlignment="1">
      <alignment horizontal="center"/>
    </xf>
    <xf numFmtId="0" fontId="50" fillId="0" borderId="58" xfId="0" applyFont="1" applyBorder="1" applyAlignment="1">
      <alignment horizontal="center"/>
    </xf>
    <xf numFmtId="0" fontId="9" fillId="3" borderId="17" xfId="0" applyFont="1" applyFill="1" applyBorder="1" applyAlignment="1">
      <alignment horizontal="center" vertical="center" textRotation="90"/>
    </xf>
    <xf numFmtId="0" fontId="9" fillId="3" borderId="31" xfId="0" applyFont="1" applyFill="1" applyBorder="1" applyAlignment="1">
      <alignment horizontal="center" vertical="center" wrapText="1"/>
    </xf>
    <xf numFmtId="0" fontId="9" fillId="3" borderId="17" xfId="0" applyFont="1" applyFill="1" applyBorder="1" applyAlignment="1">
      <alignment horizontal="center" vertical="center" textRotation="90" wrapText="1"/>
    </xf>
    <xf numFmtId="0" fontId="113" fillId="0" borderId="0" xfId="0" applyFont="1" applyAlignment="1">
      <alignment horizontal="center"/>
    </xf>
    <xf numFmtId="0" fontId="87" fillId="0" borderId="51" xfId="0" applyFont="1" applyBorder="1" applyAlignment="1">
      <alignment horizontal="left" vertical="center"/>
    </xf>
    <xf numFmtId="0" fontId="0" fillId="0" borderId="51" xfId="0" applyBorder="1" applyAlignment="1">
      <alignment horizontal="left" vertical="center"/>
    </xf>
    <xf numFmtId="0" fontId="0" fillId="4" borderId="51" xfId="0" applyFill="1" applyBorder="1" applyAlignment="1">
      <alignment horizontal="left" vertical="center"/>
    </xf>
    <xf numFmtId="14" fontId="15" fillId="2" borderId="51" xfId="0" applyNumberFormat="1" applyFont="1" applyFill="1" applyBorder="1" applyAlignment="1">
      <alignment vertical="center"/>
    </xf>
    <xf numFmtId="1" fontId="21" fillId="0" borderId="51" xfId="0" applyNumberFormat="1" applyFont="1" applyBorder="1" applyAlignment="1">
      <alignment horizontal="center" vertical="center"/>
    </xf>
    <xf numFmtId="1" fontId="59" fillId="0" borderId="51" xfId="0" applyNumberFormat="1" applyFont="1" applyBorder="1" applyAlignment="1">
      <alignment horizontal="center" vertical="center"/>
    </xf>
    <xf numFmtId="14" fontId="59" fillId="0" borderId="51" xfId="0" applyNumberFormat="1" applyFont="1" applyBorder="1" applyAlignment="1">
      <alignment horizontal="center" vertical="center"/>
    </xf>
    <xf numFmtId="14" fontId="21" fillId="0" borderId="51" xfId="0" applyNumberFormat="1" applyFont="1" applyBorder="1" applyAlignment="1">
      <alignment horizontal="center" vertical="center"/>
    </xf>
    <xf numFmtId="0" fontId="10" fillId="4" borderId="51" xfId="0" applyFont="1" applyFill="1" applyBorder="1" applyAlignment="1">
      <alignment horizontal="left" vertical="center"/>
    </xf>
    <xf numFmtId="0" fontId="87" fillId="2" borderId="51" xfId="0" applyFont="1" applyFill="1" applyBorder="1" applyAlignment="1">
      <alignment horizontal="left" vertical="center"/>
    </xf>
    <xf numFmtId="49" fontId="0" fillId="0" borderId="51" xfId="0" applyNumberFormat="1" applyBorder="1" applyAlignment="1">
      <alignment horizontal="left"/>
    </xf>
    <xf numFmtId="0" fontId="99" fillId="25" borderId="51" xfId="0" applyFont="1" applyFill="1" applyBorder="1" applyAlignment="1">
      <alignment horizontal="center" vertical="center"/>
    </xf>
    <xf numFmtId="0" fontId="0" fillId="0" borderId="0" xfId="0" applyBorder="1"/>
    <xf numFmtId="0" fontId="4" fillId="26" borderId="111" xfId="0" applyFont="1" applyFill="1" applyBorder="1" applyAlignment="1">
      <alignment horizontal="left" vertical="top" wrapText="1"/>
    </xf>
    <xf numFmtId="0" fontId="0" fillId="0" borderId="111" xfId="0" applyBorder="1" applyAlignment="1">
      <alignment horizontal="center" vertical="top" wrapText="1"/>
    </xf>
    <xf numFmtId="0" fontId="4" fillId="0" borderId="111" xfId="0" applyFont="1" applyBorder="1" applyAlignment="1">
      <alignment horizontal="right" vertical="top" wrapText="1"/>
    </xf>
    <xf numFmtId="3" fontId="114" fillId="0" borderId="111" xfId="0" applyNumberFormat="1" applyFont="1" applyBorder="1" applyAlignment="1">
      <alignment horizontal="right" vertical="top" shrinkToFit="1"/>
    </xf>
    <xf numFmtId="3" fontId="115" fillId="26" borderId="111" xfId="0" applyNumberFormat="1" applyFont="1" applyFill="1" applyBorder="1" applyAlignment="1">
      <alignment horizontal="right" vertical="top" shrinkToFit="1"/>
    </xf>
    <xf numFmtId="0" fontId="0" fillId="0" borderId="109" xfId="0" applyBorder="1" applyAlignment="1">
      <alignment wrapText="1"/>
    </xf>
    <xf numFmtId="0" fontId="0" fillId="0" borderId="111" xfId="0" applyBorder="1" applyAlignment="1">
      <alignment horizontal="right" wrapText="1"/>
    </xf>
    <xf numFmtId="0" fontId="4" fillId="26" borderId="116" xfId="0" applyFont="1" applyFill="1" applyBorder="1" applyAlignment="1">
      <alignment horizontal="left" vertical="top" wrapText="1"/>
    </xf>
    <xf numFmtId="0" fontId="22" fillId="7" borderId="22" xfId="0" applyFont="1" applyFill="1" applyBorder="1" applyAlignment="1"/>
    <xf numFmtId="0" fontId="22" fillId="7" borderId="14" xfId="0" applyFont="1" applyFill="1" applyBorder="1" applyAlignment="1"/>
    <xf numFmtId="17" fontId="19" fillId="7" borderId="64" xfId="0" applyNumberFormat="1" applyFont="1" applyFill="1" applyBorder="1" applyAlignment="1">
      <alignment horizontal="left"/>
    </xf>
    <xf numFmtId="17" fontId="19" fillId="7" borderId="62" xfId="0" applyNumberFormat="1" applyFont="1" applyFill="1" applyBorder="1" applyAlignment="1">
      <alignment horizontal="left"/>
    </xf>
    <xf numFmtId="0" fontId="4" fillId="0" borderId="108" xfId="0" applyFont="1" applyBorder="1" applyAlignment="1">
      <alignment horizontal="left" vertical="top" wrapText="1" indent="5"/>
    </xf>
    <xf numFmtId="1" fontId="114" fillId="0" borderId="108" xfId="0" applyNumberFormat="1" applyFont="1" applyBorder="1" applyAlignment="1">
      <alignment horizontal="right" vertical="top" shrinkToFit="1"/>
    </xf>
    <xf numFmtId="3" fontId="115" fillId="26" borderId="108" xfId="0" applyNumberFormat="1" applyFont="1" applyFill="1" applyBorder="1" applyAlignment="1">
      <alignment horizontal="right" vertical="top" shrinkToFit="1"/>
    </xf>
    <xf numFmtId="1" fontId="0" fillId="0" borderId="51" xfId="0" applyNumberFormat="1" applyBorder="1" applyAlignment="1">
      <alignment horizontal="center"/>
    </xf>
    <xf numFmtId="0" fontId="0" fillId="0" borderId="0" xfId="0" applyAlignment="1">
      <alignment horizontal="center"/>
    </xf>
    <xf numFmtId="0" fontId="0" fillId="0" borderId="0" xfId="0" applyBorder="1" applyAlignment="1">
      <alignment horizontal="center"/>
    </xf>
    <xf numFmtId="0" fontId="0" fillId="0" borderId="0" xfId="0" applyBorder="1"/>
    <xf numFmtId="0" fontId="5" fillId="0" borderId="75" xfId="0" applyFont="1" applyBorder="1" applyAlignment="1">
      <alignment horizontal="left"/>
    </xf>
    <xf numFmtId="0" fontId="5" fillId="0" borderId="88" xfId="0" applyFont="1" applyBorder="1" applyAlignment="1">
      <alignment horizontal="left"/>
    </xf>
    <xf numFmtId="0" fontId="5" fillId="0" borderId="76" xfId="0" applyFont="1" applyBorder="1" applyAlignment="1">
      <alignment horizontal="left"/>
    </xf>
    <xf numFmtId="0" fontId="5" fillId="0" borderId="95" xfId="0" applyFont="1" applyBorder="1" applyAlignment="1">
      <alignment horizontal="center" vertical="center"/>
    </xf>
    <xf numFmtId="49" fontId="2" fillId="0" borderId="34" xfId="0" applyNumberFormat="1" applyFont="1" applyBorder="1"/>
    <xf numFmtId="49" fontId="2" fillId="0" borderId="35" xfId="0" applyNumberFormat="1" applyFont="1" applyBorder="1" applyAlignment="1">
      <alignment horizontal="center"/>
    </xf>
    <xf numFmtId="17" fontId="104" fillId="14" borderId="50" xfId="0" applyNumberFormat="1" applyFont="1" applyFill="1" applyBorder="1" applyAlignment="1">
      <alignment vertical="top"/>
    </xf>
    <xf numFmtId="1" fontId="8" fillId="2" borderId="51" xfId="3" applyNumberFormat="1" applyFont="1" applyFill="1" applyBorder="1" applyAlignment="1">
      <alignment vertical="center"/>
    </xf>
    <xf numFmtId="0" fontId="11" fillId="0" borderId="51" xfId="0" applyFont="1" applyBorder="1" applyAlignment="1">
      <alignment horizontal="center"/>
    </xf>
    <xf numFmtId="1" fontId="11" fillId="0" borderId="51" xfId="0" applyNumberFormat="1" applyFont="1" applyBorder="1" applyAlignment="1">
      <alignment horizontal="center"/>
    </xf>
    <xf numFmtId="1" fontId="2" fillId="0" borderId="51" xfId="0" applyNumberFormat="1" applyFont="1" applyBorder="1" applyAlignment="1">
      <alignment horizontal="right"/>
    </xf>
    <xf numFmtId="0" fontId="2" fillId="0" borderId="51" xfId="0" applyFont="1" applyBorder="1"/>
    <xf numFmtId="0" fontId="0" fillId="4" borderId="0" xfId="0" applyFill="1"/>
    <xf numFmtId="171" fontId="2" fillId="0" borderId="36" xfId="0" applyNumberFormat="1" applyFont="1" applyBorder="1" applyAlignment="1">
      <alignment horizontal="center"/>
    </xf>
    <xf numFmtId="3" fontId="0" fillId="0" borderId="51" xfId="0" applyNumberFormat="1" applyBorder="1"/>
    <xf numFmtId="0" fontId="2" fillId="7" borderId="49" xfId="0" applyFont="1" applyFill="1" applyBorder="1" applyAlignment="1">
      <alignment horizontal="center" wrapText="1"/>
    </xf>
    <xf numFmtId="0" fontId="2" fillId="7" borderId="50" xfId="0" applyFont="1" applyFill="1" applyBorder="1" applyAlignment="1">
      <alignment horizontal="center" wrapText="1"/>
    </xf>
    <xf numFmtId="0" fontId="2" fillId="7" borderId="48" xfId="0" applyFont="1" applyFill="1" applyBorder="1" applyAlignment="1">
      <alignment horizontal="center" wrapText="1"/>
    </xf>
    <xf numFmtId="0" fontId="0" fillId="0" borderId="49" xfId="0" applyBorder="1" applyAlignment="1">
      <alignment horizontal="center"/>
    </xf>
    <xf numFmtId="0" fontId="0" fillId="0" borderId="50" xfId="0" applyBorder="1" applyAlignment="1">
      <alignment horizontal="center"/>
    </xf>
    <xf numFmtId="0" fontId="0" fillId="0" borderId="48" xfId="0" applyBorder="1" applyAlignment="1">
      <alignment horizontal="center"/>
    </xf>
    <xf numFmtId="0" fontId="2" fillId="8" borderId="2"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0" fillId="5" borderId="52" xfId="0" applyFill="1" applyBorder="1" applyAlignment="1">
      <alignment horizontal="center"/>
    </xf>
    <xf numFmtId="0" fontId="0" fillId="5" borderId="50" xfId="0" applyFill="1" applyBorder="1" applyAlignment="1">
      <alignment horizontal="center"/>
    </xf>
    <xf numFmtId="0" fontId="0" fillId="5" borderId="40" xfId="0" applyFill="1" applyBorder="1" applyAlignment="1">
      <alignment horizontal="center"/>
    </xf>
    <xf numFmtId="0" fontId="2" fillId="3" borderId="38"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7" borderId="47" xfId="0" applyFont="1" applyFill="1" applyBorder="1" applyAlignment="1">
      <alignment horizontal="center" vertical="center" wrapText="1"/>
    </xf>
    <xf numFmtId="0" fontId="2" fillId="7" borderId="8" xfId="0" applyFont="1" applyFill="1" applyBorder="1" applyAlignment="1">
      <alignment horizontal="center" vertical="center"/>
    </xf>
    <xf numFmtId="0" fontId="47" fillId="7" borderId="55" xfId="0" applyFont="1" applyFill="1" applyBorder="1" applyAlignment="1">
      <alignment horizontal="center" vertical="center" wrapText="1"/>
    </xf>
    <xf numFmtId="0" fontId="47" fillId="7" borderId="4" xfId="0" applyFont="1" applyFill="1" applyBorder="1" applyAlignment="1">
      <alignment horizontal="center" vertical="center" wrapText="1"/>
    </xf>
    <xf numFmtId="0" fontId="47" fillId="7" borderId="56" xfId="0" applyFont="1" applyFill="1" applyBorder="1" applyAlignment="1">
      <alignment horizontal="center" vertical="center" wrapText="1"/>
    </xf>
    <xf numFmtId="0" fontId="2" fillId="2" borderId="53" xfId="0" applyFont="1" applyFill="1" applyBorder="1" applyAlignment="1">
      <alignment horizontal="left"/>
    </xf>
    <xf numFmtId="0" fontId="2" fillId="2" borderId="30" xfId="0" applyFont="1" applyFill="1" applyBorder="1" applyAlignment="1">
      <alignment horizontal="left"/>
    </xf>
    <xf numFmtId="0" fontId="2" fillId="0" borderId="52" xfId="0" applyFont="1" applyBorder="1" applyAlignment="1">
      <alignment horizontal="left"/>
    </xf>
    <xf numFmtId="0" fontId="2" fillId="0" borderId="50" xfId="0" applyFont="1" applyBorder="1" applyAlignment="1">
      <alignment horizontal="left"/>
    </xf>
    <xf numFmtId="0" fontId="2" fillId="7" borderId="43"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2" fillId="4" borderId="4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15" borderId="47" xfId="0" applyFont="1" applyFill="1" applyBorder="1" applyAlignment="1">
      <alignment horizontal="center" vertical="center" wrapText="1"/>
    </xf>
    <xf numFmtId="0" fontId="2" fillId="15" borderId="8" xfId="0" applyFont="1" applyFill="1" applyBorder="1" applyAlignment="1">
      <alignment horizontal="center" vertical="center" wrapText="1"/>
    </xf>
    <xf numFmtId="0" fontId="2" fillId="14" borderId="47" xfId="0" applyFont="1" applyFill="1" applyBorder="1" applyAlignment="1">
      <alignment horizontal="center" vertical="center" wrapText="1"/>
    </xf>
    <xf numFmtId="0" fontId="2" fillId="14" borderId="8" xfId="0" applyFont="1" applyFill="1" applyBorder="1" applyAlignment="1">
      <alignment horizontal="center" vertical="center" wrapText="1"/>
    </xf>
    <xf numFmtId="0" fontId="9" fillId="0" borderId="0" xfId="3" applyFont="1" applyAlignment="1">
      <alignment horizontal="center" vertical="center"/>
    </xf>
    <xf numFmtId="0" fontId="73" fillId="13" borderId="57" xfId="0" applyFont="1" applyFill="1" applyBorder="1" applyAlignment="1">
      <alignment horizontal="center" vertical="center"/>
    </xf>
    <xf numFmtId="0" fontId="73" fillId="13" borderId="15" xfId="0" applyFont="1" applyFill="1" applyBorder="1" applyAlignment="1">
      <alignment horizontal="center" vertical="center"/>
    </xf>
    <xf numFmtId="0" fontId="73" fillId="13" borderId="16" xfId="0" applyFont="1" applyFill="1" applyBorder="1" applyAlignment="1">
      <alignment horizontal="center" vertical="center"/>
    </xf>
    <xf numFmtId="0" fontId="2" fillId="16" borderId="49" xfId="0" applyFont="1" applyFill="1" applyBorder="1" applyAlignment="1">
      <alignment horizontal="right" vertical="center"/>
    </xf>
    <xf numFmtId="0" fontId="2" fillId="16" borderId="50" xfId="0" applyFont="1" applyFill="1" applyBorder="1" applyAlignment="1">
      <alignment horizontal="right" vertical="center"/>
    </xf>
    <xf numFmtId="0" fontId="2" fillId="16" borderId="48" xfId="0" applyFont="1" applyFill="1" applyBorder="1" applyAlignment="1">
      <alignment horizontal="right" vertical="center"/>
    </xf>
    <xf numFmtId="0" fontId="2" fillId="5" borderId="49" xfId="0" applyFont="1" applyFill="1" applyBorder="1" applyAlignment="1">
      <alignment horizontal="left"/>
    </xf>
    <xf numFmtId="0" fontId="2" fillId="5" borderId="50" xfId="0" applyFont="1" applyFill="1" applyBorder="1" applyAlignment="1">
      <alignment horizontal="left"/>
    </xf>
    <xf numFmtId="0" fontId="2" fillId="5" borderId="48" xfId="0" applyFont="1" applyFill="1" applyBorder="1" applyAlignment="1">
      <alignment horizontal="left"/>
    </xf>
    <xf numFmtId="0" fontId="2" fillId="0" borderId="0" xfId="0" applyFont="1" applyAlignment="1">
      <alignment horizontal="center" wrapText="1"/>
    </xf>
    <xf numFmtId="0" fontId="2" fillId="13" borderId="49" xfId="0" applyFont="1" applyFill="1" applyBorder="1" applyAlignment="1">
      <alignment horizontal="left"/>
    </xf>
    <xf numFmtId="0" fontId="2" fillId="13" borderId="50" xfId="0" applyFont="1" applyFill="1" applyBorder="1" applyAlignment="1">
      <alignment horizontal="left"/>
    </xf>
    <xf numFmtId="0" fontId="2" fillId="13" borderId="48" xfId="0" applyFont="1" applyFill="1" applyBorder="1" applyAlignment="1">
      <alignment horizontal="left"/>
    </xf>
    <xf numFmtId="0" fontId="2" fillId="16" borderId="49" xfId="0" applyFont="1" applyFill="1" applyBorder="1" applyAlignment="1">
      <alignment horizontal="left"/>
    </xf>
    <xf numFmtId="0" fontId="2" fillId="16" borderId="50" xfId="0" applyFont="1" applyFill="1" applyBorder="1" applyAlignment="1">
      <alignment horizontal="left"/>
    </xf>
    <xf numFmtId="0" fontId="2" fillId="16" borderId="48" xfId="0" applyFont="1" applyFill="1" applyBorder="1" applyAlignment="1">
      <alignment horizontal="left"/>
    </xf>
    <xf numFmtId="0" fontId="0" fillId="2" borderId="49" xfId="8" applyFont="1" applyFill="1" applyBorder="1" applyAlignment="1">
      <alignment horizontal="left"/>
    </xf>
    <xf numFmtId="0" fontId="8" fillId="2" borderId="50" xfId="8" applyFont="1" applyFill="1" applyBorder="1" applyAlignment="1">
      <alignment horizontal="left"/>
    </xf>
    <xf numFmtId="0" fontId="2" fillId="0" borderId="44" xfId="0" applyFont="1" applyBorder="1" applyAlignment="1">
      <alignment horizontal="left" vertical="center"/>
    </xf>
    <xf numFmtId="0" fontId="2" fillId="0" borderId="51" xfId="0" applyFont="1" applyBorder="1" applyAlignment="1">
      <alignment horizontal="left" vertical="center"/>
    </xf>
    <xf numFmtId="0" fontId="2" fillId="0" borderId="51" xfId="0" applyFont="1" applyBorder="1" applyAlignment="1">
      <alignment horizontal="center" vertical="center"/>
    </xf>
    <xf numFmtId="0" fontId="2" fillId="0" borderId="37" xfId="0" applyFont="1" applyBorder="1" applyAlignment="1">
      <alignment horizontal="center" vertical="center"/>
    </xf>
    <xf numFmtId="1" fontId="2" fillId="0" borderId="51" xfId="0" applyNumberFormat="1" applyFont="1" applyBorder="1" applyAlignment="1">
      <alignment horizontal="center"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1"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1" fontId="2" fillId="0" borderId="37" xfId="0" applyNumberFormat="1"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17" fontId="2" fillId="0" borderId="51" xfId="0" applyNumberFormat="1" applyFont="1" applyBorder="1" applyAlignment="1">
      <alignment horizontal="center" vertical="center"/>
    </xf>
    <xf numFmtId="14" fontId="2" fillId="0" borderId="47" xfId="0" applyNumberFormat="1" applyFont="1" applyBorder="1" applyAlignment="1">
      <alignment horizontal="center" vertical="center"/>
    </xf>
    <xf numFmtId="0" fontId="2" fillId="0" borderId="47" xfId="0" applyFont="1" applyBorder="1" applyAlignment="1">
      <alignment horizontal="center" vertical="center"/>
    </xf>
    <xf numFmtId="0" fontId="2" fillId="0" borderId="38" xfId="0" applyFont="1" applyBorder="1" applyAlignment="1">
      <alignment horizontal="center" vertical="center"/>
    </xf>
    <xf numFmtId="0" fontId="28" fillId="7" borderId="55" xfId="0" applyFont="1" applyFill="1" applyBorder="1" applyAlignment="1">
      <alignment horizontal="center"/>
    </xf>
    <xf numFmtId="0" fontId="0" fillId="7" borderId="4" xfId="0" applyFill="1" applyBorder="1" applyAlignment="1">
      <alignment horizontal="center"/>
    </xf>
    <xf numFmtId="0" fontId="0" fillId="7" borderId="56" xfId="0" applyFill="1" applyBorder="1" applyAlignment="1">
      <alignment horizontal="center"/>
    </xf>
    <xf numFmtId="0" fontId="29" fillId="5" borderId="52" xfId="0" applyFont="1" applyFill="1" applyBorder="1" applyAlignment="1">
      <alignment horizontal="center"/>
    </xf>
    <xf numFmtId="0" fontId="29" fillId="5" borderId="50" xfId="0" applyFont="1" applyFill="1" applyBorder="1" applyAlignment="1">
      <alignment horizontal="center"/>
    </xf>
    <xf numFmtId="0" fontId="29" fillId="5" borderId="40" xfId="0" applyFont="1" applyFill="1" applyBorder="1" applyAlignment="1">
      <alignment horizontal="center"/>
    </xf>
    <xf numFmtId="0" fontId="5" fillId="0" borderId="53" xfId="0" applyFont="1" applyBorder="1" applyAlignment="1">
      <alignment horizontal="center"/>
    </xf>
    <xf numFmtId="0" fontId="5" fillId="0" borderId="30" xfId="0" applyFont="1" applyBorder="1" applyAlignment="1">
      <alignment horizontal="center"/>
    </xf>
    <xf numFmtId="0" fontId="5" fillId="0" borderId="50" xfId="0" applyFont="1" applyBorder="1" applyAlignment="1">
      <alignment horizontal="center"/>
    </xf>
    <xf numFmtId="0" fontId="5" fillId="0" borderId="40" xfId="0" applyFont="1" applyBorder="1" applyAlignment="1">
      <alignment horizontal="center"/>
    </xf>
    <xf numFmtId="0" fontId="2" fillId="7" borderId="53" xfId="0" applyFont="1" applyFill="1" applyBorder="1" applyAlignment="1">
      <alignment horizontal="left" vertical="top"/>
    </xf>
    <xf numFmtId="0" fontId="2" fillId="7" borderId="30" xfId="0" applyFont="1" applyFill="1" applyBorder="1" applyAlignment="1">
      <alignment horizontal="left" vertical="top"/>
    </xf>
    <xf numFmtId="0" fontId="2" fillId="7" borderId="54" xfId="0" applyFont="1" applyFill="1" applyBorder="1" applyAlignment="1">
      <alignment horizontal="left" vertical="top"/>
    </xf>
    <xf numFmtId="0" fontId="2" fillId="7" borderId="21" xfId="0" applyFont="1" applyFill="1" applyBorder="1" applyAlignment="1">
      <alignment horizontal="left" vertical="top"/>
    </xf>
    <xf numFmtId="0" fontId="2" fillId="7" borderId="29" xfId="0" applyFont="1" applyFill="1" applyBorder="1" applyAlignment="1">
      <alignment horizontal="left" vertical="center" wrapText="1"/>
    </xf>
    <xf numFmtId="0" fontId="2" fillId="7" borderId="30" xfId="0" applyFont="1" applyFill="1" applyBorder="1" applyAlignment="1">
      <alignment horizontal="left" vertical="center" wrapText="1"/>
    </xf>
    <xf numFmtId="0" fontId="2" fillId="7" borderId="41" xfId="0" applyFont="1" applyFill="1" applyBorder="1" applyAlignment="1">
      <alignment horizontal="left" vertical="center" wrapText="1"/>
    </xf>
    <xf numFmtId="0" fontId="2" fillId="7" borderId="13" xfId="0" applyFont="1" applyFill="1" applyBorder="1" applyAlignment="1">
      <alignment horizontal="left" vertical="center" wrapText="1"/>
    </xf>
    <xf numFmtId="0" fontId="2" fillId="7" borderId="21" xfId="0" applyFont="1" applyFill="1" applyBorder="1" applyAlignment="1">
      <alignment horizontal="left" vertical="center" wrapText="1"/>
    </xf>
    <xf numFmtId="0" fontId="2" fillId="7" borderId="39" xfId="0" applyFont="1" applyFill="1" applyBorder="1" applyAlignment="1">
      <alignment horizontal="left" vertical="center" wrapText="1"/>
    </xf>
    <xf numFmtId="0" fontId="2" fillId="7" borderId="24" xfId="0" applyFont="1" applyFill="1" applyBorder="1" applyAlignment="1">
      <alignment horizontal="left"/>
    </xf>
    <xf numFmtId="0" fontId="2" fillId="7" borderId="0" xfId="0" applyFont="1" applyFill="1" applyBorder="1" applyAlignment="1">
      <alignment horizontal="left"/>
    </xf>
    <xf numFmtId="0" fontId="2" fillId="7" borderId="19" xfId="0" applyFont="1" applyFill="1" applyBorder="1" applyAlignment="1">
      <alignment horizontal="left"/>
    </xf>
    <xf numFmtId="0" fontId="2" fillId="7" borderId="25" xfId="0" applyFont="1" applyFill="1" applyBorder="1" applyAlignment="1">
      <alignment horizontal="left"/>
    </xf>
    <xf numFmtId="0" fontId="2" fillId="0" borderId="44" xfId="0" applyFont="1" applyBorder="1" applyAlignment="1">
      <alignment horizontal="left" vertical="center" wrapText="1"/>
    </xf>
    <xf numFmtId="0" fontId="2" fillId="0" borderId="51" xfId="0" applyFont="1" applyBorder="1" applyAlignment="1">
      <alignment horizontal="left" vertical="center" wrapText="1"/>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2" fillId="0" borderId="40" xfId="0" applyFont="1" applyBorder="1" applyAlignment="1">
      <alignment horizontal="center" vertical="center"/>
    </xf>
    <xf numFmtId="1" fontId="2" fillId="0" borderId="49" xfId="0" applyNumberFormat="1" applyFont="1" applyBorder="1" applyAlignment="1">
      <alignment horizontal="center" vertical="center"/>
    </xf>
    <xf numFmtId="1" fontId="2" fillId="0" borderId="50" xfId="0" applyNumberFormat="1" applyFont="1" applyBorder="1" applyAlignment="1">
      <alignment horizontal="center" vertical="center"/>
    </xf>
    <xf numFmtId="1" fontId="2" fillId="0" borderId="40" xfId="0" applyNumberFormat="1" applyFont="1" applyBorder="1" applyAlignment="1">
      <alignment horizontal="center" vertical="center"/>
    </xf>
    <xf numFmtId="1" fontId="2" fillId="0" borderId="48" xfId="0" applyNumberFormat="1" applyFont="1" applyBorder="1" applyAlignment="1">
      <alignment horizontal="center" vertical="center"/>
    </xf>
    <xf numFmtId="17" fontId="2" fillId="0" borderId="8" xfId="0" applyNumberFormat="1" applyFont="1" applyBorder="1" applyAlignment="1">
      <alignment horizontal="center" vertical="center"/>
    </xf>
    <xf numFmtId="0" fontId="2" fillId="0" borderId="8" xfId="0" applyNumberFormat="1" applyFont="1" applyBorder="1" applyAlignment="1">
      <alignment horizontal="center" vertical="center"/>
    </xf>
    <xf numFmtId="0" fontId="2" fillId="0" borderId="10" xfId="0" applyNumberFormat="1" applyFont="1" applyBorder="1" applyAlignment="1">
      <alignment horizontal="center" vertical="center"/>
    </xf>
    <xf numFmtId="49" fontId="2" fillId="0" borderId="51" xfId="0" applyNumberFormat="1" applyFont="1" applyBorder="1" applyAlignment="1">
      <alignment horizontal="center" vertical="center"/>
    </xf>
    <xf numFmtId="14" fontId="2" fillId="0" borderId="51" xfId="0" applyNumberFormat="1" applyFont="1" applyBorder="1" applyAlignment="1">
      <alignment horizontal="center" vertical="center"/>
    </xf>
    <xf numFmtId="0" fontId="0" fillId="0" borderId="51" xfId="0" applyBorder="1" applyAlignment="1">
      <alignment horizontal="center"/>
    </xf>
    <xf numFmtId="0" fontId="0" fillId="0" borderId="26" xfId="0" applyBorder="1" applyAlignment="1">
      <alignment horizontal="center"/>
    </xf>
    <xf numFmtId="0" fontId="0" fillId="0" borderId="12" xfId="0" applyBorder="1" applyAlignment="1">
      <alignment horizontal="center" vertical="center" wrapText="1"/>
    </xf>
    <xf numFmtId="0" fontId="0" fillId="0" borderId="51" xfId="0" applyBorder="1" applyAlignment="1">
      <alignment horizontal="center" vertical="center" wrapText="1"/>
    </xf>
    <xf numFmtId="0" fontId="0" fillId="0" borderId="42" xfId="0" applyBorder="1" applyAlignment="1">
      <alignment horizontal="center" vertical="center" wrapText="1"/>
    </xf>
    <xf numFmtId="0" fontId="0" fillId="0" borderId="37" xfId="0" applyBorder="1" applyAlignment="1">
      <alignment horizontal="center" vertical="center" wrapText="1"/>
    </xf>
    <xf numFmtId="0" fontId="50" fillId="0" borderId="51" xfId="0" applyFont="1" applyBorder="1" applyAlignment="1">
      <alignment horizontal="center"/>
    </xf>
    <xf numFmtId="0" fontId="9" fillId="0" borderId="49" xfId="0" applyFont="1" applyBorder="1" applyAlignment="1">
      <alignment horizontal="left"/>
    </xf>
    <xf numFmtId="0" fontId="9" fillId="0" borderId="50" xfId="0" applyFont="1" applyBorder="1" applyAlignment="1">
      <alignment horizontal="left"/>
    </xf>
    <xf numFmtId="0" fontId="0" fillId="0" borderId="45" xfId="0" applyBorder="1" applyAlignment="1">
      <alignment horizontal="center" vertical="center" wrapText="1"/>
    </xf>
    <xf numFmtId="0" fontId="0" fillId="0" borderId="44" xfId="0" applyBorder="1" applyAlignment="1">
      <alignment horizontal="center" vertical="center" wrapText="1"/>
    </xf>
    <xf numFmtId="0" fontId="0" fillId="7" borderId="19" xfId="0" applyFill="1" applyBorder="1" applyAlignment="1">
      <alignment horizontal="center" vertical="center"/>
    </xf>
    <xf numFmtId="0" fontId="0" fillId="7" borderId="0" xfId="0" applyFill="1" applyBorder="1" applyAlignment="1">
      <alignment horizontal="center" vertical="center"/>
    </xf>
    <xf numFmtId="0" fontId="0" fillId="7" borderId="13" xfId="0" applyFill="1" applyBorder="1" applyAlignment="1">
      <alignment horizontal="center" wrapText="1"/>
    </xf>
    <xf numFmtId="0" fontId="0" fillId="7" borderId="21" xfId="0" applyFill="1" applyBorder="1" applyAlignment="1">
      <alignment horizontal="center" wrapText="1"/>
    </xf>
    <xf numFmtId="0" fontId="0" fillId="7" borderId="17" xfId="0" applyFill="1" applyBorder="1" applyAlignment="1">
      <alignment horizontal="center" wrapText="1"/>
    </xf>
    <xf numFmtId="0" fontId="64" fillId="7" borderId="3" xfId="0" applyFont="1" applyFill="1" applyBorder="1" applyAlignment="1">
      <alignment horizontal="center"/>
    </xf>
    <xf numFmtId="0" fontId="64" fillId="7" borderId="4" xfId="0" applyFont="1" applyFill="1" applyBorder="1" applyAlignment="1">
      <alignment horizontal="center"/>
    </xf>
    <xf numFmtId="0" fontId="64" fillId="7" borderId="5" xfId="0" applyFont="1" applyFill="1" applyBorder="1" applyAlignment="1">
      <alignment horizontal="center"/>
    </xf>
    <xf numFmtId="0" fontId="0" fillId="5" borderId="49" xfId="0" applyFill="1" applyBorder="1" applyAlignment="1">
      <alignment horizontal="center"/>
    </xf>
    <xf numFmtId="0" fontId="0" fillId="5" borderId="48" xfId="0" applyFill="1" applyBorder="1" applyAlignment="1">
      <alignment horizontal="center"/>
    </xf>
    <xf numFmtId="0" fontId="27" fillId="14" borderId="49" xfId="0" applyFont="1" applyFill="1" applyBorder="1" applyAlignment="1">
      <alignment horizontal="center"/>
    </xf>
    <xf numFmtId="0" fontId="27" fillId="14" borderId="50" xfId="0" applyFont="1" applyFill="1" applyBorder="1" applyAlignment="1">
      <alignment horizontal="center"/>
    </xf>
    <xf numFmtId="0" fontId="27" fillId="14" borderId="48" xfId="0" applyFont="1" applyFill="1" applyBorder="1" applyAlignment="1">
      <alignment horizontal="center"/>
    </xf>
    <xf numFmtId="0" fontId="0" fillId="7" borderId="13" xfId="0" applyFill="1" applyBorder="1" applyAlignment="1">
      <alignment horizontal="center" vertical="center"/>
    </xf>
    <xf numFmtId="0" fontId="0" fillId="7" borderId="21" xfId="0" applyFill="1" applyBorder="1" applyAlignment="1">
      <alignment horizontal="center" vertical="center"/>
    </xf>
    <xf numFmtId="0" fontId="48" fillId="7" borderId="13" xfId="0" applyFont="1" applyFill="1" applyBorder="1" applyAlignment="1">
      <alignment horizontal="center"/>
    </xf>
    <xf numFmtId="0" fontId="48" fillId="7" borderId="21" xfId="0" applyFont="1" applyFill="1" applyBorder="1" applyAlignment="1">
      <alignment horizontal="center"/>
    </xf>
    <xf numFmtId="0" fontId="48" fillId="7" borderId="17" xfId="0" applyFont="1" applyFill="1" applyBorder="1" applyAlignment="1">
      <alignment horizontal="center"/>
    </xf>
    <xf numFmtId="0" fontId="10" fillId="7" borderId="52" xfId="0" applyFont="1" applyFill="1" applyBorder="1" applyAlignment="1">
      <alignment horizontal="center" wrapText="1"/>
    </xf>
    <xf numFmtId="0" fontId="10" fillId="7" borderId="50" xfId="0" applyFont="1" applyFill="1" applyBorder="1" applyAlignment="1">
      <alignment horizontal="center"/>
    </xf>
    <xf numFmtId="0" fontId="10" fillId="7" borderId="40" xfId="0" applyFont="1" applyFill="1" applyBorder="1" applyAlignment="1">
      <alignment horizontal="center"/>
    </xf>
    <xf numFmtId="0" fontId="2" fillId="0" borderId="48" xfId="0" applyFont="1" applyBorder="1" applyAlignment="1">
      <alignment horizontal="left"/>
    </xf>
    <xf numFmtId="0" fontId="9" fillId="0" borderId="26" xfId="3" applyFont="1" applyBorder="1" applyAlignment="1">
      <alignment horizontal="center" vertical="center"/>
    </xf>
    <xf numFmtId="0" fontId="9" fillId="0" borderId="27" xfId="3" applyFont="1" applyBorder="1" applyAlignment="1">
      <alignment horizontal="center" vertical="center"/>
    </xf>
    <xf numFmtId="0" fontId="2" fillId="3" borderId="43" xfId="0" applyFont="1" applyFill="1" applyBorder="1" applyAlignment="1">
      <alignment horizontal="center" vertical="center"/>
    </xf>
    <xf numFmtId="0" fontId="2" fillId="3" borderId="61" xfId="0" applyFont="1" applyFill="1" applyBorder="1" applyAlignment="1">
      <alignment horizontal="center" vertical="center"/>
    </xf>
    <xf numFmtId="0" fontId="2" fillId="3" borderId="47" xfId="0" applyFont="1" applyFill="1" applyBorder="1" applyAlignment="1">
      <alignment horizontal="center" vertical="center" wrapText="1"/>
    </xf>
    <xf numFmtId="0" fontId="2" fillId="3" borderId="11" xfId="0" applyFont="1" applyFill="1" applyBorder="1" applyAlignment="1">
      <alignment horizontal="center" vertical="center"/>
    </xf>
    <xf numFmtId="0" fontId="9" fillId="3" borderId="51" xfId="0" applyFont="1" applyFill="1" applyBorder="1" applyAlignment="1">
      <alignment horizontal="center" vertical="center" wrapText="1"/>
    </xf>
    <xf numFmtId="0" fontId="9" fillId="3" borderId="47" xfId="0" applyFont="1" applyFill="1" applyBorder="1" applyAlignment="1">
      <alignment horizontal="center" vertical="center" wrapText="1"/>
    </xf>
    <xf numFmtId="0" fontId="2" fillId="0" borderId="53" xfId="0" applyFont="1" applyBorder="1" applyAlignment="1">
      <alignment horizontal="left" vertical="center" wrapText="1"/>
    </xf>
    <xf numFmtId="0" fontId="2" fillId="0" borderId="30" xfId="0" applyFont="1" applyBorder="1" applyAlignment="1">
      <alignment horizontal="left" vertical="center" wrapText="1"/>
    </xf>
    <xf numFmtId="0" fontId="2" fillId="0" borderId="31" xfId="0" applyFont="1" applyBorder="1" applyAlignment="1">
      <alignment horizontal="left" vertical="center" wrapText="1"/>
    </xf>
    <xf numFmtId="0" fontId="2" fillId="0" borderId="54" xfId="0" applyFont="1" applyBorder="1" applyAlignment="1">
      <alignment horizontal="left" vertical="center" wrapText="1"/>
    </xf>
    <xf numFmtId="0" fontId="2" fillId="0" borderId="21" xfId="0" applyFont="1" applyBorder="1" applyAlignment="1">
      <alignment horizontal="left" vertical="center" wrapText="1"/>
    </xf>
    <xf numFmtId="0" fontId="2" fillId="0" borderId="17" xfId="0" applyFont="1" applyBorder="1" applyAlignment="1">
      <alignment horizontal="left" vertical="center" wrapText="1"/>
    </xf>
    <xf numFmtId="17" fontId="2" fillId="0" borderId="47" xfId="0" applyNumberFormat="1" applyFont="1" applyBorder="1" applyAlignment="1">
      <alignment horizontal="center" vertical="center"/>
    </xf>
    <xf numFmtId="0" fontId="2" fillId="0" borderId="29" xfId="0" applyFont="1" applyBorder="1" applyAlignment="1">
      <alignment horizontal="left" vertical="center" wrapText="1"/>
    </xf>
    <xf numFmtId="0" fontId="2" fillId="0" borderId="13" xfId="0" applyFont="1" applyBorder="1" applyAlignment="1">
      <alignment horizontal="left" vertical="center" wrapText="1"/>
    </xf>
    <xf numFmtId="0" fontId="109" fillId="0" borderId="49" xfId="0" applyFont="1" applyBorder="1" applyAlignment="1">
      <alignment horizontal="center" vertical="center"/>
    </xf>
    <xf numFmtId="0" fontId="109" fillId="0" borderId="50" xfId="0" applyFont="1" applyBorder="1" applyAlignment="1">
      <alignment horizontal="center" vertical="center"/>
    </xf>
    <xf numFmtId="0" fontId="109" fillId="0" borderId="48" xfId="0" applyFont="1" applyBorder="1" applyAlignment="1">
      <alignment horizontal="center" vertical="center"/>
    </xf>
    <xf numFmtId="0" fontId="9" fillId="3" borderId="8" xfId="0" applyFont="1" applyFill="1" applyBorder="1" applyAlignment="1">
      <alignment horizontal="center" vertical="center" wrapText="1"/>
    </xf>
    <xf numFmtId="0" fontId="27" fillId="7" borderId="12" xfId="0" applyFont="1" applyFill="1" applyBorder="1" applyAlignment="1">
      <alignment horizontal="center" vertical="center"/>
    </xf>
    <xf numFmtId="0" fontId="27" fillId="7" borderId="42" xfId="0" applyFont="1" applyFill="1" applyBorder="1" applyAlignment="1">
      <alignment horizontal="center" vertical="center"/>
    </xf>
    <xf numFmtId="0" fontId="27" fillId="7" borderId="51" xfId="0" applyFont="1" applyFill="1" applyBorder="1" applyAlignment="1">
      <alignment horizontal="center" vertical="center"/>
    </xf>
    <xf numFmtId="0" fontId="27" fillId="7" borderId="37" xfId="0" applyFont="1" applyFill="1" applyBorder="1" applyAlignment="1">
      <alignment horizontal="center" vertical="center"/>
    </xf>
    <xf numFmtId="0" fontId="8" fillId="5" borderId="51" xfId="0" applyFont="1" applyFill="1" applyBorder="1" applyAlignment="1">
      <alignment horizontal="center" vertical="top"/>
    </xf>
    <xf numFmtId="0" fontId="9" fillId="3" borderId="49" xfId="0" applyFont="1" applyFill="1" applyBorder="1" applyAlignment="1">
      <alignment horizontal="center" vertical="top" wrapText="1"/>
    </xf>
    <xf numFmtId="0" fontId="9" fillId="3" borderId="50" xfId="0" applyFont="1" applyFill="1" applyBorder="1" applyAlignment="1">
      <alignment horizontal="center" vertical="top" wrapText="1"/>
    </xf>
    <xf numFmtId="0" fontId="9" fillId="3" borderId="48" xfId="0" applyFont="1" applyFill="1" applyBorder="1" applyAlignment="1">
      <alignment horizontal="center" vertical="top" wrapText="1"/>
    </xf>
    <xf numFmtId="0" fontId="9" fillId="3" borderId="47" xfId="0" applyFont="1" applyFill="1" applyBorder="1" applyAlignment="1">
      <alignment horizontal="center" vertical="center" textRotation="90" wrapText="1"/>
    </xf>
    <xf numFmtId="0" fontId="9" fillId="3" borderId="8" xfId="0" applyFont="1" applyFill="1" applyBorder="1" applyAlignment="1">
      <alignment horizontal="center" vertical="center" textRotation="90" wrapText="1"/>
    </xf>
    <xf numFmtId="0" fontId="2" fillId="3" borderId="6"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92" fillId="3" borderId="49" xfId="0" applyFont="1" applyFill="1" applyBorder="1" applyAlignment="1">
      <alignment horizontal="center" vertical="center"/>
    </xf>
    <xf numFmtId="0" fontId="92" fillId="3" borderId="50" xfId="0" applyFont="1" applyFill="1" applyBorder="1" applyAlignment="1">
      <alignment horizontal="center" vertical="center"/>
    </xf>
    <xf numFmtId="0" fontId="92" fillId="3" borderId="48"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0" fillId="7" borderId="55" xfId="0" applyFill="1" applyBorder="1" applyAlignment="1">
      <alignment horizontal="center" wrapText="1"/>
    </xf>
    <xf numFmtId="0" fontId="2" fillId="0" borderId="0" xfId="0" applyFont="1" applyBorder="1" applyAlignment="1">
      <alignment horizontal="center" wrapText="1"/>
    </xf>
    <xf numFmtId="0" fontId="2" fillId="0" borderId="25" xfId="0" applyFont="1" applyBorder="1" applyAlignment="1">
      <alignment horizontal="center" wrapText="1"/>
    </xf>
    <xf numFmtId="0" fontId="2" fillId="0" borderId="53" xfId="0" applyFont="1" applyBorder="1" applyAlignment="1">
      <alignment horizontal="left" vertical="center"/>
    </xf>
    <xf numFmtId="0" fontId="2" fillId="0" borderId="30" xfId="0" applyFont="1" applyBorder="1" applyAlignment="1">
      <alignment horizontal="left" vertical="center"/>
    </xf>
    <xf numFmtId="0" fontId="2" fillId="0" borderId="31" xfId="0" applyFont="1" applyBorder="1" applyAlignment="1">
      <alignment horizontal="left" vertical="center"/>
    </xf>
    <xf numFmtId="0" fontId="2" fillId="0" borderId="54" xfId="0" applyFont="1" applyBorder="1" applyAlignment="1">
      <alignment horizontal="left" vertical="center"/>
    </xf>
    <xf numFmtId="0" fontId="2" fillId="0" borderId="21" xfId="0" applyFont="1" applyBorder="1" applyAlignment="1">
      <alignment horizontal="left" vertical="center"/>
    </xf>
    <xf numFmtId="0" fontId="2" fillId="0" borderId="17" xfId="0" applyFont="1" applyBorder="1" applyAlignment="1">
      <alignment horizontal="left" vertical="center"/>
    </xf>
    <xf numFmtId="17" fontId="2" fillId="0" borderId="29" xfId="0" applyNumberFormat="1" applyFont="1" applyBorder="1" applyAlignment="1">
      <alignment horizontal="left" vertical="center"/>
    </xf>
    <xf numFmtId="17" fontId="2" fillId="0" borderId="30" xfId="0" applyNumberFormat="1" applyFont="1" applyBorder="1" applyAlignment="1">
      <alignment horizontal="left" vertical="center"/>
    </xf>
    <xf numFmtId="17" fontId="2" fillId="0" borderId="31" xfId="0" applyNumberFormat="1" applyFont="1" applyBorder="1" applyAlignment="1">
      <alignment horizontal="left" vertical="center"/>
    </xf>
    <xf numFmtId="17" fontId="2" fillId="0" borderId="13" xfId="0" applyNumberFormat="1" applyFont="1" applyBorder="1" applyAlignment="1">
      <alignment horizontal="left" vertical="center"/>
    </xf>
    <xf numFmtId="17" fontId="2" fillId="0" borderId="21" xfId="0" applyNumberFormat="1" applyFont="1" applyBorder="1" applyAlignment="1">
      <alignment horizontal="left" vertical="center"/>
    </xf>
    <xf numFmtId="17" fontId="2" fillId="0" borderId="17" xfId="0" applyNumberFormat="1" applyFont="1" applyBorder="1" applyAlignment="1">
      <alignment horizontal="left" vertical="center"/>
    </xf>
    <xf numFmtId="0" fontId="22" fillId="7" borderId="55" xfId="0" applyFont="1" applyFill="1" applyBorder="1" applyAlignment="1">
      <alignment horizontal="center"/>
    </xf>
    <xf numFmtId="0" fontId="22" fillId="7" borderId="4" xfId="0" applyFont="1" applyFill="1" applyBorder="1" applyAlignment="1">
      <alignment horizontal="center"/>
    </xf>
    <xf numFmtId="0" fontId="22" fillId="7" borderId="56" xfId="0" applyFont="1" applyFill="1" applyBorder="1" applyAlignment="1">
      <alignment horizontal="center"/>
    </xf>
    <xf numFmtId="0" fontId="48" fillId="5" borderId="52" xfId="0" applyFont="1" applyFill="1" applyBorder="1" applyAlignment="1">
      <alignment horizontal="center"/>
    </xf>
    <xf numFmtId="0" fontId="48" fillId="5" borderId="50" xfId="0" applyFont="1" applyFill="1" applyBorder="1" applyAlignment="1">
      <alignment horizontal="center"/>
    </xf>
    <xf numFmtId="0" fontId="48" fillId="5" borderId="40" xfId="0" applyFont="1" applyFill="1" applyBorder="1" applyAlignment="1">
      <alignment horizontal="center"/>
    </xf>
    <xf numFmtId="0" fontId="8" fillId="0" borderId="24" xfId="0" applyFont="1" applyBorder="1" applyAlignment="1">
      <alignment horizontal="left" vertical="center" wrapText="1"/>
    </xf>
    <xf numFmtId="0" fontId="8" fillId="0" borderId="0" xfId="0" applyFont="1" applyBorder="1" applyAlignment="1">
      <alignment horizontal="left" vertical="center" wrapText="1"/>
    </xf>
    <xf numFmtId="0" fontId="8" fillId="0" borderId="0" xfId="0" applyFont="1" applyBorder="1" applyAlignment="1">
      <alignment horizontal="left"/>
    </xf>
    <xf numFmtId="0" fontId="0" fillId="0" borderId="27" xfId="0" applyBorder="1" applyAlignment="1">
      <alignment horizontal="center"/>
    </xf>
    <xf numFmtId="0" fontId="8" fillId="0" borderId="24" xfId="0" applyFont="1" applyBorder="1" applyAlignment="1">
      <alignment horizontal="left"/>
    </xf>
    <xf numFmtId="0" fontId="4" fillId="0" borderId="115" xfId="0" applyFont="1" applyBorder="1" applyAlignment="1">
      <alignment horizontal="center" vertical="top" wrapText="1"/>
    </xf>
    <xf numFmtId="0" fontId="0" fillId="0" borderId="109" xfId="0" applyBorder="1" applyAlignment="1">
      <alignment horizontal="center" vertical="top" wrapText="1"/>
    </xf>
    <xf numFmtId="0" fontId="4" fillId="0" borderId="108" xfId="0" applyFont="1" applyBorder="1" applyAlignment="1">
      <alignment horizontal="left" vertical="top" wrapText="1"/>
    </xf>
    <xf numFmtId="0" fontId="4" fillId="0" borderId="110" xfId="0" applyFont="1" applyBorder="1" applyAlignment="1">
      <alignment horizontal="left" vertical="top" wrapText="1"/>
    </xf>
    <xf numFmtId="0" fontId="4" fillId="0" borderId="115" xfId="0" applyFont="1" applyBorder="1" applyAlignment="1">
      <alignment horizontal="left" vertical="top" wrapText="1"/>
    </xf>
    <xf numFmtId="0" fontId="0" fillId="26" borderId="115" xfId="0" applyFill="1" applyBorder="1" applyAlignment="1">
      <alignment horizontal="left" wrapText="1"/>
    </xf>
    <xf numFmtId="0" fontId="0" fillId="26" borderId="109" xfId="0" applyFill="1" applyBorder="1" applyAlignment="1">
      <alignment horizontal="left" wrapText="1"/>
    </xf>
    <xf numFmtId="0" fontId="4" fillId="0" borderId="115" xfId="0" applyFont="1" applyBorder="1" applyAlignment="1">
      <alignment horizontal="left" vertical="top" wrapText="1" indent="5"/>
    </xf>
    <xf numFmtId="0" fontId="4" fillId="0" borderId="110" xfId="0" applyFont="1" applyBorder="1" applyAlignment="1">
      <alignment horizontal="left" vertical="top" wrapText="1" indent="5"/>
    </xf>
    <xf numFmtId="0" fontId="4" fillId="0" borderId="108" xfId="0" applyFont="1" applyBorder="1" applyAlignment="1">
      <alignment horizontal="left" vertical="top" wrapText="1" indent="2"/>
    </xf>
    <xf numFmtId="0" fontId="4" fillId="0" borderId="110" xfId="0" applyFont="1" applyBorder="1" applyAlignment="1">
      <alignment horizontal="left" vertical="top" wrapText="1" indent="2"/>
    </xf>
    <xf numFmtId="1" fontId="114" fillId="0" borderId="108" xfId="0" applyNumberFormat="1" applyFont="1" applyBorder="1" applyAlignment="1">
      <alignment horizontal="left" vertical="top" indent="6" shrinkToFit="1"/>
    </xf>
    <xf numFmtId="1" fontId="114" fillId="0" borderId="109" xfId="0" applyNumberFormat="1" applyFont="1" applyBorder="1" applyAlignment="1">
      <alignment horizontal="left" vertical="top" indent="6" shrinkToFit="1"/>
    </xf>
    <xf numFmtId="0" fontId="4" fillId="26" borderId="115" xfId="0" applyFont="1" applyFill="1" applyBorder="1" applyAlignment="1">
      <alignment horizontal="left" vertical="top" wrapText="1"/>
    </xf>
    <xf numFmtId="0" fontId="4" fillId="26" borderId="110" xfId="0" applyFont="1" applyFill="1" applyBorder="1" applyAlignment="1">
      <alignment horizontal="left" vertical="top" wrapText="1"/>
    </xf>
    <xf numFmtId="0" fontId="4" fillId="26" borderId="108" xfId="0" applyFont="1" applyFill="1" applyBorder="1" applyAlignment="1">
      <alignment horizontal="left" vertical="top" wrapText="1"/>
    </xf>
    <xf numFmtId="0" fontId="0" fillId="0" borderId="115" xfId="0" applyBorder="1" applyAlignment="1">
      <alignment horizontal="left" wrapText="1"/>
    </xf>
    <xf numFmtId="0" fontId="0" fillId="0" borderId="109" xfId="0" applyBorder="1" applyAlignment="1">
      <alignment horizontal="left" wrapText="1"/>
    </xf>
    <xf numFmtId="170" fontId="115" fillId="26" borderId="108" xfId="0" applyNumberFormat="1" applyFont="1" applyFill="1" applyBorder="1" applyAlignment="1">
      <alignment horizontal="left" vertical="top" shrinkToFit="1"/>
    </xf>
    <xf numFmtId="170" fontId="115" fillId="26" borderId="109" xfId="0" applyNumberFormat="1" applyFont="1" applyFill="1" applyBorder="1" applyAlignment="1">
      <alignment horizontal="left" vertical="top" shrinkToFit="1"/>
    </xf>
    <xf numFmtId="0" fontId="0" fillId="0" borderId="110" xfId="0" applyBorder="1" applyAlignment="1">
      <alignment horizontal="left" vertical="top" wrapText="1"/>
    </xf>
    <xf numFmtId="0" fontId="2" fillId="0" borderId="108" xfId="0" applyFont="1" applyBorder="1" applyAlignment="1">
      <alignment horizontal="left" wrapText="1"/>
    </xf>
    <xf numFmtId="0" fontId="2" fillId="0" borderId="110" xfId="0" applyFont="1" applyBorder="1" applyAlignment="1">
      <alignment horizontal="left" wrapText="1"/>
    </xf>
    <xf numFmtId="0" fontId="117" fillId="0" borderId="117" xfId="0" applyFont="1" applyBorder="1" applyAlignment="1">
      <alignment horizontal="left" vertical="top" wrapText="1"/>
    </xf>
    <xf numFmtId="0" fontId="117" fillId="0" borderId="118" xfId="0" applyFont="1" applyBorder="1" applyAlignment="1">
      <alignment horizontal="left" vertical="top" wrapText="1"/>
    </xf>
    <xf numFmtId="0" fontId="116" fillId="26" borderId="115" xfId="0" applyFont="1" applyFill="1" applyBorder="1" applyAlignment="1">
      <alignment horizontal="left" vertical="top" wrapText="1"/>
    </xf>
    <xf numFmtId="0" fontId="116" fillId="26" borderId="110" xfId="0" applyFont="1" applyFill="1" applyBorder="1" applyAlignment="1">
      <alignment horizontal="left" vertical="top" wrapText="1"/>
    </xf>
    <xf numFmtId="0" fontId="116" fillId="26" borderId="108" xfId="0" applyFont="1" applyFill="1" applyBorder="1" applyAlignment="1">
      <alignment horizontal="left" vertical="top" wrapText="1"/>
    </xf>
    <xf numFmtId="0" fontId="116" fillId="26" borderId="109" xfId="0" applyFont="1" applyFill="1" applyBorder="1" applyAlignment="1">
      <alignment horizontal="left" vertical="top" wrapText="1"/>
    </xf>
    <xf numFmtId="0" fontId="4" fillId="0" borderId="115" xfId="0" applyFont="1" applyBorder="1" applyAlignment="1">
      <alignment horizontal="center" vertical="center" wrapText="1"/>
    </xf>
    <xf numFmtId="0" fontId="0" fillId="0" borderId="109" xfId="0" applyBorder="1" applyAlignment="1">
      <alignment horizontal="center" vertical="center" wrapText="1"/>
    </xf>
    <xf numFmtId="0" fontId="6" fillId="0" borderId="108" xfId="0" applyFont="1" applyBorder="1" applyAlignment="1">
      <alignment horizontal="left" vertical="top" wrapText="1"/>
    </xf>
    <xf numFmtId="0" fontId="6" fillId="0" borderId="109" xfId="0" applyFont="1" applyBorder="1" applyAlignment="1">
      <alignment horizontal="left" vertical="top" wrapText="1"/>
    </xf>
    <xf numFmtId="0" fontId="6" fillId="0" borderId="110" xfId="0" applyFont="1" applyBorder="1" applyAlignment="1">
      <alignment horizontal="left" vertical="top" wrapText="1"/>
    </xf>
    <xf numFmtId="1" fontId="114" fillId="0" borderId="108" xfId="0" applyNumberFormat="1" applyFont="1" applyBorder="1" applyAlignment="1">
      <alignment horizontal="center" vertical="top" shrinkToFit="1"/>
    </xf>
    <xf numFmtId="1" fontId="114" fillId="0" borderId="109" xfId="0" applyNumberFormat="1" applyFont="1" applyBorder="1" applyAlignment="1">
      <alignment horizontal="center" vertical="top" shrinkToFit="1"/>
    </xf>
    <xf numFmtId="0" fontId="6" fillId="0" borderId="108" xfId="0" applyFont="1" applyBorder="1" applyAlignment="1">
      <alignment horizontal="center" vertical="top" wrapText="1"/>
    </xf>
    <xf numFmtId="0" fontId="6" fillId="0" borderId="109" xfId="0" applyFont="1" applyBorder="1" applyAlignment="1">
      <alignment horizontal="center" vertical="top" wrapText="1"/>
    </xf>
    <xf numFmtId="169" fontId="114" fillId="0" borderId="108" xfId="0" applyNumberFormat="1" applyFont="1" applyBorder="1" applyAlignment="1">
      <alignment horizontal="left" vertical="top" shrinkToFit="1"/>
    </xf>
    <xf numFmtId="169" fontId="114" fillId="0" borderId="109" xfId="0" applyNumberFormat="1" applyFont="1" applyBorder="1" applyAlignment="1">
      <alignment horizontal="left" vertical="top" shrinkToFit="1"/>
    </xf>
    <xf numFmtId="169" fontId="114" fillId="0" borderId="110" xfId="0" applyNumberFormat="1" applyFont="1" applyBorder="1" applyAlignment="1">
      <alignment horizontal="left" vertical="top" shrinkToFit="1"/>
    </xf>
    <xf numFmtId="0" fontId="6" fillId="0" borderId="112" xfId="0" applyFont="1" applyBorder="1" applyAlignment="1">
      <alignment horizontal="left" vertical="top" wrapText="1"/>
    </xf>
    <xf numFmtId="0" fontId="6" fillId="0" borderId="113" xfId="0" applyFont="1" applyBorder="1" applyAlignment="1">
      <alignment horizontal="left" vertical="top" wrapText="1"/>
    </xf>
    <xf numFmtId="0" fontId="6" fillId="0" borderId="114" xfId="0" applyFont="1" applyBorder="1" applyAlignment="1">
      <alignment horizontal="left" vertical="top" wrapText="1"/>
    </xf>
    <xf numFmtId="0" fontId="9" fillId="3" borderId="9" xfId="0" applyFont="1" applyFill="1" applyBorder="1" applyAlignment="1">
      <alignment horizontal="left" vertical="top" wrapText="1"/>
    </xf>
    <xf numFmtId="0" fontId="9" fillId="3" borderId="9" xfId="0" applyFont="1" applyFill="1" applyBorder="1" applyAlignment="1">
      <alignment horizontal="center" vertical="top" wrapText="1"/>
    </xf>
    <xf numFmtId="0" fontId="22" fillId="7" borderId="9" xfId="0" applyFont="1" applyFill="1" applyBorder="1" applyAlignment="1">
      <alignment horizontal="center" vertical="center"/>
    </xf>
    <xf numFmtId="0" fontId="37" fillId="5" borderId="9" xfId="0" applyFont="1" applyFill="1" applyBorder="1" applyAlignment="1">
      <alignment horizontal="center" vertical="top"/>
    </xf>
    <xf numFmtId="0" fontId="8" fillId="0" borderId="49" xfId="0" applyFont="1" applyBorder="1" applyAlignment="1">
      <alignment horizontal="right" vertical="top"/>
    </xf>
    <xf numFmtId="0" fontId="8" fillId="0" borderId="50" xfId="0" applyFont="1" applyBorder="1" applyAlignment="1">
      <alignment horizontal="right" vertical="top"/>
    </xf>
    <xf numFmtId="0" fontId="8" fillId="0" borderId="48" xfId="0" applyFont="1" applyBorder="1" applyAlignment="1">
      <alignment horizontal="right" vertical="top"/>
    </xf>
    <xf numFmtId="0" fontId="9" fillId="3" borderId="47" xfId="0" applyFont="1" applyFill="1" applyBorder="1" applyAlignment="1">
      <alignment horizontal="center" vertical="top" wrapText="1"/>
    </xf>
    <xf numFmtId="0" fontId="9" fillId="3" borderId="8" xfId="0" applyFont="1" applyFill="1" applyBorder="1" applyAlignment="1">
      <alignment horizontal="center" vertical="top" wrapText="1"/>
    </xf>
    <xf numFmtId="0" fontId="9" fillId="3" borderId="47" xfId="0" applyFont="1" applyFill="1" applyBorder="1" applyAlignment="1">
      <alignment horizontal="left" vertical="top" wrapText="1"/>
    </xf>
    <xf numFmtId="0" fontId="9" fillId="3" borderId="8" xfId="0" applyFont="1" applyFill="1" applyBorder="1" applyAlignment="1">
      <alignment horizontal="left" vertical="top" wrapText="1"/>
    </xf>
    <xf numFmtId="0" fontId="37" fillId="5" borderId="33" xfId="0" applyFont="1" applyFill="1" applyBorder="1" applyAlignment="1">
      <alignment horizontal="center" vertical="top"/>
    </xf>
    <xf numFmtId="0" fontId="9" fillId="3" borderId="11" xfId="0" applyFont="1" applyFill="1" applyBorder="1" applyAlignment="1">
      <alignment horizontal="center" vertical="top" wrapText="1"/>
    </xf>
    <xf numFmtId="0" fontId="22" fillId="7" borderId="45" xfId="0" applyFont="1" applyFill="1" applyBorder="1" applyAlignment="1">
      <alignment horizontal="center" vertical="center"/>
    </xf>
    <xf numFmtId="0" fontId="22" fillId="7" borderId="12" xfId="0" applyFont="1" applyFill="1" applyBorder="1" applyAlignment="1">
      <alignment horizontal="center" vertical="center"/>
    </xf>
    <xf numFmtId="0" fontId="22" fillId="7" borderId="42" xfId="0" applyFont="1" applyFill="1" applyBorder="1" applyAlignment="1">
      <alignment horizontal="center" vertical="center"/>
    </xf>
    <xf numFmtId="0" fontId="37" fillId="5" borderId="44" xfId="0" applyFont="1" applyFill="1" applyBorder="1" applyAlignment="1">
      <alignment horizontal="center" vertical="top"/>
    </xf>
    <xf numFmtId="0" fontId="37" fillId="5" borderId="51" xfId="0" applyFont="1" applyFill="1" applyBorder="1" applyAlignment="1">
      <alignment horizontal="center" vertical="top"/>
    </xf>
    <xf numFmtId="0" fontId="37" fillId="5" borderId="37" xfId="0" applyFont="1" applyFill="1" applyBorder="1" applyAlignment="1">
      <alignment horizontal="center" vertical="top"/>
    </xf>
    <xf numFmtId="0" fontId="9" fillId="3" borderId="44" xfId="0" applyFont="1" applyFill="1" applyBorder="1" applyAlignment="1">
      <alignment horizontal="center" vertical="top" wrapText="1"/>
    </xf>
    <xf numFmtId="0" fontId="9" fillId="3" borderId="51" xfId="0" applyFont="1" applyFill="1" applyBorder="1" applyAlignment="1">
      <alignment horizontal="center" vertical="top" wrapText="1"/>
    </xf>
    <xf numFmtId="0" fontId="9" fillId="3" borderId="48" xfId="0" applyFont="1" applyFill="1" applyBorder="1" applyAlignment="1">
      <alignment horizontal="left" vertical="top" wrapText="1"/>
    </xf>
    <xf numFmtId="0" fontId="9" fillId="3" borderId="51" xfId="0" applyFont="1" applyFill="1" applyBorder="1" applyAlignment="1">
      <alignment horizontal="left" vertical="top" wrapText="1"/>
    </xf>
    <xf numFmtId="0" fontId="9" fillId="3" borderId="38" xfId="0" applyFont="1" applyFill="1" applyBorder="1" applyAlignment="1">
      <alignment horizontal="center" vertical="top" wrapText="1"/>
    </xf>
    <xf numFmtId="0" fontId="9" fillId="3" borderId="10" xfId="0" applyFont="1" applyFill="1" applyBorder="1" applyAlignment="1">
      <alignment horizontal="center" vertical="top" wrapText="1"/>
    </xf>
    <xf numFmtId="0" fontId="2" fillId="0" borderId="119" xfId="0" applyNumberFormat="1" applyFont="1" applyBorder="1" applyAlignment="1">
      <alignment horizontal="center" wrapText="1"/>
    </xf>
    <xf numFmtId="0" fontId="2" fillId="0" borderId="120" xfId="0" applyNumberFormat="1" applyFont="1" applyBorder="1" applyAlignment="1">
      <alignment horizontal="center" wrapText="1"/>
    </xf>
    <xf numFmtId="0" fontId="22" fillId="7" borderId="29" xfId="0" applyFont="1" applyFill="1" applyBorder="1" applyAlignment="1">
      <alignment horizontal="center" vertical="center"/>
    </xf>
    <xf numFmtId="0" fontId="22" fillId="7" borderId="30" xfId="0" applyFont="1" applyFill="1" applyBorder="1" applyAlignment="1">
      <alignment horizontal="center" vertical="center"/>
    </xf>
    <xf numFmtId="0" fontId="22" fillId="7" borderId="31" xfId="0" applyFont="1" applyFill="1" applyBorder="1" applyAlignment="1">
      <alignment horizontal="center" vertical="center"/>
    </xf>
    <xf numFmtId="0" fontId="9" fillId="5" borderId="51" xfId="0" applyFont="1" applyFill="1" applyBorder="1" applyAlignment="1">
      <alignment horizontal="center" vertical="top"/>
    </xf>
    <xf numFmtId="0" fontId="9" fillId="0" borderId="51" xfId="0" applyFont="1" applyBorder="1" applyAlignment="1">
      <alignment horizontal="center" vertical="top"/>
    </xf>
    <xf numFmtId="0" fontId="8" fillId="0" borderId="51" xfId="0" applyFont="1" applyBorder="1" applyAlignment="1">
      <alignment horizontal="left" vertical="top"/>
    </xf>
    <xf numFmtId="0" fontId="8" fillId="0" borderId="47" xfId="0" applyFont="1" applyBorder="1" applyAlignment="1">
      <alignment horizontal="left" vertical="top"/>
    </xf>
    <xf numFmtId="0" fontId="9" fillId="3" borderId="47" xfId="0" applyFont="1" applyFill="1" applyBorder="1" applyAlignment="1">
      <alignment horizontal="center" vertical="center" textRotation="90"/>
    </xf>
    <xf numFmtId="0" fontId="9" fillId="3" borderId="11" xfId="0" applyFont="1" applyFill="1" applyBorder="1" applyAlignment="1">
      <alignment horizontal="center" vertical="center" textRotation="90"/>
    </xf>
    <xf numFmtId="0" fontId="9" fillId="3" borderId="8" xfId="0" applyFont="1" applyFill="1" applyBorder="1" applyAlignment="1">
      <alignment horizontal="center" vertical="center" textRotation="90"/>
    </xf>
    <xf numFmtId="0" fontId="9" fillId="3" borderId="11" xfId="0" applyFont="1" applyFill="1" applyBorder="1" applyAlignment="1">
      <alignment horizontal="center" vertical="center" textRotation="90" wrapText="1"/>
    </xf>
    <xf numFmtId="0" fontId="9" fillId="3" borderId="47" xfId="0" applyFont="1" applyFill="1" applyBorder="1" applyAlignment="1">
      <alignment horizontal="left" vertical="center" textRotation="90" wrapText="1"/>
    </xf>
    <xf numFmtId="0" fontId="9" fillId="3" borderId="8" xfId="0" applyFont="1" applyFill="1" applyBorder="1" applyAlignment="1">
      <alignment horizontal="left" vertical="center" textRotation="90" wrapText="1"/>
    </xf>
    <xf numFmtId="0" fontId="9" fillId="3" borderId="29" xfId="0" applyFont="1" applyFill="1" applyBorder="1" applyAlignment="1">
      <alignment horizontal="center" vertical="center" wrapText="1"/>
    </xf>
    <xf numFmtId="0" fontId="9" fillId="3" borderId="30"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55" xfId="0" applyFont="1" applyFill="1" applyBorder="1" applyAlignment="1">
      <alignment horizontal="center" wrapText="1"/>
    </xf>
    <xf numFmtId="0" fontId="9" fillId="3" borderId="4" xfId="0" applyFont="1" applyFill="1" applyBorder="1" applyAlignment="1">
      <alignment horizontal="center" wrapText="1"/>
    </xf>
    <xf numFmtId="0" fontId="9" fillId="3" borderId="56" xfId="0" applyFont="1" applyFill="1" applyBorder="1" applyAlignment="1">
      <alignment horizontal="center" wrapText="1"/>
    </xf>
    <xf numFmtId="0" fontId="0" fillId="0" borderId="59" xfId="0" applyBorder="1" applyAlignment="1">
      <alignment horizontal="center"/>
    </xf>
    <xf numFmtId="0" fontId="50" fillId="0" borderId="8" xfId="0" applyFont="1" applyBorder="1" applyAlignment="1">
      <alignment horizontal="center"/>
    </xf>
    <xf numFmtId="0" fontId="27" fillId="7" borderId="22" xfId="0" applyFont="1" applyFill="1" applyBorder="1" applyAlignment="1">
      <alignment horizontal="center"/>
    </xf>
    <xf numFmtId="0" fontId="27" fillId="7" borderId="14" xfId="0" applyFont="1" applyFill="1" applyBorder="1" applyAlignment="1">
      <alignment horizontal="center"/>
    </xf>
    <xf numFmtId="0" fontId="27" fillId="7" borderId="23" xfId="0" applyFont="1" applyFill="1" applyBorder="1" applyAlignment="1">
      <alignment horizontal="center"/>
    </xf>
    <xf numFmtId="0" fontId="0" fillId="0" borderId="55" xfId="0" applyBorder="1" applyAlignment="1">
      <alignment horizontal="center" vertical="center" wrapText="1"/>
    </xf>
    <xf numFmtId="0" fontId="0" fillId="0" borderId="52" xfId="0" applyBorder="1" applyAlignment="1">
      <alignment horizontal="center" vertical="center" wrapText="1"/>
    </xf>
    <xf numFmtId="0" fontId="0" fillId="0" borderId="87" xfId="0" applyBorder="1" applyAlignment="1">
      <alignment horizontal="center" vertical="center" wrapText="1"/>
    </xf>
    <xf numFmtId="0" fontId="0" fillId="0" borderId="58" xfId="0" applyBorder="1" applyAlignment="1">
      <alignment horizontal="center" vertical="center" wrapText="1"/>
    </xf>
    <xf numFmtId="0" fontId="0" fillId="0" borderId="60" xfId="0" applyBorder="1" applyAlignment="1">
      <alignment horizontal="center" vertical="center" wrapText="1"/>
    </xf>
    <xf numFmtId="0" fontId="0" fillId="0" borderId="59" xfId="0" applyBorder="1" applyAlignment="1">
      <alignment horizontal="center" vertical="center" wrapText="1"/>
    </xf>
    <xf numFmtId="0" fontId="0" fillId="0" borderId="56" xfId="0" applyBorder="1" applyAlignment="1">
      <alignment horizontal="center" vertical="center" wrapText="1"/>
    </xf>
    <xf numFmtId="0" fontId="0" fillId="0" borderId="40" xfId="0" applyBorder="1" applyAlignment="1">
      <alignment horizontal="center" vertical="center" wrapText="1"/>
    </xf>
    <xf numFmtId="0" fontId="0" fillId="0" borderId="86" xfId="0" applyBorder="1" applyAlignment="1">
      <alignment horizontal="center" vertical="center" wrapText="1"/>
    </xf>
    <xf numFmtId="0" fontId="19" fillId="14" borderId="52" xfId="0" applyFont="1" applyFill="1" applyBorder="1" applyAlignment="1">
      <alignment horizontal="center"/>
    </xf>
    <xf numFmtId="0" fontId="19" fillId="14" borderId="50" xfId="0" applyFont="1" applyFill="1" applyBorder="1" applyAlignment="1">
      <alignment horizontal="center"/>
    </xf>
    <xf numFmtId="0" fontId="19" fillId="14" borderId="40" xfId="0" applyFont="1" applyFill="1" applyBorder="1" applyAlignment="1">
      <alignment horizontal="center"/>
    </xf>
    <xf numFmtId="0" fontId="0" fillId="4" borderId="49" xfId="0" applyFill="1" applyBorder="1" applyAlignment="1">
      <alignment horizontal="center"/>
    </xf>
    <xf numFmtId="0" fontId="0" fillId="4" borderId="48" xfId="0" applyFill="1" applyBorder="1" applyAlignment="1">
      <alignment horizontal="center"/>
    </xf>
    <xf numFmtId="0" fontId="9" fillId="0" borderId="53" xfId="9" applyFont="1" applyBorder="1" applyAlignment="1">
      <alignment horizontal="center"/>
    </xf>
    <xf numFmtId="0" fontId="9" fillId="0" borderId="30" xfId="9" applyFont="1" applyBorder="1" applyAlignment="1">
      <alignment horizontal="center"/>
    </xf>
    <xf numFmtId="0" fontId="9" fillId="0" borderId="41" xfId="9" applyFont="1" applyBorder="1" applyAlignment="1">
      <alignment horizontal="center"/>
    </xf>
    <xf numFmtId="0" fontId="46" fillId="9" borderId="57" xfId="9" applyFont="1" applyFill="1" applyBorder="1" applyAlignment="1">
      <alignment horizontal="center" vertical="center"/>
    </xf>
    <xf numFmtId="0" fontId="46" fillId="9" borderId="15" xfId="9" applyFont="1" applyFill="1" applyBorder="1" applyAlignment="1">
      <alignment horizontal="center" vertical="center"/>
    </xf>
    <xf numFmtId="0" fontId="46" fillId="9" borderId="16" xfId="9" applyFont="1" applyFill="1" applyBorder="1" applyAlignment="1">
      <alignment horizontal="center" vertical="center"/>
    </xf>
    <xf numFmtId="0" fontId="0" fillId="23" borderId="22" xfId="9" applyFont="1" applyFill="1" applyBorder="1" applyAlignment="1">
      <alignment horizontal="center"/>
    </xf>
    <xf numFmtId="0" fontId="0" fillId="23" borderId="14" xfId="9" applyFont="1" applyFill="1" applyBorder="1" applyAlignment="1">
      <alignment horizontal="center"/>
    </xf>
    <xf numFmtId="0" fontId="0" fillId="23" borderId="23" xfId="9" applyFont="1" applyFill="1" applyBorder="1" applyAlignment="1">
      <alignment horizontal="center"/>
    </xf>
    <xf numFmtId="0" fontId="19" fillId="14" borderId="49" xfId="9" applyFont="1" applyFill="1" applyBorder="1" applyAlignment="1">
      <alignment horizontal="center"/>
    </xf>
    <xf numFmtId="0" fontId="19" fillId="14" borderId="50" xfId="9" applyFont="1" applyFill="1" applyBorder="1" applyAlignment="1">
      <alignment horizontal="center"/>
    </xf>
    <xf numFmtId="0" fontId="19" fillId="14" borderId="48" xfId="9" applyFont="1" applyFill="1" applyBorder="1" applyAlignment="1">
      <alignment horizontal="center"/>
    </xf>
    <xf numFmtId="0" fontId="9" fillId="0" borderId="24" xfId="9" applyFont="1" applyBorder="1" applyAlignment="1">
      <alignment horizontal="center" vertical="justify" wrapText="1"/>
    </xf>
    <xf numFmtId="0" fontId="9" fillId="0" borderId="0" xfId="9" applyFont="1" applyBorder="1" applyAlignment="1">
      <alignment horizontal="center" vertical="justify" wrapText="1"/>
    </xf>
    <xf numFmtId="0" fontId="9" fillId="0" borderId="25" xfId="9" applyFont="1" applyBorder="1" applyAlignment="1">
      <alignment horizontal="center" vertical="justify" wrapText="1"/>
    </xf>
    <xf numFmtId="0" fontId="0" fillId="0" borderId="24" xfId="9" applyFont="1" applyBorder="1" applyAlignment="1">
      <alignment horizontal="left" vertical="justify" wrapText="1"/>
    </xf>
    <xf numFmtId="0" fontId="0" fillId="0" borderId="0" xfId="9" applyFont="1" applyBorder="1" applyAlignment="1">
      <alignment horizontal="left" vertical="justify" wrapText="1"/>
    </xf>
    <xf numFmtId="0" fontId="0" fillId="0" borderId="25" xfId="9" applyFont="1" applyBorder="1" applyAlignment="1">
      <alignment horizontal="left" vertical="justify" wrapText="1"/>
    </xf>
    <xf numFmtId="0" fontId="102" fillId="0" borderId="24" xfId="9" applyFont="1" applyBorder="1" applyAlignment="1">
      <alignment horizontal="left" vertical="justify" wrapText="1"/>
    </xf>
    <xf numFmtId="0" fontId="102" fillId="0" borderId="0" xfId="9" applyFont="1" applyBorder="1" applyAlignment="1">
      <alignment horizontal="left" vertical="justify" wrapText="1"/>
    </xf>
    <xf numFmtId="0" fontId="102" fillId="0" borderId="25" xfId="9" applyFont="1" applyBorder="1" applyAlignment="1">
      <alignment horizontal="left" vertical="justify" wrapText="1"/>
    </xf>
    <xf numFmtId="0" fontId="35" fillId="0" borderId="47" xfId="0" applyFont="1" applyBorder="1" applyAlignment="1">
      <alignment horizontal="center" vertical="center" wrapText="1"/>
    </xf>
    <xf numFmtId="0" fontId="35" fillId="0" borderId="8" xfId="0" applyFont="1" applyBorder="1" applyAlignment="1">
      <alignment horizontal="center" vertical="center" wrapText="1"/>
    </xf>
    <xf numFmtId="0" fontId="22" fillId="7" borderId="55" xfId="0" applyFont="1" applyFill="1" applyBorder="1" applyAlignment="1">
      <alignment horizontal="center" vertical="center"/>
    </xf>
    <xf numFmtId="0" fontId="22" fillId="7" borderId="4" xfId="0" applyFont="1" applyFill="1" applyBorder="1" applyAlignment="1">
      <alignment horizontal="center" vertical="center"/>
    </xf>
    <xf numFmtId="0" fontId="37" fillId="5" borderId="52" xfId="0" applyFont="1" applyFill="1" applyBorder="1" applyAlignment="1">
      <alignment horizontal="center"/>
    </xf>
    <xf numFmtId="0" fontId="37" fillId="5" borderId="50" xfId="0" applyFont="1" applyFill="1" applyBorder="1" applyAlignment="1">
      <alignment horizontal="center"/>
    </xf>
    <xf numFmtId="0" fontId="35" fillId="0" borderId="43" xfId="0" applyFont="1" applyBorder="1" applyAlignment="1">
      <alignment horizontal="center" vertical="center" wrapText="1"/>
    </xf>
    <xf numFmtId="0" fontId="35" fillId="0" borderId="7" xfId="0" applyFont="1" applyBorder="1" applyAlignment="1">
      <alignment horizontal="center" vertical="center" wrapText="1"/>
    </xf>
    <xf numFmtId="0" fontId="35" fillId="0" borderId="51" xfId="0" applyFont="1" applyBorder="1" applyAlignment="1">
      <alignment horizontal="center" vertical="center" wrapText="1"/>
    </xf>
    <xf numFmtId="0" fontId="35" fillId="0" borderId="51" xfId="0" applyFont="1" applyBorder="1" applyAlignment="1">
      <alignment horizontal="center" wrapText="1"/>
    </xf>
    <xf numFmtId="0" fontId="35" fillId="0" borderId="51" xfId="0" applyFont="1" applyBorder="1" applyAlignment="1">
      <alignment horizontal="center"/>
    </xf>
    <xf numFmtId="0" fontId="44" fillId="2" borderId="49" xfId="0" applyFont="1" applyFill="1" applyBorder="1" applyAlignment="1">
      <alignment horizontal="center" vertical="top" wrapText="1"/>
    </xf>
    <xf numFmtId="0" fontId="44" fillId="2" borderId="50" xfId="0" applyFont="1" applyFill="1" applyBorder="1" applyAlignment="1">
      <alignment horizontal="center" vertical="top" wrapText="1"/>
    </xf>
    <xf numFmtId="0" fontId="44" fillId="2" borderId="48" xfId="0" applyFont="1" applyFill="1" applyBorder="1" applyAlignment="1">
      <alignment horizontal="center" vertical="top" wrapText="1"/>
    </xf>
    <xf numFmtId="166" fontId="10" fillId="0" borderId="49" xfId="0" applyNumberFormat="1" applyFont="1" applyBorder="1" applyAlignment="1">
      <alignment horizontal="left" vertical="center" wrapText="1"/>
    </xf>
    <xf numFmtId="166" fontId="10" fillId="0" borderId="50" xfId="0" applyNumberFormat="1" applyFont="1" applyBorder="1" applyAlignment="1">
      <alignment horizontal="left" vertical="center" wrapText="1"/>
    </xf>
    <xf numFmtId="166" fontId="10" fillId="0" borderId="40" xfId="0" applyNumberFormat="1" applyFont="1" applyBorder="1" applyAlignment="1">
      <alignment horizontal="left" vertical="center" wrapText="1"/>
    </xf>
    <xf numFmtId="166" fontId="41" fillId="0" borderId="49" xfId="0" applyNumberFormat="1" applyFont="1" applyBorder="1" applyAlignment="1">
      <alignment horizontal="left" vertical="center" wrapText="1"/>
    </xf>
    <xf numFmtId="166" fontId="41" fillId="0" borderId="50" xfId="0" applyNumberFormat="1" applyFont="1" applyBorder="1" applyAlignment="1">
      <alignment horizontal="left" vertical="center" wrapText="1"/>
    </xf>
    <xf numFmtId="166" fontId="41" fillId="0" borderId="40" xfId="0" applyNumberFormat="1" applyFont="1" applyBorder="1" applyAlignment="1">
      <alignment horizontal="left" vertical="center" wrapText="1"/>
    </xf>
    <xf numFmtId="0" fontId="43" fillId="2" borderId="52" xfId="0" applyFont="1" applyFill="1" applyBorder="1" applyAlignment="1">
      <alignment horizontal="left" vertical="top" wrapText="1"/>
    </xf>
    <xf numFmtId="0" fontId="43" fillId="2" borderId="48" xfId="0" applyFont="1" applyFill="1" applyBorder="1" applyAlignment="1">
      <alignment horizontal="left" vertical="top" wrapText="1"/>
    </xf>
    <xf numFmtId="0" fontId="0" fillId="2" borderId="24" xfId="0" applyFill="1" applyBorder="1" applyAlignment="1">
      <alignment horizontal="justify" vertical="top" wrapText="1"/>
    </xf>
    <xf numFmtId="0" fontId="0" fillId="2" borderId="0" xfId="0" applyFill="1" applyBorder="1" applyAlignment="1">
      <alignment horizontal="justify" vertical="top" wrapText="1"/>
    </xf>
    <xf numFmtId="0" fontId="60" fillId="7" borderId="55" xfId="0" applyFont="1" applyFill="1" applyBorder="1" applyAlignment="1">
      <alignment horizontal="center" vertical="center" wrapText="1"/>
    </xf>
    <xf numFmtId="0" fontId="60" fillId="7" borderId="4" xfId="0" applyFont="1" applyFill="1" applyBorder="1" applyAlignment="1">
      <alignment horizontal="center" vertical="center" wrapText="1"/>
    </xf>
    <xf numFmtId="0" fontId="46" fillId="2" borderId="24" xfId="0" applyFont="1" applyFill="1" applyBorder="1" applyAlignment="1">
      <alignment horizontal="center" vertical="top" wrapText="1"/>
    </xf>
    <xf numFmtId="0" fontId="46" fillId="2" borderId="0" xfId="0" applyFont="1" applyFill="1" applyBorder="1" applyAlignment="1">
      <alignment horizontal="center" vertical="top" wrapText="1"/>
    </xf>
    <xf numFmtId="165" fontId="40" fillId="2" borderId="0" xfId="0" applyNumberFormat="1" applyFont="1" applyFill="1" applyBorder="1" applyAlignment="1">
      <alignment horizontal="center" vertical="top" wrapText="1"/>
    </xf>
    <xf numFmtId="0" fontId="39" fillId="2" borderId="24" xfId="0" applyFont="1" applyFill="1" applyBorder="1" applyAlignment="1">
      <alignment horizontal="center" vertical="top" wrapText="1"/>
    </xf>
    <xf numFmtId="0" fontId="39" fillId="2" borderId="0" xfId="0" applyFont="1" applyFill="1" applyBorder="1" applyAlignment="1">
      <alignment horizontal="center" vertical="top" wrapText="1"/>
    </xf>
    <xf numFmtId="0" fontId="39" fillId="2" borderId="25" xfId="0" applyFont="1" applyFill="1" applyBorder="1" applyAlignment="1">
      <alignment horizontal="center" vertical="top" wrapText="1"/>
    </xf>
    <xf numFmtId="0" fontId="62" fillId="0" borderId="49" xfId="0" applyFont="1" applyBorder="1" applyAlignment="1">
      <alignment horizontal="left"/>
    </xf>
    <xf numFmtId="0" fontId="62" fillId="0" borderId="40" xfId="0" applyFont="1" applyBorder="1" applyAlignment="1">
      <alignment horizontal="left"/>
    </xf>
    <xf numFmtId="0" fontId="66" fillId="5" borderId="55" xfId="0" applyFont="1" applyFill="1" applyBorder="1" applyAlignment="1">
      <alignment horizontal="center"/>
    </xf>
    <xf numFmtId="0" fontId="66" fillId="5" borderId="4" xfId="0" applyFont="1" applyFill="1" applyBorder="1" applyAlignment="1">
      <alignment horizontal="center"/>
    </xf>
    <xf numFmtId="0" fontId="66" fillId="5" borderId="56" xfId="0" applyFont="1" applyFill="1" applyBorder="1" applyAlignment="1">
      <alignment horizontal="center"/>
    </xf>
    <xf numFmtId="0" fontId="67" fillId="7" borderId="24" xfId="0" applyFont="1" applyFill="1" applyBorder="1" applyAlignment="1">
      <alignment horizontal="center"/>
    </xf>
    <xf numFmtId="0" fontId="67" fillId="7" borderId="0" xfId="0" applyFont="1" applyFill="1" applyBorder="1" applyAlignment="1">
      <alignment horizontal="center"/>
    </xf>
    <xf numFmtId="0" fontId="67" fillId="7" borderId="25" xfId="0" applyFont="1" applyFill="1" applyBorder="1" applyAlignment="1">
      <alignment horizontal="center"/>
    </xf>
    <xf numFmtId="0" fontId="66" fillId="14" borderId="52" xfId="0" applyFont="1" applyFill="1" applyBorder="1" applyAlignment="1">
      <alignment horizontal="center" wrapText="1"/>
    </xf>
    <xf numFmtId="0" fontId="66" fillId="14" borderId="50" xfId="0" applyFont="1" applyFill="1" applyBorder="1" applyAlignment="1">
      <alignment horizontal="center" wrapText="1"/>
    </xf>
    <xf numFmtId="0" fontId="66" fillId="14" borderId="40" xfId="0" applyFont="1" applyFill="1" applyBorder="1" applyAlignment="1">
      <alignment horizontal="center" wrapText="1"/>
    </xf>
    <xf numFmtId="0" fontId="53" fillId="0" borderId="0" xfId="0" applyFont="1" applyBorder="1" applyAlignment="1">
      <alignment horizontal="left"/>
    </xf>
    <xf numFmtId="0" fontId="0" fillId="0" borderId="0" xfId="0" applyBorder="1" applyAlignment="1">
      <alignment horizontal="left"/>
    </xf>
    <xf numFmtId="0" fontId="68" fillId="0" borderId="24" xfId="0" applyFont="1" applyBorder="1" applyAlignment="1">
      <alignment horizontal="right"/>
    </xf>
    <xf numFmtId="0" fontId="2" fillId="0" borderId="0" xfId="0" applyFont="1" applyBorder="1" applyAlignment="1">
      <alignment horizontal="right"/>
    </xf>
    <xf numFmtId="0" fontId="33" fillId="0" borderId="49" xfId="0" applyFont="1" applyBorder="1" applyAlignment="1">
      <alignment horizontal="left" wrapText="1"/>
    </xf>
    <xf numFmtId="0" fontId="33" fillId="0" borderId="50" xfId="0" applyFont="1" applyBorder="1" applyAlignment="1">
      <alignment horizontal="left" wrapText="1"/>
    </xf>
    <xf numFmtId="0" fontId="33" fillId="0" borderId="48" xfId="0" applyFont="1" applyBorder="1" applyAlignment="1">
      <alignment horizontal="left" wrapText="1"/>
    </xf>
    <xf numFmtId="0" fontId="53" fillId="0" borderId="49" xfId="0" applyFont="1" applyBorder="1" applyAlignment="1">
      <alignment horizontal="left" wrapText="1"/>
    </xf>
    <xf numFmtId="0" fontId="0" fillId="0" borderId="50" xfId="0" applyBorder="1" applyAlignment="1">
      <alignment horizontal="left" wrapText="1"/>
    </xf>
    <xf numFmtId="0" fontId="0" fillId="0" borderId="40" xfId="0" applyBorder="1" applyAlignment="1">
      <alignment horizontal="left" wrapText="1"/>
    </xf>
    <xf numFmtId="0" fontId="2" fillId="0" borderId="0" xfId="0" applyFont="1" applyBorder="1" applyAlignment="1">
      <alignment horizontal="left"/>
    </xf>
    <xf numFmtId="0" fontId="2" fillId="0" borderId="25" xfId="0" applyFont="1" applyBorder="1" applyAlignment="1">
      <alignment horizontal="left"/>
    </xf>
    <xf numFmtId="0" fontId="33" fillId="0" borderId="0" xfId="0" applyFont="1" applyBorder="1" applyAlignment="1">
      <alignment horizontal="left" wrapText="1"/>
    </xf>
    <xf numFmtId="0" fontId="71" fillId="0" borderId="24" xfId="0" applyFont="1" applyBorder="1" applyAlignment="1">
      <alignment horizontal="left"/>
    </xf>
    <xf numFmtId="0" fontId="71" fillId="0" borderId="0" xfId="0" applyFont="1" applyBorder="1" applyAlignment="1">
      <alignment horizontal="left"/>
    </xf>
    <xf numFmtId="0" fontId="71" fillId="0" borderId="25" xfId="0" applyFont="1" applyBorder="1" applyAlignment="1">
      <alignment horizontal="left"/>
    </xf>
    <xf numFmtId="0" fontId="66" fillId="5" borderId="57" xfId="0" applyFont="1" applyFill="1" applyBorder="1" applyAlignment="1">
      <alignment horizontal="center"/>
    </xf>
    <xf numFmtId="0" fontId="66" fillId="5" borderId="15" xfId="0" applyFont="1" applyFill="1" applyBorder="1" applyAlignment="1">
      <alignment horizontal="center"/>
    </xf>
    <xf numFmtId="0" fontId="66" fillId="5" borderId="16" xfId="0" applyFont="1" applyFill="1" applyBorder="1" applyAlignment="1">
      <alignment horizontal="center"/>
    </xf>
    <xf numFmtId="0" fontId="67" fillId="7" borderId="57" xfId="0" applyFont="1" applyFill="1" applyBorder="1" applyAlignment="1">
      <alignment horizontal="center"/>
    </xf>
    <xf numFmtId="0" fontId="67" fillId="7" borderId="15" xfId="0" applyFont="1" applyFill="1" applyBorder="1" applyAlignment="1">
      <alignment horizontal="center"/>
    </xf>
    <xf numFmtId="0" fontId="67" fillId="7" borderId="16" xfId="0" applyFont="1" applyFill="1" applyBorder="1" applyAlignment="1">
      <alignment horizontal="center"/>
    </xf>
    <xf numFmtId="0" fontId="67" fillId="7" borderId="22" xfId="0" applyFont="1" applyFill="1" applyBorder="1" applyAlignment="1">
      <alignment horizontal="center"/>
    </xf>
    <xf numFmtId="0" fontId="67" fillId="7" borderId="14" xfId="0" applyFont="1" applyFill="1" applyBorder="1" applyAlignment="1">
      <alignment horizontal="center"/>
    </xf>
    <xf numFmtId="0" fontId="67" fillId="7" borderId="23" xfId="0" applyFont="1" applyFill="1" applyBorder="1" applyAlignment="1">
      <alignment horizontal="center"/>
    </xf>
    <xf numFmtId="0" fontId="2" fillId="0" borderId="49" xfId="0" applyFont="1" applyBorder="1" applyAlignment="1">
      <alignment horizontal="left"/>
    </xf>
    <xf numFmtId="0" fontId="2" fillId="0" borderId="40" xfId="0" applyFont="1" applyBorder="1" applyAlignment="1">
      <alignment horizontal="left"/>
    </xf>
    <xf numFmtId="0" fontId="53" fillId="0" borderId="0" xfId="0" applyFont="1" applyBorder="1" applyAlignment="1">
      <alignment horizontal="left" wrapText="1"/>
    </xf>
    <xf numFmtId="0" fontId="0" fillId="0" borderId="0" xfId="0" applyBorder="1" applyAlignment="1">
      <alignment horizontal="left" wrapText="1"/>
    </xf>
    <xf numFmtId="0" fontId="0" fillId="0" borderId="25" xfId="0" applyBorder="1" applyAlignment="1">
      <alignment horizontal="left" wrapText="1"/>
    </xf>
    <xf numFmtId="0" fontId="18" fillId="0" borderId="78" xfId="0" applyFont="1" applyBorder="1" applyAlignment="1">
      <alignment horizontal="left" vertical="center" wrapText="1"/>
    </xf>
    <xf numFmtId="0" fontId="18" fillId="0" borderId="79" xfId="0" applyFont="1" applyBorder="1" applyAlignment="1">
      <alignment horizontal="left" vertical="center" wrapText="1"/>
    </xf>
    <xf numFmtId="0" fontId="18" fillId="0" borderId="80" xfId="0" applyFont="1" applyBorder="1" applyAlignment="1">
      <alignment horizontal="left" vertical="center" wrapText="1"/>
    </xf>
    <xf numFmtId="0" fontId="65" fillId="7" borderId="57" xfId="0" applyFont="1" applyFill="1" applyBorder="1" applyAlignment="1">
      <alignment horizontal="center" vertical="center"/>
    </xf>
    <xf numFmtId="0" fontId="65" fillId="7" borderId="15" xfId="0" applyFont="1" applyFill="1" applyBorder="1" applyAlignment="1">
      <alignment horizontal="center" vertical="center"/>
    </xf>
    <xf numFmtId="0" fontId="65" fillId="7" borderId="16" xfId="0" applyFont="1" applyFill="1" applyBorder="1" applyAlignment="1">
      <alignment horizontal="center" vertical="center"/>
    </xf>
    <xf numFmtId="0" fontId="65" fillId="5" borderId="57" xfId="0" applyFont="1" applyFill="1" applyBorder="1" applyAlignment="1">
      <alignment horizontal="center"/>
    </xf>
    <xf numFmtId="0" fontId="65" fillId="5" borderId="15" xfId="0" applyFont="1" applyFill="1" applyBorder="1" applyAlignment="1">
      <alignment horizontal="center"/>
    </xf>
    <xf numFmtId="0" fontId="65" fillId="5" borderId="16" xfId="0" applyFont="1" applyFill="1" applyBorder="1" applyAlignment="1">
      <alignment horizontal="center"/>
    </xf>
    <xf numFmtId="0" fontId="65" fillId="14" borderId="14" xfId="0" applyFont="1" applyFill="1" applyBorder="1" applyAlignment="1">
      <alignment horizontal="center" vertical="center" wrapText="1"/>
    </xf>
    <xf numFmtId="0" fontId="18" fillId="0" borderId="65" xfId="0" applyFont="1" applyBorder="1" applyAlignment="1">
      <alignment horizontal="center" vertical="center" wrapText="1"/>
    </xf>
    <xf numFmtId="0" fontId="18" fillId="0" borderId="69"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47" xfId="0" applyFont="1" applyBorder="1" applyAlignment="1">
      <alignment horizontal="center" vertical="center" wrapText="1"/>
    </xf>
    <xf numFmtId="0" fontId="18" fillId="0" borderId="66" xfId="0" applyFont="1" applyBorder="1" applyAlignment="1">
      <alignment horizontal="center" vertical="center" wrapText="1"/>
    </xf>
    <xf numFmtId="0" fontId="18" fillId="0" borderId="67" xfId="0" applyFont="1" applyBorder="1" applyAlignment="1">
      <alignment horizontal="center" vertical="center" wrapText="1"/>
    </xf>
    <xf numFmtId="0" fontId="18" fillId="0" borderId="68" xfId="0" applyFont="1" applyBorder="1" applyAlignment="1">
      <alignment horizontal="center" vertical="center" wrapText="1"/>
    </xf>
    <xf numFmtId="0" fontId="2" fillId="0" borderId="49" xfId="0" applyFont="1" applyFill="1" applyBorder="1" applyAlignment="1">
      <alignment horizontal="center" vertical="center"/>
    </xf>
    <xf numFmtId="0" fontId="2" fillId="0" borderId="50" xfId="0" applyFont="1" applyFill="1" applyBorder="1" applyAlignment="1">
      <alignment horizontal="center" vertical="center"/>
    </xf>
    <xf numFmtId="0" fontId="2" fillId="0" borderId="40" xfId="0" applyFont="1" applyFill="1" applyBorder="1" applyAlignment="1">
      <alignment horizontal="center" vertical="center"/>
    </xf>
    <xf numFmtId="0" fontId="2" fillId="0" borderId="84" xfId="0" applyFont="1" applyFill="1" applyBorder="1" applyAlignment="1">
      <alignment horizontal="center" vertical="top" wrapText="1"/>
    </xf>
    <xf numFmtId="0" fontId="2" fillId="0" borderId="85" xfId="0" applyFont="1" applyFill="1" applyBorder="1" applyAlignment="1">
      <alignment horizontal="center" vertical="top" wrapText="1"/>
    </xf>
    <xf numFmtId="0" fontId="2" fillId="0" borderId="86" xfId="0" applyFont="1" applyFill="1" applyBorder="1" applyAlignment="1">
      <alignment horizontal="center" vertical="top" wrapText="1"/>
    </xf>
    <xf numFmtId="0" fontId="111" fillId="24" borderId="49" xfId="0" applyFont="1" applyFill="1" applyBorder="1" applyAlignment="1">
      <alignment horizontal="center" vertical="top"/>
    </xf>
    <xf numFmtId="0" fontId="111" fillId="24" borderId="50" xfId="0" applyFont="1" applyFill="1" applyBorder="1" applyAlignment="1">
      <alignment horizontal="center" vertical="top"/>
    </xf>
    <xf numFmtId="0" fontId="111" fillId="24" borderId="48" xfId="0" applyFont="1" applyFill="1" applyBorder="1" applyAlignment="1">
      <alignment horizontal="center" vertical="top"/>
    </xf>
    <xf numFmtId="1" fontId="2" fillId="0" borderId="49" xfId="0" applyNumberFormat="1" applyFont="1" applyFill="1" applyBorder="1" applyAlignment="1">
      <alignment horizontal="center" vertical="center"/>
    </xf>
    <xf numFmtId="0" fontId="103" fillId="17" borderId="21" xfId="0" applyFont="1" applyFill="1" applyBorder="1" applyAlignment="1">
      <alignment horizontal="center" vertical="top"/>
    </xf>
    <xf numFmtId="0" fontId="103" fillId="17" borderId="39" xfId="0" applyFont="1" applyFill="1" applyBorder="1" applyAlignment="1">
      <alignment horizontal="center" vertical="top"/>
    </xf>
    <xf numFmtId="0" fontId="33" fillId="0" borderId="49" xfId="0" applyFont="1" applyFill="1" applyBorder="1" applyAlignment="1">
      <alignment horizontal="left" vertical="top" wrapText="1"/>
    </xf>
    <xf numFmtId="0" fontId="0" fillId="0" borderId="48" xfId="0" applyFill="1" applyBorder="1" applyAlignment="1">
      <alignment horizontal="left" vertical="top" wrapText="1"/>
    </xf>
    <xf numFmtId="0" fontId="5" fillId="0" borderId="51" xfId="0" applyFont="1" applyBorder="1" applyAlignment="1">
      <alignment horizontal="left"/>
    </xf>
    <xf numFmtId="0" fontId="5" fillId="0" borderId="37" xfId="0" applyFont="1" applyBorder="1" applyAlignment="1">
      <alignment horizontal="left"/>
    </xf>
    <xf numFmtId="0" fontId="5" fillId="0" borderId="44" xfId="0" applyFont="1" applyBorder="1" applyAlignment="1">
      <alignment horizontal="center" vertical="center"/>
    </xf>
    <xf numFmtId="0" fontId="5" fillId="0" borderId="43" xfId="0" applyFont="1" applyBorder="1" applyAlignment="1">
      <alignment horizontal="center" vertical="center"/>
    </xf>
    <xf numFmtId="0" fontId="5" fillId="0" borderId="51" xfId="0" applyFont="1" applyBorder="1" applyAlignment="1">
      <alignment horizontal="center" vertical="center" wrapText="1"/>
    </xf>
    <xf numFmtId="0" fontId="5" fillId="0" borderId="51" xfId="0" applyFont="1" applyBorder="1" applyAlignment="1">
      <alignment horizontal="center" wrapText="1"/>
    </xf>
    <xf numFmtId="0" fontId="5" fillId="0" borderId="37" xfId="0" applyFont="1" applyBorder="1" applyAlignment="1">
      <alignment horizontal="center" vertical="center" wrapText="1"/>
    </xf>
    <xf numFmtId="0" fontId="5" fillId="0" borderId="51" xfId="0" applyFont="1" applyBorder="1" applyAlignment="1">
      <alignment horizontal="center"/>
    </xf>
    <xf numFmtId="0" fontId="5" fillId="0" borderId="49" xfId="0" applyFont="1" applyBorder="1" applyAlignment="1">
      <alignment horizontal="center"/>
    </xf>
    <xf numFmtId="0" fontId="5" fillId="0" borderId="48" xfId="0" applyFont="1" applyBorder="1" applyAlignment="1">
      <alignment horizontal="center"/>
    </xf>
    <xf numFmtId="0" fontId="5" fillId="0" borderId="92" xfId="0" applyFont="1" applyBorder="1" applyAlignment="1">
      <alignment horizontal="center"/>
    </xf>
    <xf numFmtId="0" fontId="5" fillId="0" borderId="93" xfId="0" applyFont="1" applyBorder="1" applyAlignment="1">
      <alignment horizontal="center"/>
    </xf>
    <xf numFmtId="0" fontId="5" fillId="0" borderId="94" xfId="0" applyFont="1" applyBorder="1" applyAlignment="1">
      <alignment horizontal="center"/>
    </xf>
    <xf numFmtId="0" fontId="5" fillId="0" borderId="104" xfId="0" applyFont="1" applyBorder="1" applyAlignment="1">
      <alignment horizontal="center"/>
    </xf>
    <xf numFmtId="0" fontId="5" fillId="0" borderId="51" xfId="0" applyFont="1" applyBorder="1" applyAlignment="1">
      <alignment horizontal="left" wrapText="1"/>
    </xf>
    <xf numFmtId="0" fontId="5" fillId="0" borderId="43"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1" xfId="0" applyFont="1" applyBorder="1" applyAlignment="1">
      <alignment horizontal="left" vertical="top" wrapText="1"/>
    </xf>
    <xf numFmtId="0" fontId="5" fillId="0" borderId="37" xfId="0" applyFont="1" applyBorder="1" applyAlignment="1">
      <alignment horizontal="left" vertical="top" wrapText="1"/>
    </xf>
    <xf numFmtId="0" fontId="5" fillId="0" borderId="51" xfId="0" applyFont="1" applyBorder="1" applyAlignment="1">
      <alignment horizontal="center" vertical="center"/>
    </xf>
    <xf numFmtId="0" fontId="5" fillId="0" borderId="37" xfId="0" applyFont="1" applyBorder="1" applyAlignment="1">
      <alignment horizontal="center" vertical="center"/>
    </xf>
    <xf numFmtId="0" fontId="5" fillId="0" borderId="37" xfId="0" applyFont="1" applyBorder="1" applyAlignment="1">
      <alignment horizontal="center"/>
    </xf>
    <xf numFmtId="0" fontId="5" fillId="0" borderId="74" xfId="0" applyFont="1" applyBorder="1" applyAlignment="1">
      <alignment horizontal="left"/>
    </xf>
    <xf numFmtId="0" fontId="5" fillId="0" borderId="96" xfId="0" applyFont="1" applyBorder="1" applyAlignment="1">
      <alignment horizontal="left"/>
    </xf>
    <xf numFmtId="0" fontId="5" fillId="0" borderId="97" xfId="0" applyFont="1" applyBorder="1" applyAlignment="1">
      <alignment horizontal="center" vertical="center"/>
    </xf>
    <xf numFmtId="0" fontId="5" fillId="0" borderId="98" xfId="0" applyFont="1" applyBorder="1" applyAlignment="1">
      <alignment horizontal="center" vertical="center"/>
    </xf>
    <xf numFmtId="0" fontId="5" fillId="0" borderId="74" xfId="0" applyFont="1" applyBorder="1" applyAlignment="1">
      <alignment horizontal="left" wrapText="1"/>
    </xf>
    <xf numFmtId="0" fontId="5" fillId="0" borderId="75" xfId="0" applyFont="1" applyBorder="1" applyAlignment="1">
      <alignment horizontal="center"/>
    </xf>
    <xf numFmtId="0" fontId="5" fillId="0" borderId="88" xfId="0" applyFont="1" applyBorder="1" applyAlignment="1">
      <alignment horizontal="center"/>
    </xf>
    <xf numFmtId="0" fontId="5" fillId="0" borderId="100" xfId="0" applyFont="1" applyBorder="1" applyAlignment="1">
      <alignment horizontal="center"/>
    </xf>
    <xf numFmtId="0" fontId="5" fillId="0" borderId="89" xfId="0" applyFont="1" applyBorder="1" applyAlignment="1">
      <alignment horizontal="left" wrapText="1"/>
    </xf>
    <xf numFmtId="0" fontId="5" fillId="0" borderId="90" xfId="0" applyFont="1" applyBorder="1" applyAlignment="1">
      <alignment horizontal="center"/>
    </xf>
    <xf numFmtId="0" fontId="5" fillId="0" borderId="91" xfId="0" applyFont="1" applyBorder="1" applyAlignment="1">
      <alignment horizontal="center"/>
    </xf>
    <xf numFmtId="0" fontId="5" fillId="0" borderId="103" xfId="0" applyFont="1" applyBorder="1" applyAlignment="1">
      <alignment horizontal="center"/>
    </xf>
    <xf numFmtId="0" fontId="5" fillId="0" borderId="76" xfId="0" applyFont="1" applyBorder="1" applyAlignment="1">
      <alignment horizontal="left"/>
    </xf>
    <xf numFmtId="0" fontId="5" fillId="0" borderId="74" xfId="0" applyFont="1" applyBorder="1" applyAlignment="1">
      <alignment horizontal="center"/>
    </xf>
    <xf numFmtId="0" fontId="5" fillId="0" borderId="74" xfId="0" applyFont="1" applyBorder="1" applyAlignment="1">
      <alignment horizontal="center" vertical="center"/>
    </xf>
    <xf numFmtId="0" fontId="5" fillId="0" borderId="96" xfId="0" applyFont="1" applyBorder="1" applyAlignment="1">
      <alignment horizontal="center" vertical="center"/>
    </xf>
    <xf numFmtId="0" fontId="5" fillId="0" borderId="101" xfId="0" applyFont="1" applyBorder="1" applyAlignment="1">
      <alignment horizontal="center" vertical="center" wrapText="1"/>
    </xf>
    <xf numFmtId="0" fontId="5" fillId="0" borderId="98" xfId="0" applyFont="1" applyBorder="1" applyAlignment="1">
      <alignment horizontal="center" vertical="center" wrapText="1"/>
    </xf>
    <xf numFmtId="0" fontId="5" fillId="0" borderId="99" xfId="0" applyFont="1" applyBorder="1" applyAlignment="1">
      <alignment horizontal="center" vertical="center" wrapText="1"/>
    </xf>
    <xf numFmtId="0" fontId="5" fillId="0" borderId="74" xfId="0" applyFont="1" applyBorder="1" applyAlignment="1">
      <alignment horizontal="center" vertical="center" wrapText="1"/>
    </xf>
    <xf numFmtId="0" fontId="5" fillId="0" borderId="96" xfId="0" applyFont="1" applyBorder="1" applyAlignment="1">
      <alignment horizontal="center" vertical="center" wrapText="1"/>
    </xf>
    <xf numFmtId="0" fontId="5" fillId="0" borderId="76" xfId="0" applyFont="1" applyBorder="1" applyAlignment="1">
      <alignment horizontal="center"/>
    </xf>
    <xf numFmtId="0" fontId="5" fillId="0" borderId="96" xfId="0" applyFont="1" applyBorder="1" applyAlignment="1">
      <alignment horizontal="left" wrapText="1"/>
    </xf>
    <xf numFmtId="0" fontId="5" fillId="0" borderId="96" xfId="0" applyFont="1" applyBorder="1" applyAlignment="1">
      <alignment horizontal="center"/>
    </xf>
    <xf numFmtId="0" fontId="5" fillId="0" borderId="99" xfId="0" applyFont="1" applyBorder="1" applyAlignment="1">
      <alignment horizontal="center" vertical="center"/>
    </xf>
    <xf numFmtId="0" fontId="5" fillId="0" borderId="75" xfId="0" applyFont="1" applyBorder="1" applyAlignment="1">
      <alignment horizontal="center" vertical="center" wrapText="1"/>
    </xf>
    <xf numFmtId="0" fontId="5" fillId="0" borderId="76" xfId="0" applyFont="1" applyBorder="1" applyAlignment="1">
      <alignment horizontal="center" vertical="center" wrapText="1"/>
    </xf>
    <xf numFmtId="0" fontId="5" fillId="0" borderId="95" xfId="0" applyFont="1" applyBorder="1" applyAlignment="1">
      <alignment horizontal="center" vertical="center"/>
    </xf>
    <xf numFmtId="0" fontId="5" fillId="0" borderId="74" xfId="0" applyFont="1" applyBorder="1" applyAlignment="1">
      <alignment horizontal="center" wrapText="1"/>
    </xf>
    <xf numFmtId="0" fontId="5" fillId="0" borderId="96" xfId="0" applyFont="1" applyBorder="1" applyAlignment="1">
      <alignment horizontal="center" wrapText="1"/>
    </xf>
    <xf numFmtId="0" fontId="5" fillId="0" borderId="97" xfId="0" applyFont="1" applyBorder="1" applyAlignment="1">
      <alignment horizontal="center" vertical="center" wrapText="1"/>
    </xf>
    <xf numFmtId="0" fontId="5" fillId="0" borderId="75" xfId="0" applyFont="1" applyBorder="1" applyAlignment="1">
      <alignment horizontal="left"/>
    </xf>
    <xf numFmtId="0" fontId="5" fillId="0" borderId="88" xfId="0" applyFont="1" applyBorder="1" applyAlignment="1">
      <alignment horizontal="left"/>
    </xf>
    <xf numFmtId="0" fontId="5" fillId="0" borderId="74" xfId="0" applyFont="1" applyBorder="1" applyAlignment="1">
      <alignment horizontal="right"/>
    </xf>
    <xf numFmtId="0" fontId="5" fillId="0" borderId="75" xfId="0" applyFont="1" applyBorder="1" applyAlignment="1">
      <alignment horizontal="center" vertical="center"/>
    </xf>
    <xf numFmtId="0" fontId="5" fillId="0" borderId="88" xfId="0" applyFont="1" applyBorder="1" applyAlignment="1">
      <alignment horizontal="center" vertical="center"/>
    </xf>
    <xf numFmtId="0" fontId="5" fillId="0" borderId="76" xfId="0" applyFont="1" applyBorder="1" applyAlignment="1">
      <alignment horizontal="center" vertical="center"/>
    </xf>
    <xf numFmtId="0" fontId="5" fillId="0" borderId="100" xfId="0" applyFont="1" applyBorder="1" applyAlignment="1">
      <alignment horizontal="center" vertical="center"/>
    </xf>
    <xf numFmtId="0" fontId="5" fillId="0" borderId="102" xfId="0" applyFont="1" applyBorder="1" applyAlignment="1">
      <alignment horizontal="center" vertical="center"/>
    </xf>
    <xf numFmtId="0" fontId="5" fillId="0" borderId="101" xfId="0" applyFont="1" applyBorder="1" applyAlignment="1">
      <alignment horizontal="center" vertical="center"/>
    </xf>
    <xf numFmtId="0" fontId="5" fillId="0" borderId="75" xfId="0" applyFont="1" applyBorder="1" applyAlignment="1">
      <alignment horizontal="center" wrapText="1"/>
    </xf>
    <xf numFmtId="0" fontId="5" fillId="0" borderId="76" xfId="0" applyFont="1" applyBorder="1" applyAlignment="1">
      <alignment horizontal="center" wrapText="1"/>
    </xf>
    <xf numFmtId="0" fontId="5" fillId="0" borderId="100" xfId="0" applyFont="1" applyBorder="1" applyAlignment="1">
      <alignment horizontal="center" wrapText="1"/>
    </xf>
    <xf numFmtId="0" fontId="5" fillId="0" borderId="74" xfId="0" applyFont="1" applyBorder="1" applyAlignment="1"/>
    <xf numFmtId="0" fontId="5" fillId="0" borderId="96" xfId="0" applyFont="1" applyBorder="1" applyAlignment="1"/>
    <xf numFmtId="0" fontId="5" fillId="0" borderId="74" xfId="0" applyFont="1" applyBorder="1" applyAlignment="1">
      <alignment wrapText="1"/>
    </xf>
    <xf numFmtId="0" fontId="5" fillId="0" borderId="74" xfId="0" applyFont="1" applyBorder="1" applyAlignment="1">
      <alignment horizontal="left" vertical="center" wrapText="1"/>
    </xf>
    <xf numFmtId="0" fontId="5" fillId="0" borderId="75" xfId="0" applyFont="1" applyBorder="1" applyAlignment="1">
      <alignment horizontal="left" wrapText="1"/>
    </xf>
    <xf numFmtId="0" fontId="5" fillId="0" borderId="88" xfId="0" applyFont="1" applyBorder="1" applyAlignment="1">
      <alignment horizontal="left" wrapText="1"/>
    </xf>
    <xf numFmtId="0" fontId="5" fillId="0" borderId="76" xfId="0" applyFont="1" applyBorder="1" applyAlignment="1">
      <alignment horizontal="left" wrapText="1"/>
    </xf>
    <xf numFmtId="0" fontId="5" fillId="0" borderId="74" xfId="0" applyFont="1" applyBorder="1" applyAlignment="1">
      <alignment horizontal="left" vertical="top" wrapText="1"/>
    </xf>
    <xf numFmtId="0" fontId="106" fillId="9" borderId="49" xfId="0" applyFont="1" applyFill="1" applyBorder="1" applyAlignment="1">
      <alignment horizontal="center" vertical="center"/>
    </xf>
    <xf numFmtId="0" fontId="106" fillId="9" borderId="50" xfId="0" applyFont="1" applyFill="1" applyBorder="1" applyAlignment="1">
      <alignment horizontal="center" vertical="center"/>
    </xf>
    <xf numFmtId="0" fontId="106" fillId="9" borderId="48" xfId="0" applyFont="1" applyFill="1" applyBorder="1" applyAlignment="1">
      <alignment horizontal="center" vertical="center"/>
    </xf>
    <xf numFmtId="0" fontId="11" fillId="0" borderId="24" xfId="0" applyFont="1" applyBorder="1" applyAlignment="1">
      <alignment horizontal="center" vertical="center"/>
    </xf>
    <xf numFmtId="0" fontId="11" fillId="0" borderId="0" xfId="0" applyFont="1" applyBorder="1" applyAlignment="1">
      <alignment horizontal="center" vertical="center"/>
    </xf>
    <xf numFmtId="0" fontId="11" fillId="0" borderId="25" xfId="0" applyFont="1" applyBorder="1" applyAlignment="1">
      <alignment horizontal="center" vertical="center"/>
    </xf>
    <xf numFmtId="0" fontId="11" fillId="0" borderId="74" xfId="0" applyFont="1" applyBorder="1" applyAlignment="1">
      <alignment horizontal="center"/>
    </xf>
    <xf numFmtId="0" fontId="11" fillId="0" borderId="96" xfId="0" applyFont="1" applyBorder="1" applyAlignment="1">
      <alignment horizontal="center"/>
    </xf>
    <xf numFmtId="0" fontId="48" fillId="0" borderId="74" xfId="0" applyFont="1" applyBorder="1" applyAlignment="1">
      <alignment horizontal="center"/>
    </xf>
    <xf numFmtId="0" fontId="48" fillId="0" borderId="96" xfId="0" applyFont="1" applyBorder="1" applyAlignment="1">
      <alignment horizontal="center"/>
    </xf>
    <xf numFmtId="0" fontId="13" fillId="0" borderId="49" xfId="0" applyFont="1" applyBorder="1" applyAlignment="1">
      <alignment horizontal="left" vertical="center" wrapText="1"/>
    </xf>
    <xf numFmtId="0" fontId="13" fillId="0" borderId="48" xfId="0" applyFont="1" applyBorder="1" applyAlignment="1">
      <alignment horizontal="left" vertical="center" wrapText="1"/>
    </xf>
    <xf numFmtId="0" fontId="110" fillId="0" borderId="29" xfId="0" applyFont="1" applyBorder="1" applyAlignment="1">
      <alignment horizontal="center"/>
    </xf>
    <xf numFmtId="0" fontId="110" fillId="0" borderId="31" xfId="0" applyFont="1" applyBorder="1" applyAlignment="1">
      <alignment horizontal="center"/>
    </xf>
    <xf numFmtId="0" fontId="5" fillId="0" borderId="29"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7" xfId="0" applyFont="1" applyBorder="1" applyAlignment="1">
      <alignment horizontal="center" vertical="center" wrapText="1"/>
    </xf>
    <xf numFmtId="0" fontId="0" fillId="7" borderId="62" xfId="0" applyFill="1" applyBorder="1"/>
    <xf numFmtId="0" fontId="0" fillId="7" borderId="63" xfId="0" applyFill="1" applyBorder="1"/>
    <xf numFmtId="0" fontId="19" fillId="14" borderId="14" xfId="0" applyFont="1" applyFill="1" applyBorder="1" applyAlignment="1"/>
    <xf numFmtId="0" fontId="108" fillId="14" borderId="14" xfId="0" applyFont="1" applyFill="1" applyBorder="1" applyAlignment="1"/>
    <xf numFmtId="0" fontId="22" fillId="14" borderId="14" xfId="0" applyFont="1" applyFill="1" applyBorder="1" applyAlignment="1"/>
    <xf numFmtId="17" fontId="19" fillId="14" borderId="14" xfId="0" applyNumberFormat="1" applyFont="1" applyFill="1" applyBorder="1" applyAlignment="1">
      <alignment horizontal="left"/>
    </xf>
    <xf numFmtId="1" fontId="48" fillId="0" borderId="108" xfId="0" applyNumberFormat="1" applyFont="1" applyBorder="1" applyAlignment="1">
      <alignment horizontal="center" wrapText="1"/>
    </xf>
    <xf numFmtId="0" fontId="48" fillId="0" borderId="109" xfId="0" applyFont="1" applyBorder="1" applyAlignment="1">
      <alignment horizontal="center" wrapText="1"/>
    </xf>
  </cellXfs>
  <cellStyles count="11">
    <cellStyle name="Comma" xfId="7" builtinId="3"/>
    <cellStyle name="Comma 2" xfId="1"/>
    <cellStyle name="Excel Built-in Normal 1" xfId="5"/>
    <cellStyle name="Excel Built-in Normal 2" xfId="6"/>
    <cellStyle name="Nor}al" xfId="9"/>
    <cellStyle name="Normal" xfId="0" builtinId="0"/>
    <cellStyle name="Normal 2" xfId="3"/>
    <cellStyle name="Normal 3" xfId="10"/>
    <cellStyle name="Normal 4 3 3 2 2" xfId="2"/>
    <cellStyle name="Normal 4 3 3 2 2 2" xfId="4"/>
    <cellStyle name="Normal 4 6"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0</xdr:rowOff>
    </xdr:from>
    <xdr:to>
      <xdr:col>3</xdr:col>
      <xdr:colOff>61103</xdr:colOff>
      <xdr:row>1</xdr:row>
      <xdr:rowOff>98331</xdr:rowOff>
    </xdr:to>
    <xdr:pic>
      <xdr:nvPicPr>
        <xdr:cNvPr id="2" name="Picture 1">
          <a:extLst>
            <a:ext uri="{FF2B5EF4-FFF2-40B4-BE49-F238E27FC236}">
              <a16:creationId xmlns=""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8100" y="76201"/>
          <a:ext cx="1646063" cy="4317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6.02.2020/Symbiosis%20Support%20technologies%20Pvt.Ltd/Grotech%20Landscape%20Developers%20Pvt.Ltd/Jan-20/ISB/Employee%20Master%20Jan-2020%20IS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ster"/>
      <sheetName val="Workmen Reg"/>
      <sheetName val="Muster Roll"/>
      <sheetName val="Leave Reg"/>
      <sheetName val="wages Reg"/>
      <sheetName val="Employment Cards"/>
      <sheetName val="wage sllips"/>
      <sheetName val="Deductions"/>
      <sheetName val="Fines"/>
      <sheetName val="Advances"/>
      <sheetName val="Overtime"/>
      <sheetName val="Accident"/>
      <sheetName val="Bonus"/>
      <sheetName val="Equal remuneration"/>
      <sheetName val="ESI cards Reg"/>
      <sheetName val="Form-I"/>
      <sheetName val="Form-2"/>
      <sheetName val="Form 11"/>
      <sheetName val="Form-F"/>
      <sheetName val="Serive Certificate"/>
      <sheetName val="Sheet1"/>
    </sheetNames>
    <sheetDataSet>
      <sheetData sheetId="0" refreshError="1">
        <row r="5">
          <cell r="F5" t="str">
            <v>GROTECH LANDSCAPE DEVOLOPERS PVT. LTD.</v>
          </cell>
        </row>
        <row r="16">
          <cell r="A16">
            <v>1</v>
          </cell>
        </row>
        <row r="17">
          <cell r="A17">
            <v>2</v>
          </cell>
        </row>
        <row r="18">
          <cell r="A18">
            <v>3</v>
          </cell>
        </row>
        <row r="19">
          <cell r="A19">
            <v>4</v>
          </cell>
        </row>
        <row r="20">
          <cell r="A20">
            <v>5</v>
          </cell>
          <cell r="F20" t="str">
            <v>Semi Skilled Gardner</v>
          </cell>
          <cell r="H20" t="str">
            <v>Mwdharam,Medhak</v>
          </cell>
        </row>
        <row r="21">
          <cell r="A21">
            <v>6</v>
          </cell>
        </row>
        <row r="22">
          <cell r="A22">
            <v>7</v>
          </cell>
          <cell r="F22" t="str">
            <v>Semi Skilled Gardner</v>
          </cell>
          <cell r="H22" t="str">
            <v>Near church,serilingampally</v>
          </cell>
        </row>
        <row r="23">
          <cell r="A23">
            <v>8</v>
          </cell>
          <cell r="F23" t="str">
            <v>Semi Skilled Gardner</v>
          </cell>
          <cell r="H23" t="str">
            <v>Patancheru,Sulthanpur</v>
          </cell>
        </row>
        <row r="24">
          <cell r="A24">
            <v>9</v>
          </cell>
          <cell r="F24" t="str">
            <v>Semi Skilled Gardner</v>
          </cell>
          <cell r="H24" t="str">
            <v>Post-sawargaon,Mukhed,Nanded,</v>
          </cell>
        </row>
        <row r="25">
          <cell r="A25">
            <v>10</v>
          </cell>
          <cell r="F25" t="str">
            <v>Semi Skilled Gardner</v>
          </cell>
          <cell r="H25" t="str">
            <v>opp Hanuman temple</v>
          </cell>
        </row>
        <row r="26">
          <cell r="A26">
            <v>11</v>
          </cell>
          <cell r="F26" t="str">
            <v>Semi Skilled Gardner</v>
          </cell>
          <cell r="H26" t="str">
            <v>Bapu nagar,Lingampally</v>
          </cell>
        </row>
        <row r="27">
          <cell r="A27">
            <v>12</v>
          </cell>
          <cell r="F27" t="str">
            <v>Semi Skilled Gardner</v>
          </cell>
          <cell r="H27" t="str">
            <v>patancherusultanpur,medhak</v>
          </cell>
        </row>
        <row r="28">
          <cell r="A28">
            <v>13</v>
          </cell>
          <cell r="F28" t="str">
            <v>Semi Skilled Gardner</v>
          </cell>
          <cell r="H28" t="str">
            <v>Madaram,Medhak</v>
          </cell>
        </row>
        <row r="29">
          <cell r="A29">
            <v>14</v>
          </cell>
          <cell r="F29" t="str">
            <v>Semi Skilled Gardner</v>
          </cell>
          <cell r="H29" t="str">
            <v>sulthanpur,Medhak</v>
          </cell>
        </row>
        <row r="30">
          <cell r="A30">
            <v>15</v>
          </cell>
          <cell r="F30" t="str">
            <v>Semi Skilled Gardner</v>
          </cell>
          <cell r="H30" t="str">
            <v>Parnapalle,Cuddaph</v>
          </cell>
        </row>
        <row r="31">
          <cell r="A31">
            <v>16</v>
          </cell>
          <cell r="F31" t="str">
            <v>Semi Skilled Gardner</v>
          </cell>
          <cell r="H31" t="str">
            <v>reabarelli,Khamariya,naiani amethi</v>
          </cell>
        </row>
        <row r="32">
          <cell r="A32">
            <v>17</v>
          </cell>
          <cell r="F32" t="str">
            <v>Semi Skilled Gardner</v>
          </cell>
          <cell r="H32" t="str">
            <v>Khamariya pure Kushal,amethi,nini</v>
          </cell>
        </row>
        <row r="33">
          <cell r="A33">
            <v>18</v>
          </cell>
          <cell r="F33" t="str">
            <v>Semi Skilled Gardner</v>
          </cell>
          <cell r="H33" t="str">
            <v>Khamariya pure Kushal,amethi,nini</v>
          </cell>
        </row>
        <row r="34">
          <cell r="A34">
            <v>19</v>
          </cell>
          <cell r="F34" t="str">
            <v>Unskilled Gardner</v>
          </cell>
          <cell r="H34" t="str">
            <v>KONDAPUR,SERILINGAMPALLY</v>
          </cell>
        </row>
        <row r="35">
          <cell r="A35">
            <v>20</v>
          </cell>
          <cell r="F35" t="str">
            <v>Unskilled Gardner</v>
          </cell>
          <cell r="H35" t="str">
            <v>,Gutkal,Ananthpur</v>
          </cell>
        </row>
        <row r="36">
          <cell r="A36">
            <v>21</v>
          </cell>
          <cell r="F36" t="str">
            <v>Unskilled Gardner</v>
          </cell>
          <cell r="H36" t="str">
            <v>HAKEEMPET,THOLICHOUK,GOLUKOND</v>
          </cell>
        </row>
        <row r="37">
          <cell r="A37">
            <v>22</v>
          </cell>
          <cell r="F37" t="str">
            <v>Unskilled Gardner</v>
          </cell>
          <cell r="H37" t="str">
            <v>Medharam,medak</v>
          </cell>
        </row>
        <row r="38">
          <cell r="A38">
            <v>23</v>
          </cell>
          <cell r="F38" t="str">
            <v>Unskilled Gardner</v>
          </cell>
          <cell r="H38" t="str">
            <v>.guntkal,anthapuram</v>
          </cell>
        </row>
        <row r="39">
          <cell r="A39">
            <v>24</v>
          </cell>
          <cell r="F39" t="str">
            <v>Unskilled Gardner</v>
          </cell>
          <cell r="H39" t="str">
            <v>GUTAL,ANANTHAPURM</v>
          </cell>
        </row>
        <row r="40">
          <cell r="A40">
            <v>25</v>
          </cell>
          <cell r="F40" t="str">
            <v>Unskilled Gardner</v>
          </cell>
          <cell r="H40" t="str">
            <v>Krishnareddipet,Medak</v>
          </cell>
        </row>
        <row r="41">
          <cell r="A41">
            <v>26</v>
          </cell>
          <cell r="F41" t="str">
            <v>Unskilled Gardner</v>
          </cell>
          <cell r="H41" t="str">
            <v>Bapu nagar,Lingampally,</v>
          </cell>
        </row>
        <row r="42">
          <cell r="A42">
            <v>27</v>
          </cell>
          <cell r="F42" t="str">
            <v>Unskilled Gardner</v>
          </cell>
          <cell r="H42" t="str">
            <v>Kondapoor,Serilinampally</v>
          </cell>
        </row>
        <row r="43">
          <cell r="A43">
            <v>28</v>
          </cell>
          <cell r="F43" t="str">
            <v>Unskilled Gardner</v>
          </cell>
          <cell r="H43" t="str">
            <v>Patancheru,Medak</v>
          </cell>
        </row>
        <row r="44">
          <cell r="A44">
            <v>29</v>
          </cell>
          <cell r="F44" t="str">
            <v>Unskilled Gardner</v>
          </cell>
          <cell r="H44" t="str">
            <v>Madhavaram,madharam,Medhak</v>
          </cell>
        </row>
        <row r="45">
          <cell r="A45">
            <v>30</v>
          </cell>
        </row>
        <row r="46">
          <cell r="A46">
            <v>31</v>
          </cell>
          <cell r="F46" t="str">
            <v>Unskilled Gardner</v>
          </cell>
          <cell r="H46" t="str">
            <v>NEAR GVT SCHOOL LINGAMPALLI,</v>
          </cell>
        </row>
        <row r="47">
          <cell r="A47">
            <v>32</v>
          </cell>
          <cell r="F47" t="str">
            <v>Unskilled Gardner</v>
          </cell>
          <cell r="H47" t="str">
            <v>patancheru,sultanpur,Medak</v>
          </cell>
        </row>
        <row r="48">
          <cell r="A48">
            <v>33</v>
          </cell>
          <cell r="F48" t="str">
            <v>Unskilled Gardner</v>
          </cell>
          <cell r="H48" t="str">
            <v>Sulthanpoor,patancheru,Sulthanpur</v>
          </cell>
        </row>
        <row r="49">
          <cell r="A49">
            <v>34</v>
          </cell>
          <cell r="F49" t="str">
            <v>Unskilled Gardner</v>
          </cell>
          <cell r="H49" t="str">
            <v>Janatha colony,Bhalki,Bidar</v>
          </cell>
        </row>
        <row r="50">
          <cell r="A50">
            <v>35</v>
          </cell>
          <cell r="F50" t="str">
            <v>Unskilled Gardner</v>
          </cell>
          <cell r="H50" t="str">
            <v>Narra basthi,Patancheru,Medak</v>
          </cell>
        </row>
        <row r="51">
          <cell r="A51">
            <v>36</v>
          </cell>
          <cell r="F51" t="str">
            <v>Unskilled Gardner</v>
          </cell>
          <cell r="H51" t="str">
            <v>Nagdar,kalher,medak</v>
          </cell>
        </row>
        <row r="52">
          <cell r="A52">
            <v>37</v>
          </cell>
          <cell r="F52" t="str">
            <v>Unskilled Gardner</v>
          </cell>
          <cell r="H52" t="str">
            <v>MADHARAM,MEDHAK</v>
          </cell>
        </row>
        <row r="53">
          <cell r="A53">
            <v>38</v>
          </cell>
          <cell r="F53" t="str">
            <v>Unskilled Gardner</v>
          </cell>
          <cell r="H53" t="str">
            <v>patancheru,Sultanpur,medak</v>
          </cell>
        </row>
        <row r="54">
          <cell r="A54">
            <v>39</v>
          </cell>
          <cell r="F54" t="str">
            <v>Unskilled Gardner</v>
          </cell>
          <cell r="H54" t="str">
            <v>mahabubnagar,dhrmapur-mndl,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dimension ref="C3:G12"/>
  <sheetViews>
    <sheetView workbookViewId="0">
      <selection activeCell="C5" sqref="C5"/>
    </sheetView>
  </sheetViews>
  <sheetFormatPr defaultRowHeight="14.4"/>
  <cols>
    <col min="3" max="3" width="36.6640625" bestFit="1" customWidth="1"/>
    <col min="4" max="4" width="36.6640625" customWidth="1"/>
    <col min="5" max="5" width="30.44140625" bestFit="1" customWidth="1"/>
    <col min="6" max="6" width="27.33203125" bestFit="1" customWidth="1"/>
    <col min="7" max="7" width="24.77734375" customWidth="1"/>
  </cols>
  <sheetData>
    <row r="3" spans="3:7">
      <c r="C3" s="891" t="s">
        <v>1173</v>
      </c>
      <c r="D3" s="892"/>
      <c r="E3" s="892"/>
      <c r="F3" s="892"/>
      <c r="G3" s="893"/>
    </row>
    <row r="4" spans="3:7">
      <c r="C4" s="4" t="s">
        <v>1160</v>
      </c>
      <c r="D4" s="4" t="s">
        <v>1175</v>
      </c>
      <c r="E4" s="4" t="s">
        <v>1161</v>
      </c>
      <c r="F4" s="4" t="s">
        <v>1162</v>
      </c>
      <c r="G4" s="4" t="s">
        <v>1174</v>
      </c>
    </row>
    <row r="5" spans="3:7" ht="26.4" customHeight="1">
      <c r="C5" t="s">
        <v>1163</v>
      </c>
      <c r="D5" t="s">
        <v>1176</v>
      </c>
      <c r="E5" t="s">
        <v>1164</v>
      </c>
      <c r="F5" t="s">
        <v>1165</v>
      </c>
      <c r="G5" s="14" t="s">
        <v>1179</v>
      </c>
    </row>
    <row r="6" spans="3:7">
      <c r="E6" t="s">
        <v>1166</v>
      </c>
      <c r="F6" t="s">
        <v>1167</v>
      </c>
    </row>
    <row r="7" spans="3:7">
      <c r="E7" t="s">
        <v>1177</v>
      </c>
      <c r="F7" t="s">
        <v>183</v>
      </c>
    </row>
    <row r="8" spans="3:7">
      <c r="E8" t="s">
        <v>1178</v>
      </c>
      <c r="F8" t="s">
        <v>1168</v>
      </c>
    </row>
    <row r="9" spans="3:7">
      <c r="F9" t="s">
        <v>1169</v>
      </c>
    </row>
    <row r="10" spans="3:7">
      <c r="F10" t="s">
        <v>1170</v>
      </c>
    </row>
    <row r="12" spans="3:7">
      <c r="F12" s="888" t="s">
        <v>1171</v>
      </c>
    </row>
  </sheetData>
  <mergeCells count="1">
    <mergeCell ref="C3:G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68"/>
  <sheetViews>
    <sheetView topLeftCell="A4" workbookViewId="0">
      <selection activeCell="B11" sqref="B11"/>
    </sheetView>
  </sheetViews>
  <sheetFormatPr defaultRowHeight="14.4"/>
  <cols>
    <col min="1" max="1" width="7.88671875" style="7" customWidth="1"/>
    <col min="2" max="2" width="26" customWidth="1"/>
    <col min="3" max="3" width="15" customWidth="1"/>
    <col min="4" max="4" width="8.33203125" customWidth="1"/>
    <col min="5" max="5" width="23.33203125" bestFit="1" customWidth="1"/>
    <col min="6" max="6" width="20.6640625" customWidth="1"/>
    <col min="7" max="7" width="37" customWidth="1"/>
    <col min="8" max="8" width="39.88671875" customWidth="1"/>
    <col min="9" max="9" width="27.6640625" customWidth="1"/>
    <col min="10" max="12" width="20.33203125" customWidth="1"/>
    <col min="13" max="13" width="22.109375" customWidth="1"/>
    <col min="14" max="14" width="21.5546875" customWidth="1"/>
    <col min="15" max="15" width="17.5546875" customWidth="1"/>
    <col min="16" max="16" width="12.33203125" customWidth="1"/>
    <col min="17" max="17" width="9.109375" customWidth="1"/>
    <col min="25" max="25" width="11.5546875" customWidth="1"/>
  </cols>
  <sheetData>
    <row r="1" spans="1:20" s="103" customFormat="1" ht="47.4" customHeight="1">
      <c r="A1" s="906" t="s">
        <v>248</v>
      </c>
      <c r="B1" s="907"/>
      <c r="C1" s="907"/>
      <c r="D1" s="907"/>
      <c r="E1" s="907"/>
      <c r="F1" s="907"/>
      <c r="G1" s="907"/>
      <c r="H1" s="907"/>
      <c r="I1" s="907"/>
      <c r="J1" s="907"/>
      <c r="K1" s="907"/>
      <c r="L1" s="907"/>
      <c r="M1" s="907"/>
      <c r="N1" s="907"/>
      <c r="O1" s="907"/>
      <c r="P1" s="907"/>
      <c r="Q1" s="908"/>
    </row>
    <row r="2" spans="1:20" ht="28.5" customHeight="1">
      <c r="A2" s="899" t="s">
        <v>1071</v>
      </c>
      <c r="B2" s="900"/>
      <c r="C2" s="900"/>
      <c r="D2" s="900"/>
      <c r="E2" s="900"/>
      <c r="F2" s="900"/>
      <c r="G2" s="900"/>
      <c r="H2" s="900"/>
      <c r="I2" s="900"/>
      <c r="J2" s="900"/>
      <c r="K2" s="900"/>
      <c r="L2" s="900"/>
      <c r="M2" s="900"/>
      <c r="N2" s="900"/>
      <c r="O2" s="900"/>
      <c r="P2" s="900"/>
      <c r="Q2" s="901"/>
    </row>
    <row r="3" spans="1:20" ht="33.75" customHeight="1">
      <c r="A3" s="909" t="s">
        <v>0</v>
      </c>
      <c r="B3" s="910"/>
      <c r="C3" s="910"/>
      <c r="D3" s="214"/>
      <c r="E3" s="215"/>
      <c r="F3" s="221" t="str">
        <f>Master!F5</f>
        <v>GROTECH LANDSCAPE DEVELOPERS PVT. LTD.</v>
      </c>
      <c r="G3" s="236"/>
      <c r="H3" s="236"/>
      <c r="I3" s="236"/>
      <c r="J3" s="236"/>
      <c r="K3" s="236"/>
      <c r="L3" s="236"/>
      <c r="M3" s="206"/>
      <c r="N3" s="339"/>
      <c r="O3" s="237"/>
      <c r="P3" s="237"/>
      <c r="Q3" s="241"/>
      <c r="R3" s="104"/>
      <c r="S3" s="104"/>
    </row>
    <row r="4" spans="1:20" ht="20.399999999999999" customHeight="1">
      <c r="A4" s="242"/>
      <c r="B4" s="77"/>
      <c r="C4" s="77"/>
      <c r="D4" s="77"/>
      <c r="E4" s="56"/>
      <c r="F4" s="18" t="str">
        <f>Master!F6</f>
        <v>290/E, Khanapur Village, Gandipet Mandal, Ranga Reddy, Hyderabad-500075 T.S.</v>
      </c>
      <c r="G4" s="18"/>
      <c r="H4" s="18"/>
      <c r="I4" s="18"/>
      <c r="J4" s="18"/>
      <c r="K4" s="18"/>
      <c r="L4" s="18"/>
      <c r="M4" s="252" t="str">
        <f>Master!AK10</f>
        <v>Name and address of the Principle Employer</v>
      </c>
      <c r="N4" s="149" t="str">
        <f>Master!AN10</f>
        <v>INDIAN SCHOOL OF BUSINESS</v>
      </c>
      <c r="O4" s="240"/>
      <c r="P4" s="240"/>
      <c r="Q4" s="243"/>
    </row>
    <row r="5" spans="1:20" ht="20.100000000000001" customHeight="1">
      <c r="A5" s="911" t="s">
        <v>2</v>
      </c>
      <c r="B5" s="912"/>
      <c r="C5" s="912"/>
      <c r="D5" s="191"/>
      <c r="E5" s="192"/>
      <c r="F5" s="148" t="str">
        <f>Master!F8</f>
        <v>GARDENING SERVICES&amp;ISB HYDERABAD</v>
      </c>
      <c r="G5" s="148"/>
      <c r="H5" s="148"/>
      <c r="I5" s="148"/>
      <c r="J5" s="148"/>
      <c r="K5" s="148"/>
      <c r="L5" s="148"/>
      <c r="M5" s="239"/>
      <c r="N5" s="60" t="str">
        <f>Master!AN11</f>
        <v>Opp.Infosys Limited,Gachibowli,Hyderabad</v>
      </c>
      <c r="O5" s="23"/>
      <c r="P5" s="23"/>
      <c r="Q5" s="244"/>
    </row>
    <row r="6" spans="1:20">
      <c r="A6" s="150"/>
      <c r="B6" s="114"/>
      <c r="C6" s="114"/>
      <c r="D6" s="114"/>
      <c r="E6" s="114"/>
      <c r="F6" s="114"/>
      <c r="G6" s="114"/>
      <c r="H6" s="114"/>
      <c r="I6" s="114"/>
      <c r="J6" s="114"/>
      <c r="K6" s="114"/>
      <c r="L6" s="114"/>
      <c r="M6" s="114"/>
      <c r="N6" s="114"/>
      <c r="O6" s="114"/>
      <c r="P6" s="114"/>
      <c r="Q6" s="16"/>
    </row>
    <row r="7" spans="1:20" ht="15" thickBot="1">
      <c r="A7" s="195"/>
      <c r="B7" s="114"/>
      <c r="C7" s="114"/>
      <c r="D7" s="114"/>
      <c r="E7" s="114"/>
      <c r="F7" s="114"/>
      <c r="G7" s="114"/>
      <c r="H7" s="114"/>
      <c r="I7" s="114"/>
      <c r="J7" s="114"/>
      <c r="K7" s="114"/>
      <c r="L7" s="114"/>
      <c r="M7" s="114"/>
      <c r="N7" s="114"/>
      <c r="O7" s="114"/>
      <c r="P7" s="114"/>
      <c r="Q7" s="16"/>
    </row>
    <row r="8" spans="1:20" s="11" customFormat="1" ht="36.6" customHeight="1">
      <c r="A8" s="913" t="s">
        <v>226</v>
      </c>
      <c r="B8" s="904" t="s">
        <v>224</v>
      </c>
      <c r="C8" s="904" t="s">
        <v>1021</v>
      </c>
      <c r="D8" s="904" t="s">
        <v>31</v>
      </c>
      <c r="E8" s="904" t="s">
        <v>33</v>
      </c>
      <c r="F8" s="904" t="s">
        <v>225</v>
      </c>
      <c r="G8" s="897" t="s">
        <v>227</v>
      </c>
      <c r="H8" s="897" t="s">
        <v>228</v>
      </c>
      <c r="I8" s="897" t="s">
        <v>229</v>
      </c>
      <c r="J8" s="916" t="s">
        <v>231</v>
      </c>
      <c r="K8" s="916" t="s">
        <v>232</v>
      </c>
      <c r="L8" s="916" t="s">
        <v>233</v>
      </c>
      <c r="M8" s="918" t="s">
        <v>34</v>
      </c>
      <c r="N8" s="920" t="s">
        <v>35</v>
      </c>
      <c r="O8" s="922" t="s">
        <v>36</v>
      </c>
      <c r="P8" s="922" t="s">
        <v>37</v>
      </c>
      <c r="Q8" s="902" t="s">
        <v>32</v>
      </c>
    </row>
    <row r="9" spans="1:20" ht="47.25" customHeight="1">
      <c r="A9" s="914"/>
      <c r="B9" s="905"/>
      <c r="C9" s="905"/>
      <c r="D9" s="905"/>
      <c r="E9" s="905"/>
      <c r="F9" s="915"/>
      <c r="G9" s="898"/>
      <c r="H9" s="898"/>
      <c r="I9" s="898"/>
      <c r="J9" s="917"/>
      <c r="K9" s="917"/>
      <c r="L9" s="917"/>
      <c r="M9" s="919"/>
      <c r="N9" s="921"/>
      <c r="O9" s="923"/>
      <c r="P9" s="923"/>
      <c r="Q9" s="903"/>
    </row>
    <row r="10" spans="1:20">
      <c r="A10" s="195">
        <v>1</v>
      </c>
      <c r="B10" s="197">
        <v>2</v>
      </c>
      <c r="C10" s="894">
        <v>3</v>
      </c>
      <c r="D10" s="896"/>
      <c r="E10" s="197">
        <v>4</v>
      </c>
      <c r="F10" s="197">
        <v>5</v>
      </c>
      <c r="G10" s="894">
        <v>6</v>
      </c>
      <c r="H10" s="895"/>
      <c r="I10" s="895"/>
      <c r="J10" s="894">
        <v>7</v>
      </c>
      <c r="K10" s="895"/>
      <c r="L10" s="895"/>
      <c r="M10" s="197">
        <v>8</v>
      </c>
      <c r="N10" s="197">
        <v>9</v>
      </c>
      <c r="O10" s="197">
        <v>10</v>
      </c>
      <c r="P10" s="250">
        <v>11</v>
      </c>
      <c r="Q10" s="196">
        <v>12</v>
      </c>
      <c r="R10" s="11"/>
      <c r="S10" s="11"/>
      <c r="T10" s="11"/>
    </row>
    <row r="11" spans="1:20" ht="39.9" customHeight="1">
      <c r="A11" s="143">
        <f>[1]Master!A16</f>
        <v>1</v>
      </c>
      <c r="B11" s="844" t="s">
        <v>601</v>
      </c>
      <c r="C11" s="247">
        <v>32739</v>
      </c>
      <c r="D11" s="845" t="s">
        <v>181</v>
      </c>
      <c r="E11" s="845" t="s">
        <v>641</v>
      </c>
      <c r="F11" s="559" t="s">
        <v>645</v>
      </c>
      <c r="G11" s="845" t="s">
        <v>648</v>
      </c>
      <c r="H11" s="249" t="s">
        <v>667</v>
      </c>
      <c r="I11" s="845" t="s">
        <v>679</v>
      </c>
      <c r="J11" s="845" t="s">
        <v>526</v>
      </c>
      <c r="K11" s="249" t="s">
        <v>527</v>
      </c>
      <c r="L11" s="249" t="s">
        <v>528</v>
      </c>
      <c r="M11" s="554">
        <v>43850</v>
      </c>
      <c r="N11" s="249"/>
      <c r="O11" s="251" t="s">
        <v>747</v>
      </c>
      <c r="P11" s="299" t="s">
        <v>203</v>
      </c>
      <c r="Q11" s="555"/>
    </row>
    <row r="12" spans="1:20" ht="39.9" customHeight="1">
      <c r="A12" s="143">
        <f>[1]Master!A17</f>
        <v>2</v>
      </c>
      <c r="B12" s="846" t="s">
        <v>602</v>
      </c>
      <c r="C12" s="247">
        <v>31413</v>
      </c>
      <c r="D12" s="845" t="s">
        <v>181</v>
      </c>
      <c r="E12" s="845" t="s">
        <v>414</v>
      </c>
      <c r="F12" s="559" t="s">
        <v>409</v>
      </c>
      <c r="G12" s="845" t="s">
        <v>447</v>
      </c>
      <c r="H12" s="249" t="s">
        <v>448</v>
      </c>
      <c r="I12" s="845" t="s">
        <v>449</v>
      </c>
      <c r="J12" s="845" t="s">
        <v>526</v>
      </c>
      <c r="K12" s="249" t="s">
        <v>527</v>
      </c>
      <c r="L12" s="249" t="s">
        <v>528</v>
      </c>
      <c r="M12" s="554">
        <v>43850</v>
      </c>
      <c r="N12" s="249"/>
      <c r="O12" s="251" t="s">
        <v>747</v>
      </c>
      <c r="P12" s="299" t="s">
        <v>203</v>
      </c>
      <c r="Q12" s="555"/>
    </row>
    <row r="13" spans="1:20" ht="39.9" customHeight="1">
      <c r="A13" s="143">
        <f>[1]Master!A18</f>
        <v>3</v>
      </c>
      <c r="B13" s="846" t="s">
        <v>352</v>
      </c>
      <c r="C13" s="247">
        <v>29587</v>
      </c>
      <c r="D13" s="845" t="s">
        <v>181</v>
      </c>
      <c r="E13" s="845" t="s">
        <v>415</v>
      </c>
      <c r="F13" s="559" t="s">
        <v>409</v>
      </c>
      <c r="G13" s="845" t="s">
        <v>450</v>
      </c>
      <c r="H13" s="249" t="s">
        <v>451</v>
      </c>
      <c r="I13" s="845" t="s">
        <v>452</v>
      </c>
      <c r="J13" s="845" t="s">
        <v>526</v>
      </c>
      <c r="K13" s="249" t="s">
        <v>527</v>
      </c>
      <c r="L13" s="249" t="s">
        <v>528</v>
      </c>
      <c r="M13" s="554">
        <v>43850</v>
      </c>
      <c r="N13" s="249"/>
      <c r="O13" s="251"/>
      <c r="P13" s="249"/>
      <c r="Q13" s="555"/>
    </row>
    <row r="14" spans="1:20" ht="39.9" customHeight="1">
      <c r="A14" s="143">
        <f>[1]Master!A19</f>
        <v>4</v>
      </c>
      <c r="B14" s="846" t="s">
        <v>353</v>
      </c>
      <c r="C14" s="247">
        <v>31345</v>
      </c>
      <c r="D14" s="845" t="s">
        <v>181</v>
      </c>
      <c r="E14" s="845" t="s">
        <v>416</v>
      </c>
      <c r="F14" s="559" t="s">
        <v>409</v>
      </c>
      <c r="G14" s="845" t="s">
        <v>453</v>
      </c>
      <c r="H14" s="249" t="s">
        <v>454</v>
      </c>
      <c r="I14" s="845" t="s">
        <v>455</v>
      </c>
      <c r="J14" s="845" t="s">
        <v>526</v>
      </c>
      <c r="K14" s="249" t="s">
        <v>527</v>
      </c>
      <c r="L14" s="249" t="s">
        <v>528</v>
      </c>
      <c r="M14" s="554">
        <v>43850</v>
      </c>
      <c r="N14" s="249"/>
      <c r="O14" s="251"/>
      <c r="P14" s="249"/>
      <c r="Q14" s="556"/>
    </row>
    <row r="15" spans="1:20" ht="39.9" customHeight="1">
      <c r="A15" s="143">
        <f>[1]Master!A20</f>
        <v>5</v>
      </c>
      <c r="B15" s="844" t="s">
        <v>621</v>
      </c>
      <c r="C15" s="847" t="s">
        <v>357</v>
      </c>
      <c r="D15" s="845" t="s">
        <v>181</v>
      </c>
      <c r="E15" s="845" t="s">
        <v>642</v>
      </c>
      <c r="F15" s="848" t="s">
        <v>646</v>
      </c>
      <c r="G15" s="845" t="s">
        <v>649</v>
      </c>
      <c r="H15" s="849" t="s">
        <v>668</v>
      </c>
      <c r="I15" s="845" t="s">
        <v>680</v>
      </c>
      <c r="J15" s="845" t="s">
        <v>526</v>
      </c>
      <c r="K15" s="849" t="s">
        <v>527</v>
      </c>
      <c r="L15" s="849" t="s">
        <v>528</v>
      </c>
      <c r="M15" s="554">
        <v>43850</v>
      </c>
      <c r="N15" s="849"/>
      <c r="O15" s="850" t="s">
        <v>683</v>
      </c>
      <c r="P15" s="249" t="s">
        <v>203</v>
      </c>
      <c r="Q15" s="556"/>
    </row>
    <row r="16" spans="1:20" ht="39.9" customHeight="1">
      <c r="A16" s="143">
        <f>[1]Master!A21</f>
        <v>6</v>
      </c>
      <c r="B16" s="846" t="s">
        <v>354</v>
      </c>
      <c r="C16" s="847">
        <v>21919</v>
      </c>
      <c r="D16" s="845" t="s">
        <v>181</v>
      </c>
      <c r="E16" s="845" t="s">
        <v>417</v>
      </c>
      <c r="F16" s="848" t="s">
        <v>410</v>
      </c>
      <c r="G16" s="845" t="str">
        <f>[1]Master!F20</f>
        <v>Semi Skilled Gardner</v>
      </c>
      <c r="H16" s="849" t="s">
        <v>457</v>
      </c>
      <c r="I16" s="845" t="str">
        <f>[1]Master!H20</f>
        <v>Mwdharam,Medhak</v>
      </c>
      <c r="J16" s="845" t="s">
        <v>526</v>
      </c>
      <c r="K16" s="849" t="s">
        <v>527</v>
      </c>
      <c r="L16" s="849" t="s">
        <v>528</v>
      </c>
      <c r="M16" s="554">
        <v>43850</v>
      </c>
      <c r="N16" s="849"/>
      <c r="O16" s="850"/>
      <c r="P16" s="849"/>
      <c r="Q16" s="556"/>
    </row>
    <row r="17" spans="1:17" ht="39.9" customHeight="1">
      <c r="A17" s="143">
        <f>[1]Master!A22</f>
        <v>7</v>
      </c>
      <c r="B17" s="846" t="s">
        <v>355</v>
      </c>
      <c r="C17" s="847">
        <v>24473</v>
      </c>
      <c r="D17" s="845" t="s">
        <v>181</v>
      </c>
      <c r="E17" s="845" t="s">
        <v>418</v>
      </c>
      <c r="F17" s="848" t="s">
        <v>410</v>
      </c>
      <c r="G17" s="845" t="str">
        <f>[1]Master!F22</f>
        <v>Semi Skilled Gardner</v>
      </c>
      <c r="H17" s="849" t="s">
        <v>460</v>
      </c>
      <c r="I17" s="845" t="str">
        <f>[1]Master!H22</f>
        <v>Near church,serilingampally</v>
      </c>
      <c r="J17" s="845" t="s">
        <v>526</v>
      </c>
      <c r="K17" s="849" t="s">
        <v>527</v>
      </c>
      <c r="L17" s="849" t="s">
        <v>528</v>
      </c>
      <c r="M17" s="554">
        <v>43850</v>
      </c>
      <c r="N17" s="849"/>
      <c r="O17" s="850"/>
      <c r="P17" s="849"/>
      <c r="Q17" s="556"/>
    </row>
    <row r="18" spans="1:17" ht="39.9" customHeight="1">
      <c r="A18" s="143">
        <f>[1]Master!A23</f>
        <v>8</v>
      </c>
      <c r="B18" s="846" t="s">
        <v>356</v>
      </c>
      <c r="C18" s="847" t="s">
        <v>360</v>
      </c>
      <c r="D18" s="845" t="s">
        <v>181</v>
      </c>
      <c r="E18" s="845" t="s">
        <v>419</v>
      </c>
      <c r="F18" s="848" t="s">
        <v>410</v>
      </c>
      <c r="G18" s="845" t="str">
        <f>[1]Master!F23</f>
        <v>Semi Skilled Gardner</v>
      </c>
      <c r="H18" s="849" t="s">
        <v>463</v>
      </c>
      <c r="I18" s="845" t="str">
        <f>[1]Master!H23</f>
        <v>Patancheru,Sulthanpur</v>
      </c>
      <c r="J18" s="845" t="s">
        <v>526</v>
      </c>
      <c r="K18" s="849" t="s">
        <v>527</v>
      </c>
      <c r="L18" s="849" t="s">
        <v>528</v>
      </c>
      <c r="M18" s="554">
        <v>43850</v>
      </c>
      <c r="N18" s="849"/>
      <c r="O18" s="850"/>
      <c r="P18" s="849"/>
      <c r="Q18" s="556"/>
    </row>
    <row r="19" spans="1:17" ht="39.9" customHeight="1">
      <c r="A19" s="143">
        <f>[1]Master!A24</f>
        <v>9</v>
      </c>
      <c r="B19" s="846" t="s">
        <v>358</v>
      </c>
      <c r="C19" s="847">
        <v>29832</v>
      </c>
      <c r="D19" s="845" t="s">
        <v>181</v>
      </c>
      <c r="E19" s="845" t="s">
        <v>420</v>
      </c>
      <c r="F19" s="848" t="s">
        <v>410</v>
      </c>
      <c r="G19" s="845" t="str">
        <f>[1]Master!F24</f>
        <v>Semi Skilled Gardner</v>
      </c>
      <c r="H19" s="849" t="s">
        <v>465</v>
      </c>
      <c r="I19" s="845" t="str">
        <f>[1]Master!H24</f>
        <v>Post-sawargaon,Mukhed,Nanded,</v>
      </c>
      <c r="J19" s="845" t="s">
        <v>526</v>
      </c>
      <c r="K19" s="849" t="s">
        <v>527</v>
      </c>
      <c r="L19" s="849" t="s">
        <v>528</v>
      </c>
      <c r="M19" s="554">
        <v>43850</v>
      </c>
      <c r="N19" s="849"/>
      <c r="O19" s="850"/>
      <c r="P19" s="849"/>
      <c r="Q19" s="557"/>
    </row>
    <row r="20" spans="1:17" ht="39.9" customHeight="1">
      <c r="A20" s="143">
        <f>[1]Master!A25</f>
        <v>10</v>
      </c>
      <c r="B20" s="846" t="s">
        <v>359</v>
      </c>
      <c r="C20" s="847">
        <v>26665</v>
      </c>
      <c r="D20" s="845" t="s">
        <v>181</v>
      </c>
      <c r="E20" s="845" t="s">
        <v>421</v>
      </c>
      <c r="F20" s="848" t="s">
        <v>410</v>
      </c>
      <c r="G20" s="845" t="str">
        <f>[1]Master!F25</f>
        <v>Semi Skilled Gardner</v>
      </c>
      <c r="H20" s="849" t="s">
        <v>468</v>
      </c>
      <c r="I20" s="845" t="str">
        <f>[1]Master!H25</f>
        <v>opp Hanuman temple</v>
      </c>
      <c r="J20" s="845" t="s">
        <v>526</v>
      </c>
      <c r="K20" s="849" t="s">
        <v>527</v>
      </c>
      <c r="L20" s="849" t="s">
        <v>528</v>
      </c>
      <c r="M20" s="554">
        <v>43850</v>
      </c>
      <c r="N20" s="849"/>
      <c r="O20" s="850"/>
      <c r="P20" s="849"/>
      <c r="Q20" s="557"/>
    </row>
    <row r="21" spans="1:17" ht="39.9" customHeight="1">
      <c r="A21" s="143">
        <f>[1]Master!A26</f>
        <v>11</v>
      </c>
      <c r="B21" s="844" t="s">
        <v>622</v>
      </c>
      <c r="C21" s="847">
        <v>24838</v>
      </c>
      <c r="D21" s="845" t="s">
        <v>181</v>
      </c>
      <c r="E21" s="845" t="s">
        <v>643</v>
      </c>
      <c r="F21" s="848" t="s">
        <v>410</v>
      </c>
      <c r="G21" s="845" t="str">
        <f>[1]Master!F26</f>
        <v>Semi Skilled Gardner</v>
      </c>
      <c r="H21" s="849" t="s">
        <v>669</v>
      </c>
      <c r="I21" s="845" t="str">
        <f>[1]Master!H26</f>
        <v>Bapu nagar,Lingampally</v>
      </c>
      <c r="J21" s="845" t="s">
        <v>526</v>
      </c>
      <c r="K21" s="849" t="s">
        <v>527</v>
      </c>
      <c r="L21" s="849" t="s">
        <v>528</v>
      </c>
      <c r="M21" s="554">
        <v>43850</v>
      </c>
      <c r="N21" s="849"/>
      <c r="O21" s="850" t="s">
        <v>684</v>
      </c>
      <c r="P21" s="249" t="s">
        <v>203</v>
      </c>
      <c r="Q21" s="557"/>
    </row>
    <row r="22" spans="1:17" ht="39.9" customHeight="1">
      <c r="A22" s="143">
        <f>[1]Master!A27</f>
        <v>12</v>
      </c>
      <c r="B22" s="846" t="s">
        <v>361</v>
      </c>
      <c r="C22" s="847" t="s">
        <v>364</v>
      </c>
      <c r="D22" s="845" t="s">
        <v>181</v>
      </c>
      <c r="E22" s="845" t="s">
        <v>422</v>
      </c>
      <c r="F22" s="848" t="s">
        <v>410</v>
      </c>
      <c r="G22" s="845" t="str">
        <f>[1]Master!F27</f>
        <v>Semi Skilled Gardner</v>
      </c>
      <c r="H22" s="849" t="s">
        <v>471</v>
      </c>
      <c r="I22" s="845" t="str">
        <f>[1]Master!H27</f>
        <v>patancherusultanpur,medhak</v>
      </c>
      <c r="J22" s="845" t="s">
        <v>526</v>
      </c>
      <c r="K22" s="849" t="s">
        <v>527</v>
      </c>
      <c r="L22" s="849" t="s">
        <v>528</v>
      </c>
      <c r="M22" s="554">
        <v>43850</v>
      </c>
      <c r="N22" s="849"/>
      <c r="O22" s="850"/>
      <c r="P22" s="849"/>
      <c r="Q22" s="557"/>
    </row>
    <row r="23" spans="1:17" ht="39.9" customHeight="1">
      <c r="A23" s="143">
        <f>[1]Master!A28</f>
        <v>13</v>
      </c>
      <c r="B23" s="846" t="s">
        <v>362</v>
      </c>
      <c r="C23" s="847">
        <v>24108</v>
      </c>
      <c r="D23" s="845" t="s">
        <v>181</v>
      </c>
      <c r="E23" s="845" t="s">
        <v>423</v>
      </c>
      <c r="F23" s="848" t="s">
        <v>410</v>
      </c>
      <c r="G23" s="845" t="str">
        <f>[1]Master!F28</f>
        <v>Semi Skilled Gardner</v>
      </c>
      <c r="H23" s="848" t="s">
        <v>473</v>
      </c>
      <c r="I23" s="845" t="str">
        <f>[1]Master!H28</f>
        <v>Madaram,Medhak</v>
      </c>
      <c r="J23" s="845" t="s">
        <v>526</v>
      </c>
      <c r="K23" s="848" t="s">
        <v>527</v>
      </c>
      <c r="L23" s="848" t="s">
        <v>528</v>
      </c>
      <c r="M23" s="554">
        <v>43850</v>
      </c>
      <c r="N23" s="848"/>
      <c r="O23" s="851"/>
      <c r="P23" s="848"/>
      <c r="Q23" s="558"/>
    </row>
    <row r="24" spans="1:17" ht="39.9" customHeight="1">
      <c r="A24" s="143">
        <f>[1]Master!A29</f>
        <v>14</v>
      </c>
      <c r="B24" s="846" t="s">
        <v>363</v>
      </c>
      <c r="C24" s="847">
        <v>36161</v>
      </c>
      <c r="D24" s="845" t="s">
        <v>181</v>
      </c>
      <c r="E24" s="845" t="s">
        <v>424</v>
      </c>
      <c r="F24" s="848" t="s">
        <v>410</v>
      </c>
      <c r="G24" s="845" t="str">
        <f>[1]Master!F29</f>
        <v>Semi Skilled Gardner</v>
      </c>
      <c r="H24" s="848" t="s">
        <v>475</v>
      </c>
      <c r="I24" s="845" t="str">
        <f>[1]Master!H29</f>
        <v>sulthanpur,Medhak</v>
      </c>
      <c r="J24" s="845" t="s">
        <v>526</v>
      </c>
      <c r="K24" s="848" t="s">
        <v>527</v>
      </c>
      <c r="L24" s="848" t="s">
        <v>528</v>
      </c>
      <c r="M24" s="554">
        <v>43850</v>
      </c>
      <c r="N24" s="848"/>
      <c r="O24" s="851"/>
      <c r="P24" s="848"/>
      <c r="Q24" s="558"/>
    </row>
    <row r="25" spans="1:17" ht="39.9" customHeight="1">
      <c r="A25" s="143">
        <f>[1]Master!A30</f>
        <v>15</v>
      </c>
      <c r="B25" s="846" t="s">
        <v>365</v>
      </c>
      <c r="C25" s="847">
        <v>36439</v>
      </c>
      <c r="D25" s="845" t="s">
        <v>181</v>
      </c>
      <c r="E25" s="845" t="s">
        <v>425</v>
      </c>
      <c r="F25" s="848" t="s">
        <v>410</v>
      </c>
      <c r="G25" s="845" t="str">
        <f>[1]Master!F30</f>
        <v>Semi Skilled Gardner</v>
      </c>
      <c r="H25" s="848" t="s">
        <v>477</v>
      </c>
      <c r="I25" s="845" t="str">
        <f>[1]Master!H30</f>
        <v>Parnapalle,Cuddaph</v>
      </c>
      <c r="J25" s="845" t="s">
        <v>526</v>
      </c>
      <c r="K25" s="848" t="s">
        <v>527</v>
      </c>
      <c r="L25" s="848" t="s">
        <v>528</v>
      </c>
      <c r="M25" s="554">
        <v>43850</v>
      </c>
      <c r="N25" s="848"/>
      <c r="O25" s="851"/>
      <c r="P25" s="848"/>
      <c r="Q25" s="558"/>
    </row>
    <row r="26" spans="1:17" ht="39.9" customHeight="1">
      <c r="A26" s="143">
        <f>[1]Master!A31</f>
        <v>16</v>
      </c>
      <c r="B26" s="846" t="s">
        <v>366</v>
      </c>
      <c r="C26" s="847">
        <v>36162</v>
      </c>
      <c r="D26" s="845" t="s">
        <v>181</v>
      </c>
      <c r="E26" s="845" t="s">
        <v>426</v>
      </c>
      <c r="F26" s="848" t="s">
        <v>410</v>
      </c>
      <c r="G26" s="845" t="str">
        <f>[1]Master!F31</f>
        <v>Semi Skilled Gardner</v>
      </c>
      <c r="H26" s="848" t="s">
        <v>480</v>
      </c>
      <c r="I26" s="845" t="str">
        <f>[1]Master!H31</f>
        <v>reabarelli,Khamariya,naiani amethi</v>
      </c>
      <c r="J26" s="845" t="s">
        <v>526</v>
      </c>
      <c r="K26" s="848" t="s">
        <v>527</v>
      </c>
      <c r="L26" s="848" t="s">
        <v>528</v>
      </c>
      <c r="M26" s="554">
        <v>43850</v>
      </c>
      <c r="N26" s="848"/>
      <c r="O26" s="851"/>
      <c r="P26" s="848"/>
      <c r="Q26" s="558"/>
    </row>
    <row r="27" spans="1:17" ht="39.9" customHeight="1">
      <c r="A27" s="143">
        <f>[1]Master!A32</f>
        <v>17</v>
      </c>
      <c r="B27" s="846" t="s">
        <v>367</v>
      </c>
      <c r="C27" s="847">
        <v>27948</v>
      </c>
      <c r="D27" s="845" t="s">
        <v>181</v>
      </c>
      <c r="E27" s="845" t="s">
        <v>427</v>
      </c>
      <c r="F27" s="848" t="s">
        <v>410</v>
      </c>
      <c r="G27" s="845" t="str">
        <f>[1]Master!F32</f>
        <v>Semi Skilled Gardner</v>
      </c>
      <c r="H27" s="848" t="s">
        <v>483</v>
      </c>
      <c r="I27" s="845" t="str">
        <f>[1]Master!H32</f>
        <v>Khamariya pure Kushal,amethi,nini</v>
      </c>
      <c r="J27" s="845" t="s">
        <v>526</v>
      </c>
      <c r="K27" s="848" t="s">
        <v>527</v>
      </c>
      <c r="L27" s="848" t="s">
        <v>528</v>
      </c>
      <c r="M27" s="554">
        <v>43850</v>
      </c>
      <c r="N27" s="848"/>
      <c r="O27" s="851"/>
      <c r="P27" s="848"/>
      <c r="Q27" s="558"/>
    </row>
    <row r="28" spans="1:17" ht="39.9" customHeight="1">
      <c r="A28" s="143">
        <f>[1]Master!A33</f>
        <v>18</v>
      </c>
      <c r="B28" s="846" t="s">
        <v>368</v>
      </c>
      <c r="C28" s="847" t="s">
        <v>372</v>
      </c>
      <c r="D28" s="845" t="s">
        <v>181</v>
      </c>
      <c r="E28" s="845" t="s">
        <v>428</v>
      </c>
      <c r="F28" s="848" t="s">
        <v>410</v>
      </c>
      <c r="G28" s="845" t="str">
        <f>[1]Master!F33</f>
        <v>Semi Skilled Gardner</v>
      </c>
      <c r="H28" s="848" t="s">
        <v>483</v>
      </c>
      <c r="I28" s="845" t="str">
        <f>[1]Master!H33</f>
        <v>Khamariya pure Kushal,amethi,nini</v>
      </c>
      <c r="J28" s="845" t="s">
        <v>526</v>
      </c>
      <c r="K28" s="848" t="s">
        <v>527</v>
      </c>
      <c r="L28" s="848" t="s">
        <v>528</v>
      </c>
      <c r="M28" s="554">
        <v>43850</v>
      </c>
      <c r="N28" s="848"/>
      <c r="O28" s="851"/>
      <c r="P28" s="848"/>
      <c r="Q28" s="558"/>
    </row>
    <row r="29" spans="1:17" ht="39.9" customHeight="1">
      <c r="A29" s="143">
        <f>[1]Master!A34</f>
        <v>19</v>
      </c>
      <c r="B29" s="846" t="s">
        <v>369</v>
      </c>
      <c r="C29" s="847">
        <v>27762</v>
      </c>
      <c r="D29" s="845" t="s">
        <v>370</v>
      </c>
      <c r="E29" s="845" t="s">
        <v>429</v>
      </c>
      <c r="F29" s="848" t="s">
        <v>411</v>
      </c>
      <c r="G29" s="845" t="str">
        <f>[1]Master!F34</f>
        <v>Unskilled Gardner</v>
      </c>
      <c r="H29" s="848" t="s">
        <v>485</v>
      </c>
      <c r="I29" s="845" t="str">
        <f>[1]Master!H34</f>
        <v>KONDAPUR,SERILINGAMPALLY</v>
      </c>
      <c r="J29" s="845" t="s">
        <v>526</v>
      </c>
      <c r="K29" s="848" t="s">
        <v>527</v>
      </c>
      <c r="L29" s="848" t="s">
        <v>528</v>
      </c>
      <c r="M29" s="554">
        <v>43850</v>
      </c>
      <c r="N29" s="848"/>
      <c r="O29" s="851"/>
      <c r="P29" s="848"/>
      <c r="Q29" s="558"/>
    </row>
    <row r="30" spans="1:17" ht="39.9" customHeight="1">
      <c r="A30" s="143">
        <f>[1]Master!A35</f>
        <v>20</v>
      </c>
      <c r="B30" s="846" t="s">
        <v>371</v>
      </c>
      <c r="C30" s="847">
        <v>33239</v>
      </c>
      <c r="D30" s="845" t="s">
        <v>370</v>
      </c>
      <c r="E30" s="845" t="s">
        <v>430</v>
      </c>
      <c r="F30" s="848" t="s">
        <v>411</v>
      </c>
      <c r="G30" s="845" t="str">
        <f>[1]Master!F35</f>
        <v>Unskilled Gardner</v>
      </c>
      <c r="H30" s="848" t="s">
        <v>487</v>
      </c>
      <c r="I30" s="845" t="str">
        <f>[1]Master!H35</f>
        <v>,Gutkal,Ananthpur</v>
      </c>
      <c r="J30" s="845" t="s">
        <v>526</v>
      </c>
      <c r="K30" s="848" t="s">
        <v>527</v>
      </c>
      <c r="L30" s="848" t="s">
        <v>528</v>
      </c>
      <c r="M30" s="554">
        <v>43850</v>
      </c>
      <c r="N30" s="848"/>
      <c r="O30" s="851"/>
      <c r="P30" s="848"/>
      <c r="Q30" s="558"/>
    </row>
    <row r="31" spans="1:17" ht="39.9" customHeight="1">
      <c r="A31" s="143">
        <f>[1]Master!A36</f>
        <v>21</v>
      </c>
      <c r="B31" s="846" t="s">
        <v>373</v>
      </c>
      <c r="C31" s="847">
        <v>31048</v>
      </c>
      <c r="D31" s="845" t="s">
        <v>370</v>
      </c>
      <c r="E31" s="845" t="s">
        <v>431</v>
      </c>
      <c r="F31" s="848" t="s">
        <v>411</v>
      </c>
      <c r="G31" s="845" t="str">
        <f>[1]Master!F36</f>
        <v>Unskilled Gardner</v>
      </c>
      <c r="H31" s="848" t="s">
        <v>490</v>
      </c>
      <c r="I31" s="845" t="str">
        <f>[1]Master!H36</f>
        <v>HAKEEMPET,THOLICHOUK,GOLUKOND</v>
      </c>
      <c r="J31" s="845" t="s">
        <v>526</v>
      </c>
      <c r="K31" s="848" t="s">
        <v>527</v>
      </c>
      <c r="L31" s="848" t="s">
        <v>528</v>
      </c>
      <c r="M31" s="554">
        <v>43850</v>
      </c>
      <c r="N31" s="848"/>
      <c r="O31" s="851"/>
      <c r="P31" s="848"/>
      <c r="Q31" s="245"/>
    </row>
    <row r="32" spans="1:17" ht="39.9" customHeight="1">
      <c r="A32" s="143">
        <f>[1]Master!A37</f>
        <v>22</v>
      </c>
      <c r="B32" s="846" t="s">
        <v>374</v>
      </c>
      <c r="C32" s="847">
        <v>29221</v>
      </c>
      <c r="D32" s="845" t="s">
        <v>370</v>
      </c>
      <c r="E32" s="845" t="s">
        <v>432</v>
      </c>
      <c r="F32" s="848" t="s">
        <v>411</v>
      </c>
      <c r="G32" s="845" t="str">
        <f>[1]Master!F37</f>
        <v>Unskilled Gardner</v>
      </c>
      <c r="H32" s="848" t="s">
        <v>493</v>
      </c>
      <c r="I32" s="845" t="str">
        <f>[1]Master!H37</f>
        <v>Medharam,medak</v>
      </c>
      <c r="J32" s="845" t="s">
        <v>526</v>
      </c>
      <c r="K32" s="848" t="s">
        <v>527</v>
      </c>
      <c r="L32" s="848" t="s">
        <v>528</v>
      </c>
      <c r="M32" s="554">
        <v>43850</v>
      </c>
      <c r="N32" s="848"/>
      <c r="O32" s="851"/>
      <c r="P32" s="848"/>
      <c r="Q32" s="245"/>
    </row>
    <row r="33" spans="1:17" ht="39.9" customHeight="1">
      <c r="A33" s="143">
        <f>[1]Master!A38</f>
        <v>23</v>
      </c>
      <c r="B33" s="846" t="s">
        <v>375</v>
      </c>
      <c r="C33" s="847">
        <v>25934</v>
      </c>
      <c r="D33" s="845" t="s">
        <v>370</v>
      </c>
      <c r="E33" s="845" t="s">
        <v>433</v>
      </c>
      <c r="F33" s="848" t="s">
        <v>411</v>
      </c>
      <c r="G33" s="845" t="str">
        <f>[1]Master!F38</f>
        <v>Unskilled Gardner</v>
      </c>
      <c r="H33" s="848" t="s">
        <v>670</v>
      </c>
      <c r="I33" s="845" t="str">
        <f>[1]Master!H38</f>
        <v>.guntkal,anthapuram</v>
      </c>
      <c r="J33" s="845" t="s">
        <v>526</v>
      </c>
      <c r="K33" s="848" t="s">
        <v>527</v>
      </c>
      <c r="L33" s="848" t="s">
        <v>528</v>
      </c>
      <c r="M33" s="554">
        <v>43850</v>
      </c>
      <c r="N33" s="848"/>
      <c r="O33" s="851"/>
      <c r="P33" s="848"/>
      <c r="Q33" s="245"/>
    </row>
    <row r="34" spans="1:17" ht="39.9" customHeight="1">
      <c r="A34" s="143">
        <f>[1]Master!A39</f>
        <v>24</v>
      </c>
      <c r="B34" s="846" t="s">
        <v>376</v>
      </c>
      <c r="C34" s="847">
        <v>30562</v>
      </c>
      <c r="D34" s="845" t="s">
        <v>370</v>
      </c>
      <c r="E34" s="845" t="s">
        <v>434</v>
      </c>
      <c r="F34" s="848" t="s">
        <v>411</v>
      </c>
      <c r="G34" s="845" t="str">
        <f>[1]Master!F39</f>
        <v>Unskilled Gardner</v>
      </c>
      <c r="H34" s="848" t="s">
        <v>496</v>
      </c>
      <c r="I34" s="845" t="str">
        <f>[1]Master!H39</f>
        <v>GUTAL,ANANTHAPURM</v>
      </c>
      <c r="J34" s="845" t="s">
        <v>526</v>
      </c>
      <c r="K34" s="848" t="s">
        <v>527</v>
      </c>
      <c r="L34" s="848" t="s">
        <v>528</v>
      </c>
      <c r="M34" s="554">
        <v>43850</v>
      </c>
      <c r="N34" s="848"/>
      <c r="O34" s="851"/>
      <c r="P34" s="848"/>
      <c r="Q34" s="245"/>
    </row>
    <row r="35" spans="1:17" ht="39.9" customHeight="1">
      <c r="A35" s="143">
        <f>[1]Master!A40</f>
        <v>25</v>
      </c>
      <c r="B35" s="846" t="s">
        <v>377</v>
      </c>
      <c r="C35" s="847" t="s">
        <v>379</v>
      </c>
      <c r="D35" s="845" t="s">
        <v>370</v>
      </c>
      <c r="E35" s="845" t="s">
        <v>435</v>
      </c>
      <c r="F35" s="848" t="s">
        <v>411</v>
      </c>
      <c r="G35" s="845" t="str">
        <f>[1]Master!F40</f>
        <v>Unskilled Gardner</v>
      </c>
      <c r="H35" s="848" t="s">
        <v>498</v>
      </c>
      <c r="I35" s="845" t="str">
        <f>[1]Master!H40</f>
        <v>Krishnareddipet,Medak</v>
      </c>
      <c r="J35" s="845" t="s">
        <v>526</v>
      </c>
      <c r="K35" s="848" t="s">
        <v>527</v>
      </c>
      <c r="L35" s="848" t="s">
        <v>528</v>
      </c>
      <c r="M35" s="554">
        <v>43850</v>
      </c>
      <c r="N35" s="848"/>
      <c r="O35" s="851"/>
      <c r="P35" s="848"/>
      <c r="Q35" s="245"/>
    </row>
    <row r="36" spans="1:17" ht="39.9" customHeight="1">
      <c r="A36" s="143">
        <f>[1]Master!A41</f>
        <v>26</v>
      </c>
      <c r="B36" s="844" t="s">
        <v>623</v>
      </c>
      <c r="C36" s="847">
        <v>32183</v>
      </c>
      <c r="D36" s="845" t="s">
        <v>370</v>
      </c>
      <c r="E36" s="845" t="s">
        <v>644</v>
      </c>
      <c r="F36" s="848" t="s">
        <v>411</v>
      </c>
      <c r="G36" s="845" t="str">
        <f>[1]Master!F41</f>
        <v>Unskilled Gardner</v>
      </c>
      <c r="H36" s="848" t="s">
        <v>671</v>
      </c>
      <c r="I36" s="845" t="str">
        <f>[1]Master!H41</f>
        <v>Bapu nagar,Lingampally,</v>
      </c>
      <c r="J36" s="845" t="s">
        <v>526</v>
      </c>
      <c r="K36" s="848" t="s">
        <v>527</v>
      </c>
      <c r="L36" s="848" t="s">
        <v>528</v>
      </c>
      <c r="M36" s="554">
        <v>43850</v>
      </c>
      <c r="N36" s="848"/>
      <c r="O36" s="851">
        <v>43860</v>
      </c>
      <c r="P36" s="848" t="s">
        <v>203</v>
      </c>
      <c r="Q36" s="245"/>
    </row>
    <row r="37" spans="1:17" ht="39.9" customHeight="1">
      <c r="A37" s="143">
        <f>[1]Master!A42</f>
        <v>27</v>
      </c>
      <c r="B37" s="852" t="s">
        <v>378</v>
      </c>
      <c r="C37" s="847">
        <v>32418</v>
      </c>
      <c r="D37" s="845" t="s">
        <v>370</v>
      </c>
      <c r="E37" s="845" t="s">
        <v>436</v>
      </c>
      <c r="F37" s="848" t="s">
        <v>411</v>
      </c>
      <c r="G37" s="845" t="str">
        <f>[1]Master!F42</f>
        <v>Unskilled Gardner</v>
      </c>
      <c r="H37" s="848" t="s">
        <v>500</v>
      </c>
      <c r="I37" s="845" t="str">
        <f>[1]Master!H42</f>
        <v>Kondapoor,Serilinampally</v>
      </c>
      <c r="J37" s="845" t="s">
        <v>526</v>
      </c>
      <c r="K37" s="848" t="s">
        <v>527</v>
      </c>
      <c r="L37" s="848" t="s">
        <v>528</v>
      </c>
      <c r="M37" s="554">
        <v>43850</v>
      </c>
      <c r="N37" s="848"/>
      <c r="O37" s="851"/>
      <c r="P37" s="249"/>
      <c r="Q37" s="245"/>
    </row>
    <row r="38" spans="1:17" ht="39.9" customHeight="1">
      <c r="A38" s="143">
        <f>[1]Master!A43</f>
        <v>28</v>
      </c>
      <c r="B38" s="846" t="s">
        <v>380</v>
      </c>
      <c r="C38" s="847">
        <v>26299</v>
      </c>
      <c r="D38" s="845" t="s">
        <v>370</v>
      </c>
      <c r="E38" s="845" t="s">
        <v>356</v>
      </c>
      <c r="F38" s="848" t="s">
        <v>411</v>
      </c>
      <c r="G38" s="845" t="str">
        <f>[1]Master!F43</f>
        <v>Unskilled Gardner</v>
      </c>
      <c r="H38" s="848" t="s">
        <v>503</v>
      </c>
      <c r="I38" s="845" t="str">
        <f>[1]Master!H43</f>
        <v>Patancheru,Medak</v>
      </c>
      <c r="J38" s="845" t="s">
        <v>526</v>
      </c>
      <c r="K38" s="848" t="s">
        <v>527</v>
      </c>
      <c r="L38" s="848" t="s">
        <v>528</v>
      </c>
      <c r="M38" s="554">
        <v>43850</v>
      </c>
      <c r="N38" s="848"/>
      <c r="O38" s="851"/>
      <c r="P38" s="848"/>
      <c r="Q38" s="245"/>
    </row>
    <row r="39" spans="1:17" ht="39.9" customHeight="1">
      <c r="A39" s="143">
        <f>[1]Master!A44</f>
        <v>29</v>
      </c>
      <c r="B39" s="846" t="s">
        <v>381</v>
      </c>
      <c r="C39" s="847" t="s">
        <v>384</v>
      </c>
      <c r="D39" s="845" t="s">
        <v>370</v>
      </c>
      <c r="E39" s="845" t="s">
        <v>437</v>
      </c>
      <c r="F39" s="848" t="s">
        <v>411</v>
      </c>
      <c r="G39" s="845" t="str">
        <f>[1]Master!F44</f>
        <v>Unskilled Gardner</v>
      </c>
      <c r="H39" s="848" t="s">
        <v>505</v>
      </c>
      <c r="I39" s="845" t="str">
        <f>[1]Master!H44</f>
        <v>Madhavaram,madharam,Medhak</v>
      </c>
      <c r="J39" s="845" t="s">
        <v>526</v>
      </c>
      <c r="K39" s="848" t="s">
        <v>527</v>
      </c>
      <c r="L39" s="848" t="s">
        <v>528</v>
      </c>
      <c r="M39" s="554">
        <v>43850</v>
      </c>
      <c r="N39" s="848"/>
      <c r="O39" s="851"/>
      <c r="P39" s="848"/>
      <c r="Q39" s="245"/>
    </row>
    <row r="40" spans="1:17" ht="39.9" customHeight="1">
      <c r="A40" s="143">
        <f>[1]Master!A45</f>
        <v>30</v>
      </c>
      <c r="B40" s="846" t="s">
        <v>382</v>
      </c>
      <c r="C40" s="847" t="s">
        <v>387</v>
      </c>
      <c r="D40" s="845" t="s">
        <v>370</v>
      </c>
      <c r="E40" s="845" t="s">
        <v>438</v>
      </c>
      <c r="F40" s="848" t="s">
        <v>411</v>
      </c>
      <c r="G40" s="845" t="s">
        <v>506</v>
      </c>
      <c r="H40" s="848" t="s">
        <v>507</v>
      </c>
      <c r="I40" s="845" t="s">
        <v>508</v>
      </c>
      <c r="J40" s="845" t="s">
        <v>526</v>
      </c>
      <c r="K40" s="848" t="s">
        <v>527</v>
      </c>
      <c r="L40" s="848" t="s">
        <v>528</v>
      </c>
      <c r="M40" s="554">
        <v>43850</v>
      </c>
      <c r="N40" s="848"/>
      <c r="O40" s="851"/>
      <c r="P40" s="848"/>
      <c r="Q40" s="245"/>
    </row>
    <row r="41" spans="1:17" ht="39.9" customHeight="1">
      <c r="A41" s="143">
        <f>[1]Master!A46</f>
        <v>31</v>
      </c>
      <c r="B41" s="846" t="s">
        <v>383</v>
      </c>
      <c r="C41" s="847">
        <v>32509</v>
      </c>
      <c r="D41" s="845" t="s">
        <v>370</v>
      </c>
      <c r="E41" s="845" t="s">
        <v>439</v>
      </c>
      <c r="F41" s="848" t="s">
        <v>411</v>
      </c>
      <c r="G41" s="845" t="str">
        <f>[1]Master!F46</f>
        <v>Unskilled Gardner</v>
      </c>
      <c r="H41" s="848" t="s">
        <v>510</v>
      </c>
      <c r="I41" s="845" t="str">
        <f>[1]Master!H46</f>
        <v>NEAR GVT SCHOOL LINGAMPALLI,</v>
      </c>
      <c r="J41" s="845" t="s">
        <v>526</v>
      </c>
      <c r="K41" s="848" t="s">
        <v>527</v>
      </c>
      <c r="L41" s="848" t="s">
        <v>528</v>
      </c>
      <c r="M41" s="554">
        <v>43850</v>
      </c>
      <c r="N41" s="848"/>
      <c r="O41" s="851"/>
      <c r="P41" s="848"/>
      <c r="Q41" s="245"/>
    </row>
    <row r="42" spans="1:17" ht="39.9" customHeight="1">
      <c r="A42" s="143">
        <f>[1]Master!A47</f>
        <v>32</v>
      </c>
      <c r="B42" s="846" t="s">
        <v>385</v>
      </c>
      <c r="C42" s="847">
        <v>31413</v>
      </c>
      <c r="D42" s="845" t="s">
        <v>370</v>
      </c>
      <c r="E42" s="845" t="s">
        <v>440</v>
      </c>
      <c r="F42" s="848" t="s">
        <v>411</v>
      </c>
      <c r="G42" s="845" t="str">
        <f>[1]Master!F47</f>
        <v>Unskilled Gardner</v>
      </c>
      <c r="H42" s="848" t="s">
        <v>512</v>
      </c>
      <c r="I42" s="845" t="str">
        <f>[1]Master!H47</f>
        <v>patancheru,sultanpur,Medak</v>
      </c>
      <c r="J42" s="845" t="s">
        <v>526</v>
      </c>
      <c r="K42" s="848" t="s">
        <v>527</v>
      </c>
      <c r="L42" s="848" t="s">
        <v>528</v>
      </c>
      <c r="M42" s="554">
        <v>43850</v>
      </c>
      <c r="N42" s="848"/>
      <c r="O42" s="851"/>
      <c r="P42" s="848"/>
      <c r="Q42" s="245"/>
    </row>
    <row r="43" spans="1:17" ht="39.9" customHeight="1">
      <c r="A43" s="143">
        <f>[1]Master!A48</f>
        <v>33</v>
      </c>
      <c r="B43" s="846" t="s">
        <v>386</v>
      </c>
      <c r="C43" s="847">
        <v>32509</v>
      </c>
      <c r="D43" s="845" t="s">
        <v>370</v>
      </c>
      <c r="E43" s="845" t="s">
        <v>441</v>
      </c>
      <c r="F43" s="848" t="s">
        <v>411</v>
      </c>
      <c r="G43" s="845" t="str">
        <f>[1]Master!F48</f>
        <v>Unskilled Gardner</v>
      </c>
      <c r="H43" s="848" t="s">
        <v>513</v>
      </c>
      <c r="I43" s="845" t="str">
        <f>[1]Master!H48</f>
        <v>Sulthanpoor,patancheru,Sulthanpur</v>
      </c>
      <c r="J43" s="845" t="s">
        <v>526</v>
      </c>
      <c r="K43" s="848" t="s">
        <v>527</v>
      </c>
      <c r="L43" s="848" t="s">
        <v>528</v>
      </c>
      <c r="M43" s="554">
        <v>43850</v>
      </c>
      <c r="N43" s="848"/>
      <c r="O43" s="851"/>
      <c r="P43" s="848"/>
      <c r="Q43" s="245"/>
    </row>
    <row r="44" spans="1:17" ht="39.9" customHeight="1">
      <c r="A44" s="143">
        <f>[1]Master!A49</f>
        <v>34</v>
      </c>
      <c r="B44" s="846" t="s">
        <v>388</v>
      </c>
      <c r="C44" s="847">
        <v>27395</v>
      </c>
      <c r="D44" s="845" t="s">
        <v>370</v>
      </c>
      <c r="E44" s="845" t="s">
        <v>442</v>
      </c>
      <c r="F44" s="848" t="s">
        <v>411</v>
      </c>
      <c r="G44" s="845" t="str">
        <f>[1]Master!F49</f>
        <v>Unskilled Gardner</v>
      </c>
      <c r="H44" s="848" t="s">
        <v>515</v>
      </c>
      <c r="I44" s="845" t="str">
        <f>[1]Master!H49</f>
        <v>Janatha colony,Bhalki,Bidar</v>
      </c>
      <c r="J44" s="845" t="s">
        <v>526</v>
      </c>
      <c r="K44" s="848" t="s">
        <v>527</v>
      </c>
      <c r="L44" s="848" t="s">
        <v>528</v>
      </c>
      <c r="M44" s="554">
        <v>43850</v>
      </c>
      <c r="N44" s="848"/>
      <c r="O44" s="851"/>
      <c r="P44" s="848"/>
      <c r="Q44" s="245"/>
    </row>
    <row r="45" spans="1:17" ht="39.9" customHeight="1">
      <c r="A45" s="143">
        <f>[1]Master!A50</f>
        <v>35</v>
      </c>
      <c r="B45" s="846" t="s">
        <v>389</v>
      </c>
      <c r="C45" s="847" t="s">
        <v>393</v>
      </c>
      <c r="D45" s="845" t="s">
        <v>370</v>
      </c>
      <c r="E45" s="845" t="s">
        <v>443</v>
      </c>
      <c r="F45" s="848" t="s">
        <v>411</v>
      </c>
      <c r="G45" s="845" t="str">
        <f>[1]Master!F50</f>
        <v>Unskilled Gardner</v>
      </c>
      <c r="H45" s="848" t="s">
        <v>518</v>
      </c>
      <c r="I45" s="845" t="str">
        <f>[1]Master!H50</f>
        <v>Narra basthi,Patancheru,Medak</v>
      </c>
      <c r="J45" s="845" t="s">
        <v>526</v>
      </c>
      <c r="K45" s="848" t="s">
        <v>527</v>
      </c>
      <c r="L45" s="848" t="s">
        <v>528</v>
      </c>
      <c r="M45" s="554">
        <v>43850</v>
      </c>
      <c r="N45" s="848"/>
      <c r="O45" s="851"/>
      <c r="P45" s="848"/>
      <c r="Q45" s="245"/>
    </row>
    <row r="46" spans="1:17" ht="39.9" customHeight="1">
      <c r="A46" s="143">
        <f>[1]Master!A51</f>
        <v>36</v>
      </c>
      <c r="B46" s="846" t="s">
        <v>390</v>
      </c>
      <c r="C46" s="847" t="s">
        <v>395</v>
      </c>
      <c r="D46" s="845" t="s">
        <v>370</v>
      </c>
      <c r="E46" s="845" t="s">
        <v>444</v>
      </c>
      <c r="F46" s="848" t="s">
        <v>411</v>
      </c>
      <c r="G46" s="845" t="str">
        <f>[1]Master!F51</f>
        <v>Unskilled Gardner</v>
      </c>
      <c r="H46" s="848" t="s">
        <v>519</v>
      </c>
      <c r="I46" s="845" t="str">
        <f>[1]Master!H51</f>
        <v>Nagdar,kalher,medak</v>
      </c>
      <c r="J46" s="845" t="s">
        <v>526</v>
      </c>
      <c r="K46" s="848" t="s">
        <v>527</v>
      </c>
      <c r="L46" s="848" t="s">
        <v>528</v>
      </c>
      <c r="M46" s="554">
        <v>43850</v>
      </c>
      <c r="N46" s="848"/>
      <c r="O46" s="851"/>
      <c r="P46" s="848"/>
      <c r="Q46" s="245"/>
    </row>
    <row r="47" spans="1:17" ht="39.9" customHeight="1">
      <c r="A47" s="143">
        <f>[1]Master!A52</f>
        <v>37</v>
      </c>
      <c r="B47" s="846" t="s">
        <v>391</v>
      </c>
      <c r="C47" s="847">
        <v>27395</v>
      </c>
      <c r="D47" s="845" t="s">
        <v>370</v>
      </c>
      <c r="E47" s="845" t="s">
        <v>362</v>
      </c>
      <c r="F47" s="848" t="s">
        <v>411</v>
      </c>
      <c r="G47" s="845" t="str">
        <f>[1]Master!F52</f>
        <v>Unskilled Gardner</v>
      </c>
      <c r="H47" s="848" t="s">
        <v>507</v>
      </c>
      <c r="I47" s="845" t="str">
        <f>[1]Master!H52</f>
        <v>MADHARAM,MEDHAK</v>
      </c>
      <c r="J47" s="845" t="s">
        <v>526</v>
      </c>
      <c r="K47" s="848" t="s">
        <v>527</v>
      </c>
      <c r="L47" s="848" t="s">
        <v>528</v>
      </c>
      <c r="M47" s="554">
        <v>43850</v>
      </c>
      <c r="N47" s="848"/>
      <c r="O47" s="851"/>
      <c r="P47" s="848"/>
      <c r="Q47" s="245"/>
    </row>
    <row r="48" spans="1:17" ht="39.9" customHeight="1">
      <c r="A48" s="143">
        <f>[1]Master!A53</f>
        <v>38</v>
      </c>
      <c r="B48" s="846" t="s">
        <v>392</v>
      </c>
      <c r="C48" s="847">
        <v>29545</v>
      </c>
      <c r="D48" s="845" t="s">
        <v>370</v>
      </c>
      <c r="E48" s="845" t="s">
        <v>445</v>
      </c>
      <c r="F48" s="848" t="s">
        <v>411</v>
      </c>
      <c r="G48" s="845" t="str">
        <f>[1]Master!F53</f>
        <v>Unskilled Gardner</v>
      </c>
      <c r="H48" s="848" t="s">
        <v>523</v>
      </c>
      <c r="I48" s="845" t="str">
        <f>[1]Master!H53</f>
        <v>patancheru,Sultanpur,medak</v>
      </c>
      <c r="J48" s="845" t="s">
        <v>526</v>
      </c>
      <c r="K48" s="848" t="s">
        <v>527</v>
      </c>
      <c r="L48" s="848" t="s">
        <v>528</v>
      </c>
      <c r="M48" s="554">
        <v>43850</v>
      </c>
      <c r="N48" s="848"/>
      <c r="O48" s="851"/>
      <c r="P48" s="848"/>
      <c r="Q48" s="245"/>
    </row>
    <row r="49" spans="1:17" ht="39.9" customHeight="1">
      <c r="A49" s="143">
        <f>[1]Master!A54</f>
        <v>39</v>
      </c>
      <c r="B49" s="846" t="s">
        <v>394</v>
      </c>
      <c r="C49" s="847">
        <v>24187</v>
      </c>
      <c r="D49" s="845" t="s">
        <v>370</v>
      </c>
      <c r="E49" s="845" t="s">
        <v>446</v>
      </c>
      <c r="F49" s="848" t="s">
        <v>411</v>
      </c>
      <c r="G49" s="845" t="str">
        <f>[1]Master!F54</f>
        <v>Unskilled Gardner</v>
      </c>
      <c r="H49" s="848" t="s">
        <v>525</v>
      </c>
      <c r="I49" s="845" t="str">
        <f>[1]Master!H54</f>
        <v>mahabubnagar,dhrmapur-mndl,</v>
      </c>
      <c r="J49" s="845" t="s">
        <v>526</v>
      </c>
      <c r="K49" s="848" t="s">
        <v>527</v>
      </c>
      <c r="L49" s="848" t="s">
        <v>528</v>
      </c>
      <c r="M49" s="554">
        <v>43850</v>
      </c>
      <c r="N49" s="848"/>
      <c r="O49" s="851"/>
      <c r="P49" s="848"/>
      <c r="Q49" s="245"/>
    </row>
    <row r="50" spans="1:17" ht="39.9" customHeight="1">
      <c r="A50" s="143">
        <v>40</v>
      </c>
      <c r="B50" s="846" t="s">
        <v>603</v>
      </c>
      <c r="C50" s="847">
        <v>28491</v>
      </c>
      <c r="D50" s="845" t="s">
        <v>370</v>
      </c>
      <c r="E50" s="845" t="s">
        <v>624</v>
      </c>
      <c r="F50" s="848" t="s">
        <v>411</v>
      </c>
      <c r="G50" s="845" t="s">
        <v>650</v>
      </c>
      <c r="H50" s="848" t="s">
        <v>672</v>
      </c>
      <c r="I50" s="845" t="s">
        <v>458</v>
      </c>
      <c r="J50" s="845" t="s">
        <v>526</v>
      </c>
      <c r="K50" s="848" t="s">
        <v>527</v>
      </c>
      <c r="L50" s="848" t="s">
        <v>528</v>
      </c>
      <c r="M50" s="554">
        <v>43862</v>
      </c>
      <c r="N50" s="848"/>
      <c r="O50" s="851"/>
      <c r="P50" s="848"/>
      <c r="Q50" s="245"/>
    </row>
    <row r="51" spans="1:17" ht="39.9" customHeight="1">
      <c r="A51" s="143">
        <v>41</v>
      </c>
      <c r="B51" s="846" t="s">
        <v>604</v>
      </c>
      <c r="C51" s="847">
        <v>28491</v>
      </c>
      <c r="D51" s="845" t="s">
        <v>370</v>
      </c>
      <c r="E51" s="845" t="s">
        <v>625</v>
      </c>
      <c r="F51" s="848" t="s">
        <v>411</v>
      </c>
      <c r="G51" s="845" t="s">
        <v>651</v>
      </c>
      <c r="H51" s="848" t="s">
        <v>673</v>
      </c>
      <c r="I51" s="845" t="s">
        <v>458</v>
      </c>
      <c r="J51" s="845" t="s">
        <v>526</v>
      </c>
      <c r="K51" s="848" t="s">
        <v>527</v>
      </c>
      <c r="L51" s="848" t="s">
        <v>528</v>
      </c>
      <c r="M51" s="554">
        <v>43862</v>
      </c>
      <c r="N51" s="848"/>
      <c r="O51" s="851"/>
      <c r="P51" s="848"/>
      <c r="Q51" s="245"/>
    </row>
    <row r="52" spans="1:17" ht="39.9" customHeight="1">
      <c r="A52" s="143">
        <v>42</v>
      </c>
      <c r="B52" s="846" t="s">
        <v>605</v>
      </c>
      <c r="C52" s="847">
        <v>28989</v>
      </c>
      <c r="D52" s="845" t="s">
        <v>370</v>
      </c>
      <c r="E52" s="845" t="s">
        <v>626</v>
      </c>
      <c r="F52" s="848" t="s">
        <v>411</v>
      </c>
      <c r="G52" s="845" t="s">
        <v>652</v>
      </c>
      <c r="H52" s="848" t="s">
        <v>674</v>
      </c>
      <c r="I52" s="845" t="s">
        <v>458</v>
      </c>
      <c r="J52" s="845" t="s">
        <v>526</v>
      </c>
      <c r="K52" s="848" t="s">
        <v>527</v>
      </c>
      <c r="L52" s="848" t="s">
        <v>528</v>
      </c>
      <c r="M52" s="554">
        <v>43862</v>
      </c>
      <c r="N52" s="848"/>
      <c r="O52" s="851"/>
      <c r="P52" s="848"/>
      <c r="Q52" s="245"/>
    </row>
    <row r="53" spans="1:17" ht="39.9" customHeight="1">
      <c r="A53" s="143">
        <v>43</v>
      </c>
      <c r="B53" s="846" t="s">
        <v>606</v>
      </c>
      <c r="C53" s="847">
        <v>26665</v>
      </c>
      <c r="D53" s="845" t="s">
        <v>370</v>
      </c>
      <c r="E53" s="845" t="s">
        <v>627</v>
      </c>
      <c r="F53" s="848" t="s">
        <v>411</v>
      </c>
      <c r="G53" s="845" t="s">
        <v>653</v>
      </c>
      <c r="H53" s="848" t="s">
        <v>674</v>
      </c>
      <c r="I53" s="845" t="s">
        <v>458</v>
      </c>
      <c r="J53" s="845" t="s">
        <v>526</v>
      </c>
      <c r="K53" s="848" t="s">
        <v>527</v>
      </c>
      <c r="L53" s="848" t="s">
        <v>528</v>
      </c>
      <c r="M53" s="554">
        <v>43862</v>
      </c>
      <c r="N53" s="848"/>
      <c r="O53" s="851"/>
      <c r="P53" s="848"/>
      <c r="Q53" s="245"/>
    </row>
    <row r="54" spans="1:17" ht="39.9" customHeight="1">
      <c r="A54" s="143">
        <v>44</v>
      </c>
      <c r="B54" s="846" t="s">
        <v>607</v>
      </c>
      <c r="C54" s="847">
        <v>27395</v>
      </c>
      <c r="D54" s="845" t="s">
        <v>370</v>
      </c>
      <c r="E54" s="845" t="s">
        <v>628</v>
      </c>
      <c r="F54" s="848" t="s">
        <v>411</v>
      </c>
      <c r="G54" s="845" t="s">
        <v>654</v>
      </c>
      <c r="H54" s="848" t="s">
        <v>507</v>
      </c>
      <c r="I54" s="845" t="s">
        <v>458</v>
      </c>
      <c r="J54" s="845" t="s">
        <v>526</v>
      </c>
      <c r="K54" s="848" t="s">
        <v>527</v>
      </c>
      <c r="L54" s="848" t="s">
        <v>528</v>
      </c>
      <c r="M54" s="554">
        <v>43862</v>
      </c>
      <c r="N54" s="848"/>
      <c r="O54" s="851"/>
      <c r="P54" s="848"/>
      <c r="Q54" s="245"/>
    </row>
    <row r="55" spans="1:17" ht="39.9" customHeight="1">
      <c r="A55" s="143">
        <v>45</v>
      </c>
      <c r="B55" s="846" t="s">
        <v>608</v>
      </c>
      <c r="C55" s="847">
        <v>29587</v>
      </c>
      <c r="D55" s="845" t="s">
        <v>370</v>
      </c>
      <c r="E55" s="845" t="s">
        <v>629</v>
      </c>
      <c r="F55" s="848" t="s">
        <v>411</v>
      </c>
      <c r="G55" s="845" t="s">
        <v>655</v>
      </c>
      <c r="H55" s="848" t="s">
        <v>672</v>
      </c>
      <c r="I55" s="845" t="s">
        <v>458</v>
      </c>
      <c r="J55" s="845" t="s">
        <v>526</v>
      </c>
      <c r="K55" s="848" t="s">
        <v>527</v>
      </c>
      <c r="L55" s="848" t="s">
        <v>528</v>
      </c>
      <c r="M55" s="554">
        <v>43862</v>
      </c>
      <c r="N55" s="848"/>
      <c r="O55" s="851"/>
      <c r="P55" s="848"/>
      <c r="Q55" s="245"/>
    </row>
    <row r="56" spans="1:17" ht="39.9" customHeight="1">
      <c r="A56" s="143">
        <v>46</v>
      </c>
      <c r="B56" s="846" t="s">
        <v>609</v>
      </c>
      <c r="C56" s="847">
        <v>25569</v>
      </c>
      <c r="D56" s="845" t="s">
        <v>370</v>
      </c>
      <c r="E56" s="845" t="s">
        <v>630</v>
      </c>
      <c r="F56" s="848" t="s">
        <v>411</v>
      </c>
      <c r="G56" s="845" t="s">
        <v>656</v>
      </c>
      <c r="H56" s="848" t="s">
        <v>507</v>
      </c>
      <c r="I56" s="845" t="s">
        <v>458</v>
      </c>
      <c r="J56" s="845" t="s">
        <v>526</v>
      </c>
      <c r="K56" s="848" t="s">
        <v>527</v>
      </c>
      <c r="L56" s="848" t="s">
        <v>528</v>
      </c>
      <c r="M56" s="554">
        <v>43864</v>
      </c>
      <c r="N56" s="848"/>
      <c r="O56" s="851"/>
      <c r="P56" s="848"/>
      <c r="Q56" s="245"/>
    </row>
    <row r="57" spans="1:17" ht="39.9" customHeight="1">
      <c r="A57" s="143">
        <v>47</v>
      </c>
      <c r="B57" s="846" t="s">
        <v>610</v>
      </c>
      <c r="C57" s="847">
        <v>25934</v>
      </c>
      <c r="D57" s="845" t="s">
        <v>370</v>
      </c>
      <c r="E57" s="845" t="s">
        <v>631</v>
      </c>
      <c r="F57" s="848" t="s">
        <v>411</v>
      </c>
      <c r="G57" s="845" t="s">
        <v>657</v>
      </c>
      <c r="H57" s="848" t="s">
        <v>672</v>
      </c>
      <c r="I57" s="845" t="s">
        <v>458</v>
      </c>
      <c r="J57" s="845" t="s">
        <v>526</v>
      </c>
      <c r="K57" s="848" t="s">
        <v>527</v>
      </c>
      <c r="L57" s="848" t="s">
        <v>528</v>
      </c>
      <c r="M57" s="554">
        <v>43865</v>
      </c>
      <c r="N57" s="848"/>
      <c r="O57" s="851"/>
      <c r="P57" s="848"/>
      <c r="Q57" s="245"/>
    </row>
    <row r="58" spans="1:17" ht="39.9" customHeight="1">
      <c r="A58" s="143">
        <v>48</v>
      </c>
      <c r="B58" s="844" t="s">
        <v>611</v>
      </c>
      <c r="C58" s="847">
        <v>30319</v>
      </c>
      <c r="D58" s="845" t="s">
        <v>370</v>
      </c>
      <c r="E58" s="845" t="s">
        <v>631</v>
      </c>
      <c r="F58" s="848" t="s">
        <v>411</v>
      </c>
      <c r="G58" s="845" t="s">
        <v>658</v>
      </c>
      <c r="H58" s="848" t="s">
        <v>672</v>
      </c>
      <c r="I58" s="845" t="s">
        <v>458</v>
      </c>
      <c r="J58" s="845" t="s">
        <v>526</v>
      </c>
      <c r="K58" s="848" t="s">
        <v>527</v>
      </c>
      <c r="L58" s="848" t="s">
        <v>528</v>
      </c>
      <c r="M58" s="554">
        <v>43865</v>
      </c>
      <c r="N58" s="848"/>
      <c r="O58" s="851">
        <v>43863</v>
      </c>
      <c r="P58" s="848" t="s">
        <v>203</v>
      </c>
      <c r="Q58" s="245"/>
    </row>
    <row r="59" spans="1:17" ht="39.9" customHeight="1">
      <c r="A59" s="143">
        <v>49</v>
      </c>
      <c r="B59" s="846" t="s">
        <v>612</v>
      </c>
      <c r="C59" s="847">
        <v>25934</v>
      </c>
      <c r="D59" s="845" t="s">
        <v>181</v>
      </c>
      <c r="E59" s="845" t="s">
        <v>632</v>
      </c>
      <c r="F59" s="848" t="s">
        <v>410</v>
      </c>
      <c r="G59" s="845" t="s">
        <v>659</v>
      </c>
      <c r="H59" s="848" t="s">
        <v>672</v>
      </c>
      <c r="I59" s="845" t="s">
        <v>458</v>
      </c>
      <c r="J59" s="845" t="s">
        <v>526</v>
      </c>
      <c r="K59" s="848" t="s">
        <v>527</v>
      </c>
      <c r="L59" s="848" t="s">
        <v>528</v>
      </c>
      <c r="M59" s="554">
        <v>43865</v>
      </c>
      <c r="N59" s="848"/>
      <c r="O59" s="851"/>
      <c r="P59" s="848"/>
      <c r="Q59" s="245"/>
    </row>
    <row r="60" spans="1:17" ht="39.9" customHeight="1">
      <c r="A60" s="143">
        <v>50</v>
      </c>
      <c r="B60" s="846" t="s">
        <v>613</v>
      </c>
      <c r="C60" s="847">
        <v>35065</v>
      </c>
      <c r="D60" s="845" t="s">
        <v>181</v>
      </c>
      <c r="E60" s="845" t="s">
        <v>633</v>
      </c>
      <c r="F60" s="848" t="s">
        <v>410</v>
      </c>
      <c r="G60" s="845" t="s">
        <v>660</v>
      </c>
      <c r="H60" s="848" t="s">
        <v>675</v>
      </c>
      <c r="I60" s="845" t="s">
        <v>681</v>
      </c>
      <c r="J60" s="845" t="s">
        <v>526</v>
      </c>
      <c r="K60" s="848" t="s">
        <v>527</v>
      </c>
      <c r="L60" s="848" t="s">
        <v>528</v>
      </c>
      <c r="M60" s="554">
        <v>43881</v>
      </c>
      <c r="N60" s="848"/>
      <c r="O60" s="851"/>
      <c r="P60" s="848"/>
      <c r="Q60" s="245"/>
    </row>
    <row r="61" spans="1:17" ht="39.9" customHeight="1">
      <c r="A61" s="143">
        <v>51</v>
      </c>
      <c r="B61" s="846" t="s">
        <v>614</v>
      </c>
      <c r="C61" s="847">
        <v>31413</v>
      </c>
      <c r="D61" s="845" t="s">
        <v>370</v>
      </c>
      <c r="E61" s="845" t="s">
        <v>634</v>
      </c>
      <c r="F61" s="848" t="s">
        <v>411</v>
      </c>
      <c r="G61" s="845" t="s">
        <v>655</v>
      </c>
      <c r="H61" s="848" t="s">
        <v>672</v>
      </c>
      <c r="I61" s="845" t="s">
        <v>458</v>
      </c>
      <c r="J61" s="845" t="s">
        <v>526</v>
      </c>
      <c r="K61" s="848" t="s">
        <v>527</v>
      </c>
      <c r="L61" s="848" t="s">
        <v>528</v>
      </c>
      <c r="M61" s="554">
        <v>43885</v>
      </c>
      <c r="N61" s="848"/>
      <c r="O61" s="851"/>
      <c r="P61" s="848"/>
      <c r="Q61" s="245"/>
    </row>
    <row r="62" spans="1:17" ht="39.9" customHeight="1">
      <c r="A62" s="143">
        <v>52</v>
      </c>
      <c r="B62" s="846" t="s">
        <v>615</v>
      </c>
      <c r="C62" s="847">
        <v>32705</v>
      </c>
      <c r="D62" s="845" t="s">
        <v>181</v>
      </c>
      <c r="E62" s="845" t="s">
        <v>635</v>
      </c>
      <c r="F62" s="848" t="s">
        <v>647</v>
      </c>
      <c r="G62" s="845" t="s">
        <v>661</v>
      </c>
      <c r="H62" s="848" t="s">
        <v>676</v>
      </c>
      <c r="I62" s="845" t="s">
        <v>682</v>
      </c>
      <c r="J62" s="845" t="s">
        <v>526</v>
      </c>
      <c r="K62" s="848" t="s">
        <v>527</v>
      </c>
      <c r="L62" s="848" t="s">
        <v>528</v>
      </c>
      <c r="M62" s="554">
        <v>43892</v>
      </c>
      <c r="N62" s="848"/>
      <c r="O62" s="851"/>
      <c r="P62" s="848"/>
      <c r="Q62" s="245"/>
    </row>
    <row r="63" spans="1:17" ht="39.9" customHeight="1">
      <c r="A63" s="143">
        <v>53</v>
      </c>
      <c r="B63" s="846" t="s">
        <v>616</v>
      </c>
      <c r="C63" s="847">
        <v>26299</v>
      </c>
      <c r="D63" s="845" t="s">
        <v>181</v>
      </c>
      <c r="E63" s="845" t="s">
        <v>636</v>
      </c>
      <c r="F63" s="848" t="s">
        <v>410</v>
      </c>
      <c r="G63" s="845" t="s">
        <v>662</v>
      </c>
      <c r="H63" s="848" t="s">
        <v>677</v>
      </c>
      <c r="I63" s="845" t="s">
        <v>458</v>
      </c>
      <c r="J63" s="845" t="s">
        <v>526</v>
      </c>
      <c r="K63" s="848" t="s">
        <v>527</v>
      </c>
      <c r="L63" s="848" t="s">
        <v>528</v>
      </c>
      <c r="M63" s="554">
        <v>43892</v>
      </c>
      <c r="N63" s="848"/>
      <c r="O63" s="851"/>
      <c r="P63" s="848"/>
      <c r="Q63" s="245"/>
    </row>
    <row r="64" spans="1:17" ht="39.9" customHeight="1">
      <c r="A64" s="143">
        <v>54</v>
      </c>
      <c r="B64" s="846" t="s">
        <v>617</v>
      </c>
      <c r="C64" s="847">
        <v>29221</v>
      </c>
      <c r="D64" s="845" t="s">
        <v>181</v>
      </c>
      <c r="E64" s="845" t="s">
        <v>637</v>
      </c>
      <c r="F64" s="848" t="s">
        <v>410</v>
      </c>
      <c r="G64" s="845" t="s">
        <v>663</v>
      </c>
      <c r="H64" s="848" t="s">
        <v>672</v>
      </c>
      <c r="I64" s="845" t="s">
        <v>458</v>
      </c>
      <c r="J64" s="845" t="s">
        <v>526</v>
      </c>
      <c r="K64" s="848" t="s">
        <v>527</v>
      </c>
      <c r="L64" s="848" t="s">
        <v>528</v>
      </c>
      <c r="M64" s="554">
        <v>43893</v>
      </c>
      <c r="N64" s="848"/>
      <c r="O64" s="851"/>
      <c r="P64" s="848"/>
      <c r="Q64" s="245"/>
    </row>
    <row r="65" spans="1:17" ht="39.9" customHeight="1">
      <c r="A65" s="143">
        <v>55</v>
      </c>
      <c r="B65" s="853" t="s">
        <v>618</v>
      </c>
      <c r="C65" s="847">
        <v>25934</v>
      </c>
      <c r="D65" s="845" t="s">
        <v>370</v>
      </c>
      <c r="E65" s="845" t="s">
        <v>638</v>
      </c>
      <c r="F65" s="848" t="s">
        <v>411</v>
      </c>
      <c r="G65" s="845" t="s">
        <v>664</v>
      </c>
      <c r="H65" s="848" t="s">
        <v>672</v>
      </c>
      <c r="I65" s="845" t="s">
        <v>458</v>
      </c>
      <c r="J65" s="845" t="s">
        <v>526</v>
      </c>
      <c r="K65" s="848" t="s">
        <v>527</v>
      </c>
      <c r="L65" s="848" t="s">
        <v>528</v>
      </c>
      <c r="M65" s="554">
        <v>43894</v>
      </c>
      <c r="N65" s="848"/>
      <c r="O65" s="851">
        <v>43898</v>
      </c>
      <c r="P65" s="848" t="s">
        <v>203</v>
      </c>
      <c r="Q65" s="245"/>
    </row>
    <row r="66" spans="1:17" ht="39.9" customHeight="1">
      <c r="A66" s="143">
        <v>56</v>
      </c>
      <c r="B66" s="853" t="s">
        <v>619</v>
      </c>
      <c r="C66" s="847">
        <v>31048</v>
      </c>
      <c r="D66" s="845" t="s">
        <v>370</v>
      </c>
      <c r="E66" s="845" t="s">
        <v>639</v>
      </c>
      <c r="F66" s="848" t="s">
        <v>411</v>
      </c>
      <c r="G66" s="845" t="s">
        <v>665</v>
      </c>
      <c r="H66" s="848" t="s">
        <v>678</v>
      </c>
      <c r="I66" s="845" t="s">
        <v>458</v>
      </c>
      <c r="J66" s="845" t="s">
        <v>526</v>
      </c>
      <c r="K66" s="848" t="s">
        <v>527</v>
      </c>
      <c r="L66" s="848" t="s">
        <v>528</v>
      </c>
      <c r="M66" s="554">
        <v>43895</v>
      </c>
      <c r="N66" s="848"/>
      <c r="O66" s="851">
        <v>43898</v>
      </c>
      <c r="P66" s="848" t="s">
        <v>203</v>
      </c>
      <c r="Q66" s="245"/>
    </row>
    <row r="67" spans="1:17" ht="25.35" customHeight="1">
      <c r="A67" s="143">
        <v>57</v>
      </c>
      <c r="B67" s="846" t="s">
        <v>620</v>
      </c>
      <c r="C67" s="847">
        <v>29232</v>
      </c>
      <c r="D67" s="845" t="s">
        <v>181</v>
      </c>
      <c r="E67" s="845" t="s">
        <v>640</v>
      </c>
      <c r="F67" s="848" t="s">
        <v>410</v>
      </c>
      <c r="G67" s="845" t="s">
        <v>666</v>
      </c>
      <c r="H67" s="848" t="s">
        <v>672</v>
      </c>
      <c r="I67" s="845" t="s">
        <v>458</v>
      </c>
      <c r="J67" s="845" t="s">
        <v>526</v>
      </c>
      <c r="K67" s="848" t="s">
        <v>527</v>
      </c>
      <c r="L67" s="848" t="s">
        <v>528</v>
      </c>
      <c r="M67" s="554">
        <v>43896</v>
      </c>
      <c r="N67" s="848"/>
      <c r="O67" s="851"/>
      <c r="P67" s="848"/>
      <c r="Q67" s="245"/>
    </row>
    <row r="68" spans="1:17" ht="15" thickBot="1">
      <c r="A68" s="553"/>
      <c r="B68" s="25"/>
      <c r="C68" s="25"/>
      <c r="D68" s="25"/>
      <c r="E68" s="25"/>
      <c r="F68" s="25"/>
      <c r="G68" s="25"/>
      <c r="H68" s="25"/>
      <c r="I68" s="25"/>
      <c r="J68" s="25"/>
      <c r="K68" s="25"/>
      <c r="L68" s="25"/>
      <c r="M68" s="25"/>
      <c r="N68" s="25"/>
      <c r="O68" s="25"/>
      <c r="P68" s="25"/>
      <c r="Q68" s="26"/>
    </row>
  </sheetData>
  <mergeCells count="24">
    <mergeCell ref="A1:Q1"/>
    <mergeCell ref="A3:C3"/>
    <mergeCell ref="A5:C5"/>
    <mergeCell ref="A8:A9"/>
    <mergeCell ref="B8:B9"/>
    <mergeCell ref="F8:F9"/>
    <mergeCell ref="J8:J9"/>
    <mergeCell ref="K8:K9"/>
    <mergeCell ref="L8:L9"/>
    <mergeCell ref="H8:H9"/>
    <mergeCell ref="I8:I9"/>
    <mergeCell ref="M8:M9"/>
    <mergeCell ref="N8:N9"/>
    <mergeCell ref="O8:O9"/>
    <mergeCell ref="P8:P9"/>
    <mergeCell ref="G10:I10"/>
    <mergeCell ref="J10:L10"/>
    <mergeCell ref="C10:D10"/>
    <mergeCell ref="G8:G9"/>
    <mergeCell ref="A2:Q2"/>
    <mergeCell ref="Q8:Q9"/>
    <mergeCell ref="C8:C9"/>
    <mergeCell ref="D8:D9"/>
    <mergeCell ref="E8:E9"/>
  </mergeCells>
  <printOptions horizontalCentered="1" verticalCentered="1"/>
  <pageMargins left="0.68" right="0.59" top="0.75" bottom="0.75" header="0.39" footer="0.3"/>
  <pageSetup paperSize="8" scale="50" orientation="landscape" blackAndWhite="1" horizontalDpi="4294967293" verticalDpi="300" r:id="rId1"/>
</worksheet>
</file>

<file path=xl/worksheets/sheet3.xml><?xml version="1.0" encoding="utf-8"?>
<worksheet xmlns="http://schemas.openxmlformats.org/spreadsheetml/2006/main" xmlns:r="http://schemas.openxmlformats.org/officeDocument/2006/relationships">
  <dimension ref="A2:JX69"/>
  <sheetViews>
    <sheetView workbookViewId="0">
      <selection activeCell="D15" sqref="D15"/>
    </sheetView>
  </sheetViews>
  <sheetFormatPr defaultRowHeight="15.6"/>
  <cols>
    <col min="2" max="2" width="14.5546875" customWidth="1"/>
    <col min="3" max="3" width="14" style="7" customWidth="1"/>
    <col min="4" max="4" width="22.6640625" customWidth="1"/>
    <col min="5" max="5" width="12.5546875" customWidth="1"/>
    <col min="6" max="6" width="14.6640625" customWidth="1"/>
    <col min="7" max="7" width="26.44140625" customWidth="1"/>
    <col min="8" max="8" width="24.6640625" customWidth="1"/>
    <col min="9" max="9" width="22.88671875" customWidth="1"/>
    <col min="10" max="10" width="19.44140625" customWidth="1"/>
    <col min="11" max="11" width="21.5546875" customWidth="1"/>
    <col min="12" max="12" width="20.6640625" customWidth="1"/>
    <col min="13" max="13" width="19.88671875" customWidth="1"/>
    <col min="14" max="14" width="23.33203125" customWidth="1"/>
    <col min="15" max="15" width="21.88671875" customWidth="1"/>
    <col min="16" max="16" width="20.109375" customWidth="1"/>
    <col min="17" max="17" width="19.44140625" customWidth="1"/>
    <col min="18" max="18" width="23" customWidth="1"/>
    <col min="19" max="19" width="18.109375" customWidth="1"/>
    <col min="20" max="20" width="20.88671875" customWidth="1"/>
    <col min="21" max="21" width="14" bestFit="1" customWidth="1"/>
    <col min="22" max="22" width="12.44140625" customWidth="1"/>
    <col min="23" max="23" width="8.5546875" bestFit="1" customWidth="1"/>
    <col min="24" max="24" width="15.6640625" bestFit="1" customWidth="1"/>
    <col min="25" max="25" width="11.33203125" bestFit="1" customWidth="1"/>
    <col min="26" max="26" width="11.88671875" bestFit="1" customWidth="1"/>
    <col min="27" max="27" width="6.5546875" customWidth="1"/>
    <col min="28" max="28" width="8" customWidth="1"/>
    <col min="29" max="29" width="11" style="1" customWidth="1"/>
    <col min="30" max="30" width="9.5546875" customWidth="1"/>
    <col min="31" max="31" width="10.88671875" customWidth="1"/>
    <col min="32" max="32" width="9.44140625" customWidth="1"/>
    <col min="33" max="33" width="8.6640625" customWidth="1"/>
    <col min="34" max="34" width="10.109375" customWidth="1"/>
    <col min="35" max="35" width="10.5546875" customWidth="1"/>
    <col min="36" max="36" width="11.109375" bestFit="1" customWidth="1"/>
    <col min="37" max="37" width="15.5546875" bestFit="1" customWidth="1"/>
    <col min="38" max="38" width="5.6640625" style="7" customWidth="1"/>
    <col min="39" max="39" width="8.5546875" style="7" customWidth="1"/>
    <col min="40" max="40" width="7.109375" style="7" customWidth="1"/>
    <col min="41" max="41" width="6.88671875" style="7" customWidth="1"/>
    <col min="42" max="42" width="5.44140625" style="7" customWidth="1"/>
    <col min="43" max="43" width="12" style="7" customWidth="1"/>
    <col min="44" max="44" width="8" customWidth="1"/>
    <col min="45" max="45" width="9.109375" bestFit="1" customWidth="1"/>
    <col min="46" max="46" width="19.88671875" customWidth="1"/>
    <col min="47" max="47" width="18.109375" customWidth="1"/>
  </cols>
  <sheetData>
    <row r="2" spans="1:51" ht="16.2" thickBot="1"/>
    <row r="3" spans="1:51" ht="43.5" customHeight="1" thickBot="1">
      <c r="C3" s="925" t="s">
        <v>247</v>
      </c>
      <c r="D3" s="926"/>
      <c r="E3" s="926"/>
      <c r="F3" s="926"/>
      <c r="G3" s="926"/>
      <c r="H3" s="926"/>
      <c r="I3" s="926"/>
      <c r="J3" s="926"/>
      <c r="K3" s="926"/>
      <c r="L3" s="927"/>
      <c r="AC3"/>
      <c r="AL3"/>
      <c r="AM3"/>
      <c r="AN3"/>
      <c r="AO3"/>
      <c r="AP3"/>
      <c r="AQ3"/>
    </row>
    <row r="5" spans="1:51" ht="43.5" customHeight="1">
      <c r="C5" s="938" t="s">
        <v>0</v>
      </c>
      <c r="D5" s="939"/>
      <c r="E5" s="940"/>
      <c r="F5" s="582" t="s">
        <v>802</v>
      </c>
      <c r="G5" s="214"/>
      <c r="H5" s="215"/>
      <c r="I5" s="200"/>
      <c r="J5" s="200"/>
      <c r="K5" s="200"/>
      <c r="L5" s="200"/>
      <c r="M5" s="200"/>
      <c r="N5" s="200"/>
      <c r="O5" s="200"/>
      <c r="P5" s="200"/>
      <c r="Q5" s="200"/>
      <c r="R5" s="200"/>
      <c r="S5" s="200"/>
      <c r="T5" s="200"/>
      <c r="U5" s="200"/>
      <c r="V5" s="200"/>
      <c r="W5" s="200"/>
      <c r="X5" s="200"/>
      <c r="Y5" s="200"/>
      <c r="Z5" s="200"/>
      <c r="AA5" s="200"/>
      <c r="AB5" s="200"/>
      <c r="AC5" s="200"/>
      <c r="AD5" s="200"/>
      <c r="AE5" s="200"/>
      <c r="AF5" s="928" t="s">
        <v>1</v>
      </c>
      <c r="AG5" s="929"/>
      <c r="AH5" s="929"/>
      <c r="AI5" s="929"/>
      <c r="AJ5" s="929"/>
      <c r="AK5" s="929"/>
      <c r="AL5" s="929"/>
      <c r="AM5" s="930"/>
      <c r="AN5" s="221" t="str">
        <f>F5</f>
        <v>GROTECH LANDSCAPE DEVELOPERS PVT. LTD.</v>
      </c>
      <c r="AO5" s="475"/>
      <c r="AP5" s="475"/>
      <c r="AQ5" s="475"/>
      <c r="AR5" s="475"/>
      <c r="AS5" s="475"/>
      <c r="AT5" s="476"/>
      <c r="AU5" s="2"/>
      <c r="AV5" s="3"/>
      <c r="AW5" s="3"/>
      <c r="AX5" s="3"/>
      <c r="AY5" s="3"/>
    </row>
    <row r="6" spans="1:51" ht="20.399999999999999" customHeight="1">
      <c r="C6" s="472"/>
      <c r="D6" s="473"/>
      <c r="E6" s="474"/>
      <c r="F6" s="550" t="s">
        <v>347</v>
      </c>
      <c r="G6" s="551"/>
      <c r="H6" s="552"/>
      <c r="I6" s="200"/>
      <c r="J6" s="200"/>
      <c r="K6" s="200"/>
      <c r="L6" s="200"/>
      <c r="M6" s="200"/>
      <c r="N6" s="200"/>
      <c r="O6" s="200"/>
      <c r="P6" s="200"/>
      <c r="Q6" s="200"/>
      <c r="R6" s="200"/>
      <c r="S6" s="200"/>
      <c r="T6" s="200"/>
      <c r="U6" s="200"/>
      <c r="V6" s="200"/>
      <c r="W6" s="200"/>
      <c r="X6" s="200"/>
      <c r="Y6" s="200"/>
      <c r="Z6" s="200"/>
      <c r="AA6" s="200"/>
      <c r="AB6" s="200"/>
      <c r="AC6" s="200"/>
      <c r="AD6" s="200"/>
      <c r="AE6" s="200"/>
      <c r="AF6" s="479"/>
      <c r="AG6" s="480"/>
      <c r="AH6" s="480"/>
      <c r="AI6" s="480"/>
      <c r="AJ6" s="480"/>
      <c r="AK6" s="480"/>
      <c r="AL6" s="481"/>
      <c r="AM6" s="482"/>
      <c r="AN6" s="156" t="str">
        <f>F6</f>
        <v>290/E, Khanapur Village, Gandipet Mandal, Ranga Reddy, Hyderabad-500075 T.S.</v>
      </c>
      <c r="AO6" s="153"/>
      <c r="AP6" s="153"/>
      <c r="AQ6" s="477"/>
      <c r="AR6" s="477"/>
      <c r="AS6" s="477"/>
      <c r="AT6" s="478"/>
      <c r="AU6" s="8"/>
      <c r="AV6" s="8"/>
      <c r="AW6" s="8"/>
      <c r="AX6" s="8"/>
      <c r="AY6" s="8"/>
    </row>
    <row r="7" spans="1:51" ht="20.399999999999999" customHeight="1">
      <c r="C7" s="4"/>
      <c r="I7" s="200"/>
      <c r="J7" s="200"/>
      <c r="K7" s="200"/>
      <c r="L7" s="200"/>
      <c r="M7" s="200"/>
      <c r="N7" s="200"/>
      <c r="O7" s="200"/>
      <c r="P7" s="200"/>
      <c r="Q7" s="200"/>
      <c r="R7" s="200"/>
      <c r="S7" s="200"/>
      <c r="T7" s="200"/>
      <c r="U7" s="200"/>
      <c r="V7" s="200"/>
      <c r="W7" s="200"/>
      <c r="X7" s="200"/>
      <c r="Y7" s="200"/>
      <c r="Z7" s="200"/>
      <c r="AA7" s="200"/>
      <c r="AB7" s="200"/>
      <c r="AC7" s="200"/>
      <c r="AD7" s="200"/>
      <c r="AE7" s="200"/>
      <c r="AG7" s="6"/>
      <c r="AH7" s="6"/>
      <c r="AI7" s="6"/>
      <c r="AJ7" s="6"/>
      <c r="AK7" s="6"/>
      <c r="AN7" s="5"/>
      <c r="AO7"/>
      <c r="AP7"/>
      <c r="AQ7" s="8"/>
      <c r="AR7" s="8"/>
      <c r="AS7" s="8"/>
      <c r="AT7" s="8"/>
      <c r="AU7" s="8"/>
      <c r="AV7" s="8"/>
      <c r="AW7" s="8"/>
      <c r="AX7" s="8"/>
      <c r="AY7" s="8"/>
    </row>
    <row r="8" spans="1:51" ht="14.4">
      <c r="C8" s="931" t="s">
        <v>2</v>
      </c>
      <c r="D8" s="932"/>
      <c r="E8" s="933"/>
      <c r="F8" s="488" t="s">
        <v>348</v>
      </c>
      <c r="G8" s="322"/>
      <c r="H8" s="323"/>
      <c r="I8" s="200"/>
      <c r="J8" s="200"/>
      <c r="K8" s="200"/>
      <c r="L8" s="200"/>
      <c r="M8" s="200"/>
      <c r="N8" s="200"/>
      <c r="O8" s="200"/>
      <c r="P8" s="200"/>
      <c r="Q8" s="200"/>
      <c r="R8" s="200"/>
      <c r="S8" s="200"/>
      <c r="T8" s="200"/>
      <c r="U8" s="200"/>
      <c r="V8" s="200"/>
      <c r="W8" s="200"/>
      <c r="X8" s="200"/>
      <c r="Y8" s="200"/>
      <c r="Z8" s="200"/>
      <c r="AA8" s="200"/>
      <c r="AB8" s="200"/>
      <c r="AC8" s="200"/>
      <c r="AD8" s="200"/>
      <c r="AE8" s="200"/>
      <c r="AG8" s="6"/>
      <c r="AH8" s="6"/>
      <c r="AI8" s="6"/>
      <c r="AJ8" s="6"/>
      <c r="AK8" s="6"/>
      <c r="AN8" s="9"/>
      <c r="AO8" s="9"/>
      <c r="AP8" s="9"/>
      <c r="AQ8" s="9"/>
      <c r="AR8" s="9"/>
      <c r="AS8" s="9"/>
      <c r="AT8" s="9"/>
      <c r="AU8" s="9"/>
      <c r="AV8" s="9"/>
      <c r="AW8" s="9"/>
      <c r="AX8" s="9"/>
      <c r="AY8" s="9"/>
    </row>
    <row r="9" spans="1:51" ht="15.75" customHeight="1">
      <c r="C9" s="4"/>
      <c r="AG9" s="6"/>
      <c r="AH9" s="6"/>
      <c r="AI9" s="6"/>
      <c r="AJ9" s="6"/>
      <c r="AK9" s="6"/>
      <c r="AN9" s="934"/>
      <c r="AO9" s="934"/>
      <c r="AP9" s="934"/>
      <c r="AQ9" s="934"/>
      <c r="AR9" s="934"/>
      <c r="AS9" s="934"/>
      <c r="AT9" s="934"/>
      <c r="AU9" s="934"/>
    </row>
    <row r="10" spans="1:51" ht="15" customHeight="1">
      <c r="C10" s="935" t="s">
        <v>3</v>
      </c>
      <c r="D10" s="936"/>
      <c r="E10" s="937"/>
      <c r="F10" s="340">
        <v>44652</v>
      </c>
      <c r="G10" s="200"/>
      <c r="H10" s="200"/>
      <c r="I10" s="200"/>
      <c r="S10" s="10"/>
      <c r="T10" s="10"/>
      <c r="U10" s="10"/>
      <c r="V10" s="10"/>
      <c r="W10" s="10"/>
      <c r="X10" s="10"/>
      <c r="Y10" s="10"/>
      <c r="Z10" s="10"/>
      <c r="AF10" s="483"/>
      <c r="AG10" s="484"/>
      <c r="AH10" s="484"/>
      <c r="AI10" s="484"/>
      <c r="AJ10" s="484"/>
      <c r="AK10" s="485" t="s">
        <v>205</v>
      </c>
      <c r="AL10" s="485"/>
      <c r="AM10" s="486"/>
      <c r="AN10" s="469" t="s">
        <v>349</v>
      </c>
      <c r="AO10" s="475"/>
      <c r="AP10" s="475"/>
      <c r="AQ10" s="475"/>
      <c r="AR10" s="475"/>
      <c r="AS10" s="475"/>
      <c r="AT10" s="476"/>
      <c r="AU10" s="3"/>
      <c r="AV10" s="3"/>
      <c r="AW10" s="3"/>
    </row>
    <row r="11" spans="1:51" ht="17.399999999999999" customHeight="1">
      <c r="D11" s="114"/>
      <c r="E11" s="200"/>
      <c r="F11" s="200"/>
      <c r="G11" s="200"/>
      <c r="H11" s="200"/>
      <c r="I11" s="200"/>
      <c r="J11" s="200"/>
      <c r="K11" s="200"/>
      <c r="L11" s="200"/>
      <c r="M11" s="114"/>
      <c r="N11" s="114"/>
      <c r="O11" s="114"/>
      <c r="P11" s="114"/>
      <c r="Q11" s="114"/>
      <c r="R11" s="114"/>
      <c r="AF11" s="479"/>
      <c r="AG11" s="473"/>
      <c r="AH11" s="473"/>
      <c r="AI11" s="473"/>
      <c r="AJ11" s="473"/>
      <c r="AK11" s="473"/>
      <c r="AL11" s="481"/>
      <c r="AM11" s="481"/>
      <c r="AN11" s="941" t="s">
        <v>350</v>
      </c>
      <c r="AO11" s="942"/>
      <c r="AP11" s="942"/>
      <c r="AQ11" s="942"/>
      <c r="AR11" s="942"/>
      <c r="AS11" s="477"/>
      <c r="AT11" s="478"/>
      <c r="AU11" s="8"/>
      <c r="AV11" s="8"/>
      <c r="AW11" s="8"/>
    </row>
    <row r="12" spans="1:51">
      <c r="D12" s="114"/>
      <c r="E12" s="200"/>
      <c r="F12" s="200"/>
      <c r="G12" s="200"/>
      <c r="H12" s="200"/>
      <c r="I12" s="200"/>
      <c r="J12" s="200"/>
      <c r="K12" s="200"/>
      <c r="L12" s="200"/>
      <c r="M12" s="114"/>
      <c r="N12" s="114"/>
      <c r="O12" s="114"/>
      <c r="P12" s="114"/>
      <c r="Q12" s="114"/>
      <c r="R12" s="114"/>
    </row>
    <row r="13" spans="1:51" ht="16.2" thickBot="1">
      <c r="D13" s="114"/>
      <c r="E13" s="200"/>
      <c r="F13" s="200"/>
      <c r="G13" s="200"/>
      <c r="H13" s="200"/>
      <c r="I13" s="200"/>
      <c r="J13" s="200"/>
      <c r="K13" s="200"/>
      <c r="L13" s="200"/>
      <c r="M13" s="114"/>
      <c r="N13" s="114"/>
      <c r="O13" s="114"/>
      <c r="P13" s="114"/>
      <c r="Q13" s="114"/>
      <c r="R13" s="114"/>
    </row>
    <row r="14" spans="1:51" ht="55.5" customHeight="1" thickBot="1">
      <c r="A14" s="566" t="s">
        <v>237</v>
      </c>
      <c r="B14" s="496" t="s">
        <v>238</v>
      </c>
      <c r="C14" s="496" t="s">
        <v>7</v>
      </c>
      <c r="D14" s="496" t="s">
        <v>6</v>
      </c>
      <c r="E14" s="497" t="s">
        <v>38</v>
      </c>
      <c r="F14" s="497" t="s">
        <v>31</v>
      </c>
      <c r="G14" s="326" t="s">
        <v>239</v>
      </c>
      <c r="H14" s="497" t="s">
        <v>240</v>
      </c>
      <c r="I14" s="328" t="s">
        <v>241</v>
      </c>
      <c r="J14" s="328" t="s">
        <v>8</v>
      </c>
      <c r="K14" s="329" t="s">
        <v>227</v>
      </c>
      <c r="L14" s="329" t="s">
        <v>228</v>
      </c>
      <c r="M14" s="329" t="s">
        <v>229</v>
      </c>
      <c r="N14" s="329" t="s">
        <v>230</v>
      </c>
      <c r="O14" s="330" t="s">
        <v>242</v>
      </c>
      <c r="P14" s="330" t="s">
        <v>243</v>
      </c>
      <c r="Q14" s="330" t="s">
        <v>244</v>
      </c>
      <c r="R14" s="330" t="s">
        <v>245</v>
      </c>
      <c r="S14" s="331" t="s">
        <v>246</v>
      </c>
      <c r="T14" s="332" t="s">
        <v>35</v>
      </c>
      <c r="U14" s="333" t="s">
        <v>36</v>
      </c>
      <c r="V14" s="333" t="s">
        <v>37</v>
      </c>
      <c r="W14" s="328" t="s">
        <v>32</v>
      </c>
      <c r="X14" s="328" t="s">
        <v>124</v>
      </c>
      <c r="Y14" s="328" t="s">
        <v>125</v>
      </c>
      <c r="Z14" s="425" t="s">
        <v>339</v>
      </c>
      <c r="AA14" s="425" t="s">
        <v>340</v>
      </c>
      <c r="AB14" s="425" t="s">
        <v>342</v>
      </c>
      <c r="AC14" s="425" t="s">
        <v>341</v>
      </c>
      <c r="AD14" s="425" t="s">
        <v>343</v>
      </c>
      <c r="AE14" s="425" t="s">
        <v>344</v>
      </c>
      <c r="AF14" s="425" t="s">
        <v>345</v>
      </c>
      <c r="AG14" s="427" t="s">
        <v>14</v>
      </c>
      <c r="AH14" s="427" t="s">
        <v>572</v>
      </c>
      <c r="AI14" s="427" t="s">
        <v>573</v>
      </c>
      <c r="AJ14" s="427" t="s">
        <v>15</v>
      </c>
      <c r="AK14" s="426" t="s">
        <v>346</v>
      </c>
      <c r="AL14" s="426" t="s">
        <v>23</v>
      </c>
      <c r="AM14" s="426" t="s">
        <v>24</v>
      </c>
      <c r="AN14" s="426" t="s">
        <v>25</v>
      </c>
      <c r="AO14" s="655" t="s">
        <v>26</v>
      </c>
      <c r="AP14" s="655" t="s">
        <v>202</v>
      </c>
      <c r="AQ14" s="656" t="s">
        <v>27</v>
      </c>
      <c r="AR14" s="425" t="s">
        <v>335</v>
      </c>
      <c r="AS14" s="425" t="s">
        <v>336</v>
      </c>
      <c r="AT14" s="425" t="s">
        <v>337</v>
      </c>
      <c r="AU14" s="425" t="s">
        <v>338</v>
      </c>
    </row>
    <row r="15" spans="1:51" ht="30" customHeight="1">
      <c r="A15" s="136">
        <v>1</v>
      </c>
      <c r="B15" s="575" t="s">
        <v>687</v>
      </c>
      <c r="C15" s="138">
        <v>2</v>
      </c>
      <c r="D15" s="489" t="s">
        <v>351</v>
      </c>
      <c r="E15" s="576">
        <v>31413</v>
      </c>
      <c r="F15" s="490" t="s">
        <v>181</v>
      </c>
      <c r="G15" s="490" t="s">
        <v>414</v>
      </c>
      <c r="H15" s="136"/>
      <c r="I15" s="136" t="s">
        <v>413</v>
      </c>
      <c r="J15" s="490" t="s">
        <v>409</v>
      </c>
      <c r="K15" s="302" t="s">
        <v>447</v>
      </c>
      <c r="L15" s="302" t="s">
        <v>448</v>
      </c>
      <c r="M15" s="137" t="s">
        <v>449</v>
      </c>
      <c r="O15" s="137" t="s">
        <v>526</v>
      </c>
      <c r="P15" s="137" t="s">
        <v>527</v>
      </c>
      <c r="Q15" s="137" t="s">
        <v>528</v>
      </c>
      <c r="R15" s="136"/>
      <c r="S15" s="494">
        <v>43850</v>
      </c>
      <c r="T15" s="136"/>
      <c r="U15" s="136"/>
      <c r="V15" s="136"/>
      <c r="W15" s="179"/>
      <c r="X15" s="471" t="s">
        <v>28</v>
      </c>
      <c r="Y15" s="136">
        <v>2016384651</v>
      </c>
      <c r="Z15" s="133" t="str">
        <f>D15</f>
        <v>ARJUN KUMAR</v>
      </c>
      <c r="AA15" s="518">
        <v>30</v>
      </c>
      <c r="AB15" s="470">
        <v>0</v>
      </c>
      <c r="AC15" s="520">
        <v>20000</v>
      </c>
      <c r="AD15" s="524">
        <v>20000</v>
      </c>
      <c r="AE15" s="527">
        <v>0</v>
      </c>
      <c r="AF15" s="522">
        <v>0</v>
      </c>
      <c r="AG15" s="134">
        <v>0</v>
      </c>
      <c r="AH15" s="648">
        <v>0</v>
      </c>
      <c r="AI15" s="648">
        <v>0</v>
      </c>
      <c r="AJ15" s="649">
        <v>0</v>
      </c>
      <c r="AK15" s="532">
        <f>AD15+AE15+AF15+AG15+AH15+AI15+AJ15</f>
        <v>20000</v>
      </c>
      <c r="AL15" s="529">
        <v>150</v>
      </c>
      <c r="AM15" s="649">
        <v>0</v>
      </c>
      <c r="AN15" s="536">
        <v>150</v>
      </c>
      <c r="AO15" s="650">
        <v>0</v>
      </c>
      <c r="AP15" s="651">
        <v>0</v>
      </c>
      <c r="AQ15" s="134">
        <f t="shared" ref="AQ15:AQ64" si="0">AL15+AM15+AN15+AO15+AP15</f>
        <v>300</v>
      </c>
      <c r="AR15" s="134">
        <f t="shared" ref="AR15:AR30" si="1">AK15-AQ15</f>
        <v>19700</v>
      </c>
      <c r="AS15" s="135" t="s">
        <v>746</v>
      </c>
      <c r="AT15" s="568" t="s">
        <v>574</v>
      </c>
      <c r="AU15" s="574">
        <v>6912137285</v>
      </c>
    </row>
    <row r="16" spans="1:51" ht="30" customHeight="1">
      <c r="A16" s="136">
        <v>2</v>
      </c>
      <c r="B16" s="575" t="s">
        <v>688</v>
      </c>
      <c r="C16" s="138">
        <v>3</v>
      </c>
      <c r="D16" s="489" t="s">
        <v>352</v>
      </c>
      <c r="E16" s="576">
        <v>29587</v>
      </c>
      <c r="F16" s="490" t="s">
        <v>181</v>
      </c>
      <c r="G16" s="490" t="s">
        <v>415</v>
      </c>
      <c r="H16" s="139"/>
      <c r="I16" s="136" t="s">
        <v>413</v>
      </c>
      <c r="J16" s="490" t="s">
        <v>409</v>
      </c>
      <c r="K16" s="302" t="s">
        <v>450</v>
      </c>
      <c r="L16" s="302" t="s">
        <v>451</v>
      </c>
      <c r="M16" s="137" t="s">
        <v>452</v>
      </c>
      <c r="N16" s="137"/>
      <c r="O16" s="137" t="s">
        <v>526</v>
      </c>
      <c r="P16" s="137" t="s">
        <v>527</v>
      </c>
      <c r="Q16" s="137" t="s">
        <v>528</v>
      </c>
      <c r="R16" s="137"/>
      <c r="S16" s="494">
        <v>43850</v>
      </c>
      <c r="T16" s="137"/>
      <c r="U16" s="137"/>
      <c r="V16" s="137"/>
      <c r="W16" s="137"/>
      <c r="X16" s="514" t="s">
        <v>529</v>
      </c>
      <c r="Y16" s="136">
        <v>2017795829</v>
      </c>
      <c r="Z16" s="133" t="str">
        <f t="shared" ref="Z16:Z64" si="2">D16</f>
        <v>GAJAN SINGH</v>
      </c>
      <c r="AA16" s="518">
        <v>30</v>
      </c>
      <c r="AB16" s="470">
        <v>0</v>
      </c>
      <c r="AC16" s="520">
        <v>14900</v>
      </c>
      <c r="AD16" s="524">
        <v>11900</v>
      </c>
      <c r="AE16" s="527">
        <v>0</v>
      </c>
      <c r="AF16" s="522">
        <v>0</v>
      </c>
      <c r="AG16" s="134">
        <v>0</v>
      </c>
      <c r="AH16" s="648">
        <v>0</v>
      </c>
      <c r="AI16" s="648">
        <v>0</v>
      </c>
      <c r="AJ16" s="649">
        <v>3000</v>
      </c>
      <c r="AK16" s="532">
        <f>AD16+AE16+AF16+AG16+AH16+AI16+AJ16</f>
        <v>14900</v>
      </c>
      <c r="AL16" s="529">
        <v>112</v>
      </c>
      <c r="AM16" s="649">
        <v>1788</v>
      </c>
      <c r="AN16" s="536">
        <v>0</v>
      </c>
      <c r="AO16" s="536">
        <v>0</v>
      </c>
      <c r="AP16" s="536">
        <v>0</v>
      </c>
      <c r="AQ16" s="537">
        <f t="shared" si="0"/>
        <v>1900</v>
      </c>
      <c r="AR16" s="134">
        <f t="shared" si="1"/>
        <v>13000</v>
      </c>
      <c r="AS16" s="135" t="s">
        <v>746</v>
      </c>
      <c r="AT16" s="568" t="s">
        <v>574</v>
      </c>
      <c r="AU16" s="574">
        <v>7513074030</v>
      </c>
    </row>
    <row r="17" spans="1:47" ht="30" customHeight="1">
      <c r="A17" s="136">
        <v>3</v>
      </c>
      <c r="B17" s="575" t="s">
        <v>689</v>
      </c>
      <c r="C17" s="138">
        <v>4</v>
      </c>
      <c r="D17" s="489" t="s">
        <v>353</v>
      </c>
      <c r="E17" s="576">
        <v>31345</v>
      </c>
      <c r="F17" s="490" t="s">
        <v>181</v>
      </c>
      <c r="G17" s="490" t="s">
        <v>416</v>
      </c>
      <c r="H17" s="139"/>
      <c r="I17" s="136" t="s">
        <v>413</v>
      </c>
      <c r="J17" s="490" t="s">
        <v>409</v>
      </c>
      <c r="K17" s="503" t="s">
        <v>453</v>
      </c>
      <c r="L17" s="302" t="s">
        <v>454</v>
      </c>
      <c r="M17" s="137" t="s">
        <v>455</v>
      </c>
      <c r="N17" s="137"/>
      <c r="O17" s="137" t="s">
        <v>526</v>
      </c>
      <c r="P17" s="137" t="s">
        <v>527</v>
      </c>
      <c r="Q17" s="137" t="s">
        <v>528</v>
      </c>
      <c r="R17" s="137"/>
      <c r="S17" s="494">
        <v>43850</v>
      </c>
      <c r="T17" s="137"/>
      <c r="U17" s="137"/>
      <c r="V17" s="137"/>
      <c r="W17" s="137"/>
      <c r="X17" s="514" t="s">
        <v>530</v>
      </c>
      <c r="Y17" s="136">
        <v>5216113872</v>
      </c>
      <c r="Z17" s="133" t="str">
        <f t="shared" si="2"/>
        <v>GUDALA RUSHESHWAR SWAMY</v>
      </c>
      <c r="AA17" s="518">
        <v>30</v>
      </c>
      <c r="AB17" s="470">
        <v>0</v>
      </c>
      <c r="AC17" s="141">
        <v>17918</v>
      </c>
      <c r="AD17" s="525">
        <v>11802</v>
      </c>
      <c r="AE17" s="528">
        <v>0</v>
      </c>
      <c r="AF17" s="523">
        <v>0</v>
      </c>
      <c r="AG17" s="142">
        <v>4721</v>
      </c>
      <c r="AH17" s="531">
        <v>0</v>
      </c>
      <c r="AI17" s="531">
        <v>0</v>
      </c>
      <c r="AJ17" s="533">
        <v>1395</v>
      </c>
      <c r="AK17" s="532">
        <f t="shared" ref="AK17:AK64" si="3">AD17+AE17+AF17+AG17+AH17+AI17+AJ17</f>
        <v>17918</v>
      </c>
      <c r="AL17" s="534">
        <v>135</v>
      </c>
      <c r="AM17" s="535">
        <v>1584</v>
      </c>
      <c r="AN17" s="533">
        <v>150</v>
      </c>
      <c r="AO17" s="536">
        <v>0</v>
      </c>
      <c r="AP17" s="536">
        <v>0</v>
      </c>
      <c r="AQ17" s="537">
        <f t="shared" si="0"/>
        <v>1869</v>
      </c>
      <c r="AR17" s="134">
        <f t="shared" si="1"/>
        <v>16049</v>
      </c>
      <c r="AS17" s="135" t="s">
        <v>746</v>
      </c>
      <c r="AT17" s="568" t="s">
        <v>575</v>
      </c>
      <c r="AU17" s="574">
        <v>1912391941</v>
      </c>
    </row>
    <row r="18" spans="1:47" ht="30" customHeight="1">
      <c r="A18" s="136">
        <v>4</v>
      </c>
      <c r="B18" s="575" t="s">
        <v>690</v>
      </c>
      <c r="C18" s="138">
        <v>6</v>
      </c>
      <c r="D18" s="491" t="s">
        <v>354</v>
      </c>
      <c r="E18" s="576">
        <v>21919</v>
      </c>
      <c r="F18" s="491" t="s">
        <v>181</v>
      </c>
      <c r="G18" s="491" t="s">
        <v>417</v>
      </c>
      <c r="H18" s="327"/>
      <c r="I18" s="136" t="s">
        <v>413</v>
      </c>
      <c r="J18" s="490" t="s">
        <v>410</v>
      </c>
      <c r="K18" s="504" t="s">
        <v>456</v>
      </c>
      <c r="L18" s="492" t="s">
        <v>457</v>
      </c>
      <c r="M18" s="302" t="s">
        <v>458</v>
      </c>
      <c r="N18" s="108"/>
      <c r="O18" s="137" t="s">
        <v>526</v>
      </c>
      <c r="P18" s="137" t="s">
        <v>527</v>
      </c>
      <c r="Q18" s="137" t="s">
        <v>528</v>
      </c>
      <c r="R18" s="108"/>
      <c r="S18" s="494">
        <v>43850</v>
      </c>
      <c r="T18" s="110"/>
      <c r="U18" s="110"/>
      <c r="V18" s="110"/>
      <c r="W18" s="110"/>
      <c r="X18" s="514" t="s">
        <v>531</v>
      </c>
      <c r="Y18" s="136">
        <v>5216248033</v>
      </c>
      <c r="Z18" s="133" t="str">
        <f t="shared" si="2"/>
        <v xml:space="preserve">KASALA NARSIMLU </v>
      </c>
      <c r="AA18" s="518">
        <v>26</v>
      </c>
      <c r="AB18" s="470">
        <v>0</v>
      </c>
      <c r="AC18" s="141">
        <v>13753</v>
      </c>
      <c r="AD18" s="525">
        <v>3844</v>
      </c>
      <c r="AE18" s="883">
        <v>4931.333333333333</v>
      </c>
      <c r="AF18" s="523">
        <v>0</v>
      </c>
      <c r="AG18" s="134">
        <v>0</v>
      </c>
      <c r="AH18" s="531">
        <v>730.6</v>
      </c>
      <c r="AI18" s="531">
        <v>425.53333333333336</v>
      </c>
      <c r="AJ18" s="533">
        <v>1988.1333333333334</v>
      </c>
      <c r="AK18" s="532">
        <f t="shared" si="3"/>
        <v>11919.599999999999</v>
      </c>
      <c r="AL18" s="534">
        <v>90</v>
      </c>
      <c r="AM18" s="535">
        <v>1430</v>
      </c>
      <c r="AN18" s="536">
        <v>0</v>
      </c>
      <c r="AO18" s="536">
        <v>0</v>
      </c>
      <c r="AP18" s="536">
        <v>0</v>
      </c>
      <c r="AQ18" s="537">
        <f t="shared" si="0"/>
        <v>1520</v>
      </c>
      <c r="AR18" s="134">
        <f t="shared" si="1"/>
        <v>10399.599999999999</v>
      </c>
      <c r="AS18" s="135" t="s">
        <v>746</v>
      </c>
      <c r="AT18" s="569" t="s">
        <v>740</v>
      </c>
      <c r="AU18" s="652">
        <v>20201585355</v>
      </c>
    </row>
    <row r="19" spans="1:47" ht="30" customHeight="1">
      <c r="A19" s="136">
        <v>5</v>
      </c>
      <c r="B19" s="575" t="s">
        <v>691</v>
      </c>
      <c r="C19" s="138">
        <v>7</v>
      </c>
      <c r="D19" s="491" t="s">
        <v>355</v>
      </c>
      <c r="E19" s="576">
        <v>24473</v>
      </c>
      <c r="F19" s="491" t="s">
        <v>181</v>
      </c>
      <c r="G19" s="491" t="s">
        <v>418</v>
      </c>
      <c r="H19" s="145"/>
      <c r="I19" s="136" t="s">
        <v>413</v>
      </c>
      <c r="J19" s="490" t="s">
        <v>410</v>
      </c>
      <c r="K19" s="504" t="s">
        <v>459</v>
      </c>
      <c r="L19" s="492" t="s">
        <v>460</v>
      </c>
      <c r="M19" s="302" t="s">
        <v>461</v>
      </c>
      <c r="N19" s="137"/>
      <c r="O19" s="137" t="s">
        <v>526</v>
      </c>
      <c r="P19" s="137" t="s">
        <v>527</v>
      </c>
      <c r="Q19" s="137" t="s">
        <v>528</v>
      </c>
      <c r="R19" s="137"/>
      <c r="S19" s="494">
        <v>43850</v>
      </c>
      <c r="T19" s="111"/>
      <c r="U19" s="111"/>
      <c r="V19" s="111"/>
      <c r="W19" s="111"/>
      <c r="X19" s="514" t="s">
        <v>532</v>
      </c>
      <c r="Y19" s="136">
        <v>5215982488</v>
      </c>
      <c r="Z19" s="133" t="str">
        <f t="shared" si="2"/>
        <v>PITANI SATHYA NARAYANA</v>
      </c>
      <c r="AA19" s="519" t="s">
        <v>744</v>
      </c>
      <c r="AB19" s="470">
        <v>0</v>
      </c>
      <c r="AC19" s="141">
        <v>11459</v>
      </c>
      <c r="AD19" s="525">
        <v>3844</v>
      </c>
      <c r="AE19" s="529">
        <v>4931.333333333333</v>
      </c>
      <c r="AF19" s="523">
        <v>0</v>
      </c>
      <c r="AG19" s="134">
        <v>0</v>
      </c>
      <c r="AH19" s="531">
        <v>730.6</v>
      </c>
      <c r="AI19" s="531">
        <v>425.53333333333336</v>
      </c>
      <c r="AJ19" s="649">
        <v>0</v>
      </c>
      <c r="AK19" s="532">
        <f>AD19+AE19+AF19+AG19+AH19+AI19+AJ19+1</f>
        <v>9932.4666666666653</v>
      </c>
      <c r="AL19" s="534">
        <v>75</v>
      </c>
      <c r="AM19" s="535">
        <v>1192</v>
      </c>
      <c r="AN19" s="536">
        <v>0</v>
      </c>
      <c r="AO19" s="536">
        <v>0</v>
      </c>
      <c r="AP19" s="536">
        <v>0</v>
      </c>
      <c r="AQ19" s="537">
        <f t="shared" si="0"/>
        <v>1267</v>
      </c>
      <c r="AR19" s="134">
        <f t="shared" si="1"/>
        <v>8665.4666666666653</v>
      </c>
      <c r="AS19" s="135" t="s">
        <v>746</v>
      </c>
      <c r="AT19" s="570" t="s">
        <v>576</v>
      </c>
      <c r="AU19" s="574">
        <v>141410100131316</v>
      </c>
    </row>
    <row r="20" spans="1:47" ht="30" customHeight="1">
      <c r="A20" s="136">
        <v>6</v>
      </c>
      <c r="B20" s="575" t="s">
        <v>692</v>
      </c>
      <c r="C20" s="138">
        <v>8</v>
      </c>
      <c r="D20" s="491" t="s">
        <v>356</v>
      </c>
      <c r="E20" s="576" t="s">
        <v>360</v>
      </c>
      <c r="F20" s="491" t="s">
        <v>181</v>
      </c>
      <c r="G20" s="491" t="s">
        <v>419</v>
      </c>
      <c r="H20" s="145"/>
      <c r="I20" s="136" t="s">
        <v>413</v>
      </c>
      <c r="J20" s="490" t="s">
        <v>410</v>
      </c>
      <c r="K20" s="504" t="s">
        <v>462</v>
      </c>
      <c r="L20" s="492" t="s">
        <v>463</v>
      </c>
      <c r="M20" s="302" t="s">
        <v>458</v>
      </c>
      <c r="N20" s="137"/>
      <c r="O20" s="137" t="s">
        <v>526</v>
      </c>
      <c r="P20" s="137" t="s">
        <v>527</v>
      </c>
      <c r="Q20" s="137" t="s">
        <v>528</v>
      </c>
      <c r="R20" s="137"/>
      <c r="S20" s="494">
        <v>43850</v>
      </c>
      <c r="T20" s="111"/>
      <c r="U20" s="111"/>
      <c r="V20" s="111"/>
      <c r="W20" s="111"/>
      <c r="X20" s="514" t="s">
        <v>533</v>
      </c>
      <c r="Y20" s="136">
        <v>5210317860</v>
      </c>
      <c r="Z20" s="133" t="str">
        <f t="shared" si="2"/>
        <v>SANGOLLA ASHOK</v>
      </c>
      <c r="AA20" s="518">
        <v>26</v>
      </c>
      <c r="AB20" s="470">
        <v>0</v>
      </c>
      <c r="AC20" s="141">
        <v>11459</v>
      </c>
      <c r="AD20" s="525">
        <v>3844</v>
      </c>
      <c r="AE20" s="529">
        <v>4931.333333333333</v>
      </c>
      <c r="AF20" s="523">
        <v>0</v>
      </c>
      <c r="AG20" s="134">
        <v>0</v>
      </c>
      <c r="AH20" s="531">
        <v>730.6</v>
      </c>
      <c r="AI20" s="531">
        <v>425.53333333333336</v>
      </c>
      <c r="AJ20" s="649">
        <v>0</v>
      </c>
      <c r="AK20" s="532">
        <f t="shared" ref="AK20:AK26" si="4">AD20+AE20+AF20+AG20+AH20+AI20+AJ20+1</f>
        <v>9932.4666666666653</v>
      </c>
      <c r="AL20" s="534">
        <v>75</v>
      </c>
      <c r="AM20" s="535">
        <v>1192</v>
      </c>
      <c r="AN20" s="536">
        <v>0</v>
      </c>
      <c r="AO20" s="536">
        <v>0</v>
      </c>
      <c r="AP20" s="536">
        <v>0</v>
      </c>
      <c r="AQ20" s="537">
        <f t="shared" si="0"/>
        <v>1267</v>
      </c>
      <c r="AR20" s="134">
        <f t="shared" si="1"/>
        <v>8665.4666666666653</v>
      </c>
      <c r="AS20" s="135" t="s">
        <v>746</v>
      </c>
      <c r="AT20" s="569" t="s">
        <v>577</v>
      </c>
      <c r="AU20" s="653">
        <v>62135175705</v>
      </c>
    </row>
    <row r="21" spans="1:47" ht="30" customHeight="1">
      <c r="A21" s="136">
        <v>7</v>
      </c>
      <c r="B21" s="575" t="s">
        <v>693</v>
      </c>
      <c r="C21" s="138">
        <v>9</v>
      </c>
      <c r="D21" s="491" t="s">
        <v>358</v>
      </c>
      <c r="E21" s="576">
        <v>29832</v>
      </c>
      <c r="F21" s="491" t="s">
        <v>181</v>
      </c>
      <c r="G21" s="491" t="s">
        <v>420</v>
      </c>
      <c r="H21" s="145"/>
      <c r="I21" s="136" t="s">
        <v>413</v>
      </c>
      <c r="J21" s="490" t="s">
        <v>410</v>
      </c>
      <c r="K21" s="504" t="s">
        <v>464</v>
      </c>
      <c r="L21" s="492" t="s">
        <v>465</v>
      </c>
      <c r="M21" s="302" t="s">
        <v>466</v>
      </c>
      <c r="N21" s="137"/>
      <c r="O21" s="137" t="s">
        <v>526</v>
      </c>
      <c r="P21" s="137" t="s">
        <v>527</v>
      </c>
      <c r="Q21" s="137" t="s">
        <v>528</v>
      </c>
      <c r="R21" s="137"/>
      <c r="S21" s="494">
        <v>43850</v>
      </c>
      <c r="T21" s="111"/>
      <c r="U21" s="111"/>
      <c r="V21" s="111"/>
      <c r="W21" s="111"/>
      <c r="X21" s="514" t="s">
        <v>534</v>
      </c>
      <c r="Y21" s="136">
        <v>5211196939</v>
      </c>
      <c r="Z21" s="133" t="str">
        <f t="shared" si="2"/>
        <v>ASHOK LINGURAM GAIKWAD</v>
      </c>
      <c r="AA21" s="518">
        <v>26</v>
      </c>
      <c r="AB21" s="470">
        <v>0</v>
      </c>
      <c r="AC21" s="141">
        <v>11459</v>
      </c>
      <c r="AD21" s="525">
        <v>3844</v>
      </c>
      <c r="AE21" s="529">
        <v>4931.333333333333</v>
      </c>
      <c r="AF21" s="523">
        <v>0</v>
      </c>
      <c r="AG21" s="134">
        <v>0</v>
      </c>
      <c r="AH21" s="531">
        <v>730.6</v>
      </c>
      <c r="AI21" s="531">
        <v>425.53333333333336</v>
      </c>
      <c r="AJ21" s="649">
        <v>0</v>
      </c>
      <c r="AK21" s="532">
        <f t="shared" si="4"/>
        <v>9932.4666666666653</v>
      </c>
      <c r="AL21" s="534">
        <v>75</v>
      </c>
      <c r="AM21" s="535">
        <v>1192</v>
      </c>
      <c r="AN21" s="536">
        <v>0</v>
      </c>
      <c r="AO21" s="536">
        <v>0</v>
      </c>
      <c r="AP21" s="536">
        <v>0</v>
      </c>
      <c r="AQ21" s="537">
        <f t="shared" si="0"/>
        <v>1267</v>
      </c>
      <c r="AR21" s="134">
        <f t="shared" si="1"/>
        <v>8665.4666666666653</v>
      </c>
      <c r="AS21" s="135" t="s">
        <v>746</v>
      </c>
      <c r="AT21" s="569" t="s">
        <v>578</v>
      </c>
      <c r="AU21" s="653">
        <v>35398345250</v>
      </c>
    </row>
    <row r="22" spans="1:47" ht="30" customHeight="1">
      <c r="A22" s="136">
        <v>8</v>
      </c>
      <c r="B22" s="575" t="s">
        <v>694</v>
      </c>
      <c r="C22" s="138">
        <v>10</v>
      </c>
      <c r="D22" s="491" t="s">
        <v>359</v>
      </c>
      <c r="E22" s="576">
        <v>26665</v>
      </c>
      <c r="F22" s="491" t="s">
        <v>181</v>
      </c>
      <c r="G22" s="491" t="s">
        <v>421</v>
      </c>
      <c r="H22" s="145"/>
      <c r="I22" s="136" t="s">
        <v>413</v>
      </c>
      <c r="J22" s="490" t="s">
        <v>410</v>
      </c>
      <c r="K22" s="504" t="s">
        <v>467</v>
      </c>
      <c r="L22" s="492" t="s">
        <v>468</v>
      </c>
      <c r="M22" s="302" t="s">
        <v>469</v>
      </c>
      <c r="N22" s="137"/>
      <c r="O22" s="137" t="s">
        <v>526</v>
      </c>
      <c r="P22" s="137" t="s">
        <v>527</v>
      </c>
      <c r="Q22" s="137" t="s">
        <v>528</v>
      </c>
      <c r="R22" s="137"/>
      <c r="S22" s="494">
        <v>43850</v>
      </c>
      <c r="T22" s="111"/>
      <c r="U22" s="111"/>
      <c r="V22" s="111"/>
      <c r="W22" s="111"/>
      <c r="X22" s="514" t="s">
        <v>535</v>
      </c>
      <c r="Y22" s="136">
        <v>5216116351</v>
      </c>
      <c r="Z22" s="133" t="str">
        <f t="shared" si="2"/>
        <v>MADHUKAR KAMTAM</v>
      </c>
      <c r="AA22" s="518">
        <v>26</v>
      </c>
      <c r="AB22" s="470">
        <v>0</v>
      </c>
      <c r="AC22" s="141">
        <v>11459</v>
      </c>
      <c r="AD22" s="525">
        <v>3844</v>
      </c>
      <c r="AE22" s="529">
        <v>4931.333333333333</v>
      </c>
      <c r="AF22" s="523">
        <v>0</v>
      </c>
      <c r="AG22" s="134">
        <v>0</v>
      </c>
      <c r="AH22" s="531">
        <v>730.6</v>
      </c>
      <c r="AI22" s="531">
        <v>425.53333333333336</v>
      </c>
      <c r="AJ22" s="649">
        <v>0</v>
      </c>
      <c r="AK22" s="532">
        <f t="shared" si="4"/>
        <v>9932.4666666666653</v>
      </c>
      <c r="AL22" s="534">
        <v>75</v>
      </c>
      <c r="AM22" s="535">
        <v>1192</v>
      </c>
      <c r="AN22" s="536">
        <v>0</v>
      </c>
      <c r="AO22" s="536">
        <v>0</v>
      </c>
      <c r="AP22" s="536">
        <v>0</v>
      </c>
      <c r="AQ22" s="537">
        <f t="shared" si="0"/>
        <v>1267</v>
      </c>
      <c r="AR22" s="134">
        <f t="shared" si="1"/>
        <v>8665.4666666666653</v>
      </c>
      <c r="AS22" s="135" t="s">
        <v>746</v>
      </c>
      <c r="AT22" s="569" t="s">
        <v>579</v>
      </c>
      <c r="AU22" s="654">
        <v>923249324</v>
      </c>
    </row>
    <row r="23" spans="1:47" ht="30" customHeight="1">
      <c r="A23" s="136">
        <v>9</v>
      </c>
      <c r="B23" s="575" t="s">
        <v>695</v>
      </c>
      <c r="C23" s="138">
        <v>12</v>
      </c>
      <c r="D23" s="491" t="s">
        <v>361</v>
      </c>
      <c r="E23" s="576" t="s">
        <v>364</v>
      </c>
      <c r="F23" s="491" t="s">
        <v>181</v>
      </c>
      <c r="G23" s="491" t="s">
        <v>422</v>
      </c>
      <c r="H23" s="145"/>
      <c r="I23" s="136" t="s">
        <v>413</v>
      </c>
      <c r="J23" s="490" t="s">
        <v>410</v>
      </c>
      <c r="K23" s="504" t="s">
        <v>470</v>
      </c>
      <c r="L23" s="492" t="s">
        <v>471</v>
      </c>
      <c r="M23" s="302" t="s">
        <v>458</v>
      </c>
      <c r="N23" s="137"/>
      <c r="O23" s="137" t="s">
        <v>526</v>
      </c>
      <c r="P23" s="137" t="s">
        <v>527</v>
      </c>
      <c r="Q23" s="137" t="s">
        <v>528</v>
      </c>
      <c r="R23" s="137"/>
      <c r="S23" s="494">
        <v>43850</v>
      </c>
      <c r="T23" s="111"/>
      <c r="U23" s="111"/>
      <c r="V23" s="111"/>
      <c r="W23" s="111"/>
      <c r="X23" s="514" t="s">
        <v>536</v>
      </c>
      <c r="Y23" s="136">
        <v>5216340446</v>
      </c>
      <c r="Z23" s="133" t="str">
        <f t="shared" si="2"/>
        <v>Ningolla Raju</v>
      </c>
      <c r="AA23" s="518">
        <v>26</v>
      </c>
      <c r="AB23" s="470">
        <v>0</v>
      </c>
      <c r="AC23" s="141">
        <v>11459</v>
      </c>
      <c r="AD23" s="525">
        <v>3844</v>
      </c>
      <c r="AE23" s="529">
        <v>4931.333333333333</v>
      </c>
      <c r="AF23" s="523">
        <v>0</v>
      </c>
      <c r="AG23" s="134">
        <v>0</v>
      </c>
      <c r="AH23" s="531">
        <v>730.6</v>
      </c>
      <c r="AI23" s="531">
        <v>425.53333333333336</v>
      </c>
      <c r="AJ23" s="649">
        <v>0</v>
      </c>
      <c r="AK23" s="532">
        <f t="shared" si="4"/>
        <v>9932.4666666666653</v>
      </c>
      <c r="AL23" s="534">
        <v>75</v>
      </c>
      <c r="AM23" s="535">
        <v>1192</v>
      </c>
      <c r="AN23" s="536">
        <v>0</v>
      </c>
      <c r="AO23" s="536">
        <v>0</v>
      </c>
      <c r="AP23" s="536">
        <v>0</v>
      </c>
      <c r="AQ23" s="537">
        <f t="shared" si="0"/>
        <v>1267</v>
      </c>
      <c r="AR23" s="134">
        <f t="shared" si="1"/>
        <v>8665.4666666666653</v>
      </c>
      <c r="AS23" s="135" t="s">
        <v>746</v>
      </c>
      <c r="AT23" s="569" t="s">
        <v>580</v>
      </c>
      <c r="AU23" s="573">
        <v>861410110009223</v>
      </c>
    </row>
    <row r="24" spans="1:47" ht="30" customHeight="1">
      <c r="A24" s="136">
        <v>10</v>
      </c>
      <c r="B24" s="575" t="s">
        <v>696</v>
      </c>
      <c r="C24" s="138">
        <v>13</v>
      </c>
      <c r="D24" s="491" t="s">
        <v>362</v>
      </c>
      <c r="E24" s="576">
        <v>24108</v>
      </c>
      <c r="F24" s="491" t="s">
        <v>181</v>
      </c>
      <c r="G24" s="491" t="s">
        <v>423</v>
      </c>
      <c r="H24" s="145"/>
      <c r="I24" s="136" t="s">
        <v>413</v>
      </c>
      <c r="J24" s="490" t="s">
        <v>410</v>
      </c>
      <c r="K24" s="504" t="s">
        <v>472</v>
      </c>
      <c r="L24" s="492" t="s">
        <v>473</v>
      </c>
      <c r="M24" s="302" t="s">
        <v>458</v>
      </c>
      <c r="N24" s="137"/>
      <c r="O24" s="137" t="s">
        <v>526</v>
      </c>
      <c r="P24" s="137" t="s">
        <v>527</v>
      </c>
      <c r="Q24" s="137" t="s">
        <v>528</v>
      </c>
      <c r="R24" s="137"/>
      <c r="S24" s="494">
        <v>43850</v>
      </c>
      <c r="T24" s="111"/>
      <c r="U24" s="111"/>
      <c r="V24" s="111"/>
      <c r="W24" s="111"/>
      <c r="X24" s="514" t="s">
        <v>537</v>
      </c>
      <c r="Y24" s="136">
        <v>5212759307</v>
      </c>
      <c r="Z24" s="133" t="str">
        <f t="shared" si="2"/>
        <v>Nagani pochaiah</v>
      </c>
      <c r="AA24" s="518">
        <v>26</v>
      </c>
      <c r="AB24" s="470">
        <v>0</v>
      </c>
      <c r="AC24" s="141">
        <v>11459</v>
      </c>
      <c r="AD24" s="525">
        <v>3844</v>
      </c>
      <c r="AE24" s="529">
        <v>4931.333333333333</v>
      </c>
      <c r="AF24" s="523">
        <v>0</v>
      </c>
      <c r="AG24" s="134">
        <v>0</v>
      </c>
      <c r="AH24" s="531">
        <v>730.6</v>
      </c>
      <c r="AI24" s="531">
        <v>425.53333333333336</v>
      </c>
      <c r="AJ24" s="649">
        <v>0</v>
      </c>
      <c r="AK24" s="532">
        <f t="shared" si="4"/>
        <v>9932.4666666666653</v>
      </c>
      <c r="AL24" s="534">
        <v>75</v>
      </c>
      <c r="AM24" s="535">
        <v>1192</v>
      </c>
      <c r="AN24" s="536">
        <v>0</v>
      </c>
      <c r="AO24" s="536">
        <v>0</v>
      </c>
      <c r="AP24" s="536">
        <v>0</v>
      </c>
      <c r="AQ24" s="537">
        <f t="shared" si="0"/>
        <v>1267</v>
      </c>
      <c r="AR24" s="134">
        <f t="shared" si="1"/>
        <v>8665.4666666666653</v>
      </c>
      <c r="AS24" s="135" t="s">
        <v>746</v>
      </c>
      <c r="AT24" s="569" t="s">
        <v>578</v>
      </c>
      <c r="AU24" s="573">
        <v>38228069327</v>
      </c>
    </row>
    <row r="25" spans="1:47" ht="30" customHeight="1">
      <c r="A25" s="136">
        <v>11</v>
      </c>
      <c r="B25" s="575" t="s">
        <v>697</v>
      </c>
      <c r="C25" s="138">
        <v>14</v>
      </c>
      <c r="D25" s="491" t="s">
        <v>363</v>
      </c>
      <c r="E25" s="576">
        <v>36161</v>
      </c>
      <c r="F25" s="491" t="s">
        <v>181</v>
      </c>
      <c r="G25" s="491" t="s">
        <v>424</v>
      </c>
      <c r="H25" s="145"/>
      <c r="I25" s="136" t="s">
        <v>413</v>
      </c>
      <c r="J25" s="490" t="s">
        <v>410</v>
      </c>
      <c r="K25" s="505" t="s">
        <v>474</v>
      </c>
      <c r="L25" s="492" t="s">
        <v>475</v>
      </c>
      <c r="M25" s="506" t="s">
        <v>458</v>
      </c>
      <c r="N25" s="137"/>
      <c r="O25" s="137" t="s">
        <v>526</v>
      </c>
      <c r="P25" s="137" t="s">
        <v>527</v>
      </c>
      <c r="Q25" s="137" t="s">
        <v>528</v>
      </c>
      <c r="R25" s="137"/>
      <c r="S25" s="494">
        <v>43850</v>
      </c>
      <c r="T25" s="111"/>
      <c r="U25" s="111"/>
      <c r="V25" s="111"/>
      <c r="W25" s="111"/>
      <c r="X25" s="514" t="s">
        <v>538</v>
      </c>
      <c r="Y25" s="136">
        <v>5216340493</v>
      </c>
      <c r="Z25" s="133" t="str">
        <f t="shared" si="2"/>
        <v>Mutholla Mallesh</v>
      </c>
      <c r="AA25" s="518">
        <v>26</v>
      </c>
      <c r="AB25" s="470">
        <v>0</v>
      </c>
      <c r="AC25" s="141">
        <v>11459</v>
      </c>
      <c r="AD25" s="525">
        <v>3844</v>
      </c>
      <c r="AE25" s="529">
        <v>4931.333333333333</v>
      </c>
      <c r="AF25" s="523">
        <v>0</v>
      </c>
      <c r="AG25" s="134">
        <v>0</v>
      </c>
      <c r="AH25" s="531">
        <v>730.6</v>
      </c>
      <c r="AI25" s="531">
        <v>425.53333333333336</v>
      </c>
      <c r="AJ25" s="649">
        <v>0</v>
      </c>
      <c r="AK25" s="532">
        <f t="shared" si="4"/>
        <v>9932.4666666666653</v>
      </c>
      <c r="AL25" s="534">
        <v>75</v>
      </c>
      <c r="AM25" s="535">
        <v>1192</v>
      </c>
      <c r="AN25" s="536">
        <v>0</v>
      </c>
      <c r="AO25" s="536">
        <v>0</v>
      </c>
      <c r="AP25" s="536">
        <v>0</v>
      </c>
      <c r="AQ25" s="537">
        <f t="shared" si="0"/>
        <v>1267</v>
      </c>
      <c r="AR25" s="134">
        <f t="shared" si="1"/>
        <v>8665.4666666666653</v>
      </c>
      <c r="AS25" s="135" t="s">
        <v>746</v>
      </c>
      <c r="AT25" s="569" t="s">
        <v>578</v>
      </c>
      <c r="AU25" s="573">
        <v>20176301430</v>
      </c>
    </row>
    <row r="26" spans="1:47" ht="30" customHeight="1">
      <c r="A26" s="136">
        <v>12</v>
      </c>
      <c r="B26" s="575" t="s">
        <v>698</v>
      </c>
      <c r="C26" s="138">
        <v>15</v>
      </c>
      <c r="D26" s="491" t="s">
        <v>365</v>
      </c>
      <c r="E26" s="576">
        <v>36439</v>
      </c>
      <c r="F26" s="491" t="s">
        <v>181</v>
      </c>
      <c r="G26" s="491" t="s">
        <v>425</v>
      </c>
      <c r="H26" s="145"/>
      <c r="I26" s="136" t="s">
        <v>413</v>
      </c>
      <c r="J26" s="490" t="s">
        <v>410</v>
      </c>
      <c r="K26" s="504" t="s">
        <v>476</v>
      </c>
      <c r="L26" s="492" t="s">
        <v>477</v>
      </c>
      <c r="M26" s="302" t="s">
        <v>478</v>
      </c>
      <c r="N26" s="137"/>
      <c r="O26" s="137" t="s">
        <v>526</v>
      </c>
      <c r="P26" s="137" t="s">
        <v>527</v>
      </c>
      <c r="Q26" s="137" t="s">
        <v>528</v>
      </c>
      <c r="R26" s="137"/>
      <c r="S26" s="494">
        <v>43850</v>
      </c>
      <c r="T26" s="111"/>
      <c r="U26" s="111"/>
      <c r="V26" s="111"/>
      <c r="W26" s="111"/>
      <c r="X26" s="514" t="s">
        <v>539</v>
      </c>
      <c r="Y26" s="145">
        <v>5211482351</v>
      </c>
      <c r="Z26" s="133" t="str">
        <f t="shared" si="2"/>
        <v>ALIJANA JAYARAMI REDDY</v>
      </c>
      <c r="AA26" s="518">
        <v>26</v>
      </c>
      <c r="AB26" s="470">
        <v>0</v>
      </c>
      <c r="AC26" s="141">
        <v>11459</v>
      </c>
      <c r="AD26" s="525">
        <v>3844</v>
      </c>
      <c r="AE26" s="529">
        <v>4931.333333333333</v>
      </c>
      <c r="AF26" s="523">
        <v>0</v>
      </c>
      <c r="AG26" s="134">
        <v>0</v>
      </c>
      <c r="AH26" s="531">
        <v>730.6</v>
      </c>
      <c r="AI26" s="531">
        <v>425.53333333333336</v>
      </c>
      <c r="AJ26" s="649">
        <v>0</v>
      </c>
      <c r="AK26" s="532">
        <f t="shared" si="4"/>
        <v>9932.4666666666653</v>
      </c>
      <c r="AL26" s="534">
        <v>75</v>
      </c>
      <c r="AM26" s="535">
        <v>1192</v>
      </c>
      <c r="AN26" s="536">
        <v>0</v>
      </c>
      <c r="AO26" s="536">
        <v>0</v>
      </c>
      <c r="AP26" s="536">
        <v>0</v>
      </c>
      <c r="AQ26" s="537">
        <f t="shared" si="0"/>
        <v>1267</v>
      </c>
      <c r="AR26" s="134">
        <f t="shared" si="1"/>
        <v>8665.4666666666653</v>
      </c>
      <c r="AS26" s="135" t="s">
        <v>746</v>
      </c>
      <c r="AT26" s="569" t="s">
        <v>581</v>
      </c>
      <c r="AU26" s="573">
        <v>33412525880</v>
      </c>
    </row>
    <row r="27" spans="1:47" ht="30" customHeight="1">
      <c r="A27" s="136">
        <v>13</v>
      </c>
      <c r="B27" s="575" t="s">
        <v>699</v>
      </c>
      <c r="C27" s="138">
        <v>16</v>
      </c>
      <c r="D27" s="491" t="s">
        <v>366</v>
      </c>
      <c r="E27" s="576">
        <v>36162</v>
      </c>
      <c r="F27" s="491" t="s">
        <v>181</v>
      </c>
      <c r="G27" s="491" t="s">
        <v>426</v>
      </c>
      <c r="H27" s="145"/>
      <c r="I27" s="136" t="s">
        <v>413</v>
      </c>
      <c r="J27" s="490" t="s">
        <v>410</v>
      </c>
      <c r="K27" s="504" t="s">
        <v>479</v>
      </c>
      <c r="L27" s="492" t="s">
        <v>480</v>
      </c>
      <c r="M27" s="302" t="s">
        <v>481</v>
      </c>
      <c r="N27" s="137"/>
      <c r="O27" s="137" t="s">
        <v>526</v>
      </c>
      <c r="P27" s="137" t="s">
        <v>527</v>
      </c>
      <c r="Q27" s="137" t="s">
        <v>528</v>
      </c>
      <c r="R27" s="137"/>
      <c r="S27" s="494">
        <v>43850</v>
      </c>
      <c r="T27" s="111"/>
      <c r="U27" s="111"/>
      <c r="V27" s="111"/>
      <c r="W27" s="111"/>
      <c r="X27" s="514" t="s">
        <v>540</v>
      </c>
      <c r="Y27" s="145">
        <v>5216340520</v>
      </c>
      <c r="Z27" s="133" t="str">
        <f t="shared" si="2"/>
        <v>Kapil</v>
      </c>
      <c r="AA27" s="518">
        <v>0</v>
      </c>
      <c r="AB27" s="470">
        <v>0</v>
      </c>
      <c r="AC27" s="141">
        <v>11459</v>
      </c>
      <c r="AD27" s="525">
        <v>0</v>
      </c>
      <c r="AE27" s="529">
        <v>0</v>
      </c>
      <c r="AF27" s="523">
        <v>0</v>
      </c>
      <c r="AG27" s="134">
        <v>0</v>
      </c>
      <c r="AH27" s="531">
        <v>0</v>
      </c>
      <c r="AI27" s="531">
        <v>0</v>
      </c>
      <c r="AJ27" s="649">
        <v>0</v>
      </c>
      <c r="AK27" s="532">
        <f t="shared" si="3"/>
        <v>0</v>
      </c>
      <c r="AL27" s="534">
        <v>0</v>
      </c>
      <c r="AM27" s="535">
        <v>0</v>
      </c>
      <c r="AN27" s="536">
        <v>0</v>
      </c>
      <c r="AO27" s="536">
        <v>0</v>
      </c>
      <c r="AP27" s="536">
        <v>0</v>
      </c>
      <c r="AQ27" s="537">
        <f t="shared" si="0"/>
        <v>0</v>
      </c>
      <c r="AR27" s="134">
        <f t="shared" si="1"/>
        <v>0</v>
      </c>
      <c r="AS27" s="135" t="s">
        <v>746</v>
      </c>
      <c r="AT27" s="569" t="s">
        <v>582</v>
      </c>
      <c r="AU27" s="573">
        <v>8512913818</v>
      </c>
    </row>
    <row r="28" spans="1:47" ht="30" customHeight="1">
      <c r="A28" s="136">
        <v>14</v>
      </c>
      <c r="B28" s="575" t="s">
        <v>700</v>
      </c>
      <c r="C28" s="138">
        <v>17</v>
      </c>
      <c r="D28" s="491" t="s">
        <v>367</v>
      </c>
      <c r="E28" s="576">
        <v>27948</v>
      </c>
      <c r="F28" s="491" t="s">
        <v>181</v>
      </c>
      <c r="G28" s="491" t="s">
        <v>427</v>
      </c>
      <c r="H28" s="145"/>
      <c r="I28" s="136" t="s">
        <v>413</v>
      </c>
      <c r="J28" s="490" t="s">
        <v>410</v>
      </c>
      <c r="K28" s="504" t="s">
        <v>482</v>
      </c>
      <c r="L28" s="492" t="s">
        <v>483</v>
      </c>
      <c r="M28" s="302" t="s">
        <v>481</v>
      </c>
      <c r="N28" s="137"/>
      <c r="O28" s="137" t="s">
        <v>526</v>
      </c>
      <c r="P28" s="137" t="s">
        <v>527</v>
      </c>
      <c r="Q28" s="137" t="s">
        <v>528</v>
      </c>
      <c r="R28" s="137"/>
      <c r="S28" s="494">
        <v>43850</v>
      </c>
      <c r="T28" s="111"/>
      <c r="U28" s="111"/>
      <c r="V28" s="111"/>
      <c r="W28" s="111"/>
      <c r="X28" s="514" t="s">
        <v>541</v>
      </c>
      <c r="Y28" s="145">
        <v>5216340547</v>
      </c>
      <c r="Z28" s="133" t="str">
        <f t="shared" si="2"/>
        <v xml:space="preserve">Bablu kumar </v>
      </c>
      <c r="AA28" s="518">
        <v>0</v>
      </c>
      <c r="AB28" s="470">
        <v>0</v>
      </c>
      <c r="AC28" s="141">
        <v>11459</v>
      </c>
      <c r="AD28" s="525">
        <v>0</v>
      </c>
      <c r="AE28" s="529">
        <v>0</v>
      </c>
      <c r="AF28" s="523">
        <v>0</v>
      </c>
      <c r="AG28" s="134">
        <v>0</v>
      </c>
      <c r="AH28" s="531">
        <v>0</v>
      </c>
      <c r="AI28" s="531">
        <v>0</v>
      </c>
      <c r="AJ28" s="649">
        <v>0</v>
      </c>
      <c r="AK28" s="532">
        <f t="shared" si="3"/>
        <v>0</v>
      </c>
      <c r="AL28" s="534">
        <v>0</v>
      </c>
      <c r="AM28" s="535">
        <v>0</v>
      </c>
      <c r="AN28" s="536">
        <v>0</v>
      </c>
      <c r="AO28" s="536">
        <v>0</v>
      </c>
      <c r="AP28" s="536">
        <v>0</v>
      </c>
      <c r="AQ28" s="537">
        <f t="shared" si="0"/>
        <v>0</v>
      </c>
      <c r="AR28" s="134">
        <f t="shared" si="1"/>
        <v>0</v>
      </c>
      <c r="AS28" s="135" t="s">
        <v>746</v>
      </c>
      <c r="AT28" s="569" t="s">
        <v>582</v>
      </c>
      <c r="AU28" s="573">
        <v>8512913542</v>
      </c>
    </row>
    <row r="29" spans="1:47" ht="30" customHeight="1">
      <c r="A29" s="136">
        <v>15</v>
      </c>
      <c r="B29" s="575" t="s">
        <v>701</v>
      </c>
      <c r="C29" s="138">
        <v>18</v>
      </c>
      <c r="D29" s="491" t="s">
        <v>368</v>
      </c>
      <c r="E29" s="576" t="s">
        <v>372</v>
      </c>
      <c r="F29" s="491" t="s">
        <v>181</v>
      </c>
      <c r="G29" s="491" t="s">
        <v>428</v>
      </c>
      <c r="H29" s="145"/>
      <c r="I29" s="136" t="s">
        <v>413</v>
      </c>
      <c r="J29" s="490" t="s">
        <v>410</v>
      </c>
      <c r="K29" s="504" t="s">
        <v>482</v>
      </c>
      <c r="L29" s="492" t="s">
        <v>483</v>
      </c>
      <c r="M29" s="302" t="s">
        <v>481</v>
      </c>
      <c r="N29" s="137"/>
      <c r="O29" s="137" t="s">
        <v>526</v>
      </c>
      <c r="P29" s="137" t="s">
        <v>527</v>
      </c>
      <c r="Q29" s="137" t="s">
        <v>528</v>
      </c>
      <c r="R29" s="137"/>
      <c r="S29" s="494">
        <v>43850</v>
      </c>
      <c r="T29" s="111"/>
      <c r="U29" s="111"/>
      <c r="V29" s="111"/>
      <c r="W29" s="111"/>
      <c r="X29" s="514" t="s">
        <v>542</v>
      </c>
      <c r="Y29" s="492">
        <v>5216340569</v>
      </c>
      <c r="Z29" s="133" t="str">
        <f t="shared" si="2"/>
        <v>Pradeep kumar</v>
      </c>
      <c r="AA29" s="518">
        <v>0</v>
      </c>
      <c r="AB29" s="470">
        <v>0</v>
      </c>
      <c r="AC29" s="141">
        <v>11459</v>
      </c>
      <c r="AD29" s="525">
        <v>0</v>
      </c>
      <c r="AE29" s="529">
        <v>0</v>
      </c>
      <c r="AF29" s="523">
        <v>0</v>
      </c>
      <c r="AG29" s="134">
        <v>0</v>
      </c>
      <c r="AH29" s="531">
        <v>0</v>
      </c>
      <c r="AI29" s="531">
        <v>0</v>
      </c>
      <c r="AJ29" s="649">
        <v>0</v>
      </c>
      <c r="AK29" s="532">
        <f t="shared" si="3"/>
        <v>0</v>
      </c>
      <c r="AL29" s="534">
        <v>0</v>
      </c>
      <c r="AM29" s="535">
        <v>0</v>
      </c>
      <c r="AN29" s="536">
        <v>0</v>
      </c>
      <c r="AO29" s="536">
        <v>0</v>
      </c>
      <c r="AP29" s="536">
        <v>0</v>
      </c>
      <c r="AQ29" s="537">
        <f t="shared" si="0"/>
        <v>0</v>
      </c>
      <c r="AR29" s="134">
        <f t="shared" si="1"/>
        <v>0</v>
      </c>
      <c r="AS29" s="135" t="s">
        <v>746</v>
      </c>
      <c r="AT29" s="569" t="s">
        <v>582</v>
      </c>
      <c r="AU29" s="573">
        <v>8512913528</v>
      </c>
    </row>
    <row r="30" spans="1:47" ht="30" customHeight="1">
      <c r="A30" s="136">
        <v>16</v>
      </c>
      <c r="B30" s="575" t="s">
        <v>702</v>
      </c>
      <c r="C30" s="138">
        <v>19</v>
      </c>
      <c r="D30" s="491" t="s">
        <v>369</v>
      </c>
      <c r="E30" s="576">
        <v>27762</v>
      </c>
      <c r="F30" s="491" t="s">
        <v>370</v>
      </c>
      <c r="G30" s="491" t="s">
        <v>429</v>
      </c>
      <c r="H30" s="145"/>
      <c r="I30" s="136" t="s">
        <v>413</v>
      </c>
      <c r="J30" s="490" t="s">
        <v>411</v>
      </c>
      <c r="K30" s="504" t="s">
        <v>484</v>
      </c>
      <c r="L30" s="492" t="s">
        <v>485</v>
      </c>
      <c r="M30" s="302" t="s">
        <v>469</v>
      </c>
      <c r="N30" s="137"/>
      <c r="O30" s="137" t="s">
        <v>526</v>
      </c>
      <c r="P30" s="137" t="s">
        <v>527</v>
      </c>
      <c r="Q30" s="137" t="s">
        <v>528</v>
      </c>
      <c r="R30" s="137"/>
      <c r="S30" s="494">
        <v>43850</v>
      </c>
      <c r="T30" s="111"/>
      <c r="U30" s="111"/>
      <c r="V30" s="111"/>
      <c r="W30" s="111"/>
      <c r="X30" s="514" t="s">
        <v>543</v>
      </c>
      <c r="Y30" s="492">
        <v>5210209502</v>
      </c>
      <c r="Z30" s="133" t="str">
        <f t="shared" si="2"/>
        <v>SHAIK KULSUM BEE</v>
      </c>
      <c r="AA30" s="518">
        <v>26</v>
      </c>
      <c r="AB30" s="470">
        <v>0</v>
      </c>
      <c r="AC30" s="141">
        <v>10627</v>
      </c>
      <c r="AD30" s="525">
        <v>3207</v>
      </c>
      <c r="AE30" s="529">
        <v>4931.333333333333</v>
      </c>
      <c r="AF30" s="523">
        <v>0</v>
      </c>
      <c r="AG30" s="134">
        <v>0</v>
      </c>
      <c r="AH30" s="531">
        <v>677.73333333333335</v>
      </c>
      <c r="AI30" s="531">
        <v>394.33333333333331</v>
      </c>
      <c r="AJ30" s="649">
        <v>0</v>
      </c>
      <c r="AK30" s="532">
        <f t="shared" si="3"/>
        <v>9210.4</v>
      </c>
      <c r="AL30" s="534">
        <v>70</v>
      </c>
      <c r="AM30" s="535">
        <v>1105</v>
      </c>
      <c r="AN30" s="536">
        <v>0</v>
      </c>
      <c r="AO30" s="536">
        <v>0</v>
      </c>
      <c r="AP30" s="536">
        <v>0</v>
      </c>
      <c r="AQ30" s="537">
        <f t="shared" si="0"/>
        <v>1175</v>
      </c>
      <c r="AR30" s="134">
        <f t="shared" si="1"/>
        <v>8035.4</v>
      </c>
      <c r="AS30" s="135" t="s">
        <v>746</v>
      </c>
      <c r="AT30" s="569" t="s">
        <v>583</v>
      </c>
      <c r="AU30" s="573">
        <v>30144397282</v>
      </c>
    </row>
    <row r="31" spans="1:47" ht="30" customHeight="1">
      <c r="A31" s="136">
        <v>17</v>
      </c>
      <c r="B31" s="575" t="s">
        <v>703</v>
      </c>
      <c r="C31" s="138">
        <v>20</v>
      </c>
      <c r="D31" s="491" t="s">
        <v>371</v>
      </c>
      <c r="E31" s="576">
        <v>33239</v>
      </c>
      <c r="F31" s="491" t="s">
        <v>370</v>
      </c>
      <c r="G31" s="491" t="s">
        <v>430</v>
      </c>
      <c r="H31" s="145"/>
      <c r="I31" s="136" t="s">
        <v>413</v>
      </c>
      <c r="J31" s="490" t="s">
        <v>411</v>
      </c>
      <c r="K31" s="504" t="s">
        <v>486</v>
      </c>
      <c r="L31" s="492" t="s">
        <v>487</v>
      </c>
      <c r="M31" s="302" t="s">
        <v>488</v>
      </c>
      <c r="N31" s="137"/>
      <c r="O31" s="137" t="s">
        <v>526</v>
      </c>
      <c r="P31" s="137" t="s">
        <v>527</v>
      </c>
      <c r="Q31" s="137" t="s">
        <v>528</v>
      </c>
      <c r="R31" s="137"/>
      <c r="S31" s="494">
        <v>43850</v>
      </c>
      <c r="T31" s="111"/>
      <c r="U31" s="111"/>
      <c r="V31" s="111"/>
      <c r="W31" s="111"/>
      <c r="X31" s="514" t="s">
        <v>544</v>
      </c>
      <c r="Y31" s="136">
        <v>5215258577</v>
      </c>
      <c r="Z31" s="133" t="str">
        <f t="shared" si="2"/>
        <v>S GOWRI</v>
      </c>
      <c r="AA31" s="518">
        <v>26</v>
      </c>
      <c r="AB31" s="470">
        <v>0</v>
      </c>
      <c r="AC31" s="141">
        <v>10627</v>
      </c>
      <c r="AD31" s="525">
        <v>3207</v>
      </c>
      <c r="AE31" s="529">
        <v>4931.333333333333</v>
      </c>
      <c r="AF31" s="523">
        <v>0</v>
      </c>
      <c r="AG31" s="134">
        <v>0</v>
      </c>
      <c r="AH31" s="531">
        <v>677.73333333333335</v>
      </c>
      <c r="AI31" s="531">
        <v>394.33333333333331</v>
      </c>
      <c r="AJ31" s="649">
        <v>0</v>
      </c>
      <c r="AK31" s="532">
        <f t="shared" si="3"/>
        <v>9210.4</v>
      </c>
      <c r="AL31" s="534">
        <v>70</v>
      </c>
      <c r="AM31" s="535">
        <v>1105</v>
      </c>
      <c r="AN31" s="536">
        <v>0</v>
      </c>
      <c r="AO31" s="536">
        <v>0</v>
      </c>
      <c r="AP31" s="536">
        <v>0</v>
      </c>
      <c r="AQ31" s="537">
        <f t="shared" si="0"/>
        <v>1175</v>
      </c>
      <c r="AR31" s="134">
        <f t="shared" ref="AR31:AR60" si="5">AK31-AQ31</f>
        <v>8035.4</v>
      </c>
      <c r="AS31" s="135" t="s">
        <v>746</v>
      </c>
      <c r="AT31" s="569" t="s">
        <v>584</v>
      </c>
      <c r="AU31" s="573">
        <v>35855410947</v>
      </c>
    </row>
    <row r="32" spans="1:47" ht="30" customHeight="1">
      <c r="A32" s="136">
        <v>18</v>
      </c>
      <c r="B32" s="575" t="s">
        <v>704</v>
      </c>
      <c r="C32" s="138">
        <v>21</v>
      </c>
      <c r="D32" s="491" t="s">
        <v>373</v>
      </c>
      <c r="E32" s="576">
        <v>31048</v>
      </c>
      <c r="F32" s="491" t="s">
        <v>370</v>
      </c>
      <c r="G32" s="491" t="s">
        <v>431</v>
      </c>
      <c r="H32" s="136"/>
      <c r="I32" s="136" t="s">
        <v>413</v>
      </c>
      <c r="J32" s="490" t="s">
        <v>411</v>
      </c>
      <c r="K32" s="507" t="s">
        <v>489</v>
      </c>
      <c r="L32" s="492" t="s">
        <v>490</v>
      </c>
      <c r="M32" s="302" t="s">
        <v>491</v>
      </c>
      <c r="N32" s="137"/>
      <c r="O32" s="137" t="s">
        <v>526</v>
      </c>
      <c r="P32" s="137" t="s">
        <v>527</v>
      </c>
      <c r="Q32" s="137" t="s">
        <v>528</v>
      </c>
      <c r="R32" s="137"/>
      <c r="S32" s="494">
        <v>43850</v>
      </c>
      <c r="T32" s="107"/>
      <c r="U32" s="122"/>
      <c r="V32" s="107"/>
      <c r="W32" s="107"/>
      <c r="X32" s="514" t="s">
        <v>545</v>
      </c>
      <c r="Y32" s="492">
        <v>5206265912</v>
      </c>
      <c r="Z32" s="549" t="str">
        <f t="shared" si="2"/>
        <v>FARZANA BEGUM</v>
      </c>
      <c r="AA32" s="518">
        <v>26</v>
      </c>
      <c r="AB32" s="470">
        <v>0</v>
      </c>
      <c r="AC32" s="141">
        <v>10627</v>
      </c>
      <c r="AD32" s="525">
        <v>3207</v>
      </c>
      <c r="AE32" s="530">
        <v>4931.333333333333</v>
      </c>
      <c r="AF32" s="523">
        <v>0</v>
      </c>
      <c r="AG32" s="134">
        <v>0</v>
      </c>
      <c r="AH32" s="531">
        <v>677.73333333333335</v>
      </c>
      <c r="AI32" s="531">
        <v>394.33333333333331</v>
      </c>
      <c r="AJ32" s="649">
        <v>0</v>
      </c>
      <c r="AK32" s="532">
        <f t="shared" si="3"/>
        <v>9210.4</v>
      </c>
      <c r="AL32" s="529">
        <v>70</v>
      </c>
      <c r="AM32" s="649">
        <v>1105</v>
      </c>
      <c r="AN32" s="536">
        <v>0</v>
      </c>
      <c r="AO32" s="536">
        <v>0</v>
      </c>
      <c r="AP32" s="536">
        <v>0</v>
      </c>
      <c r="AQ32" s="537">
        <f t="shared" si="0"/>
        <v>1175</v>
      </c>
      <c r="AR32" s="134">
        <f t="shared" si="5"/>
        <v>8035.4</v>
      </c>
      <c r="AS32" s="135" t="s">
        <v>746</v>
      </c>
      <c r="AT32" s="569" t="s">
        <v>585</v>
      </c>
      <c r="AU32" s="573">
        <v>130610100075445</v>
      </c>
    </row>
    <row r="33" spans="1:284" ht="30" customHeight="1">
      <c r="A33" s="136">
        <v>19</v>
      </c>
      <c r="B33" s="575" t="s">
        <v>705</v>
      </c>
      <c r="C33" s="138">
        <v>22</v>
      </c>
      <c r="D33" s="491" t="s">
        <v>374</v>
      </c>
      <c r="E33" s="576">
        <v>29221</v>
      </c>
      <c r="F33" s="491" t="s">
        <v>370</v>
      </c>
      <c r="G33" s="491" t="s">
        <v>432</v>
      </c>
      <c r="H33" s="136"/>
      <c r="I33" s="136" t="s">
        <v>413</v>
      </c>
      <c r="J33" s="490" t="s">
        <v>411</v>
      </c>
      <c r="K33" s="508" t="s">
        <v>492</v>
      </c>
      <c r="L33" s="492" t="s">
        <v>493</v>
      </c>
      <c r="M33" s="509" t="s">
        <v>458</v>
      </c>
      <c r="O33" s="137" t="s">
        <v>526</v>
      </c>
      <c r="P33" s="137" t="s">
        <v>527</v>
      </c>
      <c r="Q33" s="137" t="s">
        <v>528</v>
      </c>
      <c r="R33" s="136"/>
      <c r="S33" s="494">
        <v>43850</v>
      </c>
      <c r="T33" s="136"/>
      <c r="U33" s="136"/>
      <c r="V33" s="136"/>
      <c r="W33" s="136"/>
      <c r="X33" s="517" t="s">
        <v>546</v>
      </c>
      <c r="Y33" s="136">
        <v>5214635168</v>
      </c>
      <c r="Z33" s="133" t="str">
        <f t="shared" si="2"/>
        <v>MANAGALI SUHASINI</v>
      </c>
      <c r="AA33" s="518">
        <v>26</v>
      </c>
      <c r="AB33" s="470">
        <v>0</v>
      </c>
      <c r="AC33" s="520">
        <v>10627</v>
      </c>
      <c r="AD33" s="526">
        <v>3207</v>
      </c>
      <c r="AE33" s="530">
        <v>4931.333333333333</v>
      </c>
      <c r="AF33" s="523">
        <v>0</v>
      </c>
      <c r="AG33" s="134">
        <v>0</v>
      </c>
      <c r="AH33" s="648">
        <v>677.73333333333335</v>
      </c>
      <c r="AI33" s="648">
        <v>394.33333333333331</v>
      </c>
      <c r="AJ33" s="536">
        <v>0</v>
      </c>
      <c r="AK33" s="532">
        <f t="shared" si="3"/>
        <v>9210.4</v>
      </c>
      <c r="AL33" s="529">
        <v>70</v>
      </c>
      <c r="AM33" s="649">
        <v>1105</v>
      </c>
      <c r="AN33" s="536">
        <v>0</v>
      </c>
      <c r="AO33" s="536">
        <v>0</v>
      </c>
      <c r="AP33" s="536">
        <v>0</v>
      </c>
      <c r="AQ33" s="537">
        <f t="shared" si="0"/>
        <v>1175</v>
      </c>
      <c r="AR33" s="134">
        <f t="shared" si="5"/>
        <v>8035.4</v>
      </c>
      <c r="AS33" s="135" t="s">
        <v>746</v>
      </c>
      <c r="AT33" s="569" t="s">
        <v>586</v>
      </c>
      <c r="AU33" s="573">
        <v>73138780593</v>
      </c>
    </row>
    <row r="34" spans="1:284" ht="30" customHeight="1">
      <c r="A34" s="136">
        <v>20</v>
      </c>
      <c r="B34" s="575" t="s">
        <v>706</v>
      </c>
      <c r="C34" s="138">
        <v>23</v>
      </c>
      <c r="D34" s="491" t="s">
        <v>375</v>
      </c>
      <c r="E34" s="576">
        <v>25934</v>
      </c>
      <c r="F34" s="491" t="s">
        <v>370</v>
      </c>
      <c r="G34" s="491" t="s">
        <v>433</v>
      </c>
      <c r="H34" s="565"/>
      <c r="I34" s="136" t="s">
        <v>413</v>
      </c>
      <c r="J34" s="490" t="s">
        <v>411</v>
      </c>
      <c r="K34" s="504" t="s">
        <v>494</v>
      </c>
      <c r="L34" s="492" t="s">
        <v>670</v>
      </c>
      <c r="M34" s="302" t="s">
        <v>488</v>
      </c>
      <c r="N34" s="12"/>
      <c r="O34" s="137" t="s">
        <v>526</v>
      </c>
      <c r="P34" s="137" t="s">
        <v>527</v>
      </c>
      <c r="Q34" s="137" t="s">
        <v>528</v>
      </c>
      <c r="R34" s="580"/>
      <c r="S34" s="494">
        <v>43850</v>
      </c>
      <c r="T34" s="580"/>
      <c r="U34" s="580"/>
      <c r="V34" s="580"/>
      <c r="W34" s="580"/>
      <c r="X34" s="517" t="s">
        <v>547</v>
      </c>
      <c r="Y34" s="136">
        <v>5215374381</v>
      </c>
      <c r="Z34" s="133" t="str">
        <f t="shared" si="2"/>
        <v>KONA SUJATHA</v>
      </c>
      <c r="AA34" s="518">
        <v>26</v>
      </c>
      <c r="AB34" s="470">
        <v>0</v>
      </c>
      <c r="AC34" s="521">
        <v>10627</v>
      </c>
      <c r="AD34" s="564">
        <v>3207</v>
      </c>
      <c r="AE34" s="563">
        <v>4931.333333333333</v>
      </c>
      <c r="AF34" s="523">
        <v>0</v>
      </c>
      <c r="AG34" s="134">
        <v>0</v>
      </c>
      <c r="AH34" s="648">
        <v>677.73333333333335</v>
      </c>
      <c r="AI34" s="648">
        <v>394.33333333333331</v>
      </c>
      <c r="AJ34" s="536">
        <v>0</v>
      </c>
      <c r="AK34" s="532">
        <f t="shared" si="3"/>
        <v>9210.4</v>
      </c>
      <c r="AL34" s="529">
        <v>70</v>
      </c>
      <c r="AM34" s="649">
        <v>1105</v>
      </c>
      <c r="AN34" s="536">
        <v>0</v>
      </c>
      <c r="AO34" s="536">
        <v>0</v>
      </c>
      <c r="AP34" s="536">
        <v>0</v>
      </c>
      <c r="AQ34" s="537">
        <f t="shared" si="0"/>
        <v>1175</v>
      </c>
      <c r="AR34" s="134">
        <f t="shared" si="5"/>
        <v>8035.4</v>
      </c>
      <c r="AS34" s="135" t="s">
        <v>746</v>
      </c>
      <c r="AT34" s="569" t="s">
        <v>584</v>
      </c>
      <c r="AU34" s="573">
        <v>30534600258</v>
      </c>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row>
    <row r="35" spans="1:284" ht="30" customHeight="1">
      <c r="A35" s="136">
        <v>21</v>
      </c>
      <c r="B35" s="575" t="s">
        <v>707</v>
      </c>
      <c r="C35" s="138">
        <v>24</v>
      </c>
      <c r="D35" s="491" t="s">
        <v>376</v>
      </c>
      <c r="E35" s="576">
        <v>30562</v>
      </c>
      <c r="F35" s="491" t="s">
        <v>370</v>
      </c>
      <c r="G35" s="491" t="s">
        <v>434</v>
      </c>
      <c r="H35" s="136"/>
      <c r="I35" s="136" t="s">
        <v>413</v>
      </c>
      <c r="J35" s="490" t="s">
        <v>411</v>
      </c>
      <c r="K35" s="504" t="s">
        <v>495</v>
      </c>
      <c r="L35" s="492" t="s">
        <v>496</v>
      </c>
      <c r="M35" s="302" t="s">
        <v>488</v>
      </c>
      <c r="O35" s="137" t="s">
        <v>526</v>
      </c>
      <c r="P35" s="137" t="s">
        <v>527</v>
      </c>
      <c r="Q35" s="137" t="s">
        <v>528</v>
      </c>
      <c r="R35" s="136"/>
      <c r="S35" s="494">
        <v>43850</v>
      </c>
      <c r="T35" s="136"/>
      <c r="U35" s="136"/>
      <c r="V35" s="136"/>
      <c r="W35" s="136"/>
      <c r="X35" s="517" t="s">
        <v>548</v>
      </c>
      <c r="Y35" s="136">
        <v>5215258539</v>
      </c>
      <c r="Z35" s="549" t="str">
        <f t="shared" si="2"/>
        <v>GOLLA UMA</v>
      </c>
      <c r="AA35" s="518">
        <v>26</v>
      </c>
      <c r="AB35" s="470">
        <v>0</v>
      </c>
      <c r="AC35" s="520">
        <v>10627</v>
      </c>
      <c r="AD35" s="526">
        <v>3207</v>
      </c>
      <c r="AE35" s="530">
        <v>4931.333333333333</v>
      </c>
      <c r="AF35" s="523">
        <v>0</v>
      </c>
      <c r="AG35" s="134">
        <v>0</v>
      </c>
      <c r="AH35" s="648">
        <v>677.73333333333335</v>
      </c>
      <c r="AI35" s="648">
        <v>394.33333333333331</v>
      </c>
      <c r="AJ35" s="536">
        <v>0</v>
      </c>
      <c r="AK35" s="532">
        <f t="shared" si="3"/>
        <v>9210.4</v>
      </c>
      <c r="AL35" s="529">
        <v>70</v>
      </c>
      <c r="AM35" s="649">
        <v>1105</v>
      </c>
      <c r="AN35" s="536">
        <v>0</v>
      </c>
      <c r="AO35" s="536">
        <v>0</v>
      </c>
      <c r="AP35" s="536">
        <v>0</v>
      </c>
      <c r="AQ35" s="537">
        <f t="shared" si="0"/>
        <v>1175</v>
      </c>
      <c r="AR35" s="134">
        <f t="shared" si="5"/>
        <v>8035.4</v>
      </c>
      <c r="AS35" s="135" t="s">
        <v>746</v>
      </c>
      <c r="AT35" s="569" t="s">
        <v>584</v>
      </c>
      <c r="AU35" s="573">
        <v>11107141688</v>
      </c>
    </row>
    <row r="36" spans="1:284" ht="30" customHeight="1">
      <c r="A36" s="136">
        <v>22</v>
      </c>
      <c r="B36" s="575" t="s">
        <v>708</v>
      </c>
      <c r="C36" s="138">
        <v>25</v>
      </c>
      <c r="D36" s="491" t="s">
        <v>377</v>
      </c>
      <c r="E36" s="576" t="s">
        <v>379</v>
      </c>
      <c r="F36" s="491" t="s">
        <v>370</v>
      </c>
      <c r="G36" s="491" t="s">
        <v>435</v>
      </c>
      <c r="H36" s="136"/>
      <c r="I36" s="136" t="s">
        <v>413</v>
      </c>
      <c r="J36" s="490" t="s">
        <v>411</v>
      </c>
      <c r="K36" s="504" t="s">
        <v>497</v>
      </c>
      <c r="L36" s="492" t="s">
        <v>498</v>
      </c>
      <c r="M36" s="302" t="s">
        <v>458</v>
      </c>
      <c r="O36" s="137" t="s">
        <v>526</v>
      </c>
      <c r="P36" s="137" t="s">
        <v>527</v>
      </c>
      <c r="Q36" s="137" t="s">
        <v>528</v>
      </c>
      <c r="R36" s="136"/>
      <c r="S36" s="494">
        <v>43850</v>
      </c>
      <c r="T36" s="136"/>
      <c r="U36" s="136"/>
      <c r="V36" s="136"/>
      <c r="W36" s="136"/>
      <c r="X36" s="517" t="s">
        <v>549</v>
      </c>
      <c r="Y36" s="136">
        <v>5216279786</v>
      </c>
      <c r="Z36" s="133" t="str">
        <f t="shared" si="2"/>
        <v>SINGARAM BHAGYAMMA</v>
      </c>
      <c r="AA36" s="518">
        <v>26</v>
      </c>
      <c r="AB36" s="470">
        <v>0</v>
      </c>
      <c r="AC36" s="520">
        <v>10627</v>
      </c>
      <c r="AD36" s="526">
        <v>3207</v>
      </c>
      <c r="AE36" s="530">
        <v>4931.333333333333</v>
      </c>
      <c r="AF36" s="523">
        <v>0</v>
      </c>
      <c r="AG36" s="134">
        <v>0</v>
      </c>
      <c r="AH36" s="648">
        <v>677.73333333333335</v>
      </c>
      <c r="AI36" s="648">
        <v>394.33333333333331</v>
      </c>
      <c r="AJ36" s="536">
        <v>0</v>
      </c>
      <c r="AK36" s="532">
        <f t="shared" si="3"/>
        <v>9210.4</v>
      </c>
      <c r="AL36" s="529">
        <v>70</v>
      </c>
      <c r="AM36" s="649">
        <v>1105</v>
      </c>
      <c r="AN36" s="536">
        <v>0</v>
      </c>
      <c r="AO36" s="536">
        <v>0</v>
      </c>
      <c r="AP36" s="536">
        <v>0</v>
      </c>
      <c r="AQ36" s="537">
        <f t="shared" si="0"/>
        <v>1175</v>
      </c>
      <c r="AR36" s="134">
        <f t="shared" si="5"/>
        <v>8035.4</v>
      </c>
      <c r="AS36" s="135" t="s">
        <v>746</v>
      </c>
      <c r="AT36" s="569" t="s">
        <v>578</v>
      </c>
      <c r="AU36" s="573">
        <v>36363257786</v>
      </c>
    </row>
    <row r="37" spans="1:284" ht="30" customHeight="1">
      <c r="A37" s="136">
        <v>23</v>
      </c>
      <c r="B37" s="575" t="s">
        <v>709</v>
      </c>
      <c r="C37" s="138">
        <v>27</v>
      </c>
      <c r="D37" s="491" t="s">
        <v>378</v>
      </c>
      <c r="E37" s="576">
        <v>32418</v>
      </c>
      <c r="F37" s="491" t="s">
        <v>370</v>
      </c>
      <c r="G37" s="491" t="s">
        <v>436</v>
      </c>
      <c r="H37" s="136"/>
      <c r="I37" s="136" t="s">
        <v>413</v>
      </c>
      <c r="J37" s="490" t="s">
        <v>411</v>
      </c>
      <c r="K37" s="504" t="s">
        <v>499</v>
      </c>
      <c r="L37" s="492" t="s">
        <v>500</v>
      </c>
      <c r="M37" s="302" t="s">
        <v>501</v>
      </c>
      <c r="O37" s="137" t="s">
        <v>526</v>
      </c>
      <c r="P37" s="137" t="s">
        <v>527</v>
      </c>
      <c r="Q37" s="137" t="s">
        <v>528</v>
      </c>
      <c r="R37" s="136"/>
      <c r="S37" s="494">
        <v>43850</v>
      </c>
      <c r="T37" s="136"/>
      <c r="U37" s="136"/>
      <c r="V37" s="136"/>
      <c r="W37" s="136"/>
      <c r="X37" s="517" t="s">
        <v>550</v>
      </c>
      <c r="Y37" s="136">
        <v>5209811859</v>
      </c>
      <c r="Z37" s="549" t="str">
        <f t="shared" si="2"/>
        <v>KODICHERLA INDIRAMMA</v>
      </c>
      <c r="AA37" s="518">
        <v>26</v>
      </c>
      <c r="AB37" s="470">
        <v>0</v>
      </c>
      <c r="AC37" s="520">
        <v>10627</v>
      </c>
      <c r="AD37" s="526">
        <v>3207</v>
      </c>
      <c r="AE37" s="530">
        <v>4931.333333333333</v>
      </c>
      <c r="AF37" s="523">
        <v>0</v>
      </c>
      <c r="AG37" s="134">
        <v>0</v>
      </c>
      <c r="AH37" s="648">
        <v>677.73333333333335</v>
      </c>
      <c r="AI37" s="648">
        <v>394.33333333333331</v>
      </c>
      <c r="AJ37" s="536">
        <v>0</v>
      </c>
      <c r="AK37" s="532">
        <f t="shared" si="3"/>
        <v>9210.4</v>
      </c>
      <c r="AL37" s="529">
        <v>70</v>
      </c>
      <c r="AM37" s="649">
        <v>1105</v>
      </c>
      <c r="AN37" s="536">
        <v>0</v>
      </c>
      <c r="AO37" s="536">
        <v>0</v>
      </c>
      <c r="AP37" s="536">
        <v>0</v>
      </c>
      <c r="AQ37" s="537">
        <f t="shared" si="0"/>
        <v>1175</v>
      </c>
      <c r="AR37" s="134">
        <f t="shared" si="5"/>
        <v>8035.4</v>
      </c>
      <c r="AS37" s="135" t="s">
        <v>746</v>
      </c>
      <c r="AT37" s="569" t="s">
        <v>583</v>
      </c>
      <c r="AU37" s="573">
        <v>30181587428</v>
      </c>
    </row>
    <row r="38" spans="1:284" ht="30" customHeight="1">
      <c r="A38" s="136">
        <v>24</v>
      </c>
      <c r="B38" s="575" t="s">
        <v>710</v>
      </c>
      <c r="C38" s="138">
        <v>28</v>
      </c>
      <c r="D38" s="491" t="s">
        <v>380</v>
      </c>
      <c r="E38" s="576">
        <v>26299</v>
      </c>
      <c r="F38" s="491" t="s">
        <v>370</v>
      </c>
      <c r="G38" s="491" t="s">
        <v>356</v>
      </c>
      <c r="H38" s="136"/>
      <c r="I38" s="136" t="s">
        <v>413</v>
      </c>
      <c r="J38" s="490" t="s">
        <v>411</v>
      </c>
      <c r="K38" s="504" t="s">
        <v>502</v>
      </c>
      <c r="L38" s="492" t="s">
        <v>503</v>
      </c>
      <c r="M38" s="302" t="s">
        <v>458</v>
      </c>
      <c r="O38" s="137" t="s">
        <v>526</v>
      </c>
      <c r="P38" s="137" t="s">
        <v>527</v>
      </c>
      <c r="Q38" s="137" t="s">
        <v>528</v>
      </c>
      <c r="R38" s="136"/>
      <c r="S38" s="494">
        <v>43850</v>
      </c>
      <c r="T38" s="136"/>
      <c r="U38" s="136"/>
      <c r="V38" s="136"/>
      <c r="W38" s="136"/>
      <c r="X38" s="517" t="s">
        <v>551</v>
      </c>
      <c r="Y38" s="136">
        <v>5212759301</v>
      </c>
      <c r="Z38" s="549" t="str">
        <f t="shared" si="2"/>
        <v>SANGOLLA LAVANYA</v>
      </c>
      <c r="AA38" s="518">
        <v>26</v>
      </c>
      <c r="AB38" s="470">
        <v>0</v>
      </c>
      <c r="AC38" s="520">
        <v>10627</v>
      </c>
      <c r="AD38" s="526">
        <v>3207</v>
      </c>
      <c r="AE38" s="530">
        <v>4931.333333333333</v>
      </c>
      <c r="AF38" s="523">
        <v>0</v>
      </c>
      <c r="AG38" s="134">
        <v>0</v>
      </c>
      <c r="AH38" s="648">
        <v>677.73333333333335</v>
      </c>
      <c r="AI38" s="648">
        <v>394.33333333333331</v>
      </c>
      <c r="AJ38" s="536">
        <v>0</v>
      </c>
      <c r="AK38" s="532">
        <f t="shared" si="3"/>
        <v>9210.4</v>
      </c>
      <c r="AL38" s="529">
        <v>70</v>
      </c>
      <c r="AM38" s="649">
        <v>1105</v>
      </c>
      <c r="AN38" s="536">
        <v>0</v>
      </c>
      <c r="AO38" s="536">
        <v>0</v>
      </c>
      <c r="AP38" s="536">
        <v>0</v>
      </c>
      <c r="AQ38" s="537">
        <f t="shared" si="0"/>
        <v>1175</v>
      </c>
      <c r="AR38" s="134">
        <f t="shared" si="5"/>
        <v>8035.4</v>
      </c>
      <c r="AS38" s="135" t="s">
        <v>746</v>
      </c>
      <c r="AT38" s="569" t="s">
        <v>578</v>
      </c>
      <c r="AU38" s="573">
        <v>36071152580</v>
      </c>
    </row>
    <row r="39" spans="1:284" ht="30" customHeight="1">
      <c r="A39" s="136">
        <v>25</v>
      </c>
      <c r="B39" s="575" t="s">
        <v>711</v>
      </c>
      <c r="C39" s="138">
        <v>29</v>
      </c>
      <c r="D39" s="491" t="s">
        <v>381</v>
      </c>
      <c r="E39" s="576" t="s">
        <v>384</v>
      </c>
      <c r="F39" s="491" t="s">
        <v>370</v>
      </c>
      <c r="G39" s="491" t="s">
        <v>437</v>
      </c>
      <c r="H39" s="136"/>
      <c r="I39" s="136" t="s">
        <v>413</v>
      </c>
      <c r="J39" s="490" t="s">
        <v>411</v>
      </c>
      <c r="K39" s="504" t="s">
        <v>504</v>
      </c>
      <c r="L39" s="492" t="s">
        <v>505</v>
      </c>
      <c r="M39" s="302" t="s">
        <v>458</v>
      </c>
      <c r="O39" s="137" t="s">
        <v>526</v>
      </c>
      <c r="P39" s="137" t="s">
        <v>527</v>
      </c>
      <c r="Q39" s="137" t="s">
        <v>528</v>
      </c>
      <c r="R39" s="136"/>
      <c r="S39" s="494">
        <v>43850</v>
      </c>
      <c r="T39" s="136"/>
      <c r="U39" s="136"/>
      <c r="V39" s="136"/>
      <c r="W39" s="136"/>
      <c r="X39" s="515" t="s">
        <v>552</v>
      </c>
      <c r="Y39" s="136">
        <v>5214535728</v>
      </c>
      <c r="Z39" s="549" t="str">
        <f t="shared" si="2"/>
        <v>MANGALI LAVANYA</v>
      </c>
      <c r="AA39" s="518">
        <v>26</v>
      </c>
      <c r="AB39" s="470">
        <v>0</v>
      </c>
      <c r="AC39" s="520">
        <v>10627</v>
      </c>
      <c r="AD39" s="526">
        <v>3207</v>
      </c>
      <c r="AE39" s="530">
        <v>4931.333333333333</v>
      </c>
      <c r="AF39" s="523">
        <v>0</v>
      </c>
      <c r="AG39" s="134">
        <v>0</v>
      </c>
      <c r="AH39" s="648">
        <v>677.73333333333335</v>
      </c>
      <c r="AI39" s="648">
        <v>394.33333333333331</v>
      </c>
      <c r="AJ39" s="536">
        <v>0</v>
      </c>
      <c r="AK39" s="532">
        <f t="shared" si="3"/>
        <v>9210.4</v>
      </c>
      <c r="AL39" s="529">
        <v>70</v>
      </c>
      <c r="AM39" s="649">
        <v>1105</v>
      </c>
      <c r="AN39" s="536">
        <v>0</v>
      </c>
      <c r="AO39" s="536">
        <v>0</v>
      </c>
      <c r="AP39" s="536">
        <v>0</v>
      </c>
      <c r="AQ39" s="537">
        <f t="shared" si="0"/>
        <v>1175</v>
      </c>
      <c r="AR39" s="134">
        <f t="shared" si="5"/>
        <v>8035.4</v>
      </c>
      <c r="AS39" s="135" t="s">
        <v>746</v>
      </c>
      <c r="AT39" s="569" t="s">
        <v>578</v>
      </c>
      <c r="AU39" s="573">
        <v>36071152502</v>
      </c>
    </row>
    <row r="40" spans="1:284" ht="30" customHeight="1">
      <c r="A40" s="136">
        <v>26</v>
      </c>
      <c r="B40" s="575" t="s">
        <v>712</v>
      </c>
      <c r="C40" s="138">
        <v>30</v>
      </c>
      <c r="D40" s="491" t="s">
        <v>382</v>
      </c>
      <c r="E40" s="576" t="s">
        <v>387</v>
      </c>
      <c r="F40" s="491" t="s">
        <v>370</v>
      </c>
      <c r="G40" s="491" t="s">
        <v>438</v>
      </c>
      <c r="H40" s="136"/>
      <c r="I40" s="136" t="s">
        <v>413</v>
      </c>
      <c r="J40" s="490" t="s">
        <v>411</v>
      </c>
      <c r="K40" s="504" t="s">
        <v>506</v>
      </c>
      <c r="L40" s="492" t="s">
        <v>507</v>
      </c>
      <c r="M40" s="302" t="s">
        <v>508</v>
      </c>
      <c r="O40" s="137" t="s">
        <v>526</v>
      </c>
      <c r="P40" s="137" t="s">
        <v>527</v>
      </c>
      <c r="Q40" s="137" t="s">
        <v>528</v>
      </c>
      <c r="R40" s="136"/>
      <c r="S40" s="494">
        <v>43850</v>
      </c>
      <c r="T40" s="136"/>
      <c r="U40" s="136"/>
      <c r="V40" s="136"/>
      <c r="W40" s="136"/>
      <c r="X40" s="517" t="s">
        <v>553</v>
      </c>
      <c r="Y40" s="136">
        <v>5216340615</v>
      </c>
      <c r="Z40" s="133" t="str">
        <f t="shared" si="2"/>
        <v>MANGLI CHANDRAMMA</v>
      </c>
      <c r="AA40" s="518">
        <v>26</v>
      </c>
      <c r="AB40" s="470">
        <v>0</v>
      </c>
      <c r="AC40" s="520">
        <v>10627</v>
      </c>
      <c r="AD40" s="526">
        <v>3207</v>
      </c>
      <c r="AE40" s="530">
        <v>4931.333333333333</v>
      </c>
      <c r="AF40" s="523">
        <v>0</v>
      </c>
      <c r="AG40" s="134">
        <v>0</v>
      </c>
      <c r="AH40" s="648">
        <v>677.73333333333335</v>
      </c>
      <c r="AI40" s="648">
        <v>394.33333333333331</v>
      </c>
      <c r="AJ40" s="536">
        <v>0</v>
      </c>
      <c r="AK40" s="532">
        <f t="shared" si="3"/>
        <v>9210.4</v>
      </c>
      <c r="AL40" s="529">
        <v>70</v>
      </c>
      <c r="AM40" s="649">
        <v>1105</v>
      </c>
      <c r="AN40" s="536">
        <v>0</v>
      </c>
      <c r="AO40" s="536">
        <v>0</v>
      </c>
      <c r="AP40" s="536">
        <v>0</v>
      </c>
      <c r="AQ40" s="537">
        <f t="shared" si="0"/>
        <v>1175</v>
      </c>
      <c r="AR40" s="134">
        <f t="shared" si="5"/>
        <v>8035.4</v>
      </c>
      <c r="AS40" s="135" t="s">
        <v>746</v>
      </c>
      <c r="AT40" s="569" t="s">
        <v>586</v>
      </c>
      <c r="AU40" s="573">
        <v>73100389136</v>
      </c>
    </row>
    <row r="41" spans="1:284" ht="30" customHeight="1">
      <c r="A41" s="136">
        <v>27</v>
      </c>
      <c r="B41" s="575" t="s">
        <v>713</v>
      </c>
      <c r="C41" s="138">
        <v>31</v>
      </c>
      <c r="D41" s="491" t="s">
        <v>383</v>
      </c>
      <c r="E41" s="576">
        <v>32509</v>
      </c>
      <c r="F41" s="491" t="s">
        <v>370</v>
      </c>
      <c r="G41" s="491" t="s">
        <v>439</v>
      </c>
      <c r="H41" s="136"/>
      <c r="I41" s="136" t="s">
        <v>413</v>
      </c>
      <c r="J41" s="490" t="s">
        <v>411</v>
      </c>
      <c r="K41" s="504" t="s">
        <v>509</v>
      </c>
      <c r="L41" s="492" t="s">
        <v>510</v>
      </c>
      <c r="M41" s="302" t="s">
        <v>461</v>
      </c>
      <c r="O41" s="137" t="s">
        <v>526</v>
      </c>
      <c r="P41" s="137" t="s">
        <v>527</v>
      </c>
      <c r="Q41" s="137" t="s">
        <v>528</v>
      </c>
      <c r="R41" s="136"/>
      <c r="S41" s="494">
        <v>43850</v>
      </c>
      <c r="T41" s="136"/>
      <c r="U41" s="136"/>
      <c r="V41" s="136"/>
      <c r="W41" s="136"/>
      <c r="X41" s="517" t="s">
        <v>554</v>
      </c>
      <c r="Y41" s="136">
        <v>5216116294</v>
      </c>
      <c r="Z41" s="549" t="str">
        <f t="shared" si="2"/>
        <v>DASARI SUVARNA</v>
      </c>
      <c r="AA41" s="518">
        <v>0</v>
      </c>
      <c r="AB41" s="470">
        <v>0</v>
      </c>
      <c r="AC41" s="520">
        <v>10627</v>
      </c>
      <c r="AD41" s="526">
        <v>0</v>
      </c>
      <c r="AE41" s="530">
        <v>0</v>
      </c>
      <c r="AF41" s="523">
        <v>0</v>
      </c>
      <c r="AG41" s="134">
        <v>0</v>
      </c>
      <c r="AH41" s="648">
        <v>0</v>
      </c>
      <c r="AI41" s="648">
        <v>0</v>
      </c>
      <c r="AJ41" s="536">
        <v>0</v>
      </c>
      <c r="AK41" s="532">
        <f t="shared" si="3"/>
        <v>0</v>
      </c>
      <c r="AL41" s="529">
        <v>0</v>
      </c>
      <c r="AM41" s="649">
        <v>0</v>
      </c>
      <c r="AN41" s="536">
        <v>0</v>
      </c>
      <c r="AO41" s="536">
        <v>0</v>
      </c>
      <c r="AP41" s="536">
        <v>0</v>
      </c>
      <c r="AQ41" s="537">
        <f t="shared" si="0"/>
        <v>0</v>
      </c>
      <c r="AR41" s="134">
        <f t="shared" si="5"/>
        <v>0</v>
      </c>
      <c r="AS41" s="135" t="s">
        <v>746</v>
      </c>
      <c r="AT41" s="569" t="s">
        <v>576</v>
      </c>
      <c r="AU41" s="573">
        <v>141410100016831</v>
      </c>
    </row>
    <row r="42" spans="1:284" ht="30" customHeight="1">
      <c r="A42" s="136">
        <v>28</v>
      </c>
      <c r="B42" s="575" t="s">
        <v>729</v>
      </c>
      <c r="C42" s="138">
        <v>32</v>
      </c>
      <c r="D42" s="491" t="s">
        <v>385</v>
      </c>
      <c r="E42" s="576">
        <v>31413</v>
      </c>
      <c r="F42" s="491" t="s">
        <v>370</v>
      </c>
      <c r="G42" s="491" t="s">
        <v>440</v>
      </c>
      <c r="H42" s="136"/>
      <c r="I42" s="136" t="s">
        <v>413</v>
      </c>
      <c r="J42" s="490" t="s">
        <v>411</v>
      </c>
      <c r="K42" s="504" t="s">
        <v>511</v>
      </c>
      <c r="L42" s="492" t="s">
        <v>512</v>
      </c>
      <c r="M42" s="302" t="s">
        <v>458</v>
      </c>
      <c r="O42" s="137" t="s">
        <v>526</v>
      </c>
      <c r="P42" s="137" t="s">
        <v>527</v>
      </c>
      <c r="Q42" s="137" t="s">
        <v>528</v>
      </c>
      <c r="R42" s="136"/>
      <c r="S42" s="494">
        <v>43850</v>
      </c>
      <c r="T42" s="136"/>
      <c r="U42" s="136"/>
      <c r="V42" s="136"/>
      <c r="W42" s="136"/>
      <c r="X42" s="515" t="s">
        <v>555</v>
      </c>
      <c r="Y42" s="136">
        <v>5210266822</v>
      </c>
      <c r="Z42" s="133" t="str">
        <f t="shared" si="2"/>
        <v>MARATHI CHANDRAKALA</v>
      </c>
      <c r="AA42" s="518">
        <v>26</v>
      </c>
      <c r="AB42" s="470">
        <v>0</v>
      </c>
      <c r="AC42" s="520">
        <v>10627</v>
      </c>
      <c r="AD42" s="526">
        <v>3207</v>
      </c>
      <c r="AE42" s="530">
        <v>4931.333333333333</v>
      </c>
      <c r="AF42" s="523">
        <v>0</v>
      </c>
      <c r="AG42" s="134">
        <v>0</v>
      </c>
      <c r="AH42" s="648">
        <v>677.73333333333335</v>
      </c>
      <c r="AI42" s="648">
        <v>394.33333333333331</v>
      </c>
      <c r="AJ42" s="536">
        <v>0</v>
      </c>
      <c r="AK42" s="532">
        <f t="shared" si="3"/>
        <v>9210.4</v>
      </c>
      <c r="AL42" s="529">
        <v>70</v>
      </c>
      <c r="AM42" s="649">
        <v>1105</v>
      </c>
      <c r="AN42" s="536">
        <v>0</v>
      </c>
      <c r="AO42" s="536">
        <v>0</v>
      </c>
      <c r="AP42" s="536">
        <v>0</v>
      </c>
      <c r="AQ42" s="537">
        <f t="shared" si="0"/>
        <v>1175</v>
      </c>
      <c r="AR42" s="134">
        <f t="shared" si="5"/>
        <v>8035.4</v>
      </c>
      <c r="AS42" s="135" t="s">
        <v>746</v>
      </c>
      <c r="AT42" s="569" t="s">
        <v>578</v>
      </c>
      <c r="AU42" s="573">
        <v>36363257797</v>
      </c>
    </row>
    <row r="43" spans="1:284" ht="30" customHeight="1">
      <c r="A43" s="136">
        <v>29</v>
      </c>
      <c r="B43" s="575" t="s">
        <v>728</v>
      </c>
      <c r="C43" s="138">
        <v>33</v>
      </c>
      <c r="D43" s="491" t="s">
        <v>386</v>
      </c>
      <c r="E43" s="576">
        <v>32509</v>
      </c>
      <c r="F43" s="491" t="s">
        <v>370</v>
      </c>
      <c r="G43" s="491" t="s">
        <v>441</v>
      </c>
      <c r="H43" s="136"/>
      <c r="I43" s="136" t="s">
        <v>413</v>
      </c>
      <c r="J43" s="490" t="s">
        <v>411</v>
      </c>
      <c r="K43" s="510">
        <v>26330</v>
      </c>
      <c r="L43" s="492" t="s">
        <v>513</v>
      </c>
      <c r="M43" s="302" t="s">
        <v>458</v>
      </c>
      <c r="O43" s="137" t="s">
        <v>526</v>
      </c>
      <c r="P43" s="137" t="s">
        <v>527</v>
      </c>
      <c r="Q43" s="137" t="s">
        <v>528</v>
      </c>
      <c r="R43" s="136"/>
      <c r="S43" s="494">
        <v>43850</v>
      </c>
      <c r="T43" s="136"/>
      <c r="U43" s="136"/>
      <c r="V43" s="136"/>
      <c r="W43" s="136"/>
      <c r="X43" s="515" t="s">
        <v>556</v>
      </c>
      <c r="Y43" s="136">
        <v>5216340696</v>
      </c>
      <c r="Z43" s="549" t="str">
        <f t="shared" si="2"/>
        <v>ANKAGALLA YADAMMA</v>
      </c>
      <c r="AA43" s="518">
        <v>26</v>
      </c>
      <c r="AB43" s="470">
        <v>0</v>
      </c>
      <c r="AC43" s="520">
        <v>10627</v>
      </c>
      <c r="AD43" s="526">
        <v>3207</v>
      </c>
      <c r="AE43" s="530">
        <v>4931.333333333333</v>
      </c>
      <c r="AF43" s="523">
        <v>0</v>
      </c>
      <c r="AG43" s="134">
        <v>0</v>
      </c>
      <c r="AH43" s="648">
        <v>677.73333333333335</v>
      </c>
      <c r="AI43" s="648">
        <v>394.33333333333331</v>
      </c>
      <c r="AJ43" s="536">
        <v>0</v>
      </c>
      <c r="AK43" s="532">
        <f t="shared" si="3"/>
        <v>9210.4</v>
      </c>
      <c r="AL43" s="529">
        <v>70</v>
      </c>
      <c r="AM43" s="649">
        <v>1105</v>
      </c>
      <c r="AN43" s="536">
        <v>0</v>
      </c>
      <c r="AO43" s="536">
        <v>0</v>
      </c>
      <c r="AP43" s="536">
        <v>0</v>
      </c>
      <c r="AQ43" s="537">
        <f t="shared" si="0"/>
        <v>1175</v>
      </c>
      <c r="AR43" s="134">
        <f t="shared" si="5"/>
        <v>8035.4</v>
      </c>
      <c r="AS43" s="135" t="s">
        <v>746</v>
      </c>
      <c r="AT43" s="569" t="s">
        <v>578</v>
      </c>
      <c r="AU43" s="573">
        <v>20176302412</v>
      </c>
    </row>
    <row r="44" spans="1:284" ht="30" customHeight="1">
      <c r="A44" s="136">
        <v>30</v>
      </c>
      <c r="B44" s="575" t="s">
        <v>727</v>
      </c>
      <c r="C44" s="138">
        <v>34</v>
      </c>
      <c r="D44" s="491" t="s">
        <v>388</v>
      </c>
      <c r="E44" s="576">
        <v>27395</v>
      </c>
      <c r="F44" s="491" t="s">
        <v>370</v>
      </c>
      <c r="G44" s="491" t="s">
        <v>442</v>
      </c>
      <c r="H44" s="136"/>
      <c r="I44" s="136" t="s">
        <v>413</v>
      </c>
      <c r="J44" s="490" t="s">
        <v>411</v>
      </c>
      <c r="K44" s="504" t="s">
        <v>514</v>
      </c>
      <c r="L44" s="492" t="s">
        <v>515</v>
      </c>
      <c r="M44" s="302" t="s">
        <v>516</v>
      </c>
      <c r="O44" s="137" t="s">
        <v>526</v>
      </c>
      <c r="P44" s="137" t="s">
        <v>527</v>
      </c>
      <c r="Q44" s="137" t="s">
        <v>528</v>
      </c>
      <c r="R44" s="136"/>
      <c r="S44" s="494">
        <v>43850</v>
      </c>
      <c r="T44" s="136"/>
      <c r="U44" s="136"/>
      <c r="V44" s="136"/>
      <c r="W44" s="136"/>
      <c r="X44" s="517" t="s">
        <v>557</v>
      </c>
      <c r="Y44" s="136">
        <v>5215200706</v>
      </c>
      <c r="Z44" s="549" t="str">
        <f t="shared" si="2"/>
        <v xml:space="preserve">NINGAMMA </v>
      </c>
      <c r="AA44" s="518">
        <v>26</v>
      </c>
      <c r="AB44" s="470">
        <v>0</v>
      </c>
      <c r="AC44" s="520">
        <v>10627</v>
      </c>
      <c r="AD44" s="526">
        <v>3207</v>
      </c>
      <c r="AE44" s="530">
        <v>4931.333333333333</v>
      </c>
      <c r="AF44" s="523">
        <v>0</v>
      </c>
      <c r="AG44" s="134">
        <v>0</v>
      </c>
      <c r="AH44" s="648">
        <v>677.73333333333335</v>
      </c>
      <c r="AI44" s="648">
        <v>394.33333333333331</v>
      </c>
      <c r="AJ44" s="536">
        <v>0</v>
      </c>
      <c r="AK44" s="532">
        <f t="shared" si="3"/>
        <v>9210.4</v>
      </c>
      <c r="AL44" s="529">
        <v>70</v>
      </c>
      <c r="AM44" s="649">
        <v>1105</v>
      </c>
      <c r="AN44" s="536">
        <v>0</v>
      </c>
      <c r="AO44" s="536">
        <v>0</v>
      </c>
      <c r="AP44" s="536">
        <v>0</v>
      </c>
      <c r="AQ44" s="537">
        <f t="shared" si="0"/>
        <v>1175</v>
      </c>
      <c r="AR44" s="134">
        <f t="shared" si="5"/>
        <v>8035.4</v>
      </c>
      <c r="AS44" s="135" t="s">
        <v>746</v>
      </c>
      <c r="AT44" s="569" t="s">
        <v>587</v>
      </c>
      <c r="AU44" s="573">
        <v>16050100039723</v>
      </c>
    </row>
    <row r="45" spans="1:284" ht="30" customHeight="1">
      <c r="A45" s="136">
        <v>31</v>
      </c>
      <c r="B45" s="575" t="s">
        <v>726</v>
      </c>
      <c r="C45" s="138">
        <v>35</v>
      </c>
      <c r="D45" s="491" t="s">
        <v>389</v>
      </c>
      <c r="E45" s="576" t="s">
        <v>393</v>
      </c>
      <c r="F45" s="491" t="s">
        <v>370</v>
      </c>
      <c r="G45" s="491" t="s">
        <v>443</v>
      </c>
      <c r="H45" s="136"/>
      <c r="I45" s="136" t="s">
        <v>413</v>
      </c>
      <c r="J45" s="490" t="s">
        <v>411</v>
      </c>
      <c r="K45" s="504" t="s">
        <v>517</v>
      </c>
      <c r="L45" s="492" t="s">
        <v>518</v>
      </c>
      <c r="M45" s="302" t="s">
        <v>458</v>
      </c>
      <c r="O45" s="137" t="s">
        <v>526</v>
      </c>
      <c r="P45" s="137" t="s">
        <v>527</v>
      </c>
      <c r="Q45" s="137" t="s">
        <v>528</v>
      </c>
      <c r="R45" s="136"/>
      <c r="S45" s="494">
        <v>43850</v>
      </c>
      <c r="T45" s="136"/>
      <c r="U45" s="136"/>
      <c r="V45" s="136"/>
      <c r="W45" s="136"/>
      <c r="X45" s="517" t="s">
        <v>558</v>
      </c>
      <c r="Y45" s="136">
        <v>5216116335</v>
      </c>
      <c r="Z45" s="549" t="str">
        <f t="shared" si="2"/>
        <v>V AMBAMMA</v>
      </c>
      <c r="AA45" s="518">
        <v>26</v>
      </c>
      <c r="AB45" s="470">
        <v>0</v>
      </c>
      <c r="AC45" s="520">
        <v>10627</v>
      </c>
      <c r="AD45" s="526">
        <v>3207</v>
      </c>
      <c r="AE45" s="530">
        <v>4931.333333333333</v>
      </c>
      <c r="AF45" s="523">
        <v>0</v>
      </c>
      <c r="AG45" s="134">
        <v>0</v>
      </c>
      <c r="AH45" s="648">
        <v>677.73333333333335</v>
      </c>
      <c r="AI45" s="648">
        <v>394.33333333333331</v>
      </c>
      <c r="AJ45" s="536">
        <v>0</v>
      </c>
      <c r="AK45" s="532">
        <f t="shared" si="3"/>
        <v>9210.4</v>
      </c>
      <c r="AL45" s="529">
        <v>70</v>
      </c>
      <c r="AM45" s="649">
        <v>1105</v>
      </c>
      <c r="AN45" s="536">
        <v>0</v>
      </c>
      <c r="AO45" s="536">
        <v>0</v>
      </c>
      <c r="AP45" s="536">
        <v>0</v>
      </c>
      <c r="AQ45" s="537">
        <f t="shared" si="0"/>
        <v>1175</v>
      </c>
      <c r="AR45" s="134">
        <f t="shared" si="5"/>
        <v>8035.4</v>
      </c>
      <c r="AS45" s="135" t="s">
        <v>746</v>
      </c>
      <c r="AT45" s="569" t="s">
        <v>588</v>
      </c>
      <c r="AU45" s="573">
        <v>111101515392</v>
      </c>
    </row>
    <row r="46" spans="1:284" ht="30" customHeight="1">
      <c r="A46" s="136">
        <v>32</v>
      </c>
      <c r="B46" s="575" t="s">
        <v>725</v>
      </c>
      <c r="C46" s="138">
        <v>36</v>
      </c>
      <c r="D46" s="491" t="s">
        <v>390</v>
      </c>
      <c r="E46" s="576" t="s">
        <v>395</v>
      </c>
      <c r="F46" s="491" t="s">
        <v>370</v>
      </c>
      <c r="G46" s="491" t="s">
        <v>444</v>
      </c>
      <c r="H46" s="136"/>
      <c r="I46" s="136" t="s">
        <v>413</v>
      </c>
      <c r="J46" s="490" t="s">
        <v>411</v>
      </c>
      <c r="K46" s="510">
        <v>21245</v>
      </c>
      <c r="L46" s="492" t="s">
        <v>519</v>
      </c>
      <c r="M46" s="302" t="s">
        <v>520</v>
      </c>
      <c r="O46" s="137" t="s">
        <v>526</v>
      </c>
      <c r="P46" s="137" t="s">
        <v>527</v>
      </c>
      <c r="Q46" s="137" t="s">
        <v>528</v>
      </c>
      <c r="R46" s="136"/>
      <c r="S46" s="494">
        <v>43850</v>
      </c>
      <c r="T46" s="136"/>
      <c r="U46" s="136"/>
      <c r="V46" s="136"/>
      <c r="W46" s="136"/>
      <c r="X46" s="517" t="s">
        <v>559</v>
      </c>
      <c r="Y46" s="136">
        <v>5215200729</v>
      </c>
      <c r="Z46" s="549" t="str">
        <f t="shared" si="2"/>
        <v>PALLAPU LAXMI</v>
      </c>
      <c r="AA46" s="518">
        <v>26</v>
      </c>
      <c r="AB46" s="470">
        <v>0</v>
      </c>
      <c r="AC46" s="520">
        <v>10627</v>
      </c>
      <c r="AD46" s="526">
        <v>3207</v>
      </c>
      <c r="AE46" s="530">
        <v>4931.333333333333</v>
      </c>
      <c r="AF46" s="523">
        <v>0</v>
      </c>
      <c r="AG46" s="134">
        <v>0</v>
      </c>
      <c r="AH46" s="648">
        <v>677.73333333333335</v>
      </c>
      <c r="AI46" s="648">
        <v>394.33333333333331</v>
      </c>
      <c r="AJ46" s="536">
        <v>0</v>
      </c>
      <c r="AK46" s="532">
        <f t="shared" si="3"/>
        <v>9210.4</v>
      </c>
      <c r="AL46" s="529">
        <v>70</v>
      </c>
      <c r="AM46" s="649">
        <v>1105</v>
      </c>
      <c r="AN46" s="536">
        <v>0</v>
      </c>
      <c r="AO46" s="536">
        <v>0</v>
      </c>
      <c r="AP46" s="536">
        <v>0</v>
      </c>
      <c r="AQ46" s="537">
        <f t="shared" si="0"/>
        <v>1175</v>
      </c>
      <c r="AR46" s="134">
        <f t="shared" si="5"/>
        <v>8035.4</v>
      </c>
      <c r="AS46" s="135" t="s">
        <v>746</v>
      </c>
      <c r="AT46" s="569" t="s">
        <v>589</v>
      </c>
      <c r="AU46" s="573" t="s">
        <v>597</v>
      </c>
    </row>
    <row r="47" spans="1:284" ht="30" customHeight="1">
      <c r="A47" s="136">
        <v>33</v>
      </c>
      <c r="B47" s="575" t="s">
        <v>724</v>
      </c>
      <c r="C47" s="138">
        <v>37</v>
      </c>
      <c r="D47" s="491" t="s">
        <v>391</v>
      </c>
      <c r="E47" s="576">
        <v>27395</v>
      </c>
      <c r="F47" s="491" t="s">
        <v>370</v>
      </c>
      <c r="G47" s="491" t="s">
        <v>362</v>
      </c>
      <c r="H47" s="136"/>
      <c r="I47" s="136" t="s">
        <v>413</v>
      </c>
      <c r="J47" s="490" t="s">
        <v>411</v>
      </c>
      <c r="K47" s="504" t="s">
        <v>521</v>
      </c>
      <c r="L47" s="492" t="s">
        <v>507</v>
      </c>
      <c r="M47" s="302" t="s">
        <v>458</v>
      </c>
      <c r="O47" s="137" t="s">
        <v>526</v>
      </c>
      <c r="P47" s="137" t="s">
        <v>527</v>
      </c>
      <c r="Q47" s="137" t="s">
        <v>528</v>
      </c>
      <c r="R47" s="136"/>
      <c r="S47" s="494">
        <v>43850</v>
      </c>
      <c r="T47" s="136"/>
      <c r="U47" s="136"/>
      <c r="V47" s="136"/>
      <c r="W47" s="136"/>
      <c r="X47" s="517" t="s">
        <v>560</v>
      </c>
      <c r="Y47" s="136">
        <v>5213565032</v>
      </c>
      <c r="Z47" s="549" t="str">
        <f t="shared" si="2"/>
        <v>Nagani laxmi</v>
      </c>
      <c r="AA47" s="518">
        <v>26</v>
      </c>
      <c r="AB47" s="470">
        <v>0</v>
      </c>
      <c r="AC47" s="520">
        <v>10627</v>
      </c>
      <c r="AD47" s="526">
        <v>3207</v>
      </c>
      <c r="AE47" s="530">
        <v>4931.333333333333</v>
      </c>
      <c r="AF47" s="523">
        <v>0</v>
      </c>
      <c r="AG47" s="134">
        <v>0</v>
      </c>
      <c r="AH47" s="648">
        <v>677.73333333333335</v>
      </c>
      <c r="AI47" s="648">
        <v>394.33333333333331</v>
      </c>
      <c r="AJ47" s="536">
        <v>0</v>
      </c>
      <c r="AK47" s="532">
        <f t="shared" si="3"/>
        <v>9210.4</v>
      </c>
      <c r="AL47" s="529">
        <v>70</v>
      </c>
      <c r="AM47" s="649">
        <v>1105</v>
      </c>
      <c r="AN47" s="536">
        <v>0</v>
      </c>
      <c r="AO47" s="536">
        <v>0</v>
      </c>
      <c r="AP47" s="536">
        <v>0</v>
      </c>
      <c r="AQ47" s="537">
        <f t="shared" si="0"/>
        <v>1175</v>
      </c>
      <c r="AR47" s="134">
        <f t="shared" si="5"/>
        <v>8035.4</v>
      </c>
      <c r="AS47" s="135" t="s">
        <v>746</v>
      </c>
      <c r="AT47" s="569" t="s">
        <v>578</v>
      </c>
      <c r="AU47" s="573">
        <v>38228068404</v>
      </c>
    </row>
    <row r="48" spans="1:284" ht="30" customHeight="1">
      <c r="A48" s="136">
        <v>34</v>
      </c>
      <c r="B48" s="575" t="s">
        <v>723</v>
      </c>
      <c r="C48" s="138">
        <v>38</v>
      </c>
      <c r="D48" s="491" t="s">
        <v>392</v>
      </c>
      <c r="E48" s="576">
        <v>29545</v>
      </c>
      <c r="F48" s="491" t="s">
        <v>370</v>
      </c>
      <c r="G48" s="491" t="s">
        <v>445</v>
      </c>
      <c r="H48" s="136"/>
      <c r="I48" s="136" t="s">
        <v>413</v>
      </c>
      <c r="J48" s="490" t="s">
        <v>411</v>
      </c>
      <c r="K48" s="504" t="s">
        <v>522</v>
      </c>
      <c r="L48" s="492" t="s">
        <v>523</v>
      </c>
      <c r="M48" s="302" t="s">
        <v>458</v>
      </c>
      <c r="O48" s="137" t="s">
        <v>526</v>
      </c>
      <c r="P48" s="137" t="s">
        <v>527</v>
      </c>
      <c r="Q48" s="137" t="s">
        <v>528</v>
      </c>
      <c r="R48" s="136"/>
      <c r="S48" s="494">
        <v>43850</v>
      </c>
      <c r="T48" s="136"/>
      <c r="U48" s="136"/>
      <c r="V48" s="136"/>
      <c r="W48" s="136"/>
      <c r="X48" s="517" t="s">
        <v>561</v>
      </c>
      <c r="Y48" s="136">
        <v>5210209440</v>
      </c>
      <c r="Z48" s="549" t="str">
        <f t="shared" si="2"/>
        <v>Lingola amrutha</v>
      </c>
      <c r="AA48" s="518">
        <v>26</v>
      </c>
      <c r="AB48" s="470">
        <v>0</v>
      </c>
      <c r="AC48" s="520">
        <v>10627</v>
      </c>
      <c r="AD48" s="526">
        <v>3207</v>
      </c>
      <c r="AE48" s="530">
        <v>4931.333333333333</v>
      </c>
      <c r="AF48" s="523">
        <v>0</v>
      </c>
      <c r="AG48" s="134">
        <v>0</v>
      </c>
      <c r="AH48" s="648">
        <v>677.73333333333335</v>
      </c>
      <c r="AI48" s="648">
        <v>394.33333333333331</v>
      </c>
      <c r="AJ48" s="536">
        <v>0</v>
      </c>
      <c r="AK48" s="532">
        <f t="shared" si="3"/>
        <v>9210.4</v>
      </c>
      <c r="AL48" s="529">
        <v>70</v>
      </c>
      <c r="AM48" s="649">
        <v>1105</v>
      </c>
      <c r="AN48" s="536">
        <v>0</v>
      </c>
      <c r="AO48" s="536">
        <v>0</v>
      </c>
      <c r="AP48" s="536">
        <v>0</v>
      </c>
      <c r="AQ48" s="537">
        <f t="shared" si="0"/>
        <v>1175</v>
      </c>
      <c r="AR48" s="134">
        <f t="shared" si="5"/>
        <v>8035.4</v>
      </c>
      <c r="AS48" s="135" t="s">
        <v>746</v>
      </c>
      <c r="AT48" s="569" t="s">
        <v>578</v>
      </c>
      <c r="AU48" s="573">
        <v>31891992373</v>
      </c>
    </row>
    <row r="49" spans="1:47" ht="30" customHeight="1">
      <c r="A49" s="136">
        <v>35</v>
      </c>
      <c r="B49" s="575" t="s">
        <v>722</v>
      </c>
      <c r="C49" s="138">
        <v>39</v>
      </c>
      <c r="D49" s="489" t="s">
        <v>394</v>
      </c>
      <c r="E49" s="576">
        <v>24187</v>
      </c>
      <c r="F49" s="491" t="s">
        <v>370</v>
      </c>
      <c r="G49" s="489" t="s">
        <v>446</v>
      </c>
      <c r="H49" s="136"/>
      <c r="I49" s="136" t="s">
        <v>413</v>
      </c>
      <c r="J49" s="490" t="s">
        <v>411</v>
      </c>
      <c r="K49" s="504" t="s">
        <v>524</v>
      </c>
      <c r="L49" s="492" t="s">
        <v>525</v>
      </c>
      <c r="M49" s="302" t="s">
        <v>458</v>
      </c>
      <c r="O49" s="137" t="s">
        <v>526</v>
      </c>
      <c r="P49" s="137" t="s">
        <v>527</v>
      </c>
      <c r="Q49" s="137" t="s">
        <v>528</v>
      </c>
      <c r="R49" s="136"/>
      <c r="S49" s="494">
        <v>43850</v>
      </c>
      <c r="T49" s="136"/>
      <c r="U49" s="136"/>
      <c r="V49" s="136"/>
      <c r="W49" s="136"/>
      <c r="X49" s="517" t="s">
        <v>562</v>
      </c>
      <c r="Y49" s="136">
        <v>5216116222</v>
      </c>
      <c r="Z49" s="549" t="str">
        <f t="shared" si="2"/>
        <v>Kuduru satyamma</v>
      </c>
      <c r="AA49" s="518">
        <v>26</v>
      </c>
      <c r="AB49" s="470">
        <v>0</v>
      </c>
      <c r="AC49" s="520">
        <v>10627</v>
      </c>
      <c r="AD49" s="526">
        <v>3207</v>
      </c>
      <c r="AE49" s="530">
        <v>4931.333333333333</v>
      </c>
      <c r="AF49" s="523">
        <v>0</v>
      </c>
      <c r="AG49" s="134">
        <v>0</v>
      </c>
      <c r="AH49" s="648">
        <v>677.73333333333335</v>
      </c>
      <c r="AI49" s="648">
        <v>394.33333333333331</v>
      </c>
      <c r="AJ49" s="536">
        <v>0</v>
      </c>
      <c r="AK49" s="532">
        <f t="shared" si="3"/>
        <v>9210.4</v>
      </c>
      <c r="AL49" s="529">
        <v>70</v>
      </c>
      <c r="AM49" s="649">
        <v>1105</v>
      </c>
      <c r="AN49" s="536">
        <v>0</v>
      </c>
      <c r="AO49" s="536">
        <v>0</v>
      </c>
      <c r="AP49" s="536">
        <v>0</v>
      </c>
      <c r="AQ49" s="537">
        <f t="shared" si="0"/>
        <v>1175</v>
      </c>
      <c r="AR49" s="134">
        <f t="shared" si="5"/>
        <v>8035.4</v>
      </c>
      <c r="AS49" s="135" t="s">
        <v>746</v>
      </c>
      <c r="AT49" s="571" t="s">
        <v>590</v>
      </c>
      <c r="AU49" s="573">
        <v>62409123202</v>
      </c>
    </row>
    <row r="50" spans="1:47" ht="30" customHeight="1">
      <c r="A50" s="136">
        <v>36</v>
      </c>
      <c r="B50" s="575" t="s">
        <v>721</v>
      </c>
      <c r="C50" s="138">
        <v>40</v>
      </c>
      <c r="D50" s="492" t="s">
        <v>396</v>
      </c>
      <c r="E50" s="576">
        <v>28491</v>
      </c>
      <c r="F50" s="136" t="s">
        <v>370</v>
      </c>
      <c r="G50" s="179" t="s">
        <v>624</v>
      </c>
      <c r="H50" s="136"/>
      <c r="I50" s="136" t="s">
        <v>413</v>
      </c>
      <c r="J50" s="492" t="s">
        <v>411</v>
      </c>
      <c r="K50" s="179" t="s">
        <v>650</v>
      </c>
      <c r="L50" s="492" t="s">
        <v>672</v>
      </c>
      <c r="M50" s="492" t="s">
        <v>458</v>
      </c>
      <c r="O50" s="179" t="s">
        <v>526</v>
      </c>
      <c r="P50" s="492" t="s">
        <v>527</v>
      </c>
      <c r="Q50" s="137" t="s">
        <v>528</v>
      </c>
      <c r="R50" s="136"/>
      <c r="S50" s="494">
        <v>43862</v>
      </c>
      <c r="T50" s="136"/>
      <c r="U50" s="136"/>
      <c r="V50" s="136"/>
      <c r="W50" s="136"/>
      <c r="X50" s="517" t="s">
        <v>563</v>
      </c>
      <c r="Y50" s="181">
        <v>5216385030</v>
      </c>
      <c r="Z50" s="549" t="str">
        <f t="shared" si="2"/>
        <v>Mangali Lakshmi</v>
      </c>
      <c r="AA50" s="518">
        <v>26</v>
      </c>
      <c r="AB50" s="470">
        <v>0</v>
      </c>
      <c r="AC50" s="520">
        <v>10627</v>
      </c>
      <c r="AD50" s="526">
        <v>3207</v>
      </c>
      <c r="AE50" s="530">
        <v>4931.333333333333</v>
      </c>
      <c r="AF50" s="523">
        <v>0</v>
      </c>
      <c r="AG50" s="134">
        <v>0</v>
      </c>
      <c r="AH50" s="648">
        <v>677.73333333333335</v>
      </c>
      <c r="AI50" s="648">
        <v>394.33333333333331</v>
      </c>
      <c r="AJ50" s="536">
        <v>0</v>
      </c>
      <c r="AK50" s="532">
        <f t="shared" si="3"/>
        <v>9210.4</v>
      </c>
      <c r="AL50" s="529">
        <v>70</v>
      </c>
      <c r="AM50" s="649">
        <v>1105</v>
      </c>
      <c r="AN50" s="536">
        <v>0</v>
      </c>
      <c r="AO50" s="536">
        <v>0</v>
      </c>
      <c r="AP50" s="536">
        <v>0</v>
      </c>
      <c r="AQ50" s="537">
        <f t="shared" si="0"/>
        <v>1175</v>
      </c>
      <c r="AR50" s="134">
        <f t="shared" si="5"/>
        <v>8035.4</v>
      </c>
      <c r="AS50" s="135" t="s">
        <v>746</v>
      </c>
      <c r="AT50" s="572" t="s">
        <v>586</v>
      </c>
      <c r="AU50" s="574">
        <v>73158532002</v>
      </c>
    </row>
    <row r="51" spans="1:47" ht="30" customHeight="1">
      <c r="A51" s="136">
        <v>37</v>
      </c>
      <c r="B51" s="575" t="s">
        <v>720</v>
      </c>
      <c r="C51" s="138">
        <v>41</v>
      </c>
      <c r="D51" s="492" t="s">
        <v>397</v>
      </c>
      <c r="E51" s="576">
        <v>28491</v>
      </c>
      <c r="F51" s="136" t="s">
        <v>370</v>
      </c>
      <c r="G51" s="179" t="s">
        <v>625</v>
      </c>
      <c r="H51" s="136"/>
      <c r="I51" s="136" t="s">
        <v>413</v>
      </c>
      <c r="J51" s="492" t="s">
        <v>411</v>
      </c>
      <c r="K51" s="492" t="s">
        <v>651</v>
      </c>
      <c r="L51" s="492" t="s">
        <v>673</v>
      </c>
      <c r="M51" s="492" t="s">
        <v>458</v>
      </c>
      <c r="O51" s="492" t="s">
        <v>526</v>
      </c>
      <c r="P51" s="492" t="s">
        <v>527</v>
      </c>
      <c r="Q51" s="137" t="s">
        <v>528</v>
      </c>
      <c r="R51" s="136"/>
      <c r="S51" s="494">
        <v>43862</v>
      </c>
      <c r="T51" s="136"/>
      <c r="U51" s="136"/>
      <c r="V51" s="136"/>
      <c r="W51" s="136"/>
      <c r="X51" s="517" t="s">
        <v>564</v>
      </c>
      <c r="Y51" s="181">
        <v>5216385073</v>
      </c>
      <c r="Z51" s="549" t="str">
        <f t="shared" si="2"/>
        <v>Ningolla santhosha</v>
      </c>
      <c r="AA51" s="518">
        <v>26</v>
      </c>
      <c r="AB51" s="470">
        <v>0</v>
      </c>
      <c r="AC51" s="520">
        <v>10627</v>
      </c>
      <c r="AD51" s="526">
        <v>3207</v>
      </c>
      <c r="AE51" s="530">
        <v>4931.333333333333</v>
      </c>
      <c r="AF51" s="523">
        <v>0</v>
      </c>
      <c r="AG51" s="134">
        <v>0</v>
      </c>
      <c r="AH51" s="648">
        <v>677.73333333333335</v>
      </c>
      <c r="AI51" s="648">
        <v>394.33333333333331</v>
      </c>
      <c r="AJ51" s="536">
        <v>0</v>
      </c>
      <c r="AK51" s="532">
        <f t="shared" si="3"/>
        <v>9210.4</v>
      </c>
      <c r="AL51" s="529">
        <v>70</v>
      </c>
      <c r="AM51" s="649">
        <v>1105</v>
      </c>
      <c r="AN51" s="536">
        <v>0</v>
      </c>
      <c r="AO51" s="536">
        <v>0</v>
      </c>
      <c r="AP51" s="536">
        <v>0</v>
      </c>
      <c r="AQ51" s="537">
        <f t="shared" si="0"/>
        <v>1175</v>
      </c>
      <c r="AR51" s="134">
        <f t="shared" si="5"/>
        <v>8035.4</v>
      </c>
      <c r="AS51" s="135" t="s">
        <v>746</v>
      </c>
      <c r="AT51" s="571" t="s">
        <v>738</v>
      </c>
      <c r="AU51" s="574">
        <v>173022010000748</v>
      </c>
    </row>
    <row r="52" spans="1:47" ht="30" customHeight="1">
      <c r="A52" s="136">
        <v>38</v>
      </c>
      <c r="B52" s="575" t="s">
        <v>719</v>
      </c>
      <c r="C52" s="138">
        <v>42</v>
      </c>
      <c r="D52" s="492" t="s">
        <v>398</v>
      </c>
      <c r="E52" s="576">
        <v>28989</v>
      </c>
      <c r="F52" s="136" t="s">
        <v>370</v>
      </c>
      <c r="G52" s="179" t="s">
        <v>626</v>
      </c>
      <c r="H52" s="136"/>
      <c r="I52" s="136" t="s">
        <v>413</v>
      </c>
      <c r="J52" s="492" t="s">
        <v>411</v>
      </c>
      <c r="K52" s="511" t="s">
        <v>652</v>
      </c>
      <c r="L52" s="492" t="s">
        <v>674</v>
      </c>
      <c r="M52" s="492" t="s">
        <v>458</v>
      </c>
      <c r="O52" s="511" t="s">
        <v>526</v>
      </c>
      <c r="P52" s="492" t="s">
        <v>527</v>
      </c>
      <c r="Q52" s="137" t="s">
        <v>528</v>
      </c>
      <c r="R52" s="136"/>
      <c r="S52" s="494">
        <v>43862</v>
      </c>
      <c r="T52" s="136"/>
      <c r="U52" s="136"/>
      <c r="V52" s="136"/>
      <c r="W52" s="136"/>
      <c r="X52" s="517" t="s">
        <v>565</v>
      </c>
      <c r="Y52" s="181">
        <v>5216385098</v>
      </c>
      <c r="Z52" s="133" t="str">
        <f t="shared" si="2"/>
        <v>Mutholla Suneeta</v>
      </c>
      <c r="AA52" s="518">
        <v>26</v>
      </c>
      <c r="AB52" s="470">
        <v>0</v>
      </c>
      <c r="AC52" s="520">
        <v>10627</v>
      </c>
      <c r="AD52" s="526">
        <v>3207</v>
      </c>
      <c r="AE52" s="530">
        <v>4931.333333333333</v>
      </c>
      <c r="AF52" s="523">
        <v>0</v>
      </c>
      <c r="AG52" s="134">
        <v>0</v>
      </c>
      <c r="AH52" s="648">
        <v>677.73333333333335</v>
      </c>
      <c r="AI52" s="648">
        <v>394.33333333333331</v>
      </c>
      <c r="AJ52" s="536">
        <v>0</v>
      </c>
      <c r="AK52" s="532">
        <f t="shared" si="3"/>
        <v>9210.4</v>
      </c>
      <c r="AL52" s="529">
        <v>70</v>
      </c>
      <c r="AM52" s="649">
        <v>1105</v>
      </c>
      <c r="AN52" s="536">
        <v>0</v>
      </c>
      <c r="AO52" s="536">
        <v>0</v>
      </c>
      <c r="AP52" s="536">
        <v>0</v>
      </c>
      <c r="AQ52" s="537">
        <f t="shared" si="0"/>
        <v>1175</v>
      </c>
      <c r="AR52" s="134">
        <f t="shared" si="5"/>
        <v>8035.4</v>
      </c>
      <c r="AS52" s="135" t="s">
        <v>746</v>
      </c>
      <c r="AT52" s="572" t="s">
        <v>578</v>
      </c>
      <c r="AU52" s="574">
        <v>20163798424</v>
      </c>
    </row>
    <row r="53" spans="1:47" ht="30" customHeight="1">
      <c r="A53" s="136">
        <v>39</v>
      </c>
      <c r="B53" s="575" t="s">
        <v>718</v>
      </c>
      <c r="C53" s="138">
        <v>43</v>
      </c>
      <c r="D53" s="492" t="s">
        <v>399</v>
      </c>
      <c r="E53" s="576">
        <v>26665</v>
      </c>
      <c r="F53" s="136" t="s">
        <v>370</v>
      </c>
      <c r="G53" s="179" t="s">
        <v>627</v>
      </c>
      <c r="H53" s="136"/>
      <c r="I53" s="136" t="s">
        <v>413</v>
      </c>
      <c r="J53" s="492" t="s">
        <v>411</v>
      </c>
      <c r="K53" s="216" t="s">
        <v>653</v>
      </c>
      <c r="L53" s="492" t="s">
        <v>674</v>
      </c>
      <c r="M53" s="492" t="s">
        <v>458</v>
      </c>
      <c r="O53" s="216" t="s">
        <v>526</v>
      </c>
      <c r="P53" s="492" t="s">
        <v>527</v>
      </c>
      <c r="Q53" s="137" t="s">
        <v>528</v>
      </c>
      <c r="R53" s="136"/>
      <c r="S53" s="494">
        <v>43862</v>
      </c>
      <c r="T53" s="136"/>
      <c r="U53" s="136"/>
      <c r="V53" s="136"/>
      <c r="W53" s="136"/>
      <c r="X53" s="517" t="s">
        <v>566</v>
      </c>
      <c r="Y53" s="181">
        <v>5216385125</v>
      </c>
      <c r="Z53" s="549" t="str">
        <f t="shared" si="2"/>
        <v>Mutholla sushila</v>
      </c>
      <c r="AA53" s="518">
        <v>26</v>
      </c>
      <c r="AB53" s="470">
        <v>0</v>
      </c>
      <c r="AC53" s="520">
        <v>10627</v>
      </c>
      <c r="AD53" s="526">
        <v>3207</v>
      </c>
      <c r="AE53" s="530">
        <v>4931.333333333333</v>
      </c>
      <c r="AF53" s="523">
        <v>0</v>
      </c>
      <c r="AG53" s="134">
        <v>0</v>
      </c>
      <c r="AH53" s="648">
        <v>677.73333333333335</v>
      </c>
      <c r="AI53" s="648">
        <v>394.33333333333331</v>
      </c>
      <c r="AJ53" s="536">
        <v>0</v>
      </c>
      <c r="AK53" s="532">
        <f t="shared" si="3"/>
        <v>9210.4</v>
      </c>
      <c r="AL53" s="529">
        <v>70</v>
      </c>
      <c r="AM53" s="649">
        <v>1105</v>
      </c>
      <c r="AN53" s="536">
        <v>0</v>
      </c>
      <c r="AO53" s="536">
        <v>0</v>
      </c>
      <c r="AP53" s="536">
        <v>0</v>
      </c>
      <c r="AQ53" s="537">
        <f t="shared" si="0"/>
        <v>1175</v>
      </c>
      <c r="AR53" s="134">
        <f t="shared" si="5"/>
        <v>8035.4</v>
      </c>
      <c r="AS53" s="135" t="s">
        <v>746</v>
      </c>
      <c r="AT53" s="572" t="s">
        <v>578</v>
      </c>
      <c r="AU53" s="574">
        <v>33177853645</v>
      </c>
    </row>
    <row r="54" spans="1:47" ht="30" customHeight="1">
      <c r="A54" s="136">
        <v>40</v>
      </c>
      <c r="B54" s="575" t="s">
        <v>717</v>
      </c>
      <c r="C54" s="138">
        <v>44</v>
      </c>
      <c r="D54" s="492" t="s">
        <v>400</v>
      </c>
      <c r="E54" s="576">
        <v>27395</v>
      </c>
      <c r="F54" s="136" t="s">
        <v>370</v>
      </c>
      <c r="G54" s="179" t="s">
        <v>628</v>
      </c>
      <c r="H54" s="136"/>
      <c r="I54" s="136" t="s">
        <v>413</v>
      </c>
      <c r="J54" s="492" t="s">
        <v>411</v>
      </c>
      <c r="K54" s="216" t="s">
        <v>654</v>
      </c>
      <c r="L54" s="492" t="s">
        <v>507</v>
      </c>
      <c r="M54" s="492" t="s">
        <v>458</v>
      </c>
      <c r="O54" s="216" t="s">
        <v>526</v>
      </c>
      <c r="P54" s="492" t="s">
        <v>527</v>
      </c>
      <c r="Q54" s="137" t="s">
        <v>528</v>
      </c>
      <c r="R54" s="136"/>
      <c r="S54" s="494">
        <v>43862</v>
      </c>
      <c r="T54" s="136"/>
      <c r="U54" s="136"/>
      <c r="V54" s="136"/>
      <c r="W54" s="136"/>
      <c r="X54" s="517" t="s">
        <v>567</v>
      </c>
      <c r="Y54" s="181">
        <v>5216385155</v>
      </c>
      <c r="Z54" s="549" t="str">
        <f t="shared" si="2"/>
        <v>Kummari kalavathi</v>
      </c>
      <c r="AA54" s="518">
        <v>26</v>
      </c>
      <c r="AB54" s="470">
        <v>0</v>
      </c>
      <c r="AC54" s="520">
        <v>10627</v>
      </c>
      <c r="AD54" s="526">
        <v>3207</v>
      </c>
      <c r="AE54" s="530">
        <v>4931.333333333333</v>
      </c>
      <c r="AF54" s="523">
        <v>0</v>
      </c>
      <c r="AG54" s="134">
        <v>0</v>
      </c>
      <c r="AH54" s="648">
        <v>677.73333333333335</v>
      </c>
      <c r="AI54" s="648">
        <v>394.33333333333331</v>
      </c>
      <c r="AJ54" s="536">
        <v>0</v>
      </c>
      <c r="AK54" s="532">
        <f t="shared" si="3"/>
        <v>9210.4</v>
      </c>
      <c r="AL54" s="529">
        <v>70</v>
      </c>
      <c r="AM54" s="649">
        <v>1105</v>
      </c>
      <c r="AN54" s="536">
        <v>0</v>
      </c>
      <c r="AO54" s="536">
        <v>0</v>
      </c>
      <c r="AP54" s="536">
        <v>0</v>
      </c>
      <c r="AQ54" s="537">
        <f t="shared" si="0"/>
        <v>1175</v>
      </c>
      <c r="AR54" s="134">
        <f t="shared" si="5"/>
        <v>8035.4</v>
      </c>
      <c r="AS54" s="135" t="s">
        <v>746</v>
      </c>
      <c r="AT54" s="572" t="s">
        <v>578</v>
      </c>
      <c r="AU54" s="574">
        <v>33415863098</v>
      </c>
    </row>
    <row r="55" spans="1:47" ht="30" customHeight="1">
      <c r="A55" s="136">
        <v>41</v>
      </c>
      <c r="B55" s="575" t="s">
        <v>716</v>
      </c>
      <c r="C55" s="138">
        <v>45</v>
      </c>
      <c r="D55" s="492" t="s">
        <v>401</v>
      </c>
      <c r="E55" s="576">
        <v>29587</v>
      </c>
      <c r="F55" s="136" t="s">
        <v>370</v>
      </c>
      <c r="G55" s="498" t="s">
        <v>629</v>
      </c>
      <c r="H55" s="136"/>
      <c r="I55" s="136" t="s">
        <v>413</v>
      </c>
      <c r="J55" s="492" t="s">
        <v>411</v>
      </c>
      <c r="K55" s="216" t="s">
        <v>655</v>
      </c>
      <c r="L55" s="492" t="s">
        <v>672</v>
      </c>
      <c r="M55" s="492" t="s">
        <v>458</v>
      </c>
      <c r="O55" s="216" t="s">
        <v>526</v>
      </c>
      <c r="P55" s="492" t="s">
        <v>527</v>
      </c>
      <c r="Q55" s="137" t="s">
        <v>528</v>
      </c>
      <c r="R55" s="136"/>
      <c r="S55" s="494">
        <v>43862</v>
      </c>
      <c r="T55" s="136"/>
      <c r="U55" s="136"/>
      <c r="V55" s="136"/>
      <c r="W55" s="136"/>
      <c r="X55" s="517" t="s">
        <v>568</v>
      </c>
      <c r="Y55" s="181">
        <v>5216385182</v>
      </c>
      <c r="Z55" s="549" t="str">
        <f t="shared" si="2"/>
        <v xml:space="preserve">Vadla Naveena </v>
      </c>
      <c r="AA55" s="518">
        <v>26</v>
      </c>
      <c r="AB55" s="470">
        <v>0</v>
      </c>
      <c r="AC55" s="520">
        <v>10627</v>
      </c>
      <c r="AD55" s="526">
        <v>3207</v>
      </c>
      <c r="AE55" s="530">
        <v>4931.333333333333</v>
      </c>
      <c r="AF55" s="523">
        <v>0</v>
      </c>
      <c r="AG55" s="134">
        <v>0</v>
      </c>
      <c r="AH55" s="648">
        <v>677.73333333333335</v>
      </c>
      <c r="AI55" s="648">
        <v>394.33333333333331</v>
      </c>
      <c r="AJ55" s="536">
        <v>0</v>
      </c>
      <c r="AK55" s="532">
        <f t="shared" si="3"/>
        <v>9210.4</v>
      </c>
      <c r="AL55" s="529">
        <v>70</v>
      </c>
      <c r="AM55" s="649">
        <v>1105</v>
      </c>
      <c r="AN55" s="536">
        <v>0</v>
      </c>
      <c r="AO55" s="536">
        <v>0</v>
      </c>
      <c r="AP55" s="536">
        <v>0</v>
      </c>
      <c r="AQ55" s="537">
        <f t="shared" si="0"/>
        <v>1175</v>
      </c>
      <c r="AR55" s="134">
        <f t="shared" si="5"/>
        <v>8035.4</v>
      </c>
      <c r="AS55" s="135" t="s">
        <v>746</v>
      </c>
      <c r="AT55" s="571" t="s">
        <v>586</v>
      </c>
      <c r="AU55" s="574">
        <v>73097866350</v>
      </c>
    </row>
    <row r="56" spans="1:47" ht="30" customHeight="1">
      <c r="A56" s="136">
        <v>42</v>
      </c>
      <c r="B56" s="575" t="s">
        <v>715</v>
      </c>
      <c r="C56" s="138">
        <v>46</v>
      </c>
      <c r="D56" s="492" t="s">
        <v>402</v>
      </c>
      <c r="E56" s="576">
        <v>25569</v>
      </c>
      <c r="F56" s="136" t="s">
        <v>370</v>
      </c>
      <c r="G56" s="499" t="s">
        <v>630</v>
      </c>
      <c r="H56" s="136"/>
      <c r="I56" s="136" t="s">
        <v>413</v>
      </c>
      <c r="J56" s="492" t="s">
        <v>411</v>
      </c>
      <c r="K56" s="216" t="s">
        <v>656</v>
      </c>
      <c r="L56" s="492" t="s">
        <v>507</v>
      </c>
      <c r="M56" s="492" t="s">
        <v>458</v>
      </c>
      <c r="O56" s="216" t="s">
        <v>526</v>
      </c>
      <c r="P56" s="492" t="s">
        <v>527</v>
      </c>
      <c r="Q56" s="137" t="s">
        <v>528</v>
      </c>
      <c r="R56" s="136"/>
      <c r="S56" s="494">
        <v>43864</v>
      </c>
      <c r="T56" s="136"/>
      <c r="U56" s="136"/>
      <c r="V56" s="136"/>
      <c r="W56" s="136"/>
      <c r="X56" s="577" t="s">
        <v>569</v>
      </c>
      <c r="Y56" s="516">
        <v>5209952214</v>
      </c>
      <c r="Z56" s="133" t="str">
        <f t="shared" si="2"/>
        <v>Nagani shantamma</v>
      </c>
      <c r="AA56" s="518">
        <v>26</v>
      </c>
      <c r="AB56" s="470">
        <v>0</v>
      </c>
      <c r="AC56" s="520">
        <v>10627</v>
      </c>
      <c r="AD56" s="526">
        <v>3207</v>
      </c>
      <c r="AE56" s="530">
        <v>4931.333333333333</v>
      </c>
      <c r="AF56" s="523">
        <v>0</v>
      </c>
      <c r="AG56" s="134">
        <v>0</v>
      </c>
      <c r="AH56" s="648">
        <v>677.73333333333335</v>
      </c>
      <c r="AI56" s="648">
        <v>394.33333333333331</v>
      </c>
      <c r="AJ56" s="536">
        <v>0</v>
      </c>
      <c r="AK56" s="532">
        <f t="shared" si="3"/>
        <v>9210.4</v>
      </c>
      <c r="AL56" s="529">
        <v>70</v>
      </c>
      <c r="AM56" s="649">
        <v>1105</v>
      </c>
      <c r="AN56" s="536">
        <v>0</v>
      </c>
      <c r="AO56" s="536">
        <v>0</v>
      </c>
      <c r="AP56" s="536">
        <v>0</v>
      </c>
      <c r="AQ56" s="537">
        <f t="shared" si="0"/>
        <v>1175</v>
      </c>
      <c r="AR56" s="134">
        <f t="shared" si="5"/>
        <v>8035.4</v>
      </c>
      <c r="AS56" s="135" t="s">
        <v>746</v>
      </c>
      <c r="AT56" s="571" t="s">
        <v>578</v>
      </c>
      <c r="AU56" s="573">
        <v>33400593738</v>
      </c>
    </row>
    <row r="57" spans="1:47" ht="30" customHeight="1">
      <c r="A57" s="136">
        <v>43</v>
      </c>
      <c r="B57" s="575" t="s">
        <v>714</v>
      </c>
      <c r="C57" s="138">
        <v>47</v>
      </c>
      <c r="D57" s="493" t="s">
        <v>403</v>
      </c>
      <c r="E57" s="576">
        <v>25934</v>
      </c>
      <c r="F57" s="136" t="s">
        <v>370</v>
      </c>
      <c r="G57" s="500" t="s">
        <v>631</v>
      </c>
      <c r="H57" s="136"/>
      <c r="I57" s="136" t="s">
        <v>413</v>
      </c>
      <c r="J57" s="492" t="s">
        <v>411</v>
      </c>
      <c r="K57" s="216" t="s">
        <v>657</v>
      </c>
      <c r="L57" s="492" t="s">
        <v>672</v>
      </c>
      <c r="M57" s="492" t="s">
        <v>458</v>
      </c>
      <c r="O57" s="216" t="s">
        <v>526</v>
      </c>
      <c r="P57" s="492" t="s">
        <v>527</v>
      </c>
      <c r="Q57" s="137" t="s">
        <v>528</v>
      </c>
      <c r="R57" s="136"/>
      <c r="S57" s="512">
        <v>43865</v>
      </c>
      <c r="T57" s="136"/>
      <c r="U57" s="136"/>
      <c r="V57" s="136"/>
      <c r="W57" s="136"/>
      <c r="X57" s="578">
        <v>101277064828</v>
      </c>
      <c r="Y57" s="516">
        <v>5214349122</v>
      </c>
      <c r="Z57" s="549" t="str">
        <f t="shared" si="2"/>
        <v>Gaddmidi lakshmi</v>
      </c>
      <c r="AA57" s="518">
        <v>26</v>
      </c>
      <c r="AB57" s="470">
        <v>0</v>
      </c>
      <c r="AC57" s="520">
        <v>10627</v>
      </c>
      <c r="AD57" s="526">
        <v>3207</v>
      </c>
      <c r="AE57" s="530">
        <v>4931.333333333333</v>
      </c>
      <c r="AF57" s="523">
        <v>0</v>
      </c>
      <c r="AG57" s="134">
        <v>0</v>
      </c>
      <c r="AH57" s="648">
        <v>677.73333333333335</v>
      </c>
      <c r="AI57" s="648">
        <v>394.33333333333331</v>
      </c>
      <c r="AJ57" s="536">
        <v>0</v>
      </c>
      <c r="AK57" s="532">
        <f t="shared" si="3"/>
        <v>9210.4</v>
      </c>
      <c r="AL57" s="529">
        <v>70</v>
      </c>
      <c r="AM57" s="649">
        <v>1105</v>
      </c>
      <c r="AN57" s="536">
        <v>0</v>
      </c>
      <c r="AO57" s="536">
        <v>0</v>
      </c>
      <c r="AP57" s="536">
        <v>0</v>
      </c>
      <c r="AQ57" s="537">
        <f t="shared" si="0"/>
        <v>1175</v>
      </c>
      <c r="AR57" s="134">
        <f t="shared" si="5"/>
        <v>8035.4</v>
      </c>
      <c r="AS57" s="135" t="s">
        <v>746</v>
      </c>
      <c r="AT57" s="571" t="s">
        <v>578</v>
      </c>
      <c r="AU57" s="573">
        <v>35101295296</v>
      </c>
    </row>
    <row r="58" spans="1:47" ht="30" customHeight="1">
      <c r="A58" s="136">
        <v>44</v>
      </c>
      <c r="B58" s="575" t="s">
        <v>730</v>
      </c>
      <c r="C58" s="138">
        <v>49</v>
      </c>
      <c r="D58" s="493" t="s">
        <v>404</v>
      </c>
      <c r="E58" s="576">
        <v>25934</v>
      </c>
      <c r="F58" s="136" t="s">
        <v>181</v>
      </c>
      <c r="G58" s="500" t="s">
        <v>632</v>
      </c>
      <c r="H58" s="136"/>
      <c r="I58" s="136" t="s">
        <v>413</v>
      </c>
      <c r="J58" s="492" t="s">
        <v>410</v>
      </c>
      <c r="K58" s="216" t="s">
        <v>659</v>
      </c>
      <c r="L58" s="492" t="s">
        <v>672</v>
      </c>
      <c r="M58" s="492" t="s">
        <v>458</v>
      </c>
      <c r="O58" s="216" t="s">
        <v>526</v>
      </c>
      <c r="P58" s="492" t="s">
        <v>527</v>
      </c>
      <c r="Q58" s="492" t="s">
        <v>528</v>
      </c>
      <c r="R58" s="136"/>
      <c r="S58" s="512">
        <v>43865</v>
      </c>
      <c r="T58" s="136"/>
      <c r="U58" s="136"/>
      <c r="V58" s="136"/>
      <c r="W58" s="136"/>
      <c r="X58" s="517" t="s">
        <v>570</v>
      </c>
      <c r="Y58" s="181">
        <v>5216385272</v>
      </c>
      <c r="Z58" s="133" t="str">
        <f t="shared" si="2"/>
        <v>Gaddamidi raghu</v>
      </c>
      <c r="AA58" s="518">
        <v>26</v>
      </c>
      <c r="AB58" s="470">
        <v>0</v>
      </c>
      <c r="AC58" s="520">
        <v>11459</v>
      </c>
      <c r="AD58" s="526">
        <v>3844</v>
      </c>
      <c r="AE58" s="530">
        <v>4931.333333333333</v>
      </c>
      <c r="AF58" s="523">
        <v>0</v>
      </c>
      <c r="AG58" s="134">
        <v>0</v>
      </c>
      <c r="AH58" s="648">
        <v>730.6</v>
      </c>
      <c r="AI58" s="648">
        <v>425.53333333333336</v>
      </c>
      <c r="AJ58" s="536">
        <v>0</v>
      </c>
      <c r="AK58" s="532">
        <f>AD58+AE58+AF58+AG58+AH58+AI58+AJ58+1</f>
        <v>9932.4666666666653</v>
      </c>
      <c r="AL58" s="529">
        <v>75</v>
      </c>
      <c r="AM58" s="649">
        <v>1192</v>
      </c>
      <c r="AN58" s="536">
        <v>0</v>
      </c>
      <c r="AO58" s="536">
        <v>0</v>
      </c>
      <c r="AP58" s="536">
        <v>0</v>
      </c>
      <c r="AQ58" s="537">
        <f t="shared" si="0"/>
        <v>1267</v>
      </c>
      <c r="AR58" s="134">
        <f t="shared" si="5"/>
        <v>8665.4666666666653</v>
      </c>
      <c r="AS58" s="135" t="s">
        <v>746</v>
      </c>
      <c r="AT58" s="571" t="s">
        <v>578</v>
      </c>
      <c r="AU58" s="573">
        <v>35200839277</v>
      </c>
    </row>
    <row r="59" spans="1:47" ht="30" customHeight="1">
      <c r="A59" s="136">
        <v>45</v>
      </c>
      <c r="B59" s="575" t="s">
        <v>731</v>
      </c>
      <c r="C59" s="138">
        <v>50</v>
      </c>
      <c r="D59" s="492" t="s">
        <v>405</v>
      </c>
      <c r="E59" s="576">
        <v>35065</v>
      </c>
      <c r="F59" s="136" t="s">
        <v>181</v>
      </c>
      <c r="G59" s="136" t="s">
        <v>633</v>
      </c>
      <c r="H59" s="136"/>
      <c r="I59" s="136" t="s">
        <v>413</v>
      </c>
      <c r="J59" s="492" t="s">
        <v>410</v>
      </c>
      <c r="K59" s="235" t="s">
        <v>660</v>
      </c>
      <c r="L59" s="492" t="s">
        <v>675</v>
      </c>
      <c r="M59" s="492" t="s">
        <v>681</v>
      </c>
      <c r="O59" s="137" t="s">
        <v>526</v>
      </c>
      <c r="P59" s="137" t="s">
        <v>527</v>
      </c>
      <c r="Q59" s="137" t="s">
        <v>528</v>
      </c>
      <c r="R59" s="136"/>
      <c r="S59" s="512">
        <v>43881</v>
      </c>
      <c r="T59" s="136"/>
      <c r="U59" s="136"/>
      <c r="V59" s="136"/>
      <c r="W59" s="136"/>
      <c r="X59" s="517" t="s">
        <v>571</v>
      </c>
      <c r="Y59" s="181">
        <v>5216434433</v>
      </c>
      <c r="Z59" s="549" t="str">
        <f t="shared" si="2"/>
        <v>Laxman</v>
      </c>
      <c r="AA59" s="518">
        <v>26</v>
      </c>
      <c r="AB59" s="470">
        <v>0</v>
      </c>
      <c r="AC59" s="520">
        <v>11459</v>
      </c>
      <c r="AD59" s="526">
        <v>3844</v>
      </c>
      <c r="AE59" s="530">
        <v>4931.333333333333</v>
      </c>
      <c r="AF59" s="523">
        <v>0</v>
      </c>
      <c r="AG59" s="134">
        <v>0</v>
      </c>
      <c r="AH59" s="648">
        <v>730.6</v>
      </c>
      <c r="AI59" s="648">
        <v>425.53333333333336</v>
      </c>
      <c r="AJ59" s="536">
        <v>0</v>
      </c>
      <c r="AK59" s="532">
        <f>AD59+AE59+AF59+AG59+AH59+AI59+AJ59+1</f>
        <v>9932.4666666666653</v>
      </c>
      <c r="AL59" s="529">
        <v>75</v>
      </c>
      <c r="AM59" s="649">
        <v>1192</v>
      </c>
      <c r="AN59" s="536">
        <v>0</v>
      </c>
      <c r="AO59" s="536">
        <v>0</v>
      </c>
      <c r="AP59" s="536">
        <v>0</v>
      </c>
      <c r="AQ59" s="537">
        <f t="shared" si="0"/>
        <v>1267</v>
      </c>
      <c r="AR59" s="134">
        <f t="shared" si="5"/>
        <v>8665.4666666666653</v>
      </c>
      <c r="AS59" s="135" t="s">
        <v>746</v>
      </c>
      <c r="AT59" s="571" t="s">
        <v>591</v>
      </c>
      <c r="AU59" s="647">
        <v>3868101008111</v>
      </c>
    </row>
    <row r="60" spans="1:47" ht="30" customHeight="1">
      <c r="A60" s="136">
        <v>46</v>
      </c>
      <c r="B60" s="575" t="s">
        <v>732</v>
      </c>
      <c r="C60" s="471">
        <v>51</v>
      </c>
      <c r="D60" s="609" t="s">
        <v>406</v>
      </c>
      <c r="E60" s="576">
        <v>31413</v>
      </c>
      <c r="F60" s="495" t="s">
        <v>370</v>
      </c>
      <c r="G60" s="501" t="s">
        <v>634</v>
      </c>
      <c r="H60" s="136"/>
      <c r="I60" s="136" t="s">
        <v>413</v>
      </c>
      <c r="J60" s="492" t="s">
        <v>411</v>
      </c>
      <c r="K60" s="179" t="s">
        <v>655</v>
      </c>
      <c r="L60" s="492" t="s">
        <v>672</v>
      </c>
      <c r="M60" s="492" t="s">
        <v>458</v>
      </c>
      <c r="O60" s="179" t="s">
        <v>526</v>
      </c>
      <c r="P60" s="492" t="s">
        <v>527</v>
      </c>
      <c r="Q60" s="492" t="s">
        <v>528</v>
      </c>
      <c r="R60" s="136"/>
      <c r="S60" s="513">
        <v>43885</v>
      </c>
      <c r="T60" s="136"/>
      <c r="U60" s="136"/>
      <c r="V60" s="136"/>
      <c r="W60" s="136"/>
      <c r="X60" s="579">
        <v>100692721860</v>
      </c>
      <c r="Y60" s="181">
        <v>5216423961</v>
      </c>
      <c r="Z60" s="549" t="str">
        <f t="shared" si="2"/>
        <v>VADLA JYOTHI</v>
      </c>
      <c r="AA60" s="518">
        <v>26</v>
      </c>
      <c r="AB60" s="470">
        <v>0</v>
      </c>
      <c r="AC60" s="520">
        <v>10627</v>
      </c>
      <c r="AD60" s="526">
        <v>3207</v>
      </c>
      <c r="AE60" s="530">
        <v>4931.333333333333</v>
      </c>
      <c r="AF60" s="523">
        <v>0</v>
      </c>
      <c r="AG60" s="134">
        <v>0</v>
      </c>
      <c r="AH60" s="648">
        <v>677.73333333333335</v>
      </c>
      <c r="AI60" s="648">
        <v>394.33333333333331</v>
      </c>
      <c r="AJ60" s="536">
        <v>0</v>
      </c>
      <c r="AK60" s="532">
        <f t="shared" si="3"/>
        <v>9210.4</v>
      </c>
      <c r="AL60" s="529">
        <v>70</v>
      </c>
      <c r="AM60" s="649">
        <v>1105</v>
      </c>
      <c r="AN60" s="536">
        <v>0</v>
      </c>
      <c r="AO60" s="536">
        <v>0</v>
      </c>
      <c r="AP60" s="536">
        <v>0</v>
      </c>
      <c r="AQ60" s="537">
        <f t="shared" si="0"/>
        <v>1175</v>
      </c>
      <c r="AR60" s="134">
        <f t="shared" si="5"/>
        <v>8035.4</v>
      </c>
      <c r="AS60" s="135" t="s">
        <v>746</v>
      </c>
      <c r="AT60" s="567" t="s">
        <v>592</v>
      </c>
      <c r="AU60" s="573" t="s">
        <v>739</v>
      </c>
    </row>
    <row r="61" spans="1:47" ht="30" customHeight="1">
      <c r="A61" s="136">
        <v>47</v>
      </c>
      <c r="B61" s="575" t="s">
        <v>733</v>
      </c>
      <c r="C61" s="471">
        <v>52</v>
      </c>
      <c r="D61" s="561" t="s">
        <v>407</v>
      </c>
      <c r="E61" s="576">
        <v>32705</v>
      </c>
      <c r="F61" s="179" t="s">
        <v>181</v>
      </c>
      <c r="G61" s="136" t="s">
        <v>635</v>
      </c>
      <c r="H61" s="136"/>
      <c r="I61" s="136" t="s">
        <v>413</v>
      </c>
      <c r="J61" s="136" t="s">
        <v>412</v>
      </c>
      <c r="K61" s="179" t="s">
        <v>661</v>
      </c>
      <c r="L61" s="492" t="s">
        <v>676</v>
      </c>
      <c r="M61" s="492" t="s">
        <v>682</v>
      </c>
      <c r="O61" s="179" t="s">
        <v>526</v>
      </c>
      <c r="P61" s="492" t="s">
        <v>527</v>
      </c>
      <c r="Q61" s="492" t="s">
        <v>528</v>
      </c>
      <c r="R61" s="136"/>
      <c r="S61" s="513">
        <v>43892</v>
      </c>
      <c r="T61" s="136"/>
      <c r="U61" s="136"/>
      <c r="V61" s="136"/>
      <c r="W61" s="136"/>
      <c r="X61" s="579">
        <v>101318416076</v>
      </c>
      <c r="Y61" s="631" t="s">
        <v>28</v>
      </c>
      <c r="Z61" s="549" t="str">
        <f t="shared" si="2"/>
        <v>Rupesh Chandra Jakhmola</v>
      </c>
      <c r="AA61" s="518">
        <v>30</v>
      </c>
      <c r="AB61" s="470">
        <v>0</v>
      </c>
      <c r="AC61" s="520">
        <v>27800</v>
      </c>
      <c r="AD61" s="526">
        <v>23000</v>
      </c>
      <c r="AE61" s="530">
        <v>0</v>
      </c>
      <c r="AF61" s="523">
        <v>0</v>
      </c>
      <c r="AG61" s="134">
        <v>0</v>
      </c>
      <c r="AH61" s="648">
        <v>0</v>
      </c>
      <c r="AI61" s="648">
        <v>0</v>
      </c>
      <c r="AJ61" s="536">
        <v>4800</v>
      </c>
      <c r="AK61" s="532">
        <f t="shared" si="3"/>
        <v>27800</v>
      </c>
      <c r="AL61" s="529">
        <v>0</v>
      </c>
      <c r="AM61" s="649">
        <v>1800</v>
      </c>
      <c r="AN61" s="536">
        <v>200</v>
      </c>
      <c r="AO61" s="536">
        <v>0</v>
      </c>
      <c r="AP61" s="536">
        <v>0</v>
      </c>
      <c r="AQ61" s="537">
        <f t="shared" si="0"/>
        <v>2000</v>
      </c>
      <c r="AR61" s="134">
        <f t="shared" ref="AR61:AR64" si="6">AK61-AQ61</f>
        <v>25800</v>
      </c>
      <c r="AS61" s="135" t="s">
        <v>746</v>
      </c>
      <c r="AT61" s="567" t="s">
        <v>593</v>
      </c>
      <c r="AU61" s="573">
        <v>10024839331</v>
      </c>
    </row>
    <row r="62" spans="1:47" ht="30" customHeight="1">
      <c r="A62" s="136">
        <v>48</v>
      </c>
      <c r="B62" s="575" t="s">
        <v>734</v>
      </c>
      <c r="C62" s="471">
        <v>53</v>
      </c>
      <c r="D62" s="562" t="s">
        <v>741</v>
      </c>
      <c r="E62" s="576">
        <v>26299</v>
      </c>
      <c r="F62" s="179" t="s">
        <v>181</v>
      </c>
      <c r="G62" s="502" t="s">
        <v>636</v>
      </c>
      <c r="H62" s="136"/>
      <c r="I62" s="136" t="s">
        <v>413</v>
      </c>
      <c r="J62" s="492" t="s">
        <v>410</v>
      </c>
      <c r="K62" s="179" t="s">
        <v>662</v>
      </c>
      <c r="L62" s="492" t="s">
        <v>677</v>
      </c>
      <c r="M62" s="492" t="s">
        <v>458</v>
      </c>
      <c r="O62" s="179" t="s">
        <v>526</v>
      </c>
      <c r="P62" s="492" t="s">
        <v>527</v>
      </c>
      <c r="Q62" s="492" t="s">
        <v>528</v>
      </c>
      <c r="R62" s="136"/>
      <c r="S62" s="513">
        <v>43892</v>
      </c>
      <c r="T62" s="136"/>
      <c r="U62" s="136"/>
      <c r="V62" s="136"/>
      <c r="W62" s="136"/>
      <c r="X62" s="579">
        <v>101567297449</v>
      </c>
      <c r="Y62" s="136">
        <v>5216113931</v>
      </c>
      <c r="Z62" s="549" t="str">
        <f t="shared" si="2"/>
        <v>Bakkani Mallaiah</v>
      </c>
      <c r="AA62" s="518">
        <v>26</v>
      </c>
      <c r="AB62" s="470">
        <v>0</v>
      </c>
      <c r="AC62" s="520">
        <v>13753</v>
      </c>
      <c r="AD62" s="526">
        <v>3844</v>
      </c>
      <c r="AE62" s="530">
        <v>4931.333333333333</v>
      </c>
      <c r="AF62" s="523">
        <v>0</v>
      </c>
      <c r="AG62" s="134">
        <v>0</v>
      </c>
      <c r="AH62" s="648">
        <v>730.6</v>
      </c>
      <c r="AI62" s="648">
        <v>425.53333333333336</v>
      </c>
      <c r="AJ62" s="649">
        <v>1988.1333333333334</v>
      </c>
      <c r="AK62" s="532">
        <f t="shared" si="3"/>
        <v>11919.599999999999</v>
      </c>
      <c r="AL62" s="529">
        <v>90</v>
      </c>
      <c r="AM62" s="649">
        <v>1430</v>
      </c>
      <c r="AN62" s="536">
        <v>0</v>
      </c>
      <c r="AO62" s="536">
        <v>0</v>
      </c>
      <c r="AP62" s="536">
        <v>0</v>
      </c>
      <c r="AQ62" s="537">
        <f t="shared" si="0"/>
        <v>1520</v>
      </c>
      <c r="AR62" s="134">
        <f t="shared" si="6"/>
        <v>10399.599999999999</v>
      </c>
      <c r="AS62" s="135" t="s">
        <v>746</v>
      </c>
      <c r="AT62" s="571" t="s">
        <v>594</v>
      </c>
      <c r="AU62" s="647">
        <v>62325068437</v>
      </c>
    </row>
    <row r="63" spans="1:47" ht="30" customHeight="1">
      <c r="A63" s="136">
        <v>49</v>
      </c>
      <c r="B63" s="575" t="s">
        <v>735</v>
      </c>
      <c r="C63" s="471">
        <v>54</v>
      </c>
      <c r="D63" s="562" t="s">
        <v>742</v>
      </c>
      <c r="E63" s="576">
        <v>29221</v>
      </c>
      <c r="F63" s="179" t="s">
        <v>181</v>
      </c>
      <c r="G63" s="502" t="s">
        <v>637</v>
      </c>
      <c r="H63" s="136"/>
      <c r="I63" s="136" t="s">
        <v>413</v>
      </c>
      <c r="J63" s="492" t="s">
        <v>410</v>
      </c>
      <c r="K63" s="179" t="s">
        <v>663</v>
      </c>
      <c r="L63" s="492" t="s">
        <v>672</v>
      </c>
      <c r="M63" s="492" t="s">
        <v>458</v>
      </c>
      <c r="O63" s="179" t="s">
        <v>526</v>
      </c>
      <c r="P63" s="492" t="s">
        <v>527</v>
      </c>
      <c r="Q63" s="492" t="s">
        <v>528</v>
      </c>
      <c r="R63" s="136"/>
      <c r="S63" s="513">
        <v>43893</v>
      </c>
      <c r="T63" s="136"/>
      <c r="U63" s="136"/>
      <c r="V63" s="136"/>
      <c r="W63" s="136"/>
      <c r="X63" s="579">
        <v>101567297431</v>
      </c>
      <c r="Y63" s="136">
        <v>5216452266</v>
      </c>
      <c r="Z63" s="549" t="str">
        <f t="shared" si="2"/>
        <v>Chakali Narayana</v>
      </c>
      <c r="AA63" s="518">
        <v>26</v>
      </c>
      <c r="AB63" s="470">
        <v>0</v>
      </c>
      <c r="AC63" s="520">
        <v>11459</v>
      </c>
      <c r="AD63" s="526">
        <v>3844</v>
      </c>
      <c r="AE63" s="530">
        <v>4931.333333333333</v>
      </c>
      <c r="AF63" s="523">
        <v>0</v>
      </c>
      <c r="AG63" s="134">
        <v>0</v>
      </c>
      <c r="AH63" s="648">
        <v>730.6</v>
      </c>
      <c r="AI63" s="648">
        <v>425.53333333333336</v>
      </c>
      <c r="AJ63" s="536">
        <v>0</v>
      </c>
      <c r="AK63" s="532">
        <f>AD63+AE63+AF63+AG63+AH63+AI63+AJ63+1</f>
        <v>9932.4666666666653</v>
      </c>
      <c r="AL63" s="529">
        <v>75</v>
      </c>
      <c r="AM63" s="649">
        <v>1192</v>
      </c>
      <c r="AN63" s="536">
        <v>0</v>
      </c>
      <c r="AO63" s="536">
        <v>0</v>
      </c>
      <c r="AP63" s="536">
        <v>0</v>
      </c>
      <c r="AQ63" s="537">
        <f t="shared" si="0"/>
        <v>1267</v>
      </c>
      <c r="AR63" s="134">
        <f t="shared" si="6"/>
        <v>8665.4666666666653</v>
      </c>
      <c r="AS63" s="135" t="s">
        <v>746</v>
      </c>
      <c r="AT63" s="571" t="s">
        <v>595</v>
      </c>
      <c r="AU63" s="647">
        <v>73067905502</v>
      </c>
    </row>
    <row r="64" spans="1:47" ht="30" customHeight="1">
      <c r="A64" s="136">
        <v>50</v>
      </c>
      <c r="B64" s="575" t="s">
        <v>736</v>
      </c>
      <c r="C64" s="471">
        <v>55</v>
      </c>
      <c r="D64" s="562" t="s">
        <v>408</v>
      </c>
      <c r="E64" s="576">
        <v>25934</v>
      </c>
      <c r="F64" s="179" t="s">
        <v>370</v>
      </c>
      <c r="G64" s="502" t="s">
        <v>638</v>
      </c>
      <c r="H64" s="136"/>
      <c r="I64" s="136" t="s">
        <v>413</v>
      </c>
      <c r="J64" s="492" t="s">
        <v>411</v>
      </c>
      <c r="K64" s="179" t="s">
        <v>664</v>
      </c>
      <c r="L64" s="492" t="s">
        <v>672</v>
      </c>
      <c r="M64" s="492" t="s">
        <v>458</v>
      </c>
      <c r="O64" s="179" t="s">
        <v>526</v>
      </c>
      <c r="P64" s="492" t="s">
        <v>527</v>
      </c>
      <c r="Q64" s="492" t="s">
        <v>528</v>
      </c>
      <c r="R64" s="136"/>
      <c r="S64" s="513">
        <v>43894</v>
      </c>
      <c r="T64" s="136"/>
      <c r="U64" s="136"/>
      <c r="V64" s="136"/>
      <c r="W64" s="136"/>
      <c r="X64" s="579">
        <v>100644249379</v>
      </c>
      <c r="Y64" s="136">
        <v>5216452300</v>
      </c>
      <c r="Z64" s="549" t="str">
        <f t="shared" si="2"/>
        <v>Mutyala Poshavva</v>
      </c>
      <c r="AA64" s="518">
        <v>0</v>
      </c>
      <c r="AB64" s="470">
        <v>0</v>
      </c>
      <c r="AC64" s="520">
        <v>10627</v>
      </c>
      <c r="AD64" s="526">
        <v>0</v>
      </c>
      <c r="AE64" s="530">
        <v>0</v>
      </c>
      <c r="AF64" s="523">
        <v>0</v>
      </c>
      <c r="AG64" s="134">
        <v>0</v>
      </c>
      <c r="AH64" s="648">
        <v>0</v>
      </c>
      <c r="AI64" s="648">
        <v>0</v>
      </c>
      <c r="AJ64" s="536">
        <v>0</v>
      </c>
      <c r="AK64" s="532">
        <f t="shared" si="3"/>
        <v>0</v>
      </c>
      <c r="AL64" s="529">
        <v>0</v>
      </c>
      <c r="AM64" s="649">
        <v>0</v>
      </c>
      <c r="AN64" s="536">
        <v>0</v>
      </c>
      <c r="AO64" s="536">
        <v>0</v>
      </c>
      <c r="AP64" s="536">
        <v>0</v>
      </c>
      <c r="AQ64" s="537">
        <f t="shared" si="0"/>
        <v>0</v>
      </c>
      <c r="AR64" s="134">
        <f t="shared" si="6"/>
        <v>0</v>
      </c>
      <c r="AS64" s="135" t="s">
        <v>746</v>
      </c>
      <c r="AT64" s="570" t="s">
        <v>596</v>
      </c>
      <c r="AU64" s="574" t="s">
        <v>596</v>
      </c>
    </row>
    <row r="65" spans="3:47">
      <c r="AA65" s="884">
        <f>SUM(AA15:AA64)</f>
        <v>1160</v>
      </c>
      <c r="AB65" s="884">
        <f>SUM(AB15:AB64)</f>
        <v>0</v>
      </c>
      <c r="AC65" s="884">
        <f>SUM(AC15:AC64)</f>
        <v>587360</v>
      </c>
      <c r="AD65" s="885">
        <f t="shared" ref="AD65:AR65" si="7">SUM(AD15:AD64)</f>
        <v>206470</v>
      </c>
      <c r="AE65" s="885">
        <f t="shared" si="7"/>
        <v>202184.66666666674</v>
      </c>
      <c r="AF65" s="885">
        <f t="shared" si="7"/>
        <v>0</v>
      </c>
      <c r="AG65" s="885">
        <f t="shared" si="7"/>
        <v>4721</v>
      </c>
      <c r="AH65" s="885">
        <f t="shared" si="7"/>
        <v>28474.333333333336</v>
      </c>
      <c r="AI65" s="885">
        <f t="shared" si="7"/>
        <v>16573.266666666674</v>
      </c>
      <c r="AJ65" s="885">
        <f t="shared" si="7"/>
        <v>13171.266666666666</v>
      </c>
      <c r="AK65" s="885">
        <f t="shared" si="7"/>
        <v>471605.53333333362</v>
      </c>
      <c r="AL65" s="885">
        <f t="shared" si="7"/>
        <v>3362</v>
      </c>
      <c r="AM65" s="885">
        <f t="shared" si="7"/>
        <v>52084</v>
      </c>
      <c r="AN65" s="885">
        <f t="shared" si="7"/>
        <v>500</v>
      </c>
      <c r="AO65" s="885">
        <f t="shared" si="7"/>
        <v>0</v>
      </c>
      <c r="AP65" s="885">
        <f t="shared" si="7"/>
        <v>0</v>
      </c>
      <c r="AQ65" s="885">
        <f t="shared" si="7"/>
        <v>55946</v>
      </c>
      <c r="AR65" s="885">
        <f t="shared" si="7"/>
        <v>415659.53333333344</v>
      </c>
      <c r="AS65" s="136"/>
      <c r="AT65" s="136"/>
      <c r="AU65" s="136"/>
    </row>
    <row r="66" spans="3:47">
      <c r="C66" s="873"/>
      <c r="AL66" s="873"/>
      <c r="AM66" s="873"/>
      <c r="AN66" s="873"/>
      <c r="AO66" s="873"/>
      <c r="AP66" s="873"/>
      <c r="AQ66" s="873"/>
    </row>
    <row r="67" spans="3:47">
      <c r="C67" s="873"/>
      <c r="AL67" s="873"/>
      <c r="AM67" s="873"/>
      <c r="AN67" s="873"/>
      <c r="AO67" s="873"/>
      <c r="AP67" s="873"/>
      <c r="AQ67" s="873"/>
    </row>
    <row r="68" spans="3:47">
      <c r="C68" s="873"/>
      <c r="AL68" s="873"/>
      <c r="AM68" s="873"/>
      <c r="AN68" s="873"/>
      <c r="AO68" s="873"/>
      <c r="AP68" s="873"/>
      <c r="AQ68" s="873"/>
    </row>
    <row r="69" spans="3:47">
      <c r="AF69" s="924" t="s">
        <v>29</v>
      </c>
      <c r="AG69" s="924"/>
      <c r="AH69" s="924"/>
      <c r="AI69" s="924"/>
      <c r="AJ69" s="924"/>
      <c r="AK69" s="924"/>
      <c r="AL69" s="924"/>
      <c r="AM69" s="924"/>
      <c r="AN69" s="924"/>
      <c r="AO69" s="924"/>
      <c r="AP69" s="924"/>
      <c r="AQ69" s="924"/>
      <c r="AR69" s="924"/>
      <c r="AS69" s="924"/>
      <c r="AT69" s="924"/>
      <c r="AU69" s="924"/>
    </row>
  </sheetData>
  <mergeCells count="8">
    <mergeCell ref="AF69:AU69"/>
    <mergeCell ref="C3:L3"/>
    <mergeCell ref="AF5:AM5"/>
    <mergeCell ref="C8:E8"/>
    <mergeCell ref="AN9:AU9"/>
    <mergeCell ref="C10:E10"/>
    <mergeCell ref="C5:E5"/>
    <mergeCell ref="AN11:AR11"/>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4.xml><?xml version="1.0" encoding="utf-8"?>
<worksheet xmlns="http://schemas.openxmlformats.org/spreadsheetml/2006/main" xmlns:r="http://schemas.openxmlformats.org/officeDocument/2006/relationships">
  <dimension ref="A1:M2443"/>
  <sheetViews>
    <sheetView view="pageBreakPreview" zoomScaleNormal="110" zoomScaleSheetLayoutView="100" workbookViewId="0">
      <selection activeCell="H20" sqref="H20:L20"/>
    </sheetView>
  </sheetViews>
  <sheetFormatPr defaultRowHeight="14.4"/>
  <cols>
    <col min="7" max="7" width="13.33203125" customWidth="1"/>
    <col min="10" max="10" width="14.5546875" customWidth="1"/>
    <col min="12" max="12" width="22.6640625" customWidth="1"/>
    <col min="13" max="13" width="8.33203125" customWidth="1"/>
  </cols>
  <sheetData>
    <row r="1" spans="1:13" ht="39" customHeight="1">
      <c r="A1" s="68"/>
      <c r="B1" s="960" t="s">
        <v>99</v>
      </c>
      <c r="C1" s="961"/>
      <c r="D1" s="961"/>
      <c r="E1" s="961"/>
      <c r="F1" s="961"/>
      <c r="G1" s="961"/>
      <c r="H1" s="961"/>
      <c r="I1" s="961"/>
      <c r="J1" s="961"/>
      <c r="K1" s="961"/>
      <c r="L1" s="962"/>
      <c r="M1" s="69"/>
    </row>
    <row r="2" spans="1:13" ht="29.4" customHeight="1">
      <c r="A2" s="15"/>
      <c r="B2" s="963" t="s">
        <v>100</v>
      </c>
      <c r="C2" s="964"/>
      <c r="D2" s="964"/>
      <c r="E2" s="964"/>
      <c r="F2" s="964"/>
      <c r="G2" s="964"/>
      <c r="H2" s="964"/>
      <c r="I2" s="964"/>
      <c r="J2" s="964"/>
      <c r="K2" s="964"/>
      <c r="L2" s="965"/>
      <c r="M2" s="16"/>
    </row>
    <row r="3" spans="1:13" ht="20.399999999999999" customHeight="1">
      <c r="A3" s="15"/>
      <c r="B3" s="966" t="s">
        <v>1070</v>
      </c>
      <c r="C3" s="967"/>
      <c r="D3" s="967"/>
      <c r="E3" s="967"/>
      <c r="F3" s="967"/>
      <c r="G3" s="967"/>
      <c r="H3" s="968"/>
      <c r="I3" s="968"/>
      <c r="J3" s="968"/>
      <c r="K3" s="968"/>
      <c r="L3" s="969"/>
      <c r="M3" s="16"/>
    </row>
    <row r="4" spans="1:13">
      <c r="A4" s="15"/>
      <c r="B4" s="970" t="s">
        <v>101</v>
      </c>
      <c r="C4" s="971"/>
      <c r="D4" s="971"/>
      <c r="E4" s="971"/>
      <c r="F4" s="971"/>
      <c r="G4" s="391"/>
      <c r="H4" s="974" t="s">
        <v>102</v>
      </c>
      <c r="I4" s="975"/>
      <c r="J4" s="975"/>
      <c r="K4" s="975"/>
      <c r="L4" s="976"/>
      <c r="M4" s="16"/>
    </row>
    <row r="5" spans="1:13" ht="27.6" customHeight="1">
      <c r="A5" s="15"/>
      <c r="B5" s="972"/>
      <c r="C5" s="973"/>
      <c r="D5" s="973"/>
      <c r="E5" s="973"/>
      <c r="F5" s="973"/>
      <c r="G5" s="395"/>
      <c r="H5" s="977"/>
      <c r="I5" s="978"/>
      <c r="J5" s="978"/>
      <c r="K5" s="978"/>
      <c r="L5" s="979"/>
      <c r="M5" s="16"/>
    </row>
    <row r="6" spans="1:13">
      <c r="A6" s="15"/>
      <c r="B6" s="382"/>
      <c r="C6" s="77"/>
      <c r="D6" s="77"/>
      <c r="E6" s="77"/>
      <c r="F6" s="77"/>
      <c r="G6" s="56"/>
      <c r="H6" s="76"/>
      <c r="I6" s="77"/>
      <c r="J6" s="77"/>
      <c r="K6" s="77"/>
      <c r="L6" s="78"/>
      <c r="M6" s="16"/>
    </row>
    <row r="7" spans="1:13">
      <c r="A7" s="15"/>
      <c r="B7" s="378" t="str">
        <f>Master!F5</f>
        <v>GROTECH LANDSCAPE DEVELOPERS PVT. LTD.</v>
      </c>
      <c r="C7" s="114"/>
      <c r="D7" s="114"/>
      <c r="E7" s="114"/>
      <c r="F7" s="114"/>
      <c r="G7" s="379"/>
      <c r="H7" s="381" t="str">
        <f>Master!AN5</f>
        <v>GROTECH LANDSCAPE DEVELOPERS PVT. LTD.</v>
      </c>
      <c r="I7" s="114"/>
      <c r="J7" s="114"/>
      <c r="K7" s="114"/>
      <c r="L7" s="16"/>
      <c r="M7" s="16"/>
    </row>
    <row r="8" spans="1:13">
      <c r="A8" s="15"/>
      <c r="B8" s="15"/>
      <c r="C8" s="114"/>
      <c r="D8" s="114"/>
      <c r="E8" s="114"/>
      <c r="F8" s="114"/>
      <c r="G8" s="379"/>
      <c r="H8" s="380"/>
      <c r="I8" s="114"/>
      <c r="J8" s="114"/>
      <c r="K8" s="114"/>
      <c r="L8" s="16"/>
      <c r="M8" s="16"/>
    </row>
    <row r="9" spans="1:13">
      <c r="A9" s="15"/>
      <c r="B9" s="538" t="str">
        <f>Master!F6</f>
        <v>290/E, Khanapur Village, Gandipet Mandal, Ranga Reddy, Hyderabad-500075 T.S.</v>
      </c>
      <c r="C9" s="114"/>
      <c r="D9" s="114"/>
      <c r="E9" s="114"/>
      <c r="F9" s="114"/>
      <c r="G9" s="379"/>
      <c r="H9" s="539" t="str">
        <f>Master!AN6</f>
        <v>290/E, Khanapur Village, Gandipet Mandal, Ranga Reddy, Hyderabad-500075 T.S.</v>
      </c>
      <c r="I9" s="114"/>
      <c r="J9" s="114"/>
      <c r="K9" s="114"/>
      <c r="L9" s="16"/>
      <c r="M9" s="16"/>
    </row>
    <row r="10" spans="1:13">
      <c r="A10" s="15"/>
      <c r="B10" s="383"/>
      <c r="C10" s="19"/>
      <c r="D10" s="19"/>
      <c r="E10" s="19"/>
      <c r="F10" s="19"/>
      <c r="G10" s="61"/>
      <c r="H10" s="60"/>
      <c r="I10" s="19"/>
      <c r="J10" s="19"/>
      <c r="K10" s="19"/>
      <c r="L10" s="81"/>
      <c r="M10" s="16"/>
    </row>
    <row r="11" spans="1:13">
      <c r="A11" s="15"/>
      <c r="B11" s="389"/>
      <c r="C11" s="390"/>
      <c r="D11" s="390"/>
      <c r="E11" s="390"/>
      <c r="F11" s="390"/>
      <c r="G11" s="391"/>
      <c r="H11" s="396"/>
      <c r="I11" s="390"/>
      <c r="J11" s="390" t="s">
        <v>103</v>
      </c>
      <c r="K11" s="390"/>
      <c r="L11" s="397"/>
      <c r="M11" s="16"/>
    </row>
    <row r="12" spans="1:13">
      <c r="A12" s="15"/>
      <c r="B12" s="980" t="s">
        <v>104</v>
      </c>
      <c r="C12" s="981"/>
      <c r="D12" s="981"/>
      <c r="E12" s="981"/>
      <c r="F12" s="981"/>
      <c r="G12" s="392"/>
      <c r="H12" s="982" t="s">
        <v>4</v>
      </c>
      <c r="I12" s="981"/>
      <c r="J12" s="981"/>
      <c r="K12" s="981"/>
      <c r="L12" s="983"/>
      <c r="M12" s="16"/>
    </row>
    <row r="13" spans="1:13" ht="18.600000000000001" customHeight="1">
      <c r="A13" s="15"/>
      <c r="B13" s="393"/>
      <c r="C13" s="394"/>
      <c r="D13" s="394"/>
      <c r="E13" s="394"/>
      <c r="F13" s="394"/>
      <c r="G13" s="395"/>
      <c r="H13" s="398"/>
      <c r="I13" s="394"/>
      <c r="J13" s="394"/>
      <c r="K13" s="394"/>
      <c r="L13" s="399"/>
      <c r="M13" s="16"/>
    </row>
    <row r="14" spans="1:13">
      <c r="A14" s="15"/>
      <c r="B14" s="382"/>
      <c r="C14" s="77"/>
      <c r="D14" s="77"/>
      <c r="E14" s="77"/>
      <c r="F14" s="77"/>
      <c r="G14" s="56"/>
      <c r="H14" s="74"/>
      <c r="I14" s="74"/>
      <c r="J14" s="74"/>
      <c r="K14" s="74"/>
      <c r="L14" s="384"/>
      <c r="M14" s="16"/>
    </row>
    <row r="15" spans="1:13">
      <c r="A15" s="15"/>
      <c r="B15" s="15"/>
      <c r="C15" s="114"/>
      <c r="D15" s="114"/>
      <c r="E15" s="114"/>
      <c r="F15" s="114"/>
      <c r="G15" s="379"/>
      <c r="H15" s="115" t="str">
        <f>'Muster Roll'!Z6</f>
        <v>INDIAN SCHOOL OF BUSINESS</v>
      </c>
      <c r="I15" s="115"/>
      <c r="J15" s="115"/>
      <c r="K15" s="115"/>
      <c r="L15" s="71"/>
      <c r="M15" s="16"/>
    </row>
    <row r="16" spans="1:13">
      <c r="A16" s="15"/>
      <c r="B16" s="70" t="str">
        <f>'Muster Roll'!D4</f>
        <v>GARDENING SERVICES&amp;ISB HYDERABAD</v>
      </c>
      <c r="C16" s="114"/>
      <c r="D16" s="114"/>
      <c r="E16" s="114"/>
      <c r="F16" s="114"/>
      <c r="G16" s="379"/>
      <c r="H16" s="115"/>
      <c r="I16" s="115"/>
      <c r="J16" s="115"/>
      <c r="K16" s="115"/>
      <c r="L16" s="71"/>
      <c r="M16" s="16"/>
    </row>
    <row r="17" spans="1:13">
      <c r="A17" s="15"/>
      <c r="B17" s="15"/>
      <c r="C17" s="114"/>
      <c r="D17" s="114"/>
      <c r="E17" s="114"/>
      <c r="F17" s="114"/>
      <c r="G17" s="379"/>
      <c r="H17" s="115" t="str">
        <f>'Muster Roll'!Z7</f>
        <v>Opp.Infosys Limited,Gachibowli,Hyderabad</v>
      </c>
      <c r="I17" s="115"/>
      <c r="J17" s="115"/>
      <c r="K17" s="115"/>
      <c r="L17" s="71"/>
      <c r="M17" s="16"/>
    </row>
    <row r="18" spans="1:13">
      <c r="A18" s="15"/>
      <c r="B18" s="383"/>
      <c r="C18" s="19"/>
      <c r="D18" s="19"/>
      <c r="E18" s="19"/>
      <c r="F18" s="19"/>
      <c r="G18" s="61"/>
      <c r="H18" s="79"/>
      <c r="I18" s="79"/>
      <c r="J18" s="79"/>
      <c r="K18" s="79"/>
      <c r="L18" s="385"/>
      <c r="M18" s="16"/>
    </row>
    <row r="19" spans="1:13" ht="30" customHeight="1">
      <c r="A19" s="15"/>
      <c r="B19" s="948" t="s">
        <v>105</v>
      </c>
      <c r="C19" s="949"/>
      <c r="D19" s="949"/>
      <c r="E19" s="949"/>
      <c r="F19" s="949"/>
      <c r="G19" s="949"/>
      <c r="H19" s="950" t="str">
        <f>Master!D15</f>
        <v>ARJUN KUMAR</v>
      </c>
      <c r="I19" s="951"/>
      <c r="J19" s="951"/>
      <c r="K19" s="951"/>
      <c r="L19" s="952"/>
      <c r="M19" s="16"/>
    </row>
    <row r="20" spans="1:13" ht="30" customHeight="1">
      <c r="A20" s="15"/>
      <c r="B20" s="948"/>
      <c r="C20" s="949"/>
      <c r="D20" s="949"/>
      <c r="E20" s="949"/>
      <c r="F20" s="949"/>
      <c r="G20" s="949"/>
      <c r="H20" s="950" t="str">
        <f>Master!K15</f>
        <v>Village - Dharai</v>
      </c>
      <c r="I20" s="951"/>
      <c r="J20" s="951"/>
      <c r="K20" s="951"/>
      <c r="L20" s="952"/>
      <c r="M20" s="16"/>
    </row>
    <row r="21" spans="1:13" ht="30" customHeight="1">
      <c r="A21" s="15"/>
      <c r="B21" s="948"/>
      <c r="C21" s="949"/>
      <c r="D21" s="949"/>
      <c r="E21" s="949"/>
      <c r="F21" s="949"/>
      <c r="G21" s="949"/>
      <c r="H21" s="950" t="str">
        <f>Master!L15</f>
        <v>Amethi</v>
      </c>
      <c r="I21" s="951"/>
      <c r="J21" s="951"/>
      <c r="K21" s="951"/>
      <c r="L21" s="952"/>
      <c r="M21" s="16"/>
    </row>
    <row r="22" spans="1:13" ht="30" customHeight="1">
      <c r="A22" s="15"/>
      <c r="B22" s="948"/>
      <c r="C22" s="949"/>
      <c r="D22" s="949"/>
      <c r="E22" s="949"/>
      <c r="F22" s="949"/>
      <c r="G22" s="949"/>
      <c r="H22" s="950" t="str">
        <f>Master!M15</f>
        <v>Uttar pradesh - 229127</v>
      </c>
      <c r="I22" s="951"/>
      <c r="J22" s="951"/>
      <c r="K22" s="951"/>
      <c r="L22" s="952"/>
      <c r="M22" s="16"/>
    </row>
    <row r="23" spans="1:13" ht="30" customHeight="1">
      <c r="A23" s="73"/>
      <c r="B23" s="948"/>
      <c r="C23" s="949"/>
      <c r="D23" s="949"/>
      <c r="E23" s="949"/>
      <c r="F23" s="949"/>
      <c r="G23" s="949"/>
      <c r="H23" s="989">
        <f>Master!N15</f>
        <v>0</v>
      </c>
      <c r="I23" s="990"/>
      <c r="J23" s="990"/>
      <c r="K23" s="990"/>
      <c r="L23" s="991"/>
      <c r="M23" s="16"/>
    </row>
    <row r="24" spans="1:13" ht="30" customHeight="1">
      <c r="A24" s="73"/>
      <c r="B24" s="984" t="s">
        <v>106</v>
      </c>
      <c r="C24" s="985"/>
      <c r="D24" s="985"/>
      <c r="E24" s="985"/>
      <c r="F24" s="985"/>
      <c r="G24" s="985"/>
      <c r="H24" s="947">
        <f>Master!C15</f>
        <v>2</v>
      </c>
      <c r="I24" s="945"/>
      <c r="J24" s="945"/>
      <c r="K24" s="945"/>
      <c r="L24" s="946"/>
      <c r="M24" s="16"/>
    </row>
    <row r="25" spans="1:13" ht="30" customHeight="1">
      <c r="A25" s="73"/>
      <c r="B25" s="943" t="s">
        <v>107</v>
      </c>
      <c r="C25" s="944"/>
      <c r="D25" s="944"/>
      <c r="E25" s="944"/>
      <c r="F25" s="944"/>
      <c r="G25" s="944"/>
      <c r="H25" s="947" t="str">
        <f>Master!J15</f>
        <v>Supervisor</v>
      </c>
      <c r="I25" s="945"/>
      <c r="J25" s="945"/>
      <c r="K25" s="945"/>
      <c r="L25" s="946"/>
      <c r="M25" s="16"/>
    </row>
    <row r="26" spans="1:13" ht="30" customHeight="1">
      <c r="A26" s="73"/>
      <c r="B26" s="943" t="s">
        <v>108</v>
      </c>
      <c r="C26" s="944"/>
      <c r="D26" s="944"/>
      <c r="E26" s="944"/>
      <c r="F26" s="944"/>
      <c r="G26" s="944"/>
      <c r="H26" s="957">
        <f>Master!S15</f>
        <v>43850</v>
      </c>
      <c r="I26" s="958"/>
      <c r="J26" s="958"/>
      <c r="K26" s="958"/>
      <c r="L26" s="959"/>
      <c r="M26" s="16"/>
    </row>
    <row r="27" spans="1:13" ht="30" customHeight="1">
      <c r="A27" s="73"/>
      <c r="B27" s="386" t="s">
        <v>109</v>
      </c>
      <c r="C27" s="116"/>
      <c r="D27" s="116"/>
      <c r="E27" s="116"/>
      <c r="F27" s="116"/>
      <c r="G27" s="116"/>
      <c r="H27" s="989">
        <f>Master!Y15</f>
        <v>2016384651</v>
      </c>
      <c r="I27" s="990"/>
      <c r="J27" s="990"/>
      <c r="K27" s="990"/>
      <c r="L27" s="991"/>
      <c r="M27" s="16"/>
    </row>
    <row r="28" spans="1:13" ht="30" customHeight="1">
      <c r="A28" s="73"/>
      <c r="B28" s="386" t="s">
        <v>110</v>
      </c>
      <c r="C28" s="116"/>
      <c r="D28" s="116"/>
      <c r="E28" s="116"/>
      <c r="F28" s="116"/>
      <c r="G28" s="119"/>
      <c r="H28" s="947" t="str">
        <f>Master!X15</f>
        <v>N/A</v>
      </c>
      <c r="I28" s="947"/>
      <c r="J28" s="947"/>
      <c r="K28" s="947"/>
      <c r="L28" s="953"/>
      <c r="M28" s="16"/>
    </row>
    <row r="29" spans="1:13" ht="30" customHeight="1">
      <c r="A29" s="73"/>
      <c r="B29" s="954" t="s">
        <v>111</v>
      </c>
      <c r="C29" s="955"/>
      <c r="D29" s="955"/>
      <c r="E29" s="955"/>
      <c r="F29" s="955"/>
      <c r="G29" s="955"/>
      <c r="H29" s="950">
        <f>Master!AC15</f>
        <v>20000</v>
      </c>
      <c r="I29" s="951"/>
      <c r="J29" s="951"/>
      <c r="K29" s="951"/>
      <c r="L29" s="952"/>
      <c r="M29" s="16"/>
    </row>
    <row r="30" spans="1:13" ht="30" customHeight="1">
      <c r="A30" s="73"/>
      <c r="B30" s="943" t="s">
        <v>112</v>
      </c>
      <c r="C30" s="944"/>
      <c r="D30" s="944"/>
      <c r="E30" s="944"/>
      <c r="F30" s="944"/>
      <c r="G30" s="944"/>
      <c r="H30" s="956">
        <f>Master!F10</f>
        <v>44652</v>
      </c>
      <c r="I30" s="945"/>
      <c r="J30" s="945"/>
      <c r="K30" s="945"/>
      <c r="L30" s="946"/>
      <c r="M30" s="16"/>
    </row>
    <row r="31" spans="1:13" ht="30" customHeight="1">
      <c r="A31" s="15"/>
      <c r="B31" s="943" t="s">
        <v>113</v>
      </c>
      <c r="C31" s="944"/>
      <c r="D31" s="944"/>
      <c r="E31" s="944"/>
      <c r="F31" s="944"/>
      <c r="G31" s="944"/>
      <c r="H31" s="945" t="s">
        <v>114</v>
      </c>
      <c r="I31" s="945"/>
      <c r="J31" s="945"/>
      <c r="K31" s="945"/>
      <c r="L31" s="946"/>
      <c r="M31" s="16"/>
    </row>
    <row r="32" spans="1:13" ht="30" customHeight="1">
      <c r="A32" s="15"/>
      <c r="B32" s="386" t="s">
        <v>115</v>
      </c>
      <c r="C32" s="116"/>
      <c r="D32" s="116"/>
      <c r="E32" s="116"/>
      <c r="F32" s="116"/>
      <c r="G32" s="119"/>
      <c r="H32" s="947">
        <f>Master!AA15</f>
        <v>30</v>
      </c>
      <c r="I32" s="945"/>
      <c r="J32" s="945"/>
      <c r="K32" s="945"/>
      <c r="L32" s="946"/>
      <c r="M32" s="16"/>
    </row>
    <row r="33" spans="1:13" ht="30" customHeight="1">
      <c r="A33" s="15"/>
      <c r="B33" s="386" t="s">
        <v>116</v>
      </c>
      <c r="C33" s="116"/>
      <c r="D33" s="116"/>
      <c r="E33" s="116"/>
      <c r="F33" s="116"/>
      <c r="G33" s="119"/>
      <c r="H33" s="986" t="s">
        <v>28</v>
      </c>
      <c r="I33" s="987"/>
      <c r="J33" s="987"/>
      <c r="K33" s="987"/>
      <c r="L33" s="988"/>
      <c r="M33" s="16"/>
    </row>
    <row r="34" spans="1:13" ht="30" customHeight="1">
      <c r="A34" s="15"/>
      <c r="B34" s="386" t="s">
        <v>117</v>
      </c>
      <c r="C34" s="116"/>
      <c r="D34" s="116"/>
      <c r="E34" s="116"/>
      <c r="F34" s="116"/>
      <c r="G34" s="119"/>
      <c r="H34" s="989">
        <v>0</v>
      </c>
      <c r="I34" s="990"/>
      <c r="J34" s="990"/>
      <c r="K34" s="990"/>
      <c r="L34" s="991"/>
      <c r="M34" s="16"/>
    </row>
    <row r="35" spans="1:13" ht="30" customHeight="1">
      <c r="A35" s="15"/>
      <c r="B35" s="386" t="s">
        <v>118</v>
      </c>
      <c r="C35" s="116"/>
      <c r="D35" s="116"/>
      <c r="E35" s="116"/>
      <c r="F35" s="116"/>
      <c r="G35" s="119"/>
      <c r="H35" s="986">
        <v>0</v>
      </c>
      <c r="I35" s="987"/>
      <c r="J35" s="987"/>
      <c r="K35" s="987"/>
      <c r="L35" s="988"/>
      <c r="M35" s="16"/>
    </row>
    <row r="36" spans="1:13" ht="30" customHeight="1">
      <c r="A36" s="15"/>
      <c r="B36" s="386" t="s">
        <v>119</v>
      </c>
      <c r="C36" s="116"/>
      <c r="D36" s="116"/>
      <c r="E36" s="116"/>
      <c r="F36" s="116"/>
      <c r="G36" s="119"/>
      <c r="H36" s="640"/>
      <c r="I36" s="641"/>
      <c r="J36" s="990">
        <f>Master!AK15</f>
        <v>20000</v>
      </c>
      <c r="K36" s="992"/>
      <c r="L36" s="645" t="s">
        <v>737</v>
      </c>
      <c r="M36" s="16"/>
    </row>
    <row r="37" spans="1:13" ht="30" customHeight="1">
      <c r="A37" s="15"/>
      <c r="B37" s="386" t="s">
        <v>120</v>
      </c>
      <c r="C37" s="116"/>
      <c r="D37" s="644" t="s">
        <v>24</v>
      </c>
      <c r="E37" s="646">
        <f>Master!AM15</f>
        <v>0</v>
      </c>
      <c r="F37" s="644" t="s">
        <v>23</v>
      </c>
      <c r="G37" s="646">
        <f>Master!AL15</f>
        <v>150</v>
      </c>
      <c r="H37" s="644" t="s">
        <v>25</v>
      </c>
      <c r="I37" s="646">
        <f>Master!AN15</f>
        <v>150</v>
      </c>
      <c r="J37" s="644" t="s">
        <v>26</v>
      </c>
      <c r="K37" s="646">
        <f>Master!AO15</f>
        <v>0</v>
      </c>
      <c r="L37" s="400">
        <f>Master!AP15</f>
        <v>0</v>
      </c>
      <c r="M37" s="16"/>
    </row>
    <row r="38" spans="1:13" ht="30" customHeight="1">
      <c r="A38" s="15"/>
      <c r="B38" s="386" t="s">
        <v>121</v>
      </c>
      <c r="C38" s="116"/>
      <c r="D38" s="116"/>
      <c r="E38" s="116"/>
      <c r="F38" s="116"/>
      <c r="G38" s="119"/>
      <c r="H38" s="640"/>
      <c r="I38" s="641"/>
      <c r="J38" s="643">
        <f>Master!AR15</f>
        <v>19700</v>
      </c>
      <c r="K38" s="641"/>
      <c r="L38" s="642"/>
      <c r="M38" s="16"/>
    </row>
    <row r="39" spans="1:13" ht="27.9" customHeight="1">
      <c r="A39" s="15"/>
      <c r="B39" s="387" t="s">
        <v>122</v>
      </c>
      <c r="C39" s="74"/>
      <c r="D39" s="74"/>
      <c r="E39" s="74"/>
      <c r="F39" s="74"/>
      <c r="G39" s="75"/>
      <c r="H39" s="76"/>
      <c r="I39" s="77"/>
      <c r="J39" s="77"/>
      <c r="K39" s="77"/>
      <c r="L39" s="78"/>
      <c r="M39" s="16"/>
    </row>
    <row r="40" spans="1:13" ht="27.9" customHeight="1">
      <c r="A40" s="15"/>
      <c r="B40" s="388" t="s">
        <v>123</v>
      </c>
      <c r="C40" s="79"/>
      <c r="D40" s="79"/>
      <c r="E40" s="79"/>
      <c r="F40" s="79"/>
      <c r="G40" s="80"/>
      <c r="H40" s="60"/>
      <c r="I40" s="19"/>
      <c r="J40" s="19"/>
      <c r="K40" s="19"/>
      <c r="L40" s="81"/>
      <c r="M40" s="16"/>
    </row>
    <row r="41" spans="1:13">
      <c r="A41" s="15"/>
      <c r="B41" s="15"/>
      <c r="C41" s="114"/>
      <c r="D41" s="114"/>
      <c r="E41" s="114"/>
      <c r="F41" s="114"/>
      <c r="G41" s="114"/>
      <c r="H41" s="114"/>
      <c r="I41" s="114"/>
      <c r="J41" s="114"/>
      <c r="K41" s="114"/>
      <c r="L41" s="16"/>
      <c r="M41" s="16"/>
    </row>
    <row r="42" spans="1:13" ht="15" thickBot="1">
      <c r="A42" s="27"/>
      <c r="B42" s="27"/>
      <c r="C42" s="25"/>
      <c r="D42" s="25"/>
      <c r="E42" s="25"/>
      <c r="F42" s="25"/>
      <c r="G42" s="25"/>
      <c r="H42" s="25"/>
      <c r="I42" s="25"/>
      <c r="J42" s="25"/>
      <c r="K42" s="25"/>
      <c r="L42" s="26"/>
      <c r="M42" s="26"/>
    </row>
    <row r="43" spans="1:13">
      <c r="A43" s="856"/>
      <c r="B43" s="856"/>
      <c r="C43" s="856"/>
      <c r="D43" s="856"/>
      <c r="E43" s="856"/>
      <c r="F43" s="856"/>
      <c r="G43" s="856"/>
      <c r="H43" s="856"/>
      <c r="I43" s="856"/>
      <c r="J43" s="856"/>
      <c r="K43" s="856"/>
      <c r="L43" s="856"/>
      <c r="M43" s="856"/>
    </row>
    <row r="44" spans="1:13" ht="15" thickBot="1">
      <c r="A44" s="114"/>
      <c r="B44" s="114"/>
      <c r="C44" s="114"/>
      <c r="D44" s="114"/>
      <c r="E44" s="114"/>
      <c r="F44" s="114"/>
      <c r="G44" s="114"/>
      <c r="H44" s="114"/>
      <c r="I44" s="114"/>
      <c r="J44" s="114"/>
      <c r="K44" s="114"/>
      <c r="L44" s="114"/>
      <c r="M44" s="114"/>
    </row>
    <row r="45" spans="1:13" ht="32.4">
      <c r="A45" s="68"/>
      <c r="B45" s="960" t="s">
        <v>99</v>
      </c>
      <c r="C45" s="961"/>
      <c r="D45" s="961"/>
      <c r="E45" s="961"/>
      <c r="F45" s="961"/>
      <c r="G45" s="961"/>
      <c r="H45" s="961"/>
      <c r="I45" s="961"/>
      <c r="J45" s="961"/>
      <c r="K45" s="961"/>
      <c r="L45" s="962"/>
      <c r="M45" s="69"/>
    </row>
    <row r="46" spans="1:13" ht="23.4">
      <c r="A46" s="15"/>
      <c r="B46" s="963" t="s">
        <v>100</v>
      </c>
      <c r="C46" s="964"/>
      <c r="D46" s="964"/>
      <c r="E46" s="964"/>
      <c r="F46" s="964"/>
      <c r="G46" s="964"/>
      <c r="H46" s="964"/>
      <c r="I46" s="964"/>
      <c r="J46" s="964"/>
      <c r="K46" s="964"/>
      <c r="L46" s="965"/>
      <c r="M46" s="16"/>
    </row>
    <row r="47" spans="1:13" ht="15.6">
      <c r="A47" s="15"/>
      <c r="B47" s="966" t="s">
        <v>1070</v>
      </c>
      <c r="C47" s="967"/>
      <c r="D47" s="967"/>
      <c r="E47" s="967"/>
      <c r="F47" s="967"/>
      <c r="G47" s="967"/>
      <c r="H47" s="968"/>
      <c r="I47" s="968"/>
      <c r="J47" s="968"/>
      <c r="K47" s="968"/>
      <c r="L47" s="969"/>
      <c r="M47" s="16"/>
    </row>
    <row r="48" spans="1:13">
      <c r="A48" s="15"/>
      <c r="B48" s="970" t="s">
        <v>101</v>
      </c>
      <c r="C48" s="971"/>
      <c r="D48" s="971"/>
      <c r="E48" s="971"/>
      <c r="F48" s="971"/>
      <c r="G48" s="391"/>
      <c r="H48" s="974" t="s">
        <v>102</v>
      </c>
      <c r="I48" s="975"/>
      <c r="J48" s="975"/>
      <c r="K48" s="975"/>
      <c r="L48" s="976"/>
      <c r="M48" s="16"/>
    </row>
    <row r="49" spans="1:13">
      <c r="A49" s="15"/>
      <c r="B49" s="972"/>
      <c r="C49" s="973"/>
      <c r="D49" s="973"/>
      <c r="E49" s="973"/>
      <c r="F49" s="973"/>
      <c r="G49" s="395"/>
      <c r="H49" s="977"/>
      <c r="I49" s="978"/>
      <c r="J49" s="978"/>
      <c r="K49" s="978"/>
      <c r="L49" s="979"/>
      <c r="M49" s="16"/>
    </row>
    <row r="50" spans="1:13">
      <c r="A50" s="15"/>
      <c r="B50" s="382"/>
      <c r="C50" s="77"/>
      <c r="D50" s="77"/>
      <c r="E50" s="77"/>
      <c r="F50" s="77"/>
      <c r="G50" s="56"/>
      <c r="H50" s="76"/>
      <c r="I50" s="77"/>
      <c r="J50" s="77"/>
      <c r="K50" s="77"/>
      <c r="L50" s="78"/>
      <c r="M50" s="16"/>
    </row>
    <row r="51" spans="1:13">
      <c r="A51" s="15"/>
      <c r="B51" s="378" t="str">
        <f>Master!F5</f>
        <v>GROTECH LANDSCAPE DEVELOPERS PVT. LTD.</v>
      </c>
      <c r="C51" s="114"/>
      <c r="D51" s="114"/>
      <c r="E51" s="114"/>
      <c r="F51" s="114"/>
      <c r="G51" s="379"/>
      <c r="H51" s="381" t="str">
        <f>Master!AN5</f>
        <v>GROTECH LANDSCAPE DEVELOPERS PVT. LTD.</v>
      </c>
      <c r="I51" s="114"/>
      <c r="J51" s="114"/>
      <c r="K51" s="114"/>
      <c r="L51" s="16"/>
      <c r="M51" s="16"/>
    </row>
    <row r="52" spans="1:13">
      <c r="A52" s="15"/>
      <c r="B52" s="15"/>
      <c r="C52" s="114"/>
      <c r="D52" s="114"/>
      <c r="E52" s="114"/>
      <c r="F52" s="114"/>
      <c r="G52" s="379"/>
      <c r="H52" s="380"/>
      <c r="I52" s="114"/>
      <c r="J52" s="114"/>
      <c r="K52" s="114"/>
      <c r="L52" s="16"/>
      <c r="M52" s="16"/>
    </row>
    <row r="53" spans="1:13">
      <c r="A53" s="15"/>
      <c r="B53" s="538" t="str">
        <f>Master!F6</f>
        <v>290/E, Khanapur Village, Gandipet Mandal, Ranga Reddy, Hyderabad-500075 T.S.</v>
      </c>
      <c r="C53" s="114"/>
      <c r="D53" s="114"/>
      <c r="E53" s="114"/>
      <c r="F53" s="114"/>
      <c r="G53" s="379"/>
      <c r="H53" s="539" t="str">
        <f>Master!AN6</f>
        <v>290/E, Khanapur Village, Gandipet Mandal, Ranga Reddy, Hyderabad-500075 T.S.</v>
      </c>
      <c r="I53" s="114"/>
      <c r="J53" s="114"/>
      <c r="K53" s="114"/>
      <c r="L53" s="16"/>
      <c r="M53" s="16"/>
    </row>
    <row r="54" spans="1:13">
      <c r="A54" s="15"/>
      <c r="B54" s="383"/>
      <c r="C54" s="19"/>
      <c r="D54" s="19"/>
      <c r="E54" s="19"/>
      <c r="F54" s="19"/>
      <c r="G54" s="61"/>
      <c r="H54" s="60"/>
      <c r="I54" s="19"/>
      <c r="J54" s="19"/>
      <c r="K54" s="19"/>
      <c r="L54" s="81"/>
      <c r="M54" s="16"/>
    </row>
    <row r="55" spans="1:13">
      <c r="A55" s="15"/>
      <c r="B55" s="389"/>
      <c r="C55" s="390"/>
      <c r="D55" s="390"/>
      <c r="E55" s="390"/>
      <c r="F55" s="390"/>
      <c r="G55" s="391"/>
      <c r="H55" s="396"/>
      <c r="I55" s="390"/>
      <c r="J55" s="390" t="s">
        <v>103</v>
      </c>
      <c r="K55" s="390"/>
      <c r="L55" s="397"/>
      <c r="M55" s="16"/>
    </row>
    <row r="56" spans="1:13">
      <c r="A56" s="15"/>
      <c r="B56" s="980" t="s">
        <v>104</v>
      </c>
      <c r="C56" s="981"/>
      <c r="D56" s="981"/>
      <c r="E56" s="981"/>
      <c r="F56" s="981"/>
      <c r="G56" s="392"/>
      <c r="H56" s="982" t="s">
        <v>4</v>
      </c>
      <c r="I56" s="981"/>
      <c r="J56" s="981"/>
      <c r="K56" s="981"/>
      <c r="L56" s="983"/>
      <c r="M56" s="16"/>
    </row>
    <row r="57" spans="1:13">
      <c r="A57" s="15"/>
      <c r="B57" s="393"/>
      <c r="C57" s="394"/>
      <c r="D57" s="394"/>
      <c r="E57" s="394"/>
      <c r="F57" s="394"/>
      <c r="G57" s="395"/>
      <c r="H57" s="398"/>
      <c r="I57" s="394"/>
      <c r="J57" s="394"/>
      <c r="K57" s="394"/>
      <c r="L57" s="399"/>
      <c r="M57" s="16"/>
    </row>
    <row r="58" spans="1:13">
      <c r="A58" s="15"/>
      <c r="B58" s="382"/>
      <c r="C58" s="77"/>
      <c r="D58" s="77"/>
      <c r="E58" s="77"/>
      <c r="F58" s="77"/>
      <c r="G58" s="56"/>
      <c r="H58" s="74"/>
      <c r="I58" s="74"/>
      <c r="J58" s="74"/>
      <c r="K58" s="74"/>
      <c r="L58" s="384"/>
      <c r="M58" s="16"/>
    </row>
    <row r="59" spans="1:13">
      <c r="A59" s="15"/>
      <c r="B59" s="15"/>
      <c r="C59" s="114"/>
      <c r="D59" s="114"/>
      <c r="E59" s="114"/>
      <c r="F59" s="114"/>
      <c r="G59" s="379"/>
      <c r="H59" s="115" t="str">
        <f>Master!AN10</f>
        <v>INDIAN SCHOOL OF BUSINESS</v>
      </c>
      <c r="I59" s="115"/>
      <c r="J59" s="115"/>
      <c r="K59" s="115"/>
      <c r="L59" s="71"/>
      <c r="M59" s="16"/>
    </row>
    <row r="60" spans="1:13">
      <c r="A60" s="15"/>
      <c r="B60" s="70" t="str">
        <f>Master!F8</f>
        <v>GARDENING SERVICES&amp;ISB HYDERABAD</v>
      </c>
      <c r="C60" s="114"/>
      <c r="D60" s="114"/>
      <c r="E60" s="114"/>
      <c r="F60" s="114"/>
      <c r="G60" s="379"/>
      <c r="H60" s="115"/>
      <c r="I60" s="115"/>
      <c r="J60" s="115"/>
      <c r="K60" s="115"/>
      <c r="L60" s="71"/>
      <c r="M60" s="16"/>
    </row>
    <row r="61" spans="1:13">
      <c r="A61" s="15"/>
      <c r="B61" s="15"/>
      <c r="C61" s="114"/>
      <c r="D61" s="114"/>
      <c r="E61" s="114"/>
      <c r="F61" s="114"/>
      <c r="G61" s="379"/>
      <c r="H61" s="115" t="str">
        <f>Master!AN11</f>
        <v>Opp.Infosys Limited,Gachibowli,Hyderabad</v>
      </c>
      <c r="I61" s="115"/>
      <c r="J61" s="115"/>
      <c r="K61" s="115"/>
      <c r="L61" s="71"/>
      <c r="M61" s="16"/>
    </row>
    <row r="62" spans="1:13">
      <c r="A62" s="15"/>
      <c r="B62" s="383"/>
      <c r="C62" s="19"/>
      <c r="D62" s="19"/>
      <c r="E62" s="19"/>
      <c r="F62" s="19"/>
      <c r="G62" s="61"/>
      <c r="H62" s="79"/>
      <c r="I62" s="79"/>
      <c r="J62" s="79"/>
      <c r="K62" s="79"/>
      <c r="L62" s="385"/>
      <c r="M62" s="16"/>
    </row>
    <row r="63" spans="1:13" ht="30" customHeight="1">
      <c r="A63" s="15"/>
      <c r="B63" s="948" t="s">
        <v>105</v>
      </c>
      <c r="C63" s="949"/>
      <c r="D63" s="949"/>
      <c r="E63" s="949"/>
      <c r="F63" s="949"/>
      <c r="G63" s="949"/>
      <c r="H63" s="950" t="str">
        <f>Master!D16</f>
        <v>GAJAN SINGH</v>
      </c>
      <c r="I63" s="951"/>
      <c r="J63" s="951"/>
      <c r="K63" s="951"/>
      <c r="L63" s="952"/>
      <c r="M63" s="16"/>
    </row>
    <row r="64" spans="1:13" ht="30" customHeight="1">
      <c r="A64" s="15"/>
      <c r="B64" s="948"/>
      <c r="C64" s="949"/>
      <c r="D64" s="949"/>
      <c r="E64" s="949"/>
      <c r="F64" s="949"/>
      <c r="G64" s="949"/>
      <c r="H64" s="950" t="str">
        <f>Master!K16</f>
        <v>Village - Uncha gaon, Pikhani,</v>
      </c>
      <c r="I64" s="951"/>
      <c r="J64" s="951"/>
      <c r="K64" s="951"/>
      <c r="L64" s="952"/>
      <c r="M64" s="16"/>
    </row>
    <row r="65" spans="1:13" ht="30" customHeight="1">
      <c r="A65" s="15"/>
      <c r="B65" s="948"/>
      <c r="C65" s="949"/>
      <c r="D65" s="949"/>
      <c r="E65" s="949"/>
      <c r="F65" s="949"/>
      <c r="G65" s="949"/>
      <c r="H65" s="950" t="str">
        <f>Master!L16</f>
        <v xml:space="preserve">Bulandshahr, </v>
      </c>
      <c r="I65" s="951"/>
      <c r="J65" s="951"/>
      <c r="K65" s="951"/>
      <c r="L65" s="952"/>
      <c r="M65" s="16"/>
    </row>
    <row r="66" spans="1:13" ht="30" customHeight="1">
      <c r="A66" s="73"/>
      <c r="B66" s="948"/>
      <c r="C66" s="949"/>
      <c r="D66" s="949"/>
      <c r="E66" s="949"/>
      <c r="F66" s="949"/>
      <c r="G66" s="949"/>
      <c r="H66" s="950" t="str">
        <f>Master!M16</f>
        <v>Uttar pradesh - 202398</v>
      </c>
      <c r="I66" s="951"/>
      <c r="J66" s="951"/>
      <c r="K66" s="951"/>
      <c r="L66" s="952"/>
      <c r="M66" s="16"/>
    </row>
    <row r="67" spans="1:13" ht="30" customHeight="1">
      <c r="A67" s="73"/>
      <c r="B67" s="948"/>
      <c r="C67" s="949"/>
      <c r="D67" s="949"/>
      <c r="E67" s="949"/>
      <c r="F67" s="949"/>
      <c r="G67" s="949"/>
      <c r="H67" s="950">
        <f>Master!N16</f>
        <v>0</v>
      </c>
      <c r="I67" s="951"/>
      <c r="J67" s="951"/>
      <c r="K67" s="951"/>
      <c r="L67" s="952"/>
      <c r="M67" s="16"/>
    </row>
    <row r="68" spans="1:13" ht="30" customHeight="1">
      <c r="A68" s="73"/>
      <c r="B68" s="984" t="s">
        <v>106</v>
      </c>
      <c r="C68" s="985"/>
      <c r="D68" s="985"/>
      <c r="E68" s="985"/>
      <c r="F68" s="985"/>
      <c r="G68" s="985"/>
      <c r="H68" s="947">
        <f>Master!C16</f>
        <v>3</v>
      </c>
      <c r="I68" s="945"/>
      <c r="J68" s="945"/>
      <c r="K68" s="945"/>
      <c r="L68" s="946"/>
      <c r="M68" s="16"/>
    </row>
    <row r="69" spans="1:13" ht="30" customHeight="1">
      <c r="A69" s="73"/>
      <c r="B69" s="943" t="s">
        <v>107</v>
      </c>
      <c r="C69" s="944"/>
      <c r="D69" s="944"/>
      <c r="E69" s="944"/>
      <c r="F69" s="944"/>
      <c r="G69" s="944"/>
      <c r="H69" s="947" t="str">
        <f>Master!J16</f>
        <v>Supervisor</v>
      </c>
      <c r="I69" s="945"/>
      <c r="J69" s="945"/>
      <c r="K69" s="945"/>
      <c r="L69" s="946"/>
      <c r="M69" s="16"/>
    </row>
    <row r="70" spans="1:13" ht="30" customHeight="1">
      <c r="A70" s="73"/>
      <c r="B70" s="943" t="s">
        <v>108</v>
      </c>
      <c r="C70" s="944"/>
      <c r="D70" s="944"/>
      <c r="E70" s="944"/>
      <c r="F70" s="944"/>
      <c r="G70" s="944"/>
      <c r="H70" s="957">
        <f>Master!S16</f>
        <v>43850</v>
      </c>
      <c r="I70" s="958"/>
      <c r="J70" s="958"/>
      <c r="K70" s="958"/>
      <c r="L70" s="959"/>
      <c r="M70" s="16"/>
    </row>
    <row r="71" spans="1:13" ht="30" customHeight="1">
      <c r="A71" s="73"/>
      <c r="B71" s="386" t="s">
        <v>109</v>
      </c>
      <c r="C71" s="116"/>
      <c r="D71" s="116"/>
      <c r="E71" s="116"/>
      <c r="F71" s="116"/>
      <c r="G71" s="116"/>
      <c r="H71" s="947">
        <f>Master!Y16</f>
        <v>2017795829</v>
      </c>
      <c r="I71" s="947"/>
      <c r="J71" s="947"/>
      <c r="K71" s="947"/>
      <c r="L71" s="953"/>
      <c r="M71" s="16"/>
    </row>
    <row r="72" spans="1:13" ht="30" customHeight="1">
      <c r="A72" s="73"/>
      <c r="B72" s="386" t="s">
        <v>110</v>
      </c>
      <c r="C72" s="116"/>
      <c r="D72" s="116"/>
      <c r="E72" s="116"/>
      <c r="F72" s="116"/>
      <c r="G72" s="119"/>
      <c r="H72" s="947" t="str">
        <f>Master!X16</f>
        <v>101252819921</v>
      </c>
      <c r="I72" s="947"/>
      <c r="J72" s="947"/>
      <c r="K72" s="947"/>
      <c r="L72" s="953"/>
      <c r="M72" s="16"/>
    </row>
    <row r="73" spans="1:13" ht="30" customHeight="1">
      <c r="A73" s="73"/>
      <c r="B73" s="954" t="s">
        <v>111</v>
      </c>
      <c r="C73" s="955"/>
      <c r="D73" s="955"/>
      <c r="E73" s="955"/>
      <c r="F73" s="955"/>
      <c r="G73" s="955"/>
      <c r="H73" s="950">
        <f>Master!AC16</f>
        <v>14900</v>
      </c>
      <c r="I73" s="951"/>
      <c r="J73" s="951"/>
      <c r="K73" s="951"/>
      <c r="L73" s="952"/>
      <c r="M73" s="16"/>
    </row>
    <row r="74" spans="1:13" ht="30" customHeight="1">
      <c r="A74" s="73"/>
      <c r="B74" s="943" t="s">
        <v>112</v>
      </c>
      <c r="C74" s="944"/>
      <c r="D74" s="944"/>
      <c r="E74" s="944"/>
      <c r="F74" s="944"/>
      <c r="G74" s="944"/>
      <c r="H74" s="956">
        <f>Master!F10</f>
        <v>44652</v>
      </c>
      <c r="I74" s="945"/>
      <c r="J74" s="945"/>
      <c r="K74" s="945"/>
      <c r="L74" s="946"/>
      <c r="M74" s="16"/>
    </row>
    <row r="75" spans="1:13" ht="30" customHeight="1">
      <c r="A75" s="15"/>
      <c r="B75" s="943" t="s">
        <v>113</v>
      </c>
      <c r="C75" s="944"/>
      <c r="D75" s="944"/>
      <c r="E75" s="944"/>
      <c r="F75" s="944"/>
      <c r="G75" s="944"/>
      <c r="H75" s="945" t="s">
        <v>114</v>
      </c>
      <c r="I75" s="945"/>
      <c r="J75" s="945"/>
      <c r="K75" s="945"/>
      <c r="L75" s="946"/>
      <c r="M75" s="16"/>
    </row>
    <row r="76" spans="1:13" ht="30" customHeight="1">
      <c r="A76" s="15"/>
      <c r="B76" s="386" t="s">
        <v>115</v>
      </c>
      <c r="C76" s="116"/>
      <c r="D76" s="116"/>
      <c r="E76" s="116"/>
      <c r="F76" s="116"/>
      <c r="G76" s="119"/>
      <c r="H76" s="947">
        <f>Master!AA16</f>
        <v>30</v>
      </c>
      <c r="I76" s="945"/>
      <c r="J76" s="945"/>
      <c r="K76" s="945"/>
      <c r="L76" s="946"/>
      <c r="M76" s="16"/>
    </row>
    <row r="77" spans="1:13" ht="30" customHeight="1">
      <c r="A77" s="15"/>
      <c r="B77" s="386" t="s">
        <v>116</v>
      </c>
      <c r="C77" s="116"/>
      <c r="D77" s="116"/>
      <c r="E77" s="116"/>
      <c r="F77" s="116"/>
      <c r="G77" s="119"/>
      <c r="H77" s="986" t="s">
        <v>28</v>
      </c>
      <c r="I77" s="987"/>
      <c r="J77" s="987"/>
      <c r="K77" s="987"/>
      <c r="L77" s="988"/>
      <c r="M77" s="16"/>
    </row>
    <row r="78" spans="1:13" ht="30" customHeight="1">
      <c r="A78" s="15"/>
      <c r="B78" s="386" t="s">
        <v>117</v>
      </c>
      <c r="C78" s="116"/>
      <c r="D78" s="116"/>
      <c r="E78" s="116"/>
      <c r="F78" s="116"/>
      <c r="G78" s="119"/>
      <c r="H78" s="989">
        <v>0</v>
      </c>
      <c r="I78" s="990"/>
      <c r="J78" s="990"/>
      <c r="K78" s="990"/>
      <c r="L78" s="991"/>
      <c r="M78" s="16"/>
    </row>
    <row r="79" spans="1:13" ht="30" customHeight="1">
      <c r="A79" s="15"/>
      <c r="B79" s="386" t="s">
        <v>118</v>
      </c>
      <c r="C79" s="116"/>
      <c r="D79" s="116"/>
      <c r="E79" s="116"/>
      <c r="F79" s="116"/>
      <c r="G79" s="119"/>
      <c r="H79" s="986">
        <v>0</v>
      </c>
      <c r="I79" s="987"/>
      <c r="J79" s="987"/>
      <c r="K79" s="987"/>
      <c r="L79" s="988"/>
      <c r="M79" s="16"/>
    </row>
    <row r="80" spans="1:13" ht="30" customHeight="1">
      <c r="A80" s="15"/>
      <c r="B80" s="386" t="s">
        <v>119</v>
      </c>
      <c r="C80" s="116"/>
      <c r="D80" s="116"/>
      <c r="E80" s="116"/>
      <c r="F80" s="116"/>
      <c r="G80" s="119"/>
      <c r="H80" s="640"/>
      <c r="I80" s="641"/>
      <c r="J80" s="990">
        <f>Master!AK16</f>
        <v>14900</v>
      </c>
      <c r="K80" s="992"/>
      <c r="L80" s="645" t="s">
        <v>737</v>
      </c>
      <c r="M80" s="16"/>
    </row>
    <row r="81" spans="1:13" ht="30" customHeight="1">
      <c r="A81" s="15"/>
      <c r="B81" s="386" t="s">
        <v>120</v>
      </c>
      <c r="C81" s="116"/>
      <c r="D81" s="644" t="s">
        <v>24</v>
      </c>
      <c r="E81" s="646">
        <f>Master!AM16</f>
        <v>1788</v>
      </c>
      <c r="F81" s="644" t="s">
        <v>23</v>
      </c>
      <c r="G81" s="646">
        <f>Master!AL16</f>
        <v>112</v>
      </c>
      <c r="H81" s="644" t="s">
        <v>25</v>
      </c>
      <c r="I81" s="646">
        <f>Master!AN16</f>
        <v>0</v>
      </c>
      <c r="J81" s="644" t="s">
        <v>26</v>
      </c>
      <c r="K81" s="646">
        <f>Master!AO16</f>
        <v>0</v>
      </c>
      <c r="L81" s="400">
        <f>Master!AP16</f>
        <v>0</v>
      </c>
      <c r="M81" s="16"/>
    </row>
    <row r="82" spans="1:13" ht="30" customHeight="1">
      <c r="A82" s="15"/>
      <c r="B82" s="386" t="s">
        <v>121</v>
      </c>
      <c r="C82" s="116"/>
      <c r="D82" s="116"/>
      <c r="E82" s="116"/>
      <c r="F82" s="116"/>
      <c r="G82" s="119"/>
      <c r="H82" s="640"/>
      <c r="I82" s="641"/>
      <c r="J82" s="541">
        <f>Master!AR16</f>
        <v>13000</v>
      </c>
      <c r="K82" s="641"/>
      <c r="L82" s="642"/>
      <c r="M82" s="16"/>
    </row>
    <row r="83" spans="1:13">
      <c r="A83" s="15"/>
      <c r="B83" s="387" t="s">
        <v>122</v>
      </c>
      <c r="C83" s="74"/>
      <c r="D83" s="74"/>
      <c r="E83" s="74"/>
      <c r="F83" s="74"/>
      <c r="G83" s="75"/>
      <c r="H83" s="76"/>
      <c r="I83" s="77"/>
      <c r="J83" s="77"/>
      <c r="K83" s="77"/>
      <c r="L83" s="78"/>
      <c r="M83" s="16"/>
    </row>
    <row r="84" spans="1:13">
      <c r="A84" s="15"/>
      <c r="B84" s="388" t="s">
        <v>123</v>
      </c>
      <c r="C84" s="79"/>
      <c r="D84" s="79"/>
      <c r="E84" s="79"/>
      <c r="F84" s="79"/>
      <c r="G84" s="80"/>
      <c r="H84" s="60"/>
      <c r="I84" s="19"/>
      <c r="J84" s="19"/>
      <c r="K84" s="19"/>
      <c r="L84" s="81"/>
      <c r="M84" s="16"/>
    </row>
    <row r="85" spans="1:13">
      <c r="A85" s="15"/>
      <c r="B85" s="15"/>
      <c r="C85" s="114"/>
      <c r="D85" s="114"/>
      <c r="E85" s="114"/>
      <c r="F85" s="114"/>
      <c r="G85" s="114"/>
      <c r="H85" s="114"/>
      <c r="I85" s="114"/>
      <c r="J85" s="114"/>
      <c r="K85" s="114"/>
      <c r="L85" s="16"/>
      <c r="M85" s="16"/>
    </row>
    <row r="86" spans="1:13">
      <c r="A86" s="15"/>
      <c r="B86" s="15"/>
      <c r="C86" s="114"/>
      <c r="D86" s="114"/>
      <c r="E86" s="114"/>
      <c r="F86" s="114"/>
      <c r="G86" s="114"/>
      <c r="H86" s="114"/>
      <c r="I86" s="114"/>
      <c r="J86" s="114"/>
      <c r="K86" s="114"/>
      <c r="L86" s="16"/>
      <c r="M86" s="16"/>
    </row>
    <row r="87" spans="1:13" ht="15" thickBot="1">
      <c r="A87" s="27"/>
      <c r="B87" s="27"/>
      <c r="C87" s="25"/>
      <c r="D87" s="25"/>
      <c r="E87" s="25"/>
      <c r="F87" s="25"/>
      <c r="G87" s="25"/>
      <c r="H87" s="25"/>
      <c r="I87" s="25"/>
      <c r="J87" s="25"/>
      <c r="K87" s="25"/>
      <c r="L87" s="26"/>
      <c r="M87" s="26"/>
    </row>
    <row r="88" spans="1:13">
      <c r="A88" s="420"/>
      <c r="B88" s="420"/>
      <c r="C88" s="420"/>
      <c r="D88" s="420"/>
      <c r="E88" s="420"/>
      <c r="F88" s="420"/>
      <c r="G88" s="420"/>
      <c r="H88" s="420"/>
      <c r="I88" s="420"/>
      <c r="J88" s="420"/>
      <c r="K88" s="420"/>
      <c r="L88" s="420"/>
      <c r="M88" s="420"/>
    </row>
    <row r="89" spans="1:13">
      <c r="A89" s="420"/>
      <c r="B89" s="420"/>
      <c r="C89" s="420"/>
      <c r="D89" s="420"/>
      <c r="E89" s="420"/>
      <c r="F89" s="420"/>
      <c r="G89" s="420"/>
      <c r="H89" s="420"/>
      <c r="I89" s="420"/>
      <c r="J89" s="420"/>
      <c r="K89" s="420"/>
      <c r="L89" s="420"/>
      <c r="M89" s="420"/>
    </row>
    <row r="90" spans="1:13">
      <c r="A90" s="420"/>
      <c r="B90" s="420"/>
      <c r="C90" s="420"/>
      <c r="D90" s="420"/>
      <c r="E90" s="420"/>
      <c r="F90" s="420"/>
      <c r="G90" s="420"/>
      <c r="H90" s="420"/>
      <c r="I90" s="420"/>
      <c r="J90" s="420"/>
      <c r="K90" s="420"/>
      <c r="L90" s="420"/>
      <c r="M90" s="420"/>
    </row>
    <row r="91" spans="1:13">
      <c r="A91" s="420"/>
      <c r="B91" s="420"/>
      <c r="C91" s="420"/>
      <c r="D91" s="420"/>
      <c r="E91" s="420"/>
      <c r="F91" s="420"/>
      <c r="G91" s="420"/>
      <c r="H91" s="420"/>
      <c r="I91" s="420"/>
      <c r="J91" s="420"/>
      <c r="K91" s="420"/>
      <c r="L91" s="420"/>
      <c r="M91" s="420"/>
    </row>
    <row r="92" spans="1:13" ht="15" thickBot="1">
      <c r="A92" s="420"/>
      <c r="B92" s="420"/>
      <c r="C92" s="420"/>
      <c r="D92" s="420"/>
      <c r="E92" s="420"/>
      <c r="F92" s="420"/>
      <c r="G92" s="420"/>
      <c r="H92" s="420"/>
      <c r="I92" s="420"/>
      <c r="J92" s="420"/>
      <c r="K92" s="420"/>
      <c r="L92" s="420"/>
      <c r="M92" s="420"/>
    </row>
    <row r="93" spans="1:13" ht="32.4">
      <c r="A93" s="68"/>
      <c r="B93" s="960" t="s">
        <v>99</v>
      </c>
      <c r="C93" s="961"/>
      <c r="D93" s="961"/>
      <c r="E93" s="961"/>
      <c r="F93" s="961"/>
      <c r="G93" s="961"/>
      <c r="H93" s="961"/>
      <c r="I93" s="961"/>
      <c r="J93" s="961"/>
      <c r="K93" s="961"/>
      <c r="L93" s="962"/>
      <c r="M93" s="69"/>
    </row>
    <row r="94" spans="1:13" ht="23.4">
      <c r="A94" s="15"/>
      <c r="B94" s="963" t="s">
        <v>100</v>
      </c>
      <c r="C94" s="964"/>
      <c r="D94" s="964"/>
      <c r="E94" s="964"/>
      <c r="F94" s="964"/>
      <c r="G94" s="964"/>
      <c r="H94" s="964"/>
      <c r="I94" s="964"/>
      <c r="J94" s="964"/>
      <c r="K94" s="964"/>
      <c r="L94" s="965"/>
      <c r="M94" s="16"/>
    </row>
    <row r="95" spans="1:13" ht="15.6">
      <c r="A95" s="15"/>
      <c r="B95" s="966" t="s">
        <v>1070</v>
      </c>
      <c r="C95" s="967"/>
      <c r="D95" s="967"/>
      <c r="E95" s="967"/>
      <c r="F95" s="967"/>
      <c r="G95" s="967"/>
      <c r="H95" s="968"/>
      <c r="I95" s="968"/>
      <c r="J95" s="968"/>
      <c r="K95" s="968"/>
      <c r="L95" s="969"/>
      <c r="M95" s="16"/>
    </row>
    <row r="96" spans="1:13">
      <c r="A96" s="15"/>
      <c r="B96" s="970" t="s">
        <v>101</v>
      </c>
      <c r="C96" s="971"/>
      <c r="D96" s="971"/>
      <c r="E96" s="971"/>
      <c r="F96" s="971"/>
      <c r="G96" s="391"/>
      <c r="H96" s="974" t="s">
        <v>102</v>
      </c>
      <c r="I96" s="975"/>
      <c r="J96" s="975"/>
      <c r="K96" s="975"/>
      <c r="L96" s="976"/>
      <c r="M96" s="16"/>
    </row>
    <row r="97" spans="1:13">
      <c r="A97" s="15"/>
      <c r="B97" s="972"/>
      <c r="C97" s="973"/>
      <c r="D97" s="973"/>
      <c r="E97" s="973"/>
      <c r="F97" s="973"/>
      <c r="G97" s="395"/>
      <c r="H97" s="977"/>
      <c r="I97" s="978"/>
      <c r="J97" s="978"/>
      <c r="K97" s="978"/>
      <c r="L97" s="979"/>
      <c r="M97" s="16"/>
    </row>
    <row r="98" spans="1:13">
      <c r="A98" s="15"/>
      <c r="B98" s="382"/>
      <c r="C98" s="77"/>
      <c r="D98" s="77"/>
      <c r="E98" s="77"/>
      <c r="F98" s="77"/>
      <c r="G98" s="56"/>
      <c r="H98" s="76"/>
      <c r="I98" s="77"/>
      <c r="J98" s="77"/>
      <c r="K98" s="77"/>
      <c r="L98" s="78"/>
      <c r="M98" s="16"/>
    </row>
    <row r="99" spans="1:13">
      <c r="A99" s="15"/>
      <c r="B99" s="378" t="str">
        <f>Master!F5</f>
        <v>GROTECH LANDSCAPE DEVELOPERS PVT. LTD.</v>
      </c>
      <c r="C99" s="114"/>
      <c r="D99" s="114"/>
      <c r="E99" s="114"/>
      <c r="F99" s="114"/>
      <c r="G99" s="379"/>
      <c r="H99" s="381" t="str">
        <f>Master!AN5</f>
        <v>GROTECH LANDSCAPE DEVELOPERS PVT. LTD.</v>
      </c>
      <c r="I99" s="114"/>
      <c r="J99" s="114"/>
      <c r="K99" s="114"/>
      <c r="L99" s="16"/>
      <c r="M99" s="16"/>
    </row>
    <row r="100" spans="1:13">
      <c r="A100" s="15"/>
      <c r="B100" s="15"/>
      <c r="C100" s="114"/>
      <c r="D100" s="114"/>
      <c r="E100" s="114"/>
      <c r="F100" s="114"/>
      <c r="G100" s="379"/>
      <c r="H100" s="380"/>
      <c r="I100" s="114"/>
      <c r="J100" s="114"/>
      <c r="K100" s="114"/>
      <c r="L100" s="16"/>
      <c r="M100" s="16"/>
    </row>
    <row r="101" spans="1:13">
      <c r="A101" s="15"/>
      <c r="B101" s="538" t="str">
        <f>Master!F6</f>
        <v>290/E, Khanapur Village, Gandipet Mandal, Ranga Reddy, Hyderabad-500075 T.S.</v>
      </c>
      <c r="C101" s="114"/>
      <c r="D101" s="114"/>
      <c r="E101" s="114"/>
      <c r="F101" s="114"/>
      <c r="G101" s="379"/>
      <c r="H101" s="539" t="str">
        <f>Master!AN6</f>
        <v>290/E, Khanapur Village, Gandipet Mandal, Ranga Reddy, Hyderabad-500075 T.S.</v>
      </c>
      <c r="I101" s="114"/>
      <c r="J101" s="114"/>
      <c r="K101" s="114"/>
      <c r="L101" s="16"/>
      <c r="M101" s="16"/>
    </row>
    <row r="102" spans="1:13">
      <c r="A102" s="15"/>
      <c r="B102" s="383"/>
      <c r="C102" s="19"/>
      <c r="D102" s="19"/>
      <c r="E102" s="19"/>
      <c r="F102" s="19"/>
      <c r="G102" s="61"/>
      <c r="H102" s="60"/>
      <c r="I102" s="19"/>
      <c r="J102" s="19"/>
      <c r="K102" s="19"/>
      <c r="L102" s="81"/>
      <c r="M102" s="16"/>
    </row>
    <row r="103" spans="1:13">
      <c r="A103" s="15"/>
      <c r="B103" s="389"/>
      <c r="C103" s="390"/>
      <c r="D103" s="390"/>
      <c r="E103" s="390"/>
      <c r="F103" s="390"/>
      <c r="G103" s="391"/>
      <c r="H103" s="396"/>
      <c r="I103" s="390"/>
      <c r="J103" s="390" t="s">
        <v>103</v>
      </c>
      <c r="K103" s="390"/>
      <c r="L103" s="397"/>
      <c r="M103" s="16"/>
    </row>
    <row r="104" spans="1:13">
      <c r="A104" s="15"/>
      <c r="B104" s="980" t="s">
        <v>104</v>
      </c>
      <c r="C104" s="981"/>
      <c r="D104" s="981"/>
      <c r="E104" s="981"/>
      <c r="F104" s="981"/>
      <c r="G104" s="392"/>
      <c r="H104" s="982" t="s">
        <v>4</v>
      </c>
      <c r="I104" s="981"/>
      <c r="J104" s="981"/>
      <c r="K104" s="981"/>
      <c r="L104" s="983"/>
      <c r="M104" s="16"/>
    </row>
    <row r="105" spans="1:13">
      <c r="A105" s="15"/>
      <c r="B105" s="393"/>
      <c r="C105" s="394"/>
      <c r="D105" s="394"/>
      <c r="E105" s="394"/>
      <c r="F105" s="394"/>
      <c r="G105" s="395"/>
      <c r="H105" s="398"/>
      <c r="I105" s="394"/>
      <c r="J105" s="394"/>
      <c r="K105" s="394"/>
      <c r="L105" s="399"/>
      <c r="M105" s="16"/>
    </row>
    <row r="106" spans="1:13">
      <c r="A106" s="15"/>
      <c r="B106" s="382"/>
      <c r="C106" s="77"/>
      <c r="D106" s="77"/>
      <c r="E106" s="77"/>
      <c r="F106" s="77"/>
      <c r="G106" s="56"/>
      <c r="H106" s="74"/>
      <c r="I106" s="74"/>
      <c r="J106" s="74"/>
      <c r="K106" s="74"/>
      <c r="L106" s="384"/>
      <c r="M106" s="16"/>
    </row>
    <row r="107" spans="1:13">
      <c r="A107" s="15"/>
      <c r="B107" s="15"/>
      <c r="C107" s="114"/>
      <c r="D107" s="114"/>
      <c r="E107" s="114"/>
      <c r="F107" s="114"/>
      <c r="G107" s="379"/>
      <c r="H107" s="115" t="str">
        <f>Master!AN10</f>
        <v>INDIAN SCHOOL OF BUSINESS</v>
      </c>
      <c r="I107" s="115"/>
      <c r="J107" s="115"/>
      <c r="K107" s="115"/>
      <c r="L107" s="71"/>
      <c r="M107" s="16"/>
    </row>
    <row r="108" spans="1:13">
      <c r="A108" s="15"/>
      <c r="B108" s="70" t="str">
        <f>Master!F8</f>
        <v>GARDENING SERVICES&amp;ISB HYDERABAD</v>
      </c>
      <c r="C108" s="114"/>
      <c r="D108" s="114"/>
      <c r="E108" s="114"/>
      <c r="F108" s="114"/>
      <c r="G108" s="379"/>
      <c r="H108" s="115"/>
      <c r="I108" s="115"/>
      <c r="J108" s="115"/>
      <c r="K108" s="115"/>
      <c r="L108" s="71"/>
      <c r="M108" s="16"/>
    </row>
    <row r="109" spans="1:13">
      <c r="A109" s="15"/>
      <c r="B109" s="15"/>
      <c r="C109" s="114"/>
      <c r="D109" s="114"/>
      <c r="E109" s="114"/>
      <c r="F109" s="114"/>
      <c r="G109" s="379"/>
      <c r="H109" s="115" t="str">
        <f>Master!AN11</f>
        <v>Opp.Infosys Limited,Gachibowli,Hyderabad</v>
      </c>
      <c r="I109" s="115"/>
      <c r="J109" s="115"/>
      <c r="K109" s="115"/>
      <c r="L109" s="71"/>
      <c r="M109" s="16"/>
    </row>
    <row r="110" spans="1:13">
      <c r="A110" s="15"/>
      <c r="B110" s="383"/>
      <c r="C110" s="19"/>
      <c r="D110" s="19"/>
      <c r="E110" s="19"/>
      <c r="F110" s="19"/>
      <c r="G110" s="61"/>
      <c r="H110" s="79"/>
      <c r="I110" s="79"/>
      <c r="J110" s="79"/>
      <c r="K110" s="79"/>
      <c r="L110" s="385"/>
      <c r="M110" s="16"/>
    </row>
    <row r="111" spans="1:13" ht="30" customHeight="1">
      <c r="A111" s="15"/>
      <c r="B111" s="948" t="s">
        <v>105</v>
      </c>
      <c r="C111" s="949"/>
      <c r="D111" s="949"/>
      <c r="E111" s="949"/>
      <c r="F111" s="949"/>
      <c r="G111" s="949"/>
      <c r="H111" s="950" t="str">
        <f>Master!D17</f>
        <v>GUDALA RUSHESHWAR SWAMY</v>
      </c>
      <c r="I111" s="951"/>
      <c r="J111" s="951"/>
      <c r="K111" s="951"/>
      <c r="L111" s="952"/>
      <c r="M111" s="16"/>
    </row>
    <row r="112" spans="1:13" ht="30" customHeight="1">
      <c r="A112" s="15"/>
      <c r="B112" s="948"/>
      <c r="C112" s="949"/>
      <c r="D112" s="949"/>
      <c r="E112" s="949"/>
      <c r="F112" s="949"/>
      <c r="G112" s="949"/>
      <c r="H112" s="950" t="str">
        <f>Master!K17</f>
        <v>House no. - 8-153 Kottapeta</v>
      </c>
      <c r="I112" s="951"/>
      <c r="J112" s="951"/>
      <c r="K112" s="951"/>
      <c r="L112" s="952"/>
      <c r="M112" s="16"/>
    </row>
    <row r="113" spans="1:13" ht="30" customHeight="1">
      <c r="A113" s="15"/>
      <c r="B113" s="948"/>
      <c r="C113" s="949"/>
      <c r="D113" s="949"/>
      <c r="E113" s="949"/>
      <c r="F113" s="949"/>
      <c r="G113" s="949"/>
      <c r="H113" s="950" t="str">
        <f>Master!L17</f>
        <v>Gummaluru, west godavari</v>
      </c>
      <c r="I113" s="951"/>
      <c r="J113" s="951"/>
      <c r="K113" s="951"/>
      <c r="L113" s="952"/>
      <c r="M113" s="16"/>
    </row>
    <row r="114" spans="1:13" ht="30" customHeight="1">
      <c r="A114" s="73"/>
      <c r="B114" s="948"/>
      <c r="C114" s="949"/>
      <c r="D114" s="949"/>
      <c r="E114" s="949"/>
      <c r="F114" s="949"/>
      <c r="G114" s="949"/>
      <c r="H114" s="950" t="str">
        <f>Master!M17</f>
        <v>Andhra pradesh - 534267</v>
      </c>
      <c r="I114" s="951"/>
      <c r="J114" s="951"/>
      <c r="K114" s="951"/>
      <c r="L114" s="952"/>
      <c r="M114" s="16"/>
    </row>
    <row r="115" spans="1:13" ht="30" customHeight="1">
      <c r="A115" s="73"/>
      <c r="B115" s="984" t="s">
        <v>106</v>
      </c>
      <c r="C115" s="985"/>
      <c r="D115" s="985"/>
      <c r="E115" s="985"/>
      <c r="F115" s="985"/>
      <c r="G115" s="985"/>
      <c r="H115" s="947">
        <f>Master!C17</f>
        <v>4</v>
      </c>
      <c r="I115" s="945"/>
      <c r="J115" s="945"/>
      <c r="K115" s="945"/>
      <c r="L115" s="946"/>
      <c r="M115" s="16"/>
    </row>
    <row r="116" spans="1:13" ht="30" customHeight="1">
      <c r="A116" s="73"/>
      <c r="B116" s="943" t="s">
        <v>107</v>
      </c>
      <c r="C116" s="944"/>
      <c r="D116" s="944"/>
      <c r="E116" s="944"/>
      <c r="F116" s="944"/>
      <c r="G116" s="944"/>
      <c r="H116" s="947" t="str">
        <f>Master!J17</f>
        <v>Supervisor</v>
      </c>
      <c r="I116" s="945"/>
      <c r="J116" s="945"/>
      <c r="K116" s="945"/>
      <c r="L116" s="946"/>
      <c r="M116" s="16"/>
    </row>
    <row r="117" spans="1:13" ht="30" customHeight="1">
      <c r="A117" s="73"/>
      <c r="B117" s="943" t="s">
        <v>108</v>
      </c>
      <c r="C117" s="944"/>
      <c r="D117" s="944"/>
      <c r="E117" s="944"/>
      <c r="F117" s="944"/>
      <c r="G117" s="944"/>
      <c r="H117" s="957">
        <f>Master!S17</f>
        <v>43850</v>
      </c>
      <c r="I117" s="958"/>
      <c r="J117" s="958"/>
      <c r="K117" s="958"/>
      <c r="L117" s="959"/>
      <c r="M117" s="16"/>
    </row>
    <row r="118" spans="1:13" ht="30" customHeight="1">
      <c r="A118" s="73"/>
      <c r="B118" s="386" t="s">
        <v>109</v>
      </c>
      <c r="C118" s="116"/>
      <c r="D118" s="116"/>
      <c r="E118" s="116"/>
      <c r="F118" s="116"/>
      <c r="G118" s="116"/>
      <c r="H118" s="947">
        <f>Master!Y17</f>
        <v>5216113872</v>
      </c>
      <c r="I118" s="947"/>
      <c r="J118" s="947"/>
      <c r="K118" s="947"/>
      <c r="L118" s="953"/>
      <c r="M118" s="16"/>
    </row>
    <row r="119" spans="1:13" ht="30" customHeight="1">
      <c r="A119" s="73"/>
      <c r="B119" s="386" t="s">
        <v>110</v>
      </c>
      <c r="C119" s="116"/>
      <c r="D119" s="116"/>
      <c r="E119" s="116"/>
      <c r="F119" s="116"/>
      <c r="G119" s="119"/>
      <c r="H119" s="947" t="str">
        <f>Master!X17</f>
        <v>100025787555</v>
      </c>
      <c r="I119" s="947"/>
      <c r="J119" s="947"/>
      <c r="K119" s="947"/>
      <c r="L119" s="953"/>
      <c r="M119" s="16"/>
    </row>
    <row r="120" spans="1:13" ht="30" customHeight="1">
      <c r="A120" s="73"/>
      <c r="B120" s="954" t="s">
        <v>111</v>
      </c>
      <c r="C120" s="955"/>
      <c r="D120" s="955"/>
      <c r="E120" s="955"/>
      <c r="F120" s="955"/>
      <c r="G120" s="955"/>
      <c r="H120" s="950">
        <f>Master!AC17</f>
        <v>17918</v>
      </c>
      <c r="I120" s="951"/>
      <c r="J120" s="951"/>
      <c r="K120" s="951"/>
      <c r="L120" s="952"/>
      <c r="M120" s="16"/>
    </row>
    <row r="121" spans="1:13" ht="30" customHeight="1">
      <c r="A121" s="73"/>
      <c r="B121" s="943" t="s">
        <v>112</v>
      </c>
      <c r="C121" s="944"/>
      <c r="D121" s="944"/>
      <c r="E121" s="944"/>
      <c r="F121" s="944"/>
      <c r="G121" s="944"/>
      <c r="H121" s="956">
        <f>Master!F10</f>
        <v>44652</v>
      </c>
      <c r="I121" s="945"/>
      <c r="J121" s="945"/>
      <c r="K121" s="945"/>
      <c r="L121" s="946"/>
      <c r="M121" s="16"/>
    </row>
    <row r="122" spans="1:13" ht="30" customHeight="1">
      <c r="A122" s="15"/>
      <c r="B122" s="943" t="s">
        <v>113</v>
      </c>
      <c r="C122" s="944"/>
      <c r="D122" s="944"/>
      <c r="E122" s="944"/>
      <c r="F122" s="944"/>
      <c r="G122" s="944"/>
      <c r="H122" s="945" t="s">
        <v>114</v>
      </c>
      <c r="I122" s="945"/>
      <c r="J122" s="945"/>
      <c r="K122" s="945"/>
      <c r="L122" s="946"/>
      <c r="M122" s="16"/>
    </row>
    <row r="123" spans="1:13" ht="30" customHeight="1">
      <c r="A123" s="15"/>
      <c r="B123" s="386" t="s">
        <v>115</v>
      </c>
      <c r="C123" s="116"/>
      <c r="D123" s="116"/>
      <c r="E123" s="116"/>
      <c r="F123" s="116"/>
      <c r="G123" s="119"/>
      <c r="H123" s="947">
        <f>Master!AA17</f>
        <v>30</v>
      </c>
      <c r="I123" s="945"/>
      <c r="J123" s="945"/>
      <c r="K123" s="945"/>
      <c r="L123" s="946"/>
      <c r="M123" s="16"/>
    </row>
    <row r="124" spans="1:13" ht="30" customHeight="1">
      <c r="A124" s="15"/>
      <c r="B124" s="386" t="s">
        <v>116</v>
      </c>
      <c r="C124" s="116"/>
      <c r="D124" s="116"/>
      <c r="E124" s="116"/>
      <c r="F124" s="116"/>
      <c r="G124" s="119"/>
      <c r="H124" s="986" t="s">
        <v>28</v>
      </c>
      <c r="I124" s="987"/>
      <c r="J124" s="987"/>
      <c r="K124" s="987"/>
      <c r="L124" s="988"/>
      <c r="M124" s="16"/>
    </row>
    <row r="125" spans="1:13" ht="30" customHeight="1">
      <c r="A125" s="15"/>
      <c r="B125" s="386" t="s">
        <v>117</v>
      </c>
      <c r="C125" s="116"/>
      <c r="D125" s="116"/>
      <c r="E125" s="116"/>
      <c r="F125" s="116"/>
      <c r="G125" s="119"/>
      <c r="H125" s="989">
        <v>0</v>
      </c>
      <c r="I125" s="990"/>
      <c r="J125" s="990"/>
      <c r="K125" s="990"/>
      <c r="L125" s="991"/>
      <c r="M125" s="16"/>
    </row>
    <row r="126" spans="1:13" ht="30" customHeight="1">
      <c r="A126" s="15"/>
      <c r="B126" s="386" t="s">
        <v>118</v>
      </c>
      <c r="C126" s="116"/>
      <c r="D126" s="116"/>
      <c r="E126" s="116"/>
      <c r="F126" s="116"/>
      <c r="G126" s="119"/>
      <c r="H126" s="986">
        <v>0</v>
      </c>
      <c r="I126" s="987"/>
      <c r="J126" s="987"/>
      <c r="K126" s="987"/>
      <c r="L126" s="988"/>
      <c r="M126" s="16"/>
    </row>
    <row r="127" spans="1:13" ht="30" customHeight="1">
      <c r="A127" s="15"/>
      <c r="B127" s="386" t="s">
        <v>119</v>
      </c>
      <c r="C127" s="116"/>
      <c r="D127" s="116"/>
      <c r="E127" s="116"/>
      <c r="F127" s="116"/>
      <c r="G127" s="119"/>
      <c r="H127" s="117"/>
      <c r="I127" s="118"/>
      <c r="J127" s="990">
        <f>Master!AK17</f>
        <v>17918</v>
      </c>
      <c r="K127" s="992"/>
      <c r="L127" s="581" t="s">
        <v>737</v>
      </c>
      <c r="M127" s="16"/>
    </row>
    <row r="128" spans="1:13" ht="30" customHeight="1">
      <c r="A128" s="15"/>
      <c r="B128" s="386" t="s">
        <v>120</v>
      </c>
      <c r="C128" s="116"/>
      <c r="D128" s="375" t="s">
        <v>24</v>
      </c>
      <c r="E128" s="376">
        <f>Master!AM17</f>
        <v>1584</v>
      </c>
      <c r="F128" s="375" t="s">
        <v>23</v>
      </c>
      <c r="G128" s="376">
        <f>Master!AL17</f>
        <v>135</v>
      </c>
      <c r="H128" s="375" t="s">
        <v>25</v>
      </c>
      <c r="I128" s="376">
        <f>Master!AN17</f>
        <v>150</v>
      </c>
      <c r="J128" s="375" t="s">
        <v>26</v>
      </c>
      <c r="K128" s="376">
        <f>Master!AO17</f>
        <v>0</v>
      </c>
      <c r="L128" s="400">
        <f>Master!AP17</f>
        <v>0</v>
      </c>
      <c r="M128" s="16"/>
    </row>
    <row r="129" spans="1:13" ht="30" customHeight="1">
      <c r="A129" s="15"/>
      <c r="B129" s="386" t="s">
        <v>121</v>
      </c>
      <c r="C129" s="116"/>
      <c r="D129" s="116"/>
      <c r="E129" s="116"/>
      <c r="F129" s="116"/>
      <c r="G129" s="119"/>
      <c r="H129" s="117"/>
      <c r="I129" s="118"/>
      <c r="J129" s="541">
        <f>Master!AR17</f>
        <v>16049</v>
      </c>
      <c r="K129" s="118"/>
      <c r="L129" s="125"/>
      <c r="M129" s="16"/>
    </row>
    <row r="130" spans="1:13">
      <c r="A130" s="15"/>
      <c r="B130" s="387" t="s">
        <v>122</v>
      </c>
      <c r="C130" s="74"/>
      <c r="D130" s="74"/>
      <c r="E130" s="74"/>
      <c r="F130" s="74"/>
      <c r="G130" s="75"/>
      <c r="H130" s="76"/>
      <c r="I130" s="77"/>
      <c r="J130" s="77"/>
      <c r="K130" s="77"/>
      <c r="L130" s="78"/>
      <c r="M130" s="16"/>
    </row>
    <row r="131" spans="1:13">
      <c r="A131" s="15"/>
      <c r="B131" s="388" t="s">
        <v>123</v>
      </c>
      <c r="C131" s="79"/>
      <c r="D131" s="79"/>
      <c r="E131" s="79"/>
      <c r="F131" s="79"/>
      <c r="G131" s="80"/>
      <c r="H131" s="60"/>
      <c r="I131" s="19"/>
      <c r="J131" s="19"/>
      <c r="K131" s="19"/>
      <c r="L131" s="81"/>
      <c r="M131" s="16"/>
    </row>
    <row r="132" spans="1:13">
      <c r="A132" s="15"/>
      <c r="B132" s="15"/>
      <c r="C132" s="114"/>
      <c r="D132" s="114"/>
      <c r="E132" s="114"/>
      <c r="F132" s="114"/>
      <c r="G132" s="114"/>
      <c r="H132" s="114"/>
      <c r="I132" s="114"/>
      <c r="J132" s="114"/>
      <c r="K132" s="114"/>
      <c r="L132" s="16"/>
      <c r="M132" s="16"/>
    </row>
    <row r="133" spans="1:13">
      <c r="A133" s="15"/>
      <c r="B133" s="15"/>
      <c r="C133" s="114"/>
      <c r="D133" s="114"/>
      <c r="E133" s="114"/>
      <c r="F133" s="114"/>
      <c r="G133" s="114"/>
      <c r="H133" s="114"/>
      <c r="I133" s="114"/>
      <c r="J133" s="114"/>
      <c r="K133" s="114"/>
      <c r="L133" s="16"/>
      <c r="M133" s="16"/>
    </row>
    <row r="134" spans="1:13" ht="15" thickBot="1">
      <c r="A134" s="27"/>
      <c r="B134" s="27"/>
      <c r="C134" s="25"/>
      <c r="D134" s="25"/>
      <c r="E134" s="25"/>
      <c r="F134" s="25"/>
      <c r="G134" s="25"/>
      <c r="H134" s="25"/>
      <c r="I134" s="25"/>
      <c r="J134" s="25"/>
      <c r="K134" s="25"/>
      <c r="L134" s="26"/>
      <c r="M134" s="26"/>
    </row>
    <row r="135" spans="1:13">
      <c r="A135" s="420"/>
      <c r="B135" s="420"/>
      <c r="C135" s="420"/>
      <c r="D135" s="420"/>
      <c r="E135" s="420"/>
      <c r="F135" s="420"/>
      <c r="G135" s="420"/>
      <c r="H135" s="420"/>
      <c r="I135" s="420"/>
      <c r="J135" s="420"/>
      <c r="K135" s="420"/>
      <c r="L135" s="420"/>
      <c r="M135" s="420"/>
    </row>
    <row r="136" spans="1:13">
      <c r="A136" s="420"/>
      <c r="B136" s="420"/>
      <c r="C136" s="420"/>
      <c r="D136" s="420"/>
      <c r="E136" s="420"/>
      <c r="F136" s="420"/>
      <c r="G136" s="420"/>
      <c r="H136" s="420"/>
      <c r="I136" s="420"/>
      <c r="J136" s="420"/>
      <c r="K136" s="420"/>
      <c r="L136" s="420"/>
      <c r="M136" s="420"/>
    </row>
    <row r="137" spans="1:13">
      <c r="A137" s="420"/>
      <c r="B137" s="420"/>
      <c r="C137" s="420"/>
      <c r="D137" s="420"/>
      <c r="E137" s="420"/>
      <c r="F137" s="420"/>
      <c r="G137" s="420"/>
      <c r="H137" s="420"/>
      <c r="I137" s="420"/>
      <c r="J137" s="420"/>
      <c r="K137" s="420"/>
      <c r="L137" s="420"/>
      <c r="M137" s="420"/>
    </row>
    <row r="138" spans="1:13">
      <c r="A138" s="420"/>
      <c r="B138" s="420"/>
      <c r="C138" s="420"/>
      <c r="D138" s="420"/>
      <c r="E138" s="420"/>
      <c r="F138" s="420"/>
      <c r="G138" s="420"/>
      <c r="H138" s="420"/>
      <c r="I138" s="420"/>
      <c r="J138" s="420"/>
      <c r="K138" s="420"/>
      <c r="L138" s="420"/>
      <c r="M138" s="420"/>
    </row>
    <row r="139" spans="1:13">
      <c r="A139" s="420"/>
      <c r="B139" s="420"/>
      <c r="C139" s="420"/>
      <c r="D139" s="420"/>
      <c r="E139" s="420"/>
      <c r="F139" s="420"/>
      <c r="G139" s="420"/>
      <c r="H139" s="420"/>
      <c r="I139" s="420"/>
      <c r="J139" s="420"/>
      <c r="K139" s="420"/>
      <c r="L139" s="420"/>
      <c r="M139" s="420"/>
    </row>
    <row r="140" spans="1:13" ht="15" thickBot="1">
      <c r="A140" s="420"/>
      <c r="B140" s="420"/>
      <c r="C140" s="420"/>
      <c r="D140" s="420"/>
      <c r="E140" s="420"/>
      <c r="F140" s="420"/>
      <c r="G140" s="420"/>
      <c r="H140" s="420"/>
      <c r="I140" s="420"/>
      <c r="J140" s="420"/>
      <c r="K140" s="420"/>
      <c r="L140" s="420"/>
      <c r="M140" s="420"/>
    </row>
    <row r="141" spans="1:13" ht="32.4">
      <c r="A141" s="68"/>
      <c r="B141" s="960" t="s">
        <v>99</v>
      </c>
      <c r="C141" s="961"/>
      <c r="D141" s="961"/>
      <c r="E141" s="961"/>
      <c r="F141" s="961"/>
      <c r="G141" s="961"/>
      <c r="H141" s="961"/>
      <c r="I141" s="961"/>
      <c r="J141" s="961"/>
      <c r="K141" s="961"/>
      <c r="L141" s="962"/>
      <c r="M141" s="69"/>
    </row>
    <row r="142" spans="1:13" ht="23.4">
      <c r="A142" s="15"/>
      <c r="B142" s="963" t="s">
        <v>100</v>
      </c>
      <c r="C142" s="964"/>
      <c r="D142" s="964"/>
      <c r="E142" s="964"/>
      <c r="F142" s="964"/>
      <c r="G142" s="964"/>
      <c r="H142" s="964"/>
      <c r="I142" s="964"/>
      <c r="J142" s="964"/>
      <c r="K142" s="964"/>
      <c r="L142" s="965"/>
      <c r="M142" s="16"/>
    </row>
    <row r="143" spans="1:13" ht="15.6">
      <c r="A143" s="15"/>
      <c r="B143" s="966" t="s">
        <v>1070</v>
      </c>
      <c r="C143" s="967"/>
      <c r="D143" s="967"/>
      <c r="E143" s="967"/>
      <c r="F143" s="967"/>
      <c r="G143" s="967"/>
      <c r="H143" s="968"/>
      <c r="I143" s="968"/>
      <c r="J143" s="968"/>
      <c r="K143" s="968"/>
      <c r="L143" s="969"/>
      <c r="M143" s="16"/>
    </row>
    <row r="144" spans="1:13">
      <c r="A144" s="15"/>
      <c r="B144" s="970" t="s">
        <v>101</v>
      </c>
      <c r="C144" s="971"/>
      <c r="D144" s="971"/>
      <c r="E144" s="971"/>
      <c r="F144" s="971"/>
      <c r="G144" s="391"/>
      <c r="H144" s="974" t="s">
        <v>102</v>
      </c>
      <c r="I144" s="975"/>
      <c r="J144" s="975"/>
      <c r="K144" s="975"/>
      <c r="L144" s="976"/>
      <c r="M144" s="16"/>
    </row>
    <row r="145" spans="1:13">
      <c r="A145" s="15"/>
      <c r="B145" s="972"/>
      <c r="C145" s="973"/>
      <c r="D145" s="973"/>
      <c r="E145" s="973"/>
      <c r="F145" s="973"/>
      <c r="G145" s="395"/>
      <c r="H145" s="977"/>
      <c r="I145" s="978"/>
      <c r="J145" s="978"/>
      <c r="K145" s="978"/>
      <c r="L145" s="979"/>
      <c r="M145" s="16"/>
    </row>
    <row r="146" spans="1:13">
      <c r="A146" s="15"/>
      <c r="B146" s="382"/>
      <c r="C146" s="77"/>
      <c r="D146" s="77"/>
      <c r="E146" s="77"/>
      <c r="F146" s="77"/>
      <c r="G146" s="56"/>
      <c r="H146" s="76"/>
      <c r="I146" s="77"/>
      <c r="J146" s="77"/>
      <c r="K146" s="77"/>
      <c r="L146" s="78"/>
      <c r="M146" s="16"/>
    </row>
    <row r="147" spans="1:13">
      <c r="A147" s="15"/>
      <c r="B147" s="378" t="str">
        <f>Master!F5</f>
        <v>GROTECH LANDSCAPE DEVELOPERS PVT. LTD.</v>
      </c>
      <c r="C147" s="114"/>
      <c r="D147" s="114"/>
      <c r="E147" s="114"/>
      <c r="F147" s="114"/>
      <c r="G147" s="379"/>
      <c r="H147" s="381" t="str">
        <f>Master!AN5</f>
        <v>GROTECH LANDSCAPE DEVELOPERS PVT. LTD.</v>
      </c>
      <c r="I147" s="114"/>
      <c r="J147" s="114"/>
      <c r="K147" s="114"/>
      <c r="L147" s="16"/>
      <c r="M147" s="16"/>
    </row>
    <row r="148" spans="1:13">
      <c r="A148" s="15"/>
      <c r="B148" s="15"/>
      <c r="C148" s="114"/>
      <c r="D148" s="114"/>
      <c r="E148" s="114"/>
      <c r="F148" s="114"/>
      <c r="G148" s="379"/>
      <c r="H148" s="380"/>
      <c r="I148" s="114"/>
      <c r="J148" s="114"/>
      <c r="K148" s="114"/>
      <c r="L148" s="16"/>
      <c r="M148" s="16"/>
    </row>
    <row r="149" spans="1:13">
      <c r="A149" s="15"/>
      <c r="B149" s="538" t="str">
        <f>Master!F6</f>
        <v>290/E, Khanapur Village, Gandipet Mandal, Ranga Reddy, Hyderabad-500075 T.S.</v>
      </c>
      <c r="C149" s="114"/>
      <c r="D149" s="114"/>
      <c r="E149" s="114"/>
      <c r="F149" s="114"/>
      <c r="G149" s="379"/>
      <c r="H149" s="539" t="str">
        <f>Master!AN6</f>
        <v>290/E, Khanapur Village, Gandipet Mandal, Ranga Reddy, Hyderabad-500075 T.S.</v>
      </c>
      <c r="I149" s="114"/>
      <c r="J149" s="114"/>
      <c r="K149" s="114"/>
      <c r="L149" s="16"/>
      <c r="M149" s="16"/>
    </row>
    <row r="150" spans="1:13">
      <c r="A150" s="15"/>
      <c r="B150" s="383"/>
      <c r="C150" s="19"/>
      <c r="D150" s="19"/>
      <c r="E150" s="19"/>
      <c r="F150" s="19"/>
      <c r="G150" s="61"/>
      <c r="H150" s="60"/>
      <c r="I150" s="19"/>
      <c r="J150" s="19"/>
      <c r="K150" s="19"/>
      <c r="L150" s="81"/>
      <c r="M150" s="16"/>
    </row>
    <row r="151" spans="1:13">
      <c r="A151" s="15"/>
      <c r="B151" s="389"/>
      <c r="C151" s="390"/>
      <c r="D151" s="390"/>
      <c r="E151" s="390"/>
      <c r="F151" s="390"/>
      <c r="G151" s="391"/>
      <c r="H151" s="396"/>
      <c r="I151" s="390"/>
      <c r="J151" s="390" t="s">
        <v>103</v>
      </c>
      <c r="K151" s="390"/>
      <c r="L151" s="397"/>
      <c r="M151" s="16"/>
    </row>
    <row r="152" spans="1:13">
      <c r="A152" s="15"/>
      <c r="B152" s="980" t="s">
        <v>104</v>
      </c>
      <c r="C152" s="981"/>
      <c r="D152" s="981"/>
      <c r="E152" s="981"/>
      <c r="F152" s="981"/>
      <c r="G152" s="392"/>
      <c r="H152" s="982" t="s">
        <v>4</v>
      </c>
      <c r="I152" s="981"/>
      <c r="J152" s="981"/>
      <c r="K152" s="981"/>
      <c r="L152" s="983"/>
      <c r="M152" s="16"/>
    </row>
    <row r="153" spans="1:13">
      <c r="A153" s="15"/>
      <c r="B153" s="393"/>
      <c r="C153" s="394"/>
      <c r="D153" s="394"/>
      <c r="E153" s="394"/>
      <c r="F153" s="394"/>
      <c r="G153" s="395"/>
      <c r="H153" s="398"/>
      <c r="I153" s="394"/>
      <c r="J153" s="394"/>
      <c r="K153" s="394"/>
      <c r="L153" s="399"/>
      <c r="M153" s="16"/>
    </row>
    <row r="154" spans="1:13">
      <c r="A154" s="15"/>
      <c r="B154" s="382"/>
      <c r="C154" s="77"/>
      <c r="D154" s="77"/>
      <c r="E154" s="77"/>
      <c r="F154" s="77"/>
      <c r="G154" s="56"/>
      <c r="H154" s="74"/>
      <c r="I154" s="74"/>
      <c r="J154" s="74"/>
      <c r="K154" s="74"/>
      <c r="L154" s="384"/>
      <c r="M154" s="16"/>
    </row>
    <row r="155" spans="1:13">
      <c r="A155" s="15"/>
      <c r="B155" s="15"/>
      <c r="C155" s="114"/>
      <c r="D155" s="114"/>
      <c r="E155" s="114"/>
      <c r="F155" s="114"/>
      <c r="G155" s="379"/>
      <c r="H155" s="115" t="str">
        <f>Master!AN10</f>
        <v>INDIAN SCHOOL OF BUSINESS</v>
      </c>
      <c r="I155" s="115"/>
      <c r="J155" s="115"/>
      <c r="K155" s="115"/>
      <c r="L155" s="71"/>
      <c r="M155" s="16"/>
    </row>
    <row r="156" spans="1:13">
      <c r="A156" s="15"/>
      <c r="B156" s="70" t="str">
        <f>Master!F8</f>
        <v>GARDENING SERVICES&amp;ISB HYDERABAD</v>
      </c>
      <c r="C156" s="114"/>
      <c r="D156" s="114"/>
      <c r="E156" s="114"/>
      <c r="F156" s="114"/>
      <c r="G156" s="379"/>
      <c r="H156" s="115"/>
      <c r="I156" s="115"/>
      <c r="J156" s="115"/>
      <c r="K156" s="115"/>
      <c r="L156" s="71"/>
      <c r="M156" s="16"/>
    </row>
    <row r="157" spans="1:13">
      <c r="A157" s="15"/>
      <c r="B157" s="15"/>
      <c r="C157" s="114"/>
      <c r="D157" s="114"/>
      <c r="E157" s="114"/>
      <c r="F157" s="114"/>
      <c r="G157" s="379"/>
      <c r="H157" s="115" t="str">
        <f>Master!AN11</f>
        <v>Opp.Infosys Limited,Gachibowli,Hyderabad</v>
      </c>
      <c r="I157" s="115"/>
      <c r="J157" s="115"/>
      <c r="K157" s="115"/>
      <c r="L157" s="71"/>
      <c r="M157" s="16"/>
    </row>
    <row r="158" spans="1:13">
      <c r="A158" s="15"/>
      <c r="B158" s="383"/>
      <c r="C158" s="19"/>
      <c r="D158" s="19"/>
      <c r="E158" s="19"/>
      <c r="F158" s="19"/>
      <c r="G158" s="61"/>
      <c r="H158" s="79"/>
      <c r="I158" s="79"/>
      <c r="J158" s="79"/>
      <c r="K158" s="79"/>
      <c r="L158" s="385"/>
      <c r="M158" s="16"/>
    </row>
    <row r="159" spans="1:13" ht="30" customHeight="1">
      <c r="A159" s="15"/>
      <c r="B159" s="948" t="s">
        <v>105</v>
      </c>
      <c r="C159" s="949"/>
      <c r="D159" s="949"/>
      <c r="E159" s="949"/>
      <c r="F159" s="949"/>
      <c r="G159" s="949"/>
      <c r="H159" s="950" t="str">
        <f>Master!D18</f>
        <v xml:space="preserve">KASALA NARSIMLU </v>
      </c>
      <c r="I159" s="951"/>
      <c r="J159" s="951"/>
      <c r="K159" s="951"/>
      <c r="L159" s="952"/>
      <c r="M159" s="16"/>
    </row>
    <row r="160" spans="1:13" ht="30" customHeight="1">
      <c r="A160" s="15"/>
      <c r="B160" s="948"/>
      <c r="C160" s="949"/>
      <c r="D160" s="949"/>
      <c r="E160" s="949"/>
      <c r="F160" s="949"/>
      <c r="G160" s="949"/>
      <c r="H160" s="950" t="str">
        <f>Master!K18</f>
        <v>H.no.3-90,</v>
      </c>
      <c r="I160" s="951"/>
      <c r="J160" s="951"/>
      <c r="K160" s="951"/>
      <c r="L160" s="952"/>
      <c r="M160" s="16"/>
    </row>
    <row r="161" spans="1:13" ht="30" customHeight="1">
      <c r="A161" s="15"/>
      <c r="B161" s="948"/>
      <c r="C161" s="949"/>
      <c r="D161" s="949"/>
      <c r="E161" s="949"/>
      <c r="F161" s="949"/>
      <c r="G161" s="949"/>
      <c r="H161" s="950" t="str">
        <f>Master!L18</f>
        <v>Mwdharam,Medhak</v>
      </c>
      <c r="I161" s="951"/>
      <c r="J161" s="951"/>
      <c r="K161" s="951"/>
      <c r="L161" s="952"/>
      <c r="M161" s="16"/>
    </row>
    <row r="162" spans="1:13" ht="30" customHeight="1">
      <c r="A162" s="15"/>
      <c r="B162" s="948"/>
      <c r="C162" s="949"/>
      <c r="D162" s="949"/>
      <c r="E162" s="949"/>
      <c r="F162" s="949"/>
      <c r="G162" s="949"/>
      <c r="H162" s="950" t="str">
        <f>Master!M18</f>
        <v>TS-502319</v>
      </c>
      <c r="I162" s="951"/>
      <c r="J162" s="951"/>
      <c r="K162" s="951"/>
      <c r="L162" s="952"/>
      <c r="M162" s="16"/>
    </row>
    <row r="163" spans="1:13" ht="30" customHeight="1">
      <c r="A163" s="73"/>
      <c r="B163" s="948"/>
      <c r="C163" s="949"/>
      <c r="D163" s="949"/>
      <c r="E163" s="949"/>
      <c r="F163" s="949"/>
      <c r="G163" s="949"/>
      <c r="H163" s="989">
        <f>Master!N152</f>
        <v>0</v>
      </c>
      <c r="I163" s="990"/>
      <c r="J163" s="990"/>
      <c r="K163" s="990"/>
      <c r="L163" s="991"/>
      <c r="M163" s="16"/>
    </row>
    <row r="164" spans="1:13" ht="30" customHeight="1">
      <c r="A164" s="73"/>
      <c r="B164" s="984" t="s">
        <v>106</v>
      </c>
      <c r="C164" s="985"/>
      <c r="D164" s="985"/>
      <c r="E164" s="985"/>
      <c r="F164" s="985"/>
      <c r="G164" s="985"/>
      <c r="H164" s="947">
        <f>Master!C18</f>
        <v>6</v>
      </c>
      <c r="I164" s="945"/>
      <c r="J164" s="945"/>
      <c r="K164" s="945"/>
      <c r="L164" s="946"/>
      <c r="M164" s="16"/>
    </row>
    <row r="165" spans="1:13" ht="30" customHeight="1">
      <c r="A165" s="73"/>
      <c r="B165" s="943" t="s">
        <v>107</v>
      </c>
      <c r="C165" s="944"/>
      <c r="D165" s="944"/>
      <c r="E165" s="944"/>
      <c r="F165" s="944"/>
      <c r="G165" s="944"/>
      <c r="H165" s="947" t="str">
        <f>Master!J18</f>
        <v>Semi Skilled Gardner</v>
      </c>
      <c r="I165" s="945"/>
      <c r="J165" s="945"/>
      <c r="K165" s="945"/>
      <c r="L165" s="946"/>
      <c r="M165" s="16"/>
    </row>
    <row r="166" spans="1:13" ht="30" customHeight="1">
      <c r="A166" s="73"/>
      <c r="B166" s="943" t="s">
        <v>108</v>
      </c>
      <c r="C166" s="944"/>
      <c r="D166" s="944"/>
      <c r="E166" s="944"/>
      <c r="F166" s="944"/>
      <c r="G166" s="944"/>
      <c r="H166" s="957">
        <f>Master!S18</f>
        <v>43850</v>
      </c>
      <c r="I166" s="958"/>
      <c r="J166" s="958"/>
      <c r="K166" s="958"/>
      <c r="L166" s="959"/>
      <c r="M166" s="16"/>
    </row>
    <row r="167" spans="1:13" ht="30" customHeight="1">
      <c r="A167" s="73"/>
      <c r="B167" s="386" t="s">
        <v>109</v>
      </c>
      <c r="C167" s="116"/>
      <c r="D167" s="116"/>
      <c r="E167" s="116"/>
      <c r="F167" s="116"/>
      <c r="G167" s="116"/>
      <c r="H167" s="947">
        <f>Master!Y18</f>
        <v>5216248033</v>
      </c>
      <c r="I167" s="947"/>
      <c r="J167" s="947"/>
      <c r="K167" s="947"/>
      <c r="L167" s="953"/>
      <c r="M167" s="16"/>
    </row>
    <row r="168" spans="1:13" ht="30" customHeight="1">
      <c r="A168" s="73"/>
      <c r="B168" s="386" t="s">
        <v>110</v>
      </c>
      <c r="C168" s="116"/>
      <c r="D168" s="116"/>
      <c r="E168" s="116"/>
      <c r="F168" s="116"/>
      <c r="G168" s="119"/>
      <c r="H168" s="947" t="str">
        <f>Master!X18</f>
        <v>101335495091</v>
      </c>
      <c r="I168" s="947"/>
      <c r="J168" s="947"/>
      <c r="K168" s="947"/>
      <c r="L168" s="953"/>
      <c r="M168" s="16"/>
    </row>
    <row r="169" spans="1:13" ht="30" customHeight="1">
      <c r="A169" s="73"/>
      <c r="B169" s="954" t="s">
        <v>111</v>
      </c>
      <c r="C169" s="955"/>
      <c r="D169" s="955"/>
      <c r="E169" s="955"/>
      <c r="F169" s="955"/>
      <c r="G169" s="955"/>
      <c r="H169" s="950">
        <f>Master!AC18</f>
        <v>13753</v>
      </c>
      <c r="I169" s="951"/>
      <c r="J169" s="951"/>
      <c r="K169" s="951"/>
      <c r="L169" s="952"/>
      <c r="M169" s="16"/>
    </row>
    <row r="170" spans="1:13" ht="30" customHeight="1">
      <c r="A170" s="73"/>
      <c r="B170" s="943" t="s">
        <v>112</v>
      </c>
      <c r="C170" s="944"/>
      <c r="D170" s="944"/>
      <c r="E170" s="944"/>
      <c r="F170" s="944"/>
      <c r="G170" s="944"/>
      <c r="H170" s="956">
        <f>Master!F10</f>
        <v>44652</v>
      </c>
      <c r="I170" s="945"/>
      <c r="J170" s="945"/>
      <c r="K170" s="945"/>
      <c r="L170" s="946"/>
      <c r="M170" s="16"/>
    </row>
    <row r="171" spans="1:13" ht="30" customHeight="1">
      <c r="A171" s="15"/>
      <c r="B171" s="943" t="s">
        <v>113</v>
      </c>
      <c r="C171" s="944"/>
      <c r="D171" s="944"/>
      <c r="E171" s="944"/>
      <c r="F171" s="944"/>
      <c r="G171" s="944"/>
      <c r="H171" s="945" t="s">
        <v>114</v>
      </c>
      <c r="I171" s="945"/>
      <c r="J171" s="945"/>
      <c r="K171" s="945"/>
      <c r="L171" s="946"/>
      <c r="M171" s="16"/>
    </row>
    <row r="172" spans="1:13" ht="30" customHeight="1">
      <c r="A172" s="15"/>
      <c r="B172" s="386" t="s">
        <v>115</v>
      </c>
      <c r="C172" s="116"/>
      <c r="D172" s="116"/>
      <c r="E172" s="116"/>
      <c r="F172" s="116"/>
      <c r="G172" s="119"/>
      <c r="H172" s="947">
        <f>Master!AA18</f>
        <v>26</v>
      </c>
      <c r="I172" s="945"/>
      <c r="J172" s="945"/>
      <c r="K172" s="945"/>
      <c r="L172" s="946"/>
      <c r="M172" s="16"/>
    </row>
    <row r="173" spans="1:13" ht="30" customHeight="1">
      <c r="A173" s="15"/>
      <c r="B173" s="386" t="s">
        <v>116</v>
      </c>
      <c r="C173" s="116"/>
      <c r="D173" s="116"/>
      <c r="E173" s="116"/>
      <c r="F173" s="116"/>
      <c r="G173" s="119"/>
      <c r="H173" s="986" t="s">
        <v>28</v>
      </c>
      <c r="I173" s="987"/>
      <c r="J173" s="987"/>
      <c r="K173" s="987"/>
      <c r="L173" s="988"/>
      <c r="M173" s="16"/>
    </row>
    <row r="174" spans="1:13" ht="30" customHeight="1">
      <c r="A174" s="15"/>
      <c r="B174" s="386" t="s">
        <v>117</v>
      </c>
      <c r="C174" s="116"/>
      <c r="D174" s="116"/>
      <c r="E174" s="116"/>
      <c r="F174" s="116"/>
      <c r="G174" s="119"/>
      <c r="H174" s="989">
        <v>0</v>
      </c>
      <c r="I174" s="990"/>
      <c r="J174" s="990"/>
      <c r="K174" s="990"/>
      <c r="L174" s="991"/>
      <c r="M174" s="16"/>
    </row>
    <row r="175" spans="1:13" ht="30" customHeight="1">
      <c r="A175" s="15"/>
      <c r="B175" s="386" t="s">
        <v>118</v>
      </c>
      <c r="C175" s="116"/>
      <c r="D175" s="116"/>
      <c r="E175" s="116"/>
      <c r="F175" s="116"/>
      <c r="G175" s="119"/>
      <c r="H175" s="986">
        <v>0</v>
      </c>
      <c r="I175" s="987"/>
      <c r="J175" s="987"/>
      <c r="K175" s="987"/>
      <c r="L175" s="988"/>
      <c r="M175" s="16"/>
    </row>
    <row r="176" spans="1:13" ht="30" customHeight="1">
      <c r="A176" s="15"/>
      <c r="B176" s="386" t="s">
        <v>119</v>
      </c>
      <c r="C176" s="116"/>
      <c r="D176" s="116"/>
      <c r="E176" s="116"/>
      <c r="F176" s="116"/>
      <c r="G176" s="119"/>
      <c r="H176" s="117"/>
      <c r="I176" s="118"/>
      <c r="J176" s="990">
        <f>Master!AK18</f>
        <v>11919.599999999999</v>
      </c>
      <c r="K176" s="992"/>
      <c r="L176" s="581" t="s">
        <v>737</v>
      </c>
      <c r="M176" s="16"/>
    </row>
    <row r="177" spans="1:13" ht="30" customHeight="1">
      <c r="A177" s="15"/>
      <c r="B177" s="386" t="s">
        <v>120</v>
      </c>
      <c r="C177" s="116"/>
      <c r="D177" s="465" t="s">
        <v>24</v>
      </c>
      <c r="E177" s="466">
        <f>Master!AM18</f>
        <v>1430</v>
      </c>
      <c r="F177" s="465" t="s">
        <v>23</v>
      </c>
      <c r="G177" s="466">
        <f>Master!AL18</f>
        <v>90</v>
      </c>
      <c r="H177" s="465" t="s">
        <v>25</v>
      </c>
      <c r="I177" s="466">
        <f>Master!AN18</f>
        <v>0</v>
      </c>
      <c r="J177" s="465" t="s">
        <v>26</v>
      </c>
      <c r="K177" s="466">
        <f>Master!AO18</f>
        <v>0</v>
      </c>
      <c r="L177" s="400">
        <f>Master!AP18</f>
        <v>0</v>
      </c>
      <c r="M177" s="16"/>
    </row>
    <row r="178" spans="1:13" ht="30" customHeight="1">
      <c r="A178" s="15"/>
      <c r="B178" s="386" t="s">
        <v>121</v>
      </c>
      <c r="C178" s="116"/>
      <c r="D178" s="116"/>
      <c r="E178" s="116"/>
      <c r="F178" s="116"/>
      <c r="G178" s="119"/>
      <c r="H178" s="117"/>
      <c r="I178" s="118"/>
      <c r="J178" s="541">
        <f>Master!AR18</f>
        <v>10399.599999999999</v>
      </c>
      <c r="K178" s="118"/>
      <c r="L178" s="125"/>
      <c r="M178" s="16"/>
    </row>
    <row r="179" spans="1:13">
      <c r="A179" s="15"/>
      <c r="B179" s="387" t="s">
        <v>122</v>
      </c>
      <c r="C179" s="74"/>
      <c r="D179" s="74"/>
      <c r="E179" s="74"/>
      <c r="F179" s="74"/>
      <c r="G179" s="75"/>
      <c r="H179" s="76"/>
      <c r="I179" s="77"/>
      <c r="J179" s="77"/>
      <c r="K179" s="77"/>
      <c r="L179" s="78"/>
      <c r="M179" s="16"/>
    </row>
    <row r="180" spans="1:13">
      <c r="A180" s="15"/>
      <c r="B180" s="388" t="s">
        <v>123</v>
      </c>
      <c r="C180" s="79"/>
      <c r="D180" s="79"/>
      <c r="E180" s="79"/>
      <c r="F180" s="79"/>
      <c r="G180" s="80"/>
      <c r="H180" s="60"/>
      <c r="I180" s="19"/>
      <c r="J180" s="19"/>
      <c r="K180" s="19"/>
      <c r="L180" s="81"/>
      <c r="M180" s="16"/>
    </row>
    <row r="181" spans="1:13">
      <c r="A181" s="15"/>
      <c r="B181" s="15"/>
      <c r="C181" s="114"/>
      <c r="D181" s="114"/>
      <c r="E181" s="114"/>
      <c r="F181" s="114"/>
      <c r="G181" s="114"/>
      <c r="H181" s="114"/>
      <c r="I181" s="114"/>
      <c r="J181" s="114"/>
      <c r="K181" s="114"/>
      <c r="L181" s="16"/>
      <c r="M181" s="16"/>
    </row>
    <row r="182" spans="1:13" ht="15" thickBot="1">
      <c r="A182" s="27"/>
      <c r="B182" s="27"/>
      <c r="C182" s="25"/>
      <c r="D182" s="25"/>
      <c r="E182" s="25"/>
      <c r="F182" s="25"/>
      <c r="G182" s="25"/>
      <c r="H182" s="25"/>
      <c r="I182" s="25"/>
      <c r="J182" s="25"/>
      <c r="K182" s="25"/>
      <c r="L182" s="26"/>
      <c r="M182" s="26"/>
    </row>
    <row r="183" spans="1:13">
      <c r="A183" s="420"/>
      <c r="B183" s="420"/>
      <c r="C183" s="420"/>
      <c r="D183" s="420"/>
      <c r="E183" s="420"/>
      <c r="F183" s="420"/>
      <c r="G183" s="420"/>
      <c r="H183" s="420"/>
      <c r="I183" s="420"/>
      <c r="J183" s="420"/>
      <c r="K183" s="420"/>
      <c r="L183" s="420"/>
      <c r="M183" s="420"/>
    </row>
    <row r="184" spans="1:13">
      <c r="A184" s="420"/>
      <c r="B184" s="420"/>
      <c r="C184" s="420"/>
      <c r="D184" s="420"/>
      <c r="E184" s="420"/>
      <c r="F184" s="420"/>
      <c r="G184" s="420"/>
      <c r="H184" s="420"/>
      <c r="I184" s="420"/>
      <c r="J184" s="420"/>
      <c r="K184" s="420"/>
      <c r="L184" s="420"/>
      <c r="M184" s="420"/>
    </row>
    <row r="185" spans="1:13">
      <c r="A185" s="420"/>
      <c r="B185" s="420"/>
      <c r="C185" s="420"/>
      <c r="D185" s="420"/>
      <c r="E185" s="420"/>
      <c r="F185" s="420"/>
      <c r="G185" s="420"/>
      <c r="H185" s="420"/>
      <c r="I185" s="420"/>
      <c r="J185" s="420"/>
      <c r="K185" s="420"/>
      <c r="L185" s="420"/>
      <c r="M185" s="420"/>
    </row>
    <row r="186" spans="1:13">
      <c r="A186" s="420"/>
      <c r="B186" s="420"/>
      <c r="C186" s="420"/>
      <c r="D186" s="420"/>
      <c r="E186" s="420"/>
      <c r="F186" s="420"/>
      <c r="G186" s="420"/>
      <c r="H186" s="420"/>
      <c r="I186" s="420"/>
      <c r="J186" s="420"/>
      <c r="K186" s="420"/>
      <c r="L186" s="420"/>
      <c r="M186" s="420"/>
    </row>
    <row r="187" spans="1:13" ht="15" thickBot="1">
      <c r="A187" s="420"/>
      <c r="B187" s="420"/>
      <c r="C187" s="420"/>
      <c r="D187" s="420"/>
      <c r="E187" s="420"/>
      <c r="F187" s="420"/>
      <c r="G187" s="420"/>
      <c r="H187" s="420"/>
      <c r="I187" s="420"/>
      <c r="J187" s="420"/>
      <c r="K187" s="420"/>
      <c r="L187" s="420"/>
      <c r="M187" s="420"/>
    </row>
    <row r="188" spans="1:13" ht="32.4">
      <c r="A188" s="68"/>
      <c r="B188" s="960" t="s">
        <v>99</v>
      </c>
      <c r="C188" s="961"/>
      <c r="D188" s="961"/>
      <c r="E188" s="961"/>
      <c r="F188" s="961"/>
      <c r="G188" s="961"/>
      <c r="H188" s="961"/>
      <c r="I188" s="961"/>
      <c r="J188" s="961"/>
      <c r="K188" s="961"/>
      <c r="L188" s="962"/>
      <c r="M188" s="69"/>
    </row>
    <row r="189" spans="1:13" ht="23.4">
      <c r="A189" s="15"/>
      <c r="B189" s="963" t="s">
        <v>100</v>
      </c>
      <c r="C189" s="964"/>
      <c r="D189" s="964"/>
      <c r="E189" s="964"/>
      <c r="F189" s="964"/>
      <c r="G189" s="964"/>
      <c r="H189" s="964"/>
      <c r="I189" s="964"/>
      <c r="J189" s="964"/>
      <c r="K189" s="964"/>
      <c r="L189" s="965"/>
      <c r="M189" s="16"/>
    </row>
    <row r="190" spans="1:13" ht="15.6">
      <c r="A190" s="15"/>
      <c r="B190" s="966" t="s">
        <v>1070</v>
      </c>
      <c r="C190" s="967"/>
      <c r="D190" s="967"/>
      <c r="E190" s="967"/>
      <c r="F190" s="967"/>
      <c r="G190" s="967"/>
      <c r="H190" s="968"/>
      <c r="I190" s="968"/>
      <c r="J190" s="968"/>
      <c r="K190" s="968"/>
      <c r="L190" s="969"/>
      <c r="M190" s="16"/>
    </row>
    <row r="191" spans="1:13">
      <c r="A191" s="15"/>
      <c r="B191" s="970" t="s">
        <v>101</v>
      </c>
      <c r="C191" s="971"/>
      <c r="D191" s="971"/>
      <c r="E191" s="971"/>
      <c r="F191" s="971"/>
      <c r="G191" s="391"/>
      <c r="H191" s="974" t="s">
        <v>102</v>
      </c>
      <c r="I191" s="975"/>
      <c r="J191" s="975"/>
      <c r="K191" s="975"/>
      <c r="L191" s="976"/>
      <c r="M191" s="16"/>
    </row>
    <row r="192" spans="1:13">
      <c r="A192" s="15"/>
      <c r="B192" s="972"/>
      <c r="C192" s="973"/>
      <c r="D192" s="973"/>
      <c r="E192" s="973"/>
      <c r="F192" s="973"/>
      <c r="G192" s="395"/>
      <c r="H192" s="977"/>
      <c r="I192" s="978"/>
      <c r="J192" s="978"/>
      <c r="K192" s="978"/>
      <c r="L192" s="979"/>
      <c r="M192" s="16"/>
    </row>
    <row r="193" spans="1:13">
      <c r="A193" s="15"/>
      <c r="B193" s="382"/>
      <c r="C193" s="77"/>
      <c r="D193" s="77"/>
      <c r="E193" s="77"/>
      <c r="F193" s="77"/>
      <c r="G193" s="56"/>
      <c r="H193" s="76"/>
      <c r="I193" s="77"/>
      <c r="J193" s="77"/>
      <c r="K193" s="77"/>
      <c r="L193" s="78"/>
      <c r="M193" s="16"/>
    </row>
    <row r="194" spans="1:13">
      <c r="A194" s="15"/>
      <c r="B194" s="378" t="str">
        <f>Master!F5</f>
        <v>GROTECH LANDSCAPE DEVELOPERS PVT. LTD.</v>
      </c>
      <c r="C194" s="114"/>
      <c r="D194" s="114"/>
      <c r="E194" s="114"/>
      <c r="F194" s="114"/>
      <c r="G194" s="379"/>
      <c r="H194" s="381" t="str">
        <f>Master!AN5</f>
        <v>GROTECH LANDSCAPE DEVELOPERS PVT. LTD.</v>
      </c>
      <c r="I194" s="114"/>
      <c r="J194" s="114"/>
      <c r="K194" s="114"/>
      <c r="L194" s="16"/>
      <c r="M194" s="16"/>
    </row>
    <row r="195" spans="1:13">
      <c r="A195" s="15"/>
      <c r="B195" s="15"/>
      <c r="C195" s="114"/>
      <c r="D195" s="114"/>
      <c r="E195" s="114"/>
      <c r="F195" s="114"/>
      <c r="G195" s="379"/>
      <c r="H195" s="380"/>
      <c r="I195" s="114"/>
      <c r="J195" s="114"/>
      <c r="K195" s="114"/>
      <c r="L195" s="16"/>
      <c r="M195" s="16"/>
    </row>
    <row r="196" spans="1:13">
      <c r="A196" s="15"/>
      <c r="B196" s="538" t="str">
        <f>Master!F6</f>
        <v>290/E, Khanapur Village, Gandipet Mandal, Ranga Reddy, Hyderabad-500075 T.S.</v>
      </c>
      <c r="C196" s="114"/>
      <c r="D196" s="114"/>
      <c r="E196" s="114"/>
      <c r="F196" s="114"/>
      <c r="G196" s="379"/>
      <c r="H196" s="539" t="str">
        <f>Master!AN6</f>
        <v>290/E, Khanapur Village, Gandipet Mandal, Ranga Reddy, Hyderabad-500075 T.S.</v>
      </c>
      <c r="I196" s="114"/>
      <c r="J196" s="114"/>
      <c r="K196" s="114"/>
      <c r="L196" s="16"/>
      <c r="M196" s="16"/>
    </row>
    <row r="197" spans="1:13">
      <c r="A197" s="15"/>
      <c r="B197" s="383"/>
      <c r="C197" s="19"/>
      <c r="D197" s="19"/>
      <c r="E197" s="19"/>
      <c r="F197" s="19"/>
      <c r="G197" s="61"/>
      <c r="H197" s="60"/>
      <c r="I197" s="19"/>
      <c r="J197" s="19"/>
      <c r="K197" s="19"/>
      <c r="L197" s="81"/>
      <c r="M197" s="16"/>
    </row>
    <row r="198" spans="1:13">
      <c r="A198" s="15"/>
      <c r="B198" s="389"/>
      <c r="C198" s="390"/>
      <c r="D198" s="390"/>
      <c r="E198" s="390"/>
      <c r="F198" s="390"/>
      <c r="G198" s="391"/>
      <c r="H198" s="396"/>
      <c r="I198" s="390"/>
      <c r="J198" s="390" t="s">
        <v>103</v>
      </c>
      <c r="K198" s="390"/>
      <c r="L198" s="397"/>
      <c r="M198" s="16"/>
    </row>
    <row r="199" spans="1:13">
      <c r="A199" s="15"/>
      <c r="B199" s="980" t="s">
        <v>104</v>
      </c>
      <c r="C199" s="981"/>
      <c r="D199" s="981"/>
      <c r="E199" s="981"/>
      <c r="F199" s="981"/>
      <c r="G199" s="392"/>
      <c r="H199" s="982" t="s">
        <v>4</v>
      </c>
      <c r="I199" s="981"/>
      <c r="J199" s="981"/>
      <c r="K199" s="981"/>
      <c r="L199" s="983"/>
      <c r="M199" s="16"/>
    </row>
    <row r="200" spans="1:13">
      <c r="A200" s="15"/>
      <c r="B200" s="393"/>
      <c r="C200" s="394"/>
      <c r="D200" s="394"/>
      <c r="E200" s="394"/>
      <c r="F200" s="394"/>
      <c r="G200" s="395"/>
      <c r="H200" s="398"/>
      <c r="I200" s="394"/>
      <c r="J200" s="394"/>
      <c r="K200" s="394"/>
      <c r="L200" s="399"/>
      <c r="M200" s="16"/>
    </row>
    <row r="201" spans="1:13">
      <c r="A201" s="15"/>
      <c r="B201" s="382"/>
      <c r="C201" s="77"/>
      <c r="D201" s="77"/>
      <c r="E201" s="77"/>
      <c r="F201" s="77"/>
      <c r="G201" s="56"/>
      <c r="H201" s="74"/>
      <c r="I201" s="74"/>
      <c r="J201" s="74"/>
      <c r="K201" s="74"/>
      <c r="L201" s="384"/>
      <c r="M201" s="16"/>
    </row>
    <row r="202" spans="1:13">
      <c r="A202" s="15"/>
      <c r="B202" s="15"/>
      <c r="C202" s="114"/>
      <c r="D202" s="114"/>
      <c r="E202" s="114"/>
      <c r="F202" s="114"/>
      <c r="G202" s="379"/>
      <c r="H202" s="115" t="str">
        <f>Master!AN10</f>
        <v>INDIAN SCHOOL OF BUSINESS</v>
      </c>
      <c r="I202" s="115"/>
      <c r="J202" s="115"/>
      <c r="K202" s="115"/>
      <c r="L202" s="71"/>
      <c r="M202" s="16"/>
    </row>
    <row r="203" spans="1:13">
      <c r="A203" s="15"/>
      <c r="B203" s="70" t="str">
        <f>Master!F8</f>
        <v>GARDENING SERVICES&amp;ISB HYDERABAD</v>
      </c>
      <c r="C203" s="114"/>
      <c r="D203" s="114"/>
      <c r="E203" s="114"/>
      <c r="F203" s="114"/>
      <c r="G203" s="379"/>
      <c r="H203" s="115"/>
      <c r="I203" s="115"/>
      <c r="J203" s="115"/>
      <c r="K203" s="115"/>
      <c r="L203" s="71"/>
      <c r="M203" s="16"/>
    </row>
    <row r="204" spans="1:13">
      <c r="A204" s="15"/>
      <c r="B204" s="15"/>
      <c r="C204" s="114"/>
      <c r="D204" s="114"/>
      <c r="E204" s="114"/>
      <c r="F204" s="114"/>
      <c r="G204" s="379"/>
      <c r="H204" s="115" t="str">
        <f>Master!AN11</f>
        <v>Opp.Infosys Limited,Gachibowli,Hyderabad</v>
      </c>
      <c r="I204" s="115"/>
      <c r="J204" s="115"/>
      <c r="K204" s="115"/>
      <c r="L204" s="71"/>
      <c r="M204" s="16"/>
    </row>
    <row r="205" spans="1:13">
      <c r="A205" s="15"/>
      <c r="B205" s="383"/>
      <c r="C205" s="19"/>
      <c r="D205" s="19"/>
      <c r="E205" s="19"/>
      <c r="F205" s="19"/>
      <c r="G205" s="61"/>
      <c r="H205" s="79"/>
      <c r="I205" s="79"/>
      <c r="J205" s="79"/>
      <c r="K205" s="79"/>
      <c r="L205" s="385"/>
      <c r="M205" s="16"/>
    </row>
    <row r="206" spans="1:13" ht="30" customHeight="1">
      <c r="A206" s="15"/>
      <c r="B206" s="948" t="s">
        <v>105</v>
      </c>
      <c r="C206" s="949"/>
      <c r="D206" s="949"/>
      <c r="E206" s="949"/>
      <c r="F206" s="949"/>
      <c r="G206" s="949"/>
      <c r="H206" s="950" t="str">
        <f>Master!D19</f>
        <v>PITANI SATHYA NARAYANA</v>
      </c>
      <c r="I206" s="951"/>
      <c r="J206" s="951"/>
      <c r="K206" s="951"/>
      <c r="L206" s="952"/>
      <c r="M206" s="16"/>
    </row>
    <row r="207" spans="1:13" ht="30" customHeight="1">
      <c r="A207" s="15"/>
      <c r="B207" s="948"/>
      <c r="C207" s="949"/>
      <c r="D207" s="949"/>
      <c r="E207" s="949"/>
      <c r="F207" s="949"/>
      <c r="G207" s="949"/>
      <c r="H207" s="950" t="str">
        <f>Master!K19</f>
        <v>H.no 12-60/3,Gopinagar colony,</v>
      </c>
      <c r="I207" s="951"/>
      <c r="J207" s="951"/>
      <c r="K207" s="951"/>
      <c r="L207" s="952"/>
      <c r="M207" s="16"/>
    </row>
    <row r="208" spans="1:13" ht="30" customHeight="1">
      <c r="A208" s="15"/>
      <c r="B208" s="948"/>
      <c r="C208" s="949"/>
      <c r="D208" s="949"/>
      <c r="E208" s="949"/>
      <c r="F208" s="949"/>
      <c r="G208" s="949"/>
      <c r="H208" s="950" t="str">
        <f>Master!L19</f>
        <v>Near church,serilingampally</v>
      </c>
      <c r="I208" s="951"/>
      <c r="J208" s="951"/>
      <c r="K208" s="951"/>
      <c r="L208" s="952"/>
      <c r="M208" s="16"/>
    </row>
    <row r="209" spans="1:13" ht="30" customHeight="1">
      <c r="A209" s="15"/>
      <c r="B209" s="948"/>
      <c r="C209" s="949"/>
      <c r="D209" s="949"/>
      <c r="E209" s="949"/>
      <c r="F209" s="949"/>
      <c r="G209" s="949"/>
      <c r="H209" s="950" t="str">
        <f>Master!M19</f>
        <v>KV R.R,TS-500019</v>
      </c>
      <c r="I209" s="951"/>
      <c r="J209" s="951"/>
      <c r="K209" s="951"/>
      <c r="L209" s="952"/>
      <c r="M209" s="16"/>
    </row>
    <row r="210" spans="1:13" ht="30" customHeight="1">
      <c r="A210" s="73"/>
      <c r="B210" s="948"/>
      <c r="C210" s="949"/>
      <c r="D210" s="949"/>
      <c r="E210" s="949"/>
      <c r="F210" s="949"/>
      <c r="G210" s="949"/>
      <c r="H210" s="989">
        <f>Master!N220</f>
        <v>0</v>
      </c>
      <c r="I210" s="990"/>
      <c r="J210" s="990"/>
      <c r="K210" s="990"/>
      <c r="L210" s="991"/>
      <c r="M210" s="16"/>
    </row>
    <row r="211" spans="1:13" ht="30" customHeight="1">
      <c r="A211" s="73"/>
      <c r="B211" s="984" t="s">
        <v>106</v>
      </c>
      <c r="C211" s="985"/>
      <c r="D211" s="985"/>
      <c r="E211" s="985"/>
      <c r="F211" s="985"/>
      <c r="G211" s="985"/>
      <c r="H211" s="947">
        <f>Master!C19</f>
        <v>7</v>
      </c>
      <c r="I211" s="945"/>
      <c r="J211" s="945"/>
      <c r="K211" s="945"/>
      <c r="L211" s="946"/>
      <c r="M211" s="16"/>
    </row>
    <row r="212" spans="1:13" ht="30" customHeight="1">
      <c r="A212" s="73"/>
      <c r="B212" s="943" t="s">
        <v>107</v>
      </c>
      <c r="C212" s="944"/>
      <c r="D212" s="944"/>
      <c r="E212" s="944"/>
      <c r="F212" s="944"/>
      <c r="G212" s="944"/>
      <c r="H212" s="947" t="str">
        <f>Master!J19</f>
        <v>Semi Skilled Gardner</v>
      </c>
      <c r="I212" s="945"/>
      <c r="J212" s="945"/>
      <c r="K212" s="945"/>
      <c r="L212" s="946"/>
      <c r="M212" s="16"/>
    </row>
    <row r="213" spans="1:13" ht="30" customHeight="1">
      <c r="A213" s="73"/>
      <c r="B213" s="943" t="s">
        <v>108</v>
      </c>
      <c r="C213" s="944"/>
      <c r="D213" s="944"/>
      <c r="E213" s="944"/>
      <c r="F213" s="944"/>
      <c r="G213" s="944"/>
      <c r="H213" s="957">
        <f>Master!S19</f>
        <v>43850</v>
      </c>
      <c r="I213" s="958"/>
      <c r="J213" s="958"/>
      <c r="K213" s="958"/>
      <c r="L213" s="959"/>
      <c r="M213" s="16"/>
    </row>
    <row r="214" spans="1:13" ht="30" customHeight="1">
      <c r="A214" s="73"/>
      <c r="B214" s="386" t="s">
        <v>109</v>
      </c>
      <c r="C214" s="116"/>
      <c r="D214" s="116"/>
      <c r="E214" s="116"/>
      <c r="F214" s="116"/>
      <c r="G214" s="116"/>
      <c r="H214" s="947">
        <f>Master!Y19</f>
        <v>5215982488</v>
      </c>
      <c r="I214" s="947"/>
      <c r="J214" s="947"/>
      <c r="K214" s="947"/>
      <c r="L214" s="953"/>
      <c r="M214" s="16"/>
    </row>
    <row r="215" spans="1:13" ht="30" customHeight="1">
      <c r="A215" s="73"/>
      <c r="B215" s="386" t="s">
        <v>110</v>
      </c>
      <c r="C215" s="116"/>
      <c r="D215" s="116"/>
      <c r="E215" s="116"/>
      <c r="F215" s="116"/>
      <c r="G215" s="119"/>
      <c r="H215" s="947" t="str">
        <f>Master!X19</f>
        <v>101423797426</v>
      </c>
      <c r="I215" s="947"/>
      <c r="J215" s="947"/>
      <c r="K215" s="947"/>
      <c r="L215" s="953"/>
      <c r="M215" s="16"/>
    </row>
    <row r="216" spans="1:13" ht="30" customHeight="1">
      <c r="A216" s="73"/>
      <c r="B216" s="954" t="s">
        <v>111</v>
      </c>
      <c r="C216" s="955"/>
      <c r="D216" s="955"/>
      <c r="E216" s="955"/>
      <c r="F216" s="955"/>
      <c r="G216" s="955"/>
      <c r="H216" s="950">
        <f>Master!AC19</f>
        <v>11459</v>
      </c>
      <c r="I216" s="951"/>
      <c r="J216" s="951"/>
      <c r="K216" s="951"/>
      <c r="L216" s="952"/>
      <c r="M216" s="16"/>
    </row>
    <row r="217" spans="1:13" ht="30" customHeight="1">
      <c r="A217" s="73"/>
      <c r="B217" s="943" t="s">
        <v>112</v>
      </c>
      <c r="C217" s="944"/>
      <c r="D217" s="944"/>
      <c r="E217" s="944"/>
      <c r="F217" s="944"/>
      <c r="G217" s="944"/>
      <c r="H217" s="956">
        <f>Master!F10</f>
        <v>44652</v>
      </c>
      <c r="I217" s="945"/>
      <c r="J217" s="945"/>
      <c r="K217" s="945"/>
      <c r="L217" s="946"/>
      <c r="M217" s="16"/>
    </row>
    <row r="218" spans="1:13" ht="30" customHeight="1">
      <c r="A218" s="15"/>
      <c r="B218" s="943" t="s">
        <v>113</v>
      </c>
      <c r="C218" s="944"/>
      <c r="D218" s="944"/>
      <c r="E218" s="944"/>
      <c r="F218" s="944"/>
      <c r="G218" s="944"/>
      <c r="H218" s="945" t="s">
        <v>114</v>
      </c>
      <c r="I218" s="945"/>
      <c r="J218" s="945"/>
      <c r="K218" s="945"/>
      <c r="L218" s="946"/>
      <c r="M218" s="16"/>
    </row>
    <row r="219" spans="1:13" ht="30" customHeight="1">
      <c r="A219" s="15"/>
      <c r="B219" s="386" t="s">
        <v>115</v>
      </c>
      <c r="C219" s="116"/>
      <c r="D219" s="116"/>
      <c r="E219" s="116"/>
      <c r="F219" s="116"/>
      <c r="G219" s="119"/>
      <c r="H219" s="947" t="str">
        <f>Master!AA19</f>
        <v>26</v>
      </c>
      <c r="I219" s="945"/>
      <c r="J219" s="945"/>
      <c r="K219" s="945"/>
      <c r="L219" s="946"/>
      <c r="M219" s="16"/>
    </row>
    <row r="220" spans="1:13" ht="30" customHeight="1">
      <c r="A220" s="15"/>
      <c r="B220" s="386" t="s">
        <v>116</v>
      </c>
      <c r="C220" s="116"/>
      <c r="D220" s="116"/>
      <c r="E220" s="116"/>
      <c r="F220" s="116"/>
      <c r="G220" s="119"/>
      <c r="H220" s="986" t="s">
        <v>28</v>
      </c>
      <c r="I220" s="987"/>
      <c r="J220" s="987"/>
      <c r="K220" s="987"/>
      <c r="L220" s="988"/>
      <c r="M220" s="16"/>
    </row>
    <row r="221" spans="1:13" ht="30" customHeight="1">
      <c r="A221" s="15"/>
      <c r="B221" s="386" t="s">
        <v>117</v>
      </c>
      <c r="C221" s="116"/>
      <c r="D221" s="116"/>
      <c r="E221" s="116"/>
      <c r="F221" s="116"/>
      <c r="G221" s="119"/>
      <c r="H221" s="989">
        <v>0</v>
      </c>
      <c r="I221" s="990"/>
      <c r="J221" s="990"/>
      <c r="K221" s="990"/>
      <c r="L221" s="991"/>
      <c r="M221" s="16"/>
    </row>
    <row r="222" spans="1:13" ht="30" customHeight="1">
      <c r="A222" s="15"/>
      <c r="B222" s="386" t="s">
        <v>118</v>
      </c>
      <c r="C222" s="116"/>
      <c r="D222" s="116"/>
      <c r="E222" s="116"/>
      <c r="F222" s="116"/>
      <c r="G222" s="119"/>
      <c r="H222" s="986">
        <v>0</v>
      </c>
      <c r="I222" s="987"/>
      <c r="J222" s="987"/>
      <c r="K222" s="987"/>
      <c r="L222" s="988"/>
      <c r="M222" s="16"/>
    </row>
    <row r="223" spans="1:13" ht="30" customHeight="1">
      <c r="A223" s="15"/>
      <c r="B223" s="386" t="s">
        <v>119</v>
      </c>
      <c r="C223" s="116"/>
      <c r="D223" s="116"/>
      <c r="E223" s="116"/>
      <c r="F223" s="116"/>
      <c r="G223" s="119"/>
      <c r="H223" s="117"/>
      <c r="I223" s="118"/>
      <c r="J223" s="990">
        <f>Master!AK19</f>
        <v>9932.4666666666653</v>
      </c>
      <c r="K223" s="992"/>
      <c r="L223" s="581" t="s">
        <v>737</v>
      </c>
      <c r="M223" s="16"/>
    </row>
    <row r="224" spans="1:13" ht="30" customHeight="1">
      <c r="A224" s="15"/>
      <c r="B224" s="386" t="s">
        <v>120</v>
      </c>
      <c r="C224" s="116"/>
      <c r="D224" s="465" t="s">
        <v>24</v>
      </c>
      <c r="E224" s="466">
        <f>Master!AM19</f>
        <v>1192</v>
      </c>
      <c r="F224" s="465" t="s">
        <v>23</v>
      </c>
      <c r="G224" s="466">
        <f>Master!AL19</f>
        <v>75</v>
      </c>
      <c r="H224" s="465" t="s">
        <v>25</v>
      </c>
      <c r="I224" s="466">
        <f>Master!AN19</f>
        <v>0</v>
      </c>
      <c r="J224" s="465" t="s">
        <v>26</v>
      </c>
      <c r="K224" s="466">
        <f>Master!AO19</f>
        <v>0</v>
      </c>
      <c r="L224" s="400">
        <f>Master!AP19</f>
        <v>0</v>
      </c>
      <c r="M224" s="16"/>
    </row>
    <row r="225" spans="1:13" ht="30" customHeight="1">
      <c r="A225" s="15"/>
      <c r="B225" s="386" t="s">
        <v>121</v>
      </c>
      <c r="C225" s="116"/>
      <c r="D225" s="116"/>
      <c r="E225" s="116"/>
      <c r="F225" s="116"/>
      <c r="G225" s="119"/>
      <c r="H225" s="117"/>
      <c r="I225" s="118"/>
      <c r="J225" s="541">
        <f>Master!AR19</f>
        <v>8665.4666666666653</v>
      </c>
      <c r="K225" s="118"/>
      <c r="L225" s="125"/>
      <c r="M225" s="16"/>
    </row>
    <row r="226" spans="1:13">
      <c r="A226" s="15"/>
      <c r="B226" s="387" t="s">
        <v>122</v>
      </c>
      <c r="C226" s="74"/>
      <c r="D226" s="74"/>
      <c r="E226" s="74"/>
      <c r="F226" s="74"/>
      <c r="G226" s="75"/>
      <c r="H226" s="76"/>
      <c r="I226" s="77"/>
      <c r="J226" s="77"/>
      <c r="K226" s="77"/>
      <c r="L226" s="78"/>
      <c r="M226" s="16"/>
    </row>
    <row r="227" spans="1:13">
      <c r="A227" s="15"/>
      <c r="B227" s="388" t="s">
        <v>123</v>
      </c>
      <c r="C227" s="79"/>
      <c r="D227" s="79"/>
      <c r="E227" s="79"/>
      <c r="F227" s="79"/>
      <c r="G227" s="80"/>
      <c r="H227" s="60"/>
      <c r="I227" s="19"/>
      <c r="J227" s="19"/>
      <c r="K227" s="19"/>
      <c r="L227" s="81"/>
      <c r="M227" s="16"/>
    </row>
    <row r="228" spans="1:13">
      <c r="A228" s="15"/>
      <c r="B228" s="15"/>
      <c r="C228" s="114"/>
      <c r="D228" s="114"/>
      <c r="E228" s="114"/>
      <c r="F228" s="114"/>
      <c r="G228" s="114"/>
      <c r="H228" s="114"/>
      <c r="I228" s="114"/>
      <c r="J228" s="114"/>
      <c r="K228" s="114"/>
      <c r="L228" s="16"/>
      <c r="M228" s="16"/>
    </row>
    <row r="229" spans="1:13" ht="15" thickBot="1">
      <c r="A229" s="27"/>
      <c r="B229" s="27"/>
      <c r="C229" s="25"/>
      <c r="D229" s="25"/>
      <c r="E229" s="25"/>
      <c r="F229" s="25"/>
      <c r="G229" s="25"/>
      <c r="H229" s="25"/>
      <c r="I229" s="25"/>
      <c r="J229" s="25"/>
      <c r="K229" s="25"/>
      <c r="L229" s="26"/>
      <c r="M229" s="26"/>
    </row>
    <row r="230" spans="1:13">
      <c r="A230" s="420"/>
      <c r="B230" s="420"/>
      <c r="C230" s="420"/>
      <c r="D230" s="420"/>
      <c r="E230" s="420"/>
      <c r="F230" s="420"/>
      <c r="G230" s="420"/>
      <c r="H230" s="420"/>
      <c r="I230" s="420"/>
      <c r="J230" s="420"/>
      <c r="K230" s="420"/>
      <c r="L230" s="420"/>
      <c r="M230" s="420"/>
    </row>
    <row r="231" spans="1:13">
      <c r="A231" s="420"/>
      <c r="B231" s="420"/>
      <c r="C231" s="420"/>
      <c r="D231" s="420"/>
      <c r="E231" s="420"/>
      <c r="F231" s="420"/>
      <c r="G231" s="420"/>
      <c r="H231" s="420"/>
      <c r="I231" s="420"/>
      <c r="J231" s="420"/>
      <c r="K231" s="420"/>
      <c r="L231" s="420"/>
      <c r="M231" s="420"/>
    </row>
    <row r="232" spans="1:13">
      <c r="A232" s="420"/>
      <c r="B232" s="420"/>
      <c r="C232" s="420"/>
      <c r="D232" s="420"/>
      <c r="E232" s="420"/>
      <c r="F232" s="420"/>
      <c r="G232" s="420"/>
      <c r="H232" s="420"/>
      <c r="I232" s="420"/>
      <c r="J232" s="420"/>
      <c r="K232" s="420"/>
      <c r="L232" s="420"/>
      <c r="M232" s="420"/>
    </row>
    <row r="233" spans="1:13">
      <c r="A233" s="420"/>
      <c r="B233" s="420"/>
      <c r="C233" s="420"/>
      <c r="D233" s="420"/>
      <c r="E233" s="420"/>
      <c r="F233" s="420"/>
      <c r="G233" s="420"/>
      <c r="H233" s="420"/>
      <c r="I233" s="420"/>
      <c r="J233" s="420"/>
      <c r="K233" s="420"/>
      <c r="L233" s="420"/>
      <c r="M233" s="420"/>
    </row>
    <row r="234" spans="1:13" ht="15" thickBot="1">
      <c r="A234" s="420"/>
      <c r="B234" s="420"/>
      <c r="C234" s="420"/>
      <c r="D234" s="420"/>
      <c r="E234" s="420"/>
      <c r="F234" s="420"/>
      <c r="G234" s="420"/>
      <c r="H234" s="420"/>
      <c r="I234" s="420"/>
      <c r="J234" s="420"/>
      <c r="K234" s="420"/>
      <c r="L234" s="420"/>
      <c r="M234" s="420"/>
    </row>
    <row r="235" spans="1:13" ht="32.4">
      <c r="A235" s="68"/>
      <c r="B235" s="960" t="s">
        <v>99</v>
      </c>
      <c r="C235" s="961"/>
      <c r="D235" s="961"/>
      <c r="E235" s="961"/>
      <c r="F235" s="961"/>
      <c r="G235" s="961"/>
      <c r="H235" s="961"/>
      <c r="I235" s="961"/>
      <c r="J235" s="961"/>
      <c r="K235" s="961"/>
      <c r="L235" s="962"/>
      <c r="M235" s="69"/>
    </row>
    <row r="236" spans="1:13" ht="23.4">
      <c r="A236" s="15"/>
      <c r="B236" s="963" t="s">
        <v>100</v>
      </c>
      <c r="C236" s="964"/>
      <c r="D236" s="964"/>
      <c r="E236" s="964"/>
      <c r="F236" s="964"/>
      <c r="G236" s="964"/>
      <c r="H236" s="964"/>
      <c r="I236" s="964"/>
      <c r="J236" s="964"/>
      <c r="K236" s="964"/>
      <c r="L236" s="965"/>
      <c r="M236" s="16"/>
    </row>
    <row r="237" spans="1:13" ht="15.6">
      <c r="A237" s="15"/>
      <c r="B237" s="966" t="s">
        <v>1070</v>
      </c>
      <c r="C237" s="967"/>
      <c r="D237" s="967"/>
      <c r="E237" s="967"/>
      <c r="F237" s="967"/>
      <c r="G237" s="967"/>
      <c r="H237" s="968"/>
      <c r="I237" s="968"/>
      <c r="J237" s="968"/>
      <c r="K237" s="968"/>
      <c r="L237" s="969"/>
      <c r="M237" s="16"/>
    </row>
    <row r="238" spans="1:13">
      <c r="A238" s="15"/>
      <c r="B238" s="970" t="s">
        <v>101</v>
      </c>
      <c r="C238" s="971"/>
      <c r="D238" s="971"/>
      <c r="E238" s="971"/>
      <c r="F238" s="971"/>
      <c r="G238" s="391"/>
      <c r="H238" s="974" t="s">
        <v>102</v>
      </c>
      <c r="I238" s="975"/>
      <c r="J238" s="975"/>
      <c r="K238" s="975"/>
      <c r="L238" s="976"/>
      <c r="M238" s="16"/>
    </row>
    <row r="239" spans="1:13">
      <c r="A239" s="15"/>
      <c r="B239" s="972"/>
      <c r="C239" s="973"/>
      <c r="D239" s="973"/>
      <c r="E239" s="973"/>
      <c r="F239" s="973"/>
      <c r="G239" s="395"/>
      <c r="H239" s="977"/>
      <c r="I239" s="978"/>
      <c r="J239" s="978"/>
      <c r="K239" s="978"/>
      <c r="L239" s="979"/>
      <c r="M239" s="16"/>
    </row>
    <row r="240" spans="1:13">
      <c r="A240" s="15"/>
      <c r="B240" s="382"/>
      <c r="C240" s="77"/>
      <c r="D240" s="77"/>
      <c r="E240" s="77"/>
      <c r="F240" s="77"/>
      <c r="G240" s="56"/>
      <c r="H240" s="76"/>
      <c r="I240" s="77"/>
      <c r="J240" s="77"/>
      <c r="K240" s="77"/>
      <c r="L240" s="78"/>
      <c r="M240" s="16"/>
    </row>
    <row r="241" spans="1:13">
      <c r="A241" s="15"/>
      <c r="B241" s="378" t="str">
        <f>Master!F5</f>
        <v>GROTECH LANDSCAPE DEVELOPERS PVT. LTD.</v>
      </c>
      <c r="C241" s="114"/>
      <c r="D241" s="114"/>
      <c r="E241" s="114"/>
      <c r="F241" s="114"/>
      <c r="G241" s="379"/>
      <c r="H241" s="381" t="str">
        <f>Master!AN5</f>
        <v>GROTECH LANDSCAPE DEVELOPERS PVT. LTD.</v>
      </c>
      <c r="I241" s="114"/>
      <c r="J241" s="114"/>
      <c r="K241" s="114"/>
      <c r="L241" s="16"/>
      <c r="M241" s="16"/>
    </row>
    <row r="242" spans="1:13">
      <c r="A242" s="15"/>
      <c r="B242" s="15"/>
      <c r="C242" s="114"/>
      <c r="D242" s="114"/>
      <c r="E242" s="114"/>
      <c r="F242" s="114"/>
      <c r="G242" s="379"/>
      <c r="H242" s="380"/>
      <c r="I242" s="114"/>
      <c r="J242" s="114"/>
      <c r="K242" s="114"/>
      <c r="L242" s="16"/>
      <c r="M242" s="16"/>
    </row>
    <row r="243" spans="1:13">
      <c r="A243" s="15"/>
      <c r="B243" s="538" t="str">
        <f>Master!F6</f>
        <v>290/E, Khanapur Village, Gandipet Mandal, Ranga Reddy, Hyderabad-500075 T.S.</v>
      </c>
      <c r="C243" s="114"/>
      <c r="D243" s="114"/>
      <c r="E243" s="114"/>
      <c r="F243" s="114"/>
      <c r="G243" s="379"/>
      <c r="H243" s="539" t="str">
        <f>Master!AN6</f>
        <v>290/E, Khanapur Village, Gandipet Mandal, Ranga Reddy, Hyderabad-500075 T.S.</v>
      </c>
      <c r="I243" s="114"/>
      <c r="J243" s="114"/>
      <c r="K243" s="114"/>
      <c r="L243" s="16"/>
      <c r="M243" s="16"/>
    </row>
    <row r="244" spans="1:13">
      <c r="A244" s="15"/>
      <c r="B244" s="383"/>
      <c r="C244" s="19"/>
      <c r="D244" s="19"/>
      <c r="E244" s="19"/>
      <c r="F244" s="19"/>
      <c r="G244" s="61"/>
      <c r="H244" s="60"/>
      <c r="I244" s="19"/>
      <c r="J244" s="19"/>
      <c r="K244" s="19"/>
      <c r="L244" s="81"/>
      <c r="M244" s="16"/>
    </row>
    <row r="245" spans="1:13">
      <c r="A245" s="15"/>
      <c r="B245" s="389"/>
      <c r="C245" s="390"/>
      <c r="D245" s="390"/>
      <c r="E245" s="390"/>
      <c r="F245" s="390"/>
      <c r="G245" s="391"/>
      <c r="H245" s="396"/>
      <c r="I245" s="390"/>
      <c r="J245" s="390" t="s">
        <v>103</v>
      </c>
      <c r="K245" s="390"/>
      <c r="L245" s="397"/>
      <c r="M245" s="16"/>
    </row>
    <row r="246" spans="1:13">
      <c r="A246" s="15"/>
      <c r="B246" s="980" t="s">
        <v>104</v>
      </c>
      <c r="C246" s="981"/>
      <c r="D246" s="981"/>
      <c r="E246" s="981"/>
      <c r="F246" s="981"/>
      <c r="G246" s="392"/>
      <c r="H246" s="982" t="s">
        <v>4</v>
      </c>
      <c r="I246" s="981"/>
      <c r="J246" s="981"/>
      <c r="K246" s="981"/>
      <c r="L246" s="983"/>
      <c r="M246" s="16"/>
    </row>
    <row r="247" spans="1:13">
      <c r="A247" s="15"/>
      <c r="B247" s="393"/>
      <c r="C247" s="394"/>
      <c r="D247" s="394"/>
      <c r="E247" s="394"/>
      <c r="F247" s="394"/>
      <c r="G247" s="395"/>
      <c r="H247" s="398"/>
      <c r="I247" s="394"/>
      <c r="J247" s="394"/>
      <c r="K247" s="394"/>
      <c r="L247" s="399"/>
      <c r="M247" s="16"/>
    </row>
    <row r="248" spans="1:13">
      <c r="A248" s="15"/>
      <c r="B248" s="382"/>
      <c r="C248" s="77"/>
      <c r="D248" s="77"/>
      <c r="E248" s="77"/>
      <c r="F248" s="77"/>
      <c r="G248" s="56"/>
      <c r="H248" s="74"/>
      <c r="I248" s="74"/>
      <c r="J248" s="74"/>
      <c r="K248" s="74"/>
      <c r="L248" s="384"/>
      <c r="M248" s="16"/>
    </row>
    <row r="249" spans="1:13">
      <c r="A249" s="15"/>
      <c r="B249" s="15"/>
      <c r="C249" s="114"/>
      <c r="D249" s="114"/>
      <c r="E249" s="114"/>
      <c r="F249" s="114"/>
      <c r="G249" s="379"/>
      <c r="H249" s="115" t="str">
        <f>Master!AN10</f>
        <v>INDIAN SCHOOL OF BUSINESS</v>
      </c>
      <c r="I249" s="115"/>
      <c r="J249" s="115"/>
      <c r="K249" s="115"/>
      <c r="L249" s="71"/>
      <c r="M249" s="16"/>
    </row>
    <row r="250" spans="1:13">
      <c r="A250" s="15"/>
      <c r="B250" s="70" t="str">
        <f>Master!F8</f>
        <v>GARDENING SERVICES&amp;ISB HYDERABAD</v>
      </c>
      <c r="C250" s="114"/>
      <c r="D250" s="114"/>
      <c r="E250" s="114"/>
      <c r="F250" s="114"/>
      <c r="G250" s="379"/>
      <c r="H250" s="115"/>
      <c r="I250" s="115"/>
      <c r="J250" s="115"/>
      <c r="K250" s="115"/>
      <c r="L250" s="71"/>
      <c r="M250" s="16"/>
    </row>
    <row r="251" spans="1:13">
      <c r="A251" s="15"/>
      <c r="B251" s="15"/>
      <c r="C251" s="114"/>
      <c r="D251" s="114"/>
      <c r="E251" s="114"/>
      <c r="F251" s="114"/>
      <c r="G251" s="379"/>
      <c r="H251" s="115" t="str">
        <f>Master!AN11</f>
        <v>Opp.Infosys Limited,Gachibowli,Hyderabad</v>
      </c>
      <c r="I251" s="115"/>
      <c r="J251" s="115"/>
      <c r="K251" s="115"/>
      <c r="L251" s="71"/>
      <c r="M251" s="16"/>
    </row>
    <row r="252" spans="1:13">
      <c r="A252" s="15"/>
      <c r="B252" s="383"/>
      <c r="C252" s="19"/>
      <c r="D252" s="19"/>
      <c r="E252" s="19"/>
      <c r="F252" s="19"/>
      <c r="G252" s="61"/>
      <c r="H252" s="79"/>
      <c r="I252" s="79"/>
      <c r="J252" s="79"/>
      <c r="K252" s="79"/>
      <c r="L252" s="385"/>
      <c r="M252" s="16"/>
    </row>
    <row r="253" spans="1:13" ht="30" customHeight="1">
      <c r="A253" s="15"/>
      <c r="B253" s="948" t="s">
        <v>105</v>
      </c>
      <c r="C253" s="949"/>
      <c r="D253" s="949"/>
      <c r="E253" s="949"/>
      <c r="F253" s="949"/>
      <c r="G253" s="949"/>
      <c r="H253" s="950" t="str">
        <f>Master!D20</f>
        <v>SANGOLLA ASHOK</v>
      </c>
      <c r="I253" s="951"/>
      <c r="J253" s="951"/>
      <c r="K253" s="951"/>
      <c r="L253" s="952"/>
      <c r="M253" s="16"/>
    </row>
    <row r="254" spans="1:13" ht="30" customHeight="1">
      <c r="A254" s="15"/>
      <c r="B254" s="948"/>
      <c r="C254" s="949"/>
      <c r="D254" s="949"/>
      <c r="E254" s="949"/>
      <c r="F254" s="949"/>
      <c r="G254" s="949"/>
      <c r="H254" s="950" t="str">
        <f>Master!K20</f>
        <v>3-35,Jankampet,</v>
      </c>
      <c r="I254" s="951"/>
      <c r="J254" s="951"/>
      <c r="K254" s="951"/>
      <c r="L254" s="952"/>
      <c r="M254" s="16"/>
    </row>
    <row r="255" spans="1:13" ht="30" customHeight="1">
      <c r="A255" s="15"/>
      <c r="B255" s="948"/>
      <c r="C255" s="949"/>
      <c r="D255" s="949"/>
      <c r="E255" s="949"/>
      <c r="F255" s="949"/>
      <c r="G255" s="949"/>
      <c r="H255" s="950" t="str">
        <f>Master!L20</f>
        <v>Patancheru,Sulthanpur</v>
      </c>
      <c r="I255" s="951"/>
      <c r="J255" s="951"/>
      <c r="K255" s="951"/>
      <c r="L255" s="952"/>
      <c r="M255" s="16"/>
    </row>
    <row r="256" spans="1:13" ht="30" customHeight="1">
      <c r="A256" s="15"/>
      <c r="B256" s="948"/>
      <c r="C256" s="949"/>
      <c r="D256" s="949"/>
      <c r="E256" s="949"/>
      <c r="F256" s="949"/>
      <c r="G256" s="949"/>
      <c r="H256" s="950" t="str">
        <f>Master!M20</f>
        <v>TS-502319</v>
      </c>
      <c r="I256" s="951"/>
      <c r="J256" s="951"/>
      <c r="K256" s="951"/>
      <c r="L256" s="952"/>
      <c r="M256" s="16"/>
    </row>
    <row r="257" spans="1:13" ht="30" customHeight="1">
      <c r="A257" s="73"/>
      <c r="B257" s="948"/>
      <c r="C257" s="949"/>
      <c r="D257" s="949"/>
      <c r="E257" s="949"/>
      <c r="F257" s="949"/>
      <c r="G257" s="949"/>
      <c r="H257" s="989">
        <f>Master!N288</f>
        <v>0</v>
      </c>
      <c r="I257" s="990"/>
      <c r="J257" s="990"/>
      <c r="K257" s="990"/>
      <c r="L257" s="991"/>
      <c r="M257" s="16"/>
    </row>
    <row r="258" spans="1:13" ht="30" customHeight="1">
      <c r="A258" s="73"/>
      <c r="B258" s="984" t="s">
        <v>106</v>
      </c>
      <c r="C258" s="985"/>
      <c r="D258" s="985"/>
      <c r="E258" s="985"/>
      <c r="F258" s="985"/>
      <c r="G258" s="985"/>
      <c r="H258" s="947">
        <f>Master!C20</f>
        <v>8</v>
      </c>
      <c r="I258" s="945"/>
      <c r="J258" s="945"/>
      <c r="K258" s="945"/>
      <c r="L258" s="946"/>
      <c r="M258" s="16"/>
    </row>
    <row r="259" spans="1:13" ht="30" customHeight="1">
      <c r="A259" s="73"/>
      <c r="B259" s="943" t="s">
        <v>107</v>
      </c>
      <c r="C259" s="944"/>
      <c r="D259" s="944"/>
      <c r="E259" s="944"/>
      <c r="F259" s="944"/>
      <c r="G259" s="944"/>
      <c r="H259" s="947" t="str">
        <f>Master!J20</f>
        <v>Semi Skilled Gardner</v>
      </c>
      <c r="I259" s="945"/>
      <c r="J259" s="945"/>
      <c r="K259" s="945"/>
      <c r="L259" s="946"/>
      <c r="M259" s="16"/>
    </row>
    <row r="260" spans="1:13" ht="30" customHeight="1">
      <c r="A260" s="73"/>
      <c r="B260" s="943" t="s">
        <v>108</v>
      </c>
      <c r="C260" s="944"/>
      <c r="D260" s="944"/>
      <c r="E260" s="944"/>
      <c r="F260" s="944"/>
      <c r="G260" s="944"/>
      <c r="H260" s="957">
        <f>Master!S20</f>
        <v>43850</v>
      </c>
      <c r="I260" s="958"/>
      <c r="J260" s="958"/>
      <c r="K260" s="958"/>
      <c r="L260" s="959"/>
      <c r="M260" s="16"/>
    </row>
    <row r="261" spans="1:13" ht="30" customHeight="1">
      <c r="A261" s="73"/>
      <c r="B261" s="386" t="s">
        <v>109</v>
      </c>
      <c r="C261" s="116"/>
      <c r="D261" s="116"/>
      <c r="E261" s="116"/>
      <c r="F261" s="116"/>
      <c r="G261" s="116"/>
      <c r="H261" s="947">
        <f>Master!Y20</f>
        <v>5210317860</v>
      </c>
      <c r="I261" s="947"/>
      <c r="J261" s="947"/>
      <c r="K261" s="947"/>
      <c r="L261" s="953"/>
      <c r="M261" s="16"/>
    </row>
    <row r="262" spans="1:13" ht="30" customHeight="1">
      <c r="A262" s="73"/>
      <c r="B262" s="386" t="s">
        <v>110</v>
      </c>
      <c r="C262" s="116"/>
      <c r="D262" s="116"/>
      <c r="E262" s="116"/>
      <c r="F262" s="116"/>
      <c r="G262" s="119"/>
      <c r="H262" s="947" t="str">
        <f>Master!X20</f>
        <v>100321400080</v>
      </c>
      <c r="I262" s="947"/>
      <c r="J262" s="947"/>
      <c r="K262" s="947"/>
      <c r="L262" s="953"/>
      <c r="M262" s="16"/>
    </row>
    <row r="263" spans="1:13" ht="30" customHeight="1">
      <c r="A263" s="73"/>
      <c r="B263" s="954" t="s">
        <v>111</v>
      </c>
      <c r="C263" s="955"/>
      <c r="D263" s="955"/>
      <c r="E263" s="955"/>
      <c r="F263" s="955"/>
      <c r="G263" s="955"/>
      <c r="H263" s="950">
        <f>Master!AC20</f>
        <v>11459</v>
      </c>
      <c r="I263" s="951"/>
      <c r="J263" s="951"/>
      <c r="K263" s="951"/>
      <c r="L263" s="952"/>
      <c r="M263" s="16"/>
    </row>
    <row r="264" spans="1:13" ht="30" customHeight="1">
      <c r="A264" s="73"/>
      <c r="B264" s="943" t="s">
        <v>112</v>
      </c>
      <c r="C264" s="944"/>
      <c r="D264" s="944"/>
      <c r="E264" s="944"/>
      <c r="F264" s="944"/>
      <c r="G264" s="944"/>
      <c r="H264" s="956">
        <f>Master!F10</f>
        <v>44652</v>
      </c>
      <c r="I264" s="945"/>
      <c r="J264" s="945"/>
      <c r="K264" s="945"/>
      <c r="L264" s="946"/>
      <c r="M264" s="16"/>
    </row>
    <row r="265" spans="1:13" ht="30" customHeight="1">
      <c r="A265" s="15"/>
      <c r="B265" s="943" t="s">
        <v>113</v>
      </c>
      <c r="C265" s="944"/>
      <c r="D265" s="944"/>
      <c r="E265" s="944"/>
      <c r="F265" s="944"/>
      <c r="G265" s="944"/>
      <c r="H265" s="945" t="s">
        <v>114</v>
      </c>
      <c r="I265" s="945"/>
      <c r="J265" s="945"/>
      <c r="K265" s="945"/>
      <c r="L265" s="946"/>
      <c r="M265" s="16"/>
    </row>
    <row r="266" spans="1:13" ht="30" customHeight="1">
      <c r="A266" s="15"/>
      <c r="B266" s="386" t="s">
        <v>115</v>
      </c>
      <c r="C266" s="116"/>
      <c r="D266" s="116"/>
      <c r="E266" s="116"/>
      <c r="F266" s="116"/>
      <c r="G266" s="119"/>
      <c r="H266" s="947">
        <f>Master!AA20</f>
        <v>26</v>
      </c>
      <c r="I266" s="945"/>
      <c r="J266" s="945"/>
      <c r="K266" s="945"/>
      <c r="L266" s="946"/>
      <c r="M266" s="16"/>
    </row>
    <row r="267" spans="1:13" ht="30" customHeight="1">
      <c r="A267" s="15"/>
      <c r="B267" s="386" t="s">
        <v>116</v>
      </c>
      <c r="C267" s="116"/>
      <c r="D267" s="116"/>
      <c r="E267" s="116"/>
      <c r="F267" s="116"/>
      <c r="G267" s="119"/>
      <c r="H267" s="986" t="s">
        <v>28</v>
      </c>
      <c r="I267" s="987"/>
      <c r="J267" s="987"/>
      <c r="K267" s="987"/>
      <c r="L267" s="988"/>
      <c r="M267" s="16"/>
    </row>
    <row r="268" spans="1:13" ht="30" customHeight="1">
      <c r="A268" s="15"/>
      <c r="B268" s="386" t="s">
        <v>117</v>
      </c>
      <c r="C268" s="116"/>
      <c r="D268" s="116"/>
      <c r="E268" s="116"/>
      <c r="F268" s="116"/>
      <c r="G268" s="119"/>
      <c r="H268" s="989">
        <v>0</v>
      </c>
      <c r="I268" s="990"/>
      <c r="J268" s="990"/>
      <c r="K268" s="990"/>
      <c r="L268" s="991"/>
      <c r="M268" s="16"/>
    </row>
    <row r="269" spans="1:13" ht="30" customHeight="1">
      <c r="A269" s="15"/>
      <c r="B269" s="386" t="s">
        <v>118</v>
      </c>
      <c r="C269" s="116"/>
      <c r="D269" s="116"/>
      <c r="E269" s="116"/>
      <c r="F269" s="116"/>
      <c r="G269" s="119"/>
      <c r="H269" s="986">
        <v>0</v>
      </c>
      <c r="I269" s="987"/>
      <c r="J269" s="987"/>
      <c r="K269" s="987"/>
      <c r="L269" s="988"/>
      <c r="M269" s="16"/>
    </row>
    <row r="270" spans="1:13" ht="30" customHeight="1">
      <c r="A270" s="15"/>
      <c r="B270" s="386" t="s">
        <v>119</v>
      </c>
      <c r="C270" s="116"/>
      <c r="D270" s="116"/>
      <c r="E270" s="116"/>
      <c r="F270" s="116"/>
      <c r="G270" s="119"/>
      <c r="H270" s="117"/>
      <c r="I270" s="118"/>
      <c r="J270" s="990">
        <f>Master!AK20</f>
        <v>9932.4666666666653</v>
      </c>
      <c r="K270" s="992"/>
      <c r="L270" s="581" t="s">
        <v>737</v>
      </c>
      <c r="M270" s="16"/>
    </row>
    <row r="271" spans="1:13" ht="30" customHeight="1">
      <c r="A271" s="15"/>
      <c r="B271" s="386" t="s">
        <v>120</v>
      </c>
      <c r="C271" s="116"/>
      <c r="D271" s="465" t="s">
        <v>24</v>
      </c>
      <c r="E271" s="466">
        <f>Master!AM20</f>
        <v>1192</v>
      </c>
      <c r="F271" s="465" t="s">
        <v>23</v>
      </c>
      <c r="G271" s="466">
        <f>Master!AL20</f>
        <v>75</v>
      </c>
      <c r="H271" s="465" t="s">
        <v>25</v>
      </c>
      <c r="I271" s="466">
        <f>Master!AN20</f>
        <v>0</v>
      </c>
      <c r="J271" s="465" t="s">
        <v>26</v>
      </c>
      <c r="K271" s="466">
        <f>Master!AO20</f>
        <v>0</v>
      </c>
      <c r="L271" s="400">
        <f>Master!AP20</f>
        <v>0</v>
      </c>
      <c r="M271" s="16"/>
    </row>
    <row r="272" spans="1:13" ht="30" customHeight="1">
      <c r="A272" s="15"/>
      <c r="B272" s="386" t="s">
        <v>121</v>
      </c>
      <c r="C272" s="116"/>
      <c r="D272" s="116"/>
      <c r="E272" s="116"/>
      <c r="F272" s="116"/>
      <c r="G272" s="119"/>
      <c r="H272" s="117"/>
      <c r="I272" s="118"/>
      <c r="J272" s="540">
        <f>Master!AR20</f>
        <v>8665.4666666666653</v>
      </c>
      <c r="K272" s="118"/>
      <c r="L272" s="125"/>
      <c r="M272" s="16"/>
    </row>
    <row r="273" spans="1:13">
      <c r="A273" s="15"/>
      <c r="B273" s="387" t="s">
        <v>122</v>
      </c>
      <c r="C273" s="74"/>
      <c r="D273" s="74"/>
      <c r="E273" s="74"/>
      <c r="F273" s="74"/>
      <c r="G273" s="75"/>
      <c r="H273" s="76"/>
      <c r="I273" s="77"/>
      <c r="J273" s="77"/>
      <c r="K273" s="77"/>
      <c r="L273" s="78"/>
      <c r="M273" s="16"/>
    </row>
    <row r="274" spans="1:13">
      <c r="A274" s="15"/>
      <c r="B274" s="388" t="s">
        <v>123</v>
      </c>
      <c r="C274" s="79"/>
      <c r="D274" s="79"/>
      <c r="E274" s="79"/>
      <c r="F274" s="79"/>
      <c r="G274" s="80"/>
      <c r="H274" s="60"/>
      <c r="I274" s="19"/>
      <c r="J274" s="19"/>
      <c r="K274" s="19"/>
      <c r="L274" s="81"/>
      <c r="M274" s="16"/>
    </row>
    <row r="275" spans="1:13">
      <c r="A275" s="15"/>
      <c r="B275" s="15"/>
      <c r="C275" s="114"/>
      <c r="D275" s="114"/>
      <c r="E275" s="114"/>
      <c r="F275" s="114"/>
      <c r="G275" s="114"/>
      <c r="H275" s="114"/>
      <c r="I275" s="114"/>
      <c r="J275" s="114"/>
      <c r="K275" s="114"/>
      <c r="L275" s="16"/>
      <c r="M275" s="16"/>
    </row>
    <row r="276" spans="1:13" ht="15" thickBot="1">
      <c r="A276" s="27"/>
      <c r="B276" s="27"/>
      <c r="C276" s="25"/>
      <c r="D276" s="25"/>
      <c r="E276" s="25"/>
      <c r="F276" s="25"/>
      <c r="G276" s="25"/>
      <c r="H276" s="25"/>
      <c r="I276" s="25"/>
      <c r="J276" s="25"/>
      <c r="K276" s="25"/>
      <c r="L276" s="26"/>
      <c r="M276" s="26"/>
    </row>
    <row r="277" spans="1:13">
      <c r="A277" s="420"/>
      <c r="B277" s="420"/>
      <c r="C277" s="420"/>
      <c r="D277" s="420"/>
      <c r="E277" s="420"/>
      <c r="F277" s="420"/>
      <c r="G277" s="420"/>
      <c r="H277" s="420"/>
      <c r="I277" s="420"/>
      <c r="J277" s="420"/>
      <c r="K277" s="420"/>
      <c r="L277" s="420"/>
      <c r="M277" s="420"/>
    </row>
    <row r="278" spans="1:13">
      <c r="A278" s="420"/>
      <c r="B278" s="420"/>
      <c r="C278" s="420"/>
      <c r="D278" s="420"/>
      <c r="E278" s="420"/>
      <c r="F278" s="420"/>
      <c r="G278" s="420"/>
      <c r="H278" s="420"/>
      <c r="I278" s="420"/>
      <c r="J278" s="420"/>
      <c r="K278" s="420"/>
      <c r="L278" s="420"/>
      <c r="M278" s="420"/>
    </row>
    <row r="279" spans="1:13">
      <c r="A279" s="420"/>
      <c r="B279" s="420"/>
      <c r="C279" s="420"/>
      <c r="D279" s="420"/>
      <c r="E279" s="420"/>
      <c r="F279" s="420"/>
      <c r="G279" s="420"/>
      <c r="H279" s="420"/>
      <c r="I279" s="420"/>
      <c r="J279" s="420"/>
      <c r="K279" s="420"/>
      <c r="L279" s="420"/>
      <c r="M279" s="420"/>
    </row>
    <row r="280" spans="1:13">
      <c r="A280" s="420"/>
      <c r="B280" s="420"/>
      <c r="C280" s="420"/>
      <c r="D280" s="420"/>
      <c r="E280" s="420"/>
      <c r="F280" s="420"/>
      <c r="G280" s="420"/>
      <c r="H280" s="420"/>
      <c r="I280" s="420"/>
      <c r="J280" s="420"/>
      <c r="K280" s="420"/>
      <c r="L280" s="420"/>
      <c r="M280" s="420"/>
    </row>
    <row r="281" spans="1:13" ht="15" thickBot="1">
      <c r="A281" s="420"/>
      <c r="B281" s="420"/>
      <c r="C281" s="420"/>
      <c r="D281" s="420"/>
      <c r="E281" s="420"/>
      <c r="F281" s="420"/>
      <c r="G281" s="420"/>
      <c r="H281" s="420"/>
      <c r="I281" s="420"/>
      <c r="J281" s="420"/>
      <c r="K281" s="420"/>
      <c r="L281" s="420"/>
      <c r="M281" s="420"/>
    </row>
    <row r="282" spans="1:13" ht="32.4">
      <c r="A282" s="68"/>
      <c r="B282" s="960" t="s">
        <v>99</v>
      </c>
      <c r="C282" s="961"/>
      <c r="D282" s="961"/>
      <c r="E282" s="961"/>
      <c r="F282" s="961"/>
      <c r="G282" s="961"/>
      <c r="H282" s="961"/>
      <c r="I282" s="961"/>
      <c r="J282" s="961"/>
      <c r="K282" s="961"/>
      <c r="L282" s="962"/>
      <c r="M282" s="69"/>
    </row>
    <row r="283" spans="1:13" ht="23.4">
      <c r="A283" s="15"/>
      <c r="B283" s="963" t="s">
        <v>100</v>
      </c>
      <c r="C283" s="964"/>
      <c r="D283" s="964"/>
      <c r="E283" s="964"/>
      <c r="F283" s="964"/>
      <c r="G283" s="964"/>
      <c r="H283" s="964"/>
      <c r="I283" s="964"/>
      <c r="J283" s="964"/>
      <c r="K283" s="964"/>
      <c r="L283" s="965"/>
      <c r="M283" s="16"/>
    </row>
    <row r="284" spans="1:13" ht="15.6">
      <c r="A284" s="15"/>
      <c r="B284" s="966" t="s">
        <v>1070</v>
      </c>
      <c r="C284" s="967"/>
      <c r="D284" s="967"/>
      <c r="E284" s="967"/>
      <c r="F284" s="967"/>
      <c r="G284" s="967"/>
      <c r="H284" s="968"/>
      <c r="I284" s="968"/>
      <c r="J284" s="968"/>
      <c r="K284" s="968"/>
      <c r="L284" s="969"/>
      <c r="M284" s="16"/>
    </row>
    <row r="285" spans="1:13">
      <c r="A285" s="15"/>
      <c r="B285" s="970" t="s">
        <v>101</v>
      </c>
      <c r="C285" s="971"/>
      <c r="D285" s="971"/>
      <c r="E285" s="971"/>
      <c r="F285" s="971"/>
      <c r="G285" s="391"/>
      <c r="H285" s="974" t="s">
        <v>102</v>
      </c>
      <c r="I285" s="975"/>
      <c r="J285" s="975"/>
      <c r="K285" s="975"/>
      <c r="L285" s="976"/>
      <c r="M285" s="16"/>
    </row>
    <row r="286" spans="1:13">
      <c r="A286" s="15"/>
      <c r="B286" s="972"/>
      <c r="C286" s="973"/>
      <c r="D286" s="973"/>
      <c r="E286" s="973"/>
      <c r="F286" s="973"/>
      <c r="G286" s="395"/>
      <c r="H286" s="977"/>
      <c r="I286" s="978"/>
      <c r="J286" s="978"/>
      <c r="K286" s="978"/>
      <c r="L286" s="979"/>
      <c r="M286" s="16"/>
    </row>
    <row r="287" spans="1:13">
      <c r="A287" s="15"/>
      <c r="B287" s="382"/>
      <c r="C287" s="77"/>
      <c r="D287" s="77"/>
      <c r="E287" s="77"/>
      <c r="F287" s="77"/>
      <c r="G287" s="56"/>
      <c r="H287" s="76"/>
      <c r="I287" s="77"/>
      <c r="J287" s="77"/>
      <c r="K287" s="77"/>
      <c r="L287" s="78"/>
      <c r="M287" s="16"/>
    </row>
    <row r="288" spans="1:13">
      <c r="A288" s="15"/>
      <c r="B288" s="378" t="str">
        <f>Master!F5</f>
        <v>GROTECH LANDSCAPE DEVELOPERS PVT. LTD.</v>
      </c>
      <c r="C288" s="114"/>
      <c r="D288" s="114"/>
      <c r="E288" s="114"/>
      <c r="F288" s="114"/>
      <c r="G288" s="379"/>
      <c r="H288" s="381" t="str">
        <f>Master!AN5</f>
        <v>GROTECH LANDSCAPE DEVELOPERS PVT. LTD.</v>
      </c>
      <c r="I288" s="114"/>
      <c r="J288" s="114"/>
      <c r="K288" s="114"/>
      <c r="L288" s="16"/>
      <c r="M288" s="16"/>
    </row>
    <row r="289" spans="1:13">
      <c r="A289" s="15"/>
      <c r="B289" s="15"/>
      <c r="C289" s="114"/>
      <c r="D289" s="114"/>
      <c r="E289" s="114"/>
      <c r="F289" s="114"/>
      <c r="G289" s="379"/>
      <c r="H289" s="380"/>
      <c r="I289" s="114"/>
      <c r="J289" s="114"/>
      <c r="K289" s="114"/>
      <c r="L289" s="16"/>
      <c r="M289" s="16"/>
    </row>
    <row r="290" spans="1:13">
      <c r="A290" s="15"/>
      <c r="B290" s="538" t="str">
        <f>Master!F6</f>
        <v>290/E, Khanapur Village, Gandipet Mandal, Ranga Reddy, Hyderabad-500075 T.S.</v>
      </c>
      <c r="C290" s="114"/>
      <c r="D290" s="114"/>
      <c r="E290" s="114"/>
      <c r="F290" s="114"/>
      <c r="G290" s="379"/>
      <c r="H290" s="539" t="str">
        <f>Master!AN6</f>
        <v>290/E, Khanapur Village, Gandipet Mandal, Ranga Reddy, Hyderabad-500075 T.S.</v>
      </c>
      <c r="I290" s="114"/>
      <c r="J290" s="114"/>
      <c r="K290" s="114"/>
      <c r="L290" s="16"/>
      <c r="M290" s="16"/>
    </row>
    <row r="291" spans="1:13">
      <c r="A291" s="15"/>
      <c r="B291" s="383"/>
      <c r="C291" s="19"/>
      <c r="D291" s="19"/>
      <c r="E291" s="19"/>
      <c r="F291" s="19"/>
      <c r="G291" s="61"/>
      <c r="H291" s="60"/>
      <c r="I291" s="19"/>
      <c r="J291" s="19"/>
      <c r="K291" s="19"/>
      <c r="L291" s="81"/>
      <c r="M291" s="16"/>
    </row>
    <row r="292" spans="1:13">
      <c r="A292" s="15"/>
      <c r="B292" s="389"/>
      <c r="C292" s="390"/>
      <c r="D292" s="390"/>
      <c r="E292" s="390"/>
      <c r="F292" s="390"/>
      <c r="G292" s="391"/>
      <c r="H292" s="396"/>
      <c r="I292" s="390"/>
      <c r="J292" s="390" t="s">
        <v>103</v>
      </c>
      <c r="K292" s="390"/>
      <c r="L292" s="397"/>
      <c r="M292" s="16"/>
    </row>
    <row r="293" spans="1:13">
      <c r="A293" s="15"/>
      <c r="B293" s="980" t="s">
        <v>104</v>
      </c>
      <c r="C293" s="981"/>
      <c r="D293" s="981"/>
      <c r="E293" s="981"/>
      <c r="F293" s="981"/>
      <c r="G293" s="392"/>
      <c r="H293" s="982" t="s">
        <v>4</v>
      </c>
      <c r="I293" s="981"/>
      <c r="J293" s="981"/>
      <c r="K293" s="981"/>
      <c r="L293" s="983"/>
      <c r="M293" s="16"/>
    </row>
    <row r="294" spans="1:13">
      <c r="A294" s="15"/>
      <c r="B294" s="393"/>
      <c r="C294" s="394"/>
      <c r="D294" s="394"/>
      <c r="E294" s="394"/>
      <c r="F294" s="394"/>
      <c r="G294" s="395"/>
      <c r="H294" s="398"/>
      <c r="I294" s="394"/>
      <c r="J294" s="394"/>
      <c r="K294" s="394"/>
      <c r="L294" s="399"/>
      <c r="M294" s="16"/>
    </row>
    <row r="295" spans="1:13">
      <c r="A295" s="15"/>
      <c r="B295" s="382"/>
      <c r="C295" s="77"/>
      <c r="D295" s="77"/>
      <c r="E295" s="77"/>
      <c r="F295" s="77"/>
      <c r="G295" s="56"/>
      <c r="H295" s="74"/>
      <c r="I295" s="74"/>
      <c r="J295" s="74"/>
      <c r="K295" s="74"/>
      <c r="L295" s="384"/>
      <c r="M295" s="16"/>
    </row>
    <row r="296" spans="1:13">
      <c r="A296" s="15"/>
      <c r="B296" s="15"/>
      <c r="C296" s="114"/>
      <c r="D296" s="114"/>
      <c r="E296" s="114"/>
      <c r="F296" s="114"/>
      <c r="G296" s="379"/>
      <c r="H296" s="115" t="str">
        <f>Master!AN10</f>
        <v>INDIAN SCHOOL OF BUSINESS</v>
      </c>
      <c r="I296" s="115"/>
      <c r="J296" s="115"/>
      <c r="K296" s="115"/>
      <c r="L296" s="71"/>
      <c r="M296" s="16"/>
    </row>
    <row r="297" spans="1:13">
      <c r="A297" s="15"/>
      <c r="B297" s="70" t="str">
        <f>Master!F8</f>
        <v>GARDENING SERVICES&amp;ISB HYDERABAD</v>
      </c>
      <c r="C297" s="114"/>
      <c r="D297" s="114"/>
      <c r="E297" s="114"/>
      <c r="F297" s="114"/>
      <c r="G297" s="379"/>
      <c r="H297" s="115"/>
      <c r="I297" s="115"/>
      <c r="J297" s="115"/>
      <c r="K297" s="115"/>
      <c r="L297" s="71"/>
      <c r="M297" s="16"/>
    </row>
    <row r="298" spans="1:13">
      <c r="A298" s="15"/>
      <c r="B298" s="15"/>
      <c r="C298" s="114"/>
      <c r="D298" s="114"/>
      <c r="E298" s="114"/>
      <c r="F298" s="114"/>
      <c r="G298" s="379"/>
      <c r="H298" s="115" t="str">
        <f>Master!AN11</f>
        <v>Opp.Infosys Limited,Gachibowli,Hyderabad</v>
      </c>
      <c r="I298" s="115"/>
      <c r="J298" s="115"/>
      <c r="K298" s="115"/>
      <c r="L298" s="71"/>
      <c r="M298" s="16"/>
    </row>
    <row r="299" spans="1:13">
      <c r="A299" s="15"/>
      <c r="B299" s="383"/>
      <c r="C299" s="19"/>
      <c r="D299" s="19"/>
      <c r="E299" s="19"/>
      <c r="F299" s="19"/>
      <c r="G299" s="61"/>
      <c r="H299" s="79"/>
      <c r="I299" s="79"/>
      <c r="J299" s="79"/>
      <c r="K299" s="79"/>
      <c r="L299" s="385"/>
      <c r="M299" s="16"/>
    </row>
    <row r="300" spans="1:13" ht="30" customHeight="1">
      <c r="A300" s="15"/>
      <c r="B300" s="948" t="s">
        <v>105</v>
      </c>
      <c r="C300" s="949"/>
      <c r="D300" s="949"/>
      <c r="E300" s="949"/>
      <c r="F300" s="949"/>
      <c r="G300" s="949"/>
      <c r="H300" s="950" t="str">
        <f>Master!D21</f>
        <v>ASHOK LINGURAM GAIKWAD</v>
      </c>
      <c r="I300" s="951"/>
      <c r="J300" s="951"/>
      <c r="K300" s="951"/>
      <c r="L300" s="952"/>
      <c r="M300" s="16"/>
    </row>
    <row r="301" spans="1:13" ht="30" customHeight="1">
      <c r="A301" s="15"/>
      <c r="B301" s="948"/>
      <c r="C301" s="949"/>
      <c r="D301" s="949"/>
      <c r="E301" s="949"/>
      <c r="F301" s="949"/>
      <c r="G301" s="949"/>
      <c r="H301" s="950" t="str">
        <f>Master!K21</f>
        <v>Gaikwada at sangavi bu</v>
      </c>
      <c r="I301" s="951"/>
      <c r="J301" s="951"/>
      <c r="K301" s="951"/>
      <c r="L301" s="952"/>
      <c r="M301" s="16"/>
    </row>
    <row r="302" spans="1:13" ht="30" customHeight="1">
      <c r="A302" s="15"/>
      <c r="B302" s="948"/>
      <c r="C302" s="949"/>
      <c r="D302" s="949"/>
      <c r="E302" s="949"/>
      <c r="F302" s="949"/>
      <c r="G302" s="949"/>
      <c r="H302" s="950" t="str">
        <f>Master!L21</f>
        <v>Post-sawargaon,Mukhed,Nanded,</v>
      </c>
      <c r="I302" s="951"/>
      <c r="J302" s="951"/>
      <c r="K302" s="951"/>
      <c r="L302" s="952"/>
      <c r="M302" s="16"/>
    </row>
    <row r="303" spans="1:13" ht="30" customHeight="1">
      <c r="A303" s="15"/>
      <c r="B303" s="948"/>
      <c r="C303" s="949"/>
      <c r="D303" s="949"/>
      <c r="E303" s="949"/>
      <c r="F303" s="949"/>
      <c r="G303" s="949"/>
      <c r="H303" s="950" t="str">
        <f>Master!M21</f>
        <v>Mahrastra-431715</v>
      </c>
      <c r="I303" s="951"/>
      <c r="J303" s="951"/>
      <c r="K303" s="951"/>
      <c r="L303" s="952"/>
      <c r="M303" s="16"/>
    </row>
    <row r="304" spans="1:13" ht="30" customHeight="1">
      <c r="A304" s="73"/>
      <c r="B304" s="948"/>
      <c r="C304" s="949"/>
      <c r="D304" s="949"/>
      <c r="E304" s="949"/>
      <c r="F304" s="949"/>
      <c r="G304" s="949"/>
      <c r="H304" s="989">
        <f>Master!N356</f>
        <v>0</v>
      </c>
      <c r="I304" s="990"/>
      <c r="J304" s="990"/>
      <c r="K304" s="990"/>
      <c r="L304" s="991"/>
      <c r="M304" s="16"/>
    </row>
    <row r="305" spans="1:13" ht="30" customHeight="1">
      <c r="A305" s="73"/>
      <c r="B305" s="984" t="s">
        <v>106</v>
      </c>
      <c r="C305" s="985"/>
      <c r="D305" s="985"/>
      <c r="E305" s="985"/>
      <c r="F305" s="985"/>
      <c r="G305" s="985"/>
      <c r="H305" s="947">
        <f>Master!C21</f>
        <v>9</v>
      </c>
      <c r="I305" s="945"/>
      <c r="J305" s="945"/>
      <c r="K305" s="945"/>
      <c r="L305" s="946"/>
      <c r="M305" s="16"/>
    </row>
    <row r="306" spans="1:13" ht="30" customHeight="1">
      <c r="A306" s="73"/>
      <c r="B306" s="943" t="s">
        <v>107</v>
      </c>
      <c r="C306" s="944"/>
      <c r="D306" s="944"/>
      <c r="E306" s="944"/>
      <c r="F306" s="944"/>
      <c r="G306" s="944"/>
      <c r="H306" s="947" t="str">
        <f>Master!J21</f>
        <v>Semi Skilled Gardner</v>
      </c>
      <c r="I306" s="945"/>
      <c r="J306" s="945"/>
      <c r="K306" s="945"/>
      <c r="L306" s="946"/>
      <c r="M306" s="16"/>
    </row>
    <row r="307" spans="1:13" ht="30" customHeight="1">
      <c r="A307" s="73"/>
      <c r="B307" s="943" t="s">
        <v>108</v>
      </c>
      <c r="C307" s="944"/>
      <c r="D307" s="944"/>
      <c r="E307" s="944"/>
      <c r="F307" s="944"/>
      <c r="G307" s="944"/>
      <c r="H307" s="957">
        <f>Master!S21</f>
        <v>43850</v>
      </c>
      <c r="I307" s="958"/>
      <c r="J307" s="958"/>
      <c r="K307" s="958"/>
      <c r="L307" s="959"/>
      <c r="M307" s="16"/>
    </row>
    <row r="308" spans="1:13" ht="30" customHeight="1">
      <c r="A308" s="73"/>
      <c r="B308" s="386" t="s">
        <v>109</v>
      </c>
      <c r="C308" s="116"/>
      <c r="D308" s="116"/>
      <c r="E308" s="116"/>
      <c r="F308" s="116"/>
      <c r="G308" s="116"/>
      <c r="H308" s="947">
        <f>Master!Y21</f>
        <v>5211196939</v>
      </c>
      <c r="I308" s="947"/>
      <c r="J308" s="947"/>
      <c r="K308" s="947"/>
      <c r="L308" s="953"/>
      <c r="M308" s="16"/>
    </row>
    <row r="309" spans="1:13" ht="30" customHeight="1">
      <c r="A309" s="73"/>
      <c r="B309" s="386" t="s">
        <v>110</v>
      </c>
      <c r="C309" s="116"/>
      <c r="D309" s="116"/>
      <c r="E309" s="116"/>
      <c r="F309" s="116"/>
      <c r="G309" s="119"/>
      <c r="H309" s="947" t="str">
        <f>Master!X21</f>
        <v>100807941415</v>
      </c>
      <c r="I309" s="947"/>
      <c r="J309" s="947"/>
      <c r="K309" s="947"/>
      <c r="L309" s="953"/>
      <c r="M309" s="16"/>
    </row>
    <row r="310" spans="1:13" ht="30" customHeight="1">
      <c r="A310" s="73"/>
      <c r="B310" s="954" t="s">
        <v>111</v>
      </c>
      <c r="C310" s="955"/>
      <c r="D310" s="955"/>
      <c r="E310" s="955"/>
      <c r="F310" s="955"/>
      <c r="G310" s="955"/>
      <c r="H310" s="950">
        <f>Master!AC21</f>
        <v>11459</v>
      </c>
      <c r="I310" s="951"/>
      <c r="J310" s="951"/>
      <c r="K310" s="951"/>
      <c r="L310" s="952"/>
      <c r="M310" s="16"/>
    </row>
    <row r="311" spans="1:13" ht="30" customHeight="1">
      <c r="A311" s="73"/>
      <c r="B311" s="943" t="s">
        <v>112</v>
      </c>
      <c r="C311" s="944"/>
      <c r="D311" s="944"/>
      <c r="E311" s="944"/>
      <c r="F311" s="944"/>
      <c r="G311" s="944"/>
      <c r="H311" s="956">
        <f>Master!F10</f>
        <v>44652</v>
      </c>
      <c r="I311" s="945"/>
      <c r="J311" s="945"/>
      <c r="K311" s="945"/>
      <c r="L311" s="946"/>
      <c r="M311" s="16"/>
    </row>
    <row r="312" spans="1:13" ht="30" customHeight="1">
      <c r="A312" s="15"/>
      <c r="B312" s="943" t="s">
        <v>113</v>
      </c>
      <c r="C312" s="944"/>
      <c r="D312" s="944"/>
      <c r="E312" s="944"/>
      <c r="F312" s="944"/>
      <c r="G312" s="944"/>
      <c r="H312" s="945" t="s">
        <v>114</v>
      </c>
      <c r="I312" s="945"/>
      <c r="J312" s="945"/>
      <c r="K312" s="945"/>
      <c r="L312" s="946"/>
      <c r="M312" s="16"/>
    </row>
    <row r="313" spans="1:13" ht="30" customHeight="1">
      <c r="A313" s="15"/>
      <c r="B313" s="386" t="s">
        <v>115</v>
      </c>
      <c r="C313" s="116"/>
      <c r="D313" s="116"/>
      <c r="E313" s="116"/>
      <c r="F313" s="116"/>
      <c r="G313" s="119"/>
      <c r="H313" s="947">
        <f>Master!AA21</f>
        <v>26</v>
      </c>
      <c r="I313" s="945"/>
      <c r="J313" s="945"/>
      <c r="K313" s="945"/>
      <c r="L313" s="946"/>
      <c r="M313" s="16"/>
    </row>
    <row r="314" spans="1:13" ht="30" customHeight="1">
      <c r="A314" s="15"/>
      <c r="B314" s="386" t="s">
        <v>116</v>
      </c>
      <c r="C314" s="116"/>
      <c r="D314" s="116"/>
      <c r="E314" s="116"/>
      <c r="F314" s="116"/>
      <c r="G314" s="119"/>
      <c r="H314" s="986" t="s">
        <v>28</v>
      </c>
      <c r="I314" s="987"/>
      <c r="J314" s="987"/>
      <c r="K314" s="987"/>
      <c r="L314" s="988"/>
      <c r="M314" s="16"/>
    </row>
    <row r="315" spans="1:13" ht="30" customHeight="1">
      <c r="A315" s="15"/>
      <c r="B315" s="386" t="s">
        <v>117</v>
      </c>
      <c r="C315" s="116"/>
      <c r="D315" s="116"/>
      <c r="E315" s="116"/>
      <c r="F315" s="116"/>
      <c r="G315" s="119"/>
      <c r="H315" s="989">
        <v>0</v>
      </c>
      <c r="I315" s="990"/>
      <c r="J315" s="990"/>
      <c r="K315" s="990"/>
      <c r="L315" s="991"/>
      <c r="M315" s="16"/>
    </row>
    <row r="316" spans="1:13" ht="30" customHeight="1">
      <c r="A316" s="15"/>
      <c r="B316" s="386" t="s">
        <v>118</v>
      </c>
      <c r="C316" s="116"/>
      <c r="D316" s="116"/>
      <c r="E316" s="116"/>
      <c r="F316" s="116"/>
      <c r="G316" s="119"/>
      <c r="H316" s="986">
        <v>0</v>
      </c>
      <c r="I316" s="987"/>
      <c r="J316" s="987"/>
      <c r="K316" s="987"/>
      <c r="L316" s="988"/>
      <c r="M316" s="16"/>
    </row>
    <row r="317" spans="1:13" ht="30" customHeight="1">
      <c r="A317" s="15"/>
      <c r="B317" s="386" t="s">
        <v>119</v>
      </c>
      <c r="C317" s="116"/>
      <c r="D317" s="116"/>
      <c r="E317" s="116"/>
      <c r="F317" s="116"/>
      <c r="G317" s="119"/>
      <c r="H317" s="117"/>
      <c r="I317" s="118"/>
      <c r="J317" s="990">
        <f>Master!AK21</f>
        <v>9932.4666666666653</v>
      </c>
      <c r="K317" s="992"/>
      <c r="L317" s="581" t="s">
        <v>737</v>
      </c>
      <c r="M317" s="16"/>
    </row>
    <row r="318" spans="1:13" ht="30" customHeight="1">
      <c r="A318" s="15"/>
      <c r="B318" s="386" t="s">
        <v>120</v>
      </c>
      <c r="C318" s="116"/>
      <c r="D318" s="465" t="s">
        <v>24</v>
      </c>
      <c r="E318" s="466">
        <f>Master!AM21</f>
        <v>1192</v>
      </c>
      <c r="F318" s="465" t="s">
        <v>23</v>
      </c>
      <c r="G318" s="466">
        <f>Master!AL21</f>
        <v>75</v>
      </c>
      <c r="H318" s="465" t="s">
        <v>25</v>
      </c>
      <c r="I318" s="466">
        <f>Master!AN21</f>
        <v>0</v>
      </c>
      <c r="J318" s="465" t="s">
        <v>26</v>
      </c>
      <c r="K318" s="466">
        <f>Master!AO21</f>
        <v>0</v>
      </c>
      <c r="L318" s="400">
        <f>Master!AP21</f>
        <v>0</v>
      </c>
      <c r="M318" s="16"/>
    </row>
    <row r="319" spans="1:13" ht="30" customHeight="1">
      <c r="A319" s="15"/>
      <c r="B319" s="386" t="s">
        <v>121</v>
      </c>
      <c r="C319" s="116"/>
      <c r="D319" s="116"/>
      <c r="E319" s="116"/>
      <c r="F319" s="116"/>
      <c r="G319" s="119"/>
      <c r="H319" s="117"/>
      <c r="I319" s="118"/>
      <c r="J319" s="541">
        <f>Master!AR21</f>
        <v>8665.4666666666653</v>
      </c>
      <c r="K319" s="118"/>
      <c r="L319" s="125"/>
      <c r="M319" s="16"/>
    </row>
    <row r="320" spans="1:13">
      <c r="A320" s="15"/>
      <c r="B320" s="387" t="s">
        <v>122</v>
      </c>
      <c r="C320" s="74"/>
      <c r="D320" s="74"/>
      <c r="E320" s="74"/>
      <c r="F320" s="74"/>
      <c r="G320" s="75"/>
      <c r="H320" s="76"/>
      <c r="I320" s="77"/>
      <c r="J320" s="77"/>
      <c r="K320" s="77"/>
      <c r="L320" s="78"/>
      <c r="M320" s="16"/>
    </row>
    <row r="321" spans="1:13">
      <c r="A321" s="15"/>
      <c r="B321" s="388" t="s">
        <v>123</v>
      </c>
      <c r="C321" s="79"/>
      <c r="D321" s="79"/>
      <c r="E321" s="79"/>
      <c r="F321" s="79"/>
      <c r="G321" s="80"/>
      <c r="H321" s="60"/>
      <c r="I321" s="19"/>
      <c r="J321" s="19"/>
      <c r="K321" s="19"/>
      <c r="L321" s="81"/>
      <c r="M321" s="16"/>
    </row>
    <row r="322" spans="1:13">
      <c r="A322" s="15"/>
      <c r="B322" s="15"/>
      <c r="C322" s="114"/>
      <c r="D322" s="114"/>
      <c r="E322" s="114"/>
      <c r="F322" s="114"/>
      <c r="G322" s="114"/>
      <c r="H322" s="114"/>
      <c r="I322" s="114"/>
      <c r="J322" s="114"/>
      <c r="K322" s="114"/>
      <c r="L322" s="16"/>
      <c r="M322" s="16"/>
    </row>
    <row r="323" spans="1:13" ht="15" thickBot="1">
      <c r="A323" s="27"/>
      <c r="B323" s="27"/>
      <c r="C323" s="25"/>
      <c r="D323" s="25"/>
      <c r="E323" s="25"/>
      <c r="F323" s="25"/>
      <c r="G323" s="25"/>
      <c r="H323" s="25"/>
      <c r="I323" s="25"/>
      <c r="J323" s="25"/>
      <c r="K323" s="25"/>
      <c r="L323" s="26"/>
      <c r="M323" s="26"/>
    </row>
    <row r="324" spans="1:13">
      <c r="A324" s="420"/>
      <c r="B324" s="420"/>
      <c r="C324" s="420"/>
      <c r="D324" s="420"/>
      <c r="E324" s="420"/>
      <c r="F324" s="420"/>
      <c r="G324" s="420"/>
      <c r="H324" s="420"/>
      <c r="I324" s="420"/>
      <c r="J324" s="420"/>
      <c r="K324" s="420"/>
      <c r="L324" s="420"/>
      <c r="M324" s="420"/>
    </row>
    <row r="325" spans="1:13">
      <c r="A325" s="420"/>
      <c r="B325" s="420"/>
      <c r="C325" s="420"/>
      <c r="D325" s="420"/>
      <c r="E325" s="420"/>
      <c r="F325" s="420"/>
      <c r="G325" s="420"/>
      <c r="H325" s="420"/>
      <c r="I325" s="420"/>
      <c r="J325" s="420"/>
      <c r="K325" s="420"/>
      <c r="L325" s="420"/>
      <c r="M325" s="420"/>
    </row>
    <row r="326" spans="1:13">
      <c r="A326" s="420"/>
      <c r="B326" s="420"/>
      <c r="C326" s="420"/>
      <c r="D326" s="420"/>
      <c r="E326" s="420"/>
      <c r="F326" s="420"/>
      <c r="G326" s="420"/>
      <c r="H326" s="420"/>
      <c r="I326" s="420"/>
      <c r="J326" s="420"/>
      <c r="K326" s="420"/>
      <c r="L326" s="420"/>
      <c r="M326" s="420"/>
    </row>
    <row r="327" spans="1:13">
      <c r="A327" s="420"/>
      <c r="B327" s="420"/>
      <c r="C327" s="420"/>
      <c r="D327" s="420"/>
      <c r="E327" s="420"/>
      <c r="F327" s="420"/>
      <c r="G327" s="420"/>
      <c r="H327" s="420"/>
      <c r="I327" s="420"/>
      <c r="J327" s="420"/>
      <c r="K327" s="420"/>
      <c r="L327" s="420"/>
      <c r="M327" s="420"/>
    </row>
    <row r="328" spans="1:13" ht="15" thickBot="1">
      <c r="A328" s="420"/>
      <c r="B328" s="420"/>
      <c r="C328" s="420"/>
      <c r="D328" s="420"/>
      <c r="E328" s="420"/>
      <c r="F328" s="420"/>
      <c r="G328" s="420"/>
      <c r="H328" s="420"/>
      <c r="I328" s="420"/>
      <c r="J328" s="420"/>
      <c r="K328" s="420"/>
      <c r="L328" s="420"/>
      <c r="M328" s="420"/>
    </row>
    <row r="329" spans="1:13" ht="32.4">
      <c r="A329" s="68"/>
      <c r="B329" s="960" t="s">
        <v>99</v>
      </c>
      <c r="C329" s="961"/>
      <c r="D329" s="961"/>
      <c r="E329" s="961"/>
      <c r="F329" s="961"/>
      <c r="G329" s="961"/>
      <c r="H329" s="961"/>
      <c r="I329" s="961"/>
      <c r="J329" s="961"/>
      <c r="K329" s="961"/>
      <c r="L329" s="962"/>
      <c r="M329" s="69"/>
    </row>
    <row r="330" spans="1:13" ht="23.4">
      <c r="A330" s="15"/>
      <c r="B330" s="963" t="s">
        <v>100</v>
      </c>
      <c r="C330" s="964"/>
      <c r="D330" s="964"/>
      <c r="E330" s="964"/>
      <c r="F330" s="964"/>
      <c r="G330" s="964"/>
      <c r="H330" s="964"/>
      <c r="I330" s="964"/>
      <c r="J330" s="964"/>
      <c r="K330" s="964"/>
      <c r="L330" s="965"/>
      <c r="M330" s="16"/>
    </row>
    <row r="331" spans="1:13" ht="15.6">
      <c r="A331" s="15"/>
      <c r="B331" s="966" t="s">
        <v>1070</v>
      </c>
      <c r="C331" s="967"/>
      <c r="D331" s="967"/>
      <c r="E331" s="967"/>
      <c r="F331" s="967"/>
      <c r="G331" s="967"/>
      <c r="H331" s="968"/>
      <c r="I331" s="968"/>
      <c r="J331" s="968"/>
      <c r="K331" s="968"/>
      <c r="L331" s="969"/>
      <c r="M331" s="16"/>
    </row>
    <row r="332" spans="1:13">
      <c r="A332" s="15"/>
      <c r="B332" s="970" t="s">
        <v>101</v>
      </c>
      <c r="C332" s="971"/>
      <c r="D332" s="971"/>
      <c r="E332" s="971"/>
      <c r="F332" s="971"/>
      <c r="G332" s="391"/>
      <c r="H332" s="974" t="s">
        <v>102</v>
      </c>
      <c r="I332" s="975"/>
      <c r="J332" s="975"/>
      <c r="K332" s="975"/>
      <c r="L332" s="976"/>
      <c r="M332" s="16"/>
    </row>
    <row r="333" spans="1:13">
      <c r="A333" s="15"/>
      <c r="B333" s="972"/>
      <c r="C333" s="973"/>
      <c r="D333" s="973"/>
      <c r="E333" s="973"/>
      <c r="F333" s="973"/>
      <c r="G333" s="395"/>
      <c r="H333" s="977"/>
      <c r="I333" s="978"/>
      <c r="J333" s="978"/>
      <c r="K333" s="978"/>
      <c r="L333" s="979"/>
      <c r="M333" s="16"/>
    </row>
    <row r="334" spans="1:13">
      <c r="A334" s="15"/>
      <c r="B334" s="382"/>
      <c r="C334" s="77"/>
      <c r="D334" s="77"/>
      <c r="E334" s="77"/>
      <c r="F334" s="77"/>
      <c r="G334" s="56"/>
      <c r="H334" s="76"/>
      <c r="I334" s="77"/>
      <c r="J334" s="77"/>
      <c r="K334" s="77"/>
      <c r="L334" s="78"/>
      <c r="M334" s="16"/>
    </row>
    <row r="335" spans="1:13">
      <c r="A335" s="15"/>
      <c r="B335" s="378" t="str">
        <f>Master!F5</f>
        <v>GROTECH LANDSCAPE DEVELOPERS PVT. LTD.</v>
      </c>
      <c r="C335" s="114"/>
      <c r="D335" s="114"/>
      <c r="E335" s="114"/>
      <c r="F335" s="114"/>
      <c r="G335" s="379"/>
      <c r="H335" s="381" t="str">
        <f>Master!AN5</f>
        <v>GROTECH LANDSCAPE DEVELOPERS PVT. LTD.</v>
      </c>
      <c r="I335" s="114"/>
      <c r="J335" s="114"/>
      <c r="K335" s="114"/>
      <c r="L335" s="16"/>
      <c r="M335" s="16"/>
    </row>
    <row r="336" spans="1:13">
      <c r="A336" s="15"/>
      <c r="B336" s="15"/>
      <c r="C336" s="114"/>
      <c r="D336" s="114"/>
      <c r="E336" s="114"/>
      <c r="F336" s="114"/>
      <c r="G336" s="379"/>
      <c r="H336" s="380"/>
      <c r="I336" s="114"/>
      <c r="J336" s="114"/>
      <c r="K336" s="114"/>
      <c r="L336" s="16"/>
      <c r="M336" s="16"/>
    </row>
    <row r="337" spans="1:13">
      <c r="A337" s="15"/>
      <c r="B337" s="538" t="str">
        <f>Master!F6</f>
        <v>290/E, Khanapur Village, Gandipet Mandal, Ranga Reddy, Hyderabad-500075 T.S.</v>
      </c>
      <c r="C337" s="114"/>
      <c r="D337" s="114"/>
      <c r="E337" s="114"/>
      <c r="F337" s="114"/>
      <c r="G337" s="379"/>
      <c r="H337" s="539" t="str">
        <f>Master!AN6</f>
        <v>290/E, Khanapur Village, Gandipet Mandal, Ranga Reddy, Hyderabad-500075 T.S.</v>
      </c>
      <c r="I337" s="114"/>
      <c r="J337" s="114"/>
      <c r="K337" s="114"/>
      <c r="L337" s="16"/>
      <c r="M337" s="16"/>
    </row>
    <row r="338" spans="1:13">
      <c r="A338" s="15"/>
      <c r="B338" s="383"/>
      <c r="C338" s="19"/>
      <c r="D338" s="19"/>
      <c r="E338" s="19"/>
      <c r="F338" s="19"/>
      <c r="G338" s="61"/>
      <c r="H338" s="60"/>
      <c r="I338" s="19"/>
      <c r="J338" s="19"/>
      <c r="K338" s="19"/>
      <c r="L338" s="81"/>
      <c r="M338" s="16"/>
    </row>
    <row r="339" spans="1:13">
      <c r="A339" s="15"/>
      <c r="B339" s="389"/>
      <c r="C339" s="390"/>
      <c r="D339" s="390"/>
      <c r="E339" s="390"/>
      <c r="F339" s="390"/>
      <c r="G339" s="391"/>
      <c r="H339" s="396"/>
      <c r="I339" s="390"/>
      <c r="J339" s="390" t="s">
        <v>103</v>
      </c>
      <c r="K339" s="390"/>
      <c r="L339" s="397"/>
      <c r="M339" s="16"/>
    </row>
    <row r="340" spans="1:13">
      <c r="A340" s="15"/>
      <c r="B340" s="980" t="s">
        <v>104</v>
      </c>
      <c r="C340" s="981"/>
      <c r="D340" s="981"/>
      <c r="E340" s="981"/>
      <c r="F340" s="981"/>
      <c r="G340" s="392"/>
      <c r="H340" s="982" t="s">
        <v>4</v>
      </c>
      <c r="I340" s="981"/>
      <c r="J340" s="981"/>
      <c r="K340" s="981"/>
      <c r="L340" s="983"/>
      <c r="M340" s="16"/>
    </row>
    <row r="341" spans="1:13">
      <c r="A341" s="15"/>
      <c r="B341" s="393"/>
      <c r="C341" s="394"/>
      <c r="D341" s="394"/>
      <c r="E341" s="394"/>
      <c r="F341" s="394"/>
      <c r="G341" s="395"/>
      <c r="H341" s="398"/>
      <c r="I341" s="394"/>
      <c r="J341" s="394"/>
      <c r="K341" s="394"/>
      <c r="L341" s="399"/>
      <c r="M341" s="16"/>
    </row>
    <row r="342" spans="1:13">
      <c r="A342" s="15"/>
      <c r="B342" s="382"/>
      <c r="C342" s="77"/>
      <c r="D342" s="77"/>
      <c r="E342" s="77"/>
      <c r="F342" s="77"/>
      <c r="G342" s="56"/>
      <c r="H342" s="74"/>
      <c r="I342" s="74"/>
      <c r="J342" s="74"/>
      <c r="K342" s="74"/>
      <c r="L342" s="384"/>
      <c r="M342" s="16"/>
    </row>
    <row r="343" spans="1:13">
      <c r="A343" s="15"/>
      <c r="B343" s="15"/>
      <c r="C343" s="114"/>
      <c r="D343" s="114"/>
      <c r="E343" s="114"/>
      <c r="F343" s="114"/>
      <c r="G343" s="379"/>
      <c r="H343" s="115" t="str">
        <f>Master!AN10</f>
        <v>INDIAN SCHOOL OF BUSINESS</v>
      </c>
      <c r="I343" s="115"/>
      <c r="J343" s="115"/>
      <c r="K343" s="115"/>
      <c r="L343" s="71"/>
      <c r="M343" s="16"/>
    </row>
    <row r="344" spans="1:13">
      <c r="A344" s="15"/>
      <c r="B344" s="70" t="str">
        <f>Master!F8</f>
        <v>GARDENING SERVICES&amp;ISB HYDERABAD</v>
      </c>
      <c r="C344" s="114"/>
      <c r="D344" s="114"/>
      <c r="E344" s="114"/>
      <c r="F344" s="114"/>
      <c r="G344" s="379"/>
      <c r="H344" s="115"/>
      <c r="I344" s="115"/>
      <c r="J344" s="115"/>
      <c r="K344" s="115"/>
      <c r="L344" s="71"/>
      <c r="M344" s="16"/>
    </row>
    <row r="345" spans="1:13">
      <c r="A345" s="15"/>
      <c r="B345" s="15"/>
      <c r="C345" s="114"/>
      <c r="D345" s="114"/>
      <c r="E345" s="114"/>
      <c r="F345" s="114"/>
      <c r="G345" s="379"/>
      <c r="H345" s="115" t="str">
        <f>Master!AN11</f>
        <v>Opp.Infosys Limited,Gachibowli,Hyderabad</v>
      </c>
      <c r="I345" s="115"/>
      <c r="J345" s="115"/>
      <c r="K345" s="115"/>
      <c r="L345" s="71"/>
      <c r="M345" s="16"/>
    </row>
    <row r="346" spans="1:13">
      <c r="A346" s="15"/>
      <c r="B346" s="383"/>
      <c r="C346" s="19"/>
      <c r="D346" s="19"/>
      <c r="E346" s="19"/>
      <c r="F346" s="19"/>
      <c r="G346" s="61"/>
      <c r="H346" s="79"/>
      <c r="I346" s="79"/>
      <c r="J346" s="79"/>
      <c r="K346" s="79"/>
      <c r="L346" s="385"/>
      <c r="M346" s="16"/>
    </row>
    <row r="347" spans="1:13" ht="30" customHeight="1">
      <c r="A347" s="15"/>
      <c r="B347" s="948" t="s">
        <v>105</v>
      </c>
      <c r="C347" s="949"/>
      <c r="D347" s="949"/>
      <c r="E347" s="949"/>
      <c r="F347" s="949"/>
      <c r="G347" s="949"/>
      <c r="H347" s="950" t="str">
        <f>Master!D22</f>
        <v>MADHUKAR KAMTAM</v>
      </c>
      <c r="I347" s="951"/>
      <c r="J347" s="951"/>
      <c r="K347" s="951"/>
      <c r="L347" s="952"/>
      <c r="M347" s="16"/>
    </row>
    <row r="348" spans="1:13" ht="30" customHeight="1">
      <c r="A348" s="15"/>
      <c r="B348" s="948"/>
      <c r="C348" s="949"/>
      <c r="D348" s="949"/>
      <c r="E348" s="949"/>
      <c r="F348" s="949"/>
      <c r="G348" s="949"/>
      <c r="H348" s="950" t="str">
        <f>Master!K22</f>
        <v>9-41,Serilingampally,Gopinagar colony,</v>
      </c>
      <c r="I348" s="951"/>
      <c r="J348" s="951"/>
      <c r="K348" s="951"/>
      <c r="L348" s="952"/>
      <c r="M348" s="16"/>
    </row>
    <row r="349" spans="1:13" ht="30" customHeight="1">
      <c r="A349" s="15"/>
      <c r="B349" s="948"/>
      <c r="C349" s="949"/>
      <c r="D349" s="949"/>
      <c r="E349" s="949"/>
      <c r="F349" s="949"/>
      <c r="G349" s="949"/>
      <c r="H349" s="950" t="str">
        <f>Master!L22</f>
        <v>opp Hanuman temple</v>
      </c>
      <c r="I349" s="951"/>
      <c r="J349" s="951"/>
      <c r="K349" s="951"/>
      <c r="L349" s="952"/>
      <c r="M349" s="16"/>
    </row>
    <row r="350" spans="1:13" ht="30" customHeight="1">
      <c r="A350" s="15"/>
      <c r="B350" s="948"/>
      <c r="C350" s="949"/>
      <c r="D350" s="949"/>
      <c r="E350" s="949"/>
      <c r="F350" s="949"/>
      <c r="G350" s="949"/>
      <c r="H350" s="950" t="str">
        <f>Master!M22</f>
        <v>R.R-TS,500084</v>
      </c>
      <c r="I350" s="951"/>
      <c r="J350" s="951"/>
      <c r="K350" s="951"/>
      <c r="L350" s="952"/>
      <c r="M350" s="16"/>
    </row>
    <row r="351" spans="1:13" ht="30" customHeight="1">
      <c r="A351" s="73"/>
      <c r="B351" s="948"/>
      <c r="C351" s="949"/>
      <c r="D351" s="949"/>
      <c r="E351" s="949"/>
      <c r="F351" s="949"/>
      <c r="G351" s="949"/>
      <c r="H351" s="989">
        <f>Master!N424</f>
        <v>0</v>
      </c>
      <c r="I351" s="990"/>
      <c r="J351" s="990"/>
      <c r="K351" s="990"/>
      <c r="L351" s="991"/>
      <c r="M351" s="16"/>
    </row>
    <row r="352" spans="1:13" ht="30" customHeight="1">
      <c r="A352" s="73"/>
      <c r="B352" s="984" t="s">
        <v>106</v>
      </c>
      <c r="C352" s="985"/>
      <c r="D352" s="985"/>
      <c r="E352" s="985"/>
      <c r="F352" s="985"/>
      <c r="G352" s="985"/>
      <c r="H352" s="947">
        <f>Master!C22</f>
        <v>10</v>
      </c>
      <c r="I352" s="945"/>
      <c r="J352" s="945"/>
      <c r="K352" s="945"/>
      <c r="L352" s="946"/>
      <c r="M352" s="16"/>
    </row>
    <row r="353" spans="1:13" ht="30" customHeight="1">
      <c r="A353" s="73"/>
      <c r="B353" s="943" t="s">
        <v>107</v>
      </c>
      <c r="C353" s="944"/>
      <c r="D353" s="944"/>
      <c r="E353" s="944"/>
      <c r="F353" s="944"/>
      <c r="G353" s="944"/>
      <c r="H353" s="947" t="str">
        <f>Master!J22</f>
        <v>Semi Skilled Gardner</v>
      </c>
      <c r="I353" s="945"/>
      <c r="J353" s="945"/>
      <c r="K353" s="945"/>
      <c r="L353" s="946"/>
      <c r="M353" s="16"/>
    </row>
    <row r="354" spans="1:13" ht="30" customHeight="1">
      <c r="A354" s="73"/>
      <c r="B354" s="943" t="s">
        <v>108</v>
      </c>
      <c r="C354" s="944"/>
      <c r="D354" s="944"/>
      <c r="E354" s="944"/>
      <c r="F354" s="944"/>
      <c r="G354" s="944"/>
      <c r="H354" s="957">
        <f>Master!S22</f>
        <v>43850</v>
      </c>
      <c r="I354" s="958"/>
      <c r="J354" s="958"/>
      <c r="K354" s="958"/>
      <c r="L354" s="959"/>
      <c r="M354" s="16"/>
    </row>
    <row r="355" spans="1:13" ht="30" customHeight="1">
      <c r="A355" s="73"/>
      <c r="B355" s="386" t="s">
        <v>109</v>
      </c>
      <c r="C355" s="116"/>
      <c r="D355" s="116"/>
      <c r="E355" s="116"/>
      <c r="F355" s="116"/>
      <c r="G355" s="116"/>
      <c r="H355" s="947">
        <f>Master!Y22</f>
        <v>5216116351</v>
      </c>
      <c r="I355" s="947"/>
      <c r="J355" s="947"/>
      <c r="K355" s="947"/>
      <c r="L355" s="953"/>
      <c r="M355" s="16"/>
    </row>
    <row r="356" spans="1:13" ht="30" customHeight="1">
      <c r="A356" s="73"/>
      <c r="B356" s="386" t="s">
        <v>110</v>
      </c>
      <c r="C356" s="116"/>
      <c r="D356" s="116"/>
      <c r="E356" s="116"/>
      <c r="F356" s="116"/>
      <c r="G356" s="119"/>
      <c r="H356" s="947" t="str">
        <f>Master!X22</f>
        <v>101438575409</v>
      </c>
      <c r="I356" s="947"/>
      <c r="J356" s="947"/>
      <c r="K356" s="947"/>
      <c r="L356" s="953"/>
      <c r="M356" s="16"/>
    </row>
    <row r="357" spans="1:13" ht="30" customHeight="1">
      <c r="A357" s="73"/>
      <c r="B357" s="954" t="s">
        <v>111</v>
      </c>
      <c r="C357" s="955"/>
      <c r="D357" s="955"/>
      <c r="E357" s="955"/>
      <c r="F357" s="955"/>
      <c r="G357" s="955"/>
      <c r="H357" s="950">
        <f>Master!AC22</f>
        <v>11459</v>
      </c>
      <c r="I357" s="951"/>
      <c r="J357" s="951"/>
      <c r="K357" s="951"/>
      <c r="L357" s="952"/>
      <c r="M357" s="16"/>
    </row>
    <row r="358" spans="1:13" ht="30" customHeight="1">
      <c r="A358" s="73"/>
      <c r="B358" s="943" t="s">
        <v>112</v>
      </c>
      <c r="C358" s="944"/>
      <c r="D358" s="944"/>
      <c r="E358" s="944"/>
      <c r="F358" s="944"/>
      <c r="G358" s="944"/>
      <c r="H358" s="956">
        <f>Master!F10</f>
        <v>44652</v>
      </c>
      <c r="I358" s="945"/>
      <c r="J358" s="945"/>
      <c r="K358" s="945"/>
      <c r="L358" s="946"/>
      <c r="M358" s="16"/>
    </row>
    <row r="359" spans="1:13" ht="30" customHeight="1">
      <c r="A359" s="15"/>
      <c r="B359" s="943" t="s">
        <v>113</v>
      </c>
      <c r="C359" s="944"/>
      <c r="D359" s="944"/>
      <c r="E359" s="944"/>
      <c r="F359" s="944"/>
      <c r="G359" s="944"/>
      <c r="H359" s="945" t="s">
        <v>114</v>
      </c>
      <c r="I359" s="945"/>
      <c r="J359" s="945"/>
      <c r="K359" s="945"/>
      <c r="L359" s="946"/>
      <c r="M359" s="16"/>
    </row>
    <row r="360" spans="1:13" ht="30" customHeight="1">
      <c r="A360" s="15"/>
      <c r="B360" s="386" t="s">
        <v>115</v>
      </c>
      <c r="C360" s="116"/>
      <c r="D360" s="116"/>
      <c r="E360" s="116"/>
      <c r="F360" s="116"/>
      <c r="G360" s="119"/>
      <c r="H360" s="947">
        <f>Master!AA22</f>
        <v>26</v>
      </c>
      <c r="I360" s="945"/>
      <c r="J360" s="945"/>
      <c r="K360" s="945"/>
      <c r="L360" s="946"/>
      <c r="M360" s="16"/>
    </row>
    <row r="361" spans="1:13" ht="30" customHeight="1">
      <c r="A361" s="15"/>
      <c r="B361" s="386" t="s">
        <v>116</v>
      </c>
      <c r="C361" s="116"/>
      <c r="D361" s="116"/>
      <c r="E361" s="116"/>
      <c r="F361" s="116"/>
      <c r="G361" s="119"/>
      <c r="H361" s="986" t="s">
        <v>28</v>
      </c>
      <c r="I361" s="987"/>
      <c r="J361" s="987"/>
      <c r="K361" s="987"/>
      <c r="L361" s="988"/>
      <c r="M361" s="16"/>
    </row>
    <row r="362" spans="1:13" ht="30" customHeight="1">
      <c r="A362" s="15"/>
      <c r="B362" s="386" t="s">
        <v>117</v>
      </c>
      <c r="C362" s="116"/>
      <c r="D362" s="116"/>
      <c r="E362" s="116"/>
      <c r="F362" s="116"/>
      <c r="G362" s="119"/>
      <c r="H362" s="989">
        <v>0</v>
      </c>
      <c r="I362" s="990"/>
      <c r="J362" s="990"/>
      <c r="K362" s="990"/>
      <c r="L362" s="991"/>
      <c r="M362" s="16"/>
    </row>
    <row r="363" spans="1:13" ht="30" customHeight="1">
      <c r="A363" s="15"/>
      <c r="B363" s="386" t="s">
        <v>118</v>
      </c>
      <c r="C363" s="116"/>
      <c r="D363" s="116"/>
      <c r="E363" s="116"/>
      <c r="F363" s="116"/>
      <c r="G363" s="119"/>
      <c r="H363" s="986">
        <v>0</v>
      </c>
      <c r="I363" s="987"/>
      <c r="J363" s="987"/>
      <c r="K363" s="987"/>
      <c r="L363" s="988"/>
      <c r="M363" s="16"/>
    </row>
    <row r="364" spans="1:13" ht="30" customHeight="1">
      <c r="A364" s="15"/>
      <c r="B364" s="386" t="s">
        <v>119</v>
      </c>
      <c r="C364" s="116"/>
      <c r="D364" s="116"/>
      <c r="E364" s="116"/>
      <c r="F364" s="116"/>
      <c r="G364" s="119"/>
      <c r="H364" s="117"/>
      <c r="I364" s="118"/>
      <c r="J364" s="990">
        <f>Master!AK22</f>
        <v>9932.4666666666653</v>
      </c>
      <c r="K364" s="992"/>
      <c r="L364" s="581" t="s">
        <v>737</v>
      </c>
      <c r="M364" s="16"/>
    </row>
    <row r="365" spans="1:13" ht="30" customHeight="1">
      <c r="A365" s="15"/>
      <c r="B365" s="386" t="s">
        <v>120</v>
      </c>
      <c r="C365" s="116"/>
      <c r="D365" s="465" t="s">
        <v>24</v>
      </c>
      <c r="E365" s="466">
        <f>Master!AM22</f>
        <v>1192</v>
      </c>
      <c r="F365" s="465" t="s">
        <v>23</v>
      </c>
      <c r="G365" s="466">
        <f>Master!AL22</f>
        <v>75</v>
      </c>
      <c r="H365" s="465" t="s">
        <v>25</v>
      </c>
      <c r="I365" s="466">
        <f>Master!AN22</f>
        <v>0</v>
      </c>
      <c r="J365" s="465" t="s">
        <v>26</v>
      </c>
      <c r="K365" s="466">
        <f>Master!AO22</f>
        <v>0</v>
      </c>
      <c r="L365" s="400">
        <f>Master!AP22</f>
        <v>0</v>
      </c>
      <c r="M365" s="16"/>
    </row>
    <row r="366" spans="1:13" ht="30" customHeight="1">
      <c r="A366" s="15"/>
      <c r="B366" s="386" t="s">
        <v>121</v>
      </c>
      <c r="C366" s="116"/>
      <c r="D366" s="116"/>
      <c r="E366" s="116"/>
      <c r="F366" s="116"/>
      <c r="G366" s="119"/>
      <c r="H366" s="117"/>
      <c r="I366" s="118"/>
      <c r="J366" s="541">
        <f>Master!AR22</f>
        <v>8665.4666666666653</v>
      </c>
      <c r="K366" s="118"/>
      <c r="L366" s="125"/>
      <c r="M366" s="16"/>
    </row>
    <row r="367" spans="1:13">
      <c r="A367" s="15"/>
      <c r="B367" s="387" t="s">
        <v>122</v>
      </c>
      <c r="C367" s="74"/>
      <c r="D367" s="74"/>
      <c r="E367" s="74"/>
      <c r="F367" s="74"/>
      <c r="G367" s="75"/>
      <c r="H367" s="76"/>
      <c r="I367" s="77"/>
      <c r="J367" s="77"/>
      <c r="K367" s="77"/>
      <c r="L367" s="78"/>
      <c r="M367" s="16"/>
    </row>
    <row r="368" spans="1:13">
      <c r="A368" s="15"/>
      <c r="B368" s="388" t="s">
        <v>123</v>
      </c>
      <c r="C368" s="79"/>
      <c r="D368" s="79"/>
      <c r="E368" s="79"/>
      <c r="F368" s="79"/>
      <c r="G368" s="80"/>
      <c r="H368" s="60"/>
      <c r="I368" s="19"/>
      <c r="J368" s="19"/>
      <c r="K368" s="19"/>
      <c r="L368" s="81"/>
      <c r="M368" s="16"/>
    </row>
    <row r="369" spans="1:13">
      <c r="A369" s="15"/>
      <c r="B369" s="15"/>
      <c r="C369" s="114"/>
      <c r="D369" s="114"/>
      <c r="E369" s="114"/>
      <c r="F369" s="114"/>
      <c r="G369" s="114"/>
      <c r="H369" s="114"/>
      <c r="I369" s="114"/>
      <c r="J369" s="114"/>
      <c r="K369" s="114"/>
      <c r="L369" s="16"/>
      <c r="M369" s="16"/>
    </row>
    <row r="370" spans="1:13" ht="15" thickBot="1">
      <c r="A370" s="27"/>
      <c r="B370" s="27"/>
      <c r="C370" s="25"/>
      <c r="D370" s="25"/>
      <c r="E370" s="25"/>
      <c r="F370" s="25"/>
      <c r="G370" s="25"/>
      <c r="H370" s="25"/>
      <c r="I370" s="25"/>
      <c r="J370" s="25"/>
      <c r="K370" s="25"/>
      <c r="L370" s="26"/>
      <c r="M370" s="26"/>
    </row>
    <row r="371" spans="1:13">
      <c r="A371" s="420"/>
      <c r="B371" s="420"/>
      <c r="C371" s="420"/>
      <c r="D371" s="420"/>
      <c r="E371" s="420"/>
      <c r="F371" s="420"/>
      <c r="G371" s="420"/>
      <c r="H371" s="420"/>
      <c r="I371" s="420"/>
      <c r="J371" s="420"/>
      <c r="K371" s="420"/>
      <c r="L371" s="420"/>
      <c r="M371" s="420"/>
    </row>
    <row r="372" spans="1:13">
      <c r="A372" s="420"/>
      <c r="B372" s="420"/>
      <c r="C372" s="420"/>
      <c r="D372" s="420"/>
      <c r="E372" s="420"/>
      <c r="F372" s="420"/>
      <c r="G372" s="420"/>
      <c r="H372" s="420"/>
      <c r="I372" s="420"/>
      <c r="J372" s="420"/>
      <c r="K372" s="420"/>
      <c r="L372" s="420"/>
      <c r="M372" s="420"/>
    </row>
    <row r="373" spans="1:13">
      <c r="A373" s="420"/>
      <c r="B373" s="420"/>
      <c r="C373" s="420"/>
      <c r="D373" s="420"/>
      <c r="E373" s="420"/>
      <c r="F373" s="420"/>
      <c r="G373" s="420"/>
      <c r="H373" s="420"/>
      <c r="I373" s="420"/>
      <c r="J373" s="420"/>
      <c r="K373" s="420"/>
      <c r="L373" s="420"/>
      <c r="M373" s="420"/>
    </row>
    <row r="374" spans="1:13">
      <c r="A374" s="420"/>
      <c r="B374" s="420"/>
      <c r="C374" s="420"/>
      <c r="D374" s="420"/>
      <c r="E374" s="420"/>
      <c r="F374" s="420"/>
      <c r="G374" s="420"/>
      <c r="H374" s="420"/>
      <c r="I374" s="420"/>
      <c r="J374" s="420"/>
      <c r="K374" s="420"/>
      <c r="L374" s="420"/>
      <c r="M374" s="420"/>
    </row>
    <row r="375" spans="1:13" ht="15" thickBot="1">
      <c r="A375" s="420"/>
      <c r="B375" s="420"/>
      <c r="C375" s="420"/>
      <c r="D375" s="420"/>
      <c r="E375" s="420"/>
      <c r="F375" s="420"/>
      <c r="G375" s="420"/>
      <c r="H375" s="420"/>
      <c r="I375" s="420"/>
      <c r="J375" s="420"/>
      <c r="K375" s="420"/>
      <c r="L375" s="420"/>
      <c r="M375" s="420"/>
    </row>
    <row r="376" spans="1:13" ht="32.4">
      <c r="A376" s="68"/>
      <c r="B376" s="960" t="s">
        <v>99</v>
      </c>
      <c r="C376" s="961"/>
      <c r="D376" s="961"/>
      <c r="E376" s="961"/>
      <c r="F376" s="961"/>
      <c r="G376" s="961"/>
      <c r="H376" s="961"/>
      <c r="I376" s="961"/>
      <c r="J376" s="961"/>
      <c r="K376" s="961"/>
      <c r="L376" s="962"/>
      <c r="M376" s="69"/>
    </row>
    <row r="377" spans="1:13" ht="23.4">
      <c r="A377" s="15"/>
      <c r="B377" s="963" t="s">
        <v>100</v>
      </c>
      <c r="C377" s="964"/>
      <c r="D377" s="964"/>
      <c r="E377" s="964"/>
      <c r="F377" s="964"/>
      <c r="G377" s="964"/>
      <c r="H377" s="964"/>
      <c r="I377" s="964"/>
      <c r="J377" s="964"/>
      <c r="K377" s="964"/>
      <c r="L377" s="965"/>
      <c r="M377" s="16"/>
    </row>
    <row r="378" spans="1:13" ht="15.6">
      <c r="A378" s="15"/>
      <c r="B378" s="966" t="s">
        <v>1070</v>
      </c>
      <c r="C378" s="967"/>
      <c r="D378" s="967"/>
      <c r="E378" s="967"/>
      <c r="F378" s="967"/>
      <c r="G378" s="967"/>
      <c r="H378" s="968"/>
      <c r="I378" s="968"/>
      <c r="J378" s="968"/>
      <c r="K378" s="968"/>
      <c r="L378" s="969"/>
      <c r="M378" s="16"/>
    </row>
    <row r="379" spans="1:13">
      <c r="A379" s="15"/>
      <c r="B379" s="970" t="s">
        <v>101</v>
      </c>
      <c r="C379" s="971"/>
      <c r="D379" s="971"/>
      <c r="E379" s="971"/>
      <c r="F379" s="971"/>
      <c r="G379" s="391"/>
      <c r="H379" s="974" t="s">
        <v>102</v>
      </c>
      <c r="I379" s="975"/>
      <c r="J379" s="975"/>
      <c r="K379" s="975"/>
      <c r="L379" s="976"/>
      <c r="M379" s="16"/>
    </row>
    <row r="380" spans="1:13">
      <c r="A380" s="15"/>
      <c r="B380" s="972"/>
      <c r="C380" s="973"/>
      <c r="D380" s="973"/>
      <c r="E380" s="973"/>
      <c r="F380" s="973"/>
      <c r="G380" s="395"/>
      <c r="H380" s="977"/>
      <c r="I380" s="978"/>
      <c r="J380" s="978"/>
      <c r="K380" s="978"/>
      <c r="L380" s="979"/>
      <c r="M380" s="16"/>
    </row>
    <row r="381" spans="1:13">
      <c r="A381" s="15"/>
      <c r="B381" s="382"/>
      <c r="C381" s="77"/>
      <c r="D381" s="77"/>
      <c r="E381" s="77"/>
      <c r="F381" s="77"/>
      <c r="G381" s="56"/>
      <c r="H381" s="76"/>
      <c r="I381" s="77"/>
      <c r="J381" s="77"/>
      <c r="K381" s="77"/>
      <c r="L381" s="78"/>
      <c r="M381" s="16"/>
    </row>
    <row r="382" spans="1:13">
      <c r="A382" s="15"/>
      <c r="B382" s="378" t="str">
        <f>Master!F5</f>
        <v>GROTECH LANDSCAPE DEVELOPERS PVT. LTD.</v>
      </c>
      <c r="C382" s="114"/>
      <c r="D382" s="114"/>
      <c r="E382" s="114"/>
      <c r="F382" s="114"/>
      <c r="G382" s="379"/>
      <c r="H382" s="381" t="str">
        <f>Master!AN5</f>
        <v>GROTECH LANDSCAPE DEVELOPERS PVT. LTD.</v>
      </c>
      <c r="I382" s="114"/>
      <c r="J382" s="114"/>
      <c r="K382" s="114"/>
      <c r="L382" s="16"/>
      <c r="M382" s="16"/>
    </row>
    <row r="383" spans="1:13">
      <c r="A383" s="15"/>
      <c r="B383" s="15"/>
      <c r="C383" s="114"/>
      <c r="D383" s="114"/>
      <c r="E383" s="114"/>
      <c r="F383" s="114"/>
      <c r="G383" s="379"/>
      <c r="H383" s="380"/>
      <c r="I383" s="114"/>
      <c r="J383" s="114"/>
      <c r="K383" s="114"/>
      <c r="L383" s="16"/>
      <c r="M383" s="16"/>
    </row>
    <row r="384" spans="1:13">
      <c r="A384" s="15"/>
      <c r="B384" s="538" t="str">
        <f>Master!F6</f>
        <v>290/E, Khanapur Village, Gandipet Mandal, Ranga Reddy, Hyderabad-500075 T.S.</v>
      </c>
      <c r="C384" s="114"/>
      <c r="D384" s="114"/>
      <c r="E384" s="114"/>
      <c r="F384" s="114"/>
      <c r="G384" s="379"/>
      <c r="H384" s="539" t="str">
        <f>Master!AN6</f>
        <v>290/E, Khanapur Village, Gandipet Mandal, Ranga Reddy, Hyderabad-500075 T.S.</v>
      </c>
      <c r="I384" s="114"/>
      <c r="J384" s="114"/>
      <c r="K384" s="114"/>
      <c r="L384" s="16"/>
      <c r="M384" s="16"/>
    </row>
    <row r="385" spans="1:13">
      <c r="A385" s="15"/>
      <c r="B385" s="383"/>
      <c r="C385" s="19"/>
      <c r="D385" s="19"/>
      <c r="E385" s="19"/>
      <c r="F385" s="19"/>
      <c r="G385" s="61"/>
      <c r="H385" s="60"/>
      <c r="I385" s="19"/>
      <c r="J385" s="19"/>
      <c r="K385" s="19"/>
      <c r="L385" s="81"/>
      <c r="M385" s="16"/>
    </row>
    <row r="386" spans="1:13">
      <c r="A386" s="15"/>
      <c r="B386" s="389"/>
      <c r="C386" s="390"/>
      <c r="D386" s="390"/>
      <c r="E386" s="390"/>
      <c r="F386" s="390"/>
      <c r="G386" s="391"/>
      <c r="H386" s="396"/>
      <c r="I386" s="390"/>
      <c r="J386" s="390" t="s">
        <v>103</v>
      </c>
      <c r="K386" s="390"/>
      <c r="L386" s="397"/>
      <c r="M386" s="16"/>
    </row>
    <row r="387" spans="1:13">
      <c r="A387" s="15"/>
      <c r="B387" s="980" t="s">
        <v>104</v>
      </c>
      <c r="C387" s="981"/>
      <c r="D387" s="981"/>
      <c r="E387" s="981"/>
      <c r="F387" s="981"/>
      <c r="G387" s="392"/>
      <c r="H387" s="982" t="s">
        <v>4</v>
      </c>
      <c r="I387" s="981"/>
      <c r="J387" s="981"/>
      <c r="K387" s="981"/>
      <c r="L387" s="983"/>
      <c r="M387" s="16"/>
    </row>
    <row r="388" spans="1:13">
      <c r="A388" s="15"/>
      <c r="B388" s="393"/>
      <c r="C388" s="394"/>
      <c r="D388" s="394"/>
      <c r="E388" s="394"/>
      <c r="F388" s="394"/>
      <c r="G388" s="395"/>
      <c r="H388" s="398"/>
      <c r="I388" s="394"/>
      <c r="J388" s="394"/>
      <c r="K388" s="394"/>
      <c r="L388" s="399"/>
      <c r="M388" s="16"/>
    </row>
    <row r="389" spans="1:13">
      <c r="A389" s="15"/>
      <c r="B389" s="382"/>
      <c r="C389" s="77"/>
      <c r="D389" s="77"/>
      <c r="E389" s="77"/>
      <c r="F389" s="77"/>
      <c r="G389" s="56"/>
      <c r="H389" s="74"/>
      <c r="I389" s="74"/>
      <c r="J389" s="74"/>
      <c r="K389" s="74"/>
      <c r="L389" s="384"/>
      <c r="M389" s="16"/>
    </row>
    <row r="390" spans="1:13">
      <c r="A390" s="15"/>
      <c r="B390" s="15"/>
      <c r="C390" s="114"/>
      <c r="D390" s="114"/>
      <c r="E390" s="114"/>
      <c r="F390" s="114"/>
      <c r="G390" s="379"/>
      <c r="H390" s="115" t="str">
        <f>Master!AN10</f>
        <v>INDIAN SCHOOL OF BUSINESS</v>
      </c>
      <c r="I390" s="115"/>
      <c r="J390" s="115"/>
      <c r="K390" s="115"/>
      <c r="L390" s="71"/>
      <c r="M390" s="16"/>
    </row>
    <row r="391" spans="1:13">
      <c r="A391" s="15"/>
      <c r="B391" s="70" t="str">
        <f>Master!F8</f>
        <v>GARDENING SERVICES&amp;ISB HYDERABAD</v>
      </c>
      <c r="C391" s="114"/>
      <c r="D391" s="114"/>
      <c r="E391" s="114"/>
      <c r="F391" s="114"/>
      <c r="G391" s="379"/>
      <c r="H391" s="115"/>
      <c r="I391" s="115"/>
      <c r="J391" s="115"/>
      <c r="K391" s="115"/>
      <c r="L391" s="71"/>
      <c r="M391" s="16"/>
    </row>
    <row r="392" spans="1:13">
      <c r="A392" s="15"/>
      <c r="B392" s="15"/>
      <c r="C392" s="114"/>
      <c r="D392" s="114"/>
      <c r="E392" s="114"/>
      <c r="F392" s="114"/>
      <c r="G392" s="379"/>
      <c r="H392" s="115" t="str">
        <f>Master!AN11</f>
        <v>Opp.Infosys Limited,Gachibowli,Hyderabad</v>
      </c>
      <c r="I392" s="115"/>
      <c r="J392" s="115"/>
      <c r="K392" s="115"/>
      <c r="L392" s="71"/>
      <c r="M392" s="16"/>
    </row>
    <row r="393" spans="1:13">
      <c r="A393" s="15"/>
      <c r="B393" s="383"/>
      <c r="C393" s="19"/>
      <c r="D393" s="19"/>
      <c r="E393" s="19"/>
      <c r="F393" s="19"/>
      <c r="G393" s="61"/>
      <c r="H393" s="79"/>
      <c r="I393" s="79"/>
      <c r="J393" s="79"/>
      <c r="K393" s="79"/>
      <c r="L393" s="385"/>
      <c r="M393" s="16"/>
    </row>
    <row r="394" spans="1:13" ht="30" customHeight="1">
      <c r="A394" s="15"/>
      <c r="B394" s="948" t="s">
        <v>105</v>
      </c>
      <c r="C394" s="949"/>
      <c r="D394" s="949"/>
      <c r="E394" s="949"/>
      <c r="F394" s="949"/>
      <c r="G394" s="949"/>
      <c r="H394" s="950" t="str">
        <f>Master!D23</f>
        <v>Ningolla Raju</v>
      </c>
      <c r="I394" s="951"/>
      <c r="J394" s="951"/>
      <c r="K394" s="951"/>
      <c r="L394" s="952"/>
      <c r="M394" s="16"/>
    </row>
    <row r="395" spans="1:13" ht="30" customHeight="1">
      <c r="A395" s="15"/>
      <c r="B395" s="948"/>
      <c r="C395" s="949"/>
      <c r="D395" s="949"/>
      <c r="E395" s="949"/>
      <c r="F395" s="949"/>
      <c r="G395" s="949"/>
      <c r="H395" s="950" t="str">
        <f>Master!K23</f>
        <v>3-27/1,janakampet,</v>
      </c>
      <c r="I395" s="951"/>
      <c r="J395" s="951"/>
      <c r="K395" s="951"/>
      <c r="L395" s="952"/>
      <c r="M395" s="16"/>
    </row>
    <row r="396" spans="1:13" ht="30" customHeight="1">
      <c r="A396" s="15"/>
      <c r="B396" s="948"/>
      <c r="C396" s="949"/>
      <c r="D396" s="949"/>
      <c r="E396" s="949"/>
      <c r="F396" s="949"/>
      <c r="G396" s="949"/>
      <c r="H396" s="950" t="str">
        <f>Master!L23</f>
        <v>patancherusultanpur,medhak</v>
      </c>
      <c r="I396" s="951"/>
      <c r="J396" s="951"/>
      <c r="K396" s="951"/>
      <c r="L396" s="952"/>
      <c r="M396" s="16"/>
    </row>
    <row r="397" spans="1:13" ht="30" customHeight="1">
      <c r="A397" s="15"/>
      <c r="B397" s="948"/>
      <c r="C397" s="949"/>
      <c r="D397" s="949"/>
      <c r="E397" s="949"/>
      <c r="F397" s="949"/>
      <c r="G397" s="949"/>
      <c r="H397" s="950" t="str">
        <f>Master!M23</f>
        <v>TS-502319</v>
      </c>
      <c r="I397" s="951"/>
      <c r="J397" s="951"/>
      <c r="K397" s="951"/>
      <c r="L397" s="952"/>
      <c r="M397" s="16"/>
    </row>
    <row r="398" spans="1:13" ht="30" customHeight="1">
      <c r="A398" s="73"/>
      <c r="B398" s="948"/>
      <c r="C398" s="949"/>
      <c r="D398" s="949"/>
      <c r="E398" s="949"/>
      <c r="F398" s="949"/>
      <c r="G398" s="949"/>
      <c r="H398" s="989">
        <f>Master!N492</f>
        <v>0</v>
      </c>
      <c r="I398" s="990"/>
      <c r="J398" s="990"/>
      <c r="K398" s="990"/>
      <c r="L398" s="991"/>
      <c r="M398" s="16"/>
    </row>
    <row r="399" spans="1:13" ht="30" customHeight="1">
      <c r="A399" s="73"/>
      <c r="B399" s="984" t="s">
        <v>106</v>
      </c>
      <c r="C399" s="985"/>
      <c r="D399" s="985"/>
      <c r="E399" s="985"/>
      <c r="F399" s="985"/>
      <c r="G399" s="985"/>
      <c r="H399" s="947">
        <f>Master!C23</f>
        <v>12</v>
      </c>
      <c r="I399" s="945"/>
      <c r="J399" s="945"/>
      <c r="K399" s="945"/>
      <c r="L399" s="946"/>
      <c r="M399" s="16"/>
    </row>
    <row r="400" spans="1:13" ht="30" customHeight="1">
      <c r="A400" s="73"/>
      <c r="B400" s="943" t="s">
        <v>107</v>
      </c>
      <c r="C400" s="944"/>
      <c r="D400" s="944"/>
      <c r="E400" s="944"/>
      <c r="F400" s="944"/>
      <c r="G400" s="944"/>
      <c r="H400" s="947" t="str">
        <f>Master!J23</f>
        <v>Semi Skilled Gardner</v>
      </c>
      <c r="I400" s="945"/>
      <c r="J400" s="945"/>
      <c r="K400" s="945"/>
      <c r="L400" s="946"/>
      <c r="M400" s="16"/>
    </row>
    <row r="401" spans="1:13" ht="30" customHeight="1">
      <c r="A401" s="73"/>
      <c r="B401" s="943" t="s">
        <v>108</v>
      </c>
      <c r="C401" s="944"/>
      <c r="D401" s="944"/>
      <c r="E401" s="944"/>
      <c r="F401" s="944"/>
      <c r="G401" s="944"/>
      <c r="H401" s="957">
        <f>Master!S23</f>
        <v>43850</v>
      </c>
      <c r="I401" s="958"/>
      <c r="J401" s="958"/>
      <c r="K401" s="958"/>
      <c r="L401" s="959"/>
      <c r="M401" s="16"/>
    </row>
    <row r="402" spans="1:13" ht="30" customHeight="1">
      <c r="A402" s="73"/>
      <c r="B402" s="386" t="s">
        <v>109</v>
      </c>
      <c r="C402" s="116"/>
      <c r="D402" s="116"/>
      <c r="E402" s="116"/>
      <c r="F402" s="116"/>
      <c r="G402" s="116"/>
      <c r="H402" s="947">
        <f>Master!Y23</f>
        <v>5216340446</v>
      </c>
      <c r="I402" s="947"/>
      <c r="J402" s="947"/>
      <c r="K402" s="947"/>
      <c r="L402" s="953"/>
      <c r="M402" s="16"/>
    </row>
    <row r="403" spans="1:13" ht="30" customHeight="1">
      <c r="A403" s="73"/>
      <c r="B403" s="386" t="s">
        <v>110</v>
      </c>
      <c r="C403" s="116"/>
      <c r="D403" s="116"/>
      <c r="E403" s="116"/>
      <c r="F403" s="116"/>
      <c r="G403" s="119"/>
      <c r="H403" s="947" t="str">
        <f>Master!X23</f>
        <v>100043556888</v>
      </c>
      <c r="I403" s="947"/>
      <c r="J403" s="947"/>
      <c r="K403" s="947"/>
      <c r="L403" s="953"/>
      <c r="M403" s="16"/>
    </row>
    <row r="404" spans="1:13" ht="30" customHeight="1">
      <c r="A404" s="73"/>
      <c r="B404" s="954" t="s">
        <v>111</v>
      </c>
      <c r="C404" s="955"/>
      <c r="D404" s="955"/>
      <c r="E404" s="955"/>
      <c r="F404" s="955"/>
      <c r="G404" s="955"/>
      <c r="H404" s="950">
        <f>Master!AC23</f>
        <v>11459</v>
      </c>
      <c r="I404" s="951"/>
      <c r="J404" s="951"/>
      <c r="K404" s="951"/>
      <c r="L404" s="952"/>
      <c r="M404" s="16"/>
    </row>
    <row r="405" spans="1:13" ht="30" customHeight="1">
      <c r="A405" s="73"/>
      <c r="B405" s="943" t="s">
        <v>112</v>
      </c>
      <c r="C405" s="944"/>
      <c r="D405" s="944"/>
      <c r="E405" s="944"/>
      <c r="F405" s="944"/>
      <c r="G405" s="944"/>
      <c r="H405" s="956">
        <f>Master!F10</f>
        <v>44652</v>
      </c>
      <c r="I405" s="945"/>
      <c r="J405" s="945"/>
      <c r="K405" s="945"/>
      <c r="L405" s="946"/>
      <c r="M405" s="16"/>
    </row>
    <row r="406" spans="1:13" ht="30" customHeight="1">
      <c r="A406" s="15"/>
      <c r="B406" s="943" t="s">
        <v>113</v>
      </c>
      <c r="C406" s="944"/>
      <c r="D406" s="944"/>
      <c r="E406" s="944"/>
      <c r="F406" s="944"/>
      <c r="G406" s="944"/>
      <c r="H406" s="945" t="s">
        <v>114</v>
      </c>
      <c r="I406" s="945"/>
      <c r="J406" s="945"/>
      <c r="K406" s="945"/>
      <c r="L406" s="946"/>
      <c r="M406" s="16"/>
    </row>
    <row r="407" spans="1:13" ht="30" customHeight="1">
      <c r="A407" s="15"/>
      <c r="B407" s="386" t="s">
        <v>115</v>
      </c>
      <c r="C407" s="116"/>
      <c r="D407" s="116"/>
      <c r="E407" s="116"/>
      <c r="F407" s="116"/>
      <c r="G407" s="119"/>
      <c r="H407" s="947">
        <f>Master!AA23</f>
        <v>26</v>
      </c>
      <c r="I407" s="945"/>
      <c r="J407" s="945"/>
      <c r="K407" s="945"/>
      <c r="L407" s="946"/>
      <c r="M407" s="16"/>
    </row>
    <row r="408" spans="1:13" ht="30" customHeight="1">
      <c r="A408" s="15"/>
      <c r="B408" s="386" t="s">
        <v>116</v>
      </c>
      <c r="C408" s="116"/>
      <c r="D408" s="116"/>
      <c r="E408" s="116"/>
      <c r="F408" s="116"/>
      <c r="G408" s="119"/>
      <c r="H408" s="986" t="s">
        <v>28</v>
      </c>
      <c r="I408" s="987"/>
      <c r="J408" s="987"/>
      <c r="K408" s="987"/>
      <c r="L408" s="988"/>
      <c r="M408" s="16"/>
    </row>
    <row r="409" spans="1:13" ht="30" customHeight="1">
      <c r="A409" s="15"/>
      <c r="B409" s="386" t="s">
        <v>117</v>
      </c>
      <c r="C409" s="116"/>
      <c r="D409" s="116"/>
      <c r="E409" s="116"/>
      <c r="F409" s="116"/>
      <c r="G409" s="119"/>
      <c r="H409" s="989">
        <v>0</v>
      </c>
      <c r="I409" s="990"/>
      <c r="J409" s="990"/>
      <c r="K409" s="990"/>
      <c r="L409" s="991"/>
      <c r="M409" s="16"/>
    </row>
    <row r="410" spans="1:13" ht="30" customHeight="1">
      <c r="A410" s="15"/>
      <c r="B410" s="386" t="s">
        <v>118</v>
      </c>
      <c r="C410" s="116"/>
      <c r="D410" s="116"/>
      <c r="E410" s="116"/>
      <c r="F410" s="116"/>
      <c r="G410" s="119"/>
      <c r="H410" s="986">
        <v>0</v>
      </c>
      <c r="I410" s="987"/>
      <c r="J410" s="987"/>
      <c r="K410" s="987"/>
      <c r="L410" s="988"/>
      <c r="M410" s="16"/>
    </row>
    <row r="411" spans="1:13" ht="30" customHeight="1">
      <c r="A411" s="15"/>
      <c r="B411" s="386" t="s">
        <v>119</v>
      </c>
      <c r="C411" s="116"/>
      <c r="D411" s="116"/>
      <c r="E411" s="116"/>
      <c r="F411" s="116"/>
      <c r="G411" s="119"/>
      <c r="H411" s="117"/>
      <c r="I411" s="118"/>
      <c r="J411" s="990">
        <f>Master!AK23</f>
        <v>9932.4666666666653</v>
      </c>
      <c r="K411" s="992"/>
      <c r="L411" s="581" t="s">
        <v>737</v>
      </c>
      <c r="M411" s="16"/>
    </row>
    <row r="412" spans="1:13" ht="30" customHeight="1">
      <c r="A412" s="15"/>
      <c r="B412" s="386" t="s">
        <v>120</v>
      </c>
      <c r="C412" s="116"/>
      <c r="D412" s="465" t="s">
        <v>24</v>
      </c>
      <c r="E412" s="466">
        <f>Master!AM23</f>
        <v>1192</v>
      </c>
      <c r="F412" s="465" t="s">
        <v>23</v>
      </c>
      <c r="G412" s="466">
        <f>Master!AL23</f>
        <v>75</v>
      </c>
      <c r="H412" s="465" t="s">
        <v>25</v>
      </c>
      <c r="I412" s="466">
        <f>Master!AN23</f>
        <v>0</v>
      </c>
      <c r="J412" s="465" t="s">
        <v>26</v>
      </c>
      <c r="K412" s="466">
        <f>Master!AO23</f>
        <v>0</v>
      </c>
      <c r="L412" s="400">
        <f>Master!AP23</f>
        <v>0</v>
      </c>
      <c r="M412" s="16"/>
    </row>
    <row r="413" spans="1:13" ht="30" customHeight="1">
      <c r="A413" s="15"/>
      <c r="B413" s="386" t="s">
        <v>121</v>
      </c>
      <c r="C413" s="116"/>
      <c r="D413" s="116"/>
      <c r="E413" s="116"/>
      <c r="F413" s="116"/>
      <c r="G413" s="119"/>
      <c r="H413" s="117"/>
      <c r="I413" s="118"/>
      <c r="J413" s="541">
        <f>Master!AR23</f>
        <v>8665.4666666666653</v>
      </c>
      <c r="K413" s="118"/>
      <c r="L413" s="125"/>
      <c r="M413" s="16"/>
    </row>
    <row r="414" spans="1:13">
      <c r="A414" s="15"/>
      <c r="B414" s="387" t="s">
        <v>122</v>
      </c>
      <c r="C414" s="74"/>
      <c r="D414" s="74"/>
      <c r="E414" s="74"/>
      <c r="F414" s="74"/>
      <c r="G414" s="75"/>
      <c r="H414" s="76"/>
      <c r="I414" s="77"/>
      <c r="J414" s="77"/>
      <c r="K414" s="77"/>
      <c r="L414" s="78"/>
      <c r="M414" s="16"/>
    </row>
    <row r="415" spans="1:13">
      <c r="A415" s="15"/>
      <c r="B415" s="388" t="s">
        <v>123</v>
      </c>
      <c r="C415" s="79"/>
      <c r="D415" s="79"/>
      <c r="E415" s="79"/>
      <c r="F415" s="79"/>
      <c r="G415" s="80"/>
      <c r="H415" s="60"/>
      <c r="I415" s="19"/>
      <c r="J415" s="19"/>
      <c r="K415" s="19"/>
      <c r="L415" s="81"/>
      <c r="M415" s="16"/>
    </row>
    <row r="416" spans="1:13">
      <c r="A416" s="15"/>
      <c r="B416" s="15"/>
      <c r="C416" s="114"/>
      <c r="D416" s="114"/>
      <c r="E416" s="114"/>
      <c r="F416" s="114"/>
      <c r="G416" s="114"/>
      <c r="H416" s="114"/>
      <c r="I416" s="114"/>
      <c r="J416" s="114"/>
      <c r="K416" s="114"/>
      <c r="L416" s="16"/>
      <c r="M416" s="16"/>
    </row>
    <row r="417" spans="1:13" ht="15" thickBot="1">
      <c r="A417" s="27"/>
      <c r="B417" s="27"/>
      <c r="C417" s="25"/>
      <c r="D417" s="25"/>
      <c r="E417" s="25"/>
      <c r="F417" s="25"/>
      <c r="G417" s="25"/>
      <c r="H417" s="25"/>
      <c r="I417" s="25"/>
      <c r="J417" s="25"/>
      <c r="K417" s="25"/>
      <c r="L417" s="26"/>
      <c r="M417" s="26"/>
    </row>
    <row r="418" spans="1:13">
      <c r="A418" s="420"/>
      <c r="B418" s="420"/>
      <c r="C418" s="420"/>
      <c r="D418" s="420"/>
      <c r="E418" s="420"/>
      <c r="F418" s="420"/>
      <c r="G418" s="420"/>
      <c r="H418" s="420"/>
      <c r="I418" s="420"/>
      <c r="J418" s="420"/>
      <c r="K418" s="420"/>
      <c r="L418" s="420"/>
      <c r="M418" s="420"/>
    </row>
    <row r="419" spans="1:13">
      <c r="A419" s="420"/>
      <c r="B419" s="420"/>
      <c r="C419" s="420"/>
      <c r="D419" s="420"/>
      <c r="E419" s="420"/>
      <c r="F419" s="420"/>
      <c r="G419" s="420"/>
      <c r="H419" s="420"/>
      <c r="I419" s="420"/>
      <c r="J419" s="420"/>
      <c r="K419" s="420"/>
      <c r="L419" s="420"/>
      <c r="M419" s="420"/>
    </row>
    <row r="420" spans="1:13">
      <c r="A420" s="420"/>
      <c r="B420" s="420"/>
      <c r="C420" s="420"/>
      <c r="D420" s="420"/>
      <c r="E420" s="420"/>
      <c r="F420" s="420"/>
      <c r="G420" s="420"/>
      <c r="H420" s="420"/>
      <c r="I420" s="420"/>
      <c r="J420" s="420"/>
      <c r="K420" s="420"/>
      <c r="L420" s="420"/>
      <c r="M420" s="420"/>
    </row>
    <row r="421" spans="1:13">
      <c r="A421" s="420"/>
      <c r="B421" s="420"/>
      <c r="C421" s="420"/>
      <c r="D421" s="420"/>
      <c r="E421" s="420"/>
      <c r="F421" s="420"/>
      <c r="G421" s="420"/>
      <c r="H421" s="420"/>
      <c r="I421" s="420"/>
      <c r="J421" s="420"/>
      <c r="K421" s="420"/>
      <c r="L421" s="420"/>
      <c r="M421" s="420"/>
    </row>
    <row r="422" spans="1:13" ht="15" thickBot="1">
      <c r="A422" s="420"/>
      <c r="B422" s="420"/>
      <c r="C422" s="420"/>
      <c r="D422" s="420"/>
      <c r="E422" s="420"/>
      <c r="F422" s="420"/>
      <c r="G422" s="420"/>
      <c r="H422" s="420"/>
      <c r="I422" s="420"/>
      <c r="J422" s="420"/>
      <c r="K422" s="420"/>
      <c r="L422" s="420"/>
      <c r="M422" s="420"/>
    </row>
    <row r="423" spans="1:13" ht="32.4">
      <c r="A423" s="68"/>
      <c r="B423" s="960" t="s">
        <v>99</v>
      </c>
      <c r="C423" s="961"/>
      <c r="D423" s="961"/>
      <c r="E423" s="961"/>
      <c r="F423" s="961"/>
      <c r="G423" s="961"/>
      <c r="H423" s="961"/>
      <c r="I423" s="961"/>
      <c r="J423" s="961"/>
      <c r="K423" s="961"/>
      <c r="L423" s="962"/>
      <c r="M423" s="69"/>
    </row>
    <row r="424" spans="1:13" ht="23.4">
      <c r="A424" s="15"/>
      <c r="B424" s="963" t="s">
        <v>100</v>
      </c>
      <c r="C424" s="964"/>
      <c r="D424" s="964"/>
      <c r="E424" s="964"/>
      <c r="F424" s="964"/>
      <c r="G424" s="964"/>
      <c r="H424" s="964"/>
      <c r="I424" s="964"/>
      <c r="J424" s="964"/>
      <c r="K424" s="964"/>
      <c r="L424" s="965"/>
      <c r="M424" s="16"/>
    </row>
    <row r="425" spans="1:13" ht="15.6">
      <c r="A425" s="15"/>
      <c r="B425" s="966" t="s">
        <v>1070</v>
      </c>
      <c r="C425" s="967"/>
      <c r="D425" s="967"/>
      <c r="E425" s="967"/>
      <c r="F425" s="967"/>
      <c r="G425" s="967"/>
      <c r="H425" s="968"/>
      <c r="I425" s="968"/>
      <c r="J425" s="968"/>
      <c r="K425" s="968"/>
      <c r="L425" s="969"/>
      <c r="M425" s="16"/>
    </row>
    <row r="426" spans="1:13">
      <c r="A426" s="15"/>
      <c r="B426" s="970" t="s">
        <v>101</v>
      </c>
      <c r="C426" s="971"/>
      <c r="D426" s="971"/>
      <c r="E426" s="971"/>
      <c r="F426" s="971"/>
      <c r="G426" s="391"/>
      <c r="H426" s="974" t="s">
        <v>102</v>
      </c>
      <c r="I426" s="975"/>
      <c r="J426" s="975"/>
      <c r="K426" s="975"/>
      <c r="L426" s="976"/>
      <c r="M426" s="16"/>
    </row>
    <row r="427" spans="1:13">
      <c r="A427" s="15"/>
      <c r="B427" s="972"/>
      <c r="C427" s="973"/>
      <c r="D427" s="973"/>
      <c r="E427" s="973"/>
      <c r="F427" s="973"/>
      <c r="G427" s="395"/>
      <c r="H427" s="977"/>
      <c r="I427" s="978"/>
      <c r="J427" s="978"/>
      <c r="K427" s="978"/>
      <c r="L427" s="979"/>
      <c r="M427" s="16"/>
    </row>
    <row r="428" spans="1:13">
      <c r="A428" s="15"/>
      <c r="B428" s="382"/>
      <c r="C428" s="77"/>
      <c r="D428" s="77"/>
      <c r="E428" s="77"/>
      <c r="F428" s="77"/>
      <c r="G428" s="56"/>
      <c r="H428" s="76"/>
      <c r="I428" s="77"/>
      <c r="J428" s="77"/>
      <c r="K428" s="77"/>
      <c r="L428" s="78"/>
      <c r="M428" s="16"/>
    </row>
    <row r="429" spans="1:13">
      <c r="A429" s="15"/>
      <c r="B429" s="378" t="str">
        <f>Master!F5</f>
        <v>GROTECH LANDSCAPE DEVELOPERS PVT. LTD.</v>
      </c>
      <c r="C429" s="114"/>
      <c r="D429" s="114"/>
      <c r="E429" s="114"/>
      <c r="F429" s="114"/>
      <c r="G429" s="379"/>
      <c r="H429" s="381" t="str">
        <f>Master!AN5</f>
        <v>GROTECH LANDSCAPE DEVELOPERS PVT. LTD.</v>
      </c>
      <c r="I429" s="114"/>
      <c r="J429" s="114"/>
      <c r="K429" s="114"/>
      <c r="L429" s="16"/>
      <c r="M429" s="16"/>
    </row>
    <row r="430" spans="1:13">
      <c r="A430" s="15"/>
      <c r="B430" s="15"/>
      <c r="C430" s="114"/>
      <c r="D430" s="114"/>
      <c r="E430" s="114"/>
      <c r="F430" s="114"/>
      <c r="G430" s="379"/>
      <c r="H430" s="380"/>
      <c r="I430" s="114"/>
      <c r="J430" s="114"/>
      <c r="K430" s="114"/>
      <c r="L430" s="16"/>
      <c r="M430" s="16"/>
    </row>
    <row r="431" spans="1:13">
      <c r="A431" s="15"/>
      <c r="B431" s="538" t="str">
        <f>Master!F6</f>
        <v>290/E, Khanapur Village, Gandipet Mandal, Ranga Reddy, Hyderabad-500075 T.S.</v>
      </c>
      <c r="C431" s="114"/>
      <c r="D431" s="114"/>
      <c r="E431" s="114"/>
      <c r="F431" s="114"/>
      <c r="G431" s="379"/>
      <c r="H431" s="539" t="str">
        <f>Master!AN6</f>
        <v>290/E, Khanapur Village, Gandipet Mandal, Ranga Reddy, Hyderabad-500075 T.S.</v>
      </c>
      <c r="I431" s="114"/>
      <c r="J431" s="114"/>
      <c r="K431" s="114"/>
      <c r="L431" s="16"/>
      <c r="M431" s="16"/>
    </row>
    <row r="432" spans="1:13">
      <c r="A432" s="15"/>
      <c r="B432" s="383"/>
      <c r="C432" s="19"/>
      <c r="D432" s="19"/>
      <c r="E432" s="19"/>
      <c r="F432" s="19"/>
      <c r="G432" s="61"/>
      <c r="H432" s="60"/>
      <c r="I432" s="19"/>
      <c r="J432" s="19"/>
      <c r="K432" s="19"/>
      <c r="L432" s="81"/>
      <c r="M432" s="16"/>
    </row>
    <row r="433" spans="1:13">
      <c r="A433" s="15"/>
      <c r="B433" s="389"/>
      <c r="C433" s="390"/>
      <c r="D433" s="390"/>
      <c r="E433" s="390"/>
      <c r="F433" s="390"/>
      <c r="G433" s="391"/>
      <c r="H433" s="396"/>
      <c r="I433" s="390"/>
      <c r="J433" s="390" t="s">
        <v>103</v>
      </c>
      <c r="K433" s="390"/>
      <c r="L433" s="397"/>
      <c r="M433" s="16"/>
    </row>
    <row r="434" spans="1:13">
      <c r="A434" s="15"/>
      <c r="B434" s="980" t="s">
        <v>104</v>
      </c>
      <c r="C434" s="981"/>
      <c r="D434" s="981"/>
      <c r="E434" s="981"/>
      <c r="F434" s="981"/>
      <c r="G434" s="392"/>
      <c r="H434" s="982" t="s">
        <v>4</v>
      </c>
      <c r="I434" s="981"/>
      <c r="J434" s="981"/>
      <c r="K434" s="981"/>
      <c r="L434" s="983"/>
      <c r="M434" s="16"/>
    </row>
    <row r="435" spans="1:13">
      <c r="A435" s="15"/>
      <c r="B435" s="393"/>
      <c r="C435" s="394"/>
      <c r="D435" s="394"/>
      <c r="E435" s="394"/>
      <c r="F435" s="394"/>
      <c r="G435" s="395"/>
      <c r="H435" s="398"/>
      <c r="I435" s="394"/>
      <c r="J435" s="394"/>
      <c r="K435" s="394"/>
      <c r="L435" s="399"/>
      <c r="M435" s="16"/>
    </row>
    <row r="436" spans="1:13">
      <c r="A436" s="15"/>
      <c r="B436" s="382"/>
      <c r="C436" s="77"/>
      <c r="D436" s="77"/>
      <c r="E436" s="77"/>
      <c r="F436" s="77"/>
      <c r="G436" s="56"/>
      <c r="H436" s="74"/>
      <c r="I436" s="74"/>
      <c r="J436" s="74"/>
      <c r="K436" s="74"/>
      <c r="L436" s="384"/>
      <c r="M436" s="16"/>
    </row>
    <row r="437" spans="1:13">
      <c r="A437" s="15"/>
      <c r="B437" s="15"/>
      <c r="C437" s="114"/>
      <c r="D437" s="114"/>
      <c r="E437" s="114"/>
      <c r="F437" s="114"/>
      <c r="G437" s="379"/>
      <c r="H437" s="115" t="str">
        <f>Master!AN10</f>
        <v>INDIAN SCHOOL OF BUSINESS</v>
      </c>
      <c r="I437" s="115"/>
      <c r="J437" s="115"/>
      <c r="K437" s="115"/>
      <c r="L437" s="71"/>
      <c r="M437" s="16"/>
    </row>
    <row r="438" spans="1:13">
      <c r="A438" s="15"/>
      <c r="B438" s="70" t="str">
        <f>Master!F8</f>
        <v>GARDENING SERVICES&amp;ISB HYDERABAD</v>
      </c>
      <c r="C438" s="114"/>
      <c r="D438" s="114"/>
      <c r="E438" s="114"/>
      <c r="F438" s="114"/>
      <c r="G438" s="379"/>
      <c r="H438" s="115"/>
      <c r="I438" s="115"/>
      <c r="J438" s="115"/>
      <c r="K438" s="115"/>
      <c r="L438" s="71"/>
      <c r="M438" s="16"/>
    </row>
    <row r="439" spans="1:13">
      <c r="A439" s="15"/>
      <c r="B439" s="15"/>
      <c r="C439" s="114"/>
      <c r="D439" s="114"/>
      <c r="E439" s="114"/>
      <c r="F439" s="114"/>
      <c r="G439" s="379"/>
      <c r="H439" s="115" t="str">
        <f>Master!AN11</f>
        <v>Opp.Infosys Limited,Gachibowli,Hyderabad</v>
      </c>
      <c r="I439" s="115"/>
      <c r="J439" s="115"/>
      <c r="K439" s="115"/>
      <c r="L439" s="71"/>
      <c r="M439" s="16"/>
    </row>
    <row r="440" spans="1:13">
      <c r="A440" s="15"/>
      <c r="B440" s="383"/>
      <c r="C440" s="19"/>
      <c r="D440" s="19"/>
      <c r="E440" s="19"/>
      <c r="F440" s="19"/>
      <c r="G440" s="61"/>
      <c r="H440" s="79"/>
      <c r="I440" s="79"/>
      <c r="J440" s="79"/>
      <c r="K440" s="79"/>
      <c r="L440" s="385"/>
      <c r="M440" s="16"/>
    </row>
    <row r="441" spans="1:13" ht="30" customHeight="1">
      <c r="A441" s="15"/>
      <c r="B441" s="948" t="s">
        <v>105</v>
      </c>
      <c r="C441" s="949"/>
      <c r="D441" s="949"/>
      <c r="E441" s="949"/>
      <c r="F441" s="949"/>
      <c r="G441" s="949"/>
      <c r="H441" s="950" t="str">
        <f>Master!D24</f>
        <v>Nagani pochaiah</v>
      </c>
      <c r="I441" s="951"/>
      <c r="J441" s="951"/>
      <c r="K441" s="951"/>
      <c r="L441" s="952"/>
      <c r="M441" s="16"/>
    </row>
    <row r="442" spans="1:13" ht="30" customHeight="1">
      <c r="A442" s="15"/>
      <c r="B442" s="948"/>
      <c r="C442" s="949"/>
      <c r="D442" s="949"/>
      <c r="E442" s="949"/>
      <c r="F442" s="949"/>
      <c r="G442" s="949"/>
      <c r="H442" s="950" t="str">
        <f>Master!K24</f>
        <v xml:space="preserve">H.no.3-18, </v>
      </c>
      <c r="I442" s="951"/>
      <c r="J442" s="951"/>
      <c r="K442" s="951"/>
      <c r="L442" s="952"/>
      <c r="M442" s="16"/>
    </row>
    <row r="443" spans="1:13" ht="30" customHeight="1">
      <c r="A443" s="15"/>
      <c r="B443" s="948"/>
      <c r="C443" s="949"/>
      <c r="D443" s="949"/>
      <c r="E443" s="949"/>
      <c r="F443" s="949"/>
      <c r="G443" s="949"/>
      <c r="H443" s="950" t="str">
        <f>Master!L24</f>
        <v>Madaram,Medhak</v>
      </c>
      <c r="I443" s="951"/>
      <c r="J443" s="951"/>
      <c r="K443" s="951"/>
      <c r="L443" s="952"/>
      <c r="M443" s="16"/>
    </row>
    <row r="444" spans="1:13" ht="30" customHeight="1">
      <c r="A444" s="15"/>
      <c r="B444" s="948"/>
      <c r="C444" s="949"/>
      <c r="D444" s="949"/>
      <c r="E444" s="949"/>
      <c r="F444" s="949"/>
      <c r="G444" s="949"/>
      <c r="H444" s="950" t="str">
        <f>Master!M24</f>
        <v>TS-502319</v>
      </c>
      <c r="I444" s="951"/>
      <c r="J444" s="951"/>
      <c r="K444" s="951"/>
      <c r="L444" s="952"/>
      <c r="M444" s="16"/>
    </row>
    <row r="445" spans="1:13" ht="30" customHeight="1">
      <c r="A445" s="73"/>
      <c r="B445" s="948"/>
      <c r="C445" s="949"/>
      <c r="D445" s="949"/>
      <c r="E445" s="949"/>
      <c r="F445" s="949"/>
      <c r="G445" s="949"/>
      <c r="H445" s="989">
        <f>Master!N560</f>
        <v>0</v>
      </c>
      <c r="I445" s="990"/>
      <c r="J445" s="990"/>
      <c r="K445" s="990"/>
      <c r="L445" s="991"/>
      <c r="M445" s="16"/>
    </row>
    <row r="446" spans="1:13" ht="30" customHeight="1">
      <c r="A446" s="73"/>
      <c r="B446" s="984" t="s">
        <v>106</v>
      </c>
      <c r="C446" s="985"/>
      <c r="D446" s="985"/>
      <c r="E446" s="985"/>
      <c r="F446" s="985"/>
      <c r="G446" s="985"/>
      <c r="H446" s="947">
        <f>Master!C24</f>
        <v>13</v>
      </c>
      <c r="I446" s="945"/>
      <c r="J446" s="945"/>
      <c r="K446" s="945"/>
      <c r="L446" s="946"/>
      <c r="M446" s="16"/>
    </row>
    <row r="447" spans="1:13" ht="30" customHeight="1">
      <c r="A447" s="73"/>
      <c r="B447" s="943" t="s">
        <v>107</v>
      </c>
      <c r="C447" s="944"/>
      <c r="D447" s="944"/>
      <c r="E447" s="944"/>
      <c r="F447" s="944"/>
      <c r="G447" s="944"/>
      <c r="H447" s="947" t="str">
        <f>Master!J24</f>
        <v>Semi Skilled Gardner</v>
      </c>
      <c r="I447" s="945"/>
      <c r="J447" s="945"/>
      <c r="K447" s="945"/>
      <c r="L447" s="946"/>
      <c r="M447" s="16"/>
    </row>
    <row r="448" spans="1:13" ht="30" customHeight="1">
      <c r="A448" s="73"/>
      <c r="B448" s="943" t="s">
        <v>108</v>
      </c>
      <c r="C448" s="944"/>
      <c r="D448" s="944"/>
      <c r="E448" s="944"/>
      <c r="F448" s="944"/>
      <c r="G448" s="944"/>
      <c r="H448" s="957">
        <f>Master!S24</f>
        <v>43850</v>
      </c>
      <c r="I448" s="958"/>
      <c r="J448" s="958"/>
      <c r="K448" s="958"/>
      <c r="L448" s="959"/>
      <c r="M448" s="16"/>
    </row>
    <row r="449" spans="1:13" ht="30" customHeight="1">
      <c r="A449" s="73"/>
      <c r="B449" s="386" t="s">
        <v>109</v>
      </c>
      <c r="C449" s="116"/>
      <c r="D449" s="116"/>
      <c r="E449" s="116"/>
      <c r="F449" s="116"/>
      <c r="G449" s="116"/>
      <c r="H449" s="947">
        <f>Master!Y24</f>
        <v>5212759307</v>
      </c>
      <c r="I449" s="947"/>
      <c r="J449" s="947"/>
      <c r="K449" s="947"/>
      <c r="L449" s="953"/>
      <c r="M449" s="16"/>
    </row>
    <row r="450" spans="1:13" ht="30" customHeight="1">
      <c r="A450" s="73"/>
      <c r="B450" s="386" t="s">
        <v>110</v>
      </c>
      <c r="C450" s="116"/>
      <c r="D450" s="116"/>
      <c r="E450" s="116"/>
      <c r="F450" s="116"/>
      <c r="G450" s="119"/>
      <c r="H450" s="947" t="str">
        <f>Master!X24</f>
        <v>100993759408</v>
      </c>
      <c r="I450" s="947"/>
      <c r="J450" s="947"/>
      <c r="K450" s="947"/>
      <c r="L450" s="953"/>
      <c r="M450" s="16"/>
    </row>
    <row r="451" spans="1:13" ht="30" customHeight="1">
      <c r="A451" s="73"/>
      <c r="B451" s="954" t="s">
        <v>111</v>
      </c>
      <c r="C451" s="955"/>
      <c r="D451" s="955"/>
      <c r="E451" s="955"/>
      <c r="F451" s="955"/>
      <c r="G451" s="955"/>
      <c r="H451" s="950">
        <f>Master!AC24</f>
        <v>11459</v>
      </c>
      <c r="I451" s="951"/>
      <c r="J451" s="951"/>
      <c r="K451" s="951"/>
      <c r="L451" s="952"/>
      <c r="M451" s="16"/>
    </row>
    <row r="452" spans="1:13" ht="30" customHeight="1">
      <c r="A452" s="73"/>
      <c r="B452" s="943" t="s">
        <v>112</v>
      </c>
      <c r="C452" s="944"/>
      <c r="D452" s="944"/>
      <c r="E452" s="944"/>
      <c r="F452" s="944"/>
      <c r="G452" s="944"/>
      <c r="H452" s="956">
        <f>Master!F10</f>
        <v>44652</v>
      </c>
      <c r="I452" s="945"/>
      <c r="J452" s="945"/>
      <c r="K452" s="945"/>
      <c r="L452" s="946"/>
      <c r="M452" s="16"/>
    </row>
    <row r="453" spans="1:13" ht="30" customHeight="1">
      <c r="A453" s="15"/>
      <c r="B453" s="943" t="s">
        <v>113</v>
      </c>
      <c r="C453" s="944"/>
      <c r="D453" s="944"/>
      <c r="E453" s="944"/>
      <c r="F453" s="944"/>
      <c r="G453" s="944"/>
      <c r="H453" s="945" t="s">
        <v>114</v>
      </c>
      <c r="I453" s="945"/>
      <c r="J453" s="945"/>
      <c r="K453" s="945"/>
      <c r="L453" s="946"/>
      <c r="M453" s="16"/>
    </row>
    <row r="454" spans="1:13" ht="30" customHeight="1">
      <c r="A454" s="15"/>
      <c r="B454" s="386" t="s">
        <v>115</v>
      </c>
      <c r="C454" s="116"/>
      <c r="D454" s="116"/>
      <c r="E454" s="116"/>
      <c r="F454" s="116"/>
      <c r="G454" s="119"/>
      <c r="H454" s="947">
        <f>Master!AA24</f>
        <v>26</v>
      </c>
      <c r="I454" s="945"/>
      <c r="J454" s="945"/>
      <c r="K454" s="945"/>
      <c r="L454" s="946"/>
      <c r="M454" s="16"/>
    </row>
    <row r="455" spans="1:13" ht="30" customHeight="1">
      <c r="A455" s="15"/>
      <c r="B455" s="386" t="s">
        <v>116</v>
      </c>
      <c r="C455" s="116"/>
      <c r="D455" s="116"/>
      <c r="E455" s="116"/>
      <c r="F455" s="116"/>
      <c r="G455" s="119"/>
      <c r="H455" s="986" t="s">
        <v>28</v>
      </c>
      <c r="I455" s="987"/>
      <c r="J455" s="987"/>
      <c r="K455" s="987"/>
      <c r="L455" s="988"/>
      <c r="M455" s="16"/>
    </row>
    <row r="456" spans="1:13" ht="30" customHeight="1">
      <c r="A456" s="15"/>
      <c r="B456" s="386" t="s">
        <v>117</v>
      </c>
      <c r="C456" s="116"/>
      <c r="D456" s="116"/>
      <c r="E456" s="116"/>
      <c r="F456" s="116"/>
      <c r="G456" s="119"/>
      <c r="H456" s="989">
        <v>0</v>
      </c>
      <c r="I456" s="990"/>
      <c r="J456" s="990"/>
      <c r="K456" s="990"/>
      <c r="L456" s="991"/>
      <c r="M456" s="16"/>
    </row>
    <row r="457" spans="1:13" ht="30" customHeight="1">
      <c r="A457" s="15"/>
      <c r="B457" s="386" t="s">
        <v>118</v>
      </c>
      <c r="C457" s="116"/>
      <c r="D457" s="116"/>
      <c r="E457" s="116"/>
      <c r="F457" s="116"/>
      <c r="G457" s="119"/>
      <c r="H457" s="986">
        <v>0</v>
      </c>
      <c r="I457" s="987"/>
      <c r="J457" s="987"/>
      <c r="K457" s="987"/>
      <c r="L457" s="988"/>
      <c r="M457" s="16"/>
    </row>
    <row r="458" spans="1:13" ht="30" customHeight="1">
      <c r="A458" s="15"/>
      <c r="B458" s="386" t="s">
        <v>119</v>
      </c>
      <c r="C458" s="116"/>
      <c r="D458" s="116"/>
      <c r="E458" s="116"/>
      <c r="F458" s="116"/>
      <c r="G458" s="119"/>
      <c r="H458" s="117"/>
      <c r="I458" s="118"/>
      <c r="J458" s="990">
        <f>Master!AK24</f>
        <v>9932.4666666666653</v>
      </c>
      <c r="K458" s="992"/>
      <c r="L458" s="581" t="s">
        <v>737</v>
      </c>
      <c r="M458" s="16"/>
    </row>
    <row r="459" spans="1:13" ht="30" customHeight="1">
      <c r="A459" s="15"/>
      <c r="B459" s="386" t="s">
        <v>120</v>
      </c>
      <c r="C459" s="116"/>
      <c r="D459" s="465" t="s">
        <v>24</v>
      </c>
      <c r="E459" s="466">
        <f>Master!AM24</f>
        <v>1192</v>
      </c>
      <c r="F459" s="465" t="s">
        <v>23</v>
      </c>
      <c r="G459" s="466">
        <f>Master!AL24</f>
        <v>75</v>
      </c>
      <c r="H459" s="465" t="s">
        <v>25</v>
      </c>
      <c r="I459" s="466">
        <f>Master!AN24</f>
        <v>0</v>
      </c>
      <c r="J459" s="465" t="s">
        <v>26</v>
      </c>
      <c r="K459" s="466">
        <f>Master!AO24</f>
        <v>0</v>
      </c>
      <c r="L459" s="400">
        <f>Master!AP24</f>
        <v>0</v>
      </c>
      <c r="M459" s="16"/>
    </row>
    <row r="460" spans="1:13" ht="30" customHeight="1">
      <c r="A460" s="15"/>
      <c r="B460" s="386" t="s">
        <v>121</v>
      </c>
      <c r="C460" s="116"/>
      <c r="D460" s="116"/>
      <c r="E460" s="116"/>
      <c r="F460" s="116"/>
      <c r="G460" s="119"/>
      <c r="H460" s="117"/>
      <c r="I460" s="118"/>
      <c r="J460" s="541">
        <f>Master!AR24</f>
        <v>8665.4666666666653</v>
      </c>
      <c r="K460" s="118"/>
      <c r="L460" s="125"/>
      <c r="M460" s="16"/>
    </row>
    <row r="461" spans="1:13">
      <c r="A461" s="15"/>
      <c r="B461" s="387" t="s">
        <v>122</v>
      </c>
      <c r="C461" s="74"/>
      <c r="D461" s="74"/>
      <c r="E461" s="74"/>
      <c r="F461" s="74"/>
      <c r="G461" s="75"/>
      <c r="H461" s="76"/>
      <c r="I461" s="77"/>
      <c r="J461" s="77"/>
      <c r="K461" s="77"/>
      <c r="L461" s="78"/>
      <c r="M461" s="16"/>
    </row>
    <row r="462" spans="1:13">
      <c r="A462" s="15"/>
      <c r="B462" s="388" t="s">
        <v>123</v>
      </c>
      <c r="C462" s="79"/>
      <c r="D462" s="79"/>
      <c r="E462" s="79"/>
      <c r="F462" s="79"/>
      <c r="G462" s="80"/>
      <c r="H462" s="60"/>
      <c r="I462" s="19"/>
      <c r="J462" s="19"/>
      <c r="K462" s="19"/>
      <c r="L462" s="81"/>
      <c r="M462" s="16"/>
    </row>
    <row r="463" spans="1:13">
      <c r="A463" s="15"/>
      <c r="B463" s="15"/>
      <c r="C463" s="114"/>
      <c r="D463" s="114"/>
      <c r="E463" s="114"/>
      <c r="F463" s="114"/>
      <c r="G463" s="114"/>
      <c r="H463" s="114"/>
      <c r="I463" s="114"/>
      <c r="J463" s="114"/>
      <c r="K463" s="114"/>
      <c r="L463" s="16"/>
      <c r="M463" s="16"/>
    </row>
    <row r="464" spans="1:13" ht="15" thickBot="1">
      <c r="A464" s="27"/>
      <c r="B464" s="27"/>
      <c r="C464" s="25"/>
      <c r="D464" s="25"/>
      <c r="E464" s="25"/>
      <c r="F464" s="25"/>
      <c r="G464" s="25"/>
      <c r="H464" s="25"/>
      <c r="I464" s="25"/>
      <c r="J464" s="25"/>
      <c r="K464" s="25"/>
      <c r="L464" s="26"/>
      <c r="M464" s="26"/>
    </row>
    <row r="465" spans="1:13">
      <c r="A465" s="420"/>
      <c r="B465" s="420"/>
      <c r="C465" s="420"/>
      <c r="D465" s="420"/>
      <c r="E465" s="420"/>
      <c r="F465" s="420"/>
      <c r="G465" s="420"/>
      <c r="H465" s="420"/>
      <c r="I465" s="420"/>
      <c r="J465" s="420"/>
      <c r="K465" s="420"/>
      <c r="L465" s="420"/>
      <c r="M465" s="420"/>
    </row>
    <row r="466" spans="1:13">
      <c r="A466" s="420"/>
      <c r="B466" s="420"/>
      <c r="C466" s="420"/>
      <c r="D466" s="420"/>
      <c r="E466" s="420"/>
      <c r="F466" s="420"/>
      <c r="G466" s="420"/>
      <c r="H466" s="420"/>
      <c r="I466" s="420"/>
      <c r="J466" s="420"/>
      <c r="K466" s="420"/>
      <c r="L466" s="420"/>
      <c r="M466" s="420"/>
    </row>
    <row r="467" spans="1:13">
      <c r="A467" s="420"/>
      <c r="B467" s="420"/>
      <c r="C467" s="420"/>
      <c r="D467" s="420"/>
      <c r="E467" s="420"/>
      <c r="F467" s="420"/>
      <c r="G467" s="420"/>
      <c r="H467" s="420"/>
      <c r="I467" s="420"/>
      <c r="J467" s="420"/>
      <c r="K467" s="420"/>
      <c r="L467" s="420"/>
      <c r="M467" s="420"/>
    </row>
    <row r="468" spans="1:13">
      <c r="A468" s="420"/>
      <c r="B468" s="420"/>
      <c r="C468" s="420"/>
      <c r="D468" s="420"/>
      <c r="E468" s="420"/>
      <c r="F468" s="420"/>
      <c r="G468" s="420"/>
      <c r="H468" s="420"/>
      <c r="I468" s="420"/>
      <c r="J468" s="420"/>
      <c r="K468" s="420"/>
      <c r="L468" s="420"/>
      <c r="M468" s="420"/>
    </row>
    <row r="469" spans="1:13" ht="15" thickBot="1">
      <c r="A469" s="420"/>
      <c r="B469" s="420"/>
      <c r="C469" s="420"/>
      <c r="D469" s="420"/>
      <c r="E469" s="420"/>
      <c r="F469" s="420"/>
      <c r="G469" s="420"/>
      <c r="H469" s="420"/>
      <c r="I469" s="420"/>
      <c r="J469" s="420"/>
      <c r="K469" s="420"/>
      <c r="L469" s="420"/>
      <c r="M469" s="420"/>
    </row>
    <row r="470" spans="1:13" ht="32.4">
      <c r="A470" s="68"/>
      <c r="B470" s="960" t="s">
        <v>99</v>
      </c>
      <c r="C470" s="961"/>
      <c r="D470" s="961"/>
      <c r="E470" s="961"/>
      <c r="F470" s="961"/>
      <c r="G470" s="961"/>
      <c r="H470" s="961"/>
      <c r="I470" s="961"/>
      <c r="J470" s="961"/>
      <c r="K470" s="961"/>
      <c r="L470" s="962"/>
      <c r="M470" s="69"/>
    </row>
    <row r="471" spans="1:13" ht="23.4">
      <c r="A471" s="15"/>
      <c r="B471" s="963" t="s">
        <v>100</v>
      </c>
      <c r="C471" s="964"/>
      <c r="D471" s="964"/>
      <c r="E471" s="964"/>
      <c r="F471" s="964"/>
      <c r="G471" s="964"/>
      <c r="H471" s="964"/>
      <c r="I471" s="964"/>
      <c r="J471" s="964"/>
      <c r="K471" s="964"/>
      <c r="L471" s="965"/>
      <c r="M471" s="16"/>
    </row>
    <row r="472" spans="1:13" ht="15.6">
      <c r="A472" s="15"/>
      <c r="B472" s="966" t="s">
        <v>1070</v>
      </c>
      <c r="C472" s="967"/>
      <c r="D472" s="967"/>
      <c r="E472" s="967"/>
      <c r="F472" s="967"/>
      <c r="G472" s="967"/>
      <c r="H472" s="968"/>
      <c r="I472" s="968"/>
      <c r="J472" s="968"/>
      <c r="K472" s="968"/>
      <c r="L472" s="969"/>
      <c r="M472" s="16"/>
    </row>
    <row r="473" spans="1:13">
      <c r="A473" s="15"/>
      <c r="B473" s="970" t="s">
        <v>101</v>
      </c>
      <c r="C473" s="971"/>
      <c r="D473" s="971"/>
      <c r="E473" s="971"/>
      <c r="F473" s="971"/>
      <c r="G473" s="391"/>
      <c r="H473" s="974" t="s">
        <v>102</v>
      </c>
      <c r="I473" s="975"/>
      <c r="J473" s="975"/>
      <c r="K473" s="975"/>
      <c r="L473" s="976"/>
      <c r="M473" s="16"/>
    </row>
    <row r="474" spans="1:13">
      <c r="A474" s="15"/>
      <c r="B474" s="972"/>
      <c r="C474" s="973"/>
      <c r="D474" s="973"/>
      <c r="E474" s="973"/>
      <c r="F474" s="973"/>
      <c r="G474" s="395"/>
      <c r="H474" s="977"/>
      <c r="I474" s="978"/>
      <c r="J474" s="978"/>
      <c r="K474" s="978"/>
      <c r="L474" s="979"/>
      <c r="M474" s="16"/>
    </row>
    <row r="475" spans="1:13">
      <c r="A475" s="15"/>
      <c r="B475" s="382"/>
      <c r="C475" s="77"/>
      <c r="D475" s="77"/>
      <c r="E475" s="77"/>
      <c r="F475" s="77"/>
      <c r="G475" s="56"/>
      <c r="H475" s="76"/>
      <c r="I475" s="77"/>
      <c r="J475" s="77"/>
      <c r="K475" s="77"/>
      <c r="L475" s="78"/>
      <c r="M475" s="16"/>
    </row>
    <row r="476" spans="1:13">
      <c r="A476" s="15"/>
      <c r="B476" s="378" t="str">
        <f>Master!F5</f>
        <v>GROTECH LANDSCAPE DEVELOPERS PVT. LTD.</v>
      </c>
      <c r="C476" s="114"/>
      <c r="D476" s="114"/>
      <c r="E476" s="114"/>
      <c r="F476" s="114"/>
      <c r="G476" s="379"/>
      <c r="H476" s="381" t="str">
        <f>Master!AN5</f>
        <v>GROTECH LANDSCAPE DEVELOPERS PVT. LTD.</v>
      </c>
      <c r="I476" s="114"/>
      <c r="J476" s="114"/>
      <c r="K476" s="114"/>
      <c r="L476" s="16"/>
      <c r="M476" s="16"/>
    </row>
    <row r="477" spans="1:13">
      <c r="A477" s="15"/>
      <c r="B477" s="15"/>
      <c r="C477" s="114"/>
      <c r="D477" s="114"/>
      <c r="E477" s="114"/>
      <c r="F477" s="114"/>
      <c r="G477" s="379"/>
      <c r="H477" s="380"/>
      <c r="I477" s="114"/>
      <c r="J477" s="114"/>
      <c r="K477" s="114"/>
      <c r="L477" s="16"/>
      <c r="M477" s="16"/>
    </row>
    <row r="478" spans="1:13">
      <c r="A478" s="15"/>
      <c r="B478" s="538" t="str">
        <f>Master!F6</f>
        <v>290/E, Khanapur Village, Gandipet Mandal, Ranga Reddy, Hyderabad-500075 T.S.</v>
      </c>
      <c r="C478" s="114"/>
      <c r="D478" s="114"/>
      <c r="E478" s="114"/>
      <c r="F478" s="114"/>
      <c r="G478" s="379"/>
      <c r="H478" s="539" t="str">
        <f>Master!AN6</f>
        <v>290/E, Khanapur Village, Gandipet Mandal, Ranga Reddy, Hyderabad-500075 T.S.</v>
      </c>
      <c r="I478" s="114"/>
      <c r="J478" s="114"/>
      <c r="K478" s="114"/>
      <c r="L478" s="16"/>
      <c r="M478" s="16"/>
    </row>
    <row r="479" spans="1:13">
      <c r="A479" s="15"/>
      <c r="B479" s="383"/>
      <c r="C479" s="19"/>
      <c r="D479" s="19"/>
      <c r="E479" s="19"/>
      <c r="F479" s="19"/>
      <c r="G479" s="61"/>
      <c r="H479" s="60"/>
      <c r="I479" s="19"/>
      <c r="J479" s="19"/>
      <c r="K479" s="19"/>
      <c r="L479" s="81"/>
      <c r="M479" s="16"/>
    </row>
    <row r="480" spans="1:13">
      <c r="A480" s="15"/>
      <c r="B480" s="389"/>
      <c r="C480" s="390"/>
      <c r="D480" s="390"/>
      <c r="E480" s="390"/>
      <c r="F480" s="390"/>
      <c r="G480" s="391"/>
      <c r="H480" s="396"/>
      <c r="I480" s="390"/>
      <c r="J480" s="390" t="s">
        <v>103</v>
      </c>
      <c r="K480" s="390"/>
      <c r="L480" s="397"/>
      <c r="M480" s="16"/>
    </row>
    <row r="481" spans="1:13">
      <c r="A481" s="15"/>
      <c r="B481" s="980" t="s">
        <v>104</v>
      </c>
      <c r="C481" s="981"/>
      <c r="D481" s="981"/>
      <c r="E481" s="981"/>
      <c r="F481" s="981"/>
      <c r="G481" s="392"/>
      <c r="H481" s="982" t="s">
        <v>4</v>
      </c>
      <c r="I481" s="981"/>
      <c r="J481" s="981"/>
      <c r="K481" s="981"/>
      <c r="L481" s="983"/>
      <c r="M481" s="16"/>
    </row>
    <row r="482" spans="1:13">
      <c r="A482" s="15"/>
      <c r="B482" s="393"/>
      <c r="C482" s="394"/>
      <c r="D482" s="394"/>
      <c r="E482" s="394"/>
      <c r="F482" s="394"/>
      <c r="G482" s="395"/>
      <c r="H482" s="398"/>
      <c r="I482" s="394"/>
      <c r="J482" s="394"/>
      <c r="K482" s="394"/>
      <c r="L482" s="399"/>
      <c r="M482" s="16"/>
    </row>
    <row r="483" spans="1:13">
      <c r="A483" s="15"/>
      <c r="B483" s="382"/>
      <c r="C483" s="77"/>
      <c r="D483" s="77"/>
      <c r="E483" s="77"/>
      <c r="F483" s="77"/>
      <c r="G483" s="56"/>
      <c r="H483" s="74"/>
      <c r="I483" s="74"/>
      <c r="J483" s="74"/>
      <c r="K483" s="74"/>
      <c r="L483" s="384"/>
      <c r="M483" s="16"/>
    </row>
    <row r="484" spans="1:13">
      <c r="A484" s="15"/>
      <c r="B484" s="15"/>
      <c r="C484" s="114"/>
      <c r="D484" s="114"/>
      <c r="E484" s="114"/>
      <c r="F484" s="114"/>
      <c r="G484" s="379"/>
      <c r="H484" s="115" t="str">
        <f>Master!AN10</f>
        <v>INDIAN SCHOOL OF BUSINESS</v>
      </c>
      <c r="I484" s="115"/>
      <c r="J484" s="115"/>
      <c r="K484" s="115"/>
      <c r="L484" s="71"/>
      <c r="M484" s="16"/>
    </row>
    <row r="485" spans="1:13">
      <c r="A485" s="15"/>
      <c r="B485" s="70" t="str">
        <f>Master!F8</f>
        <v>GARDENING SERVICES&amp;ISB HYDERABAD</v>
      </c>
      <c r="C485" s="114"/>
      <c r="D485" s="114"/>
      <c r="E485" s="114"/>
      <c r="F485" s="114"/>
      <c r="G485" s="379"/>
      <c r="H485" s="115"/>
      <c r="I485" s="115"/>
      <c r="J485" s="115"/>
      <c r="K485" s="115"/>
      <c r="L485" s="71"/>
      <c r="M485" s="16"/>
    </row>
    <row r="486" spans="1:13">
      <c r="A486" s="15"/>
      <c r="B486" s="15"/>
      <c r="C486" s="114"/>
      <c r="D486" s="114"/>
      <c r="E486" s="114"/>
      <c r="F486" s="114"/>
      <c r="G486" s="379"/>
      <c r="H486" s="115" t="str">
        <f>Master!AN11</f>
        <v>Opp.Infosys Limited,Gachibowli,Hyderabad</v>
      </c>
      <c r="I486" s="115"/>
      <c r="J486" s="115"/>
      <c r="K486" s="115"/>
      <c r="L486" s="71"/>
      <c r="M486" s="16"/>
    </row>
    <row r="487" spans="1:13">
      <c r="A487" s="15"/>
      <c r="B487" s="383"/>
      <c r="C487" s="19"/>
      <c r="D487" s="19"/>
      <c r="E487" s="19"/>
      <c r="F487" s="19"/>
      <c r="G487" s="61"/>
      <c r="H487" s="79"/>
      <c r="I487" s="79"/>
      <c r="J487" s="79"/>
      <c r="K487" s="79"/>
      <c r="L487" s="385"/>
      <c r="M487" s="16"/>
    </row>
    <row r="488" spans="1:13" ht="30" customHeight="1">
      <c r="A488" s="15"/>
      <c r="B488" s="948" t="s">
        <v>105</v>
      </c>
      <c r="C488" s="949"/>
      <c r="D488" s="949"/>
      <c r="E488" s="949"/>
      <c r="F488" s="949"/>
      <c r="G488" s="949"/>
      <c r="H488" s="950" t="str">
        <f>Master!D25</f>
        <v>Mutholla Mallesh</v>
      </c>
      <c r="I488" s="951"/>
      <c r="J488" s="951"/>
      <c r="K488" s="951"/>
      <c r="L488" s="952"/>
      <c r="M488" s="16"/>
    </row>
    <row r="489" spans="1:13" ht="30" customHeight="1">
      <c r="A489" s="15"/>
      <c r="B489" s="948"/>
      <c r="C489" s="949"/>
      <c r="D489" s="949"/>
      <c r="E489" s="949"/>
      <c r="F489" s="949"/>
      <c r="G489" s="949"/>
      <c r="H489" s="950" t="str">
        <f>Master!K25</f>
        <v>3-37,Jnakapet,</v>
      </c>
      <c r="I489" s="951"/>
      <c r="J489" s="951"/>
      <c r="K489" s="951"/>
      <c r="L489" s="952"/>
      <c r="M489" s="16"/>
    </row>
    <row r="490" spans="1:13" ht="30" customHeight="1">
      <c r="A490" s="15"/>
      <c r="B490" s="948"/>
      <c r="C490" s="949"/>
      <c r="D490" s="949"/>
      <c r="E490" s="949"/>
      <c r="F490" s="949"/>
      <c r="G490" s="949"/>
      <c r="H490" s="950" t="str">
        <f>Master!L25</f>
        <v>sulthanpur,Medhak</v>
      </c>
      <c r="I490" s="951"/>
      <c r="J490" s="951"/>
      <c r="K490" s="951"/>
      <c r="L490" s="952"/>
      <c r="M490" s="16"/>
    </row>
    <row r="491" spans="1:13" ht="30" customHeight="1">
      <c r="A491" s="15"/>
      <c r="B491" s="948"/>
      <c r="C491" s="949"/>
      <c r="D491" s="949"/>
      <c r="E491" s="949"/>
      <c r="F491" s="949"/>
      <c r="G491" s="949"/>
      <c r="H491" s="950" t="str">
        <f>Master!M25</f>
        <v>TS-502319</v>
      </c>
      <c r="I491" s="951"/>
      <c r="J491" s="951"/>
      <c r="K491" s="951"/>
      <c r="L491" s="952"/>
      <c r="M491" s="16"/>
    </row>
    <row r="492" spans="1:13" ht="30" customHeight="1">
      <c r="A492" s="73"/>
      <c r="B492" s="948"/>
      <c r="C492" s="949"/>
      <c r="D492" s="949"/>
      <c r="E492" s="949"/>
      <c r="F492" s="949"/>
      <c r="G492" s="949"/>
      <c r="H492" s="989">
        <f>Master!N628</f>
        <v>0</v>
      </c>
      <c r="I492" s="990"/>
      <c r="J492" s="990"/>
      <c r="K492" s="990"/>
      <c r="L492" s="991"/>
      <c r="M492" s="16"/>
    </row>
    <row r="493" spans="1:13" ht="30" customHeight="1">
      <c r="A493" s="73"/>
      <c r="B493" s="984" t="s">
        <v>106</v>
      </c>
      <c r="C493" s="985"/>
      <c r="D493" s="985"/>
      <c r="E493" s="985"/>
      <c r="F493" s="985"/>
      <c r="G493" s="985"/>
      <c r="H493" s="947">
        <f>Master!C25</f>
        <v>14</v>
      </c>
      <c r="I493" s="945"/>
      <c r="J493" s="945"/>
      <c r="K493" s="945"/>
      <c r="L493" s="946"/>
      <c r="M493" s="16"/>
    </row>
    <row r="494" spans="1:13" ht="30" customHeight="1">
      <c r="A494" s="73"/>
      <c r="B494" s="943" t="s">
        <v>107</v>
      </c>
      <c r="C494" s="944"/>
      <c r="D494" s="944"/>
      <c r="E494" s="944"/>
      <c r="F494" s="944"/>
      <c r="G494" s="944"/>
      <c r="H494" s="947" t="str">
        <f>Master!J25</f>
        <v>Semi Skilled Gardner</v>
      </c>
      <c r="I494" s="945"/>
      <c r="J494" s="945"/>
      <c r="K494" s="945"/>
      <c r="L494" s="946"/>
      <c r="M494" s="16"/>
    </row>
    <row r="495" spans="1:13" ht="30" customHeight="1">
      <c r="A495" s="73"/>
      <c r="B495" s="943" t="s">
        <v>108</v>
      </c>
      <c r="C495" s="944"/>
      <c r="D495" s="944"/>
      <c r="E495" s="944"/>
      <c r="F495" s="944"/>
      <c r="G495" s="944"/>
      <c r="H495" s="957">
        <f>Master!S25</f>
        <v>43850</v>
      </c>
      <c r="I495" s="958"/>
      <c r="J495" s="958"/>
      <c r="K495" s="958"/>
      <c r="L495" s="959"/>
      <c r="M495" s="16"/>
    </row>
    <row r="496" spans="1:13" ht="30" customHeight="1">
      <c r="A496" s="73"/>
      <c r="B496" s="386" t="s">
        <v>109</v>
      </c>
      <c r="C496" s="116"/>
      <c r="D496" s="116"/>
      <c r="E496" s="116"/>
      <c r="F496" s="116"/>
      <c r="G496" s="116"/>
      <c r="H496" s="947">
        <f>Master!Y25</f>
        <v>5216340493</v>
      </c>
      <c r="I496" s="947"/>
      <c r="J496" s="947"/>
      <c r="K496" s="947"/>
      <c r="L496" s="953"/>
      <c r="M496" s="16"/>
    </row>
    <row r="497" spans="1:13" ht="30" customHeight="1">
      <c r="A497" s="73"/>
      <c r="B497" s="386" t="s">
        <v>110</v>
      </c>
      <c r="C497" s="116"/>
      <c r="D497" s="116"/>
      <c r="E497" s="116"/>
      <c r="F497" s="116"/>
      <c r="G497" s="119"/>
      <c r="H497" s="947" t="str">
        <f>Master!X25</f>
        <v>101196116055</v>
      </c>
      <c r="I497" s="947"/>
      <c r="J497" s="947"/>
      <c r="K497" s="947"/>
      <c r="L497" s="953"/>
      <c r="M497" s="16"/>
    </row>
    <row r="498" spans="1:13" ht="30" customHeight="1">
      <c r="A498" s="73"/>
      <c r="B498" s="954" t="s">
        <v>111</v>
      </c>
      <c r="C498" s="955"/>
      <c r="D498" s="955"/>
      <c r="E498" s="955"/>
      <c r="F498" s="955"/>
      <c r="G498" s="955"/>
      <c r="H498" s="950">
        <f>Master!AC25</f>
        <v>11459</v>
      </c>
      <c r="I498" s="951"/>
      <c r="J498" s="951"/>
      <c r="K498" s="951"/>
      <c r="L498" s="952"/>
      <c r="M498" s="16"/>
    </row>
    <row r="499" spans="1:13" ht="30" customHeight="1">
      <c r="A499" s="73"/>
      <c r="B499" s="943" t="s">
        <v>112</v>
      </c>
      <c r="C499" s="944"/>
      <c r="D499" s="944"/>
      <c r="E499" s="944"/>
      <c r="F499" s="944"/>
      <c r="G499" s="944"/>
      <c r="H499" s="956">
        <f>Master!F10</f>
        <v>44652</v>
      </c>
      <c r="I499" s="945"/>
      <c r="J499" s="945"/>
      <c r="K499" s="945"/>
      <c r="L499" s="946"/>
      <c r="M499" s="16"/>
    </row>
    <row r="500" spans="1:13" ht="30" customHeight="1">
      <c r="A500" s="15"/>
      <c r="B500" s="943" t="s">
        <v>113</v>
      </c>
      <c r="C500" s="944"/>
      <c r="D500" s="944"/>
      <c r="E500" s="944"/>
      <c r="F500" s="944"/>
      <c r="G500" s="944"/>
      <c r="H500" s="945" t="s">
        <v>114</v>
      </c>
      <c r="I500" s="945"/>
      <c r="J500" s="945"/>
      <c r="K500" s="945"/>
      <c r="L500" s="946"/>
      <c r="M500" s="16"/>
    </row>
    <row r="501" spans="1:13" ht="30" customHeight="1">
      <c r="A501" s="15"/>
      <c r="B501" s="386" t="s">
        <v>115</v>
      </c>
      <c r="C501" s="116"/>
      <c r="D501" s="116"/>
      <c r="E501" s="116"/>
      <c r="F501" s="116"/>
      <c r="G501" s="119"/>
      <c r="H501" s="947">
        <f>Master!AA25</f>
        <v>26</v>
      </c>
      <c r="I501" s="945"/>
      <c r="J501" s="945"/>
      <c r="K501" s="945"/>
      <c r="L501" s="946"/>
      <c r="M501" s="16"/>
    </row>
    <row r="502" spans="1:13" ht="30" customHeight="1">
      <c r="A502" s="15"/>
      <c r="B502" s="386" t="s">
        <v>116</v>
      </c>
      <c r="C502" s="116"/>
      <c r="D502" s="116"/>
      <c r="E502" s="116"/>
      <c r="F502" s="116"/>
      <c r="G502" s="119"/>
      <c r="H502" s="986" t="s">
        <v>28</v>
      </c>
      <c r="I502" s="987"/>
      <c r="J502" s="987"/>
      <c r="K502" s="987"/>
      <c r="L502" s="988"/>
      <c r="M502" s="16"/>
    </row>
    <row r="503" spans="1:13" ht="30" customHeight="1">
      <c r="A503" s="15"/>
      <c r="B503" s="386" t="s">
        <v>117</v>
      </c>
      <c r="C503" s="116"/>
      <c r="D503" s="116"/>
      <c r="E503" s="116"/>
      <c r="F503" s="116"/>
      <c r="G503" s="119"/>
      <c r="H503" s="989">
        <v>0</v>
      </c>
      <c r="I503" s="990"/>
      <c r="J503" s="990"/>
      <c r="K503" s="990"/>
      <c r="L503" s="991"/>
      <c r="M503" s="16"/>
    </row>
    <row r="504" spans="1:13" ht="30" customHeight="1">
      <c r="A504" s="15"/>
      <c r="B504" s="386" t="s">
        <v>118</v>
      </c>
      <c r="C504" s="116"/>
      <c r="D504" s="116"/>
      <c r="E504" s="116"/>
      <c r="F504" s="116"/>
      <c r="G504" s="119"/>
      <c r="H504" s="986">
        <v>0</v>
      </c>
      <c r="I504" s="987"/>
      <c r="J504" s="987"/>
      <c r="K504" s="987"/>
      <c r="L504" s="988"/>
      <c r="M504" s="16"/>
    </row>
    <row r="505" spans="1:13" ht="30" customHeight="1">
      <c r="A505" s="15"/>
      <c r="B505" s="386" t="s">
        <v>119</v>
      </c>
      <c r="C505" s="116"/>
      <c r="D505" s="116"/>
      <c r="E505" s="116"/>
      <c r="F505" s="116"/>
      <c r="G505" s="119"/>
      <c r="H505" s="117"/>
      <c r="I505" s="118"/>
      <c r="J505" s="990">
        <f>Master!AK25</f>
        <v>9932.4666666666653</v>
      </c>
      <c r="K505" s="992"/>
      <c r="L505" s="581" t="s">
        <v>737</v>
      </c>
      <c r="M505" s="16"/>
    </row>
    <row r="506" spans="1:13" ht="30" customHeight="1">
      <c r="A506" s="15"/>
      <c r="B506" s="386" t="s">
        <v>120</v>
      </c>
      <c r="C506" s="116"/>
      <c r="D506" s="465" t="s">
        <v>24</v>
      </c>
      <c r="E506" s="466">
        <f>Master!AM25</f>
        <v>1192</v>
      </c>
      <c r="F506" s="465" t="s">
        <v>23</v>
      </c>
      <c r="G506" s="466">
        <f>Master!AL25</f>
        <v>75</v>
      </c>
      <c r="H506" s="465" t="s">
        <v>25</v>
      </c>
      <c r="I506" s="466">
        <f>Master!AN25</f>
        <v>0</v>
      </c>
      <c r="J506" s="465" t="s">
        <v>26</v>
      </c>
      <c r="K506" s="466">
        <f>Master!AO25</f>
        <v>0</v>
      </c>
      <c r="L506" s="400">
        <f>Master!AP25</f>
        <v>0</v>
      </c>
      <c r="M506" s="16"/>
    </row>
    <row r="507" spans="1:13" ht="30" customHeight="1">
      <c r="A507" s="15"/>
      <c r="B507" s="386" t="s">
        <v>121</v>
      </c>
      <c r="C507" s="116"/>
      <c r="D507" s="116"/>
      <c r="E507" s="116"/>
      <c r="F507" s="116"/>
      <c r="G507" s="119"/>
      <c r="H507" s="117"/>
      <c r="I507" s="118"/>
      <c r="J507" s="541">
        <f>Master!AR25</f>
        <v>8665.4666666666653</v>
      </c>
      <c r="K507" s="118"/>
      <c r="L507" s="125"/>
      <c r="M507" s="16"/>
    </row>
    <row r="508" spans="1:13">
      <c r="A508" s="15"/>
      <c r="B508" s="387" t="s">
        <v>122</v>
      </c>
      <c r="C508" s="74"/>
      <c r="D508" s="74"/>
      <c r="E508" s="74"/>
      <c r="F508" s="74"/>
      <c r="G508" s="75"/>
      <c r="H508" s="76"/>
      <c r="I508" s="77"/>
      <c r="J508" s="77"/>
      <c r="K508" s="77"/>
      <c r="L508" s="78"/>
      <c r="M508" s="16"/>
    </row>
    <row r="509" spans="1:13">
      <c r="A509" s="15"/>
      <c r="B509" s="388" t="s">
        <v>123</v>
      </c>
      <c r="C509" s="79"/>
      <c r="D509" s="79"/>
      <c r="E509" s="79"/>
      <c r="F509" s="79"/>
      <c r="G509" s="80"/>
      <c r="H509" s="60"/>
      <c r="I509" s="19"/>
      <c r="J509" s="19"/>
      <c r="K509" s="19"/>
      <c r="L509" s="81"/>
      <c r="M509" s="16"/>
    </row>
    <row r="510" spans="1:13">
      <c r="A510" s="15"/>
      <c r="B510" s="15"/>
      <c r="C510" s="114"/>
      <c r="D510" s="114"/>
      <c r="E510" s="114"/>
      <c r="F510" s="114"/>
      <c r="G510" s="114"/>
      <c r="H510" s="114"/>
      <c r="I510" s="114"/>
      <c r="J510" s="114"/>
      <c r="K510" s="114"/>
      <c r="L510" s="16"/>
      <c r="M510" s="16"/>
    </row>
    <row r="511" spans="1:13" ht="15" thickBot="1">
      <c r="A511" s="27"/>
      <c r="B511" s="27"/>
      <c r="C511" s="25"/>
      <c r="D511" s="25"/>
      <c r="E511" s="25"/>
      <c r="F511" s="25"/>
      <c r="G511" s="25"/>
      <c r="H511" s="25"/>
      <c r="I511" s="25"/>
      <c r="J511" s="25"/>
      <c r="K511" s="25"/>
      <c r="L511" s="26"/>
      <c r="M511" s="26"/>
    </row>
    <row r="512" spans="1:13">
      <c r="A512" s="420"/>
      <c r="B512" s="420"/>
      <c r="C512" s="420"/>
      <c r="D512" s="420"/>
      <c r="E512" s="420"/>
      <c r="F512" s="420"/>
      <c r="G512" s="420"/>
      <c r="H512" s="420"/>
      <c r="I512" s="420"/>
      <c r="J512" s="420"/>
      <c r="K512" s="420"/>
      <c r="L512" s="420"/>
      <c r="M512" s="420"/>
    </row>
    <row r="513" spans="1:13">
      <c r="A513" s="420"/>
      <c r="B513" s="420"/>
      <c r="C513" s="420"/>
      <c r="D513" s="420"/>
      <c r="E513" s="420"/>
      <c r="F513" s="420"/>
      <c r="G513" s="420"/>
      <c r="H513" s="420"/>
      <c r="I513" s="420"/>
      <c r="J513" s="420"/>
      <c r="K513" s="420"/>
      <c r="L513" s="420"/>
      <c r="M513" s="420"/>
    </row>
    <row r="514" spans="1:13">
      <c r="A514" s="420"/>
      <c r="B514" s="420"/>
      <c r="C514" s="420"/>
      <c r="D514" s="420"/>
      <c r="E514" s="420"/>
      <c r="F514" s="420"/>
      <c r="G514" s="420"/>
      <c r="H514" s="420"/>
      <c r="I514" s="420"/>
      <c r="J514" s="420"/>
      <c r="K514" s="420"/>
      <c r="L514" s="420"/>
      <c r="M514" s="420"/>
    </row>
    <row r="515" spans="1:13">
      <c r="A515" s="420"/>
      <c r="B515" s="420"/>
      <c r="C515" s="420"/>
      <c r="D515" s="420"/>
      <c r="E515" s="420"/>
      <c r="F515" s="420"/>
      <c r="G515" s="420"/>
      <c r="H515" s="420"/>
      <c r="I515" s="420"/>
      <c r="J515" s="420"/>
      <c r="K515" s="420"/>
      <c r="L515" s="420"/>
      <c r="M515" s="420"/>
    </row>
    <row r="516" spans="1:13" ht="15" thickBot="1">
      <c r="A516" s="420"/>
      <c r="B516" s="420"/>
      <c r="C516" s="420"/>
      <c r="D516" s="420"/>
      <c r="E516" s="420"/>
      <c r="F516" s="420"/>
      <c r="G516" s="420"/>
      <c r="H516" s="420"/>
      <c r="I516" s="420"/>
      <c r="J516" s="420"/>
      <c r="K516" s="420"/>
      <c r="L516" s="420"/>
      <c r="M516" s="420"/>
    </row>
    <row r="517" spans="1:13" ht="32.4">
      <c r="A517" s="68"/>
      <c r="B517" s="960" t="s">
        <v>99</v>
      </c>
      <c r="C517" s="961"/>
      <c r="D517" s="961"/>
      <c r="E517" s="961"/>
      <c r="F517" s="961"/>
      <c r="G517" s="961"/>
      <c r="H517" s="961"/>
      <c r="I517" s="961"/>
      <c r="J517" s="961"/>
      <c r="K517" s="961"/>
      <c r="L517" s="962"/>
      <c r="M517" s="69"/>
    </row>
    <row r="518" spans="1:13" ht="23.4">
      <c r="A518" s="15"/>
      <c r="B518" s="963" t="s">
        <v>100</v>
      </c>
      <c r="C518" s="964"/>
      <c r="D518" s="964"/>
      <c r="E518" s="964"/>
      <c r="F518" s="964"/>
      <c r="G518" s="964"/>
      <c r="H518" s="964"/>
      <c r="I518" s="964"/>
      <c r="J518" s="964"/>
      <c r="K518" s="964"/>
      <c r="L518" s="965"/>
      <c r="M518" s="16"/>
    </row>
    <row r="519" spans="1:13" ht="15.6">
      <c r="A519" s="15"/>
      <c r="B519" s="966" t="s">
        <v>1070</v>
      </c>
      <c r="C519" s="967"/>
      <c r="D519" s="967"/>
      <c r="E519" s="967"/>
      <c r="F519" s="967"/>
      <c r="G519" s="967"/>
      <c r="H519" s="968"/>
      <c r="I519" s="968"/>
      <c r="J519" s="968"/>
      <c r="K519" s="968"/>
      <c r="L519" s="969"/>
      <c r="M519" s="16"/>
    </row>
    <row r="520" spans="1:13">
      <c r="A520" s="15"/>
      <c r="B520" s="970" t="s">
        <v>101</v>
      </c>
      <c r="C520" s="971"/>
      <c r="D520" s="971"/>
      <c r="E520" s="971"/>
      <c r="F520" s="971"/>
      <c r="G520" s="391"/>
      <c r="H520" s="974" t="s">
        <v>102</v>
      </c>
      <c r="I520" s="975"/>
      <c r="J520" s="975"/>
      <c r="K520" s="975"/>
      <c r="L520" s="976"/>
      <c r="M520" s="16"/>
    </row>
    <row r="521" spans="1:13">
      <c r="A521" s="15"/>
      <c r="B521" s="972"/>
      <c r="C521" s="973"/>
      <c r="D521" s="973"/>
      <c r="E521" s="973"/>
      <c r="F521" s="973"/>
      <c r="G521" s="395"/>
      <c r="H521" s="977"/>
      <c r="I521" s="978"/>
      <c r="J521" s="978"/>
      <c r="K521" s="978"/>
      <c r="L521" s="979"/>
      <c r="M521" s="16"/>
    </row>
    <row r="522" spans="1:13">
      <c r="A522" s="15"/>
      <c r="B522" s="382"/>
      <c r="C522" s="77"/>
      <c r="D522" s="77"/>
      <c r="E522" s="77"/>
      <c r="F522" s="77"/>
      <c r="G522" s="56"/>
      <c r="H522" s="76"/>
      <c r="I522" s="77"/>
      <c r="J522" s="77"/>
      <c r="K522" s="77"/>
      <c r="L522" s="78"/>
      <c r="M522" s="16"/>
    </row>
    <row r="523" spans="1:13">
      <c r="A523" s="15"/>
      <c r="B523" s="378" t="str">
        <f>Master!F5</f>
        <v>GROTECH LANDSCAPE DEVELOPERS PVT. LTD.</v>
      </c>
      <c r="C523" s="114"/>
      <c r="D523" s="114"/>
      <c r="E523" s="114"/>
      <c r="F523" s="114"/>
      <c r="G523" s="379"/>
      <c r="H523" s="381" t="str">
        <f>Master!AN5</f>
        <v>GROTECH LANDSCAPE DEVELOPERS PVT. LTD.</v>
      </c>
      <c r="I523" s="114"/>
      <c r="J523" s="114"/>
      <c r="K523" s="114"/>
      <c r="L523" s="16"/>
      <c r="M523" s="16"/>
    </row>
    <row r="524" spans="1:13">
      <c r="A524" s="15"/>
      <c r="B524" s="15"/>
      <c r="C524" s="114"/>
      <c r="D524" s="114"/>
      <c r="E524" s="114"/>
      <c r="F524" s="114"/>
      <c r="G524" s="379"/>
      <c r="H524" s="380"/>
      <c r="I524" s="114"/>
      <c r="J524" s="114"/>
      <c r="K524" s="114"/>
      <c r="L524" s="16"/>
      <c r="M524" s="16"/>
    </row>
    <row r="525" spans="1:13">
      <c r="A525" s="15"/>
      <c r="B525" s="538" t="str">
        <f>Master!F6</f>
        <v>290/E, Khanapur Village, Gandipet Mandal, Ranga Reddy, Hyderabad-500075 T.S.</v>
      </c>
      <c r="C525" s="114"/>
      <c r="D525" s="114"/>
      <c r="E525" s="114"/>
      <c r="F525" s="114"/>
      <c r="G525" s="379"/>
      <c r="H525" s="539" t="str">
        <f>Master!AN6</f>
        <v>290/E, Khanapur Village, Gandipet Mandal, Ranga Reddy, Hyderabad-500075 T.S.</v>
      </c>
      <c r="I525" s="114"/>
      <c r="J525" s="114"/>
      <c r="K525" s="114"/>
      <c r="L525" s="16"/>
      <c r="M525" s="16"/>
    </row>
    <row r="526" spans="1:13">
      <c r="A526" s="15"/>
      <c r="B526" s="383"/>
      <c r="C526" s="19"/>
      <c r="D526" s="19"/>
      <c r="E526" s="19"/>
      <c r="F526" s="19"/>
      <c r="G526" s="61"/>
      <c r="H526" s="60"/>
      <c r="I526" s="19"/>
      <c r="J526" s="19"/>
      <c r="K526" s="19"/>
      <c r="L526" s="81"/>
      <c r="M526" s="16"/>
    </row>
    <row r="527" spans="1:13">
      <c r="A527" s="15"/>
      <c r="B527" s="389"/>
      <c r="C527" s="390"/>
      <c r="D527" s="390"/>
      <c r="E527" s="390"/>
      <c r="F527" s="390"/>
      <c r="G527" s="391"/>
      <c r="H527" s="396"/>
      <c r="I527" s="390"/>
      <c r="J527" s="390" t="s">
        <v>103</v>
      </c>
      <c r="K527" s="390"/>
      <c r="L527" s="397"/>
      <c r="M527" s="16"/>
    </row>
    <row r="528" spans="1:13">
      <c r="A528" s="15"/>
      <c r="B528" s="980" t="s">
        <v>104</v>
      </c>
      <c r="C528" s="981"/>
      <c r="D528" s="981"/>
      <c r="E528" s="981"/>
      <c r="F528" s="981"/>
      <c r="G528" s="392"/>
      <c r="H528" s="982" t="s">
        <v>4</v>
      </c>
      <c r="I528" s="981"/>
      <c r="J528" s="981"/>
      <c r="K528" s="981"/>
      <c r="L528" s="983"/>
      <c r="M528" s="16"/>
    </row>
    <row r="529" spans="1:13">
      <c r="A529" s="15"/>
      <c r="B529" s="393"/>
      <c r="C529" s="394"/>
      <c r="D529" s="394"/>
      <c r="E529" s="394"/>
      <c r="F529" s="394"/>
      <c r="G529" s="395"/>
      <c r="H529" s="398"/>
      <c r="I529" s="394"/>
      <c r="J529" s="394"/>
      <c r="K529" s="394"/>
      <c r="L529" s="399"/>
      <c r="M529" s="16"/>
    </row>
    <row r="530" spans="1:13">
      <c r="A530" s="15"/>
      <c r="B530" s="382"/>
      <c r="C530" s="77"/>
      <c r="D530" s="77"/>
      <c r="E530" s="77"/>
      <c r="F530" s="77"/>
      <c r="G530" s="56"/>
      <c r="H530" s="74"/>
      <c r="I530" s="74"/>
      <c r="J530" s="74"/>
      <c r="K530" s="74"/>
      <c r="L530" s="384"/>
      <c r="M530" s="16"/>
    </row>
    <row r="531" spans="1:13">
      <c r="A531" s="15"/>
      <c r="B531" s="15"/>
      <c r="C531" s="114"/>
      <c r="D531" s="114"/>
      <c r="E531" s="114"/>
      <c r="F531" s="114"/>
      <c r="G531" s="379"/>
      <c r="H531" s="115" t="str">
        <f>Master!AN10</f>
        <v>INDIAN SCHOOL OF BUSINESS</v>
      </c>
      <c r="I531" s="115"/>
      <c r="J531" s="115"/>
      <c r="K531" s="115"/>
      <c r="L531" s="71"/>
      <c r="M531" s="16"/>
    </row>
    <row r="532" spans="1:13">
      <c r="A532" s="15"/>
      <c r="B532" s="70" t="str">
        <f>Master!F8</f>
        <v>GARDENING SERVICES&amp;ISB HYDERABAD</v>
      </c>
      <c r="C532" s="114"/>
      <c r="D532" s="114"/>
      <c r="E532" s="114"/>
      <c r="F532" s="114"/>
      <c r="G532" s="379"/>
      <c r="H532" s="115"/>
      <c r="I532" s="115"/>
      <c r="J532" s="115"/>
      <c r="K532" s="115"/>
      <c r="L532" s="71"/>
      <c r="M532" s="16"/>
    </row>
    <row r="533" spans="1:13">
      <c r="A533" s="15"/>
      <c r="B533" s="15"/>
      <c r="C533" s="114"/>
      <c r="D533" s="114"/>
      <c r="E533" s="114"/>
      <c r="F533" s="114"/>
      <c r="G533" s="379"/>
      <c r="H533" s="115" t="str">
        <f>Master!AN11</f>
        <v>Opp.Infosys Limited,Gachibowli,Hyderabad</v>
      </c>
      <c r="I533" s="115"/>
      <c r="J533" s="115"/>
      <c r="K533" s="115"/>
      <c r="L533" s="71"/>
      <c r="M533" s="16"/>
    </row>
    <row r="534" spans="1:13">
      <c r="A534" s="15"/>
      <c r="B534" s="383"/>
      <c r="C534" s="19"/>
      <c r="D534" s="19"/>
      <c r="E534" s="19"/>
      <c r="F534" s="19"/>
      <c r="G534" s="61"/>
      <c r="H534" s="79"/>
      <c r="I534" s="79"/>
      <c r="J534" s="79"/>
      <c r="K534" s="79"/>
      <c r="L534" s="385"/>
      <c r="M534" s="16"/>
    </row>
    <row r="535" spans="1:13" ht="30" customHeight="1">
      <c r="A535" s="15"/>
      <c r="B535" s="948" t="s">
        <v>105</v>
      </c>
      <c r="C535" s="949"/>
      <c r="D535" s="949"/>
      <c r="E535" s="949"/>
      <c r="F535" s="949"/>
      <c r="G535" s="949"/>
      <c r="H535" s="950" t="str">
        <f>Master!D26</f>
        <v>ALIJANA JAYARAMI REDDY</v>
      </c>
      <c r="I535" s="951"/>
      <c r="J535" s="951"/>
      <c r="K535" s="951"/>
      <c r="L535" s="952"/>
      <c r="M535" s="16"/>
    </row>
    <row r="536" spans="1:13" ht="30" customHeight="1">
      <c r="A536" s="15"/>
      <c r="B536" s="948"/>
      <c r="C536" s="949"/>
      <c r="D536" s="949"/>
      <c r="E536" s="949"/>
      <c r="F536" s="949"/>
      <c r="G536" s="949"/>
      <c r="H536" s="950" t="str">
        <f>Master!K26</f>
        <v>5/126,</v>
      </c>
      <c r="I536" s="951"/>
      <c r="J536" s="951"/>
      <c r="K536" s="951"/>
      <c r="L536" s="952"/>
      <c r="M536" s="16"/>
    </row>
    <row r="537" spans="1:13" ht="30" customHeight="1">
      <c r="A537" s="15"/>
      <c r="B537" s="948"/>
      <c r="C537" s="949"/>
      <c r="D537" s="949"/>
      <c r="E537" s="949"/>
      <c r="F537" s="949"/>
      <c r="G537" s="949"/>
      <c r="H537" s="950" t="str">
        <f>Master!L26</f>
        <v>Parnapalle,Cuddaph</v>
      </c>
      <c r="I537" s="951"/>
      <c r="J537" s="951"/>
      <c r="K537" s="951"/>
      <c r="L537" s="952"/>
      <c r="M537" s="16"/>
    </row>
    <row r="538" spans="1:13" ht="30" customHeight="1">
      <c r="A538" s="15"/>
      <c r="B538" s="948"/>
      <c r="C538" s="949"/>
      <c r="D538" s="949"/>
      <c r="E538" s="949"/>
      <c r="F538" s="949"/>
      <c r="G538" s="949"/>
      <c r="H538" s="950" t="str">
        <f>Master!M26</f>
        <v>AP-516396</v>
      </c>
      <c r="I538" s="951"/>
      <c r="J538" s="951"/>
      <c r="K538" s="951"/>
      <c r="L538" s="952"/>
      <c r="M538" s="16"/>
    </row>
    <row r="539" spans="1:13" ht="30" customHeight="1">
      <c r="A539" s="73"/>
      <c r="B539" s="948"/>
      <c r="C539" s="949"/>
      <c r="D539" s="949"/>
      <c r="E539" s="949"/>
      <c r="F539" s="949"/>
      <c r="G539" s="949"/>
      <c r="H539" s="989">
        <f>Master!N696</f>
        <v>0</v>
      </c>
      <c r="I539" s="990"/>
      <c r="J539" s="990"/>
      <c r="K539" s="990"/>
      <c r="L539" s="991"/>
      <c r="M539" s="16"/>
    </row>
    <row r="540" spans="1:13" ht="30" customHeight="1">
      <c r="A540" s="73"/>
      <c r="B540" s="984" t="s">
        <v>106</v>
      </c>
      <c r="C540" s="985"/>
      <c r="D540" s="985"/>
      <c r="E540" s="985"/>
      <c r="F540" s="985"/>
      <c r="G540" s="985"/>
      <c r="H540" s="947">
        <f>Master!C26</f>
        <v>15</v>
      </c>
      <c r="I540" s="945"/>
      <c r="J540" s="945"/>
      <c r="K540" s="945"/>
      <c r="L540" s="946"/>
      <c r="M540" s="16"/>
    </row>
    <row r="541" spans="1:13" ht="30" customHeight="1">
      <c r="A541" s="73"/>
      <c r="B541" s="943" t="s">
        <v>107</v>
      </c>
      <c r="C541" s="944"/>
      <c r="D541" s="944"/>
      <c r="E541" s="944"/>
      <c r="F541" s="944"/>
      <c r="G541" s="944"/>
      <c r="H541" s="947" t="str">
        <f>Master!J26</f>
        <v>Semi Skilled Gardner</v>
      </c>
      <c r="I541" s="945"/>
      <c r="J541" s="945"/>
      <c r="K541" s="945"/>
      <c r="L541" s="946"/>
      <c r="M541" s="16"/>
    </row>
    <row r="542" spans="1:13" ht="30" customHeight="1">
      <c r="A542" s="73"/>
      <c r="B542" s="943" t="s">
        <v>108</v>
      </c>
      <c r="C542" s="944"/>
      <c r="D542" s="944"/>
      <c r="E542" s="944"/>
      <c r="F542" s="944"/>
      <c r="G542" s="944"/>
      <c r="H542" s="957">
        <f>Master!S26</f>
        <v>43850</v>
      </c>
      <c r="I542" s="958"/>
      <c r="J542" s="958"/>
      <c r="K542" s="958"/>
      <c r="L542" s="959"/>
      <c r="M542" s="16"/>
    </row>
    <row r="543" spans="1:13" ht="30" customHeight="1">
      <c r="A543" s="73"/>
      <c r="B543" s="386" t="s">
        <v>109</v>
      </c>
      <c r="C543" s="116"/>
      <c r="D543" s="116"/>
      <c r="E543" s="116"/>
      <c r="F543" s="116"/>
      <c r="G543" s="116"/>
      <c r="H543" s="947">
        <f>Master!Y26</f>
        <v>5211482351</v>
      </c>
      <c r="I543" s="947"/>
      <c r="J543" s="947"/>
      <c r="K543" s="947"/>
      <c r="L543" s="953"/>
      <c r="M543" s="16"/>
    </row>
    <row r="544" spans="1:13" ht="30" customHeight="1">
      <c r="A544" s="73"/>
      <c r="B544" s="386" t="s">
        <v>110</v>
      </c>
      <c r="C544" s="116"/>
      <c r="D544" s="116"/>
      <c r="E544" s="116"/>
      <c r="F544" s="116"/>
      <c r="G544" s="119"/>
      <c r="H544" s="947" t="str">
        <f>Master!X26</f>
        <v>100844389108</v>
      </c>
      <c r="I544" s="947"/>
      <c r="J544" s="947"/>
      <c r="K544" s="947"/>
      <c r="L544" s="953"/>
      <c r="M544" s="16"/>
    </row>
    <row r="545" spans="1:13" ht="30" customHeight="1">
      <c r="A545" s="73"/>
      <c r="B545" s="954" t="s">
        <v>111</v>
      </c>
      <c r="C545" s="955"/>
      <c r="D545" s="955"/>
      <c r="E545" s="955"/>
      <c r="F545" s="955"/>
      <c r="G545" s="955"/>
      <c r="H545" s="950">
        <f>Master!AC26</f>
        <v>11459</v>
      </c>
      <c r="I545" s="951"/>
      <c r="J545" s="951"/>
      <c r="K545" s="951"/>
      <c r="L545" s="952"/>
      <c r="M545" s="16"/>
    </row>
    <row r="546" spans="1:13" ht="30" customHeight="1">
      <c r="A546" s="73"/>
      <c r="B546" s="943" t="s">
        <v>112</v>
      </c>
      <c r="C546" s="944"/>
      <c r="D546" s="944"/>
      <c r="E546" s="944"/>
      <c r="F546" s="944"/>
      <c r="G546" s="944"/>
      <c r="H546" s="956">
        <f>Master!F10</f>
        <v>44652</v>
      </c>
      <c r="I546" s="945"/>
      <c r="J546" s="945"/>
      <c r="K546" s="945"/>
      <c r="L546" s="946"/>
      <c r="M546" s="16"/>
    </row>
    <row r="547" spans="1:13" ht="30" customHeight="1">
      <c r="A547" s="15"/>
      <c r="B547" s="943" t="s">
        <v>113</v>
      </c>
      <c r="C547" s="944"/>
      <c r="D547" s="944"/>
      <c r="E547" s="944"/>
      <c r="F547" s="944"/>
      <c r="G547" s="944"/>
      <c r="H547" s="945" t="s">
        <v>114</v>
      </c>
      <c r="I547" s="945"/>
      <c r="J547" s="945"/>
      <c r="K547" s="945"/>
      <c r="L547" s="946"/>
      <c r="M547" s="16"/>
    </row>
    <row r="548" spans="1:13" ht="30" customHeight="1">
      <c r="A548" s="15"/>
      <c r="B548" s="386" t="s">
        <v>115</v>
      </c>
      <c r="C548" s="116"/>
      <c r="D548" s="116"/>
      <c r="E548" s="116"/>
      <c r="F548" s="116"/>
      <c r="G548" s="119"/>
      <c r="H548" s="947">
        <f>Master!AA26</f>
        <v>26</v>
      </c>
      <c r="I548" s="945"/>
      <c r="J548" s="945"/>
      <c r="K548" s="945"/>
      <c r="L548" s="946"/>
      <c r="M548" s="16"/>
    </row>
    <row r="549" spans="1:13" ht="30" customHeight="1">
      <c r="A549" s="15"/>
      <c r="B549" s="386" t="s">
        <v>116</v>
      </c>
      <c r="C549" s="116"/>
      <c r="D549" s="116"/>
      <c r="E549" s="116"/>
      <c r="F549" s="116"/>
      <c r="G549" s="119"/>
      <c r="H549" s="986" t="s">
        <v>28</v>
      </c>
      <c r="I549" s="987"/>
      <c r="J549" s="987"/>
      <c r="K549" s="987"/>
      <c r="L549" s="988"/>
      <c r="M549" s="16"/>
    </row>
    <row r="550" spans="1:13" ht="30" customHeight="1">
      <c r="A550" s="15"/>
      <c r="B550" s="386" t="s">
        <v>117</v>
      </c>
      <c r="C550" s="116"/>
      <c r="D550" s="116"/>
      <c r="E550" s="116"/>
      <c r="F550" s="116"/>
      <c r="G550" s="119"/>
      <c r="H550" s="989">
        <v>0</v>
      </c>
      <c r="I550" s="990"/>
      <c r="J550" s="990"/>
      <c r="K550" s="990"/>
      <c r="L550" s="991"/>
      <c r="M550" s="16"/>
    </row>
    <row r="551" spans="1:13" ht="30" customHeight="1">
      <c r="A551" s="15"/>
      <c r="B551" s="386" t="s">
        <v>118</v>
      </c>
      <c r="C551" s="116"/>
      <c r="D551" s="116"/>
      <c r="E551" s="116"/>
      <c r="F551" s="116"/>
      <c r="G551" s="119"/>
      <c r="H551" s="986">
        <v>0</v>
      </c>
      <c r="I551" s="987"/>
      <c r="J551" s="987"/>
      <c r="K551" s="987"/>
      <c r="L551" s="988"/>
      <c r="M551" s="16"/>
    </row>
    <row r="552" spans="1:13" ht="30" customHeight="1">
      <c r="A552" s="15"/>
      <c r="B552" s="386" t="s">
        <v>119</v>
      </c>
      <c r="C552" s="116"/>
      <c r="D552" s="116"/>
      <c r="E552" s="116"/>
      <c r="F552" s="116"/>
      <c r="G552" s="119"/>
      <c r="H552" s="117"/>
      <c r="I552" s="118"/>
      <c r="J552" s="990">
        <f>Master!AK26</f>
        <v>9932.4666666666653</v>
      </c>
      <c r="K552" s="992"/>
      <c r="L552" s="581" t="s">
        <v>737</v>
      </c>
      <c r="M552" s="16"/>
    </row>
    <row r="553" spans="1:13" ht="30" customHeight="1">
      <c r="A553" s="15"/>
      <c r="B553" s="386" t="s">
        <v>120</v>
      </c>
      <c r="C553" s="116"/>
      <c r="D553" s="465" t="s">
        <v>24</v>
      </c>
      <c r="E553" s="466">
        <f>Master!AM26</f>
        <v>1192</v>
      </c>
      <c r="F553" s="465" t="s">
        <v>23</v>
      </c>
      <c r="G553" s="466">
        <f>Master!AL26</f>
        <v>75</v>
      </c>
      <c r="H553" s="465" t="s">
        <v>25</v>
      </c>
      <c r="I553" s="466">
        <f>Master!AN26</f>
        <v>0</v>
      </c>
      <c r="J553" s="465" t="s">
        <v>26</v>
      </c>
      <c r="K553" s="466">
        <f>Master!AO26</f>
        <v>0</v>
      </c>
      <c r="L553" s="400">
        <f>Master!AP26</f>
        <v>0</v>
      </c>
      <c r="M553" s="16"/>
    </row>
    <row r="554" spans="1:13" ht="30" customHeight="1">
      <c r="A554" s="15"/>
      <c r="B554" s="386" t="s">
        <v>121</v>
      </c>
      <c r="C554" s="116"/>
      <c r="D554" s="116"/>
      <c r="E554" s="116"/>
      <c r="F554" s="116"/>
      <c r="G554" s="119"/>
      <c r="H554" s="117"/>
      <c r="I554" s="118"/>
      <c r="J554" s="541">
        <f>Master!AR26</f>
        <v>8665.4666666666653</v>
      </c>
      <c r="K554" s="118"/>
      <c r="L554" s="125"/>
      <c r="M554" s="16"/>
    </row>
    <row r="555" spans="1:13">
      <c r="A555" s="15"/>
      <c r="B555" s="387" t="s">
        <v>122</v>
      </c>
      <c r="C555" s="74"/>
      <c r="D555" s="74"/>
      <c r="E555" s="74"/>
      <c r="F555" s="74"/>
      <c r="G555" s="75"/>
      <c r="H555" s="76"/>
      <c r="I555" s="77"/>
      <c r="J555" s="77"/>
      <c r="K555" s="77"/>
      <c r="L555" s="78"/>
      <c r="M555" s="16"/>
    </row>
    <row r="556" spans="1:13">
      <c r="A556" s="15"/>
      <c r="B556" s="388" t="s">
        <v>123</v>
      </c>
      <c r="C556" s="79"/>
      <c r="D556" s="79"/>
      <c r="E556" s="79"/>
      <c r="F556" s="79"/>
      <c r="G556" s="80"/>
      <c r="H556" s="60"/>
      <c r="I556" s="19"/>
      <c r="J556" s="19"/>
      <c r="K556" s="19"/>
      <c r="L556" s="81"/>
      <c r="M556" s="16"/>
    </row>
    <row r="557" spans="1:13">
      <c r="A557" s="15"/>
      <c r="B557" s="15"/>
      <c r="C557" s="114"/>
      <c r="D557" s="114"/>
      <c r="E557" s="114"/>
      <c r="F557" s="114"/>
      <c r="G557" s="114"/>
      <c r="H557" s="114"/>
      <c r="I557" s="114"/>
      <c r="J557" s="114"/>
      <c r="K557" s="114"/>
      <c r="L557" s="16"/>
      <c r="M557" s="16"/>
    </row>
    <row r="558" spans="1:13" ht="15" thickBot="1">
      <c r="A558" s="27"/>
      <c r="B558" s="27"/>
      <c r="C558" s="25"/>
      <c r="D558" s="25"/>
      <c r="E558" s="25"/>
      <c r="F558" s="25"/>
      <c r="G558" s="25"/>
      <c r="H558" s="25"/>
      <c r="I558" s="25"/>
      <c r="J558" s="25"/>
      <c r="K558" s="25"/>
      <c r="L558" s="26"/>
      <c r="M558" s="26"/>
    </row>
    <row r="559" spans="1:13">
      <c r="A559" s="420"/>
      <c r="B559" s="420"/>
      <c r="C559" s="420"/>
      <c r="D559" s="420"/>
      <c r="E559" s="420"/>
      <c r="F559" s="420"/>
      <c r="G559" s="420"/>
      <c r="H559" s="420"/>
      <c r="I559" s="420"/>
      <c r="J559" s="420"/>
      <c r="K559" s="420"/>
      <c r="L559" s="420"/>
      <c r="M559" s="420"/>
    </row>
    <row r="560" spans="1:13">
      <c r="A560" s="420"/>
      <c r="B560" s="420"/>
      <c r="C560" s="420"/>
      <c r="D560" s="420"/>
      <c r="E560" s="420"/>
      <c r="F560" s="420"/>
      <c r="G560" s="420"/>
      <c r="H560" s="420"/>
      <c r="I560" s="420"/>
      <c r="J560" s="420"/>
      <c r="K560" s="420"/>
      <c r="L560" s="420"/>
      <c r="M560" s="420"/>
    </row>
    <row r="561" spans="1:13">
      <c r="A561" s="420"/>
      <c r="B561" s="420"/>
      <c r="C561" s="420"/>
      <c r="D561" s="420"/>
      <c r="E561" s="420"/>
      <c r="F561" s="420"/>
      <c r="G561" s="420"/>
      <c r="H561" s="420"/>
      <c r="I561" s="420"/>
      <c r="J561" s="420"/>
      <c r="K561" s="420"/>
      <c r="L561" s="420"/>
      <c r="M561" s="420"/>
    </row>
    <row r="562" spans="1:13">
      <c r="A562" s="420"/>
      <c r="B562" s="420"/>
      <c r="C562" s="420"/>
      <c r="D562" s="420"/>
      <c r="E562" s="420"/>
      <c r="F562" s="420"/>
      <c r="G562" s="420"/>
      <c r="H562" s="420"/>
      <c r="I562" s="420"/>
      <c r="J562" s="420"/>
      <c r="K562" s="420"/>
      <c r="L562" s="420"/>
      <c r="M562" s="420"/>
    </row>
    <row r="563" spans="1:13" ht="15" thickBot="1">
      <c r="A563" s="420"/>
      <c r="B563" s="420"/>
      <c r="C563" s="420"/>
      <c r="D563" s="420"/>
      <c r="E563" s="420"/>
      <c r="F563" s="420"/>
      <c r="G563" s="420"/>
      <c r="H563" s="420"/>
      <c r="I563" s="420"/>
      <c r="J563" s="420"/>
      <c r="K563" s="420"/>
      <c r="L563" s="420"/>
      <c r="M563" s="420"/>
    </row>
    <row r="564" spans="1:13" ht="32.4">
      <c r="A564" s="68"/>
      <c r="B564" s="960" t="s">
        <v>99</v>
      </c>
      <c r="C564" s="961"/>
      <c r="D564" s="961"/>
      <c r="E564" s="961"/>
      <c r="F564" s="961"/>
      <c r="G564" s="961"/>
      <c r="H564" s="961"/>
      <c r="I564" s="961"/>
      <c r="J564" s="961"/>
      <c r="K564" s="961"/>
      <c r="L564" s="962"/>
      <c r="M564" s="69"/>
    </row>
    <row r="565" spans="1:13" ht="23.4">
      <c r="A565" s="15"/>
      <c r="B565" s="963" t="s">
        <v>100</v>
      </c>
      <c r="C565" s="964"/>
      <c r="D565" s="964"/>
      <c r="E565" s="964"/>
      <c r="F565" s="964"/>
      <c r="G565" s="964"/>
      <c r="H565" s="964"/>
      <c r="I565" s="964"/>
      <c r="J565" s="964"/>
      <c r="K565" s="964"/>
      <c r="L565" s="965"/>
      <c r="M565" s="16"/>
    </row>
    <row r="566" spans="1:13" ht="15.6">
      <c r="A566" s="15"/>
      <c r="B566" s="966" t="s">
        <v>1070</v>
      </c>
      <c r="C566" s="967"/>
      <c r="D566" s="967"/>
      <c r="E566" s="967"/>
      <c r="F566" s="967"/>
      <c r="G566" s="967"/>
      <c r="H566" s="968"/>
      <c r="I566" s="968"/>
      <c r="J566" s="968"/>
      <c r="K566" s="968"/>
      <c r="L566" s="969"/>
      <c r="M566" s="16"/>
    </row>
    <row r="567" spans="1:13">
      <c r="A567" s="15"/>
      <c r="B567" s="970" t="s">
        <v>101</v>
      </c>
      <c r="C567" s="971"/>
      <c r="D567" s="971"/>
      <c r="E567" s="971"/>
      <c r="F567" s="971"/>
      <c r="G567" s="391"/>
      <c r="H567" s="974" t="s">
        <v>102</v>
      </c>
      <c r="I567" s="975"/>
      <c r="J567" s="975"/>
      <c r="K567" s="975"/>
      <c r="L567" s="976"/>
      <c r="M567" s="16"/>
    </row>
    <row r="568" spans="1:13">
      <c r="A568" s="15"/>
      <c r="B568" s="972"/>
      <c r="C568" s="973"/>
      <c r="D568" s="973"/>
      <c r="E568" s="973"/>
      <c r="F568" s="973"/>
      <c r="G568" s="395"/>
      <c r="H568" s="977"/>
      <c r="I568" s="978"/>
      <c r="J568" s="978"/>
      <c r="K568" s="978"/>
      <c r="L568" s="979"/>
      <c r="M568" s="16"/>
    </row>
    <row r="569" spans="1:13">
      <c r="A569" s="15"/>
      <c r="B569" s="382"/>
      <c r="C569" s="77"/>
      <c r="D569" s="77"/>
      <c r="E569" s="77"/>
      <c r="F569" s="77"/>
      <c r="G569" s="56"/>
      <c r="H569" s="76"/>
      <c r="I569" s="77"/>
      <c r="J569" s="77"/>
      <c r="K569" s="77"/>
      <c r="L569" s="78"/>
      <c r="M569" s="16"/>
    </row>
    <row r="570" spans="1:13">
      <c r="A570" s="15"/>
      <c r="B570" s="378" t="str">
        <f>Master!F5</f>
        <v>GROTECH LANDSCAPE DEVELOPERS PVT. LTD.</v>
      </c>
      <c r="C570" s="114"/>
      <c r="D570" s="114"/>
      <c r="E570" s="114"/>
      <c r="F570" s="114"/>
      <c r="G570" s="379"/>
      <c r="H570" s="381" t="str">
        <f>Master!AN5</f>
        <v>GROTECH LANDSCAPE DEVELOPERS PVT. LTD.</v>
      </c>
      <c r="I570" s="114"/>
      <c r="J570" s="114"/>
      <c r="K570" s="114"/>
      <c r="L570" s="16"/>
      <c r="M570" s="16"/>
    </row>
    <row r="571" spans="1:13">
      <c r="A571" s="15"/>
      <c r="B571" s="15"/>
      <c r="C571" s="114"/>
      <c r="D571" s="114"/>
      <c r="E571" s="114"/>
      <c r="F571" s="114"/>
      <c r="G571" s="379"/>
      <c r="H571" s="380"/>
      <c r="I571" s="114"/>
      <c r="J571" s="114"/>
      <c r="K571" s="114"/>
      <c r="L571" s="16"/>
      <c r="M571" s="16"/>
    </row>
    <row r="572" spans="1:13">
      <c r="A572" s="15"/>
      <c r="B572" s="538" t="str">
        <f>Master!F6</f>
        <v>290/E, Khanapur Village, Gandipet Mandal, Ranga Reddy, Hyderabad-500075 T.S.</v>
      </c>
      <c r="C572" s="114"/>
      <c r="D572" s="114"/>
      <c r="E572" s="114"/>
      <c r="F572" s="114"/>
      <c r="G572" s="379"/>
      <c r="H572" s="539" t="str">
        <f>Master!AN6</f>
        <v>290/E, Khanapur Village, Gandipet Mandal, Ranga Reddy, Hyderabad-500075 T.S.</v>
      </c>
      <c r="I572" s="114"/>
      <c r="J572" s="114"/>
      <c r="K572" s="114"/>
      <c r="L572" s="16"/>
      <c r="M572" s="16"/>
    </row>
    <row r="573" spans="1:13">
      <c r="A573" s="15"/>
      <c r="B573" s="383"/>
      <c r="C573" s="19"/>
      <c r="D573" s="19"/>
      <c r="E573" s="19"/>
      <c r="F573" s="19"/>
      <c r="G573" s="61"/>
      <c r="H573" s="60"/>
      <c r="I573" s="19"/>
      <c r="J573" s="19"/>
      <c r="K573" s="19"/>
      <c r="L573" s="81"/>
      <c r="M573" s="16"/>
    </row>
    <row r="574" spans="1:13">
      <c r="A574" s="15"/>
      <c r="B574" s="389"/>
      <c r="C574" s="390"/>
      <c r="D574" s="390"/>
      <c r="E574" s="390"/>
      <c r="F574" s="390"/>
      <c r="G574" s="391"/>
      <c r="H574" s="396"/>
      <c r="I574" s="390"/>
      <c r="J574" s="390" t="s">
        <v>103</v>
      </c>
      <c r="K574" s="390"/>
      <c r="L574" s="397"/>
      <c r="M574" s="16"/>
    </row>
    <row r="575" spans="1:13">
      <c r="A575" s="15"/>
      <c r="B575" s="980" t="s">
        <v>104</v>
      </c>
      <c r="C575" s="981"/>
      <c r="D575" s="981"/>
      <c r="E575" s="981"/>
      <c r="F575" s="981"/>
      <c r="G575" s="392"/>
      <c r="H575" s="982" t="s">
        <v>4</v>
      </c>
      <c r="I575" s="981"/>
      <c r="J575" s="981"/>
      <c r="K575" s="981"/>
      <c r="L575" s="983"/>
      <c r="M575" s="16"/>
    </row>
    <row r="576" spans="1:13">
      <c r="A576" s="15"/>
      <c r="B576" s="393"/>
      <c r="C576" s="394"/>
      <c r="D576" s="394"/>
      <c r="E576" s="394"/>
      <c r="F576" s="394"/>
      <c r="G576" s="395"/>
      <c r="H576" s="398"/>
      <c r="I576" s="394"/>
      <c r="J576" s="394"/>
      <c r="K576" s="394"/>
      <c r="L576" s="399"/>
      <c r="M576" s="16"/>
    </row>
    <row r="577" spans="1:13">
      <c r="A577" s="15"/>
      <c r="B577" s="382"/>
      <c r="C577" s="77"/>
      <c r="D577" s="77"/>
      <c r="E577" s="77"/>
      <c r="F577" s="77"/>
      <c r="G577" s="56"/>
      <c r="H577" s="74"/>
      <c r="I577" s="74"/>
      <c r="J577" s="74"/>
      <c r="K577" s="74"/>
      <c r="L577" s="384"/>
      <c r="M577" s="16"/>
    </row>
    <row r="578" spans="1:13">
      <c r="A578" s="15"/>
      <c r="B578" s="15"/>
      <c r="C578" s="114"/>
      <c r="D578" s="114"/>
      <c r="E578" s="114"/>
      <c r="F578" s="114"/>
      <c r="G578" s="379"/>
      <c r="H578" s="115" t="str">
        <f>Master!AN10</f>
        <v>INDIAN SCHOOL OF BUSINESS</v>
      </c>
      <c r="I578" s="115"/>
      <c r="J578" s="115"/>
      <c r="K578" s="115"/>
      <c r="L578" s="71"/>
      <c r="M578" s="16"/>
    </row>
    <row r="579" spans="1:13">
      <c r="A579" s="15"/>
      <c r="B579" s="70" t="str">
        <f>Master!F8</f>
        <v>GARDENING SERVICES&amp;ISB HYDERABAD</v>
      </c>
      <c r="C579" s="114"/>
      <c r="D579" s="114"/>
      <c r="E579" s="114"/>
      <c r="F579" s="114"/>
      <c r="G579" s="379"/>
      <c r="H579" s="115"/>
      <c r="I579" s="115"/>
      <c r="J579" s="115"/>
      <c r="K579" s="115"/>
      <c r="L579" s="71"/>
      <c r="M579" s="16"/>
    </row>
    <row r="580" spans="1:13">
      <c r="A580" s="15"/>
      <c r="B580" s="15"/>
      <c r="C580" s="114"/>
      <c r="D580" s="114"/>
      <c r="E580" s="114"/>
      <c r="F580" s="114"/>
      <c r="G580" s="379"/>
      <c r="H580" s="115" t="str">
        <f>Master!AN11</f>
        <v>Opp.Infosys Limited,Gachibowli,Hyderabad</v>
      </c>
      <c r="I580" s="115"/>
      <c r="J580" s="115"/>
      <c r="K580" s="115"/>
      <c r="L580" s="71"/>
      <c r="M580" s="16"/>
    </row>
    <row r="581" spans="1:13">
      <c r="A581" s="15"/>
      <c r="B581" s="383"/>
      <c r="C581" s="19"/>
      <c r="D581" s="19"/>
      <c r="E581" s="19"/>
      <c r="F581" s="19"/>
      <c r="G581" s="61"/>
      <c r="H581" s="79"/>
      <c r="I581" s="79"/>
      <c r="J581" s="79"/>
      <c r="K581" s="79"/>
      <c r="L581" s="385"/>
      <c r="M581" s="16"/>
    </row>
    <row r="582" spans="1:13" ht="30" customHeight="1">
      <c r="A582" s="15"/>
      <c r="B582" s="948" t="s">
        <v>105</v>
      </c>
      <c r="C582" s="949"/>
      <c r="D582" s="949"/>
      <c r="E582" s="949"/>
      <c r="F582" s="949"/>
      <c r="G582" s="949"/>
      <c r="H582" s="950" t="str">
        <f>Master!D27</f>
        <v>Kapil</v>
      </c>
      <c r="I582" s="951"/>
      <c r="J582" s="951"/>
      <c r="K582" s="951"/>
      <c r="L582" s="952"/>
      <c r="M582" s="16"/>
    </row>
    <row r="583" spans="1:13" ht="30" customHeight="1">
      <c r="A583" s="15"/>
      <c r="B583" s="948"/>
      <c r="C583" s="949"/>
      <c r="D583" s="949"/>
      <c r="E583" s="949"/>
      <c r="F583" s="949"/>
      <c r="G583" s="949"/>
      <c r="H583" s="950" t="str">
        <f>Master!K27</f>
        <v>Khamiriya,Puru kusal,Jilla,</v>
      </c>
      <c r="I583" s="951"/>
      <c r="J583" s="951"/>
      <c r="K583" s="951"/>
      <c r="L583" s="952"/>
      <c r="M583" s="16"/>
    </row>
    <row r="584" spans="1:13" ht="30" customHeight="1">
      <c r="A584" s="15"/>
      <c r="B584" s="948"/>
      <c r="C584" s="949"/>
      <c r="D584" s="949"/>
      <c r="E584" s="949"/>
      <c r="F584" s="949"/>
      <c r="G584" s="949"/>
      <c r="H584" s="950" t="str">
        <f>Master!L27</f>
        <v>reabarelli,Khamariya,naiani amethi</v>
      </c>
      <c r="I584" s="951"/>
      <c r="J584" s="951"/>
      <c r="K584" s="951"/>
      <c r="L584" s="952"/>
      <c r="M584" s="16"/>
    </row>
    <row r="585" spans="1:13" ht="30" customHeight="1">
      <c r="A585" s="15"/>
      <c r="B585" s="948"/>
      <c r="C585" s="949"/>
      <c r="D585" s="949"/>
      <c r="E585" s="949"/>
      <c r="F585" s="949"/>
      <c r="G585" s="949"/>
      <c r="H585" s="950" t="str">
        <f>Master!M27</f>
        <v>U.P-229127</v>
      </c>
      <c r="I585" s="951"/>
      <c r="J585" s="951"/>
      <c r="K585" s="951"/>
      <c r="L585" s="952"/>
      <c r="M585" s="16"/>
    </row>
    <row r="586" spans="1:13" ht="30" customHeight="1">
      <c r="A586" s="73"/>
      <c r="B586" s="948"/>
      <c r="C586" s="949"/>
      <c r="D586" s="949"/>
      <c r="E586" s="949"/>
      <c r="F586" s="949"/>
      <c r="G586" s="949"/>
      <c r="H586" s="989">
        <f>Master!N764</f>
        <v>0</v>
      </c>
      <c r="I586" s="990"/>
      <c r="J586" s="990"/>
      <c r="K586" s="990"/>
      <c r="L586" s="991"/>
      <c r="M586" s="16"/>
    </row>
    <row r="587" spans="1:13" ht="30" customHeight="1">
      <c r="A587" s="73"/>
      <c r="B587" s="984" t="s">
        <v>106</v>
      </c>
      <c r="C587" s="985"/>
      <c r="D587" s="985"/>
      <c r="E587" s="985"/>
      <c r="F587" s="985"/>
      <c r="G587" s="985"/>
      <c r="H587" s="947">
        <f>Master!C27</f>
        <v>16</v>
      </c>
      <c r="I587" s="945"/>
      <c r="J587" s="945"/>
      <c r="K587" s="945"/>
      <c r="L587" s="946"/>
      <c r="M587" s="16"/>
    </row>
    <row r="588" spans="1:13" ht="30" customHeight="1">
      <c r="A588" s="73"/>
      <c r="B588" s="943" t="s">
        <v>107</v>
      </c>
      <c r="C588" s="944"/>
      <c r="D588" s="944"/>
      <c r="E588" s="944"/>
      <c r="F588" s="944"/>
      <c r="G588" s="944"/>
      <c r="H588" s="947" t="str">
        <f>Master!J27</f>
        <v>Semi Skilled Gardner</v>
      </c>
      <c r="I588" s="945"/>
      <c r="J588" s="945"/>
      <c r="K588" s="945"/>
      <c r="L588" s="946"/>
      <c r="M588" s="16"/>
    </row>
    <row r="589" spans="1:13" ht="30" customHeight="1">
      <c r="A589" s="73"/>
      <c r="B589" s="943" t="s">
        <v>108</v>
      </c>
      <c r="C589" s="944"/>
      <c r="D589" s="944"/>
      <c r="E589" s="944"/>
      <c r="F589" s="944"/>
      <c r="G589" s="944"/>
      <c r="H589" s="957">
        <f>Master!S27</f>
        <v>43850</v>
      </c>
      <c r="I589" s="958"/>
      <c r="J589" s="958"/>
      <c r="K589" s="958"/>
      <c r="L589" s="959"/>
      <c r="M589" s="16"/>
    </row>
    <row r="590" spans="1:13" ht="30" customHeight="1">
      <c r="A590" s="73"/>
      <c r="B590" s="386" t="s">
        <v>109</v>
      </c>
      <c r="C590" s="116"/>
      <c r="D590" s="116"/>
      <c r="E590" s="116"/>
      <c r="F590" s="116"/>
      <c r="G590" s="116"/>
      <c r="H590" s="947">
        <f>Master!Y27</f>
        <v>5216340520</v>
      </c>
      <c r="I590" s="947"/>
      <c r="J590" s="947"/>
      <c r="K590" s="947"/>
      <c r="L590" s="953"/>
      <c r="M590" s="16"/>
    </row>
    <row r="591" spans="1:13" ht="30" customHeight="1">
      <c r="A591" s="73"/>
      <c r="B591" s="386" t="s">
        <v>110</v>
      </c>
      <c r="C591" s="116"/>
      <c r="D591" s="116"/>
      <c r="E591" s="116"/>
      <c r="F591" s="116"/>
      <c r="G591" s="119"/>
      <c r="H591" s="947" t="str">
        <f>Master!X27</f>
        <v>101554508977</v>
      </c>
      <c r="I591" s="947"/>
      <c r="J591" s="947"/>
      <c r="K591" s="947"/>
      <c r="L591" s="953"/>
      <c r="M591" s="16"/>
    </row>
    <row r="592" spans="1:13" ht="30" customHeight="1">
      <c r="A592" s="73"/>
      <c r="B592" s="954" t="s">
        <v>111</v>
      </c>
      <c r="C592" s="955"/>
      <c r="D592" s="955"/>
      <c r="E592" s="955"/>
      <c r="F592" s="955"/>
      <c r="G592" s="955"/>
      <c r="H592" s="950">
        <f>Master!AC27</f>
        <v>11459</v>
      </c>
      <c r="I592" s="951"/>
      <c r="J592" s="951"/>
      <c r="K592" s="951"/>
      <c r="L592" s="952"/>
      <c r="M592" s="16"/>
    </row>
    <row r="593" spans="1:13" ht="30" customHeight="1">
      <c r="A593" s="73"/>
      <c r="B593" s="943" t="s">
        <v>112</v>
      </c>
      <c r="C593" s="944"/>
      <c r="D593" s="944"/>
      <c r="E593" s="944"/>
      <c r="F593" s="944"/>
      <c r="G593" s="944"/>
      <c r="H593" s="956">
        <f>Master!F10</f>
        <v>44652</v>
      </c>
      <c r="I593" s="945"/>
      <c r="J593" s="945"/>
      <c r="K593" s="945"/>
      <c r="L593" s="946"/>
      <c r="M593" s="16"/>
    </row>
    <row r="594" spans="1:13" ht="30" customHeight="1">
      <c r="A594" s="15"/>
      <c r="B594" s="943" t="s">
        <v>113</v>
      </c>
      <c r="C594" s="944"/>
      <c r="D594" s="944"/>
      <c r="E594" s="944"/>
      <c r="F594" s="944"/>
      <c r="G594" s="944"/>
      <c r="H594" s="945" t="s">
        <v>114</v>
      </c>
      <c r="I594" s="945"/>
      <c r="J594" s="945"/>
      <c r="K594" s="945"/>
      <c r="L594" s="946"/>
      <c r="M594" s="16"/>
    </row>
    <row r="595" spans="1:13" ht="30" customHeight="1">
      <c r="A595" s="15"/>
      <c r="B595" s="386" t="s">
        <v>115</v>
      </c>
      <c r="C595" s="116"/>
      <c r="D595" s="116"/>
      <c r="E595" s="116"/>
      <c r="F595" s="116"/>
      <c r="G595" s="119"/>
      <c r="H595" s="947">
        <f>Master!AA27</f>
        <v>0</v>
      </c>
      <c r="I595" s="945"/>
      <c r="J595" s="945"/>
      <c r="K595" s="945"/>
      <c r="L595" s="946"/>
      <c r="M595" s="16"/>
    </row>
    <row r="596" spans="1:13" ht="30" customHeight="1">
      <c r="A596" s="15"/>
      <c r="B596" s="386" t="s">
        <v>116</v>
      </c>
      <c r="C596" s="116"/>
      <c r="D596" s="116"/>
      <c r="E596" s="116"/>
      <c r="F596" s="116"/>
      <c r="G596" s="119"/>
      <c r="H596" s="986" t="s">
        <v>28</v>
      </c>
      <c r="I596" s="987"/>
      <c r="J596" s="987"/>
      <c r="K596" s="987"/>
      <c r="L596" s="988"/>
      <c r="M596" s="16"/>
    </row>
    <row r="597" spans="1:13" ht="30" customHeight="1">
      <c r="A597" s="15"/>
      <c r="B597" s="386" t="s">
        <v>117</v>
      </c>
      <c r="C597" s="116"/>
      <c r="D597" s="116"/>
      <c r="E597" s="116"/>
      <c r="F597" s="116"/>
      <c r="G597" s="119"/>
      <c r="H597" s="989">
        <v>0</v>
      </c>
      <c r="I597" s="990"/>
      <c r="J597" s="990"/>
      <c r="K597" s="990"/>
      <c r="L597" s="991"/>
      <c r="M597" s="16"/>
    </row>
    <row r="598" spans="1:13" ht="30" customHeight="1">
      <c r="A598" s="15"/>
      <c r="B598" s="386" t="s">
        <v>118</v>
      </c>
      <c r="C598" s="116"/>
      <c r="D598" s="116"/>
      <c r="E598" s="116"/>
      <c r="F598" s="116"/>
      <c r="G598" s="119"/>
      <c r="H598" s="986">
        <v>0</v>
      </c>
      <c r="I598" s="987"/>
      <c r="J598" s="987"/>
      <c r="K598" s="987"/>
      <c r="L598" s="988"/>
      <c r="M598" s="16"/>
    </row>
    <row r="599" spans="1:13" ht="30" customHeight="1">
      <c r="A599" s="15"/>
      <c r="B599" s="386" t="s">
        <v>119</v>
      </c>
      <c r="C599" s="116"/>
      <c r="D599" s="116"/>
      <c r="E599" s="116"/>
      <c r="F599" s="116"/>
      <c r="G599" s="119"/>
      <c r="H599" s="117"/>
      <c r="I599" s="118"/>
      <c r="J599" s="990">
        <f>Master!AK27</f>
        <v>0</v>
      </c>
      <c r="K599" s="992"/>
      <c r="L599" s="581" t="s">
        <v>737</v>
      </c>
      <c r="M599" s="16"/>
    </row>
    <row r="600" spans="1:13" ht="30" customHeight="1">
      <c r="A600" s="15"/>
      <c r="B600" s="386" t="s">
        <v>120</v>
      </c>
      <c r="C600" s="116"/>
      <c r="D600" s="465" t="s">
        <v>24</v>
      </c>
      <c r="E600" s="466">
        <f>Master!AM27</f>
        <v>0</v>
      </c>
      <c r="F600" s="465" t="s">
        <v>23</v>
      </c>
      <c r="G600" s="466">
        <f>Master!AL27</f>
        <v>0</v>
      </c>
      <c r="H600" s="465" t="s">
        <v>25</v>
      </c>
      <c r="I600" s="466">
        <f>Master!AN27</f>
        <v>0</v>
      </c>
      <c r="J600" s="465" t="s">
        <v>26</v>
      </c>
      <c r="K600" s="466">
        <f>Master!AO27</f>
        <v>0</v>
      </c>
      <c r="L600" s="400">
        <f>Master!AP27</f>
        <v>0</v>
      </c>
      <c r="M600" s="16"/>
    </row>
    <row r="601" spans="1:13" ht="30" customHeight="1">
      <c r="A601" s="15"/>
      <c r="B601" s="386" t="s">
        <v>121</v>
      </c>
      <c r="C601" s="116"/>
      <c r="D601" s="116"/>
      <c r="E601" s="116"/>
      <c r="F601" s="116"/>
      <c r="G601" s="119"/>
      <c r="H601" s="117"/>
      <c r="I601" s="118"/>
      <c r="J601" s="541">
        <f>Master!AR27</f>
        <v>0</v>
      </c>
      <c r="K601" s="118"/>
      <c r="L601" s="125"/>
      <c r="M601" s="16"/>
    </row>
    <row r="602" spans="1:13">
      <c r="A602" s="15"/>
      <c r="B602" s="387" t="s">
        <v>122</v>
      </c>
      <c r="C602" s="74"/>
      <c r="D602" s="74"/>
      <c r="E602" s="74"/>
      <c r="F602" s="74"/>
      <c r="G602" s="75"/>
      <c r="H602" s="76"/>
      <c r="I602" s="77"/>
      <c r="J602" s="77"/>
      <c r="K602" s="77"/>
      <c r="L602" s="78"/>
      <c r="M602" s="16"/>
    </row>
    <row r="603" spans="1:13">
      <c r="A603" s="15"/>
      <c r="B603" s="388" t="s">
        <v>123</v>
      </c>
      <c r="C603" s="79"/>
      <c r="D603" s="79"/>
      <c r="E603" s="79"/>
      <c r="F603" s="79"/>
      <c r="G603" s="80"/>
      <c r="H603" s="60"/>
      <c r="I603" s="19"/>
      <c r="J603" s="19"/>
      <c r="K603" s="19"/>
      <c r="L603" s="81"/>
      <c r="M603" s="16"/>
    </row>
    <row r="604" spans="1:13">
      <c r="A604" s="15"/>
      <c r="B604" s="15"/>
      <c r="C604" s="114"/>
      <c r="D604" s="114"/>
      <c r="E604" s="114"/>
      <c r="F604" s="114"/>
      <c r="G604" s="114"/>
      <c r="H604" s="114"/>
      <c r="I604" s="114"/>
      <c r="J604" s="114"/>
      <c r="K604" s="114"/>
      <c r="L604" s="16"/>
      <c r="M604" s="16"/>
    </row>
    <row r="605" spans="1:13" ht="15" thickBot="1">
      <c r="A605" s="27"/>
      <c r="B605" s="27"/>
      <c r="C605" s="25"/>
      <c r="D605" s="25"/>
      <c r="E605" s="25"/>
      <c r="F605" s="25"/>
      <c r="G605" s="25"/>
      <c r="H605" s="25"/>
      <c r="I605" s="25"/>
      <c r="J605" s="25"/>
      <c r="K605" s="25"/>
      <c r="L605" s="26"/>
      <c r="M605" s="26"/>
    </row>
    <row r="606" spans="1:13">
      <c r="A606" s="420"/>
      <c r="B606" s="420"/>
      <c r="C606" s="420"/>
      <c r="D606" s="420"/>
      <c r="E606" s="420"/>
      <c r="F606" s="420"/>
      <c r="G606" s="420"/>
      <c r="H606" s="420"/>
      <c r="I606" s="420"/>
      <c r="J606" s="420"/>
      <c r="K606" s="420"/>
      <c r="L606" s="420"/>
      <c r="M606" s="420"/>
    </row>
    <row r="607" spans="1:13">
      <c r="A607" s="420"/>
      <c r="B607" s="420"/>
      <c r="C607" s="420"/>
      <c r="D607" s="420"/>
      <c r="E607" s="420"/>
      <c r="F607" s="420"/>
      <c r="G607" s="420"/>
      <c r="H607" s="420"/>
      <c r="I607" s="420"/>
      <c r="J607" s="420"/>
      <c r="K607" s="420"/>
      <c r="L607" s="420"/>
      <c r="M607" s="420"/>
    </row>
    <row r="608" spans="1:13">
      <c r="A608" s="420"/>
      <c r="B608" s="420"/>
      <c r="C608" s="420"/>
      <c r="D608" s="420"/>
      <c r="E608" s="420"/>
      <c r="F608" s="420"/>
      <c r="G608" s="420"/>
      <c r="H608" s="420"/>
      <c r="I608" s="420"/>
      <c r="J608" s="420"/>
      <c r="K608" s="420"/>
      <c r="L608" s="420"/>
      <c r="M608" s="420"/>
    </row>
    <row r="609" spans="1:13">
      <c r="A609" s="420"/>
      <c r="B609" s="420"/>
      <c r="C609" s="420"/>
      <c r="D609" s="420"/>
      <c r="E609" s="420"/>
      <c r="F609" s="420"/>
      <c r="G609" s="420"/>
      <c r="H609" s="420"/>
      <c r="I609" s="420"/>
      <c r="J609" s="420"/>
      <c r="K609" s="420"/>
      <c r="L609" s="420"/>
      <c r="M609" s="420"/>
    </row>
    <row r="610" spans="1:13" ht="15" thickBot="1">
      <c r="A610" s="420"/>
      <c r="B610" s="420"/>
      <c r="C610" s="420"/>
      <c r="D610" s="420"/>
      <c r="E610" s="420"/>
      <c r="F610" s="420"/>
      <c r="G610" s="420"/>
      <c r="H610" s="420"/>
      <c r="I610" s="420"/>
      <c r="J610" s="420"/>
      <c r="K610" s="420"/>
      <c r="L610" s="420"/>
      <c r="M610" s="420"/>
    </row>
    <row r="611" spans="1:13" ht="32.4">
      <c r="A611" s="68"/>
      <c r="B611" s="960" t="s">
        <v>99</v>
      </c>
      <c r="C611" s="961"/>
      <c r="D611" s="961"/>
      <c r="E611" s="961"/>
      <c r="F611" s="961"/>
      <c r="G611" s="961"/>
      <c r="H611" s="961"/>
      <c r="I611" s="961"/>
      <c r="J611" s="961"/>
      <c r="K611" s="961"/>
      <c r="L611" s="962"/>
      <c r="M611" s="69"/>
    </row>
    <row r="612" spans="1:13" ht="23.4">
      <c r="A612" s="15"/>
      <c r="B612" s="963" t="s">
        <v>100</v>
      </c>
      <c r="C612" s="964"/>
      <c r="D612" s="964"/>
      <c r="E612" s="964"/>
      <c r="F612" s="964"/>
      <c r="G612" s="964"/>
      <c r="H612" s="964"/>
      <c r="I612" s="964"/>
      <c r="J612" s="964"/>
      <c r="K612" s="964"/>
      <c r="L612" s="965"/>
      <c r="M612" s="16"/>
    </row>
    <row r="613" spans="1:13" ht="15.6">
      <c r="A613" s="15"/>
      <c r="B613" s="966" t="s">
        <v>1070</v>
      </c>
      <c r="C613" s="967"/>
      <c r="D613" s="967"/>
      <c r="E613" s="967"/>
      <c r="F613" s="967"/>
      <c r="G613" s="967"/>
      <c r="H613" s="968"/>
      <c r="I613" s="968"/>
      <c r="J613" s="968"/>
      <c r="K613" s="968"/>
      <c r="L613" s="969"/>
      <c r="M613" s="16"/>
    </row>
    <row r="614" spans="1:13">
      <c r="A614" s="15"/>
      <c r="B614" s="970" t="s">
        <v>101</v>
      </c>
      <c r="C614" s="971"/>
      <c r="D614" s="971"/>
      <c r="E614" s="971"/>
      <c r="F614" s="971"/>
      <c r="G614" s="391"/>
      <c r="H614" s="974" t="s">
        <v>102</v>
      </c>
      <c r="I614" s="975"/>
      <c r="J614" s="975"/>
      <c r="K614" s="975"/>
      <c r="L614" s="976"/>
      <c r="M614" s="16"/>
    </row>
    <row r="615" spans="1:13">
      <c r="A615" s="15"/>
      <c r="B615" s="972"/>
      <c r="C615" s="973"/>
      <c r="D615" s="973"/>
      <c r="E615" s="973"/>
      <c r="F615" s="973"/>
      <c r="G615" s="395"/>
      <c r="H615" s="977"/>
      <c r="I615" s="978"/>
      <c r="J615" s="978"/>
      <c r="K615" s="978"/>
      <c r="L615" s="979"/>
      <c r="M615" s="16"/>
    </row>
    <row r="616" spans="1:13">
      <c r="A616" s="15"/>
      <c r="B616" s="382"/>
      <c r="C616" s="77"/>
      <c r="D616" s="77"/>
      <c r="E616" s="77"/>
      <c r="F616" s="77"/>
      <c r="G616" s="56"/>
      <c r="H616" s="76"/>
      <c r="I616" s="77"/>
      <c r="J616" s="77"/>
      <c r="K616" s="77"/>
      <c r="L616" s="78"/>
      <c r="M616" s="16"/>
    </row>
    <row r="617" spans="1:13">
      <c r="A617" s="15"/>
      <c r="B617" s="378" t="str">
        <f>Master!F5</f>
        <v>GROTECH LANDSCAPE DEVELOPERS PVT. LTD.</v>
      </c>
      <c r="C617" s="114"/>
      <c r="D617" s="114"/>
      <c r="E617" s="114"/>
      <c r="F617" s="114"/>
      <c r="G617" s="379"/>
      <c r="H617" s="381" t="str">
        <f>Master!AN5</f>
        <v>GROTECH LANDSCAPE DEVELOPERS PVT. LTD.</v>
      </c>
      <c r="I617" s="114"/>
      <c r="J617" s="114"/>
      <c r="K617" s="114"/>
      <c r="L617" s="16"/>
      <c r="M617" s="16"/>
    </row>
    <row r="618" spans="1:13">
      <c r="A618" s="15"/>
      <c r="B618" s="15"/>
      <c r="C618" s="114"/>
      <c r="D618" s="114"/>
      <c r="E618" s="114"/>
      <c r="F618" s="114"/>
      <c r="G618" s="379"/>
      <c r="H618" s="380"/>
      <c r="I618" s="114"/>
      <c r="J618" s="114"/>
      <c r="K618" s="114"/>
      <c r="L618" s="16"/>
      <c r="M618" s="16"/>
    </row>
    <row r="619" spans="1:13">
      <c r="A619" s="15"/>
      <c r="B619" s="538" t="str">
        <f>Master!F6</f>
        <v>290/E, Khanapur Village, Gandipet Mandal, Ranga Reddy, Hyderabad-500075 T.S.</v>
      </c>
      <c r="C619" s="114"/>
      <c r="D619" s="114"/>
      <c r="E619" s="114"/>
      <c r="F619" s="114"/>
      <c r="G619" s="379"/>
      <c r="H619" s="539" t="str">
        <f>Master!AN6</f>
        <v>290/E, Khanapur Village, Gandipet Mandal, Ranga Reddy, Hyderabad-500075 T.S.</v>
      </c>
      <c r="I619" s="114"/>
      <c r="J619" s="114"/>
      <c r="K619" s="114"/>
      <c r="L619" s="16"/>
      <c r="M619" s="16"/>
    </row>
    <row r="620" spans="1:13">
      <c r="A620" s="15"/>
      <c r="B620" s="383"/>
      <c r="C620" s="19"/>
      <c r="D620" s="19"/>
      <c r="E620" s="19"/>
      <c r="F620" s="19"/>
      <c r="G620" s="61"/>
      <c r="H620" s="60"/>
      <c r="I620" s="19"/>
      <c r="J620" s="19"/>
      <c r="K620" s="19"/>
      <c r="L620" s="81"/>
      <c r="M620" s="16"/>
    </row>
    <row r="621" spans="1:13">
      <c r="A621" s="15"/>
      <c r="B621" s="389"/>
      <c r="C621" s="390"/>
      <c r="D621" s="390"/>
      <c r="E621" s="390"/>
      <c r="F621" s="390"/>
      <c r="G621" s="391"/>
      <c r="H621" s="396"/>
      <c r="I621" s="390"/>
      <c r="J621" s="390" t="s">
        <v>103</v>
      </c>
      <c r="K621" s="390"/>
      <c r="L621" s="397"/>
      <c r="M621" s="16"/>
    </row>
    <row r="622" spans="1:13">
      <c r="A622" s="15"/>
      <c r="B622" s="980" t="s">
        <v>104</v>
      </c>
      <c r="C622" s="981"/>
      <c r="D622" s="981"/>
      <c r="E622" s="981"/>
      <c r="F622" s="981"/>
      <c r="G622" s="392"/>
      <c r="H622" s="982" t="s">
        <v>4</v>
      </c>
      <c r="I622" s="981"/>
      <c r="J622" s="981"/>
      <c r="K622" s="981"/>
      <c r="L622" s="983"/>
      <c r="M622" s="16"/>
    </row>
    <row r="623" spans="1:13">
      <c r="A623" s="15"/>
      <c r="B623" s="393"/>
      <c r="C623" s="394"/>
      <c r="D623" s="394"/>
      <c r="E623" s="394"/>
      <c r="F623" s="394"/>
      <c r="G623" s="395"/>
      <c r="H623" s="398"/>
      <c r="I623" s="394"/>
      <c r="J623" s="394"/>
      <c r="K623" s="394"/>
      <c r="L623" s="399"/>
      <c r="M623" s="16"/>
    </row>
    <row r="624" spans="1:13">
      <c r="A624" s="15"/>
      <c r="B624" s="382"/>
      <c r="C624" s="77"/>
      <c r="D624" s="77"/>
      <c r="E624" s="77"/>
      <c r="F624" s="77"/>
      <c r="G624" s="56"/>
      <c r="H624" s="74"/>
      <c r="I624" s="74"/>
      <c r="J624" s="74"/>
      <c r="K624" s="74"/>
      <c r="L624" s="384"/>
      <c r="M624" s="16"/>
    </row>
    <row r="625" spans="1:13">
      <c r="A625" s="15"/>
      <c r="B625" s="15"/>
      <c r="C625" s="114"/>
      <c r="D625" s="114"/>
      <c r="E625" s="114"/>
      <c r="F625" s="114"/>
      <c r="G625" s="379"/>
      <c r="H625" s="115" t="str">
        <f>Master!AN10</f>
        <v>INDIAN SCHOOL OF BUSINESS</v>
      </c>
      <c r="I625" s="115"/>
      <c r="J625" s="115"/>
      <c r="K625" s="115"/>
      <c r="L625" s="71"/>
      <c r="M625" s="16"/>
    </row>
    <row r="626" spans="1:13">
      <c r="A626" s="15"/>
      <c r="B626" s="70" t="str">
        <f>Master!F8</f>
        <v>GARDENING SERVICES&amp;ISB HYDERABAD</v>
      </c>
      <c r="C626" s="114"/>
      <c r="D626" s="114"/>
      <c r="E626" s="114"/>
      <c r="F626" s="114"/>
      <c r="G626" s="379"/>
      <c r="H626" s="115"/>
      <c r="I626" s="115"/>
      <c r="J626" s="115"/>
      <c r="K626" s="115"/>
      <c r="L626" s="71"/>
      <c r="M626" s="16"/>
    </row>
    <row r="627" spans="1:13">
      <c r="A627" s="15"/>
      <c r="B627" s="15"/>
      <c r="C627" s="114"/>
      <c r="D627" s="114"/>
      <c r="E627" s="114"/>
      <c r="F627" s="114"/>
      <c r="G627" s="379"/>
      <c r="H627" s="115" t="str">
        <f>Master!AN11</f>
        <v>Opp.Infosys Limited,Gachibowli,Hyderabad</v>
      </c>
      <c r="I627" s="115"/>
      <c r="J627" s="115"/>
      <c r="K627" s="115"/>
      <c r="L627" s="71"/>
      <c r="M627" s="16"/>
    </row>
    <row r="628" spans="1:13">
      <c r="A628" s="15"/>
      <c r="B628" s="383"/>
      <c r="C628" s="19"/>
      <c r="D628" s="19"/>
      <c r="E628" s="19"/>
      <c r="F628" s="19"/>
      <c r="G628" s="61"/>
      <c r="H628" s="79"/>
      <c r="I628" s="79"/>
      <c r="J628" s="79"/>
      <c r="K628" s="79"/>
      <c r="L628" s="385"/>
      <c r="M628" s="16"/>
    </row>
    <row r="629" spans="1:13" ht="30" customHeight="1">
      <c r="A629" s="15"/>
      <c r="B629" s="948" t="s">
        <v>105</v>
      </c>
      <c r="C629" s="949"/>
      <c r="D629" s="949"/>
      <c r="E629" s="949"/>
      <c r="F629" s="949"/>
      <c r="G629" s="949"/>
      <c r="H629" s="950" t="str">
        <f>Master!D28</f>
        <v xml:space="preserve">Bablu kumar </v>
      </c>
      <c r="I629" s="951"/>
      <c r="J629" s="951"/>
      <c r="K629" s="951"/>
      <c r="L629" s="952"/>
      <c r="M629" s="16"/>
    </row>
    <row r="630" spans="1:13" ht="30" customHeight="1">
      <c r="A630" s="15"/>
      <c r="B630" s="948"/>
      <c r="C630" s="949"/>
      <c r="D630" s="949"/>
      <c r="E630" s="949"/>
      <c r="F630" s="949"/>
      <c r="G630" s="949"/>
      <c r="H630" s="950" t="str">
        <f>Master!K28</f>
        <v>Nayan,Saion,</v>
      </c>
      <c r="I630" s="951"/>
      <c r="J630" s="951"/>
      <c r="K630" s="951"/>
      <c r="L630" s="952"/>
      <c r="M630" s="16"/>
    </row>
    <row r="631" spans="1:13" ht="30" customHeight="1">
      <c r="A631" s="15"/>
      <c r="B631" s="948"/>
      <c r="C631" s="949"/>
      <c r="D631" s="949"/>
      <c r="E631" s="949"/>
      <c r="F631" s="949"/>
      <c r="G631" s="949"/>
      <c r="H631" s="950" t="str">
        <f>Master!L28</f>
        <v>Khamariya pure Kushal,amethi,nini</v>
      </c>
      <c r="I631" s="951"/>
      <c r="J631" s="951"/>
      <c r="K631" s="951"/>
      <c r="L631" s="952"/>
      <c r="M631" s="16"/>
    </row>
    <row r="632" spans="1:13" ht="30" customHeight="1">
      <c r="A632" s="15"/>
      <c r="B632" s="948"/>
      <c r="C632" s="949"/>
      <c r="D632" s="949"/>
      <c r="E632" s="949"/>
      <c r="F632" s="949"/>
      <c r="G632" s="949"/>
      <c r="H632" s="950" t="str">
        <f>Master!M28</f>
        <v>U.P-229127</v>
      </c>
      <c r="I632" s="951"/>
      <c r="J632" s="951"/>
      <c r="K632" s="951"/>
      <c r="L632" s="952"/>
      <c r="M632" s="16"/>
    </row>
    <row r="633" spans="1:13" ht="30" customHeight="1">
      <c r="A633" s="73"/>
      <c r="B633" s="948"/>
      <c r="C633" s="949"/>
      <c r="D633" s="949"/>
      <c r="E633" s="949"/>
      <c r="F633" s="949"/>
      <c r="G633" s="949"/>
      <c r="H633" s="989">
        <f>Master!N832</f>
        <v>0</v>
      </c>
      <c r="I633" s="990"/>
      <c r="J633" s="990"/>
      <c r="K633" s="990"/>
      <c r="L633" s="991"/>
      <c r="M633" s="16"/>
    </row>
    <row r="634" spans="1:13" ht="30" customHeight="1">
      <c r="A634" s="73"/>
      <c r="B634" s="984" t="s">
        <v>106</v>
      </c>
      <c r="C634" s="985"/>
      <c r="D634" s="985"/>
      <c r="E634" s="985"/>
      <c r="F634" s="985"/>
      <c r="G634" s="985"/>
      <c r="H634" s="947">
        <f>Master!C28</f>
        <v>17</v>
      </c>
      <c r="I634" s="945"/>
      <c r="J634" s="945"/>
      <c r="K634" s="945"/>
      <c r="L634" s="946"/>
      <c r="M634" s="16"/>
    </row>
    <row r="635" spans="1:13" ht="30" customHeight="1">
      <c r="A635" s="73"/>
      <c r="B635" s="943" t="s">
        <v>107</v>
      </c>
      <c r="C635" s="944"/>
      <c r="D635" s="944"/>
      <c r="E635" s="944"/>
      <c r="F635" s="944"/>
      <c r="G635" s="944"/>
      <c r="H635" s="947" t="str">
        <f>Master!J28</f>
        <v>Semi Skilled Gardner</v>
      </c>
      <c r="I635" s="945"/>
      <c r="J635" s="945"/>
      <c r="K635" s="945"/>
      <c r="L635" s="946"/>
      <c r="M635" s="16"/>
    </row>
    <row r="636" spans="1:13" ht="30" customHeight="1">
      <c r="A636" s="73"/>
      <c r="B636" s="943" t="s">
        <v>108</v>
      </c>
      <c r="C636" s="944"/>
      <c r="D636" s="944"/>
      <c r="E636" s="944"/>
      <c r="F636" s="944"/>
      <c r="G636" s="944"/>
      <c r="H636" s="957">
        <f>Master!S28</f>
        <v>43850</v>
      </c>
      <c r="I636" s="958"/>
      <c r="J636" s="958"/>
      <c r="K636" s="958"/>
      <c r="L636" s="959"/>
      <c r="M636" s="16"/>
    </row>
    <row r="637" spans="1:13" ht="30" customHeight="1">
      <c r="A637" s="73"/>
      <c r="B637" s="386" t="s">
        <v>109</v>
      </c>
      <c r="C637" s="116"/>
      <c r="D637" s="116"/>
      <c r="E637" s="116"/>
      <c r="F637" s="116"/>
      <c r="G637" s="116"/>
      <c r="H637" s="947">
        <f>Master!Y28</f>
        <v>5216340547</v>
      </c>
      <c r="I637" s="947"/>
      <c r="J637" s="947"/>
      <c r="K637" s="947"/>
      <c r="L637" s="953"/>
      <c r="M637" s="16"/>
    </row>
    <row r="638" spans="1:13" ht="30" customHeight="1">
      <c r="A638" s="73"/>
      <c r="B638" s="386" t="s">
        <v>110</v>
      </c>
      <c r="C638" s="116"/>
      <c r="D638" s="116"/>
      <c r="E638" s="116"/>
      <c r="F638" s="116"/>
      <c r="G638" s="119"/>
      <c r="H638" s="947" t="str">
        <f>Master!X28</f>
        <v>101554509007</v>
      </c>
      <c r="I638" s="947"/>
      <c r="J638" s="947"/>
      <c r="K638" s="947"/>
      <c r="L638" s="953"/>
      <c r="M638" s="16"/>
    </row>
    <row r="639" spans="1:13" ht="30" customHeight="1">
      <c r="A639" s="73"/>
      <c r="B639" s="954" t="s">
        <v>111</v>
      </c>
      <c r="C639" s="955"/>
      <c r="D639" s="955"/>
      <c r="E639" s="955"/>
      <c r="F639" s="955"/>
      <c r="G639" s="955"/>
      <c r="H639" s="950">
        <f>Master!AC28</f>
        <v>11459</v>
      </c>
      <c r="I639" s="951"/>
      <c r="J639" s="951"/>
      <c r="K639" s="951"/>
      <c r="L639" s="952"/>
      <c r="M639" s="16"/>
    </row>
    <row r="640" spans="1:13" ht="30" customHeight="1">
      <c r="A640" s="73"/>
      <c r="B640" s="943" t="s">
        <v>112</v>
      </c>
      <c r="C640" s="944"/>
      <c r="D640" s="944"/>
      <c r="E640" s="944"/>
      <c r="F640" s="944"/>
      <c r="G640" s="944"/>
      <c r="H640" s="956">
        <f>Master!F10</f>
        <v>44652</v>
      </c>
      <c r="I640" s="945"/>
      <c r="J640" s="945"/>
      <c r="K640" s="945"/>
      <c r="L640" s="946"/>
      <c r="M640" s="16"/>
    </row>
    <row r="641" spans="1:13" ht="30" customHeight="1">
      <c r="A641" s="15"/>
      <c r="B641" s="943" t="s">
        <v>113</v>
      </c>
      <c r="C641" s="944"/>
      <c r="D641" s="944"/>
      <c r="E641" s="944"/>
      <c r="F641" s="944"/>
      <c r="G641" s="944"/>
      <c r="H641" s="945" t="s">
        <v>114</v>
      </c>
      <c r="I641" s="945"/>
      <c r="J641" s="945"/>
      <c r="K641" s="945"/>
      <c r="L641" s="946"/>
      <c r="M641" s="16"/>
    </row>
    <row r="642" spans="1:13" ht="30" customHeight="1">
      <c r="A642" s="15"/>
      <c r="B642" s="386" t="s">
        <v>115</v>
      </c>
      <c r="C642" s="116"/>
      <c r="D642" s="116"/>
      <c r="E642" s="116"/>
      <c r="F642" s="116"/>
      <c r="G642" s="119"/>
      <c r="H642" s="947">
        <f>Master!AA28</f>
        <v>0</v>
      </c>
      <c r="I642" s="945"/>
      <c r="J642" s="945"/>
      <c r="K642" s="945"/>
      <c r="L642" s="946"/>
      <c r="M642" s="16"/>
    </row>
    <row r="643" spans="1:13" ht="30" customHeight="1">
      <c r="A643" s="15"/>
      <c r="B643" s="386" t="s">
        <v>116</v>
      </c>
      <c r="C643" s="116"/>
      <c r="D643" s="116"/>
      <c r="E643" s="116"/>
      <c r="F643" s="116"/>
      <c r="G643" s="119"/>
      <c r="H643" s="986" t="s">
        <v>28</v>
      </c>
      <c r="I643" s="987"/>
      <c r="J643" s="987"/>
      <c r="K643" s="987"/>
      <c r="L643" s="988"/>
      <c r="M643" s="16"/>
    </row>
    <row r="644" spans="1:13" ht="30" customHeight="1">
      <c r="A644" s="15"/>
      <c r="B644" s="386" t="s">
        <v>117</v>
      </c>
      <c r="C644" s="116"/>
      <c r="D644" s="116"/>
      <c r="E644" s="116"/>
      <c r="F644" s="116"/>
      <c r="G644" s="119"/>
      <c r="H644" s="989">
        <v>0</v>
      </c>
      <c r="I644" s="990"/>
      <c r="J644" s="990"/>
      <c r="K644" s="990"/>
      <c r="L644" s="991"/>
      <c r="M644" s="16"/>
    </row>
    <row r="645" spans="1:13" ht="30" customHeight="1">
      <c r="A645" s="15"/>
      <c r="B645" s="386" t="s">
        <v>118</v>
      </c>
      <c r="C645" s="116"/>
      <c r="D645" s="116"/>
      <c r="E645" s="116"/>
      <c r="F645" s="116"/>
      <c r="G645" s="119"/>
      <c r="H645" s="986">
        <v>0</v>
      </c>
      <c r="I645" s="987"/>
      <c r="J645" s="987"/>
      <c r="K645" s="987"/>
      <c r="L645" s="988"/>
      <c r="M645" s="16"/>
    </row>
    <row r="646" spans="1:13" ht="30" customHeight="1">
      <c r="A646" s="15"/>
      <c r="B646" s="386" t="s">
        <v>119</v>
      </c>
      <c r="C646" s="116"/>
      <c r="D646" s="116"/>
      <c r="E646" s="116"/>
      <c r="F646" s="116"/>
      <c r="G646" s="119"/>
      <c r="H646" s="117"/>
      <c r="I646" s="118"/>
      <c r="J646" s="990">
        <f>Master!AK27</f>
        <v>0</v>
      </c>
      <c r="K646" s="992"/>
      <c r="L646" s="581" t="s">
        <v>737</v>
      </c>
      <c r="M646" s="16"/>
    </row>
    <row r="647" spans="1:13" ht="30" customHeight="1">
      <c r="A647" s="15"/>
      <c r="B647" s="386" t="s">
        <v>120</v>
      </c>
      <c r="C647" s="116"/>
      <c r="D647" s="465" t="s">
        <v>24</v>
      </c>
      <c r="E647" s="466">
        <f>Master!AM28</f>
        <v>0</v>
      </c>
      <c r="F647" s="465" t="s">
        <v>23</v>
      </c>
      <c r="G647" s="466">
        <f>Master!AL28</f>
        <v>0</v>
      </c>
      <c r="H647" s="465" t="s">
        <v>25</v>
      </c>
      <c r="I647" s="466">
        <f>Master!AN28</f>
        <v>0</v>
      </c>
      <c r="J647" s="465" t="s">
        <v>26</v>
      </c>
      <c r="K647" s="466">
        <f>Master!AO28</f>
        <v>0</v>
      </c>
      <c r="L647" s="400">
        <f>Master!AP28</f>
        <v>0</v>
      </c>
      <c r="M647" s="16"/>
    </row>
    <row r="648" spans="1:13" ht="30" customHeight="1">
      <c r="A648" s="15"/>
      <c r="B648" s="386" t="s">
        <v>121</v>
      </c>
      <c r="C648" s="116"/>
      <c r="D648" s="116"/>
      <c r="E648" s="116"/>
      <c r="F648" s="116"/>
      <c r="G648" s="119"/>
      <c r="H648" s="117"/>
      <c r="I648" s="118"/>
      <c r="J648" s="541">
        <f>Master!AR28</f>
        <v>0</v>
      </c>
      <c r="K648" s="118"/>
      <c r="L648" s="125"/>
      <c r="M648" s="16"/>
    </row>
    <row r="649" spans="1:13">
      <c r="A649" s="15"/>
      <c r="B649" s="387" t="s">
        <v>122</v>
      </c>
      <c r="C649" s="74"/>
      <c r="D649" s="74"/>
      <c r="E649" s="74"/>
      <c r="F649" s="74"/>
      <c r="G649" s="75"/>
      <c r="H649" s="76"/>
      <c r="I649" s="77"/>
      <c r="J649" s="77"/>
      <c r="K649" s="77"/>
      <c r="L649" s="78"/>
      <c r="M649" s="16"/>
    </row>
    <row r="650" spans="1:13">
      <c r="A650" s="15"/>
      <c r="B650" s="388" t="s">
        <v>123</v>
      </c>
      <c r="C650" s="79"/>
      <c r="D650" s="79"/>
      <c r="E650" s="79"/>
      <c r="F650" s="79"/>
      <c r="G650" s="80"/>
      <c r="H650" s="60"/>
      <c r="I650" s="19"/>
      <c r="J650" s="19"/>
      <c r="K650" s="19"/>
      <c r="L650" s="81"/>
      <c r="M650" s="16"/>
    </row>
    <row r="651" spans="1:13">
      <c r="A651" s="15"/>
      <c r="B651" s="15"/>
      <c r="C651" s="114"/>
      <c r="D651" s="114"/>
      <c r="E651" s="114"/>
      <c r="F651" s="114"/>
      <c r="G651" s="114"/>
      <c r="H651" s="114"/>
      <c r="I651" s="114"/>
      <c r="J651" s="114"/>
      <c r="K651" s="114"/>
      <c r="L651" s="16"/>
      <c r="M651" s="16"/>
    </row>
    <row r="652" spans="1:13" ht="15" thickBot="1">
      <c r="A652" s="27"/>
      <c r="B652" s="27"/>
      <c r="C652" s="25"/>
      <c r="D652" s="25"/>
      <c r="E652" s="25"/>
      <c r="F652" s="25"/>
      <c r="G652" s="25"/>
      <c r="H652" s="25"/>
      <c r="I652" s="25"/>
      <c r="J652" s="25"/>
      <c r="K652" s="25"/>
      <c r="L652" s="26"/>
      <c r="M652" s="26"/>
    </row>
    <row r="653" spans="1:13">
      <c r="A653" s="420"/>
      <c r="B653" s="420"/>
      <c r="C653" s="420"/>
      <c r="D653" s="420"/>
      <c r="E653" s="420"/>
      <c r="F653" s="420"/>
      <c r="G653" s="420"/>
      <c r="H653" s="420"/>
      <c r="I653" s="420"/>
      <c r="J653" s="420"/>
      <c r="K653" s="420"/>
      <c r="L653" s="420"/>
      <c r="M653" s="420"/>
    </row>
    <row r="654" spans="1:13">
      <c r="A654" s="420"/>
      <c r="B654" s="420"/>
      <c r="C654" s="420"/>
      <c r="D654" s="420"/>
      <c r="E654" s="420"/>
      <c r="F654" s="420"/>
      <c r="G654" s="420"/>
      <c r="H654" s="420"/>
      <c r="I654" s="420"/>
      <c r="J654" s="420"/>
      <c r="K654" s="420"/>
      <c r="L654" s="420"/>
      <c r="M654" s="420"/>
    </row>
    <row r="655" spans="1:13">
      <c r="A655" s="420"/>
      <c r="B655" s="420"/>
      <c r="C655" s="420"/>
      <c r="D655" s="420"/>
      <c r="E655" s="420"/>
      <c r="F655" s="420"/>
      <c r="G655" s="420"/>
      <c r="H655" s="420"/>
      <c r="I655" s="420"/>
      <c r="J655" s="420"/>
      <c r="K655" s="420"/>
      <c r="L655" s="420"/>
      <c r="M655" s="420"/>
    </row>
    <row r="656" spans="1:13">
      <c r="A656" s="420"/>
      <c r="B656" s="420"/>
      <c r="C656" s="420"/>
      <c r="D656" s="420"/>
      <c r="E656" s="420"/>
      <c r="F656" s="420"/>
      <c r="G656" s="420"/>
      <c r="H656" s="420"/>
      <c r="I656" s="420"/>
      <c r="J656" s="420"/>
      <c r="K656" s="420"/>
      <c r="L656" s="420"/>
      <c r="M656" s="420"/>
    </row>
    <row r="657" spans="1:13" ht="15" thickBot="1">
      <c r="A657" s="420"/>
      <c r="B657" s="420"/>
      <c r="C657" s="420"/>
      <c r="D657" s="420"/>
      <c r="E657" s="420"/>
      <c r="F657" s="420"/>
      <c r="G657" s="420"/>
      <c r="H657" s="420"/>
      <c r="I657" s="420"/>
      <c r="J657" s="420"/>
      <c r="K657" s="420"/>
      <c r="L657" s="420"/>
      <c r="M657" s="420"/>
    </row>
    <row r="658" spans="1:13" ht="32.4">
      <c r="A658" s="68"/>
      <c r="B658" s="960" t="s">
        <v>99</v>
      </c>
      <c r="C658" s="961"/>
      <c r="D658" s="961"/>
      <c r="E658" s="961"/>
      <c r="F658" s="961"/>
      <c r="G658" s="961"/>
      <c r="H658" s="961"/>
      <c r="I658" s="961"/>
      <c r="J658" s="961"/>
      <c r="K658" s="961"/>
      <c r="L658" s="962"/>
      <c r="M658" s="69"/>
    </row>
    <row r="659" spans="1:13" ht="23.4">
      <c r="A659" s="15"/>
      <c r="B659" s="963" t="s">
        <v>100</v>
      </c>
      <c r="C659" s="964"/>
      <c r="D659" s="964"/>
      <c r="E659" s="964"/>
      <c r="F659" s="964"/>
      <c r="G659" s="964"/>
      <c r="H659" s="964"/>
      <c r="I659" s="964"/>
      <c r="J659" s="964"/>
      <c r="K659" s="964"/>
      <c r="L659" s="965"/>
      <c r="M659" s="16"/>
    </row>
    <row r="660" spans="1:13" ht="15.6">
      <c r="A660" s="15"/>
      <c r="B660" s="966" t="s">
        <v>1070</v>
      </c>
      <c r="C660" s="967"/>
      <c r="D660" s="967"/>
      <c r="E660" s="967"/>
      <c r="F660" s="967"/>
      <c r="G660" s="967"/>
      <c r="H660" s="968"/>
      <c r="I660" s="968"/>
      <c r="J660" s="968"/>
      <c r="K660" s="968"/>
      <c r="L660" s="969"/>
      <c r="M660" s="16"/>
    </row>
    <row r="661" spans="1:13">
      <c r="A661" s="15"/>
      <c r="B661" s="970" t="s">
        <v>101</v>
      </c>
      <c r="C661" s="971"/>
      <c r="D661" s="971"/>
      <c r="E661" s="971"/>
      <c r="F661" s="971"/>
      <c r="G661" s="391"/>
      <c r="H661" s="974" t="s">
        <v>102</v>
      </c>
      <c r="I661" s="975"/>
      <c r="J661" s="975"/>
      <c r="K661" s="975"/>
      <c r="L661" s="976"/>
      <c r="M661" s="16"/>
    </row>
    <row r="662" spans="1:13">
      <c r="A662" s="15"/>
      <c r="B662" s="972"/>
      <c r="C662" s="973"/>
      <c r="D662" s="973"/>
      <c r="E662" s="973"/>
      <c r="F662" s="973"/>
      <c r="G662" s="395"/>
      <c r="H662" s="977"/>
      <c r="I662" s="978"/>
      <c r="J662" s="978"/>
      <c r="K662" s="978"/>
      <c r="L662" s="979"/>
      <c r="M662" s="16"/>
    </row>
    <row r="663" spans="1:13">
      <c r="A663" s="15"/>
      <c r="B663" s="382"/>
      <c r="C663" s="77"/>
      <c r="D663" s="77"/>
      <c r="E663" s="77"/>
      <c r="F663" s="77"/>
      <c r="G663" s="56"/>
      <c r="H663" s="76"/>
      <c r="I663" s="77"/>
      <c r="J663" s="77"/>
      <c r="K663" s="77"/>
      <c r="L663" s="78"/>
      <c r="M663" s="16"/>
    </row>
    <row r="664" spans="1:13">
      <c r="A664" s="15"/>
      <c r="B664" s="378" t="str">
        <f>Master!F5</f>
        <v>GROTECH LANDSCAPE DEVELOPERS PVT. LTD.</v>
      </c>
      <c r="C664" s="114"/>
      <c r="D664" s="114"/>
      <c r="E664" s="114"/>
      <c r="F664" s="114"/>
      <c r="G664" s="379"/>
      <c r="H664" s="381" t="str">
        <f>Master!AN5</f>
        <v>GROTECH LANDSCAPE DEVELOPERS PVT. LTD.</v>
      </c>
      <c r="I664" s="114"/>
      <c r="J664" s="114"/>
      <c r="K664" s="114"/>
      <c r="L664" s="16"/>
      <c r="M664" s="16"/>
    </row>
    <row r="665" spans="1:13">
      <c r="A665" s="15"/>
      <c r="B665" s="15"/>
      <c r="C665" s="114"/>
      <c r="D665" s="114"/>
      <c r="E665" s="114"/>
      <c r="F665" s="114"/>
      <c r="G665" s="379"/>
      <c r="H665" s="380"/>
      <c r="I665" s="114"/>
      <c r="J665" s="114"/>
      <c r="K665" s="114"/>
      <c r="L665" s="16"/>
      <c r="M665" s="16"/>
    </row>
    <row r="666" spans="1:13">
      <c r="A666" s="15"/>
      <c r="B666" s="538" t="str">
        <f>Master!F6</f>
        <v>290/E, Khanapur Village, Gandipet Mandal, Ranga Reddy, Hyderabad-500075 T.S.</v>
      </c>
      <c r="C666" s="114"/>
      <c r="D666" s="114"/>
      <c r="E666" s="114"/>
      <c r="F666" s="114"/>
      <c r="G666" s="379"/>
      <c r="H666" s="539" t="str">
        <f>Master!AN6</f>
        <v>290/E, Khanapur Village, Gandipet Mandal, Ranga Reddy, Hyderabad-500075 T.S.</v>
      </c>
      <c r="I666" s="114"/>
      <c r="J666" s="114"/>
      <c r="K666" s="114"/>
      <c r="L666" s="16"/>
      <c r="M666" s="16"/>
    </row>
    <row r="667" spans="1:13">
      <c r="A667" s="15"/>
      <c r="B667" s="383"/>
      <c r="C667" s="19"/>
      <c r="D667" s="19"/>
      <c r="E667" s="19"/>
      <c r="F667" s="19"/>
      <c r="G667" s="61"/>
      <c r="H667" s="60"/>
      <c r="I667" s="19"/>
      <c r="J667" s="19"/>
      <c r="K667" s="19"/>
      <c r="L667" s="81"/>
      <c r="M667" s="16"/>
    </row>
    <row r="668" spans="1:13">
      <c r="A668" s="15"/>
      <c r="B668" s="389"/>
      <c r="C668" s="390"/>
      <c r="D668" s="390"/>
      <c r="E668" s="390"/>
      <c r="F668" s="390"/>
      <c r="G668" s="391"/>
      <c r="H668" s="396"/>
      <c r="I668" s="390"/>
      <c r="J668" s="390" t="s">
        <v>103</v>
      </c>
      <c r="K668" s="390"/>
      <c r="L668" s="397"/>
      <c r="M668" s="16"/>
    </row>
    <row r="669" spans="1:13">
      <c r="A669" s="15"/>
      <c r="B669" s="980" t="s">
        <v>104</v>
      </c>
      <c r="C669" s="981"/>
      <c r="D669" s="981"/>
      <c r="E669" s="981"/>
      <c r="F669" s="981"/>
      <c r="G669" s="392"/>
      <c r="H669" s="982" t="s">
        <v>4</v>
      </c>
      <c r="I669" s="981"/>
      <c r="J669" s="981"/>
      <c r="K669" s="981"/>
      <c r="L669" s="983"/>
      <c r="M669" s="16"/>
    </row>
    <row r="670" spans="1:13">
      <c r="A670" s="15"/>
      <c r="B670" s="393"/>
      <c r="C670" s="394"/>
      <c r="D670" s="394"/>
      <c r="E670" s="394"/>
      <c r="F670" s="394"/>
      <c r="G670" s="395"/>
      <c r="H670" s="398"/>
      <c r="I670" s="394"/>
      <c r="J670" s="394"/>
      <c r="K670" s="394"/>
      <c r="L670" s="399"/>
      <c r="M670" s="16"/>
    </row>
    <row r="671" spans="1:13">
      <c r="A671" s="15"/>
      <c r="B671" s="382"/>
      <c r="C671" s="77"/>
      <c r="D671" s="77"/>
      <c r="E671" s="77"/>
      <c r="F671" s="77"/>
      <c r="G671" s="56"/>
      <c r="H671" s="74"/>
      <c r="I671" s="74"/>
      <c r="J671" s="74"/>
      <c r="K671" s="74"/>
      <c r="L671" s="384"/>
      <c r="M671" s="16"/>
    </row>
    <row r="672" spans="1:13">
      <c r="A672" s="15"/>
      <c r="B672" s="15"/>
      <c r="C672" s="114"/>
      <c r="D672" s="114"/>
      <c r="E672" s="114"/>
      <c r="F672" s="114"/>
      <c r="G672" s="379"/>
      <c r="H672" s="115" t="str">
        <f>Master!AN10</f>
        <v>INDIAN SCHOOL OF BUSINESS</v>
      </c>
      <c r="I672" s="115"/>
      <c r="J672" s="115"/>
      <c r="K672" s="115"/>
      <c r="L672" s="71"/>
      <c r="M672" s="16"/>
    </row>
    <row r="673" spans="1:13">
      <c r="A673" s="15"/>
      <c r="B673" s="70" t="str">
        <f>Master!F8</f>
        <v>GARDENING SERVICES&amp;ISB HYDERABAD</v>
      </c>
      <c r="C673" s="114"/>
      <c r="D673" s="114"/>
      <c r="E673" s="114"/>
      <c r="F673" s="114"/>
      <c r="G673" s="379"/>
      <c r="H673" s="115"/>
      <c r="I673" s="115"/>
      <c r="J673" s="115"/>
      <c r="K673" s="115"/>
      <c r="L673" s="71"/>
      <c r="M673" s="16"/>
    </row>
    <row r="674" spans="1:13">
      <c r="A674" s="15"/>
      <c r="B674" s="15"/>
      <c r="C674" s="114"/>
      <c r="D674" s="114"/>
      <c r="E674" s="114"/>
      <c r="F674" s="114"/>
      <c r="G674" s="379"/>
      <c r="H674" s="115" t="str">
        <f>Master!AN11</f>
        <v>Opp.Infosys Limited,Gachibowli,Hyderabad</v>
      </c>
      <c r="I674" s="115"/>
      <c r="J674" s="115"/>
      <c r="K674" s="115"/>
      <c r="L674" s="71"/>
      <c r="M674" s="16"/>
    </row>
    <row r="675" spans="1:13">
      <c r="A675" s="15"/>
      <c r="B675" s="383"/>
      <c r="C675" s="19"/>
      <c r="D675" s="19"/>
      <c r="E675" s="19"/>
      <c r="F675" s="19"/>
      <c r="G675" s="61"/>
      <c r="H675" s="79"/>
      <c r="I675" s="79"/>
      <c r="J675" s="79"/>
      <c r="K675" s="79"/>
      <c r="L675" s="385"/>
      <c r="M675" s="16"/>
    </row>
    <row r="676" spans="1:13" ht="30" customHeight="1">
      <c r="A676" s="15"/>
      <c r="B676" s="948" t="s">
        <v>105</v>
      </c>
      <c r="C676" s="949"/>
      <c r="D676" s="949"/>
      <c r="E676" s="949"/>
      <c r="F676" s="949"/>
      <c r="G676" s="949"/>
      <c r="H676" s="950" t="str">
        <f>Master!D29</f>
        <v>Pradeep kumar</v>
      </c>
      <c r="I676" s="951"/>
      <c r="J676" s="951"/>
      <c r="K676" s="951"/>
      <c r="L676" s="952"/>
      <c r="M676" s="16"/>
    </row>
    <row r="677" spans="1:13" ht="30" customHeight="1">
      <c r="A677" s="15"/>
      <c r="B677" s="948"/>
      <c r="C677" s="949"/>
      <c r="D677" s="949"/>
      <c r="E677" s="949"/>
      <c r="F677" s="949"/>
      <c r="G677" s="949"/>
      <c r="H677" s="950" t="str">
        <f>Master!K29</f>
        <v>Nayan,Saion,</v>
      </c>
      <c r="I677" s="951"/>
      <c r="J677" s="951"/>
      <c r="K677" s="951"/>
      <c r="L677" s="952"/>
      <c r="M677" s="16"/>
    </row>
    <row r="678" spans="1:13" ht="30" customHeight="1">
      <c r="A678" s="15"/>
      <c r="B678" s="948"/>
      <c r="C678" s="949"/>
      <c r="D678" s="949"/>
      <c r="E678" s="949"/>
      <c r="F678" s="949"/>
      <c r="G678" s="949"/>
      <c r="H678" s="950" t="str">
        <f>Master!L29</f>
        <v>Khamariya pure Kushal,amethi,nini</v>
      </c>
      <c r="I678" s="951"/>
      <c r="J678" s="951"/>
      <c r="K678" s="951"/>
      <c r="L678" s="952"/>
      <c r="M678" s="16"/>
    </row>
    <row r="679" spans="1:13" ht="30" customHeight="1">
      <c r="A679" s="15"/>
      <c r="B679" s="948"/>
      <c r="C679" s="949"/>
      <c r="D679" s="949"/>
      <c r="E679" s="949"/>
      <c r="F679" s="949"/>
      <c r="G679" s="949"/>
      <c r="H679" s="950" t="str">
        <f>Master!M29</f>
        <v>U.P-229127</v>
      </c>
      <c r="I679" s="951"/>
      <c r="J679" s="951"/>
      <c r="K679" s="951"/>
      <c r="L679" s="952"/>
      <c r="M679" s="16"/>
    </row>
    <row r="680" spans="1:13" ht="30" customHeight="1">
      <c r="A680" s="73"/>
      <c r="B680" s="948"/>
      <c r="C680" s="949"/>
      <c r="D680" s="949"/>
      <c r="E680" s="949"/>
      <c r="F680" s="949"/>
      <c r="G680" s="949"/>
      <c r="H680" s="989">
        <f>Master!N900</f>
        <v>0</v>
      </c>
      <c r="I680" s="990"/>
      <c r="J680" s="990"/>
      <c r="K680" s="990"/>
      <c r="L680" s="991"/>
      <c r="M680" s="16"/>
    </row>
    <row r="681" spans="1:13" ht="30" customHeight="1">
      <c r="A681" s="73"/>
      <c r="B681" s="984" t="s">
        <v>106</v>
      </c>
      <c r="C681" s="985"/>
      <c r="D681" s="985"/>
      <c r="E681" s="985"/>
      <c r="F681" s="985"/>
      <c r="G681" s="985"/>
      <c r="H681" s="947">
        <f>Master!C29</f>
        <v>18</v>
      </c>
      <c r="I681" s="945"/>
      <c r="J681" s="945"/>
      <c r="K681" s="945"/>
      <c r="L681" s="946"/>
      <c r="M681" s="16"/>
    </row>
    <row r="682" spans="1:13" ht="30" customHeight="1">
      <c r="A682" s="73"/>
      <c r="B682" s="943" t="s">
        <v>107</v>
      </c>
      <c r="C682" s="944"/>
      <c r="D682" s="944"/>
      <c r="E682" s="944"/>
      <c r="F682" s="944"/>
      <c r="G682" s="944"/>
      <c r="H682" s="947" t="str">
        <f>Master!J29</f>
        <v>Semi Skilled Gardner</v>
      </c>
      <c r="I682" s="945"/>
      <c r="J682" s="945"/>
      <c r="K682" s="945"/>
      <c r="L682" s="946"/>
      <c r="M682" s="16"/>
    </row>
    <row r="683" spans="1:13" ht="30" customHeight="1">
      <c r="A683" s="73"/>
      <c r="B683" s="943" t="s">
        <v>108</v>
      </c>
      <c r="C683" s="944"/>
      <c r="D683" s="944"/>
      <c r="E683" s="944"/>
      <c r="F683" s="944"/>
      <c r="G683" s="944"/>
      <c r="H683" s="957">
        <f>Master!S29</f>
        <v>43850</v>
      </c>
      <c r="I683" s="958"/>
      <c r="J683" s="958"/>
      <c r="K683" s="958"/>
      <c r="L683" s="959"/>
      <c r="M683" s="16"/>
    </row>
    <row r="684" spans="1:13" ht="30" customHeight="1">
      <c r="A684" s="73"/>
      <c r="B684" s="386" t="s">
        <v>109</v>
      </c>
      <c r="C684" s="116"/>
      <c r="D684" s="116"/>
      <c r="E684" s="116"/>
      <c r="F684" s="116"/>
      <c r="G684" s="116"/>
      <c r="H684" s="947">
        <f>Master!Y29</f>
        <v>5216340569</v>
      </c>
      <c r="I684" s="947"/>
      <c r="J684" s="947"/>
      <c r="K684" s="947"/>
      <c r="L684" s="953"/>
      <c r="M684" s="16"/>
    </row>
    <row r="685" spans="1:13" ht="30" customHeight="1">
      <c r="A685" s="73"/>
      <c r="B685" s="386" t="s">
        <v>110</v>
      </c>
      <c r="C685" s="116"/>
      <c r="D685" s="116"/>
      <c r="E685" s="116"/>
      <c r="F685" s="116"/>
      <c r="G685" s="119"/>
      <c r="H685" s="947" t="str">
        <f>Master!X29</f>
        <v>101554508996</v>
      </c>
      <c r="I685" s="947"/>
      <c r="J685" s="947"/>
      <c r="K685" s="947"/>
      <c r="L685" s="953"/>
      <c r="M685" s="16"/>
    </row>
    <row r="686" spans="1:13" ht="30" customHeight="1">
      <c r="A686" s="73"/>
      <c r="B686" s="954" t="s">
        <v>111</v>
      </c>
      <c r="C686" s="955"/>
      <c r="D686" s="955"/>
      <c r="E686" s="955"/>
      <c r="F686" s="955"/>
      <c r="G686" s="955"/>
      <c r="H686" s="950">
        <f>Master!AC29</f>
        <v>11459</v>
      </c>
      <c r="I686" s="951"/>
      <c r="J686" s="951"/>
      <c r="K686" s="951"/>
      <c r="L686" s="952"/>
      <c r="M686" s="16"/>
    </row>
    <row r="687" spans="1:13" ht="30" customHeight="1">
      <c r="A687" s="73"/>
      <c r="B687" s="943" t="s">
        <v>112</v>
      </c>
      <c r="C687" s="944"/>
      <c r="D687" s="944"/>
      <c r="E687" s="944"/>
      <c r="F687" s="944"/>
      <c r="G687" s="944"/>
      <c r="H687" s="956">
        <f>Master!F10</f>
        <v>44652</v>
      </c>
      <c r="I687" s="945"/>
      <c r="J687" s="945"/>
      <c r="K687" s="945"/>
      <c r="L687" s="946"/>
      <c r="M687" s="16"/>
    </row>
    <row r="688" spans="1:13" ht="30" customHeight="1">
      <c r="A688" s="15"/>
      <c r="B688" s="943" t="s">
        <v>113</v>
      </c>
      <c r="C688" s="944"/>
      <c r="D688" s="944"/>
      <c r="E688" s="944"/>
      <c r="F688" s="944"/>
      <c r="G688" s="944"/>
      <c r="H688" s="945" t="s">
        <v>114</v>
      </c>
      <c r="I688" s="945"/>
      <c r="J688" s="945"/>
      <c r="K688" s="945"/>
      <c r="L688" s="946"/>
      <c r="M688" s="16"/>
    </row>
    <row r="689" spans="1:13" ht="30" customHeight="1">
      <c r="A689" s="15"/>
      <c r="B689" s="386" t="s">
        <v>115</v>
      </c>
      <c r="C689" s="116"/>
      <c r="D689" s="116"/>
      <c r="E689" s="116"/>
      <c r="F689" s="116"/>
      <c r="G689" s="119"/>
      <c r="H689" s="947">
        <f>Master!AA29</f>
        <v>0</v>
      </c>
      <c r="I689" s="945"/>
      <c r="J689" s="945"/>
      <c r="K689" s="945"/>
      <c r="L689" s="946"/>
      <c r="M689" s="16"/>
    </row>
    <row r="690" spans="1:13" ht="30" customHeight="1">
      <c r="A690" s="15"/>
      <c r="B690" s="386" t="s">
        <v>116</v>
      </c>
      <c r="C690" s="116"/>
      <c r="D690" s="116"/>
      <c r="E690" s="116"/>
      <c r="F690" s="116"/>
      <c r="G690" s="119"/>
      <c r="H690" s="986" t="s">
        <v>28</v>
      </c>
      <c r="I690" s="987"/>
      <c r="J690" s="987"/>
      <c r="K690" s="987"/>
      <c r="L690" s="988"/>
      <c r="M690" s="16"/>
    </row>
    <row r="691" spans="1:13" ht="30" customHeight="1">
      <c r="A691" s="15"/>
      <c r="B691" s="386" t="s">
        <v>117</v>
      </c>
      <c r="C691" s="116"/>
      <c r="D691" s="116"/>
      <c r="E691" s="116"/>
      <c r="F691" s="116"/>
      <c r="G691" s="119"/>
      <c r="H691" s="989">
        <v>0</v>
      </c>
      <c r="I691" s="990"/>
      <c r="J691" s="990"/>
      <c r="K691" s="990"/>
      <c r="L691" s="991"/>
      <c r="M691" s="16"/>
    </row>
    <row r="692" spans="1:13" ht="30" customHeight="1">
      <c r="A692" s="15"/>
      <c r="B692" s="386" t="s">
        <v>118</v>
      </c>
      <c r="C692" s="116"/>
      <c r="D692" s="116"/>
      <c r="E692" s="116"/>
      <c r="F692" s="116"/>
      <c r="G692" s="119"/>
      <c r="H692" s="986">
        <v>0</v>
      </c>
      <c r="I692" s="987"/>
      <c r="J692" s="987"/>
      <c r="K692" s="987"/>
      <c r="L692" s="988"/>
      <c r="M692" s="16"/>
    </row>
    <row r="693" spans="1:13" ht="30" customHeight="1">
      <c r="A693" s="15"/>
      <c r="B693" s="386" t="s">
        <v>119</v>
      </c>
      <c r="C693" s="116"/>
      <c r="D693" s="116"/>
      <c r="E693" s="116"/>
      <c r="F693" s="116"/>
      <c r="G693" s="119"/>
      <c r="H693" s="117"/>
      <c r="I693" s="118"/>
      <c r="J693" s="990">
        <f>Master!AK29</f>
        <v>0</v>
      </c>
      <c r="K693" s="992"/>
      <c r="L693" s="581" t="s">
        <v>737</v>
      </c>
      <c r="M693" s="16"/>
    </row>
    <row r="694" spans="1:13" ht="30" customHeight="1">
      <c r="A694" s="15"/>
      <c r="B694" s="386" t="s">
        <v>120</v>
      </c>
      <c r="C694" s="116"/>
      <c r="D694" s="465" t="s">
        <v>24</v>
      </c>
      <c r="E694" s="466">
        <f>Master!AM29</f>
        <v>0</v>
      </c>
      <c r="F694" s="465" t="s">
        <v>23</v>
      </c>
      <c r="G694" s="466">
        <f>Master!AL29</f>
        <v>0</v>
      </c>
      <c r="H694" s="465" t="s">
        <v>25</v>
      </c>
      <c r="I694" s="466">
        <f>Master!AN29</f>
        <v>0</v>
      </c>
      <c r="J694" s="465" t="s">
        <v>26</v>
      </c>
      <c r="K694" s="466">
        <f>Master!AO29</f>
        <v>0</v>
      </c>
      <c r="L694" s="400">
        <f>Master!AP29</f>
        <v>0</v>
      </c>
      <c r="M694" s="16"/>
    </row>
    <row r="695" spans="1:13" ht="30" customHeight="1">
      <c r="A695" s="15"/>
      <c r="B695" s="386" t="s">
        <v>121</v>
      </c>
      <c r="C695" s="116"/>
      <c r="D695" s="116"/>
      <c r="E695" s="116"/>
      <c r="F695" s="116"/>
      <c r="G695" s="119"/>
      <c r="H695" s="117"/>
      <c r="I695" s="118"/>
      <c r="J695" s="541">
        <f>Master!AR29</f>
        <v>0</v>
      </c>
      <c r="K695" s="118"/>
      <c r="L695" s="125"/>
      <c r="M695" s="16"/>
    </row>
    <row r="696" spans="1:13">
      <c r="A696" s="15"/>
      <c r="B696" s="387" t="s">
        <v>122</v>
      </c>
      <c r="C696" s="74"/>
      <c r="D696" s="74"/>
      <c r="E696" s="74"/>
      <c r="F696" s="74"/>
      <c r="G696" s="75"/>
      <c r="H696" s="76"/>
      <c r="I696" s="77"/>
      <c r="J696" s="77"/>
      <c r="K696" s="77"/>
      <c r="L696" s="78"/>
      <c r="M696" s="16"/>
    </row>
    <row r="697" spans="1:13">
      <c r="A697" s="15"/>
      <c r="B697" s="388" t="s">
        <v>123</v>
      </c>
      <c r="C697" s="79"/>
      <c r="D697" s="79"/>
      <c r="E697" s="79"/>
      <c r="F697" s="79"/>
      <c r="G697" s="80"/>
      <c r="H697" s="60"/>
      <c r="I697" s="19"/>
      <c r="J697" s="19"/>
      <c r="K697" s="19"/>
      <c r="L697" s="81"/>
      <c r="M697" s="16"/>
    </row>
    <row r="698" spans="1:13">
      <c r="A698" s="15"/>
      <c r="B698" s="15"/>
      <c r="C698" s="114"/>
      <c r="D698" s="114"/>
      <c r="E698" s="114"/>
      <c r="F698" s="114"/>
      <c r="G698" s="114"/>
      <c r="H698" s="114"/>
      <c r="I698" s="114"/>
      <c r="J698" s="114"/>
      <c r="K698" s="114"/>
      <c r="L698" s="16"/>
      <c r="M698" s="16"/>
    </row>
    <row r="699" spans="1:13" ht="15" thickBot="1">
      <c r="A699" s="27"/>
      <c r="B699" s="27"/>
      <c r="C699" s="25"/>
      <c r="D699" s="25"/>
      <c r="E699" s="25"/>
      <c r="F699" s="25"/>
      <c r="G699" s="25"/>
      <c r="H699" s="25"/>
      <c r="I699" s="25"/>
      <c r="J699" s="25"/>
      <c r="K699" s="25"/>
      <c r="L699" s="26"/>
      <c r="M699" s="26"/>
    </row>
    <row r="700" spans="1:13">
      <c r="A700" s="420"/>
      <c r="B700" s="420"/>
      <c r="C700" s="420"/>
      <c r="D700" s="420"/>
      <c r="E700" s="420"/>
      <c r="F700" s="420"/>
      <c r="G700" s="420"/>
      <c r="H700" s="420"/>
      <c r="I700" s="420"/>
      <c r="J700" s="420"/>
      <c r="K700" s="420"/>
      <c r="L700" s="420"/>
      <c r="M700" s="420"/>
    </row>
    <row r="701" spans="1:13">
      <c r="A701" s="420"/>
      <c r="B701" s="420"/>
      <c r="C701" s="420"/>
      <c r="D701" s="420"/>
      <c r="E701" s="420"/>
      <c r="F701" s="420"/>
      <c r="G701" s="420"/>
      <c r="H701" s="420"/>
      <c r="I701" s="420"/>
      <c r="J701" s="420"/>
      <c r="K701" s="420"/>
      <c r="L701" s="420"/>
      <c r="M701" s="420"/>
    </row>
    <row r="702" spans="1:13">
      <c r="A702" s="420"/>
      <c r="B702" s="420"/>
      <c r="C702" s="420"/>
      <c r="D702" s="420"/>
      <c r="E702" s="420"/>
      <c r="F702" s="420"/>
      <c r="G702" s="420"/>
      <c r="H702" s="420"/>
      <c r="I702" s="420"/>
      <c r="J702" s="420"/>
      <c r="K702" s="420"/>
      <c r="L702" s="420"/>
      <c r="M702" s="420"/>
    </row>
    <row r="703" spans="1:13">
      <c r="A703" s="420"/>
      <c r="B703" s="420"/>
      <c r="C703" s="420"/>
      <c r="D703" s="420"/>
      <c r="E703" s="420"/>
      <c r="F703" s="420"/>
      <c r="G703" s="420"/>
      <c r="H703" s="420"/>
      <c r="I703" s="420"/>
      <c r="J703" s="420"/>
      <c r="K703" s="420"/>
      <c r="L703" s="420"/>
      <c r="M703" s="420"/>
    </row>
    <row r="704" spans="1:13" ht="15" thickBot="1">
      <c r="A704" s="420"/>
      <c r="B704" s="420"/>
      <c r="C704" s="420"/>
      <c r="D704" s="420"/>
      <c r="E704" s="420"/>
      <c r="F704" s="420"/>
      <c r="G704" s="420"/>
      <c r="H704" s="420"/>
      <c r="I704" s="420"/>
      <c r="J704" s="420"/>
      <c r="K704" s="420"/>
      <c r="L704" s="420"/>
      <c r="M704" s="420"/>
    </row>
    <row r="705" spans="1:13" ht="32.4">
      <c r="A705" s="68"/>
      <c r="B705" s="960" t="s">
        <v>99</v>
      </c>
      <c r="C705" s="961"/>
      <c r="D705" s="961"/>
      <c r="E705" s="961"/>
      <c r="F705" s="961"/>
      <c r="G705" s="961"/>
      <c r="H705" s="961"/>
      <c r="I705" s="961"/>
      <c r="J705" s="961"/>
      <c r="K705" s="961"/>
      <c r="L705" s="962"/>
      <c r="M705" s="69"/>
    </row>
    <row r="706" spans="1:13" ht="23.4">
      <c r="A706" s="15"/>
      <c r="B706" s="963" t="s">
        <v>100</v>
      </c>
      <c r="C706" s="964"/>
      <c r="D706" s="964"/>
      <c r="E706" s="964"/>
      <c r="F706" s="964"/>
      <c r="G706" s="964"/>
      <c r="H706" s="964"/>
      <c r="I706" s="964"/>
      <c r="J706" s="964"/>
      <c r="K706" s="964"/>
      <c r="L706" s="965"/>
      <c r="M706" s="16"/>
    </row>
    <row r="707" spans="1:13" ht="15.6">
      <c r="A707" s="15"/>
      <c r="B707" s="966" t="s">
        <v>1070</v>
      </c>
      <c r="C707" s="967"/>
      <c r="D707" s="967"/>
      <c r="E707" s="967"/>
      <c r="F707" s="967"/>
      <c r="G707" s="967"/>
      <c r="H707" s="968"/>
      <c r="I707" s="968"/>
      <c r="J707" s="968"/>
      <c r="K707" s="968"/>
      <c r="L707" s="969"/>
      <c r="M707" s="16"/>
    </row>
    <row r="708" spans="1:13">
      <c r="A708" s="15"/>
      <c r="B708" s="970" t="s">
        <v>101</v>
      </c>
      <c r="C708" s="971"/>
      <c r="D708" s="971"/>
      <c r="E708" s="971"/>
      <c r="F708" s="971"/>
      <c r="G708" s="391"/>
      <c r="H708" s="974" t="s">
        <v>102</v>
      </c>
      <c r="I708" s="975"/>
      <c r="J708" s="975"/>
      <c r="K708" s="975"/>
      <c r="L708" s="976"/>
      <c r="M708" s="16"/>
    </row>
    <row r="709" spans="1:13">
      <c r="A709" s="15"/>
      <c r="B709" s="972"/>
      <c r="C709" s="973"/>
      <c r="D709" s="973"/>
      <c r="E709" s="973"/>
      <c r="F709" s="973"/>
      <c r="G709" s="395"/>
      <c r="H709" s="977"/>
      <c r="I709" s="978"/>
      <c r="J709" s="978"/>
      <c r="K709" s="978"/>
      <c r="L709" s="979"/>
      <c r="M709" s="16"/>
    </row>
    <row r="710" spans="1:13">
      <c r="A710" s="15"/>
      <c r="B710" s="382"/>
      <c r="C710" s="77"/>
      <c r="D710" s="77"/>
      <c r="E710" s="77"/>
      <c r="F710" s="77"/>
      <c r="G710" s="56"/>
      <c r="H710" s="76"/>
      <c r="I710" s="77"/>
      <c r="J710" s="77"/>
      <c r="K710" s="77"/>
      <c r="L710" s="78"/>
      <c r="M710" s="16"/>
    </row>
    <row r="711" spans="1:13">
      <c r="A711" s="15"/>
      <c r="B711" s="378" t="str">
        <f>Master!F5</f>
        <v>GROTECH LANDSCAPE DEVELOPERS PVT. LTD.</v>
      </c>
      <c r="C711" s="114"/>
      <c r="D711" s="114"/>
      <c r="E711" s="114"/>
      <c r="F711" s="114"/>
      <c r="G711" s="379"/>
      <c r="H711" s="381" t="str">
        <f>Master!AN5</f>
        <v>GROTECH LANDSCAPE DEVELOPERS PVT. LTD.</v>
      </c>
      <c r="I711" s="114"/>
      <c r="J711" s="114"/>
      <c r="K711" s="114"/>
      <c r="L711" s="16"/>
      <c r="M711" s="16"/>
    </row>
    <row r="712" spans="1:13">
      <c r="A712" s="15"/>
      <c r="B712" s="15"/>
      <c r="C712" s="114"/>
      <c r="D712" s="114"/>
      <c r="E712" s="114"/>
      <c r="F712" s="114"/>
      <c r="G712" s="379"/>
      <c r="H712" s="380"/>
      <c r="I712" s="114"/>
      <c r="J712" s="114"/>
      <c r="K712" s="114"/>
      <c r="L712" s="16"/>
      <c r="M712" s="16"/>
    </row>
    <row r="713" spans="1:13">
      <c r="A713" s="15"/>
      <c r="B713" s="538" t="str">
        <f>Master!F6</f>
        <v>290/E, Khanapur Village, Gandipet Mandal, Ranga Reddy, Hyderabad-500075 T.S.</v>
      </c>
      <c r="C713" s="114"/>
      <c r="D713" s="114"/>
      <c r="E713" s="114"/>
      <c r="F713" s="114"/>
      <c r="G713" s="379"/>
      <c r="H713" s="539" t="str">
        <f>Master!AN6</f>
        <v>290/E, Khanapur Village, Gandipet Mandal, Ranga Reddy, Hyderabad-500075 T.S.</v>
      </c>
      <c r="I713" s="114"/>
      <c r="J713" s="114"/>
      <c r="K713" s="114"/>
      <c r="L713" s="16"/>
      <c r="M713" s="16"/>
    </row>
    <row r="714" spans="1:13">
      <c r="A714" s="15"/>
      <c r="B714" s="383"/>
      <c r="C714" s="19"/>
      <c r="D714" s="19"/>
      <c r="E714" s="19"/>
      <c r="F714" s="19"/>
      <c r="G714" s="61"/>
      <c r="H714" s="60"/>
      <c r="I714" s="19"/>
      <c r="J714" s="19"/>
      <c r="K714" s="19"/>
      <c r="L714" s="81"/>
      <c r="M714" s="16"/>
    </row>
    <row r="715" spans="1:13">
      <c r="A715" s="15"/>
      <c r="B715" s="389"/>
      <c r="C715" s="390"/>
      <c r="D715" s="390"/>
      <c r="E715" s="390"/>
      <c r="F715" s="390"/>
      <c r="G715" s="391"/>
      <c r="H715" s="396"/>
      <c r="I715" s="390"/>
      <c r="J715" s="390" t="s">
        <v>103</v>
      </c>
      <c r="K715" s="390"/>
      <c r="L715" s="397"/>
      <c r="M715" s="16"/>
    </row>
    <row r="716" spans="1:13">
      <c r="A716" s="15"/>
      <c r="B716" s="980" t="s">
        <v>104</v>
      </c>
      <c r="C716" s="981"/>
      <c r="D716" s="981"/>
      <c r="E716" s="981"/>
      <c r="F716" s="981"/>
      <c r="G716" s="392"/>
      <c r="H716" s="982" t="s">
        <v>4</v>
      </c>
      <c r="I716" s="981"/>
      <c r="J716" s="981"/>
      <c r="K716" s="981"/>
      <c r="L716" s="983"/>
      <c r="M716" s="16"/>
    </row>
    <row r="717" spans="1:13">
      <c r="A717" s="15"/>
      <c r="B717" s="393"/>
      <c r="C717" s="394"/>
      <c r="D717" s="394"/>
      <c r="E717" s="394"/>
      <c r="F717" s="394"/>
      <c r="G717" s="395"/>
      <c r="H717" s="398"/>
      <c r="I717" s="394"/>
      <c r="J717" s="394"/>
      <c r="K717" s="394"/>
      <c r="L717" s="399"/>
      <c r="M717" s="16"/>
    </row>
    <row r="718" spans="1:13">
      <c r="A718" s="15"/>
      <c r="B718" s="382"/>
      <c r="C718" s="77"/>
      <c r="D718" s="77"/>
      <c r="E718" s="77"/>
      <c r="F718" s="77"/>
      <c r="G718" s="56"/>
      <c r="H718" s="74"/>
      <c r="I718" s="74"/>
      <c r="J718" s="74"/>
      <c r="K718" s="74"/>
      <c r="L718" s="384"/>
      <c r="M718" s="16"/>
    </row>
    <row r="719" spans="1:13">
      <c r="A719" s="15"/>
      <c r="B719" s="15"/>
      <c r="C719" s="114"/>
      <c r="D719" s="114"/>
      <c r="E719" s="114"/>
      <c r="F719" s="114"/>
      <c r="G719" s="379"/>
      <c r="H719" s="115" t="str">
        <f>Master!AN10</f>
        <v>INDIAN SCHOOL OF BUSINESS</v>
      </c>
      <c r="I719" s="115"/>
      <c r="J719" s="115"/>
      <c r="K719" s="115"/>
      <c r="L719" s="71"/>
      <c r="M719" s="16"/>
    </row>
    <row r="720" spans="1:13">
      <c r="A720" s="15"/>
      <c r="B720" s="70" t="str">
        <f>Master!F8</f>
        <v>GARDENING SERVICES&amp;ISB HYDERABAD</v>
      </c>
      <c r="C720" s="114"/>
      <c r="D720" s="114"/>
      <c r="E720" s="114"/>
      <c r="F720" s="114"/>
      <c r="G720" s="379"/>
      <c r="H720" s="115"/>
      <c r="I720" s="115"/>
      <c r="J720" s="115"/>
      <c r="K720" s="115"/>
      <c r="L720" s="71"/>
      <c r="M720" s="16"/>
    </row>
    <row r="721" spans="1:13">
      <c r="A721" s="15"/>
      <c r="B721" s="15"/>
      <c r="C721" s="114"/>
      <c r="D721" s="114"/>
      <c r="E721" s="114"/>
      <c r="F721" s="114"/>
      <c r="G721" s="379"/>
      <c r="H721" s="115" t="str">
        <f>Master!AN11</f>
        <v>Opp.Infosys Limited,Gachibowli,Hyderabad</v>
      </c>
      <c r="I721" s="115"/>
      <c r="J721" s="115"/>
      <c r="K721" s="115"/>
      <c r="L721" s="71"/>
      <c r="M721" s="16"/>
    </row>
    <row r="722" spans="1:13">
      <c r="A722" s="15"/>
      <c r="B722" s="383"/>
      <c r="C722" s="19"/>
      <c r="D722" s="19"/>
      <c r="E722" s="19"/>
      <c r="F722" s="19"/>
      <c r="G722" s="61"/>
      <c r="H722" s="79"/>
      <c r="I722" s="79"/>
      <c r="J722" s="79"/>
      <c r="K722" s="79"/>
      <c r="L722" s="385"/>
      <c r="M722" s="16"/>
    </row>
    <row r="723" spans="1:13" ht="30" customHeight="1">
      <c r="A723" s="15"/>
      <c r="B723" s="948" t="s">
        <v>105</v>
      </c>
      <c r="C723" s="949"/>
      <c r="D723" s="949"/>
      <c r="E723" s="949"/>
      <c r="F723" s="949"/>
      <c r="G723" s="949"/>
      <c r="H723" s="950" t="str">
        <f>Master!D30</f>
        <v>SHAIK KULSUM BEE</v>
      </c>
      <c r="I723" s="951"/>
      <c r="J723" s="951"/>
      <c r="K723" s="951"/>
      <c r="L723" s="952"/>
      <c r="M723" s="16"/>
    </row>
    <row r="724" spans="1:13" ht="30" customHeight="1">
      <c r="A724" s="15"/>
      <c r="B724" s="948"/>
      <c r="C724" s="949"/>
      <c r="D724" s="949"/>
      <c r="E724" s="949"/>
      <c r="F724" s="949"/>
      <c r="G724" s="949"/>
      <c r="H724" s="950" t="str">
        <f>Master!K30</f>
        <v>PLOT.NO.175,MASID BAND,</v>
      </c>
      <c r="I724" s="951"/>
      <c r="J724" s="951"/>
      <c r="K724" s="951"/>
      <c r="L724" s="952"/>
      <c r="M724" s="16"/>
    </row>
    <row r="725" spans="1:13" ht="30" customHeight="1">
      <c r="A725" s="15"/>
      <c r="B725" s="948"/>
      <c r="C725" s="949"/>
      <c r="D725" s="949"/>
      <c r="E725" s="949"/>
      <c r="F725" s="949"/>
      <c r="G725" s="949"/>
      <c r="H725" s="950" t="str">
        <f>Master!L30</f>
        <v>KONDAPUR,SERILINGAMPALLY</v>
      </c>
      <c r="I725" s="951"/>
      <c r="J725" s="951"/>
      <c r="K725" s="951"/>
      <c r="L725" s="952"/>
      <c r="M725" s="16"/>
    </row>
    <row r="726" spans="1:13" ht="30" customHeight="1">
      <c r="A726" s="15"/>
      <c r="B726" s="948"/>
      <c r="C726" s="949"/>
      <c r="D726" s="949"/>
      <c r="E726" s="949"/>
      <c r="F726" s="949"/>
      <c r="G726" s="949"/>
      <c r="H726" s="950" t="str">
        <f>Master!M30</f>
        <v>R.R-TS,500084</v>
      </c>
      <c r="I726" s="951"/>
      <c r="J726" s="951"/>
      <c r="K726" s="951"/>
      <c r="L726" s="952"/>
      <c r="M726" s="16"/>
    </row>
    <row r="727" spans="1:13" ht="30" customHeight="1">
      <c r="A727" s="73"/>
      <c r="B727" s="948"/>
      <c r="C727" s="949"/>
      <c r="D727" s="949"/>
      <c r="E727" s="949"/>
      <c r="F727" s="949"/>
      <c r="G727" s="949"/>
      <c r="H727" s="989">
        <f>Master!N968</f>
        <v>0</v>
      </c>
      <c r="I727" s="990"/>
      <c r="J727" s="990"/>
      <c r="K727" s="990"/>
      <c r="L727" s="991"/>
      <c r="M727" s="16"/>
    </row>
    <row r="728" spans="1:13" ht="30" customHeight="1">
      <c r="A728" s="73"/>
      <c r="B728" s="984" t="s">
        <v>106</v>
      </c>
      <c r="C728" s="985"/>
      <c r="D728" s="985"/>
      <c r="E728" s="985"/>
      <c r="F728" s="985"/>
      <c r="G728" s="985"/>
      <c r="H728" s="947">
        <f>Master!C30</f>
        <v>19</v>
      </c>
      <c r="I728" s="945"/>
      <c r="J728" s="945"/>
      <c r="K728" s="945"/>
      <c r="L728" s="946"/>
      <c r="M728" s="16"/>
    </row>
    <row r="729" spans="1:13" ht="30" customHeight="1">
      <c r="A729" s="73"/>
      <c r="B729" s="943" t="s">
        <v>107</v>
      </c>
      <c r="C729" s="944"/>
      <c r="D729" s="944"/>
      <c r="E729" s="944"/>
      <c r="F729" s="944"/>
      <c r="G729" s="944"/>
      <c r="H729" s="947" t="str">
        <f>Master!J30</f>
        <v>Unskilled Gardner</v>
      </c>
      <c r="I729" s="945"/>
      <c r="J729" s="945"/>
      <c r="K729" s="945"/>
      <c r="L729" s="946"/>
      <c r="M729" s="16"/>
    </row>
    <row r="730" spans="1:13" ht="30" customHeight="1">
      <c r="A730" s="73"/>
      <c r="B730" s="943" t="s">
        <v>108</v>
      </c>
      <c r="C730" s="944"/>
      <c r="D730" s="944"/>
      <c r="E730" s="944"/>
      <c r="F730" s="944"/>
      <c r="G730" s="944"/>
      <c r="H730" s="957">
        <f>Master!S30</f>
        <v>43850</v>
      </c>
      <c r="I730" s="958"/>
      <c r="J730" s="958"/>
      <c r="K730" s="958"/>
      <c r="L730" s="959"/>
      <c r="M730" s="16"/>
    </row>
    <row r="731" spans="1:13" ht="30" customHeight="1">
      <c r="A731" s="73"/>
      <c r="B731" s="386" t="s">
        <v>109</v>
      </c>
      <c r="C731" s="116"/>
      <c r="D731" s="116"/>
      <c r="E731" s="116"/>
      <c r="F731" s="116"/>
      <c r="G731" s="116"/>
      <c r="H731" s="947">
        <f>Master!Y30</f>
        <v>5210209502</v>
      </c>
      <c r="I731" s="947"/>
      <c r="J731" s="947"/>
      <c r="K731" s="947"/>
      <c r="L731" s="953"/>
      <c r="M731" s="16"/>
    </row>
    <row r="732" spans="1:13" ht="30" customHeight="1">
      <c r="A732" s="73"/>
      <c r="B732" s="386" t="s">
        <v>110</v>
      </c>
      <c r="C732" s="116"/>
      <c r="D732" s="116"/>
      <c r="E732" s="116"/>
      <c r="F732" s="116"/>
      <c r="G732" s="119"/>
      <c r="H732" s="947" t="str">
        <f>Master!X30</f>
        <v>100201354809</v>
      </c>
      <c r="I732" s="947"/>
      <c r="J732" s="947"/>
      <c r="K732" s="947"/>
      <c r="L732" s="953"/>
      <c r="M732" s="16"/>
    </row>
    <row r="733" spans="1:13" ht="30" customHeight="1">
      <c r="A733" s="73"/>
      <c r="B733" s="954" t="s">
        <v>111</v>
      </c>
      <c r="C733" s="955"/>
      <c r="D733" s="955"/>
      <c r="E733" s="955"/>
      <c r="F733" s="955"/>
      <c r="G733" s="955"/>
      <c r="H733" s="950">
        <f>Master!AC30</f>
        <v>10627</v>
      </c>
      <c r="I733" s="951"/>
      <c r="J733" s="951"/>
      <c r="K733" s="951"/>
      <c r="L733" s="952"/>
      <c r="M733" s="16"/>
    </row>
    <row r="734" spans="1:13" ht="30" customHeight="1">
      <c r="A734" s="73"/>
      <c r="B734" s="943" t="s">
        <v>112</v>
      </c>
      <c r="C734" s="944"/>
      <c r="D734" s="944"/>
      <c r="E734" s="944"/>
      <c r="F734" s="944"/>
      <c r="G734" s="944"/>
      <c r="H734" s="956">
        <f>Master!F10</f>
        <v>44652</v>
      </c>
      <c r="I734" s="945"/>
      <c r="J734" s="945"/>
      <c r="K734" s="945"/>
      <c r="L734" s="946"/>
      <c r="M734" s="16"/>
    </row>
    <row r="735" spans="1:13" ht="30" customHeight="1">
      <c r="A735" s="15"/>
      <c r="B735" s="943" t="s">
        <v>113</v>
      </c>
      <c r="C735" s="944"/>
      <c r="D735" s="944"/>
      <c r="E735" s="944"/>
      <c r="F735" s="944"/>
      <c r="G735" s="944"/>
      <c r="H735" s="945" t="s">
        <v>114</v>
      </c>
      <c r="I735" s="945"/>
      <c r="J735" s="945"/>
      <c r="K735" s="945"/>
      <c r="L735" s="946"/>
      <c r="M735" s="16"/>
    </row>
    <row r="736" spans="1:13" ht="30" customHeight="1">
      <c r="A736" s="15"/>
      <c r="B736" s="386" t="s">
        <v>115</v>
      </c>
      <c r="C736" s="116"/>
      <c r="D736" s="116"/>
      <c r="E736" s="116"/>
      <c r="F736" s="116"/>
      <c r="G736" s="119"/>
      <c r="H736" s="947">
        <f>Master!AA30</f>
        <v>26</v>
      </c>
      <c r="I736" s="945"/>
      <c r="J736" s="945"/>
      <c r="K736" s="945"/>
      <c r="L736" s="946"/>
      <c r="M736" s="16"/>
    </row>
    <row r="737" spans="1:13" ht="30" customHeight="1">
      <c r="A737" s="15"/>
      <c r="B737" s="386" t="s">
        <v>116</v>
      </c>
      <c r="C737" s="116"/>
      <c r="D737" s="116"/>
      <c r="E737" s="116"/>
      <c r="F737" s="116"/>
      <c r="G737" s="119"/>
      <c r="H737" s="986" t="s">
        <v>28</v>
      </c>
      <c r="I737" s="987"/>
      <c r="J737" s="987"/>
      <c r="K737" s="987"/>
      <c r="L737" s="988"/>
      <c r="M737" s="16"/>
    </row>
    <row r="738" spans="1:13" ht="30" customHeight="1">
      <c r="A738" s="15"/>
      <c r="B738" s="386" t="s">
        <v>117</v>
      </c>
      <c r="C738" s="116"/>
      <c r="D738" s="116"/>
      <c r="E738" s="116"/>
      <c r="F738" s="116"/>
      <c r="G738" s="119"/>
      <c r="H738" s="989">
        <v>0</v>
      </c>
      <c r="I738" s="990"/>
      <c r="J738" s="990"/>
      <c r="K738" s="990"/>
      <c r="L738" s="991"/>
      <c r="M738" s="16"/>
    </row>
    <row r="739" spans="1:13" ht="30" customHeight="1">
      <c r="A739" s="15"/>
      <c r="B739" s="386" t="s">
        <v>118</v>
      </c>
      <c r="C739" s="116"/>
      <c r="D739" s="116"/>
      <c r="E739" s="116"/>
      <c r="F739" s="116"/>
      <c r="G739" s="119"/>
      <c r="H739" s="986">
        <v>0</v>
      </c>
      <c r="I739" s="987"/>
      <c r="J739" s="987"/>
      <c r="K739" s="987"/>
      <c r="L739" s="988"/>
      <c r="M739" s="16"/>
    </row>
    <row r="740" spans="1:13" ht="30" customHeight="1">
      <c r="A740" s="15"/>
      <c r="B740" s="386" t="s">
        <v>119</v>
      </c>
      <c r="C740" s="116"/>
      <c r="D740" s="116"/>
      <c r="E740" s="116"/>
      <c r="F740" s="116"/>
      <c r="G740" s="119"/>
      <c r="H740" s="117"/>
      <c r="I740" s="118"/>
      <c r="J740" s="990">
        <f>Master!AK30</f>
        <v>9210.4</v>
      </c>
      <c r="K740" s="992"/>
      <c r="L740" s="581" t="s">
        <v>737</v>
      </c>
      <c r="M740" s="16"/>
    </row>
    <row r="741" spans="1:13" ht="30" customHeight="1">
      <c r="A741" s="15"/>
      <c r="B741" s="386" t="s">
        <v>120</v>
      </c>
      <c r="C741" s="116"/>
      <c r="D741" s="465" t="s">
        <v>24</v>
      </c>
      <c r="E741" s="466">
        <f>Master!AM30</f>
        <v>1105</v>
      </c>
      <c r="F741" s="465" t="s">
        <v>23</v>
      </c>
      <c r="G741" s="466">
        <f>Master!AL30</f>
        <v>70</v>
      </c>
      <c r="H741" s="465" t="s">
        <v>25</v>
      </c>
      <c r="I741" s="466">
        <f>Master!AN30</f>
        <v>0</v>
      </c>
      <c r="J741" s="465" t="s">
        <v>26</v>
      </c>
      <c r="K741" s="466">
        <f>Master!AO30</f>
        <v>0</v>
      </c>
      <c r="L741" s="400">
        <f>Master!AP30</f>
        <v>0</v>
      </c>
      <c r="M741" s="16"/>
    </row>
    <row r="742" spans="1:13" ht="30" customHeight="1">
      <c r="A742" s="15"/>
      <c r="B742" s="386" t="s">
        <v>121</v>
      </c>
      <c r="C742" s="116"/>
      <c r="D742" s="116"/>
      <c r="E742" s="116"/>
      <c r="F742" s="116"/>
      <c r="G742" s="119"/>
      <c r="H742" s="117"/>
      <c r="I742" s="118"/>
      <c r="J742" s="541">
        <f>Master!AR30</f>
        <v>8035.4</v>
      </c>
      <c r="K742" s="118"/>
      <c r="L742" s="125"/>
      <c r="M742" s="16"/>
    </row>
    <row r="743" spans="1:13">
      <c r="A743" s="15"/>
      <c r="B743" s="387" t="s">
        <v>122</v>
      </c>
      <c r="C743" s="74"/>
      <c r="D743" s="74"/>
      <c r="E743" s="74"/>
      <c r="F743" s="74"/>
      <c r="G743" s="75"/>
      <c r="H743" s="76"/>
      <c r="I743" s="77"/>
      <c r="J743" s="77"/>
      <c r="K743" s="77"/>
      <c r="L743" s="78"/>
      <c r="M743" s="16"/>
    </row>
    <row r="744" spans="1:13">
      <c r="A744" s="15"/>
      <c r="B744" s="388" t="s">
        <v>123</v>
      </c>
      <c r="C744" s="79"/>
      <c r="D744" s="79"/>
      <c r="E744" s="79"/>
      <c r="F744" s="79"/>
      <c r="G744" s="80"/>
      <c r="H744" s="60"/>
      <c r="I744" s="19"/>
      <c r="J744" s="19"/>
      <c r="K744" s="19"/>
      <c r="L744" s="81"/>
      <c r="M744" s="16"/>
    </row>
    <row r="745" spans="1:13">
      <c r="A745" s="15"/>
      <c r="B745" s="15"/>
      <c r="C745" s="114"/>
      <c r="D745" s="114"/>
      <c r="E745" s="114"/>
      <c r="F745" s="114"/>
      <c r="G745" s="114"/>
      <c r="H745" s="114"/>
      <c r="I745" s="114"/>
      <c r="J745" s="114"/>
      <c r="K745" s="114"/>
      <c r="L745" s="16"/>
      <c r="M745" s="16"/>
    </row>
    <row r="746" spans="1:13" ht="15" thickBot="1">
      <c r="A746" s="27"/>
      <c r="B746" s="27"/>
      <c r="C746" s="25"/>
      <c r="D746" s="25"/>
      <c r="E746" s="25"/>
      <c r="F746" s="25"/>
      <c r="G746" s="25"/>
      <c r="H746" s="25"/>
      <c r="I746" s="25"/>
      <c r="J746" s="25"/>
      <c r="K746" s="25"/>
      <c r="L746" s="26"/>
      <c r="M746" s="26"/>
    </row>
    <row r="747" spans="1:13">
      <c r="A747" s="420"/>
      <c r="B747" s="420"/>
      <c r="C747" s="420"/>
      <c r="D747" s="420"/>
      <c r="E747" s="420"/>
      <c r="F747" s="420"/>
      <c r="G747" s="420"/>
      <c r="H747" s="420"/>
      <c r="I747" s="420"/>
      <c r="J747" s="420"/>
      <c r="K747" s="420"/>
      <c r="L747" s="420"/>
      <c r="M747" s="420"/>
    </row>
    <row r="748" spans="1:13">
      <c r="A748" s="420"/>
      <c r="B748" s="420"/>
      <c r="C748" s="420"/>
      <c r="D748" s="420"/>
      <c r="E748" s="420"/>
      <c r="F748" s="420"/>
      <c r="G748" s="420"/>
      <c r="H748" s="420"/>
      <c r="I748" s="420"/>
      <c r="J748" s="420"/>
      <c r="K748" s="420"/>
      <c r="L748" s="420"/>
      <c r="M748" s="420"/>
    </row>
    <row r="749" spans="1:13">
      <c r="A749" s="420"/>
      <c r="B749" s="420"/>
      <c r="C749" s="420"/>
      <c r="D749" s="420"/>
      <c r="E749" s="420"/>
      <c r="F749" s="420"/>
      <c r="G749" s="420"/>
      <c r="H749" s="420"/>
      <c r="I749" s="420"/>
      <c r="J749" s="420"/>
      <c r="K749" s="420"/>
      <c r="L749" s="420"/>
      <c r="M749" s="420"/>
    </row>
    <row r="750" spans="1:13">
      <c r="A750" s="420"/>
      <c r="B750" s="420"/>
      <c r="C750" s="420"/>
      <c r="D750" s="420"/>
      <c r="E750" s="420"/>
      <c r="F750" s="420"/>
      <c r="G750" s="420"/>
      <c r="H750" s="420"/>
      <c r="I750" s="420"/>
      <c r="J750" s="420"/>
      <c r="K750" s="420"/>
      <c r="L750" s="420"/>
      <c r="M750" s="420"/>
    </row>
    <row r="751" spans="1:13" ht="15" thickBot="1">
      <c r="A751" s="420"/>
      <c r="B751" s="420"/>
      <c r="C751" s="420"/>
      <c r="D751" s="420"/>
      <c r="E751" s="420"/>
      <c r="F751" s="420"/>
      <c r="G751" s="420"/>
      <c r="H751" s="420"/>
      <c r="I751" s="420"/>
      <c r="J751" s="420"/>
      <c r="K751" s="420"/>
      <c r="L751" s="420"/>
      <c r="M751" s="420"/>
    </row>
    <row r="752" spans="1:13" ht="32.4">
      <c r="A752" s="68"/>
      <c r="B752" s="960" t="s">
        <v>99</v>
      </c>
      <c r="C752" s="961"/>
      <c r="D752" s="961"/>
      <c r="E752" s="961"/>
      <c r="F752" s="961"/>
      <c r="G752" s="961"/>
      <c r="H752" s="961"/>
      <c r="I752" s="961"/>
      <c r="J752" s="961"/>
      <c r="K752" s="961"/>
      <c r="L752" s="962"/>
      <c r="M752" s="69"/>
    </row>
    <row r="753" spans="1:13" ht="23.4">
      <c r="A753" s="15"/>
      <c r="B753" s="963" t="s">
        <v>100</v>
      </c>
      <c r="C753" s="964"/>
      <c r="D753" s="964"/>
      <c r="E753" s="964"/>
      <c r="F753" s="964"/>
      <c r="G753" s="964"/>
      <c r="H753" s="964"/>
      <c r="I753" s="964"/>
      <c r="J753" s="964"/>
      <c r="K753" s="964"/>
      <c r="L753" s="965"/>
      <c r="M753" s="16"/>
    </row>
    <row r="754" spans="1:13" ht="15.6">
      <c r="A754" s="15"/>
      <c r="B754" s="966" t="s">
        <v>1070</v>
      </c>
      <c r="C754" s="967"/>
      <c r="D754" s="967"/>
      <c r="E754" s="967"/>
      <c r="F754" s="967"/>
      <c r="G754" s="967"/>
      <c r="H754" s="968"/>
      <c r="I754" s="968"/>
      <c r="J754" s="968"/>
      <c r="K754" s="968"/>
      <c r="L754" s="969"/>
      <c r="M754" s="16"/>
    </row>
    <row r="755" spans="1:13">
      <c r="A755" s="15"/>
      <c r="B755" s="970" t="s">
        <v>101</v>
      </c>
      <c r="C755" s="971"/>
      <c r="D755" s="971"/>
      <c r="E755" s="971"/>
      <c r="F755" s="971"/>
      <c r="G755" s="391"/>
      <c r="H755" s="974" t="s">
        <v>102</v>
      </c>
      <c r="I755" s="975"/>
      <c r="J755" s="975"/>
      <c r="K755" s="975"/>
      <c r="L755" s="976"/>
      <c r="M755" s="16"/>
    </row>
    <row r="756" spans="1:13">
      <c r="A756" s="15"/>
      <c r="B756" s="972"/>
      <c r="C756" s="973"/>
      <c r="D756" s="973"/>
      <c r="E756" s="973"/>
      <c r="F756" s="973"/>
      <c r="G756" s="395"/>
      <c r="H756" s="977"/>
      <c r="I756" s="978"/>
      <c r="J756" s="978"/>
      <c r="K756" s="978"/>
      <c r="L756" s="979"/>
      <c r="M756" s="16"/>
    </row>
    <row r="757" spans="1:13">
      <c r="A757" s="15"/>
      <c r="B757" s="382"/>
      <c r="C757" s="77"/>
      <c r="D757" s="77"/>
      <c r="E757" s="77"/>
      <c r="F757" s="77"/>
      <c r="G757" s="56"/>
      <c r="H757" s="76"/>
      <c r="I757" s="77"/>
      <c r="J757" s="77"/>
      <c r="K757" s="77"/>
      <c r="L757" s="78"/>
      <c r="M757" s="16"/>
    </row>
    <row r="758" spans="1:13">
      <c r="A758" s="15"/>
      <c r="B758" s="378" t="str">
        <f>Master!F5</f>
        <v>GROTECH LANDSCAPE DEVELOPERS PVT. LTD.</v>
      </c>
      <c r="C758" s="114"/>
      <c r="D758" s="114"/>
      <c r="E758" s="114"/>
      <c r="F758" s="114"/>
      <c r="G758" s="379"/>
      <c r="H758" s="381" t="str">
        <f>Master!AN5</f>
        <v>GROTECH LANDSCAPE DEVELOPERS PVT. LTD.</v>
      </c>
      <c r="I758" s="114"/>
      <c r="J758" s="114"/>
      <c r="K758" s="114"/>
      <c r="L758" s="16"/>
      <c r="M758" s="16"/>
    </row>
    <row r="759" spans="1:13">
      <c r="A759" s="15"/>
      <c r="B759" s="15"/>
      <c r="C759" s="114"/>
      <c r="D759" s="114"/>
      <c r="E759" s="114"/>
      <c r="F759" s="114"/>
      <c r="G759" s="379"/>
      <c r="H759" s="380"/>
      <c r="I759" s="114"/>
      <c r="J759" s="114"/>
      <c r="K759" s="114"/>
      <c r="L759" s="16"/>
      <c r="M759" s="16"/>
    </row>
    <row r="760" spans="1:13">
      <c r="A760" s="15"/>
      <c r="B760" s="538" t="str">
        <f>Master!F6</f>
        <v>290/E, Khanapur Village, Gandipet Mandal, Ranga Reddy, Hyderabad-500075 T.S.</v>
      </c>
      <c r="C760" s="114"/>
      <c r="D760" s="114"/>
      <c r="E760" s="114"/>
      <c r="F760" s="114"/>
      <c r="G760" s="379"/>
      <c r="H760" s="539" t="str">
        <f>Master!AN6</f>
        <v>290/E, Khanapur Village, Gandipet Mandal, Ranga Reddy, Hyderabad-500075 T.S.</v>
      </c>
      <c r="I760" s="114"/>
      <c r="J760" s="114"/>
      <c r="K760" s="114"/>
      <c r="L760" s="16"/>
      <c r="M760" s="16"/>
    </row>
    <row r="761" spans="1:13">
      <c r="A761" s="15"/>
      <c r="B761" s="383"/>
      <c r="C761" s="19"/>
      <c r="D761" s="19"/>
      <c r="E761" s="19"/>
      <c r="F761" s="19"/>
      <c r="G761" s="61"/>
      <c r="H761" s="60"/>
      <c r="I761" s="19"/>
      <c r="J761" s="19"/>
      <c r="K761" s="19"/>
      <c r="L761" s="81"/>
      <c r="M761" s="16"/>
    </row>
    <row r="762" spans="1:13">
      <c r="A762" s="15"/>
      <c r="B762" s="389"/>
      <c r="C762" s="390"/>
      <c r="D762" s="390"/>
      <c r="E762" s="390"/>
      <c r="F762" s="390"/>
      <c r="G762" s="391"/>
      <c r="H762" s="396"/>
      <c r="I762" s="390"/>
      <c r="J762" s="390" t="s">
        <v>103</v>
      </c>
      <c r="K762" s="390"/>
      <c r="L762" s="397"/>
      <c r="M762" s="16"/>
    </row>
    <row r="763" spans="1:13">
      <c r="A763" s="15"/>
      <c r="B763" s="980" t="s">
        <v>104</v>
      </c>
      <c r="C763" s="981"/>
      <c r="D763" s="981"/>
      <c r="E763" s="981"/>
      <c r="F763" s="981"/>
      <c r="G763" s="392"/>
      <c r="H763" s="982" t="s">
        <v>4</v>
      </c>
      <c r="I763" s="981"/>
      <c r="J763" s="981"/>
      <c r="K763" s="981"/>
      <c r="L763" s="983"/>
      <c r="M763" s="16"/>
    </row>
    <row r="764" spans="1:13">
      <c r="A764" s="15"/>
      <c r="B764" s="393"/>
      <c r="C764" s="394"/>
      <c r="D764" s="394"/>
      <c r="E764" s="394"/>
      <c r="F764" s="394"/>
      <c r="G764" s="395"/>
      <c r="H764" s="398"/>
      <c r="I764" s="394"/>
      <c r="J764" s="394"/>
      <c r="K764" s="394"/>
      <c r="L764" s="399"/>
      <c r="M764" s="16"/>
    </row>
    <row r="765" spans="1:13">
      <c r="A765" s="15"/>
      <c r="B765" s="382"/>
      <c r="C765" s="77"/>
      <c r="D765" s="77"/>
      <c r="E765" s="77"/>
      <c r="F765" s="77"/>
      <c r="G765" s="56"/>
      <c r="H765" s="74"/>
      <c r="I765" s="74"/>
      <c r="J765" s="74"/>
      <c r="K765" s="74"/>
      <c r="L765" s="384"/>
      <c r="M765" s="16"/>
    </row>
    <row r="766" spans="1:13">
      <c r="A766" s="15"/>
      <c r="B766" s="15"/>
      <c r="C766" s="114"/>
      <c r="D766" s="114"/>
      <c r="E766" s="114"/>
      <c r="F766" s="114"/>
      <c r="G766" s="379"/>
      <c r="H766" s="115" t="str">
        <f>Master!AN10</f>
        <v>INDIAN SCHOOL OF BUSINESS</v>
      </c>
      <c r="I766" s="115"/>
      <c r="J766" s="115"/>
      <c r="K766" s="115"/>
      <c r="L766" s="71"/>
      <c r="M766" s="16"/>
    </row>
    <row r="767" spans="1:13">
      <c r="A767" s="15"/>
      <c r="B767" s="70" t="str">
        <f>Master!F8</f>
        <v>GARDENING SERVICES&amp;ISB HYDERABAD</v>
      </c>
      <c r="C767" s="114"/>
      <c r="D767" s="114"/>
      <c r="E767" s="114"/>
      <c r="F767" s="114"/>
      <c r="G767" s="379"/>
      <c r="H767" s="115"/>
      <c r="I767" s="115"/>
      <c r="J767" s="115"/>
      <c r="K767" s="115"/>
      <c r="L767" s="71"/>
      <c r="M767" s="16"/>
    </row>
    <row r="768" spans="1:13">
      <c r="A768" s="15"/>
      <c r="B768" s="15"/>
      <c r="C768" s="114"/>
      <c r="D768" s="114"/>
      <c r="E768" s="114"/>
      <c r="F768" s="114"/>
      <c r="G768" s="379"/>
      <c r="H768" s="115" t="str">
        <f>Master!AN11</f>
        <v>Opp.Infosys Limited,Gachibowli,Hyderabad</v>
      </c>
      <c r="I768" s="115"/>
      <c r="J768" s="115"/>
      <c r="K768" s="115"/>
      <c r="L768" s="71"/>
      <c r="M768" s="16"/>
    </row>
    <row r="769" spans="1:13">
      <c r="A769" s="15"/>
      <c r="B769" s="383"/>
      <c r="C769" s="19"/>
      <c r="D769" s="19"/>
      <c r="E769" s="19"/>
      <c r="F769" s="19"/>
      <c r="G769" s="61"/>
      <c r="H769" s="79"/>
      <c r="I769" s="79"/>
      <c r="J769" s="79"/>
      <c r="K769" s="79"/>
      <c r="L769" s="385"/>
      <c r="M769" s="16"/>
    </row>
    <row r="770" spans="1:13" ht="30" customHeight="1">
      <c r="A770" s="15"/>
      <c r="B770" s="948" t="s">
        <v>105</v>
      </c>
      <c r="C770" s="949"/>
      <c r="D770" s="949"/>
      <c r="E770" s="949"/>
      <c r="F770" s="949"/>
      <c r="G770" s="949"/>
      <c r="H770" s="950" t="str">
        <f>Master!D31</f>
        <v>S GOWRI</v>
      </c>
      <c r="I770" s="951"/>
      <c r="J770" s="951"/>
      <c r="K770" s="951"/>
      <c r="L770" s="952"/>
      <c r="M770" s="16"/>
    </row>
    <row r="771" spans="1:13" ht="30" customHeight="1">
      <c r="A771" s="15"/>
      <c r="B771" s="948"/>
      <c r="C771" s="949"/>
      <c r="D771" s="949"/>
      <c r="E771" s="949"/>
      <c r="F771" s="949"/>
      <c r="G771" s="949"/>
      <c r="H771" s="950" t="str">
        <f>Master!K31</f>
        <v>2/686,Modinabad</v>
      </c>
      <c r="I771" s="951"/>
      <c r="J771" s="951"/>
      <c r="K771" s="951"/>
      <c r="L771" s="952"/>
      <c r="M771" s="16"/>
    </row>
    <row r="772" spans="1:13" ht="30" customHeight="1">
      <c r="A772" s="15"/>
      <c r="B772" s="948"/>
      <c r="C772" s="949"/>
      <c r="D772" s="949"/>
      <c r="E772" s="949"/>
      <c r="F772" s="949"/>
      <c r="G772" s="949"/>
      <c r="H772" s="950" t="str">
        <f>Master!L31</f>
        <v>,Gutkal,Ananthpur</v>
      </c>
      <c r="I772" s="951"/>
      <c r="J772" s="951"/>
      <c r="K772" s="951"/>
      <c r="L772" s="952"/>
      <c r="M772" s="16"/>
    </row>
    <row r="773" spans="1:13" ht="30" customHeight="1">
      <c r="A773" s="15"/>
      <c r="B773" s="948"/>
      <c r="C773" s="949"/>
      <c r="D773" s="949"/>
      <c r="E773" s="949"/>
      <c r="F773" s="949"/>
      <c r="G773" s="949"/>
      <c r="H773" s="950" t="str">
        <f>Master!M31</f>
        <v>AP-515801</v>
      </c>
      <c r="I773" s="951"/>
      <c r="J773" s="951"/>
      <c r="K773" s="951"/>
      <c r="L773" s="952"/>
      <c r="M773" s="16"/>
    </row>
    <row r="774" spans="1:13" ht="30" customHeight="1">
      <c r="A774" s="73"/>
      <c r="B774" s="948"/>
      <c r="C774" s="949"/>
      <c r="D774" s="949"/>
      <c r="E774" s="949"/>
      <c r="F774" s="949"/>
      <c r="G774" s="949"/>
      <c r="H774" s="989">
        <f>Master!N1036</f>
        <v>0</v>
      </c>
      <c r="I774" s="990"/>
      <c r="J774" s="990"/>
      <c r="K774" s="990"/>
      <c r="L774" s="991"/>
      <c r="M774" s="16"/>
    </row>
    <row r="775" spans="1:13" ht="30" customHeight="1">
      <c r="A775" s="73"/>
      <c r="B775" s="984" t="s">
        <v>106</v>
      </c>
      <c r="C775" s="985"/>
      <c r="D775" s="985"/>
      <c r="E775" s="985"/>
      <c r="F775" s="985"/>
      <c r="G775" s="985"/>
      <c r="H775" s="947">
        <f>Master!C31</f>
        <v>20</v>
      </c>
      <c r="I775" s="945"/>
      <c r="J775" s="945"/>
      <c r="K775" s="945"/>
      <c r="L775" s="946"/>
      <c r="M775" s="16"/>
    </row>
    <row r="776" spans="1:13" ht="30" customHeight="1">
      <c r="A776" s="73"/>
      <c r="B776" s="943" t="s">
        <v>107</v>
      </c>
      <c r="C776" s="944"/>
      <c r="D776" s="944"/>
      <c r="E776" s="944"/>
      <c r="F776" s="944"/>
      <c r="G776" s="944"/>
      <c r="H776" s="947" t="str">
        <f>Master!J31</f>
        <v>Unskilled Gardner</v>
      </c>
      <c r="I776" s="945"/>
      <c r="J776" s="945"/>
      <c r="K776" s="945"/>
      <c r="L776" s="946"/>
      <c r="M776" s="16"/>
    </row>
    <row r="777" spans="1:13" ht="30" customHeight="1">
      <c r="A777" s="73"/>
      <c r="B777" s="943" t="s">
        <v>108</v>
      </c>
      <c r="C777" s="944"/>
      <c r="D777" s="944"/>
      <c r="E777" s="944"/>
      <c r="F777" s="944"/>
      <c r="G777" s="944"/>
      <c r="H777" s="957">
        <f>Master!S31</f>
        <v>43850</v>
      </c>
      <c r="I777" s="958"/>
      <c r="J777" s="958"/>
      <c r="K777" s="958"/>
      <c r="L777" s="959"/>
      <c r="M777" s="16"/>
    </row>
    <row r="778" spans="1:13" ht="30" customHeight="1">
      <c r="A778" s="73"/>
      <c r="B778" s="386" t="s">
        <v>109</v>
      </c>
      <c r="C778" s="116"/>
      <c r="D778" s="116"/>
      <c r="E778" s="116"/>
      <c r="F778" s="116"/>
      <c r="G778" s="116"/>
      <c r="H778" s="947">
        <f>Master!Y31</f>
        <v>5215258577</v>
      </c>
      <c r="I778" s="947"/>
      <c r="J778" s="947"/>
      <c r="K778" s="947"/>
      <c r="L778" s="953"/>
      <c r="M778" s="16"/>
    </row>
    <row r="779" spans="1:13" ht="30" customHeight="1">
      <c r="A779" s="73"/>
      <c r="B779" s="386" t="s">
        <v>110</v>
      </c>
      <c r="C779" s="116"/>
      <c r="D779" s="116"/>
      <c r="E779" s="116"/>
      <c r="F779" s="116"/>
      <c r="G779" s="119"/>
      <c r="H779" s="947" t="str">
        <f>Master!X31</f>
        <v>101412580029</v>
      </c>
      <c r="I779" s="947"/>
      <c r="J779" s="947"/>
      <c r="K779" s="947"/>
      <c r="L779" s="953"/>
      <c r="M779" s="16"/>
    </row>
    <row r="780" spans="1:13" ht="30" customHeight="1">
      <c r="A780" s="73"/>
      <c r="B780" s="954" t="s">
        <v>111</v>
      </c>
      <c r="C780" s="955"/>
      <c r="D780" s="955"/>
      <c r="E780" s="955"/>
      <c r="F780" s="955"/>
      <c r="G780" s="955"/>
      <c r="H780" s="950">
        <f>Master!AC31</f>
        <v>10627</v>
      </c>
      <c r="I780" s="951"/>
      <c r="J780" s="951"/>
      <c r="K780" s="951"/>
      <c r="L780" s="952"/>
      <c r="M780" s="16"/>
    </row>
    <row r="781" spans="1:13" ht="30" customHeight="1">
      <c r="A781" s="73"/>
      <c r="B781" s="943" t="s">
        <v>112</v>
      </c>
      <c r="C781" s="944"/>
      <c r="D781" s="944"/>
      <c r="E781" s="944"/>
      <c r="F781" s="944"/>
      <c r="G781" s="944"/>
      <c r="H781" s="956">
        <f>Master!F10</f>
        <v>44652</v>
      </c>
      <c r="I781" s="945"/>
      <c r="J781" s="945"/>
      <c r="K781" s="945"/>
      <c r="L781" s="946"/>
      <c r="M781" s="16"/>
    </row>
    <row r="782" spans="1:13" ht="30" customHeight="1">
      <c r="A782" s="15"/>
      <c r="B782" s="943" t="s">
        <v>113</v>
      </c>
      <c r="C782" s="944"/>
      <c r="D782" s="944"/>
      <c r="E782" s="944"/>
      <c r="F782" s="944"/>
      <c r="G782" s="944"/>
      <c r="H782" s="945" t="s">
        <v>114</v>
      </c>
      <c r="I782" s="945"/>
      <c r="J782" s="945"/>
      <c r="K782" s="945"/>
      <c r="L782" s="946"/>
      <c r="M782" s="16"/>
    </row>
    <row r="783" spans="1:13" ht="30" customHeight="1">
      <c r="A783" s="15"/>
      <c r="B783" s="386" t="s">
        <v>115</v>
      </c>
      <c r="C783" s="116"/>
      <c r="D783" s="116"/>
      <c r="E783" s="116"/>
      <c r="F783" s="116"/>
      <c r="G783" s="119"/>
      <c r="H783" s="947">
        <f>Master!AA31</f>
        <v>26</v>
      </c>
      <c r="I783" s="945"/>
      <c r="J783" s="945"/>
      <c r="K783" s="945"/>
      <c r="L783" s="946"/>
      <c r="M783" s="16"/>
    </row>
    <row r="784" spans="1:13" ht="30" customHeight="1">
      <c r="A784" s="15"/>
      <c r="B784" s="386" t="s">
        <v>116</v>
      </c>
      <c r="C784" s="116"/>
      <c r="D784" s="116"/>
      <c r="E784" s="116"/>
      <c r="F784" s="116"/>
      <c r="G784" s="119"/>
      <c r="H784" s="986" t="s">
        <v>28</v>
      </c>
      <c r="I784" s="987"/>
      <c r="J784" s="987"/>
      <c r="K784" s="987"/>
      <c r="L784" s="988"/>
      <c r="M784" s="16"/>
    </row>
    <row r="785" spans="1:13" ht="30" customHeight="1">
      <c r="A785" s="15"/>
      <c r="B785" s="386" t="s">
        <v>117</v>
      </c>
      <c r="C785" s="116"/>
      <c r="D785" s="116"/>
      <c r="E785" s="116"/>
      <c r="F785" s="116"/>
      <c r="G785" s="119"/>
      <c r="H785" s="989">
        <v>0</v>
      </c>
      <c r="I785" s="990"/>
      <c r="J785" s="990"/>
      <c r="K785" s="990"/>
      <c r="L785" s="991"/>
      <c r="M785" s="16"/>
    </row>
    <row r="786" spans="1:13" ht="30" customHeight="1">
      <c r="A786" s="15"/>
      <c r="B786" s="386" t="s">
        <v>118</v>
      </c>
      <c r="C786" s="116"/>
      <c r="D786" s="116"/>
      <c r="E786" s="116"/>
      <c r="F786" s="116"/>
      <c r="G786" s="119"/>
      <c r="H786" s="986">
        <v>0</v>
      </c>
      <c r="I786" s="987"/>
      <c r="J786" s="987"/>
      <c r="K786" s="987"/>
      <c r="L786" s="988"/>
      <c r="M786" s="16"/>
    </row>
    <row r="787" spans="1:13" ht="30" customHeight="1">
      <c r="A787" s="15"/>
      <c r="B787" s="386" t="s">
        <v>119</v>
      </c>
      <c r="C787" s="116"/>
      <c r="D787" s="116"/>
      <c r="E787" s="116"/>
      <c r="F787" s="116"/>
      <c r="G787" s="119"/>
      <c r="H787" s="117"/>
      <c r="I787" s="118"/>
      <c r="J787" s="990">
        <f>Master!AK31</f>
        <v>9210.4</v>
      </c>
      <c r="K787" s="992"/>
      <c r="L787" s="581" t="s">
        <v>737</v>
      </c>
      <c r="M787" s="16"/>
    </row>
    <row r="788" spans="1:13" ht="30" customHeight="1">
      <c r="A788" s="15"/>
      <c r="B788" s="386" t="s">
        <v>120</v>
      </c>
      <c r="C788" s="116"/>
      <c r="D788" s="465" t="s">
        <v>24</v>
      </c>
      <c r="E788" s="466">
        <f>Master!AM31</f>
        <v>1105</v>
      </c>
      <c r="F788" s="465" t="s">
        <v>23</v>
      </c>
      <c r="G788" s="466">
        <f>Master!AL31</f>
        <v>70</v>
      </c>
      <c r="H788" s="465" t="s">
        <v>25</v>
      </c>
      <c r="I788" s="466">
        <f>Master!AN31</f>
        <v>0</v>
      </c>
      <c r="J788" s="465" t="s">
        <v>26</v>
      </c>
      <c r="K788" s="466">
        <f>Master!AO31</f>
        <v>0</v>
      </c>
      <c r="L788" s="400">
        <f>Master!AP31</f>
        <v>0</v>
      </c>
      <c r="M788" s="16"/>
    </row>
    <row r="789" spans="1:13" ht="30" customHeight="1">
      <c r="A789" s="15"/>
      <c r="B789" s="386" t="s">
        <v>121</v>
      </c>
      <c r="C789" s="116"/>
      <c r="D789" s="116"/>
      <c r="E789" s="116"/>
      <c r="F789" s="116"/>
      <c r="G789" s="119"/>
      <c r="H789" s="117"/>
      <c r="I789" s="118"/>
      <c r="J789" s="541">
        <f>Master!AR31</f>
        <v>8035.4</v>
      </c>
      <c r="K789" s="118"/>
      <c r="L789" s="125"/>
      <c r="M789" s="16"/>
    </row>
    <row r="790" spans="1:13">
      <c r="A790" s="15"/>
      <c r="B790" s="387" t="s">
        <v>122</v>
      </c>
      <c r="C790" s="74"/>
      <c r="D790" s="74"/>
      <c r="E790" s="74"/>
      <c r="F790" s="74"/>
      <c r="G790" s="75"/>
      <c r="H790" s="76"/>
      <c r="I790" s="77"/>
      <c r="J790" s="77"/>
      <c r="K790" s="77"/>
      <c r="L790" s="78"/>
      <c r="M790" s="16"/>
    </row>
    <row r="791" spans="1:13">
      <c r="A791" s="15"/>
      <c r="B791" s="388" t="s">
        <v>123</v>
      </c>
      <c r="C791" s="79"/>
      <c r="D791" s="79"/>
      <c r="E791" s="79"/>
      <c r="F791" s="79"/>
      <c r="G791" s="80"/>
      <c r="H791" s="60"/>
      <c r="I791" s="19"/>
      <c r="J791" s="19"/>
      <c r="K791" s="19"/>
      <c r="L791" s="81"/>
      <c r="M791" s="16"/>
    </row>
    <row r="792" spans="1:13">
      <c r="A792" s="15"/>
      <c r="B792" s="15"/>
      <c r="C792" s="114"/>
      <c r="D792" s="114"/>
      <c r="E792" s="114"/>
      <c r="F792" s="114"/>
      <c r="G792" s="114"/>
      <c r="H792" s="114"/>
      <c r="I792" s="114"/>
      <c r="J792" s="114"/>
      <c r="K792" s="114"/>
      <c r="L792" s="16"/>
      <c r="M792" s="16"/>
    </row>
    <row r="793" spans="1:13" ht="15" thickBot="1">
      <c r="A793" s="27"/>
      <c r="B793" s="27"/>
      <c r="C793" s="25"/>
      <c r="D793" s="25"/>
      <c r="E793" s="25"/>
      <c r="F793" s="25"/>
      <c r="G793" s="25"/>
      <c r="H793" s="25"/>
      <c r="I793" s="25"/>
      <c r="J793" s="25"/>
      <c r="K793" s="25"/>
      <c r="L793" s="26"/>
      <c r="M793" s="26"/>
    </row>
    <row r="794" spans="1:13">
      <c r="A794" s="420"/>
      <c r="B794" s="420"/>
      <c r="C794" s="420"/>
      <c r="D794" s="420"/>
      <c r="E794" s="420"/>
      <c r="F794" s="420"/>
      <c r="G794" s="420"/>
      <c r="H794" s="420"/>
      <c r="I794" s="420"/>
      <c r="J794" s="420"/>
      <c r="K794" s="420"/>
      <c r="L794" s="420"/>
      <c r="M794" s="420"/>
    </row>
    <row r="795" spans="1:13">
      <c r="A795" s="420"/>
      <c r="B795" s="420"/>
      <c r="C795" s="420"/>
      <c r="D795" s="420"/>
      <c r="E795" s="420"/>
      <c r="F795" s="420"/>
      <c r="G795" s="420"/>
      <c r="H795" s="420"/>
      <c r="I795" s="420"/>
      <c r="J795" s="420"/>
      <c r="K795" s="420"/>
      <c r="L795" s="420"/>
      <c r="M795" s="420"/>
    </row>
    <row r="796" spans="1:13">
      <c r="A796" s="420"/>
      <c r="B796" s="420"/>
      <c r="C796" s="420"/>
      <c r="D796" s="420"/>
      <c r="E796" s="420"/>
      <c r="F796" s="420"/>
      <c r="G796" s="420"/>
      <c r="H796" s="420"/>
      <c r="I796" s="420"/>
      <c r="J796" s="420"/>
      <c r="K796" s="420"/>
      <c r="L796" s="420"/>
      <c r="M796" s="420"/>
    </row>
    <row r="797" spans="1:13">
      <c r="A797" s="420"/>
      <c r="B797" s="420"/>
      <c r="C797" s="420"/>
      <c r="D797" s="420"/>
      <c r="E797" s="420"/>
      <c r="F797" s="420"/>
      <c r="G797" s="420"/>
      <c r="H797" s="420"/>
      <c r="I797" s="420"/>
      <c r="J797" s="420"/>
      <c r="K797" s="420"/>
      <c r="L797" s="420"/>
      <c r="M797" s="420"/>
    </row>
    <row r="798" spans="1:13" ht="15" thickBot="1">
      <c r="A798" s="420"/>
      <c r="B798" s="420"/>
      <c r="C798" s="420"/>
      <c r="D798" s="420"/>
      <c r="E798" s="420"/>
      <c r="F798" s="420"/>
      <c r="G798" s="420"/>
      <c r="H798" s="420"/>
      <c r="I798" s="420"/>
      <c r="J798" s="420"/>
      <c r="K798" s="420"/>
      <c r="L798" s="420"/>
      <c r="M798" s="420"/>
    </row>
    <row r="799" spans="1:13" ht="32.4">
      <c r="A799" s="68"/>
      <c r="B799" s="960" t="s">
        <v>99</v>
      </c>
      <c r="C799" s="961"/>
      <c r="D799" s="961"/>
      <c r="E799" s="961"/>
      <c r="F799" s="961"/>
      <c r="G799" s="961"/>
      <c r="H799" s="961"/>
      <c r="I799" s="961"/>
      <c r="J799" s="961"/>
      <c r="K799" s="961"/>
      <c r="L799" s="962"/>
      <c r="M799" s="69"/>
    </row>
    <row r="800" spans="1:13" ht="23.4">
      <c r="A800" s="15"/>
      <c r="B800" s="963" t="s">
        <v>100</v>
      </c>
      <c r="C800" s="964"/>
      <c r="D800" s="964"/>
      <c r="E800" s="964"/>
      <c r="F800" s="964"/>
      <c r="G800" s="964"/>
      <c r="H800" s="964"/>
      <c r="I800" s="964"/>
      <c r="J800" s="964"/>
      <c r="K800" s="964"/>
      <c r="L800" s="965"/>
      <c r="M800" s="16"/>
    </row>
    <row r="801" spans="1:13" ht="15.6">
      <c r="A801" s="15"/>
      <c r="B801" s="966" t="s">
        <v>1070</v>
      </c>
      <c r="C801" s="967"/>
      <c r="D801" s="967"/>
      <c r="E801" s="967"/>
      <c r="F801" s="967"/>
      <c r="G801" s="967"/>
      <c r="H801" s="968"/>
      <c r="I801" s="968"/>
      <c r="J801" s="968"/>
      <c r="K801" s="968"/>
      <c r="L801" s="969"/>
      <c r="M801" s="16"/>
    </row>
    <row r="802" spans="1:13">
      <c r="A802" s="15"/>
      <c r="B802" s="970" t="s">
        <v>101</v>
      </c>
      <c r="C802" s="971"/>
      <c r="D802" s="971"/>
      <c r="E802" s="971"/>
      <c r="F802" s="971"/>
      <c r="G802" s="391"/>
      <c r="H802" s="974" t="s">
        <v>102</v>
      </c>
      <c r="I802" s="975"/>
      <c r="J802" s="975"/>
      <c r="K802" s="975"/>
      <c r="L802" s="976"/>
      <c r="M802" s="16"/>
    </row>
    <row r="803" spans="1:13">
      <c r="A803" s="15"/>
      <c r="B803" s="972"/>
      <c r="C803" s="973"/>
      <c r="D803" s="973"/>
      <c r="E803" s="973"/>
      <c r="F803" s="973"/>
      <c r="G803" s="395"/>
      <c r="H803" s="977"/>
      <c r="I803" s="978"/>
      <c r="J803" s="978"/>
      <c r="K803" s="978"/>
      <c r="L803" s="979"/>
      <c r="M803" s="16"/>
    </row>
    <row r="804" spans="1:13">
      <c r="A804" s="15"/>
      <c r="B804" s="382"/>
      <c r="C804" s="77"/>
      <c r="D804" s="77"/>
      <c r="E804" s="77"/>
      <c r="F804" s="77"/>
      <c r="G804" s="56"/>
      <c r="H804" s="76"/>
      <c r="I804" s="77"/>
      <c r="J804" s="77"/>
      <c r="K804" s="77"/>
      <c r="L804" s="78"/>
      <c r="M804" s="16"/>
    </row>
    <row r="805" spans="1:13">
      <c r="A805" s="15"/>
      <c r="B805" s="378" t="str">
        <f>Master!F5</f>
        <v>GROTECH LANDSCAPE DEVELOPERS PVT. LTD.</v>
      </c>
      <c r="C805" s="114"/>
      <c r="D805" s="114"/>
      <c r="E805" s="114"/>
      <c r="F805" s="114"/>
      <c r="G805" s="379"/>
      <c r="H805" s="381" t="str">
        <f>Master!AN5</f>
        <v>GROTECH LANDSCAPE DEVELOPERS PVT. LTD.</v>
      </c>
      <c r="I805" s="114"/>
      <c r="J805" s="114"/>
      <c r="K805" s="114"/>
      <c r="L805" s="16"/>
      <c r="M805" s="16"/>
    </row>
    <row r="806" spans="1:13">
      <c r="A806" s="15"/>
      <c r="B806" s="15"/>
      <c r="C806" s="114"/>
      <c r="D806" s="114"/>
      <c r="E806" s="114"/>
      <c r="F806" s="114"/>
      <c r="G806" s="379"/>
      <c r="H806" s="380"/>
      <c r="I806" s="114"/>
      <c r="J806" s="114"/>
      <c r="K806" s="114"/>
      <c r="L806" s="16"/>
      <c r="M806" s="16"/>
    </row>
    <row r="807" spans="1:13">
      <c r="A807" s="15"/>
      <c r="B807" s="538" t="str">
        <f>Master!F6</f>
        <v>290/E, Khanapur Village, Gandipet Mandal, Ranga Reddy, Hyderabad-500075 T.S.</v>
      </c>
      <c r="C807" s="114"/>
      <c r="D807" s="114"/>
      <c r="E807" s="114"/>
      <c r="F807" s="114"/>
      <c r="G807" s="379"/>
      <c r="H807" s="539" t="str">
        <f>Master!AN6</f>
        <v>290/E, Khanapur Village, Gandipet Mandal, Ranga Reddy, Hyderabad-500075 T.S.</v>
      </c>
      <c r="I807" s="114"/>
      <c r="J807" s="114"/>
      <c r="K807" s="114"/>
      <c r="L807" s="16"/>
      <c r="M807" s="16"/>
    </row>
    <row r="808" spans="1:13">
      <c r="A808" s="15"/>
      <c r="B808" s="383"/>
      <c r="C808" s="19"/>
      <c r="D808" s="19"/>
      <c r="E808" s="19"/>
      <c r="F808" s="19"/>
      <c r="G808" s="61"/>
      <c r="H808" s="60"/>
      <c r="I808" s="19"/>
      <c r="J808" s="19"/>
      <c r="K808" s="19"/>
      <c r="L808" s="81"/>
      <c r="M808" s="16"/>
    </row>
    <row r="809" spans="1:13">
      <c r="A809" s="15"/>
      <c r="B809" s="389"/>
      <c r="C809" s="390"/>
      <c r="D809" s="390"/>
      <c r="E809" s="390"/>
      <c r="F809" s="390"/>
      <c r="G809" s="391"/>
      <c r="H809" s="396"/>
      <c r="I809" s="390"/>
      <c r="J809" s="390" t="s">
        <v>103</v>
      </c>
      <c r="K809" s="390"/>
      <c r="L809" s="397"/>
      <c r="M809" s="16"/>
    </row>
    <row r="810" spans="1:13">
      <c r="A810" s="15"/>
      <c r="B810" s="980" t="s">
        <v>104</v>
      </c>
      <c r="C810" s="981"/>
      <c r="D810" s="981"/>
      <c r="E810" s="981"/>
      <c r="F810" s="981"/>
      <c r="G810" s="392"/>
      <c r="H810" s="982" t="s">
        <v>4</v>
      </c>
      <c r="I810" s="981"/>
      <c r="J810" s="981"/>
      <c r="K810" s="981"/>
      <c r="L810" s="983"/>
      <c r="M810" s="16"/>
    </row>
    <row r="811" spans="1:13">
      <c r="A811" s="15"/>
      <c r="B811" s="393"/>
      <c r="C811" s="394"/>
      <c r="D811" s="394"/>
      <c r="E811" s="394"/>
      <c r="F811" s="394"/>
      <c r="G811" s="395"/>
      <c r="H811" s="398"/>
      <c r="I811" s="394"/>
      <c r="J811" s="394"/>
      <c r="K811" s="394"/>
      <c r="L811" s="399"/>
      <c r="M811" s="16"/>
    </row>
    <row r="812" spans="1:13">
      <c r="A812" s="15"/>
      <c r="B812" s="382"/>
      <c r="C812" s="77"/>
      <c r="D812" s="77"/>
      <c r="E812" s="77"/>
      <c r="F812" s="77"/>
      <c r="G812" s="56"/>
      <c r="H812" s="74"/>
      <c r="I812" s="74"/>
      <c r="J812" s="74"/>
      <c r="K812" s="74"/>
      <c r="L812" s="384"/>
      <c r="M812" s="16"/>
    </row>
    <row r="813" spans="1:13">
      <c r="A813" s="15"/>
      <c r="B813" s="15"/>
      <c r="C813" s="114"/>
      <c r="D813" s="114"/>
      <c r="E813" s="114"/>
      <c r="F813" s="114"/>
      <c r="G813" s="379"/>
      <c r="H813" s="115" t="str">
        <f>Master!AN10</f>
        <v>INDIAN SCHOOL OF BUSINESS</v>
      </c>
      <c r="I813" s="115"/>
      <c r="J813" s="115"/>
      <c r="K813" s="115"/>
      <c r="L813" s="71"/>
      <c r="M813" s="16"/>
    </row>
    <row r="814" spans="1:13">
      <c r="A814" s="15"/>
      <c r="B814" s="70" t="str">
        <f>Master!F8</f>
        <v>GARDENING SERVICES&amp;ISB HYDERABAD</v>
      </c>
      <c r="C814" s="114"/>
      <c r="D814" s="114"/>
      <c r="E814" s="114"/>
      <c r="F814" s="114"/>
      <c r="G814" s="379"/>
      <c r="H814" s="115"/>
      <c r="I814" s="115"/>
      <c r="J814" s="115"/>
      <c r="K814" s="115"/>
      <c r="L814" s="71"/>
      <c r="M814" s="16"/>
    </row>
    <row r="815" spans="1:13">
      <c r="A815" s="15"/>
      <c r="B815" s="15"/>
      <c r="C815" s="114"/>
      <c r="D815" s="114"/>
      <c r="E815" s="114"/>
      <c r="F815" s="114"/>
      <c r="G815" s="379"/>
      <c r="H815" s="115" t="str">
        <f>Master!AN11</f>
        <v>Opp.Infosys Limited,Gachibowli,Hyderabad</v>
      </c>
      <c r="I815" s="115"/>
      <c r="J815" s="115"/>
      <c r="K815" s="115"/>
      <c r="L815" s="71"/>
      <c r="M815" s="16"/>
    </row>
    <row r="816" spans="1:13">
      <c r="A816" s="15"/>
      <c r="B816" s="383"/>
      <c r="C816" s="19"/>
      <c r="D816" s="19"/>
      <c r="E816" s="19"/>
      <c r="F816" s="19"/>
      <c r="G816" s="61"/>
      <c r="H816" s="79"/>
      <c r="I816" s="79"/>
      <c r="J816" s="79"/>
      <c r="K816" s="79"/>
      <c r="L816" s="385"/>
      <c r="M816" s="16"/>
    </row>
    <row r="817" spans="1:13" ht="30" customHeight="1">
      <c r="A817" s="15"/>
      <c r="B817" s="948" t="s">
        <v>105</v>
      </c>
      <c r="C817" s="949"/>
      <c r="D817" s="949"/>
      <c r="E817" s="949"/>
      <c r="F817" s="949"/>
      <c r="G817" s="949"/>
      <c r="H817" s="950" t="str">
        <f>Master!D32</f>
        <v>FARZANA BEGUM</v>
      </c>
      <c r="I817" s="951"/>
      <c r="J817" s="951"/>
      <c r="K817" s="951"/>
      <c r="L817" s="952"/>
      <c r="M817" s="16"/>
    </row>
    <row r="818" spans="1:13" ht="30" customHeight="1">
      <c r="A818" s="15"/>
      <c r="B818" s="948"/>
      <c r="C818" s="949"/>
      <c r="D818" s="949"/>
      <c r="E818" s="949"/>
      <c r="F818" s="949"/>
      <c r="G818" s="949"/>
      <c r="H818" s="950" t="str">
        <f>Master!K32</f>
        <v>9-4-57/7/D/10/2/B43,</v>
      </c>
      <c r="I818" s="951"/>
      <c r="J818" s="951"/>
      <c r="K818" s="951"/>
      <c r="L818" s="952"/>
      <c r="M818" s="16"/>
    </row>
    <row r="819" spans="1:13" ht="30" customHeight="1">
      <c r="A819" s="15"/>
      <c r="B819" s="948"/>
      <c r="C819" s="949"/>
      <c r="D819" s="949"/>
      <c r="E819" s="949"/>
      <c r="F819" s="949"/>
      <c r="G819" s="949"/>
      <c r="H819" s="950" t="str">
        <f>Master!L32</f>
        <v>HAKEEMPET,THOLICHOUK,GOLUKOND</v>
      </c>
      <c r="I819" s="951"/>
      <c r="J819" s="951"/>
      <c r="K819" s="951"/>
      <c r="L819" s="952"/>
      <c r="M819" s="16"/>
    </row>
    <row r="820" spans="1:13" ht="30" customHeight="1">
      <c r="A820" s="15"/>
      <c r="B820" s="948"/>
      <c r="C820" s="949"/>
      <c r="D820" s="949"/>
      <c r="E820" s="949"/>
      <c r="F820" s="949"/>
      <c r="G820" s="949"/>
      <c r="H820" s="950" t="str">
        <f>Master!M32</f>
        <v>HYDERABAD,TS-500008</v>
      </c>
      <c r="I820" s="951"/>
      <c r="J820" s="951"/>
      <c r="K820" s="951"/>
      <c r="L820" s="952"/>
      <c r="M820" s="16"/>
    </row>
    <row r="821" spans="1:13" ht="30" customHeight="1">
      <c r="A821" s="73"/>
      <c r="B821" s="948"/>
      <c r="C821" s="949"/>
      <c r="D821" s="949"/>
      <c r="E821" s="949"/>
      <c r="F821" s="949"/>
      <c r="G821" s="949"/>
      <c r="H821" s="989">
        <f>Master!N1104</f>
        <v>0</v>
      </c>
      <c r="I821" s="990"/>
      <c r="J821" s="990"/>
      <c r="K821" s="990"/>
      <c r="L821" s="991"/>
      <c r="M821" s="16"/>
    </row>
    <row r="822" spans="1:13" ht="30" customHeight="1">
      <c r="A822" s="73"/>
      <c r="B822" s="984" t="s">
        <v>106</v>
      </c>
      <c r="C822" s="985"/>
      <c r="D822" s="985"/>
      <c r="E822" s="985"/>
      <c r="F822" s="985"/>
      <c r="G822" s="985"/>
      <c r="H822" s="947">
        <f>Master!C32</f>
        <v>21</v>
      </c>
      <c r="I822" s="945"/>
      <c r="J822" s="945"/>
      <c r="K822" s="945"/>
      <c r="L822" s="946"/>
      <c r="M822" s="16"/>
    </row>
    <row r="823" spans="1:13" ht="30" customHeight="1">
      <c r="A823" s="73"/>
      <c r="B823" s="943" t="s">
        <v>107</v>
      </c>
      <c r="C823" s="944"/>
      <c r="D823" s="944"/>
      <c r="E823" s="944"/>
      <c r="F823" s="944"/>
      <c r="G823" s="944"/>
      <c r="H823" s="947" t="str">
        <f>Master!J32</f>
        <v>Unskilled Gardner</v>
      </c>
      <c r="I823" s="945"/>
      <c r="J823" s="945"/>
      <c r="K823" s="945"/>
      <c r="L823" s="946"/>
      <c r="M823" s="16"/>
    </row>
    <row r="824" spans="1:13" ht="30" customHeight="1">
      <c r="A824" s="73"/>
      <c r="B824" s="943" t="s">
        <v>108</v>
      </c>
      <c r="C824" s="944"/>
      <c r="D824" s="944"/>
      <c r="E824" s="944"/>
      <c r="F824" s="944"/>
      <c r="G824" s="944"/>
      <c r="H824" s="957">
        <f>Master!S32</f>
        <v>43850</v>
      </c>
      <c r="I824" s="958"/>
      <c r="J824" s="958"/>
      <c r="K824" s="958"/>
      <c r="L824" s="959"/>
      <c r="M824" s="16"/>
    </row>
    <row r="825" spans="1:13" ht="30" customHeight="1">
      <c r="A825" s="73"/>
      <c r="B825" s="386" t="s">
        <v>109</v>
      </c>
      <c r="C825" s="116"/>
      <c r="D825" s="116"/>
      <c r="E825" s="116"/>
      <c r="F825" s="116"/>
      <c r="G825" s="116"/>
      <c r="H825" s="947">
        <f>Master!Y32</f>
        <v>5206265912</v>
      </c>
      <c r="I825" s="947"/>
      <c r="J825" s="947"/>
      <c r="K825" s="947"/>
      <c r="L825" s="953"/>
      <c r="M825" s="16"/>
    </row>
    <row r="826" spans="1:13" ht="30" customHeight="1">
      <c r="A826" s="73"/>
      <c r="B826" s="386" t="s">
        <v>110</v>
      </c>
      <c r="C826" s="116"/>
      <c r="D826" s="116"/>
      <c r="E826" s="116"/>
      <c r="F826" s="116"/>
      <c r="G826" s="119"/>
      <c r="H826" s="947" t="str">
        <f>Master!X32</f>
        <v>100146756163</v>
      </c>
      <c r="I826" s="947"/>
      <c r="J826" s="947"/>
      <c r="K826" s="947"/>
      <c r="L826" s="953"/>
      <c r="M826" s="16"/>
    </row>
    <row r="827" spans="1:13" ht="30" customHeight="1">
      <c r="A827" s="73"/>
      <c r="B827" s="954" t="s">
        <v>111</v>
      </c>
      <c r="C827" s="955"/>
      <c r="D827" s="955"/>
      <c r="E827" s="955"/>
      <c r="F827" s="955"/>
      <c r="G827" s="955"/>
      <c r="H827" s="950">
        <f>Master!AC32</f>
        <v>10627</v>
      </c>
      <c r="I827" s="951"/>
      <c r="J827" s="951"/>
      <c r="K827" s="951"/>
      <c r="L827" s="952"/>
      <c r="M827" s="16"/>
    </row>
    <row r="828" spans="1:13" ht="30" customHeight="1">
      <c r="A828" s="73"/>
      <c r="B828" s="943" t="s">
        <v>112</v>
      </c>
      <c r="C828" s="944"/>
      <c r="D828" s="944"/>
      <c r="E828" s="944"/>
      <c r="F828" s="944"/>
      <c r="G828" s="944"/>
      <c r="H828" s="956">
        <f>Master!F10</f>
        <v>44652</v>
      </c>
      <c r="I828" s="945"/>
      <c r="J828" s="945"/>
      <c r="K828" s="945"/>
      <c r="L828" s="946"/>
      <c r="M828" s="16"/>
    </row>
    <row r="829" spans="1:13" ht="30" customHeight="1">
      <c r="A829" s="15"/>
      <c r="B829" s="943" t="s">
        <v>113</v>
      </c>
      <c r="C829" s="944"/>
      <c r="D829" s="944"/>
      <c r="E829" s="944"/>
      <c r="F829" s="944"/>
      <c r="G829" s="944"/>
      <c r="H829" s="945" t="s">
        <v>114</v>
      </c>
      <c r="I829" s="945"/>
      <c r="J829" s="945"/>
      <c r="K829" s="945"/>
      <c r="L829" s="946"/>
      <c r="M829" s="16"/>
    </row>
    <row r="830" spans="1:13" ht="30" customHeight="1">
      <c r="A830" s="15"/>
      <c r="B830" s="386" t="s">
        <v>115</v>
      </c>
      <c r="C830" s="116"/>
      <c r="D830" s="116"/>
      <c r="E830" s="116"/>
      <c r="F830" s="116"/>
      <c r="G830" s="119"/>
      <c r="H830" s="947">
        <f>Master!AA32</f>
        <v>26</v>
      </c>
      <c r="I830" s="945"/>
      <c r="J830" s="945"/>
      <c r="K830" s="945"/>
      <c r="L830" s="946"/>
      <c r="M830" s="16"/>
    </row>
    <row r="831" spans="1:13" ht="30" customHeight="1">
      <c r="A831" s="15"/>
      <c r="B831" s="386" t="s">
        <v>116</v>
      </c>
      <c r="C831" s="116"/>
      <c r="D831" s="116"/>
      <c r="E831" s="116"/>
      <c r="F831" s="116"/>
      <c r="G831" s="119"/>
      <c r="H831" s="986" t="s">
        <v>28</v>
      </c>
      <c r="I831" s="987"/>
      <c r="J831" s="987"/>
      <c r="K831" s="987"/>
      <c r="L831" s="988"/>
      <c r="M831" s="16"/>
    </row>
    <row r="832" spans="1:13" ht="30" customHeight="1">
      <c r="A832" s="15"/>
      <c r="B832" s="386" t="s">
        <v>117</v>
      </c>
      <c r="C832" s="116"/>
      <c r="D832" s="116"/>
      <c r="E832" s="116"/>
      <c r="F832" s="116"/>
      <c r="G832" s="119"/>
      <c r="H832" s="989">
        <v>0</v>
      </c>
      <c r="I832" s="990"/>
      <c r="J832" s="990"/>
      <c r="K832" s="990"/>
      <c r="L832" s="991"/>
      <c r="M832" s="16"/>
    </row>
    <row r="833" spans="1:13" ht="30" customHeight="1">
      <c r="A833" s="15"/>
      <c r="B833" s="386" t="s">
        <v>118</v>
      </c>
      <c r="C833" s="116"/>
      <c r="D833" s="116"/>
      <c r="E833" s="116"/>
      <c r="F833" s="116"/>
      <c r="G833" s="119"/>
      <c r="H833" s="986">
        <v>0</v>
      </c>
      <c r="I833" s="987"/>
      <c r="J833" s="987"/>
      <c r="K833" s="987"/>
      <c r="L833" s="988"/>
      <c r="M833" s="16"/>
    </row>
    <row r="834" spans="1:13" ht="30" customHeight="1">
      <c r="A834" s="15"/>
      <c r="B834" s="386" t="s">
        <v>119</v>
      </c>
      <c r="C834" s="116"/>
      <c r="D834" s="116"/>
      <c r="E834" s="116"/>
      <c r="F834" s="116"/>
      <c r="G834" s="119"/>
      <c r="H834" s="117"/>
      <c r="I834" s="118"/>
      <c r="J834" s="990">
        <f>Master!AK32</f>
        <v>9210.4</v>
      </c>
      <c r="K834" s="992"/>
      <c r="L834" s="581" t="s">
        <v>737</v>
      </c>
      <c r="M834" s="16"/>
    </row>
    <row r="835" spans="1:13" ht="30" customHeight="1">
      <c r="A835" s="15"/>
      <c r="B835" s="386" t="s">
        <v>120</v>
      </c>
      <c r="C835" s="116"/>
      <c r="D835" s="465" t="s">
        <v>24</v>
      </c>
      <c r="E835" s="466">
        <f>Master!AM32</f>
        <v>1105</v>
      </c>
      <c r="F835" s="465" t="s">
        <v>23</v>
      </c>
      <c r="G835" s="466">
        <f>Master!AL32</f>
        <v>70</v>
      </c>
      <c r="H835" s="465" t="s">
        <v>25</v>
      </c>
      <c r="I835" s="466">
        <f>Master!AN32</f>
        <v>0</v>
      </c>
      <c r="J835" s="465" t="s">
        <v>26</v>
      </c>
      <c r="K835" s="466">
        <f>Master!AO32</f>
        <v>0</v>
      </c>
      <c r="L835" s="400">
        <f>Master!AP32</f>
        <v>0</v>
      </c>
      <c r="M835" s="16"/>
    </row>
    <row r="836" spans="1:13" ht="30" customHeight="1">
      <c r="A836" s="15"/>
      <c r="B836" s="386" t="s">
        <v>121</v>
      </c>
      <c r="C836" s="116"/>
      <c r="D836" s="116"/>
      <c r="E836" s="116"/>
      <c r="F836" s="116"/>
      <c r="G836" s="119"/>
      <c r="H836" s="117"/>
      <c r="I836" s="118"/>
      <c r="J836" s="541">
        <f>Master!AR32</f>
        <v>8035.4</v>
      </c>
      <c r="K836" s="118"/>
      <c r="L836" s="125"/>
      <c r="M836" s="16"/>
    </row>
    <row r="837" spans="1:13">
      <c r="A837" s="15"/>
      <c r="B837" s="387" t="s">
        <v>122</v>
      </c>
      <c r="C837" s="74"/>
      <c r="D837" s="74"/>
      <c r="E837" s="74"/>
      <c r="F837" s="74"/>
      <c r="G837" s="75"/>
      <c r="H837" s="76"/>
      <c r="I837" s="77"/>
      <c r="J837" s="77"/>
      <c r="K837" s="77"/>
      <c r="L837" s="78"/>
      <c r="M837" s="16"/>
    </row>
    <row r="838" spans="1:13">
      <c r="A838" s="15"/>
      <c r="B838" s="388" t="s">
        <v>123</v>
      </c>
      <c r="C838" s="79"/>
      <c r="D838" s="79"/>
      <c r="E838" s="79"/>
      <c r="F838" s="79"/>
      <c r="G838" s="80"/>
      <c r="H838" s="60"/>
      <c r="I838" s="19"/>
      <c r="J838" s="19"/>
      <c r="K838" s="19"/>
      <c r="L838" s="81"/>
      <c r="M838" s="16"/>
    </row>
    <row r="839" spans="1:13">
      <c r="A839" s="15"/>
      <c r="B839" s="15"/>
      <c r="C839" s="114"/>
      <c r="D839" s="114"/>
      <c r="E839" s="114"/>
      <c r="F839" s="114"/>
      <c r="G839" s="114"/>
      <c r="H839" s="114"/>
      <c r="I839" s="114"/>
      <c r="J839" s="114"/>
      <c r="K839" s="114"/>
      <c r="L839" s="16"/>
      <c r="M839" s="16"/>
    </row>
    <row r="840" spans="1:13" ht="15" thickBot="1">
      <c r="A840" s="27"/>
      <c r="B840" s="27"/>
      <c r="C840" s="25"/>
      <c r="D840" s="25"/>
      <c r="E840" s="25"/>
      <c r="F840" s="25"/>
      <c r="G840" s="25"/>
      <c r="H840" s="25"/>
      <c r="I840" s="25"/>
      <c r="J840" s="25"/>
      <c r="K840" s="25"/>
      <c r="L840" s="26"/>
      <c r="M840" s="26"/>
    </row>
    <row r="841" spans="1:13">
      <c r="A841" s="420"/>
      <c r="B841" s="420"/>
      <c r="C841" s="420"/>
      <c r="D841" s="420"/>
      <c r="E841" s="420"/>
      <c r="F841" s="420"/>
      <c r="G841" s="420"/>
      <c r="H841" s="420"/>
      <c r="I841" s="420"/>
      <c r="J841" s="420"/>
      <c r="K841" s="420"/>
      <c r="L841" s="420"/>
      <c r="M841" s="420"/>
    </row>
    <row r="842" spans="1:13">
      <c r="A842" s="420"/>
      <c r="B842" s="420"/>
      <c r="C842" s="420"/>
      <c r="D842" s="420"/>
      <c r="E842" s="420"/>
      <c r="F842" s="420"/>
      <c r="G842" s="420"/>
      <c r="H842" s="420"/>
      <c r="I842" s="420"/>
      <c r="J842" s="420"/>
      <c r="K842" s="420"/>
      <c r="L842" s="420"/>
      <c r="M842" s="420"/>
    </row>
    <row r="843" spans="1:13">
      <c r="A843" s="420"/>
      <c r="B843" s="420"/>
      <c r="C843" s="420"/>
      <c r="D843" s="420"/>
      <c r="E843" s="420"/>
      <c r="F843" s="420"/>
      <c r="G843" s="420"/>
      <c r="H843" s="420"/>
      <c r="I843" s="420"/>
      <c r="J843" s="420"/>
      <c r="K843" s="420"/>
      <c r="L843" s="420"/>
      <c r="M843" s="420"/>
    </row>
    <row r="844" spans="1:13">
      <c r="A844" s="420"/>
      <c r="B844" s="420"/>
      <c r="C844" s="420"/>
      <c r="D844" s="420"/>
      <c r="E844" s="420"/>
      <c r="F844" s="420"/>
      <c r="G844" s="420"/>
      <c r="H844" s="420"/>
      <c r="I844" s="420"/>
      <c r="J844" s="420"/>
      <c r="K844" s="420"/>
      <c r="L844" s="420"/>
      <c r="M844" s="420"/>
    </row>
    <row r="845" spans="1:13" ht="15" thickBot="1">
      <c r="A845" s="420"/>
      <c r="B845" s="420"/>
      <c r="C845" s="420"/>
      <c r="D845" s="420"/>
      <c r="E845" s="420"/>
      <c r="F845" s="420"/>
      <c r="G845" s="420"/>
      <c r="H845" s="420"/>
      <c r="I845" s="420"/>
      <c r="J845" s="420"/>
      <c r="K845" s="420"/>
      <c r="L845" s="420"/>
      <c r="M845" s="420"/>
    </row>
    <row r="846" spans="1:13" ht="32.4">
      <c r="A846" s="68"/>
      <c r="B846" s="960" t="s">
        <v>99</v>
      </c>
      <c r="C846" s="961"/>
      <c r="D846" s="961"/>
      <c r="E846" s="961"/>
      <c r="F846" s="961"/>
      <c r="G846" s="961"/>
      <c r="H846" s="961"/>
      <c r="I846" s="961"/>
      <c r="J846" s="961"/>
      <c r="K846" s="961"/>
      <c r="L846" s="962"/>
      <c r="M846" s="69"/>
    </row>
    <row r="847" spans="1:13" ht="23.4">
      <c r="A847" s="15"/>
      <c r="B847" s="963" t="s">
        <v>100</v>
      </c>
      <c r="C847" s="964"/>
      <c r="D847" s="964"/>
      <c r="E847" s="964"/>
      <c r="F847" s="964"/>
      <c r="G847" s="964"/>
      <c r="H847" s="964"/>
      <c r="I847" s="964"/>
      <c r="J847" s="964"/>
      <c r="K847" s="964"/>
      <c r="L847" s="965"/>
      <c r="M847" s="16"/>
    </row>
    <row r="848" spans="1:13" ht="15.6">
      <c r="A848" s="15"/>
      <c r="B848" s="966" t="s">
        <v>1070</v>
      </c>
      <c r="C848" s="967"/>
      <c r="D848" s="967"/>
      <c r="E848" s="967"/>
      <c r="F848" s="967"/>
      <c r="G848" s="967"/>
      <c r="H848" s="968"/>
      <c r="I848" s="968"/>
      <c r="J848" s="968"/>
      <c r="K848" s="968"/>
      <c r="L848" s="969"/>
      <c r="M848" s="16"/>
    </row>
    <row r="849" spans="1:13">
      <c r="A849" s="15"/>
      <c r="B849" s="970" t="s">
        <v>101</v>
      </c>
      <c r="C849" s="971"/>
      <c r="D849" s="971"/>
      <c r="E849" s="971"/>
      <c r="F849" s="971"/>
      <c r="G849" s="391"/>
      <c r="H849" s="974" t="s">
        <v>102</v>
      </c>
      <c r="I849" s="975"/>
      <c r="J849" s="975"/>
      <c r="K849" s="975"/>
      <c r="L849" s="976"/>
      <c r="M849" s="16"/>
    </row>
    <row r="850" spans="1:13">
      <c r="A850" s="15"/>
      <c r="B850" s="972"/>
      <c r="C850" s="973"/>
      <c r="D850" s="973"/>
      <c r="E850" s="973"/>
      <c r="F850" s="973"/>
      <c r="G850" s="395"/>
      <c r="H850" s="977"/>
      <c r="I850" s="978"/>
      <c r="J850" s="978"/>
      <c r="K850" s="978"/>
      <c r="L850" s="979"/>
      <c r="M850" s="16"/>
    </row>
    <row r="851" spans="1:13">
      <c r="A851" s="15"/>
      <c r="B851" s="382"/>
      <c r="C851" s="77"/>
      <c r="D851" s="77"/>
      <c r="E851" s="77"/>
      <c r="F851" s="77"/>
      <c r="G851" s="56"/>
      <c r="H851" s="76"/>
      <c r="I851" s="77"/>
      <c r="J851" s="77"/>
      <c r="K851" s="77"/>
      <c r="L851" s="78"/>
      <c r="M851" s="16"/>
    </row>
    <row r="852" spans="1:13">
      <c r="A852" s="15"/>
      <c r="B852" s="378" t="str">
        <f>Master!F5</f>
        <v>GROTECH LANDSCAPE DEVELOPERS PVT. LTD.</v>
      </c>
      <c r="C852" s="114"/>
      <c r="D852" s="114"/>
      <c r="E852" s="114"/>
      <c r="F852" s="114"/>
      <c r="G852" s="379"/>
      <c r="H852" s="381" t="str">
        <f>Master!AN5</f>
        <v>GROTECH LANDSCAPE DEVELOPERS PVT. LTD.</v>
      </c>
      <c r="I852" s="114"/>
      <c r="J852" s="114"/>
      <c r="K852" s="114"/>
      <c r="L852" s="16"/>
      <c r="M852" s="16"/>
    </row>
    <row r="853" spans="1:13">
      <c r="A853" s="15"/>
      <c r="B853" s="15"/>
      <c r="C853" s="114"/>
      <c r="D853" s="114"/>
      <c r="E853" s="114"/>
      <c r="F853" s="114"/>
      <c r="G853" s="379"/>
      <c r="H853" s="380"/>
      <c r="I853" s="114"/>
      <c r="J853" s="114"/>
      <c r="K853" s="114"/>
      <c r="L853" s="16"/>
      <c r="M853" s="16"/>
    </row>
    <row r="854" spans="1:13">
      <c r="A854" s="15"/>
      <c r="B854" s="538" t="str">
        <f>Master!F6</f>
        <v>290/E, Khanapur Village, Gandipet Mandal, Ranga Reddy, Hyderabad-500075 T.S.</v>
      </c>
      <c r="C854" s="114"/>
      <c r="D854" s="114"/>
      <c r="E854" s="114"/>
      <c r="F854" s="114"/>
      <c r="G854" s="379"/>
      <c r="H854" s="539" t="str">
        <f>Master!AN6</f>
        <v>290/E, Khanapur Village, Gandipet Mandal, Ranga Reddy, Hyderabad-500075 T.S.</v>
      </c>
      <c r="I854" s="114"/>
      <c r="J854" s="114"/>
      <c r="K854" s="114"/>
      <c r="L854" s="16"/>
      <c r="M854" s="16"/>
    </row>
    <row r="855" spans="1:13">
      <c r="A855" s="15"/>
      <c r="B855" s="383"/>
      <c r="C855" s="19"/>
      <c r="D855" s="19"/>
      <c r="E855" s="19"/>
      <c r="F855" s="19"/>
      <c r="G855" s="61"/>
      <c r="H855" s="60"/>
      <c r="I855" s="19"/>
      <c r="J855" s="19"/>
      <c r="K855" s="19"/>
      <c r="L855" s="81"/>
      <c r="M855" s="16"/>
    </row>
    <row r="856" spans="1:13">
      <c r="A856" s="15"/>
      <c r="B856" s="389"/>
      <c r="C856" s="390"/>
      <c r="D856" s="390"/>
      <c r="E856" s="390"/>
      <c r="F856" s="390"/>
      <c r="G856" s="391"/>
      <c r="H856" s="396"/>
      <c r="I856" s="390"/>
      <c r="J856" s="390" t="s">
        <v>103</v>
      </c>
      <c r="K856" s="390"/>
      <c r="L856" s="397"/>
      <c r="M856" s="16"/>
    </row>
    <row r="857" spans="1:13">
      <c r="A857" s="15"/>
      <c r="B857" s="980" t="s">
        <v>104</v>
      </c>
      <c r="C857" s="981"/>
      <c r="D857" s="981"/>
      <c r="E857" s="981"/>
      <c r="F857" s="981"/>
      <c r="G857" s="392"/>
      <c r="H857" s="982" t="s">
        <v>4</v>
      </c>
      <c r="I857" s="981"/>
      <c r="J857" s="981"/>
      <c r="K857" s="981"/>
      <c r="L857" s="983"/>
      <c r="M857" s="16"/>
    </row>
    <row r="858" spans="1:13">
      <c r="A858" s="15"/>
      <c r="B858" s="393"/>
      <c r="C858" s="394"/>
      <c r="D858" s="394"/>
      <c r="E858" s="394"/>
      <c r="F858" s="394"/>
      <c r="G858" s="395"/>
      <c r="H858" s="398"/>
      <c r="I858" s="394"/>
      <c r="J858" s="394"/>
      <c r="K858" s="394"/>
      <c r="L858" s="399"/>
      <c r="M858" s="16"/>
    </row>
    <row r="859" spans="1:13">
      <c r="A859" s="15"/>
      <c r="B859" s="382"/>
      <c r="C859" s="77"/>
      <c r="D859" s="77"/>
      <c r="E859" s="77"/>
      <c r="F859" s="77"/>
      <c r="G859" s="56"/>
      <c r="H859" s="74"/>
      <c r="I859" s="74"/>
      <c r="J859" s="74"/>
      <c r="K859" s="74"/>
      <c r="L859" s="384"/>
      <c r="M859" s="16"/>
    </row>
    <row r="860" spans="1:13">
      <c r="A860" s="15"/>
      <c r="B860" s="15"/>
      <c r="C860" s="114"/>
      <c r="D860" s="114"/>
      <c r="E860" s="114"/>
      <c r="F860" s="114"/>
      <c r="G860" s="379"/>
      <c r="H860" s="115" t="str">
        <f>Master!AN10</f>
        <v>INDIAN SCHOOL OF BUSINESS</v>
      </c>
      <c r="I860" s="115"/>
      <c r="J860" s="115"/>
      <c r="K860" s="115"/>
      <c r="L860" s="71"/>
      <c r="M860" s="16"/>
    </row>
    <row r="861" spans="1:13">
      <c r="A861" s="15"/>
      <c r="B861" s="70" t="str">
        <f>Master!F8</f>
        <v>GARDENING SERVICES&amp;ISB HYDERABAD</v>
      </c>
      <c r="C861" s="114"/>
      <c r="D861" s="114"/>
      <c r="E861" s="114"/>
      <c r="F861" s="114"/>
      <c r="G861" s="379"/>
      <c r="H861" s="115"/>
      <c r="I861" s="115"/>
      <c r="J861" s="115"/>
      <c r="K861" s="115"/>
      <c r="L861" s="71"/>
      <c r="M861" s="16"/>
    </row>
    <row r="862" spans="1:13">
      <c r="A862" s="15"/>
      <c r="B862" s="15"/>
      <c r="C862" s="114"/>
      <c r="D862" s="114"/>
      <c r="E862" s="114"/>
      <c r="F862" s="114"/>
      <c r="G862" s="379"/>
      <c r="H862" s="115" t="str">
        <f>Master!AN11</f>
        <v>Opp.Infosys Limited,Gachibowli,Hyderabad</v>
      </c>
      <c r="I862" s="115"/>
      <c r="J862" s="115"/>
      <c r="K862" s="115"/>
      <c r="L862" s="71"/>
      <c r="M862" s="16"/>
    </row>
    <row r="863" spans="1:13">
      <c r="A863" s="15"/>
      <c r="B863" s="383"/>
      <c r="C863" s="19"/>
      <c r="D863" s="19"/>
      <c r="E863" s="19"/>
      <c r="F863" s="19"/>
      <c r="G863" s="61"/>
      <c r="H863" s="79"/>
      <c r="I863" s="79"/>
      <c r="J863" s="79"/>
      <c r="K863" s="79"/>
      <c r="L863" s="385"/>
      <c r="M863" s="16"/>
    </row>
    <row r="864" spans="1:13" ht="30" customHeight="1">
      <c r="A864" s="15"/>
      <c r="B864" s="948" t="s">
        <v>105</v>
      </c>
      <c r="C864" s="949"/>
      <c r="D864" s="949"/>
      <c r="E864" s="949"/>
      <c r="F864" s="949"/>
      <c r="G864" s="949"/>
      <c r="H864" s="950" t="str">
        <f>Master!D33</f>
        <v>MANAGALI SUHASINI</v>
      </c>
      <c r="I864" s="951"/>
      <c r="J864" s="951"/>
      <c r="K864" s="951"/>
      <c r="L864" s="952"/>
      <c r="M864" s="16"/>
    </row>
    <row r="865" spans="1:13" ht="30" customHeight="1">
      <c r="A865" s="15"/>
      <c r="B865" s="948"/>
      <c r="C865" s="949"/>
      <c r="D865" s="949"/>
      <c r="E865" s="949"/>
      <c r="F865" s="949"/>
      <c r="G865" s="949"/>
      <c r="H865" s="950" t="str">
        <f>Master!K33</f>
        <v>H.no.2-36,</v>
      </c>
      <c r="I865" s="951"/>
      <c r="J865" s="951"/>
      <c r="K865" s="951"/>
      <c r="L865" s="952"/>
      <c r="M865" s="16"/>
    </row>
    <row r="866" spans="1:13" ht="30" customHeight="1">
      <c r="A866" s="15"/>
      <c r="B866" s="948"/>
      <c r="C866" s="949"/>
      <c r="D866" s="949"/>
      <c r="E866" s="949"/>
      <c r="F866" s="949"/>
      <c r="G866" s="949"/>
      <c r="H866" s="950" t="str">
        <f>Master!L33</f>
        <v>Medharam,medak</v>
      </c>
      <c r="I866" s="951"/>
      <c r="J866" s="951"/>
      <c r="K866" s="951"/>
      <c r="L866" s="952"/>
      <c r="M866" s="16"/>
    </row>
    <row r="867" spans="1:13" ht="30" customHeight="1">
      <c r="A867" s="15"/>
      <c r="B867" s="948"/>
      <c r="C867" s="949"/>
      <c r="D867" s="949"/>
      <c r="E867" s="949"/>
      <c r="F867" s="949"/>
      <c r="G867" s="949"/>
      <c r="H867" s="950" t="str">
        <f>Master!M33</f>
        <v>TS-502319</v>
      </c>
      <c r="I867" s="951"/>
      <c r="J867" s="951"/>
      <c r="K867" s="951"/>
      <c r="L867" s="952"/>
      <c r="M867" s="16"/>
    </row>
    <row r="868" spans="1:13" ht="30" customHeight="1">
      <c r="A868" s="73"/>
      <c r="B868" s="948"/>
      <c r="C868" s="949"/>
      <c r="D868" s="949"/>
      <c r="E868" s="949"/>
      <c r="F868" s="949"/>
      <c r="G868" s="949"/>
      <c r="H868" s="989">
        <f>Master!N1172</f>
        <v>0</v>
      </c>
      <c r="I868" s="990"/>
      <c r="J868" s="990"/>
      <c r="K868" s="990"/>
      <c r="L868" s="991"/>
      <c r="M868" s="16"/>
    </row>
    <row r="869" spans="1:13" ht="30" customHeight="1">
      <c r="A869" s="73"/>
      <c r="B869" s="984" t="s">
        <v>106</v>
      </c>
      <c r="C869" s="985"/>
      <c r="D869" s="985"/>
      <c r="E869" s="985"/>
      <c r="F869" s="985"/>
      <c r="G869" s="985"/>
      <c r="H869" s="947">
        <f>Master!C33</f>
        <v>22</v>
      </c>
      <c r="I869" s="945"/>
      <c r="J869" s="945"/>
      <c r="K869" s="945"/>
      <c r="L869" s="946"/>
      <c r="M869" s="16"/>
    </row>
    <row r="870" spans="1:13" ht="30" customHeight="1">
      <c r="A870" s="73"/>
      <c r="B870" s="943" t="s">
        <v>107</v>
      </c>
      <c r="C870" s="944"/>
      <c r="D870" s="944"/>
      <c r="E870" s="944"/>
      <c r="F870" s="944"/>
      <c r="G870" s="944"/>
      <c r="H870" s="947" t="str">
        <f>Master!J33</f>
        <v>Unskilled Gardner</v>
      </c>
      <c r="I870" s="945"/>
      <c r="J870" s="945"/>
      <c r="K870" s="945"/>
      <c r="L870" s="946"/>
      <c r="M870" s="16"/>
    </row>
    <row r="871" spans="1:13" ht="30" customHeight="1">
      <c r="A871" s="73"/>
      <c r="B871" s="943" t="s">
        <v>108</v>
      </c>
      <c r="C871" s="944"/>
      <c r="D871" s="944"/>
      <c r="E871" s="944"/>
      <c r="F871" s="944"/>
      <c r="G871" s="944"/>
      <c r="H871" s="957">
        <f>Master!S33</f>
        <v>43850</v>
      </c>
      <c r="I871" s="958"/>
      <c r="J871" s="958"/>
      <c r="K871" s="958"/>
      <c r="L871" s="959"/>
      <c r="M871" s="16"/>
    </row>
    <row r="872" spans="1:13" ht="30" customHeight="1">
      <c r="A872" s="73"/>
      <c r="B872" s="386" t="s">
        <v>109</v>
      </c>
      <c r="C872" s="116"/>
      <c r="D872" s="116"/>
      <c r="E872" s="116"/>
      <c r="F872" s="116"/>
      <c r="G872" s="116"/>
      <c r="H872" s="947">
        <f>Master!Y33</f>
        <v>5214635168</v>
      </c>
      <c r="I872" s="947"/>
      <c r="J872" s="947"/>
      <c r="K872" s="947"/>
      <c r="L872" s="953"/>
      <c r="M872" s="16"/>
    </row>
    <row r="873" spans="1:13" ht="30" customHeight="1">
      <c r="A873" s="73"/>
      <c r="B873" s="386" t="s">
        <v>110</v>
      </c>
      <c r="C873" s="116"/>
      <c r="D873" s="116"/>
      <c r="E873" s="116"/>
      <c r="F873" s="116"/>
      <c r="G873" s="119"/>
      <c r="H873" s="947" t="str">
        <f>Master!X33</f>
        <v>101257341492</v>
      </c>
      <c r="I873" s="947"/>
      <c r="J873" s="947"/>
      <c r="K873" s="947"/>
      <c r="L873" s="953"/>
      <c r="M873" s="16"/>
    </row>
    <row r="874" spans="1:13" ht="30" customHeight="1">
      <c r="A874" s="73"/>
      <c r="B874" s="954" t="s">
        <v>111</v>
      </c>
      <c r="C874" s="955"/>
      <c r="D874" s="955"/>
      <c r="E874" s="955"/>
      <c r="F874" s="955"/>
      <c r="G874" s="955"/>
      <c r="H874" s="950">
        <f>Master!AC33</f>
        <v>10627</v>
      </c>
      <c r="I874" s="951"/>
      <c r="J874" s="951"/>
      <c r="K874" s="951"/>
      <c r="L874" s="952"/>
      <c r="M874" s="16"/>
    </row>
    <row r="875" spans="1:13" ht="30" customHeight="1">
      <c r="A875" s="73"/>
      <c r="B875" s="943" t="s">
        <v>112</v>
      </c>
      <c r="C875" s="944"/>
      <c r="D875" s="944"/>
      <c r="E875" s="944"/>
      <c r="F875" s="944"/>
      <c r="G875" s="944"/>
      <c r="H875" s="956">
        <f>Master!F10</f>
        <v>44652</v>
      </c>
      <c r="I875" s="945"/>
      <c r="J875" s="945"/>
      <c r="K875" s="945"/>
      <c r="L875" s="946"/>
      <c r="M875" s="16"/>
    </row>
    <row r="876" spans="1:13" ht="30" customHeight="1">
      <c r="A876" s="15"/>
      <c r="B876" s="943" t="s">
        <v>113</v>
      </c>
      <c r="C876" s="944"/>
      <c r="D876" s="944"/>
      <c r="E876" s="944"/>
      <c r="F876" s="944"/>
      <c r="G876" s="944"/>
      <c r="H876" s="945" t="s">
        <v>114</v>
      </c>
      <c r="I876" s="945"/>
      <c r="J876" s="945"/>
      <c r="K876" s="945"/>
      <c r="L876" s="946"/>
      <c r="M876" s="16"/>
    </row>
    <row r="877" spans="1:13" ht="30" customHeight="1">
      <c r="A877" s="15"/>
      <c r="B877" s="386" t="s">
        <v>115</v>
      </c>
      <c r="C877" s="116"/>
      <c r="D877" s="116"/>
      <c r="E877" s="116"/>
      <c r="F877" s="116"/>
      <c r="G877" s="119"/>
      <c r="H877" s="947">
        <f>Master!AA33</f>
        <v>26</v>
      </c>
      <c r="I877" s="945"/>
      <c r="J877" s="945"/>
      <c r="K877" s="945"/>
      <c r="L877" s="946"/>
      <c r="M877" s="16"/>
    </row>
    <row r="878" spans="1:13" ht="30" customHeight="1">
      <c r="A878" s="15"/>
      <c r="B878" s="386" t="s">
        <v>116</v>
      </c>
      <c r="C878" s="116"/>
      <c r="D878" s="116"/>
      <c r="E878" s="116"/>
      <c r="F878" s="116"/>
      <c r="G878" s="119"/>
      <c r="H878" s="986" t="s">
        <v>28</v>
      </c>
      <c r="I878" s="987"/>
      <c r="J878" s="987"/>
      <c r="K878" s="987"/>
      <c r="L878" s="988"/>
      <c r="M878" s="16"/>
    </row>
    <row r="879" spans="1:13" ht="30" customHeight="1">
      <c r="A879" s="15"/>
      <c r="B879" s="386" t="s">
        <v>117</v>
      </c>
      <c r="C879" s="116"/>
      <c r="D879" s="116"/>
      <c r="E879" s="116"/>
      <c r="F879" s="116"/>
      <c r="G879" s="119"/>
      <c r="H879" s="989">
        <v>0</v>
      </c>
      <c r="I879" s="990"/>
      <c r="J879" s="990"/>
      <c r="K879" s="990"/>
      <c r="L879" s="991"/>
      <c r="M879" s="16"/>
    </row>
    <row r="880" spans="1:13" ht="30" customHeight="1">
      <c r="A880" s="15"/>
      <c r="B880" s="386" t="s">
        <v>118</v>
      </c>
      <c r="C880" s="116"/>
      <c r="D880" s="116"/>
      <c r="E880" s="116"/>
      <c r="F880" s="116"/>
      <c r="G880" s="119"/>
      <c r="H880" s="986">
        <v>0</v>
      </c>
      <c r="I880" s="987"/>
      <c r="J880" s="987"/>
      <c r="K880" s="987"/>
      <c r="L880" s="988"/>
      <c r="M880" s="16"/>
    </row>
    <row r="881" spans="1:13" ht="30" customHeight="1">
      <c r="A881" s="15"/>
      <c r="B881" s="386" t="s">
        <v>119</v>
      </c>
      <c r="C881" s="116"/>
      <c r="D881" s="116"/>
      <c r="E881" s="116"/>
      <c r="F881" s="116"/>
      <c r="G881" s="119"/>
      <c r="H881" s="117"/>
      <c r="I881" s="118"/>
      <c r="J881" s="990">
        <f>Master!AK33</f>
        <v>9210.4</v>
      </c>
      <c r="K881" s="992"/>
      <c r="L881" s="581" t="s">
        <v>737</v>
      </c>
      <c r="M881" s="16"/>
    </row>
    <row r="882" spans="1:13" ht="30" customHeight="1">
      <c r="A882" s="15"/>
      <c r="B882" s="386" t="s">
        <v>120</v>
      </c>
      <c r="C882" s="116"/>
      <c r="D882" s="465" t="s">
        <v>24</v>
      </c>
      <c r="E882" s="466">
        <f>Master!AM33</f>
        <v>1105</v>
      </c>
      <c r="F882" s="465" t="s">
        <v>23</v>
      </c>
      <c r="G882" s="466">
        <f>Master!AL33</f>
        <v>70</v>
      </c>
      <c r="H882" s="465" t="s">
        <v>25</v>
      </c>
      <c r="I882" s="466">
        <f>Master!AN33</f>
        <v>0</v>
      </c>
      <c r="J882" s="465" t="s">
        <v>26</v>
      </c>
      <c r="K882" s="466">
        <f>Master!AO33</f>
        <v>0</v>
      </c>
      <c r="L882" s="400">
        <f>Master!AP33</f>
        <v>0</v>
      </c>
      <c r="M882" s="16"/>
    </row>
    <row r="883" spans="1:13" ht="30" customHeight="1">
      <c r="A883" s="15"/>
      <c r="B883" s="386" t="s">
        <v>121</v>
      </c>
      <c r="C883" s="116"/>
      <c r="D883" s="116"/>
      <c r="E883" s="116"/>
      <c r="F883" s="116"/>
      <c r="G883" s="119"/>
      <c r="H883" s="117"/>
      <c r="I883" s="118"/>
      <c r="J883" s="541">
        <f>Master!AR33</f>
        <v>8035.4</v>
      </c>
      <c r="K883" s="118"/>
      <c r="L883" s="125"/>
      <c r="M883" s="16"/>
    </row>
    <row r="884" spans="1:13">
      <c r="A884" s="15"/>
      <c r="B884" s="387" t="s">
        <v>122</v>
      </c>
      <c r="C884" s="74"/>
      <c r="D884" s="74"/>
      <c r="E884" s="74"/>
      <c r="F884" s="74"/>
      <c r="G884" s="75"/>
      <c r="H884" s="76"/>
      <c r="I884" s="77"/>
      <c r="J884" s="77"/>
      <c r="K884" s="77"/>
      <c r="L884" s="78"/>
      <c r="M884" s="16"/>
    </row>
    <row r="885" spans="1:13">
      <c r="A885" s="15"/>
      <c r="B885" s="388" t="s">
        <v>123</v>
      </c>
      <c r="C885" s="79"/>
      <c r="D885" s="79"/>
      <c r="E885" s="79"/>
      <c r="F885" s="79"/>
      <c r="G885" s="80"/>
      <c r="H885" s="60"/>
      <c r="I885" s="19"/>
      <c r="J885" s="19"/>
      <c r="K885" s="19"/>
      <c r="L885" s="81"/>
      <c r="M885" s="16"/>
    </row>
    <row r="886" spans="1:13">
      <c r="A886" s="15"/>
      <c r="B886" s="15"/>
      <c r="C886" s="114"/>
      <c r="D886" s="114"/>
      <c r="E886" s="114"/>
      <c r="F886" s="114"/>
      <c r="G886" s="114"/>
      <c r="H886" s="114"/>
      <c r="I886" s="114"/>
      <c r="J886" s="114"/>
      <c r="K886" s="114"/>
      <c r="L886" s="16"/>
      <c r="M886" s="16"/>
    </row>
    <row r="887" spans="1:13" ht="15" thickBot="1">
      <c r="A887" s="27"/>
      <c r="B887" s="27"/>
      <c r="C887" s="25"/>
      <c r="D887" s="25"/>
      <c r="E887" s="25"/>
      <c r="F887" s="25"/>
      <c r="G887" s="25"/>
      <c r="H887" s="25"/>
      <c r="I887" s="25"/>
      <c r="J887" s="25"/>
      <c r="K887" s="25"/>
      <c r="L887" s="26"/>
      <c r="M887" s="26"/>
    </row>
    <row r="888" spans="1:13">
      <c r="A888" s="420"/>
      <c r="B888" s="420"/>
      <c r="C888" s="420"/>
      <c r="D888" s="420"/>
      <c r="E888" s="420"/>
      <c r="F888" s="420"/>
      <c r="G888" s="420"/>
      <c r="H888" s="420"/>
      <c r="I888" s="420"/>
      <c r="J888" s="420"/>
      <c r="K888" s="420"/>
      <c r="L888" s="420"/>
      <c r="M888" s="420"/>
    </row>
    <row r="889" spans="1:13">
      <c r="A889" s="420"/>
      <c r="B889" s="420"/>
      <c r="C889" s="420"/>
      <c r="D889" s="420"/>
      <c r="E889" s="420"/>
      <c r="F889" s="420"/>
      <c r="G889" s="420"/>
      <c r="H889" s="420"/>
      <c r="I889" s="420"/>
      <c r="J889" s="420"/>
      <c r="K889" s="420"/>
      <c r="L889" s="420"/>
      <c r="M889" s="420"/>
    </row>
    <row r="890" spans="1:13">
      <c r="A890" s="420"/>
      <c r="B890" s="420"/>
      <c r="C890" s="420"/>
      <c r="D890" s="420"/>
      <c r="E890" s="420"/>
      <c r="F890" s="420"/>
      <c r="G890" s="420"/>
      <c r="H890" s="420"/>
      <c r="I890" s="420"/>
      <c r="J890" s="420"/>
      <c r="K890" s="420"/>
      <c r="L890" s="420"/>
      <c r="M890" s="420"/>
    </row>
    <row r="891" spans="1:13">
      <c r="A891" s="420"/>
      <c r="B891" s="420"/>
      <c r="C891" s="420"/>
      <c r="D891" s="420"/>
      <c r="E891" s="420"/>
      <c r="F891" s="420"/>
      <c r="G891" s="420"/>
      <c r="H891" s="420"/>
      <c r="I891" s="420"/>
      <c r="J891" s="420"/>
      <c r="K891" s="420"/>
      <c r="L891" s="420"/>
      <c r="M891" s="420"/>
    </row>
    <row r="892" spans="1:13" ht="15" thickBot="1">
      <c r="A892" s="420"/>
      <c r="B892" s="420"/>
      <c r="C892" s="420"/>
      <c r="D892" s="420"/>
      <c r="E892" s="420"/>
      <c r="F892" s="420"/>
      <c r="G892" s="420"/>
      <c r="H892" s="420"/>
      <c r="I892" s="420"/>
      <c r="J892" s="420"/>
      <c r="K892" s="420"/>
      <c r="L892" s="420"/>
      <c r="M892" s="420"/>
    </row>
    <row r="893" spans="1:13" ht="32.4">
      <c r="A893" s="68"/>
      <c r="B893" s="960" t="s">
        <v>99</v>
      </c>
      <c r="C893" s="961"/>
      <c r="D893" s="961"/>
      <c r="E893" s="961"/>
      <c r="F893" s="961"/>
      <c r="G893" s="961"/>
      <c r="H893" s="961"/>
      <c r="I893" s="961"/>
      <c r="J893" s="961"/>
      <c r="K893" s="961"/>
      <c r="L893" s="962"/>
      <c r="M893" s="69"/>
    </row>
    <row r="894" spans="1:13" ht="23.4">
      <c r="A894" s="15"/>
      <c r="B894" s="963" t="s">
        <v>100</v>
      </c>
      <c r="C894" s="964"/>
      <c r="D894" s="964"/>
      <c r="E894" s="964"/>
      <c r="F894" s="964"/>
      <c r="G894" s="964"/>
      <c r="H894" s="964"/>
      <c r="I894" s="964"/>
      <c r="J894" s="964"/>
      <c r="K894" s="964"/>
      <c r="L894" s="965"/>
      <c r="M894" s="16"/>
    </row>
    <row r="895" spans="1:13" ht="15.6">
      <c r="A895" s="15"/>
      <c r="B895" s="966" t="s">
        <v>1070</v>
      </c>
      <c r="C895" s="967"/>
      <c r="D895" s="967"/>
      <c r="E895" s="967"/>
      <c r="F895" s="967"/>
      <c r="G895" s="967"/>
      <c r="H895" s="968"/>
      <c r="I895" s="968"/>
      <c r="J895" s="968"/>
      <c r="K895" s="968"/>
      <c r="L895" s="969"/>
      <c r="M895" s="16"/>
    </row>
    <row r="896" spans="1:13">
      <c r="A896" s="15"/>
      <c r="B896" s="970" t="s">
        <v>101</v>
      </c>
      <c r="C896" s="971"/>
      <c r="D896" s="971"/>
      <c r="E896" s="971"/>
      <c r="F896" s="971"/>
      <c r="G896" s="391"/>
      <c r="H896" s="974" t="s">
        <v>102</v>
      </c>
      <c r="I896" s="975"/>
      <c r="J896" s="975"/>
      <c r="K896" s="975"/>
      <c r="L896" s="976"/>
      <c r="M896" s="16"/>
    </row>
    <row r="897" spans="1:13">
      <c r="A897" s="15"/>
      <c r="B897" s="972"/>
      <c r="C897" s="973"/>
      <c r="D897" s="973"/>
      <c r="E897" s="973"/>
      <c r="F897" s="973"/>
      <c r="G897" s="395"/>
      <c r="H897" s="977"/>
      <c r="I897" s="978"/>
      <c r="J897" s="978"/>
      <c r="K897" s="978"/>
      <c r="L897" s="979"/>
      <c r="M897" s="16"/>
    </row>
    <row r="898" spans="1:13">
      <c r="A898" s="15"/>
      <c r="B898" s="382"/>
      <c r="C898" s="77"/>
      <c r="D898" s="77"/>
      <c r="E898" s="77"/>
      <c r="F898" s="77"/>
      <c r="G898" s="56"/>
      <c r="H898" s="76"/>
      <c r="I898" s="77"/>
      <c r="J898" s="77"/>
      <c r="K898" s="77"/>
      <c r="L898" s="78"/>
      <c r="M898" s="16"/>
    </row>
    <row r="899" spans="1:13">
      <c r="A899" s="15"/>
      <c r="B899" s="378" t="str">
        <f>Master!F5</f>
        <v>GROTECH LANDSCAPE DEVELOPERS PVT. LTD.</v>
      </c>
      <c r="C899" s="114"/>
      <c r="D899" s="114"/>
      <c r="E899" s="114"/>
      <c r="F899" s="114"/>
      <c r="G899" s="379"/>
      <c r="H899" s="381" t="str">
        <f>Master!AN5</f>
        <v>GROTECH LANDSCAPE DEVELOPERS PVT. LTD.</v>
      </c>
      <c r="I899" s="114"/>
      <c r="J899" s="114"/>
      <c r="K899" s="114"/>
      <c r="L899" s="16"/>
      <c r="M899" s="16"/>
    </row>
    <row r="900" spans="1:13">
      <c r="A900" s="15"/>
      <c r="B900" s="15"/>
      <c r="C900" s="114"/>
      <c r="D900" s="114"/>
      <c r="E900" s="114"/>
      <c r="F900" s="114"/>
      <c r="G900" s="379"/>
      <c r="H900" s="380"/>
      <c r="I900" s="114"/>
      <c r="J900" s="114"/>
      <c r="K900" s="114"/>
      <c r="L900" s="16"/>
      <c r="M900" s="16"/>
    </row>
    <row r="901" spans="1:13">
      <c r="A901" s="15"/>
      <c r="B901" s="538" t="str">
        <f>Master!F6</f>
        <v>290/E, Khanapur Village, Gandipet Mandal, Ranga Reddy, Hyderabad-500075 T.S.</v>
      </c>
      <c r="C901" s="114"/>
      <c r="D901" s="114"/>
      <c r="E901" s="114"/>
      <c r="F901" s="114"/>
      <c r="G901" s="379"/>
      <c r="H901" s="539" t="str">
        <f>Master!AN6</f>
        <v>290/E, Khanapur Village, Gandipet Mandal, Ranga Reddy, Hyderabad-500075 T.S.</v>
      </c>
      <c r="I901" s="114"/>
      <c r="J901" s="114"/>
      <c r="K901" s="114"/>
      <c r="L901" s="16"/>
      <c r="M901" s="16"/>
    </row>
    <row r="902" spans="1:13">
      <c r="A902" s="15"/>
      <c r="B902" s="383"/>
      <c r="C902" s="19"/>
      <c r="D902" s="19"/>
      <c r="E902" s="19"/>
      <c r="F902" s="19"/>
      <c r="G902" s="61"/>
      <c r="H902" s="60"/>
      <c r="I902" s="19"/>
      <c r="J902" s="19"/>
      <c r="K902" s="19"/>
      <c r="L902" s="81"/>
      <c r="M902" s="16"/>
    </row>
    <row r="903" spans="1:13">
      <c r="A903" s="15"/>
      <c r="B903" s="389"/>
      <c r="C903" s="390"/>
      <c r="D903" s="390"/>
      <c r="E903" s="390"/>
      <c r="F903" s="390"/>
      <c r="G903" s="391"/>
      <c r="H903" s="396"/>
      <c r="I903" s="390"/>
      <c r="J903" s="390" t="s">
        <v>103</v>
      </c>
      <c r="K903" s="390"/>
      <c r="L903" s="397"/>
      <c r="M903" s="16"/>
    </row>
    <row r="904" spans="1:13">
      <c r="A904" s="15"/>
      <c r="B904" s="980" t="s">
        <v>104</v>
      </c>
      <c r="C904" s="981"/>
      <c r="D904" s="981"/>
      <c r="E904" s="981"/>
      <c r="F904" s="981"/>
      <c r="G904" s="392"/>
      <c r="H904" s="982" t="s">
        <v>4</v>
      </c>
      <c r="I904" s="981"/>
      <c r="J904" s="981"/>
      <c r="K904" s="981"/>
      <c r="L904" s="983"/>
      <c r="M904" s="16"/>
    </row>
    <row r="905" spans="1:13">
      <c r="A905" s="15"/>
      <c r="B905" s="393"/>
      <c r="C905" s="394"/>
      <c r="D905" s="394"/>
      <c r="E905" s="394"/>
      <c r="F905" s="394"/>
      <c r="G905" s="395"/>
      <c r="H905" s="398"/>
      <c r="I905" s="394"/>
      <c r="J905" s="394"/>
      <c r="K905" s="394"/>
      <c r="L905" s="399"/>
      <c r="M905" s="16"/>
    </row>
    <row r="906" spans="1:13">
      <c r="A906" s="15"/>
      <c r="B906" s="382"/>
      <c r="C906" s="77"/>
      <c r="D906" s="77"/>
      <c r="E906" s="77"/>
      <c r="F906" s="77"/>
      <c r="G906" s="56"/>
      <c r="H906" s="74"/>
      <c r="I906" s="74"/>
      <c r="J906" s="74"/>
      <c r="K906" s="74"/>
      <c r="L906" s="384"/>
      <c r="M906" s="16"/>
    </row>
    <row r="907" spans="1:13">
      <c r="A907" s="15"/>
      <c r="B907" s="15"/>
      <c r="C907" s="114"/>
      <c r="D907" s="114"/>
      <c r="E907" s="114"/>
      <c r="F907" s="114"/>
      <c r="G907" s="379"/>
      <c r="H907" s="115" t="str">
        <f>Master!AN10</f>
        <v>INDIAN SCHOOL OF BUSINESS</v>
      </c>
      <c r="I907" s="115"/>
      <c r="J907" s="115"/>
      <c r="K907" s="115"/>
      <c r="L907" s="71"/>
      <c r="M907" s="16"/>
    </row>
    <row r="908" spans="1:13">
      <c r="A908" s="15"/>
      <c r="B908" s="70" t="str">
        <f>Master!F8</f>
        <v>GARDENING SERVICES&amp;ISB HYDERABAD</v>
      </c>
      <c r="C908" s="114"/>
      <c r="D908" s="114"/>
      <c r="E908" s="114"/>
      <c r="F908" s="114"/>
      <c r="G908" s="379"/>
      <c r="H908" s="115"/>
      <c r="I908" s="115"/>
      <c r="J908" s="115"/>
      <c r="K908" s="115"/>
      <c r="L908" s="71"/>
      <c r="M908" s="16"/>
    </row>
    <row r="909" spans="1:13">
      <c r="A909" s="15"/>
      <c r="B909" s="15"/>
      <c r="C909" s="114"/>
      <c r="D909" s="114"/>
      <c r="E909" s="114"/>
      <c r="F909" s="114"/>
      <c r="G909" s="379"/>
      <c r="H909" s="115" t="str">
        <f>Master!AN11</f>
        <v>Opp.Infosys Limited,Gachibowli,Hyderabad</v>
      </c>
      <c r="I909" s="115"/>
      <c r="J909" s="115"/>
      <c r="K909" s="115"/>
      <c r="L909" s="71"/>
      <c r="M909" s="16"/>
    </row>
    <row r="910" spans="1:13">
      <c r="A910" s="15"/>
      <c r="B910" s="383"/>
      <c r="C910" s="19"/>
      <c r="D910" s="19"/>
      <c r="E910" s="19"/>
      <c r="F910" s="19"/>
      <c r="G910" s="61"/>
      <c r="H910" s="79"/>
      <c r="I910" s="79"/>
      <c r="J910" s="79"/>
      <c r="K910" s="79"/>
      <c r="L910" s="385"/>
      <c r="M910" s="16"/>
    </row>
    <row r="911" spans="1:13" ht="30" customHeight="1">
      <c r="A911" s="15"/>
      <c r="B911" s="948" t="s">
        <v>105</v>
      </c>
      <c r="C911" s="949"/>
      <c r="D911" s="949"/>
      <c r="E911" s="949"/>
      <c r="F911" s="949"/>
      <c r="G911" s="949"/>
      <c r="H911" s="950" t="str">
        <f>Master!D34</f>
        <v>KONA SUJATHA</v>
      </c>
      <c r="I911" s="951"/>
      <c r="J911" s="951"/>
      <c r="K911" s="951"/>
      <c r="L911" s="952"/>
      <c r="M911" s="16"/>
    </row>
    <row r="912" spans="1:13" ht="30" customHeight="1">
      <c r="A912" s="15"/>
      <c r="B912" s="948"/>
      <c r="C912" s="949"/>
      <c r="D912" s="949"/>
      <c r="E912" s="949"/>
      <c r="F912" s="949"/>
      <c r="G912" s="949"/>
      <c r="H912" s="950" t="str">
        <f>Master!K34</f>
        <v>2-503/A,modinabad</v>
      </c>
      <c r="I912" s="951"/>
      <c r="J912" s="951"/>
      <c r="K912" s="951"/>
      <c r="L912" s="952"/>
      <c r="M912" s="16"/>
    </row>
    <row r="913" spans="1:13" ht="30" customHeight="1">
      <c r="A913" s="15"/>
      <c r="B913" s="948"/>
      <c r="C913" s="949"/>
      <c r="D913" s="949"/>
      <c r="E913" s="949"/>
      <c r="F913" s="949"/>
      <c r="G913" s="949"/>
      <c r="H913" s="950" t="str">
        <f>Master!L34</f>
        <v>.guntkal,anthapuram</v>
      </c>
      <c r="I913" s="951"/>
      <c r="J913" s="951"/>
      <c r="K913" s="951"/>
      <c r="L913" s="952"/>
      <c r="M913" s="16"/>
    </row>
    <row r="914" spans="1:13" ht="30" customHeight="1">
      <c r="A914" s="15"/>
      <c r="B914" s="948"/>
      <c r="C914" s="949"/>
      <c r="D914" s="949"/>
      <c r="E914" s="949"/>
      <c r="F914" s="949"/>
      <c r="G914" s="949"/>
      <c r="H914" s="950" t="str">
        <f>Master!M34</f>
        <v>AP-515801</v>
      </c>
      <c r="I914" s="951"/>
      <c r="J914" s="951"/>
      <c r="K914" s="951"/>
      <c r="L914" s="952"/>
      <c r="M914" s="16"/>
    </row>
    <row r="915" spans="1:13" ht="30" customHeight="1">
      <c r="A915" s="73"/>
      <c r="B915" s="948"/>
      <c r="C915" s="949"/>
      <c r="D915" s="949"/>
      <c r="E915" s="949"/>
      <c r="F915" s="949"/>
      <c r="G915" s="949"/>
      <c r="H915" s="989">
        <f>Master!N1240</f>
        <v>0</v>
      </c>
      <c r="I915" s="990"/>
      <c r="J915" s="990"/>
      <c r="K915" s="990"/>
      <c r="L915" s="991"/>
      <c r="M915" s="16"/>
    </row>
    <row r="916" spans="1:13" ht="30" customHeight="1">
      <c r="A916" s="73"/>
      <c r="B916" s="984" t="s">
        <v>106</v>
      </c>
      <c r="C916" s="985"/>
      <c r="D916" s="985"/>
      <c r="E916" s="985"/>
      <c r="F916" s="985"/>
      <c r="G916" s="985"/>
      <c r="H916" s="947">
        <f>Master!C34</f>
        <v>23</v>
      </c>
      <c r="I916" s="945"/>
      <c r="J916" s="945"/>
      <c r="K916" s="945"/>
      <c r="L916" s="946"/>
      <c r="M916" s="16"/>
    </row>
    <row r="917" spans="1:13" ht="30" customHeight="1">
      <c r="A917" s="73"/>
      <c r="B917" s="943" t="s">
        <v>107</v>
      </c>
      <c r="C917" s="944"/>
      <c r="D917" s="944"/>
      <c r="E917" s="944"/>
      <c r="F917" s="944"/>
      <c r="G917" s="944"/>
      <c r="H917" s="947" t="str">
        <f>Master!J34</f>
        <v>Unskilled Gardner</v>
      </c>
      <c r="I917" s="945"/>
      <c r="J917" s="945"/>
      <c r="K917" s="945"/>
      <c r="L917" s="946"/>
      <c r="M917" s="16"/>
    </row>
    <row r="918" spans="1:13" ht="30" customHeight="1">
      <c r="A918" s="73"/>
      <c r="B918" s="943" t="s">
        <v>108</v>
      </c>
      <c r="C918" s="944"/>
      <c r="D918" s="944"/>
      <c r="E918" s="944"/>
      <c r="F918" s="944"/>
      <c r="G918" s="944"/>
      <c r="H918" s="957">
        <f>Master!S34</f>
        <v>43850</v>
      </c>
      <c r="I918" s="958"/>
      <c r="J918" s="958"/>
      <c r="K918" s="958"/>
      <c r="L918" s="959"/>
      <c r="M918" s="16"/>
    </row>
    <row r="919" spans="1:13" ht="30" customHeight="1">
      <c r="A919" s="73"/>
      <c r="B919" s="386" t="s">
        <v>109</v>
      </c>
      <c r="C919" s="116"/>
      <c r="D919" s="116"/>
      <c r="E919" s="116"/>
      <c r="F919" s="116"/>
      <c r="G919" s="116"/>
      <c r="H919" s="947">
        <f>Master!Y34</f>
        <v>5215374381</v>
      </c>
      <c r="I919" s="947"/>
      <c r="J919" s="947"/>
      <c r="K919" s="947"/>
      <c r="L919" s="953"/>
      <c r="M919" s="16"/>
    </row>
    <row r="920" spans="1:13" ht="30" customHeight="1">
      <c r="A920" s="73"/>
      <c r="B920" s="386" t="s">
        <v>110</v>
      </c>
      <c r="C920" s="116"/>
      <c r="D920" s="116"/>
      <c r="E920" s="116"/>
      <c r="F920" s="116"/>
      <c r="G920" s="119"/>
      <c r="H920" s="947" t="str">
        <f>Master!X34</f>
        <v>101421043457</v>
      </c>
      <c r="I920" s="947"/>
      <c r="J920" s="947"/>
      <c r="K920" s="947"/>
      <c r="L920" s="953"/>
      <c r="M920" s="16"/>
    </row>
    <row r="921" spans="1:13" ht="30" customHeight="1">
      <c r="A921" s="73"/>
      <c r="B921" s="954" t="s">
        <v>111</v>
      </c>
      <c r="C921" s="955"/>
      <c r="D921" s="955"/>
      <c r="E921" s="955"/>
      <c r="F921" s="955"/>
      <c r="G921" s="955"/>
      <c r="H921" s="950">
        <f>Master!AC34</f>
        <v>10627</v>
      </c>
      <c r="I921" s="951"/>
      <c r="J921" s="951"/>
      <c r="K921" s="951"/>
      <c r="L921" s="952"/>
      <c r="M921" s="16"/>
    </row>
    <row r="922" spans="1:13" ht="30" customHeight="1">
      <c r="A922" s="73"/>
      <c r="B922" s="943" t="s">
        <v>112</v>
      </c>
      <c r="C922" s="944"/>
      <c r="D922" s="944"/>
      <c r="E922" s="944"/>
      <c r="F922" s="944"/>
      <c r="G922" s="944"/>
      <c r="H922" s="956">
        <f>Master!F10</f>
        <v>44652</v>
      </c>
      <c r="I922" s="945"/>
      <c r="J922" s="945"/>
      <c r="K922" s="945"/>
      <c r="L922" s="946"/>
      <c r="M922" s="16"/>
    </row>
    <row r="923" spans="1:13" ht="30" customHeight="1">
      <c r="A923" s="15"/>
      <c r="B923" s="943" t="s">
        <v>113</v>
      </c>
      <c r="C923" s="944"/>
      <c r="D923" s="944"/>
      <c r="E923" s="944"/>
      <c r="F923" s="944"/>
      <c r="G923" s="944"/>
      <c r="H923" s="945" t="s">
        <v>114</v>
      </c>
      <c r="I923" s="945"/>
      <c r="J923" s="945"/>
      <c r="K923" s="945"/>
      <c r="L923" s="946"/>
      <c r="M923" s="16"/>
    </row>
    <row r="924" spans="1:13" ht="30" customHeight="1">
      <c r="A924" s="15"/>
      <c r="B924" s="386" t="s">
        <v>115</v>
      </c>
      <c r="C924" s="116"/>
      <c r="D924" s="116"/>
      <c r="E924" s="116"/>
      <c r="F924" s="116"/>
      <c r="G924" s="119"/>
      <c r="H924" s="947">
        <f>Master!AA34</f>
        <v>26</v>
      </c>
      <c r="I924" s="945"/>
      <c r="J924" s="945"/>
      <c r="K924" s="945"/>
      <c r="L924" s="946"/>
      <c r="M924" s="16"/>
    </row>
    <row r="925" spans="1:13" ht="30" customHeight="1">
      <c r="A925" s="15"/>
      <c r="B925" s="386" t="s">
        <v>116</v>
      </c>
      <c r="C925" s="116"/>
      <c r="D925" s="116"/>
      <c r="E925" s="116"/>
      <c r="F925" s="116"/>
      <c r="G925" s="119"/>
      <c r="H925" s="986" t="s">
        <v>28</v>
      </c>
      <c r="I925" s="987"/>
      <c r="J925" s="987"/>
      <c r="K925" s="987"/>
      <c r="L925" s="988"/>
      <c r="M925" s="16"/>
    </row>
    <row r="926" spans="1:13" ht="30" customHeight="1">
      <c r="A926" s="15"/>
      <c r="B926" s="386" t="s">
        <v>117</v>
      </c>
      <c r="C926" s="116"/>
      <c r="D926" s="116"/>
      <c r="E926" s="116"/>
      <c r="F926" s="116"/>
      <c r="G926" s="119"/>
      <c r="H926" s="989">
        <v>0</v>
      </c>
      <c r="I926" s="990"/>
      <c r="J926" s="990"/>
      <c r="K926" s="990"/>
      <c r="L926" s="991"/>
      <c r="M926" s="16"/>
    </row>
    <row r="927" spans="1:13" ht="30" customHeight="1">
      <c r="A927" s="15"/>
      <c r="B927" s="386" t="s">
        <v>118</v>
      </c>
      <c r="C927" s="116"/>
      <c r="D927" s="116"/>
      <c r="E927" s="116"/>
      <c r="F927" s="116"/>
      <c r="G927" s="119"/>
      <c r="H927" s="986">
        <v>0</v>
      </c>
      <c r="I927" s="987"/>
      <c r="J927" s="987"/>
      <c r="K927" s="987"/>
      <c r="L927" s="988"/>
      <c r="M927" s="16"/>
    </row>
    <row r="928" spans="1:13" ht="30" customHeight="1">
      <c r="A928" s="15"/>
      <c r="B928" s="386" t="s">
        <v>119</v>
      </c>
      <c r="C928" s="116"/>
      <c r="D928" s="116"/>
      <c r="E928" s="116"/>
      <c r="F928" s="116"/>
      <c r="G928" s="119"/>
      <c r="H928" s="117"/>
      <c r="I928" s="118"/>
      <c r="J928" s="990">
        <f>Master!AK34</f>
        <v>9210.4</v>
      </c>
      <c r="K928" s="992"/>
      <c r="L928" s="581" t="s">
        <v>737</v>
      </c>
      <c r="M928" s="16"/>
    </row>
    <row r="929" spans="1:13" ht="30" customHeight="1">
      <c r="A929" s="15"/>
      <c r="B929" s="386" t="s">
        <v>120</v>
      </c>
      <c r="C929" s="116"/>
      <c r="D929" s="465" t="s">
        <v>24</v>
      </c>
      <c r="E929" s="466">
        <f>Master!AM34</f>
        <v>1105</v>
      </c>
      <c r="F929" s="465" t="s">
        <v>23</v>
      </c>
      <c r="G929" s="466">
        <f>Master!AL34</f>
        <v>70</v>
      </c>
      <c r="H929" s="465" t="s">
        <v>25</v>
      </c>
      <c r="I929" s="466">
        <f>Master!AN34</f>
        <v>0</v>
      </c>
      <c r="J929" s="465" t="s">
        <v>26</v>
      </c>
      <c r="K929" s="466">
        <f>Master!AO34</f>
        <v>0</v>
      </c>
      <c r="L929" s="400">
        <f>Master!AP34</f>
        <v>0</v>
      </c>
      <c r="M929" s="16"/>
    </row>
    <row r="930" spans="1:13" ht="30" customHeight="1">
      <c r="A930" s="15"/>
      <c r="B930" s="386" t="s">
        <v>121</v>
      </c>
      <c r="C930" s="116"/>
      <c r="D930" s="116"/>
      <c r="E930" s="116"/>
      <c r="F930" s="116"/>
      <c r="G930" s="119"/>
      <c r="H930" s="117"/>
      <c r="I930" s="118"/>
      <c r="J930" s="541">
        <f>Master!AR34</f>
        <v>8035.4</v>
      </c>
      <c r="K930" s="118"/>
      <c r="L930" s="125"/>
      <c r="M930" s="16"/>
    </row>
    <row r="931" spans="1:13">
      <c r="A931" s="15"/>
      <c r="B931" s="387" t="s">
        <v>122</v>
      </c>
      <c r="C931" s="74"/>
      <c r="D931" s="74"/>
      <c r="E931" s="74"/>
      <c r="F931" s="74"/>
      <c r="G931" s="75"/>
      <c r="H931" s="76"/>
      <c r="I931" s="77"/>
      <c r="J931" s="77"/>
      <c r="K931" s="77"/>
      <c r="L931" s="78"/>
      <c r="M931" s="16"/>
    </row>
    <row r="932" spans="1:13">
      <c r="A932" s="15"/>
      <c r="B932" s="388" t="s">
        <v>123</v>
      </c>
      <c r="C932" s="79"/>
      <c r="D932" s="79"/>
      <c r="E932" s="79"/>
      <c r="F932" s="79"/>
      <c r="G932" s="80"/>
      <c r="H932" s="60"/>
      <c r="I932" s="19"/>
      <c r="J932" s="19"/>
      <c r="K932" s="19"/>
      <c r="L932" s="81"/>
      <c r="M932" s="16"/>
    </row>
    <row r="933" spans="1:13">
      <c r="A933" s="15"/>
      <c r="B933" s="15"/>
      <c r="C933" s="114"/>
      <c r="D933" s="114"/>
      <c r="E933" s="114"/>
      <c r="F933" s="114"/>
      <c r="G933" s="114"/>
      <c r="H933" s="114"/>
      <c r="I933" s="114"/>
      <c r="J933" s="114"/>
      <c r="K933" s="114"/>
      <c r="L933" s="16"/>
      <c r="M933" s="16"/>
    </row>
    <row r="934" spans="1:13" ht="15" thickBot="1">
      <c r="A934" s="27"/>
      <c r="B934" s="27"/>
      <c r="C934" s="25"/>
      <c r="D934" s="25"/>
      <c r="E934" s="25"/>
      <c r="F934" s="25"/>
      <c r="G934" s="25"/>
      <c r="H934" s="25"/>
      <c r="I934" s="25"/>
      <c r="J934" s="25"/>
      <c r="K934" s="25"/>
      <c r="L934" s="26"/>
      <c r="M934" s="26"/>
    </row>
    <row r="935" spans="1:13">
      <c r="A935" s="420"/>
      <c r="B935" s="420"/>
      <c r="C935" s="420"/>
      <c r="D935" s="420"/>
      <c r="E935" s="420"/>
      <c r="F935" s="420"/>
      <c r="G935" s="420"/>
      <c r="H935" s="420"/>
      <c r="I935" s="420"/>
      <c r="J935" s="420"/>
      <c r="K935" s="420"/>
      <c r="L935" s="420"/>
      <c r="M935" s="420"/>
    </row>
    <row r="936" spans="1:13">
      <c r="A936" s="420"/>
      <c r="B936" s="420"/>
      <c r="C936" s="420"/>
      <c r="D936" s="420"/>
      <c r="E936" s="420"/>
      <c r="F936" s="420"/>
      <c r="G936" s="420"/>
      <c r="H936" s="420"/>
      <c r="I936" s="420"/>
      <c r="J936" s="420"/>
      <c r="K936" s="420"/>
      <c r="L936" s="420"/>
      <c r="M936" s="420"/>
    </row>
    <row r="937" spans="1:13">
      <c r="A937" s="420"/>
      <c r="B937" s="420"/>
      <c r="C937" s="420"/>
      <c r="D937" s="420"/>
      <c r="E937" s="420"/>
      <c r="F937" s="420"/>
      <c r="G937" s="420"/>
      <c r="H937" s="420"/>
      <c r="I937" s="420"/>
      <c r="J937" s="420"/>
      <c r="K937" s="420"/>
      <c r="L937" s="420"/>
      <c r="M937" s="420"/>
    </row>
    <row r="938" spans="1:13">
      <c r="A938" s="420"/>
      <c r="B938" s="420"/>
      <c r="C938" s="420"/>
      <c r="D938" s="420"/>
      <c r="E938" s="420"/>
      <c r="F938" s="420"/>
      <c r="G938" s="420"/>
      <c r="H938" s="420"/>
      <c r="I938" s="420"/>
      <c r="J938" s="420"/>
      <c r="K938" s="420"/>
      <c r="L938" s="420"/>
      <c r="M938" s="420"/>
    </row>
    <row r="939" spans="1:13" ht="15" thickBot="1">
      <c r="A939" s="420"/>
      <c r="B939" s="420"/>
      <c r="C939" s="420"/>
      <c r="D939" s="420"/>
      <c r="E939" s="420"/>
      <c r="F939" s="420"/>
      <c r="G939" s="420"/>
      <c r="H939" s="420"/>
      <c r="I939" s="420"/>
      <c r="J939" s="420"/>
      <c r="K939" s="420"/>
      <c r="L939" s="420"/>
      <c r="M939" s="420"/>
    </row>
    <row r="940" spans="1:13" ht="32.4">
      <c r="A940" s="68"/>
      <c r="B940" s="960" t="s">
        <v>99</v>
      </c>
      <c r="C940" s="961"/>
      <c r="D940" s="961"/>
      <c r="E940" s="961"/>
      <c r="F940" s="961"/>
      <c r="G940" s="961"/>
      <c r="H940" s="961"/>
      <c r="I940" s="961"/>
      <c r="J940" s="961"/>
      <c r="K940" s="961"/>
      <c r="L940" s="962"/>
      <c r="M940" s="69"/>
    </row>
    <row r="941" spans="1:13" ht="23.4">
      <c r="A941" s="15"/>
      <c r="B941" s="963" t="s">
        <v>100</v>
      </c>
      <c r="C941" s="964"/>
      <c r="D941" s="964"/>
      <c r="E941" s="964"/>
      <c r="F941" s="964"/>
      <c r="G941" s="964"/>
      <c r="H941" s="964"/>
      <c r="I941" s="964"/>
      <c r="J941" s="964"/>
      <c r="K941" s="964"/>
      <c r="L941" s="965"/>
      <c r="M941" s="16"/>
    </row>
    <row r="942" spans="1:13" ht="15.6">
      <c r="A942" s="15"/>
      <c r="B942" s="966" t="s">
        <v>1070</v>
      </c>
      <c r="C942" s="967"/>
      <c r="D942" s="967"/>
      <c r="E942" s="967"/>
      <c r="F942" s="967"/>
      <c r="G942" s="967"/>
      <c r="H942" s="968"/>
      <c r="I942" s="968"/>
      <c r="J942" s="968"/>
      <c r="K942" s="968"/>
      <c r="L942" s="969"/>
      <c r="M942" s="16"/>
    </row>
    <row r="943" spans="1:13">
      <c r="A943" s="15"/>
      <c r="B943" s="970" t="s">
        <v>101</v>
      </c>
      <c r="C943" s="971"/>
      <c r="D943" s="971"/>
      <c r="E943" s="971"/>
      <c r="F943" s="971"/>
      <c r="G943" s="391"/>
      <c r="H943" s="974" t="s">
        <v>102</v>
      </c>
      <c r="I943" s="975"/>
      <c r="J943" s="975"/>
      <c r="K943" s="975"/>
      <c r="L943" s="976"/>
      <c r="M943" s="16"/>
    </row>
    <row r="944" spans="1:13">
      <c r="A944" s="15"/>
      <c r="B944" s="972"/>
      <c r="C944" s="973"/>
      <c r="D944" s="973"/>
      <c r="E944" s="973"/>
      <c r="F944" s="973"/>
      <c r="G944" s="395"/>
      <c r="H944" s="977"/>
      <c r="I944" s="978"/>
      <c r="J944" s="978"/>
      <c r="K944" s="978"/>
      <c r="L944" s="979"/>
      <c r="M944" s="16"/>
    </row>
    <row r="945" spans="1:13">
      <c r="A945" s="15"/>
      <c r="B945" s="382"/>
      <c r="C945" s="77"/>
      <c r="D945" s="77"/>
      <c r="E945" s="77"/>
      <c r="F945" s="77"/>
      <c r="G945" s="56"/>
      <c r="H945" s="76"/>
      <c r="I945" s="77"/>
      <c r="J945" s="77"/>
      <c r="K945" s="77"/>
      <c r="L945" s="78"/>
      <c r="M945" s="16"/>
    </row>
    <row r="946" spans="1:13">
      <c r="A946" s="15"/>
      <c r="B946" s="378" t="str">
        <f>Master!F5</f>
        <v>GROTECH LANDSCAPE DEVELOPERS PVT. LTD.</v>
      </c>
      <c r="C946" s="114"/>
      <c r="D946" s="114"/>
      <c r="E946" s="114"/>
      <c r="F946" s="114"/>
      <c r="G946" s="379"/>
      <c r="H946" s="381" t="str">
        <f>Master!AN5</f>
        <v>GROTECH LANDSCAPE DEVELOPERS PVT. LTD.</v>
      </c>
      <c r="I946" s="114"/>
      <c r="J946" s="114"/>
      <c r="K946" s="114"/>
      <c r="L946" s="16"/>
      <c r="M946" s="16"/>
    </row>
    <row r="947" spans="1:13">
      <c r="A947" s="15"/>
      <c r="B947" s="15"/>
      <c r="C947" s="114"/>
      <c r="D947" s="114"/>
      <c r="E947" s="114"/>
      <c r="F947" s="114"/>
      <c r="G947" s="379"/>
      <c r="H947" s="380"/>
      <c r="I947" s="114"/>
      <c r="J947" s="114"/>
      <c r="K947" s="114"/>
      <c r="L947" s="16"/>
      <c r="M947" s="16"/>
    </row>
    <row r="948" spans="1:13">
      <c r="A948" s="15"/>
      <c r="B948" s="538" t="str">
        <f>Master!F6</f>
        <v>290/E, Khanapur Village, Gandipet Mandal, Ranga Reddy, Hyderabad-500075 T.S.</v>
      </c>
      <c r="C948" s="114"/>
      <c r="D948" s="114"/>
      <c r="E948" s="114"/>
      <c r="F948" s="114"/>
      <c r="G948" s="379"/>
      <c r="H948" s="539" t="str">
        <f>Master!AN6</f>
        <v>290/E, Khanapur Village, Gandipet Mandal, Ranga Reddy, Hyderabad-500075 T.S.</v>
      </c>
      <c r="I948" s="114"/>
      <c r="J948" s="114"/>
      <c r="K948" s="114"/>
      <c r="L948" s="16"/>
      <c r="M948" s="16"/>
    </row>
    <row r="949" spans="1:13">
      <c r="A949" s="15"/>
      <c r="B949" s="383"/>
      <c r="C949" s="19"/>
      <c r="D949" s="19"/>
      <c r="E949" s="19"/>
      <c r="F949" s="19"/>
      <c r="G949" s="61"/>
      <c r="H949" s="60"/>
      <c r="I949" s="19"/>
      <c r="J949" s="19"/>
      <c r="K949" s="19"/>
      <c r="L949" s="81"/>
      <c r="M949" s="16"/>
    </row>
    <row r="950" spans="1:13">
      <c r="A950" s="15"/>
      <c r="B950" s="389"/>
      <c r="C950" s="390"/>
      <c r="D950" s="390"/>
      <c r="E950" s="390"/>
      <c r="F950" s="390"/>
      <c r="G950" s="391"/>
      <c r="H950" s="396"/>
      <c r="I950" s="390"/>
      <c r="J950" s="390" t="s">
        <v>103</v>
      </c>
      <c r="K950" s="390"/>
      <c r="L950" s="397"/>
      <c r="M950" s="16"/>
    </row>
    <row r="951" spans="1:13">
      <c r="A951" s="15"/>
      <c r="B951" s="980" t="s">
        <v>104</v>
      </c>
      <c r="C951" s="981"/>
      <c r="D951" s="981"/>
      <c r="E951" s="981"/>
      <c r="F951" s="981"/>
      <c r="G951" s="392"/>
      <c r="H951" s="982" t="s">
        <v>4</v>
      </c>
      <c r="I951" s="981"/>
      <c r="J951" s="981"/>
      <c r="K951" s="981"/>
      <c r="L951" s="983"/>
      <c r="M951" s="16"/>
    </row>
    <row r="952" spans="1:13">
      <c r="A952" s="15"/>
      <c r="B952" s="393"/>
      <c r="C952" s="394"/>
      <c r="D952" s="394"/>
      <c r="E952" s="394"/>
      <c r="F952" s="394"/>
      <c r="G952" s="395"/>
      <c r="H952" s="398"/>
      <c r="I952" s="394"/>
      <c r="J952" s="394"/>
      <c r="K952" s="394"/>
      <c r="L952" s="399"/>
      <c r="M952" s="16"/>
    </row>
    <row r="953" spans="1:13">
      <c r="A953" s="15"/>
      <c r="B953" s="382"/>
      <c r="C953" s="77"/>
      <c r="D953" s="77"/>
      <c r="E953" s="77"/>
      <c r="F953" s="77"/>
      <c r="G953" s="56"/>
      <c r="H953" s="74"/>
      <c r="I953" s="74"/>
      <c r="J953" s="74"/>
      <c r="K953" s="74"/>
      <c r="L953" s="384"/>
      <c r="M953" s="16"/>
    </row>
    <row r="954" spans="1:13">
      <c r="A954" s="15"/>
      <c r="B954" s="15"/>
      <c r="C954" s="114"/>
      <c r="D954" s="114"/>
      <c r="E954" s="114"/>
      <c r="F954" s="114"/>
      <c r="G954" s="379"/>
      <c r="H954" s="115" t="str">
        <f>Master!AN10</f>
        <v>INDIAN SCHOOL OF BUSINESS</v>
      </c>
      <c r="I954" s="115"/>
      <c r="J954" s="115"/>
      <c r="K954" s="115"/>
      <c r="L954" s="71"/>
      <c r="M954" s="16"/>
    </row>
    <row r="955" spans="1:13">
      <c r="A955" s="15"/>
      <c r="B955" s="70" t="str">
        <f>Master!F8</f>
        <v>GARDENING SERVICES&amp;ISB HYDERABAD</v>
      </c>
      <c r="C955" s="114"/>
      <c r="D955" s="114"/>
      <c r="E955" s="114"/>
      <c r="F955" s="114"/>
      <c r="G955" s="379"/>
      <c r="H955" s="115"/>
      <c r="I955" s="115"/>
      <c r="J955" s="115"/>
      <c r="K955" s="115"/>
      <c r="L955" s="71"/>
      <c r="M955" s="16"/>
    </row>
    <row r="956" spans="1:13">
      <c r="A956" s="15"/>
      <c r="B956" s="15"/>
      <c r="C956" s="114"/>
      <c r="D956" s="114"/>
      <c r="E956" s="114"/>
      <c r="F956" s="114"/>
      <c r="G956" s="379"/>
      <c r="H956" s="115" t="str">
        <f>Master!AN11</f>
        <v>Opp.Infosys Limited,Gachibowli,Hyderabad</v>
      </c>
      <c r="I956" s="115"/>
      <c r="J956" s="115"/>
      <c r="K956" s="115"/>
      <c r="L956" s="71"/>
      <c r="M956" s="16"/>
    </row>
    <row r="957" spans="1:13">
      <c r="A957" s="15"/>
      <c r="B957" s="383"/>
      <c r="C957" s="19"/>
      <c r="D957" s="19"/>
      <c r="E957" s="19"/>
      <c r="F957" s="19"/>
      <c r="G957" s="61"/>
      <c r="H957" s="79"/>
      <c r="I957" s="79"/>
      <c r="J957" s="79"/>
      <c r="K957" s="79"/>
      <c r="L957" s="385"/>
      <c r="M957" s="16"/>
    </row>
    <row r="958" spans="1:13" ht="30" customHeight="1">
      <c r="A958" s="15"/>
      <c r="B958" s="948" t="s">
        <v>105</v>
      </c>
      <c r="C958" s="949"/>
      <c r="D958" s="949"/>
      <c r="E958" s="949"/>
      <c r="F958" s="949"/>
      <c r="G958" s="949"/>
      <c r="H958" s="950" t="str">
        <f>Master!D35</f>
        <v>GOLLA UMA</v>
      </c>
      <c r="I958" s="951"/>
      <c r="J958" s="951"/>
      <c r="K958" s="951"/>
      <c r="L958" s="952"/>
      <c r="M958" s="16"/>
    </row>
    <row r="959" spans="1:13" ht="30" customHeight="1">
      <c r="A959" s="15"/>
      <c r="B959" s="948"/>
      <c r="C959" s="949"/>
      <c r="D959" s="949"/>
      <c r="E959" s="949"/>
      <c r="F959" s="949"/>
      <c r="G959" s="949"/>
      <c r="H959" s="950" t="str">
        <f>Master!K35</f>
        <v>2-503-B,MODINABAD,</v>
      </c>
      <c r="I959" s="951"/>
      <c r="J959" s="951"/>
      <c r="K959" s="951"/>
      <c r="L959" s="952"/>
      <c r="M959" s="16"/>
    </row>
    <row r="960" spans="1:13" ht="30" customHeight="1">
      <c r="A960" s="15"/>
      <c r="B960" s="948"/>
      <c r="C960" s="949"/>
      <c r="D960" s="949"/>
      <c r="E960" s="949"/>
      <c r="F960" s="949"/>
      <c r="G960" s="949"/>
      <c r="H960" s="950" t="str">
        <f>Master!L35</f>
        <v>GUTAL,ANANTHAPURM</v>
      </c>
      <c r="I960" s="951"/>
      <c r="J960" s="951"/>
      <c r="K960" s="951"/>
      <c r="L960" s="952"/>
      <c r="M960" s="16"/>
    </row>
    <row r="961" spans="1:13" ht="30" customHeight="1">
      <c r="A961" s="15"/>
      <c r="B961" s="948"/>
      <c r="C961" s="949"/>
      <c r="D961" s="949"/>
      <c r="E961" s="949"/>
      <c r="F961" s="949"/>
      <c r="G961" s="949"/>
      <c r="H961" s="950" t="str">
        <f>Master!M35</f>
        <v>AP-515801</v>
      </c>
      <c r="I961" s="951"/>
      <c r="J961" s="951"/>
      <c r="K961" s="951"/>
      <c r="L961" s="952"/>
      <c r="M961" s="16"/>
    </row>
    <row r="962" spans="1:13" ht="30" customHeight="1">
      <c r="A962" s="73"/>
      <c r="B962" s="948"/>
      <c r="C962" s="949"/>
      <c r="D962" s="949"/>
      <c r="E962" s="949"/>
      <c r="F962" s="949"/>
      <c r="G962" s="949"/>
      <c r="H962" s="989">
        <f>Master!N1308</f>
        <v>0</v>
      </c>
      <c r="I962" s="990"/>
      <c r="J962" s="990"/>
      <c r="K962" s="990"/>
      <c r="L962" s="991"/>
      <c r="M962" s="16"/>
    </row>
    <row r="963" spans="1:13" ht="30" customHeight="1">
      <c r="A963" s="73"/>
      <c r="B963" s="984" t="s">
        <v>106</v>
      </c>
      <c r="C963" s="985"/>
      <c r="D963" s="985"/>
      <c r="E963" s="985"/>
      <c r="F963" s="985"/>
      <c r="G963" s="985"/>
      <c r="H963" s="947">
        <f>Master!C35</f>
        <v>24</v>
      </c>
      <c r="I963" s="945"/>
      <c r="J963" s="945"/>
      <c r="K963" s="945"/>
      <c r="L963" s="946"/>
      <c r="M963" s="16"/>
    </row>
    <row r="964" spans="1:13" ht="30" customHeight="1">
      <c r="A964" s="73"/>
      <c r="B964" s="943" t="s">
        <v>107</v>
      </c>
      <c r="C964" s="944"/>
      <c r="D964" s="944"/>
      <c r="E964" s="944"/>
      <c r="F964" s="944"/>
      <c r="G964" s="944"/>
      <c r="H964" s="947" t="str">
        <f>Master!J35</f>
        <v>Unskilled Gardner</v>
      </c>
      <c r="I964" s="945"/>
      <c r="J964" s="945"/>
      <c r="K964" s="945"/>
      <c r="L964" s="946"/>
      <c r="M964" s="16"/>
    </row>
    <row r="965" spans="1:13" ht="30" customHeight="1">
      <c r="A965" s="73"/>
      <c r="B965" s="943" t="s">
        <v>108</v>
      </c>
      <c r="C965" s="944"/>
      <c r="D965" s="944"/>
      <c r="E965" s="944"/>
      <c r="F965" s="944"/>
      <c r="G965" s="944"/>
      <c r="H965" s="957">
        <f>Master!S35</f>
        <v>43850</v>
      </c>
      <c r="I965" s="958"/>
      <c r="J965" s="958"/>
      <c r="K965" s="958"/>
      <c r="L965" s="959"/>
      <c r="M965" s="16"/>
    </row>
    <row r="966" spans="1:13" ht="30" customHeight="1">
      <c r="A966" s="73"/>
      <c r="B966" s="386" t="s">
        <v>109</v>
      </c>
      <c r="C966" s="116"/>
      <c r="D966" s="116"/>
      <c r="E966" s="116"/>
      <c r="F966" s="116"/>
      <c r="G966" s="116"/>
      <c r="H966" s="947">
        <f>Master!Y35</f>
        <v>5215258539</v>
      </c>
      <c r="I966" s="947"/>
      <c r="J966" s="947"/>
      <c r="K966" s="947"/>
      <c r="L966" s="953"/>
      <c r="M966" s="16"/>
    </row>
    <row r="967" spans="1:13" ht="30" customHeight="1">
      <c r="A967" s="73"/>
      <c r="B967" s="386" t="s">
        <v>110</v>
      </c>
      <c r="C967" s="116"/>
      <c r="D967" s="116"/>
      <c r="E967" s="116"/>
      <c r="F967" s="116"/>
      <c r="G967" s="119"/>
      <c r="H967" s="947" t="str">
        <f>Master!X35</f>
        <v>101412580017</v>
      </c>
      <c r="I967" s="947"/>
      <c r="J967" s="947"/>
      <c r="K967" s="947"/>
      <c r="L967" s="953"/>
      <c r="M967" s="16"/>
    </row>
    <row r="968" spans="1:13" ht="30" customHeight="1">
      <c r="A968" s="73"/>
      <c r="B968" s="954" t="s">
        <v>111</v>
      </c>
      <c r="C968" s="955"/>
      <c r="D968" s="955"/>
      <c r="E968" s="955"/>
      <c r="F968" s="955"/>
      <c r="G968" s="955"/>
      <c r="H968" s="950">
        <f>Master!AC35</f>
        <v>10627</v>
      </c>
      <c r="I968" s="951"/>
      <c r="J968" s="951"/>
      <c r="K968" s="951"/>
      <c r="L968" s="952"/>
      <c r="M968" s="16"/>
    </row>
    <row r="969" spans="1:13" ht="30" customHeight="1">
      <c r="A969" s="73"/>
      <c r="B969" s="943" t="s">
        <v>112</v>
      </c>
      <c r="C969" s="944"/>
      <c r="D969" s="944"/>
      <c r="E969" s="944"/>
      <c r="F969" s="944"/>
      <c r="G969" s="944"/>
      <c r="H969" s="956">
        <f>Master!F10</f>
        <v>44652</v>
      </c>
      <c r="I969" s="945"/>
      <c r="J969" s="945"/>
      <c r="K969" s="945"/>
      <c r="L969" s="946"/>
      <c r="M969" s="16"/>
    </row>
    <row r="970" spans="1:13" ht="30" customHeight="1">
      <c r="A970" s="15"/>
      <c r="B970" s="943" t="s">
        <v>113</v>
      </c>
      <c r="C970" s="944"/>
      <c r="D970" s="944"/>
      <c r="E970" s="944"/>
      <c r="F970" s="944"/>
      <c r="G970" s="944"/>
      <c r="H970" s="945" t="s">
        <v>114</v>
      </c>
      <c r="I970" s="945"/>
      <c r="J970" s="945"/>
      <c r="K970" s="945"/>
      <c r="L970" s="946"/>
      <c r="M970" s="16"/>
    </row>
    <row r="971" spans="1:13" ht="30" customHeight="1">
      <c r="A971" s="15"/>
      <c r="B971" s="386" t="s">
        <v>115</v>
      </c>
      <c r="C971" s="116"/>
      <c r="D971" s="116"/>
      <c r="E971" s="116"/>
      <c r="F971" s="116"/>
      <c r="G971" s="119"/>
      <c r="H971" s="947">
        <f>Master!AA35</f>
        <v>26</v>
      </c>
      <c r="I971" s="945"/>
      <c r="J971" s="945"/>
      <c r="K971" s="945"/>
      <c r="L971" s="946"/>
      <c r="M971" s="16"/>
    </row>
    <row r="972" spans="1:13" ht="30" customHeight="1">
      <c r="A972" s="15"/>
      <c r="B972" s="386" t="s">
        <v>116</v>
      </c>
      <c r="C972" s="116"/>
      <c r="D972" s="116"/>
      <c r="E972" s="116"/>
      <c r="F972" s="116"/>
      <c r="G972" s="119"/>
      <c r="H972" s="986" t="s">
        <v>28</v>
      </c>
      <c r="I972" s="987"/>
      <c r="J972" s="987"/>
      <c r="K972" s="987"/>
      <c r="L972" s="988"/>
      <c r="M972" s="16"/>
    </row>
    <row r="973" spans="1:13" ht="30" customHeight="1">
      <c r="A973" s="15"/>
      <c r="B973" s="386" t="s">
        <v>117</v>
      </c>
      <c r="C973" s="116"/>
      <c r="D973" s="116"/>
      <c r="E973" s="116"/>
      <c r="F973" s="116"/>
      <c r="G973" s="119"/>
      <c r="H973" s="989">
        <v>0</v>
      </c>
      <c r="I973" s="990"/>
      <c r="J973" s="990"/>
      <c r="K973" s="990"/>
      <c r="L973" s="991"/>
      <c r="M973" s="16"/>
    </row>
    <row r="974" spans="1:13" ht="30" customHeight="1">
      <c r="A974" s="15"/>
      <c r="B974" s="386" t="s">
        <v>118</v>
      </c>
      <c r="C974" s="116"/>
      <c r="D974" s="116"/>
      <c r="E974" s="116"/>
      <c r="F974" s="116"/>
      <c r="G974" s="119"/>
      <c r="H974" s="986">
        <v>0</v>
      </c>
      <c r="I974" s="987"/>
      <c r="J974" s="987"/>
      <c r="K974" s="987"/>
      <c r="L974" s="988"/>
      <c r="M974" s="16"/>
    </row>
    <row r="975" spans="1:13" ht="30" customHeight="1">
      <c r="A975" s="15"/>
      <c r="B975" s="386" t="s">
        <v>119</v>
      </c>
      <c r="C975" s="116"/>
      <c r="D975" s="116"/>
      <c r="E975" s="116"/>
      <c r="F975" s="116"/>
      <c r="G975" s="119"/>
      <c r="H975" s="117"/>
      <c r="I975" s="118"/>
      <c r="J975" s="990">
        <f>Master!AK35</f>
        <v>9210.4</v>
      </c>
      <c r="K975" s="992"/>
      <c r="L975" s="581" t="s">
        <v>737</v>
      </c>
      <c r="M975" s="16"/>
    </row>
    <row r="976" spans="1:13" ht="30" customHeight="1">
      <c r="A976" s="15"/>
      <c r="B976" s="386" t="s">
        <v>120</v>
      </c>
      <c r="C976" s="116"/>
      <c r="D976" s="465" t="s">
        <v>24</v>
      </c>
      <c r="E976" s="466">
        <f>Master!AM35</f>
        <v>1105</v>
      </c>
      <c r="F976" s="465" t="s">
        <v>23</v>
      </c>
      <c r="G976" s="466">
        <f>Master!AL35</f>
        <v>70</v>
      </c>
      <c r="H976" s="465" t="s">
        <v>25</v>
      </c>
      <c r="I976" s="466">
        <f>Master!AN35</f>
        <v>0</v>
      </c>
      <c r="J976" s="465" t="s">
        <v>26</v>
      </c>
      <c r="K976" s="466">
        <f>Master!AO35</f>
        <v>0</v>
      </c>
      <c r="L976" s="400">
        <f>Master!AP35</f>
        <v>0</v>
      </c>
      <c r="M976" s="16"/>
    </row>
    <row r="977" spans="1:13" ht="30" customHeight="1">
      <c r="A977" s="15"/>
      <c r="B977" s="386" t="s">
        <v>121</v>
      </c>
      <c r="C977" s="116"/>
      <c r="D977" s="116"/>
      <c r="E977" s="116"/>
      <c r="F977" s="116"/>
      <c r="G977" s="119"/>
      <c r="H977" s="117"/>
      <c r="I977" s="118"/>
      <c r="J977" s="541">
        <f>Master!AR35</f>
        <v>8035.4</v>
      </c>
      <c r="K977" s="118"/>
      <c r="L977" s="125"/>
      <c r="M977" s="16"/>
    </row>
    <row r="978" spans="1:13">
      <c r="A978" s="15"/>
      <c r="B978" s="387" t="s">
        <v>122</v>
      </c>
      <c r="C978" s="74"/>
      <c r="D978" s="74"/>
      <c r="E978" s="74"/>
      <c r="F978" s="74"/>
      <c r="G978" s="75"/>
      <c r="H978" s="76"/>
      <c r="I978" s="77"/>
      <c r="J978" s="77"/>
      <c r="K978" s="77"/>
      <c r="L978" s="78"/>
      <c r="M978" s="16"/>
    </row>
    <row r="979" spans="1:13">
      <c r="A979" s="15"/>
      <c r="B979" s="388" t="s">
        <v>123</v>
      </c>
      <c r="C979" s="79"/>
      <c r="D979" s="79"/>
      <c r="E979" s="79"/>
      <c r="F979" s="79"/>
      <c r="G979" s="80"/>
      <c r="H979" s="60"/>
      <c r="I979" s="19"/>
      <c r="J979" s="19"/>
      <c r="K979" s="19"/>
      <c r="L979" s="81"/>
      <c r="M979" s="16"/>
    </row>
    <row r="980" spans="1:13">
      <c r="A980" s="15"/>
      <c r="B980" s="15"/>
      <c r="C980" s="114"/>
      <c r="D980" s="114"/>
      <c r="E980" s="114"/>
      <c r="F980" s="114"/>
      <c r="G980" s="114"/>
      <c r="H980" s="114"/>
      <c r="I980" s="114"/>
      <c r="J980" s="114"/>
      <c r="K980" s="114"/>
      <c r="L980" s="16"/>
      <c r="M980" s="16"/>
    </row>
    <row r="981" spans="1:13" ht="15" thickBot="1">
      <c r="A981" s="27"/>
      <c r="B981" s="27"/>
      <c r="C981" s="25"/>
      <c r="D981" s="25"/>
      <c r="E981" s="25"/>
      <c r="F981" s="25"/>
      <c r="G981" s="25"/>
      <c r="H981" s="25"/>
      <c r="I981" s="25"/>
      <c r="J981" s="25"/>
      <c r="K981" s="25"/>
      <c r="L981" s="26"/>
      <c r="M981" s="26"/>
    </row>
    <row r="982" spans="1:13">
      <c r="A982" s="420"/>
      <c r="B982" s="420"/>
      <c r="C982" s="420"/>
      <c r="D982" s="420"/>
      <c r="E982" s="420"/>
      <c r="F982" s="420"/>
      <c r="G982" s="420"/>
      <c r="H982" s="420"/>
      <c r="I982" s="420"/>
      <c r="J982" s="420"/>
      <c r="K982" s="420"/>
      <c r="L982" s="420"/>
      <c r="M982" s="420"/>
    </row>
    <row r="983" spans="1:13">
      <c r="A983" s="420"/>
      <c r="B983" s="420"/>
      <c r="C983" s="420"/>
      <c r="D983" s="420"/>
      <c r="E983" s="420"/>
      <c r="F983" s="420"/>
      <c r="G983" s="420"/>
      <c r="H983" s="420"/>
      <c r="I983" s="420"/>
      <c r="J983" s="420"/>
      <c r="K983" s="420"/>
      <c r="L983" s="420"/>
      <c r="M983" s="420"/>
    </row>
    <row r="984" spans="1:13">
      <c r="A984" s="420"/>
      <c r="B984" s="420"/>
      <c r="C984" s="420"/>
      <c r="D984" s="420"/>
      <c r="E984" s="420"/>
      <c r="F984" s="420"/>
      <c r="G984" s="420"/>
      <c r="H984" s="420"/>
      <c r="I984" s="420"/>
      <c r="J984" s="420"/>
      <c r="K984" s="420"/>
      <c r="L984" s="420"/>
      <c r="M984" s="420"/>
    </row>
    <row r="985" spans="1:13">
      <c r="A985" s="420"/>
      <c r="B985" s="420"/>
      <c r="C985" s="420"/>
      <c r="D985" s="420"/>
      <c r="E985" s="420"/>
      <c r="F985" s="420"/>
      <c r="G985" s="420"/>
      <c r="H985" s="420"/>
      <c r="I985" s="420"/>
      <c r="J985" s="420"/>
      <c r="K985" s="420"/>
      <c r="L985" s="420"/>
      <c r="M985" s="420"/>
    </row>
    <row r="986" spans="1:13" ht="15" thickBot="1">
      <c r="A986" s="420"/>
      <c r="B986" s="420"/>
      <c r="C986" s="420"/>
      <c r="D986" s="420"/>
      <c r="E986" s="420"/>
      <c r="F986" s="420"/>
      <c r="G986" s="420"/>
      <c r="H986" s="420"/>
      <c r="I986" s="420"/>
      <c r="J986" s="420"/>
      <c r="K986" s="420"/>
      <c r="L986" s="420"/>
      <c r="M986" s="420"/>
    </row>
    <row r="987" spans="1:13" ht="32.4">
      <c r="A987" s="68"/>
      <c r="B987" s="960" t="s">
        <v>99</v>
      </c>
      <c r="C987" s="961"/>
      <c r="D987" s="961"/>
      <c r="E987" s="961"/>
      <c r="F987" s="961"/>
      <c r="G987" s="961"/>
      <c r="H987" s="961"/>
      <c r="I987" s="961"/>
      <c r="J987" s="961"/>
      <c r="K987" s="961"/>
      <c r="L987" s="962"/>
      <c r="M987" s="69"/>
    </row>
    <row r="988" spans="1:13" ht="23.4">
      <c r="A988" s="15"/>
      <c r="B988" s="963" t="s">
        <v>100</v>
      </c>
      <c r="C988" s="964"/>
      <c r="D988" s="964"/>
      <c r="E988" s="964"/>
      <c r="F988" s="964"/>
      <c r="G988" s="964"/>
      <c r="H988" s="964"/>
      <c r="I988" s="964"/>
      <c r="J988" s="964"/>
      <c r="K988" s="964"/>
      <c r="L988" s="965"/>
      <c r="M988" s="16"/>
    </row>
    <row r="989" spans="1:13" ht="15.6">
      <c r="A989" s="15"/>
      <c r="B989" s="966" t="s">
        <v>1070</v>
      </c>
      <c r="C989" s="967"/>
      <c r="D989" s="967"/>
      <c r="E989" s="967"/>
      <c r="F989" s="967"/>
      <c r="G989" s="967"/>
      <c r="H989" s="968"/>
      <c r="I989" s="968"/>
      <c r="J989" s="968"/>
      <c r="K989" s="968"/>
      <c r="L989" s="969"/>
      <c r="M989" s="16"/>
    </row>
    <row r="990" spans="1:13">
      <c r="A990" s="15"/>
      <c r="B990" s="970" t="s">
        <v>101</v>
      </c>
      <c r="C990" s="971"/>
      <c r="D990" s="971"/>
      <c r="E990" s="971"/>
      <c r="F990" s="971"/>
      <c r="G990" s="391"/>
      <c r="H990" s="974" t="s">
        <v>102</v>
      </c>
      <c r="I990" s="975"/>
      <c r="J990" s="975"/>
      <c r="K990" s="975"/>
      <c r="L990" s="976"/>
      <c r="M990" s="16"/>
    </row>
    <row r="991" spans="1:13">
      <c r="A991" s="15"/>
      <c r="B991" s="972"/>
      <c r="C991" s="973"/>
      <c r="D991" s="973"/>
      <c r="E991" s="973"/>
      <c r="F991" s="973"/>
      <c r="G991" s="395"/>
      <c r="H991" s="977"/>
      <c r="I991" s="978"/>
      <c r="J991" s="978"/>
      <c r="K991" s="978"/>
      <c r="L991" s="979"/>
      <c r="M991" s="16"/>
    </row>
    <row r="992" spans="1:13">
      <c r="A992" s="15"/>
      <c r="B992" s="382"/>
      <c r="C992" s="77"/>
      <c r="D992" s="77"/>
      <c r="E992" s="77"/>
      <c r="F992" s="77"/>
      <c r="G992" s="56"/>
      <c r="H992" s="76"/>
      <c r="I992" s="77"/>
      <c r="J992" s="77"/>
      <c r="K992" s="77"/>
      <c r="L992" s="78"/>
      <c r="M992" s="16"/>
    </row>
    <row r="993" spans="1:13">
      <c r="A993" s="15"/>
      <c r="B993" s="378" t="str">
        <f>Master!F5</f>
        <v>GROTECH LANDSCAPE DEVELOPERS PVT. LTD.</v>
      </c>
      <c r="C993" s="114"/>
      <c r="D993" s="114"/>
      <c r="E993" s="114"/>
      <c r="F993" s="114"/>
      <c r="G993" s="379"/>
      <c r="H993" s="381" t="str">
        <f>Master!AN5</f>
        <v>GROTECH LANDSCAPE DEVELOPERS PVT. LTD.</v>
      </c>
      <c r="I993" s="114"/>
      <c r="J993" s="114"/>
      <c r="K993" s="114"/>
      <c r="L993" s="16"/>
      <c r="M993" s="16"/>
    </row>
    <row r="994" spans="1:13">
      <c r="A994" s="15"/>
      <c r="B994" s="15"/>
      <c r="C994" s="114"/>
      <c r="D994" s="114"/>
      <c r="E994" s="114"/>
      <c r="F994" s="114"/>
      <c r="G994" s="379"/>
      <c r="H994" s="380"/>
      <c r="I994" s="114"/>
      <c r="J994" s="114"/>
      <c r="K994" s="114"/>
      <c r="L994" s="16"/>
      <c r="M994" s="16"/>
    </row>
    <row r="995" spans="1:13">
      <c r="A995" s="15"/>
      <c r="B995" s="538" t="str">
        <f>Master!F6</f>
        <v>290/E, Khanapur Village, Gandipet Mandal, Ranga Reddy, Hyderabad-500075 T.S.</v>
      </c>
      <c r="C995" s="114"/>
      <c r="D995" s="114"/>
      <c r="E995" s="114"/>
      <c r="F995" s="114"/>
      <c r="G995" s="379"/>
      <c r="H995" s="539" t="str">
        <f>Master!AN6</f>
        <v>290/E, Khanapur Village, Gandipet Mandal, Ranga Reddy, Hyderabad-500075 T.S.</v>
      </c>
      <c r="I995" s="114"/>
      <c r="J995" s="114"/>
      <c r="K995" s="114"/>
      <c r="L995" s="16"/>
      <c r="M995" s="16"/>
    </row>
    <row r="996" spans="1:13">
      <c r="A996" s="15"/>
      <c r="B996" s="383"/>
      <c r="C996" s="19"/>
      <c r="D996" s="19"/>
      <c r="E996" s="19"/>
      <c r="F996" s="19"/>
      <c r="G996" s="61"/>
      <c r="H996" s="60"/>
      <c r="I996" s="19"/>
      <c r="J996" s="19"/>
      <c r="K996" s="19"/>
      <c r="L996" s="81"/>
      <c r="M996" s="16"/>
    </row>
    <row r="997" spans="1:13">
      <c r="A997" s="15"/>
      <c r="B997" s="389"/>
      <c r="C997" s="390"/>
      <c r="D997" s="390"/>
      <c r="E997" s="390"/>
      <c r="F997" s="390"/>
      <c r="G997" s="391"/>
      <c r="H997" s="396"/>
      <c r="I997" s="390"/>
      <c r="J997" s="390" t="s">
        <v>103</v>
      </c>
      <c r="K997" s="390"/>
      <c r="L997" s="397"/>
      <c r="M997" s="16"/>
    </row>
    <row r="998" spans="1:13">
      <c r="A998" s="15"/>
      <c r="B998" s="980" t="s">
        <v>104</v>
      </c>
      <c r="C998" s="981"/>
      <c r="D998" s="981"/>
      <c r="E998" s="981"/>
      <c r="F998" s="981"/>
      <c r="G998" s="392"/>
      <c r="H998" s="982" t="s">
        <v>4</v>
      </c>
      <c r="I998" s="981"/>
      <c r="J998" s="981"/>
      <c r="K998" s="981"/>
      <c r="L998" s="983"/>
      <c r="M998" s="16"/>
    </row>
    <row r="999" spans="1:13">
      <c r="A999" s="15"/>
      <c r="B999" s="393"/>
      <c r="C999" s="394"/>
      <c r="D999" s="394"/>
      <c r="E999" s="394"/>
      <c r="F999" s="394"/>
      <c r="G999" s="395"/>
      <c r="H999" s="398"/>
      <c r="I999" s="394"/>
      <c r="J999" s="394"/>
      <c r="K999" s="394"/>
      <c r="L999" s="399"/>
      <c r="M999" s="16"/>
    </row>
    <row r="1000" spans="1:13">
      <c r="A1000" s="15"/>
      <c r="B1000" s="382"/>
      <c r="C1000" s="77"/>
      <c r="D1000" s="77"/>
      <c r="E1000" s="77"/>
      <c r="F1000" s="77"/>
      <c r="G1000" s="56"/>
      <c r="H1000" s="74"/>
      <c r="I1000" s="74"/>
      <c r="J1000" s="74"/>
      <c r="K1000" s="74"/>
      <c r="L1000" s="384"/>
      <c r="M1000" s="16"/>
    </row>
    <row r="1001" spans="1:13">
      <c r="A1001" s="15"/>
      <c r="B1001" s="15"/>
      <c r="C1001" s="114"/>
      <c r="D1001" s="114"/>
      <c r="E1001" s="114"/>
      <c r="F1001" s="114"/>
      <c r="G1001" s="379"/>
      <c r="H1001" s="115" t="str">
        <f>Master!AN10</f>
        <v>INDIAN SCHOOL OF BUSINESS</v>
      </c>
      <c r="I1001" s="115"/>
      <c r="J1001" s="115"/>
      <c r="K1001" s="115"/>
      <c r="L1001" s="71"/>
      <c r="M1001" s="16"/>
    </row>
    <row r="1002" spans="1:13">
      <c r="A1002" s="15"/>
      <c r="B1002" s="70" t="str">
        <f>Master!F8</f>
        <v>GARDENING SERVICES&amp;ISB HYDERABAD</v>
      </c>
      <c r="C1002" s="114"/>
      <c r="D1002" s="114"/>
      <c r="E1002" s="114"/>
      <c r="F1002" s="114"/>
      <c r="G1002" s="379"/>
      <c r="H1002" s="115"/>
      <c r="I1002" s="115"/>
      <c r="J1002" s="115"/>
      <c r="K1002" s="115"/>
      <c r="L1002" s="71"/>
      <c r="M1002" s="16"/>
    </row>
    <row r="1003" spans="1:13">
      <c r="A1003" s="15"/>
      <c r="B1003" s="15"/>
      <c r="C1003" s="114"/>
      <c r="D1003" s="114"/>
      <c r="E1003" s="114"/>
      <c r="F1003" s="114"/>
      <c r="G1003" s="379"/>
      <c r="H1003" s="115" t="str">
        <f>Master!AN11</f>
        <v>Opp.Infosys Limited,Gachibowli,Hyderabad</v>
      </c>
      <c r="I1003" s="115"/>
      <c r="J1003" s="115"/>
      <c r="K1003" s="115"/>
      <c r="L1003" s="71"/>
      <c r="M1003" s="16"/>
    </row>
    <row r="1004" spans="1:13">
      <c r="A1004" s="15"/>
      <c r="B1004" s="383"/>
      <c r="C1004" s="19"/>
      <c r="D1004" s="19"/>
      <c r="E1004" s="19"/>
      <c r="F1004" s="19"/>
      <c r="G1004" s="61"/>
      <c r="H1004" s="79"/>
      <c r="I1004" s="79"/>
      <c r="J1004" s="79"/>
      <c r="K1004" s="79"/>
      <c r="L1004" s="385"/>
      <c r="M1004" s="16"/>
    </row>
    <row r="1005" spans="1:13" ht="30" customHeight="1">
      <c r="A1005" s="15"/>
      <c r="B1005" s="948" t="s">
        <v>105</v>
      </c>
      <c r="C1005" s="949"/>
      <c r="D1005" s="949"/>
      <c r="E1005" s="949"/>
      <c r="F1005" s="949"/>
      <c r="G1005" s="949"/>
      <c r="H1005" s="950" t="str">
        <f>Master!D36</f>
        <v>SINGARAM BHAGYAMMA</v>
      </c>
      <c r="I1005" s="951"/>
      <c r="J1005" s="951"/>
      <c r="K1005" s="951"/>
      <c r="L1005" s="952"/>
      <c r="M1005" s="16"/>
    </row>
    <row r="1006" spans="1:13" ht="30" customHeight="1">
      <c r="A1006" s="15"/>
      <c r="B1006" s="948"/>
      <c r="C1006" s="949"/>
      <c r="D1006" s="949"/>
      <c r="E1006" s="949"/>
      <c r="F1006" s="949"/>
      <c r="G1006" s="949"/>
      <c r="H1006" s="950" t="str">
        <f>Master!K36</f>
        <v>1-43,patancheru-mndl,</v>
      </c>
      <c r="I1006" s="951"/>
      <c r="J1006" s="951"/>
      <c r="K1006" s="951"/>
      <c r="L1006" s="952"/>
      <c r="M1006" s="16"/>
    </row>
    <row r="1007" spans="1:13" ht="30" customHeight="1">
      <c r="A1007" s="15"/>
      <c r="B1007" s="948"/>
      <c r="C1007" s="949"/>
      <c r="D1007" s="949"/>
      <c r="E1007" s="949"/>
      <c r="F1007" s="949"/>
      <c r="G1007" s="949"/>
      <c r="H1007" s="950" t="str">
        <f>Master!L36</f>
        <v>Krishnareddipet,Medak</v>
      </c>
      <c r="I1007" s="951"/>
      <c r="J1007" s="951"/>
      <c r="K1007" s="951"/>
      <c r="L1007" s="952"/>
      <c r="M1007" s="16"/>
    </row>
    <row r="1008" spans="1:13" ht="30" customHeight="1">
      <c r="A1008" s="15"/>
      <c r="B1008" s="948"/>
      <c r="C1008" s="949"/>
      <c r="D1008" s="949"/>
      <c r="E1008" s="949"/>
      <c r="F1008" s="949"/>
      <c r="G1008" s="949"/>
      <c r="H1008" s="950" t="str">
        <f>Master!M36</f>
        <v>TS-502319</v>
      </c>
      <c r="I1008" s="951"/>
      <c r="J1008" s="951"/>
      <c r="K1008" s="951"/>
      <c r="L1008" s="952"/>
      <c r="M1008" s="16"/>
    </row>
    <row r="1009" spans="1:13" ht="30" customHeight="1">
      <c r="A1009" s="73"/>
      <c r="B1009" s="948"/>
      <c r="C1009" s="949"/>
      <c r="D1009" s="949"/>
      <c r="E1009" s="949"/>
      <c r="F1009" s="949"/>
      <c r="G1009" s="949"/>
      <c r="H1009" s="989">
        <f>Master!N1376</f>
        <v>0</v>
      </c>
      <c r="I1009" s="990"/>
      <c r="J1009" s="990"/>
      <c r="K1009" s="990"/>
      <c r="L1009" s="991"/>
      <c r="M1009" s="16"/>
    </row>
    <row r="1010" spans="1:13" ht="30" customHeight="1">
      <c r="A1010" s="73"/>
      <c r="B1010" s="984" t="s">
        <v>106</v>
      </c>
      <c r="C1010" s="985"/>
      <c r="D1010" s="985"/>
      <c r="E1010" s="985"/>
      <c r="F1010" s="985"/>
      <c r="G1010" s="985"/>
      <c r="H1010" s="947">
        <f>Master!C36</f>
        <v>25</v>
      </c>
      <c r="I1010" s="945"/>
      <c r="J1010" s="945"/>
      <c r="K1010" s="945"/>
      <c r="L1010" s="946"/>
      <c r="M1010" s="16"/>
    </row>
    <row r="1011" spans="1:13" ht="30" customHeight="1">
      <c r="A1011" s="73"/>
      <c r="B1011" s="943" t="s">
        <v>107</v>
      </c>
      <c r="C1011" s="944"/>
      <c r="D1011" s="944"/>
      <c r="E1011" s="944"/>
      <c r="F1011" s="944"/>
      <c r="G1011" s="944"/>
      <c r="H1011" s="947" t="str">
        <f>Master!J36</f>
        <v>Unskilled Gardner</v>
      </c>
      <c r="I1011" s="945"/>
      <c r="J1011" s="945"/>
      <c r="K1011" s="945"/>
      <c r="L1011" s="946"/>
      <c r="M1011" s="16"/>
    </row>
    <row r="1012" spans="1:13" ht="30" customHeight="1">
      <c r="A1012" s="73"/>
      <c r="B1012" s="943" t="s">
        <v>108</v>
      </c>
      <c r="C1012" s="944"/>
      <c r="D1012" s="944"/>
      <c r="E1012" s="944"/>
      <c r="F1012" s="944"/>
      <c r="G1012" s="944"/>
      <c r="H1012" s="957">
        <f>Master!S36</f>
        <v>43850</v>
      </c>
      <c r="I1012" s="958"/>
      <c r="J1012" s="958"/>
      <c r="K1012" s="958"/>
      <c r="L1012" s="959"/>
      <c r="M1012" s="16"/>
    </row>
    <row r="1013" spans="1:13" ht="30" customHeight="1">
      <c r="A1013" s="73"/>
      <c r="B1013" s="386" t="s">
        <v>109</v>
      </c>
      <c r="C1013" s="116"/>
      <c r="D1013" s="116"/>
      <c r="E1013" s="116"/>
      <c r="F1013" s="116"/>
      <c r="G1013" s="116"/>
      <c r="H1013" s="947">
        <f>Master!Y36</f>
        <v>5216279786</v>
      </c>
      <c r="I1013" s="947"/>
      <c r="J1013" s="947"/>
      <c r="K1013" s="947"/>
      <c r="L1013" s="953"/>
      <c r="M1013" s="16"/>
    </row>
    <row r="1014" spans="1:13" ht="30" customHeight="1">
      <c r="A1014" s="73"/>
      <c r="B1014" s="386" t="s">
        <v>110</v>
      </c>
      <c r="C1014" s="116"/>
      <c r="D1014" s="116"/>
      <c r="E1014" s="116"/>
      <c r="F1014" s="116"/>
      <c r="G1014" s="119"/>
      <c r="H1014" s="947" t="str">
        <f>Master!X36</f>
        <v>100118386595</v>
      </c>
      <c r="I1014" s="947"/>
      <c r="J1014" s="947"/>
      <c r="K1014" s="947"/>
      <c r="L1014" s="953"/>
      <c r="M1014" s="16"/>
    </row>
    <row r="1015" spans="1:13" ht="30" customHeight="1">
      <c r="A1015" s="73"/>
      <c r="B1015" s="954" t="s">
        <v>111</v>
      </c>
      <c r="C1015" s="955"/>
      <c r="D1015" s="955"/>
      <c r="E1015" s="955"/>
      <c r="F1015" s="955"/>
      <c r="G1015" s="955"/>
      <c r="H1015" s="950">
        <f>Master!AC36</f>
        <v>10627</v>
      </c>
      <c r="I1015" s="951"/>
      <c r="J1015" s="951"/>
      <c r="K1015" s="951"/>
      <c r="L1015" s="952"/>
      <c r="M1015" s="16"/>
    </row>
    <row r="1016" spans="1:13" ht="30" customHeight="1">
      <c r="A1016" s="73"/>
      <c r="B1016" s="943" t="s">
        <v>112</v>
      </c>
      <c r="C1016" s="944"/>
      <c r="D1016" s="944"/>
      <c r="E1016" s="944"/>
      <c r="F1016" s="944"/>
      <c r="G1016" s="944"/>
      <c r="H1016" s="956">
        <f>Master!F10</f>
        <v>44652</v>
      </c>
      <c r="I1016" s="945"/>
      <c r="J1016" s="945"/>
      <c r="K1016" s="945"/>
      <c r="L1016" s="946"/>
      <c r="M1016" s="16"/>
    </row>
    <row r="1017" spans="1:13" ht="30" customHeight="1">
      <c r="A1017" s="15"/>
      <c r="B1017" s="943" t="s">
        <v>113</v>
      </c>
      <c r="C1017" s="944"/>
      <c r="D1017" s="944"/>
      <c r="E1017" s="944"/>
      <c r="F1017" s="944"/>
      <c r="G1017" s="944"/>
      <c r="H1017" s="945" t="s">
        <v>114</v>
      </c>
      <c r="I1017" s="945"/>
      <c r="J1017" s="945"/>
      <c r="K1017" s="945"/>
      <c r="L1017" s="946"/>
      <c r="M1017" s="16"/>
    </row>
    <row r="1018" spans="1:13" ht="30" customHeight="1">
      <c r="A1018" s="15"/>
      <c r="B1018" s="386" t="s">
        <v>115</v>
      </c>
      <c r="C1018" s="116"/>
      <c r="D1018" s="116"/>
      <c r="E1018" s="116"/>
      <c r="F1018" s="116"/>
      <c r="G1018" s="119"/>
      <c r="H1018" s="947">
        <f>Master!AA36</f>
        <v>26</v>
      </c>
      <c r="I1018" s="945"/>
      <c r="J1018" s="945"/>
      <c r="K1018" s="945"/>
      <c r="L1018" s="946"/>
      <c r="M1018" s="16"/>
    </row>
    <row r="1019" spans="1:13" ht="30" customHeight="1">
      <c r="A1019" s="15"/>
      <c r="B1019" s="386" t="s">
        <v>116</v>
      </c>
      <c r="C1019" s="116"/>
      <c r="D1019" s="116"/>
      <c r="E1019" s="116"/>
      <c r="F1019" s="116"/>
      <c r="G1019" s="119"/>
      <c r="H1019" s="986" t="s">
        <v>28</v>
      </c>
      <c r="I1019" s="987"/>
      <c r="J1019" s="987"/>
      <c r="K1019" s="987"/>
      <c r="L1019" s="988"/>
      <c r="M1019" s="16"/>
    </row>
    <row r="1020" spans="1:13" ht="30" customHeight="1">
      <c r="A1020" s="15"/>
      <c r="B1020" s="386" t="s">
        <v>117</v>
      </c>
      <c r="C1020" s="116"/>
      <c r="D1020" s="116"/>
      <c r="E1020" s="116"/>
      <c r="F1020" s="116"/>
      <c r="G1020" s="119"/>
      <c r="H1020" s="989">
        <v>0</v>
      </c>
      <c r="I1020" s="990"/>
      <c r="J1020" s="990"/>
      <c r="K1020" s="990"/>
      <c r="L1020" s="991"/>
      <c r="M1020" s="16"/>
    </row>
    <row r="1021" spans="1:13" ht="30" customHeight="1">
      <c r="A1021" s="15"/>
      <c r="B1021" s="386" t="s">
        <v>118</v>
      </c>
      <c r="C1021" s="116"/>
      <c r="D1021" s="116"/>
      <c r="E1021" s="116"/>
      <c r="F1021" s="116"/>
      <c r="G1021" s="119"/>
      <c r="H1021" s="986">
        <v>0</v>
      </c>
      <c r="I1021" s="987"/>
      <c r="J1021" s="987"/>
      <c r="K1021" s="987"/>
      <c r="L1021" s="988"/>
      <c r="M1021" s="16"/>
    </row>
    <row r="1022" spans="1:13" ht="30" customHeight="1">
      <c r="A1022" s="15"/>
      <c r="B1022" s="386" t="s">
        <v>119</v>
      </c>
      <c r="C1022" s="116"/>
      <c r="D1022" s="116"/>
      <c r="E1022" s="116"/>
      <c r="F1022" s="116"/>
      <c r="G1022" s="119"/>
      <c r="H1022" s="117"/>
      <c r="I1022" s="118"/>
      <c r="J1022" s="990">
        <f>Master!AK36</f>
        <v>9210.4</v>
      </c>
      <c r="K1022" s="992"/>
      <c r="L1022" s="581" t="s">
        <v>737</v>
      </c>
      <c r="M1022" s="16"/>
    </row>
    <row r="1023" spans="1:13" ht="30" customHeight="1">
      <c r="A1023" s="15"/>
      <c r="B1023" s="386" t="s">
        <v>120</v>
      </c>
      <c r="C1023" s="116"/>
      <c r="D1023" s="465" t="s">
        <v>24</v>
      </c>
      <c r="E1023" s="466">
        <f>Master!AM36</f>
        <v>1105</v>
      </c>
      <c r="F1023" s="465" t="s">
        <v>23</v>
      </c>
      <c r="G1023" s="466">
        <f>Master!AL36</f>
        <v>70</v>
      </c>
      <c r="H1023" s="465" t="s">
        <v>25</v>
      </c>
      <c r="I1023" s="466">
        <f>Master!AN36</f>
        <v>0</v>
      </c>
      <c r="J1023" s="465" t="s">
        <v>26</v>
      </c>
      <c r="K1023" s="466">
        <f>Master!AO36</f>
        <v>0</v>
      </c>
      <c r="L1023" s="400">
        <f>Master!AP36</f>
        <v>0</v>
      </c>
      <c r="M1023" s="16"/>
    </row>
    <row r="1024" spans="1:13" ht="30" customHeight="1">
      <c r="A1024" s="15"/>
      <c r="B1024" s="386" t="s">
        <v>121</v>
      </c>
      <c r="C1024" s="116"/>
      <c r="D1024" s="116"/>
      <c r="E1024" s="116"/>
      <c r="F1024" s="116"/>
      <c r="G1024" s="119"/>
      <c r="H1024" s="117"/>
      <c r="I1024" s="118"/>
      <c r="J1024" s="541">
        <f>Master!AR36</f>
        <v>8035.4</v>
      </c>
      <c r="K1024" s="118"/>
      <c r="L1024" s="125"/>
      <c r="M1024" s="16"/>
    </row>
    <row r="1025" spans="1:13">
      <c r="A1025" s="15"/>
      <c r="B1025" s="387" t="s">
        <v>122</v>
      </c>
      <c r="C1025" s="74"/>
      <c r="D1025" s="74"/>
      <c r="E1025" s="74"/>
      <c r="F1025" s="74"/>
      <c r="G1025" s="75"/>
      <c r="H1025" s="76"/>
      <c r="I1025" s="77"/>
      <c r="J1025" s="77"/>
      <c r="K1025" s="77"/>
      <c r="L1025" s="78"/>
      <c r="M1025" s="16"/>
    </row>
    <row r="1026" spans="1:13">
      <c r="A1026" s="15"/>
      <c r="B1026" s="388" t="s">
        <v>123</v>
      </c>
      <c r="C1026" s="79"/>
      <c r="D1026" s="79"/>
      <c r="E1026" s="79"/>
      <c r="F1026" s="79"/>
      <c r="G1026" s="80"/>
      <c r="H1026" s="60"/>
      <c r="I1026" s="19"/>
      <c r="J1026" s="19"/>
      <c r="K1026" s="19"/>
      <c r="L1026" s="81"/>
      <c r="M1026" s="16"/>
    </row>
    <row r="1027" spans="1:13">
      <c r="A1027" s="15"/>
      <c r="B1027" s="15"/>
      <c r="C1027" s="114"/>
      <c r="D1027" s="114"/>
      <c r="E1027" s="114"/>
      <c r="F1027" s="114"/>
      <c r="G1027" s="114"/>
      <c r="H1027" s="114"/>
      <c r="I1027" s="114"/>
      <c r="J1027" s="114"/>
      <c r="K1027" s="114"/>
      <c r="L1027" s="16"/>
      <c r="M1027" s="16"/>
    </row>
    <row r="1028" spans="1:13" ht="15" thickBot="1">
      <c r="A1028" s="27"/>
      <c r="B1028" s="27"/>
      <c r="C1028" s="25"/>
      <c r="D1028" s="25"/>
      <c r="E1028" s="25"/>
      <c r="F1028" s="25"/>
      <c r="G1028" s="25"/>
      <c r="H1028" s="25"/>
      <c r="I1028" s="25"/>
      <c r="J1028" s="25"/>
      <c r="K1028" s="25"/>
      <c r="L1028" s="26"/>
      <c r="M1028" s="26"/>
    </row>
    <row r="1029" spans="1:13">
      <c r="A1029" s="420"/>
      <c r="B1029" s="420"/>
      <c r="C1029" s="420"/>
      <c r="D1029" s="420"/>
      <c r="E1029" s="420"/>
      <c r="F1029" s="420"/>
      <c r="G1029" s="420"/>
      <c r="H1029" s="420"/>
      <c r="I1029" s="420"/>
      <c r="J1029" s="420"/>
      <c r="K1029" s="420"/>
      <c r="L1029" s="420"/>
      <c r="M1029" s="420"/>
    </row>
    <row r="1030" spans="1:13">
      <c r="A1030" s="420"/>
      <c r="B1030" s="420"/>
      <c r="C1030" s="420"/>
      <c r="D1030" s="420"/>
      <c r="E1030" s="420"/>
      <c r="F1030" s="420"/>
      <c r="G1030" s="420"/>
      <c r="H1030" s="420"/>
      <c r="I1030" s="420"/>
      <c r="J1030" s="420"/>
      <c r="K1030" s="420"/>
      <c r="L1030" s="420"/>
      <c r="M1030" s="420"/>
    </row>
    <row r="1031" spans="1:13">
      <c r="A1031" s="420"/>
      <c r="B1031" s="420"/>
      <c r="C1031" s="420"/>
      <c r="D1031" s="420"/>
      <c r="E1031" s="420"/>
      <c r="F1031" s="420"/>
      <c r="G1031" s="420"/>
      <c r="H1031" s="420"/>
      <c r="I1031" s="420"/>
      <c r="J1031" s="420"/>
      <c r="K1031" s="420"/>
      <c r="L1031" s="420"/>
      <c r="M1031" s="420"/>
    </row>
    <row r="1032" spans="1:13">
      <c r="A1032" s="420"/>
      <c r="B1032" s="420"/>
      <c r="C1032" s="420"/>
      <c r="D1032" s="420"/>
      <c r="E1032" s="420"/>
      <c r="F1032" s="420"/>
      <c r="G1032" s="420"/>
      <c r="H1032" s="420"/>
      <c r="I1032" s="420"/>
      <c r="J1032" s="420"/>
      <c r="K1032" s="420"/>
      <c r="L1032" s="420"/>
      <c r="M1032" s="420"/>
    </row>
    <row r="1033" spans="1:13" ht="15" thickBot="1">
      <c r="A1033" s="420"/>
      <c r="B1033" s="420"/>
      <c r="C1033" s="420"/>
      <c r="D1033" s="420"/>
      <c r="E1033" s="420"/>
      <c r="F1033" s="420"/>
      <c r="G1033" s="420"/>
      <c r="H1033" s="420"/>
      <c r="I1033" s="420"/>
      <c r="J1033" s="420"/>
      <c r="K1033" s="420"/>
      <c r="L1033" s="420"/>
      <c r="M1033" s="420"/>
    </row>
    <row r="1034" spans="1:13" ht="32.4">
      <c r="A1034" s="68"/>
      <c r="B1034" s="960" t="s">
        <v>99</v>
      </c>
      <c r="C1034" s="961"/>
      <c r="D1034" s="961"/>
      <c r="E1034" s="961"/>
      <c r="F1034" s="961"/>
      <c r="G1034" s="961"/>
      <c r="H1034" s="961"/>
      <c r="I1034" s="961"/>
      <c r="J1034" s="961"/>
      <c r="K1034" s="961"/>
      <c r="L1034" s="962"/>
      <c r="M1034" s="69"/>
    </row>
    <row r="1035" spans="1:13" ht="23.4">
      <c r="A1035" s="15"/>
      <c r="B1035" s="963" t="s">
        <v>100</v>
      </c>
      <c r="C1035" s="964"/>
      <c r="D1035" s="964"/>
      <c r="E1035" s="964"/>
      <c r="F1035" s="964"/>
      <c r="G1035" s="964"/>
      <c r="H1035" s="964"/>
      <c r="I1035" s="964"/>
      <c r="J1035" s="964"/>
      <c r="K1035" s="964"/>
      <c r="L1035" s="965"/>
      <c r="M1035" s="16"/>
    </row>
    <row r="1036" spans="1:13" ht="15.6">
      <c r="A1036" s="15"/>
      <c r="B1036" s="966" t="s">
        <v>1070</v>
      </c>
      <c r="C1036" s="967"/>
      <c r="D1036" s="967"/>
      <c r="E1036" s="967"/>
      <c r="F1036" s="967"/>
      <c r="G1036" s="967"/>
      <c r="H1036" s="968"/>
      <c r="I1036" s="968"/>
      <c r="J1036" s="968"/>
      <c r="K1036" s="968"/>
      <c r="L1036" s="969"/>
      <c r="M1036" s="16"/>
    </row>
    <row r="1037" spans="1:13">
      <c r="A1037" s="15"/>
      <c r="B1037" s="970" t="s">
        <v>101</v>
      </c>
      <c r="C1037" s="971"/>
      <c r="D1037" s="971"/>
      <c r="E1037" s="971"/>
      <c r="F1037" s="971"/>
      <c r="G1037" s="391"/>
      <c r="H1037" s="974" t="s">
        <v>102</v>
      </c>
      <c r="I1037" s="975"/>
      <c r="J1037" s="975"/>
      <c r="K1037" s="975"/>
      <c r="L1037" s="976"/>
      <c r="M1037" s="16"/>
    </row>
    <row r="1038" spans="1:13">
      <c r="A1038" s="15"/>
      <c r="B1038" s="972"/>
      <c r="C1038" s="973"/>
      <c r="D1038" s="973"/>
      <c r="E1038" s="973"/>
      <c r="F1038" s="973"/>
      <c r="G1038" s="395"/>
      <c r="H1038" s="977"/>
      <c r="I1038" s="978"/>
      <c r="J1038" s="978"/>
      <c r="K1038" s="978"/>
      <c r="L1038" s="979"/>
      <c r="M1038" s="16"/>
    </row>
    <row r="1039" spans="1:13">
      <c r="A1039" s="15"/>
      <c r="B1039" s="382"/>
      <c r="C1039" s="77"/>
      <c r="D1039" s="77"/>
      <c r="E1039" s="77"/>
      <c r="F1039" s="77"/>
      <c r="G1039" s="56"/>
      <c r="H1039" s="76"/>
      <c r="I1039" s="77"/>
      <c r="J1039" s="77"/>
      <c r="K1039" s="77"/>
      <c r="L1039" s="78"/>
      <c r="M1039" s="16"/>
    </row>
    <row r="1040" spans="1:13">
      <c r="A1040" s="15"/>
      <c r="B1040" s="378" t="str">
        <f>Master!F5</f>
        <v>GROTECH LANDSCAPE DEVELOPERS PVT. LTD.</v>
      </c>
      <c r="C1040" s="114"/>
      <c r="D1040" s="114"/>
      <c r="E1040" s="114"/>
      <c r="F1040" s="114"/>
      <c r="G1040" s="379"/>
      <c r="H1040" s="381" t="str">
        <f>Master!AN5</f>
        <v>GROTECH LANDSCAPE DEVELOPERS PVT. LTD.</v>
      </c>
      <c r="I1040" s="114"/>
      <c r="J1040" s="114"/>
      <c r="K1040" s="114"/>
      <c r="L1040" s="16"/>
      <c r="M1040" s="16"/>
    </row>
    <row r="1041" spans="1:13">
      <c r="A1041" s="15"/>
      <c r="B1041" s="15"/>
      <c r="C1041" s="114"/>
      <c r="D1041" s="114"/>
      <c r="E1041" s="114"/>
      <c r="F1041" s="114"/>
      <c r="G1041" s="379"/>
      <c r="H1041" s="380"/>
      <c r="I1041" s="114"/>
      <c r="J1041" s="114"/>
      <c r="K1041" s="114"/>
      <c r="L1041" s="16"/>
      <c r="M1041" s="16"/>
    </row>
    <row r="1042" spans="1:13">
      <c r="A1042" s="15"/>
      <c r="B1042" s="538" t="str">
        <f>Master!F6</f>
        <v>290/E, Khanapur Village, Gandipet Mandal, Ranga Reddy, Hyderabad-500075 T.S.</v>
      </c>
      <c r="C1042" s="114"/>
      <c r="D1042" s="114"/>
      <c r="E1042" s="114"/>
      <c r="F1042" s="114"/>
      <c r="G1042" s="379"/>
      <c r="H1042" s="539" t="str">
        <f>Master!AN6</f>
        <v>290/E, Khanapur Village, Gandipet Mandal, Ranga Reddy, Hyderabad-500075 T.S.</v>
      </c>
      <c r="I1042" s="114"/>
      <c r="J1042" s="114"/>
      <c r="K1042" s="114"/>
      <c r="L1042" s="16"/>
      <c r="M1042" s="16"/>
    </row>
    <row r="1043" spans="1:13">
      <c r="A1043" s="15"/>
      <c r="B1043" s="383"/>
      <c r="C1043" s="19"/>
      <c r="D1043" s="19"/>
      <c r="E1043" s="19"/>
      <c r="F1043" s="19"/>
      <c r="G1043" s="61"/>
      <c r="H1043" s="60"/>
      <c r="I1043" s="19"/>
      <c r="J1043" s="19"/>
      <c r="K1043" s="19"/>
      <c r="L1043" s="81"/>
      <c r="M1043" s="16"/>
    </row>
    <row r="1044" spans="1:13">
      <c r="A1044" s="15"/>
      <c r="B1044" s="389"/>
      <c r="C1044" s="390"/>
      <c r="D1044" s="390"/>
      <c r="E1044" s="390"/>
      <c r="F1044" s="390"/>
      <c r="G1044" s="391"/>
      <c r="H1044" s="396"/>
      <c r="I1044" s="390"/>
      <c r="J1044" s="390" t="s">
        <v>103</v>
      </c>
      <c r="K1044" s="390"/>
      <c r="L1044" s="397"/>
      <c r="M1044" s="16"/>
    </row>
    <row r="1045" spans="1:13">
      <c r="A1045" s="15"/>
      <c r="B1045" s="980" t="s">
        <v>104</v>
      </c>
      <c r="C1045" s="981"/>
      <c r="D1045" s="981"/>
      <c r="E1045" s="981"/>
      <c r="F1045" s="981"/>
      <c r="G1045" s="392"/>
      <c r="H1045" s="982" t="s">
        <v>4</v>
      </c>
      <c r="I1045" s="981"/>
      <c r="J1045" s="981"/>
      <c r="K1045" s="981"/>
      <c r="L1045" s="983"/>
      <c r="M1045" s="16"/>
    </row>
    <row r="1046" spans="1:13">
      <c r="A1046" s="15"/>
      <c r="B1046" s="393"/>
      <c r="C1046" s="394"/>
      <c r="D1046" s="394"/>
      <c r="E1046" s="394"/>
      <c r="F1046" s="394"/>
      <c r="G1046" s="395"/>
      <c r="H1046" s="398"/>
      <c r="I1046" s="394"/>
      <c r="J1046" s="394"/>
      <c r="K1046" s="394"/>
      <c r="L1046" s="399"/>
      <c r="M1046" s="16"/>
    </row>
    <row r="1047" spans="1:13">
      <c r="A1047" s="15"/>
      <c r="B1047" s="382"/>
      <c r="C1047" s="77"/>
      <c r="D1047" s="77"/>
      <c r="E1047" s="77"/>
      <c r="F1047" s="77"/>
      <c r="G1047" s="56"/>
      <c r="H1047" s="74"/>
      <c r="I1047" s="74"/>
      <c r="J1047" s="74"/>
      <c r="K1047" s="74"/>
      <c r="L1047" s="384"/>
      <c r="M1047" s="16"/>
    </row>
    <row r="1048" spans="1:13">
      <c r="A1048" s="15"/>
      <c r="B1048" s="15"/>
      <c r="C1048" s="114"/>
      <c r="D1048" s="114"/>
      <c r="E1048" s="114"/>
      <c r="F1048" s="114"/>
      <c r="G1048" s="379"/>
      <c r="H1048" s="115" t="str">
        <f>Master!AN10</f>
        <v>INDIAN SCHOOL OF BUSINESS</v>
      </c>
      <c r="I1048" s="115"/>
      <c r="J1048" s="115"/>
      <c r="K1048" s="115"/>
      <c r="L1048" s="71"/>
      <c r="M1048" s="16"/>
    </row>
    <row r="1049" spans="1:13">
      <c r="A1049" s="15"/>
      <c r="B1049" s="70" t="str">
        <f>Master!F8</f>
        <v>GARDENING SERVICES&amp;ISB HYDERABAD</v>
      </c>
      <c r="C1049" s="114"/>
      <c r="D1049" s="114"/>
      <c r="E1049" s="114"/>
      <c r="F1049" s="114"/>
      <c r="G1049" s="379"/>
      <c r="H1049" s="115"/>
      <c r="I1049" s="115"/>
      <c r="J1049" s="115"/>
      <c r="K1049" s="115"/>
      <c r="L1049" s="71"/>
      <c r="M1049" s="16"/>
    </row>
    <row r="1050" spans="1:13">
      <c r="A1050" s="15"/>
      <c r="B1050" s="15"/>
      <c r="C1050" s="114"/>
      <c r="D1050" s="114"/>
      <c r="E1050" s="114"/>
      <c r="F1050" s="114"/>
      <c r="G1050" s="379"/>
      <c r="H1050" s="115" t="str">
        <f>Master!AN11</f>
        <v>Opp.Infosys Limited,Gachibowli,Hyderabad</v>
      </c>
      <c r="I1050" s="115"/>
      <c r="J1050" s="115"/>
      <c r="K1050" s="115"/>
      <c r="L1050" s="71"/>
      <c r="M1050" s="16"/>
    </row>
    <row r="1051" spans="1:13">
      <c r="A1051" s="15"/>
      <c r="B1051" s="383"/>
      <c r="C1051" s="19"/>
      <c r="D1051" s="19"/>
      <c r="E1051" s="19"/>
      <c r="F1051" s="19"/>
      <c r="G1051" s="61"/>
      <c r="H1051" s="79"/>
      <c r="I1051" s="79"/>
      <c r="J1051" s="79"/>
      <c r="K1051" s="79"/>
      <c r="L1051" s="385"/>
      <c r="M1051" s="16"/>
    </row>
    <row r="1052" spans="1:13" ht="30" customHeight="1">
      <c r="A1052" s="15"/>
      <c r="B1052" s="948" t="s">
        <v>105</v>
      </c>
      <c r="C1052" s="949"/>
      <c r="D1052" s="949"/>
      <c r="E1052" s="949"/>
      <c r="F1052" s="949"/>
      <c r="G1052" s="949"/>
      <c r="H1052" s="950" t="str">
        <f>Master!D37</f>
        <v>KODICHERLA INDIRAMMA</v>
      </c>
      <c r="I1052" s="951"/>
      <c r="J1052" s="951"/>
      <c r="K1052" s="951"/>
      <c r="L1052" s="952"/>
      <c r="M1052" s="16"/>
    </row>
    <row r="1053" spans="1:13" ht="30" customHeight="1">
      <c r="A1053" s="15"/>
      <c r="B1053" s="948"/>
      <c r="C1053" s="949"/>
      <c r="D1053" s="949"/>
      <c r="E1053" s="949"/>
      <c r="F1053" s="949"/>
      <c r="G1053" s="949"/>
      <c r="H1053" s="950" t="str">
        <f>Master!K37</f>
        <v>1-92,maseed banda-Vill</v>
      </c>
      <c r="I1053" s="951"/>
      <c r="J1053" s="951"/>
      <c r="K1053" s="951"/>
      <c r="L1053" s="952"/>
      <c r="M1053" s="16"/>
    </row>
    <row r="1054" spans="1:13" ht="30" customHeight="1">
      <c r="A1054" s="15"/>
      <c r="B1054" s="948"/>
      <c r="C1054" s="949"/>
      <c r="D1054" s="949"/>
      <c r="E1054" s="949"/>
      <c r="F1054" s="949"/>
      <c r="G1054" s="949"/>
      <c r="H1054" s="950" t="str">
        <f>Master!L37</f>
        <v>Kondapoor,Serilinampally</v>
      </c>
      <c r="I1054" s="951"/>
      <c r="J1054" s="951"/>
      <c r="K1054" s="951"/>
      <c r="L1054" s="952"/>
      <c r="M1054" s="16"/>
    </row>
    <row r="1055" spans="1:13" ht="30" customHeight="1">
      <c r="A1055" s="15"/>
      <c r="B1055" s="948"/>
      <c r="C1055" s="949"/>
      <c r="D1055" s="949"/>
      <c r="E1055" s="949"/>
      <c r="F1055" s="949"/>
      <c r="G1055" s="949"/>
      <c r="H1055" s="950" t="str">
        <f>Master!M37</f>
        <v>R.R-TS,500032</v>
      </c>
      <c r="I1055" s="951"/>
      <c r="J1055" s="951"/>
      <c r="K1055" s="951"/>
      <c r="L1055" s="952"/>
      <c r="M1055" s="16"/>
    </row>
    <row r="1056" spans="1:13" ht="30" customHeight="1">
      <c r="A1056" s="73"/>
      <c r="B1056" s="948"/>
      <c r="C1056" s="949"/>
      <c r="D1056" s="949"/>
      <c r="E1056" s="949"/>
      <c r="F1056" s="949"/>
      <c r="G1056" s="949"/>
      <c r="H1056" s="989">
        <f>Master!N1444</f>
        <v>0</v>
      </c>
      <c r="I1056" s="990"/>
      <c r="J1056" s="990"/>
      <c r="K1056" s="990"/>
      <c r="L1056" s="991"/>
      <c r="M1056" s="16"/>
    </row>
    <row r="1057" spans="1:13" ht="30" customHeight="1">
      <c r="A1057" s="73"/>
      <c r="B1057" s="984" t="s">
        <v>106</v>
      </c>
      <c r="C1057" s="985"/>
      <c r="D1057" s="985"/>
      <c r="E1057" s="985"/>
      <c r="F1057" s="985"/>
      <c r="G1057" s="985"/>
      <c r="H1057" s="947">
        <f>Master!C37</f>
        <v>27</v>
      </c>
      <c r="I1057" s="945"/>
      <c r="J1057" s="945"/>
      <c r="K1057" s="945"/>
      <c r="L1057" s="946"/>
      <c r="M1057" s="16"/>
    </row>
    <row r="1058" spans="1:13" ht="30" customHeight="1">
      <c r="A1058" s="73"/>
      <c r="B1058" s="943" t="s">
        <v>107</v>
      </c>
      <c r="C1058" s="944"/>
      <c r="D1058" s="944"/>
      <c r="E1058" s="944"/>
      <c r="F1058" s="944"/>
      <c r="G1058" s="944"/>
      <c r="H1058" s="947" t="str">
        <f>Master!J37</f>
        <v>Unskilled Gardner</v>
      </c>
      <c r="I1058" s="945"/>
      <c r="J1058" s="945"/>
      <c r="K1058" s="945"/>
      <c r="L1058" s="946"/>
      <c r="M1058" s="16"/>
    </row>
    <row r="1059" spans="1:13" ht="30" customHeight="1">
      <c r="A1059" s="73"/>
      <c r="B1059" s="943" t="s">
        <v>108</v>
      </c>
      <c r="C1059" s="944"/>
      <c r="D1059" s="944"/>
      <c r="E1059" s="944"/>
      <c r="F1059" s="944"/>
      <c r="G1059" s="944"/>
      <c r="H1059" s="957">
        <f>Master!S37</f>
        <v>43850</v>
      </c>
      <c r="I1059" s="958"/>
      <c r="J1059" s="958"/>
      <c r="K1059" s="958"/>
      <c r="L1059" s="959"/>
      <c r="M1059" s="16"/>
    </row>
    <row r="1060" spans="1:13" ht="30" customHeight="1">
      <c r="A1060" s="73"/>
      <c r="B1060" s="386" t="s">
        <v>109</v>
      </c>
      <c r="C1060" s="116"/>
      <c r="D1060" s="116"/>
      <c r="E1060" s="116"/>
      <c r="F1060" s="116"/>
      <c r="G1060" s="116"/>
      <c r="H1060" s="947">
        <f>Master!Y37</f>
        <v>5209811859</v>
      </c>
      <c r="I1060" s="947"/>
      <c r="J1060" s="947"/>
      <c r="K1060" s="947"/>
      <c r="L1060" s="953"/>
      <c r="M1060" s="16"/>
    </row>
    <row r="1061" spans="1:13" ht="30" customHeight="1">
      <c r="A1061" s="73"/>
      <c r="B1061" s="386" t="s">
        <v>110</v>
      </c>
      <c r="C1061" s="116"/>
      <c r="D1061" s="116"/>
      <c r="E1061" s="116"/>
      <c r="F1061" s="116"/>
      <c r="G1061" s="119"/>
      <c r="H1061" s="947" t="str">
        <f>Master!X37</f>
        <v>100181240855</v>
      </c>
      <c r="I1061" s="947"/>
      <c r="J1061" s="947"/>
      <c r="K1061" s="947"/>
      <c r="L1061" s="953"/>
      <c r="M1061" s="16"/>
    </row>
    <row r="1062" spans="1:13" ht="30" customHeight="1">
      <c r="A1062" s="73"/>
      <c r="B1062" s="954" t="s">
        <v>111</v>
      </c>
      <c r="C1062" s="955"/>
      <c r="D1062" s="955"/>
      <c r="E1062" s="955"/>
      <c r="F1062" s="955"/>
      <c r="G1062" s="955"/>
      <c r="H1062" s="950">
        <f>Master!AC37</f>
        <v>10627</v>
      </c>
      <c r="I1062" s="951"/>
      <c r="J1062" s="951"/>
      <c r="K1062" s="951"/>
      <c r="L1062" s="952"/>
      <c r="M1062" s="16"/>
    </row>
    <row r="1063" spans="1:13" ht="30" customHeight="1">
      <c r="A1063" s="73"/>
      <c r="B1063" s="943" t="s">
        <v>112</v>
      </c>
      <c r="C1063" s="944"/>
      <c r="D1063" s="944"/>
      <c r="E1063" s="944"/>
      <c r="F1063" s="944"/>
      <c r="G1063" s="944"/>
      <c r="H1063" s="956">
        <f>Master!F10</f>
        <v>44652</v>
      </c>
      <c r="I1063" s="945"/>
      <c r="J1063" s="945"/>
      <c r="K1063" s="945"/>
      <c r="L1063" s="946"/>
      <c r="M1063" s="16"/>
    </row>
    <row r="1064" spans="1:13" ht="30" customHeight="1">
      <c r="A1064" s="15"/>
      <c r="B1064" s="943" t="s">
        <v>113</v>
      </c>
      <c r="C1064" s="944"/>
      <c r="D1064" s="944"/>
      <c r="E1064" s="944"/>
      <c r="F1064" s="944"/>
      <c r="G1064" s="944"/>
      <c r="H1064" s="945" t="s">
        <v>114</v>
      </c>
      <c r="I1064" s="945"/>
      <c r="J1064" s="945"/>
      <c r="K1064" s="945"/>
      <c r="L1064" s="946"/>
      <c r="M1064" s="16"/>
    </row>
    <row r="1065" spans="1:13" ht="30" customHeight="1">
      <c r="A1065" s="15"/>
      <c r="B1065" s="386" t="s">
        <v>115</v>
      </c>
      <c r="C1065" s="116"/>
      <c r="D1065" s="116"/>
      <c r="E1065" s="116"/>
      <c r="F1065" s="116"/>
      <c r="G1065" s="119"/>
      <c r="H1065" s="947">
        <f>Master!AA37</f>
        <v>26</v>
      </c>
      <c r="I1065" s="945"/>
      <c r="J1065" s="945"/>
      <c r="K1065" s="945"/>
      <c r="L1065" s="946"/>
      <c r="M1065" s="16"/>
    </row>
    <row r="1066" spans="1:13" ht="30" customHeight="1">
      <c r="A1066" s="15"/>
      <c r="B1066" s="386" t="s">
        <v>116</v>
      </c>
      <c r="C1066" s="116"/>
      <c r="D1066" s="116"/>
      <c r="E1066" s="116"/>
      <c r="F1066" s="116"/>
      <c r="G1066" s="119"/>
      <c r="H1066" s="986" t="s">
        <v>28</v>
      </c>
      <c r="I1066" s="987"/>
      <c r="J1066" s="987"/>
      <c r="K1066" s="987"/>
      <c r="L1066" s="988"/>
      <c r="M1066" s="16"/>
    </row>
    <row r="1067" spans="1:13" ht="30" customHeight="1">
      <c r="A1067" s="15"/>
      <c r="B1067" s="386" t="s">
        <v>117</v>
      </c>
      <c r="C1067" s="116"/>
      <c r="D1067" s="116"/>
      <c r="E1067" s="116"/>
      <c r="F1067" s="116"/>
      <c r="G1067" s="119"/>
      <c r="H1067" s="989">
        <v>0</v>
      </c>
      <c r="I1067" s="990"/>
      <c r="J1067" s="990"/>
      <c r="K1067" s="990"/>
      <c r="L1067" s="991"/>
      <c r="M1067" s="16"/>
    </row>
    <row r="1068" spans="1:13" ht="30" customHeight="1">
      <c r="A1068" s="15"/>
      <c r="B1068" s="386" t="s">
        <v>118</v>
      </c>
      <c r="C1068" s="116"/>
      <c r="D1068" s="116"/>
      <c r="E1068" s="116"/>
      <c r="F1068" s="116"/>
      <c r="G1068" s="119"/>
      <c r="H1068" s="986">
        <v>0</v>
      </c>
      <c r="I1068" s="987"/>
      <c r="J1068" s="987"/>
      <c r="K1068" s="987"/>
      <c r="L1068" s="988"/>
      <c r="M1068" s="16"/>
    </row>
    <row r="1069" spans="1:13" ht="30" customHeight="1">
      <c r="A1069" s="15"/>
      <c r="B1069" s="386" t="s">
        <v>119</v>
      </c>
      <c r="C1069" s="116"/>
      <c r="D1069" s="116"/>
      <c r="E1069" s="116"/>
      <c r="F1069" s="116"/>
      <c r="G1069" s="119"/>
      <c r="H1069" s="117"/>
      <c r="I1069" s="118"/>
      <c r="J1069" s="990">
        <f>Master!AK37</f>
        <v>9210.4</v>
      </c>
      <c r="K1069" s="992"/>
      <c r="L1069" s="581" t="s">
        <v>737</v>
      </c>
      <c r="M1069" s="16"/>
    </row>
    <row r="1070" spans="1:13" ht="30" customHeight="1">
      <c r="A1070" s="15"/>
      <c r="B1070" s="386" t="s">
        <v>120</v>
      </c>
      <c r="C1070" s="116"/>
      <c r="D1070" s="465" t="s">
        <v>24</v>
      </c>
      <c r="E1070" s="466">
        <f>Master!AM37</f>
        <v>1105</v>
      </c>
      <c r="F1070" s="465" t="s">
        <v>23</v>
      </c>
      <c r="G1070" s="466">
        <f>Master!AL37</f>
        <v>70</v>
      </c>
      <c r="H1070" s="465" t="s">
        <v>25</v>
      </c>
      <c r="I1070" s="466">
        <f>Master!AN37</f>
        <v>0</v>
      </c>
      <c r="J1070" s="465" t="s">
        <v>26</v>
      </c>
      <c r="K1070" s="466">
        <f>Master!AO37</f>
        <v>0</v>
      </c>
      <c r="L1070" s="400">
        <f>Master!AP37</f>
        <v>0</v>
      </c>
      <c r="M1070" s="16"/>
    </row>
    <row r="1071" spans="1:13" ht="30" customHeight="1">
      <c r="A1071" s="15"/>
      <c r="B1071" s="386" t="s">
        <v>121</v>
      </c>
      <c r="C1071" s="116"/>
      <c r="D1071" s="116"/>
      <c r="E1071" s="116"/>
      <c r="F1071" s="116"/>
      <c r="G1071" s="119"/>
      <c r="H1071" s="117"/>
      <c r="I1071" s="118"/>
      <c r="J1071" s="541">
        <f>Master!AR37</f>
        <v>8035.4</v>
      </c>
      <c r="K1071" s="118"/>
      <c r="L1071" s="125"/>
      <c r="M1071" s="16"/>
    </row>
    <row r="1072" spans="1:13">
      <c r="A1072" s="15"/>
      <c r="B1072" s="387" t="s">
        <v>122</v>
      </c>
      <c r="C1072" s="74"/>
      <c r="D1072" s="74"/>
      <c r="E1072" s="74"/>
      <c r="F1072" s="74"/>
      <c r="G1072" s="75"/>
      <c r="H1072" s="76"/>
      <c r="I1072" s="77"/>
      <c r="J1072" s="77"/>
      <c r="K1072" s="77"/>
      <c r="L1072" s="78"/>
      <c r="M1072" s="16"/>
    </row>
    <row r="1073" spans="1:13">
      <c r="A1073" s="15"/>
      <c r="B1073" s="388" t="s">
        <v>123</v>
      </c>
      <c r="C1073" s="79"/>
      <c r="D1073" s="79"/>
      <c r="E1073" s="79"/>
      <c r="F1073" s="79"/>
      <c r="G1073" s="80"/>
      <c r="H1073" s="60"/>
      <c r="I1073" s="19"/>
      <c r="J1073" s="19"/>
      <c r="K1073" s="19"/>
      <c r="L1073" s="81"/>
      <c r="M1073" s="16"/>
    </row>
    <row r="1074" spans="1:13">
      <c r="A1074" s="15"/>
      <c r="B1074" s="15"/>
      <c r="C1074" s="114"/>
      <c r="D1074" s="114"/>
      <c r="E1074" s="114"/>
      <c r="F1074" s="114"/>
      <c r="G1074" s="114"/>
      <c r="H1074" s="114"/>
      <c r="I1074" s="114"/>
      <c r="J1074" s="114"/>
      <c r="K1074" s="114"/>
      <c r="L1074" s="16"/>
      <c r="M1074" s="16"/>
    </row>
    <row r="1075" spans="1:13" ht="15" thickBot="1">
      <c r="A1075" s="27"/>
      <c r="B1075" s="27"/>
      <c r="C1075" s="25"/>
      <c r="D1075" s="25"/>
      <c r="E1075" s="25"/>
      <c r="F1075" s="25"/>
      <c r="G1075" s="25"/>
      <c r="H1075" s="25"/>
      <c r="I1075" s="25"/>
      <c r="J1075" s="25"/>
      <c r="K1075" s="25"/>
      <c r="L1075" s="26"/>
      <c r="M1075" s="26"/>
    </row>
    <row r="1076" spans="1:13">
      <c r="A1076" s="420"/>
      <c r="B1076" s="420"/>
      <c r="C1076" s="420"/>
      <c r="D1076" s="420"/>
      <c r="E1076" s="420"/>
      <c r="F1076" s="420"/>
      <c r="G1076" s="420"/>
      <c r="H1076" s="420"/>
      <c r="I1076" s="420"/>
      <c r="J1076" s="420"/>
      <c r="K1076" s="420"/>
      <c r="L1076" s="420"/>
      <c r="M1076" s="420"/>
    </row>
    <row r="1077" spans="1:13">
      <c r="A1077" s="420"/>
      <c r="B1077" s="420"/>
      <c r="C1077" s="420"/>
      <c r="D1077" s="420"/>
      <c r="E1077" s="420"/>
      <c r="F1077" s="420"/>
      <c r="G1077" s="420"/>
      <c r="H1077" s="420"/>
      <c r="I1077" s="420"/>
      <c r="J1077" s="420"/>
      <c r="K1077" s="420"/>
      <c r="L1077" s="420"/>
      <c r="M1077" s="420"/>
    </row>
    <row r="1078" spans="1:13">
      <c r="A1078" s="420"/>
      <c r="B1078" s="420"/>
      <c r="C1078" s="420"/>
      <c r="D1078" s="420"/>
      <c r="E1078" s="420"/>
      <c r="F1078" s="420"/>
      <c r="G1078" s="420"/>
      <c r="H1078" s="420"/>
      <c r="I1078" s="420"/>
      <c r="J1078" s="420"/>
      <c r="K1078" s="420"/>
      <c r="L1078" s="420"/>
      <c r="M1078" s="420"/>
    </row>
    <row r="1079" spans="1:13">
      <c r="A1079" s="420"/>
      <c r="B1079" s="420"/>
      <c r="C1079" s="420"/>
      <c r="D1079" s="420"/>
      <c r="E1079" s="420"/>
      <c r="F1079" s="420"/>
      <c r="G1079" s="420"/>
      <c r="H1079" s="420"/>
      <c r="I1079" s="420"/>
      <c r="J1079" s="420"/>
      <c r="K1079" s="420"/>
      <c r="L1079" s="420"/>
      <c r="M1079" s="420"/>
    </row>
    <row r="1080" spans="1:13" ht="15" thickBot="1">
      <c r="A1080" s="420"/>
      <c r="B1080" s="420"/>
      <c r="C1080" s="420"/>
      <c r="D1080" s="420"/>
      <c r="E1080" s="420"/>
      <c r="F1080" s="420"/>
      <c r="G1080" s="420"/>
      <c r="H1080" s="420"/>
      <c r="I1080" s="420"/>
      <c r="J1080" s="420"/>
      <c r="K1080" s="420"/>
      <c r="L1080" s="420"/>
      <c r="M1080" s="420"/>
    </row>
    <row r="1081" spans="1:13" ht="32.4">
      <c r="A1081" s="68"/>
      <c r="B1081" s="960" t="s">
        <v>99</v>
      </c>
      <c r="C1081" s="961"/>
      <c r="D1081" s="961"/>
      <c r="E1081" s="961"/>
      <c r="F1081" s="961"/>
      <c r="G1081" s="961"/>
      <c r="H1081" s="961"/>
      <c r="I1081" s="961"/>
      <c r="J1081" s="961"/>
      <c r="K1081" s="961"/>
      <c r="L1081" s="962"/>
      <c r="M1081" s="69"/>
    </row>
    <row r="1082" spans="1:13" ht="23.4">
      <c r="A1082" s="15"/>
      <c r="B1082" s="963" t="s">
        <v>100</v>
      </c>
      <c r="C1082" s="964"/>
      <c r="D1082" s="964"/>
      <c r="E1082" s="964"/>
      <c r="F1082" s="964"/>
      <c r="G1082" s="964"/>
      <c r="H1082" s="964"/>
      <c r="I1082" s="964"/>
      <c r="J1082" s="964"/>
      <c r="K1082" s="964"/>
      <c r="L1082" s="965"/>
      <c r="M1082" s="16"/>
    </row>
    <row r="1083" spans="1:13" ht="15.6">
      <c r="A1083" s="15"/>
      <c r="B1083" s="966" t="s">
        <v>1070</v>
      </c>
      <c r="C1083" s="967"/>
      <c r="D1083" s="967"/>
      <c r="E1083" s="967"/>
      <c r="F1083" s="967"/>
      <c r="G1083" s="967"/>
      <c r="H1083" s="968"/>
      <c r="I1083" s="968"/>
      <c r="J1083" s="968"/>
      <c r="K1083" s="968"/>
      <c r="L1083" s="969"/>
      <c r="M1083" s="16"/>
    </row>
    <row r="1084" spans="1:13">
      <c r="A1084" s="15"/>
      <c r="B1084" s="970" t="s">
        <v>101</v>
      </c>
      <c r="C1084" s="971"/>
      <c r="D1084" s="971"/>
      <c r="E1084" s="971"/>
      <c r="F1084" s="971"/>
      <c r="G1084" s="391"/>
      <c r="H1084" s="974" t="s">
        <v>102</v>
      </c>
      <c r="I1084" s="975"/>
      <c r="J1084" s="975"/>
      <c r="K1084" s="975"/>
      <c r="L1084" s="976"/>
      <c r="M1084" s="16"/>
    </row>
    <row r="1085" spans="1:13">
      <c r="A1085" s="15"/>
      <c r="B1085" s="972"/>
      <c r="C1085" s="973"/>
      <c r="D1085" s="973"/>
      <c r="E1085" s="973"/>
      <c r="F1085" s="973"/>
      <c r="G1085" s="395"/>
      <c r="H1085" s="977"/>
      <c r="I1085" s="978"/>
      <c r="J1085" s="978"/>
      <c r="K1085" s="978"/>
      <c r="L1085" s="979"/>
      <c r="M1085" s="16"/>
    </row>
    <row r="1086" spans="1:13">
      <c r="A1086" s="15"/>
      <c r="B1086" s="382"/>
      <c r="C1086" s="77"/>
      <c r="D1086" s="77"/>
      <c r="E1086" s="77"/>
      <c r="F1086" s="77"/>
      <c r="G1086" s="56"/>
      <c r="H1086" s="76"/>
      <c r="I1086" s="77"/>
      <c r="J1086" s="77"/>
      <c r="K1086" s="77"/>
      <c r="L1086" s="78"/>
      <c r="M1086" s="16"/>
    </row>
    <row r="1087" spans="1:13">
      <c r="A1087" s="15"/>
      <c r="B1087" s="378" t="str">
        <f>Master!F5</f>
        <v>GROTECH LANDSCAPE DEVELOPERS PVT. LTD.</v>
      </c>
      <c r="C1087" s="114"/>
      <c r="D1087" s="114"/>
      <c r="E1087" s="114"/>
      <c r="F1087" s="114"/>
      <c r="G1087" s="379"/>
      <c r="H1087" s="381" t="str">
        <f>Master!AN5</f>
        <v>GROTECH LANDSCAPE DEVELOPERS PVT. LTD.</v>
      </c>
      <c r="I1087" s="114"/>
      <c r="J1087" s="114"/>
      <c r="K1087" s="114"/>
      <c r="L1087" s="16"/>
      <c r="M1087" s="16"/>
    </row>
    <row r="1088" spans="1:13">
      <c r="A1088" s="15"/>
      <c r="B1088" s="15"/>
      <c r="C1088" s="114"/>
      <c r="D1088" s="114"/>
      <c r="E1088" s="114"/>
      <c r="F1088" s="114"/>
      <c r="G1088" s="379"/>
      <c r="H1088" s="380"/>
      <c r="I1088" s="114"/>
      <c r="J1088" s="114"/>
      <c r="K1088" s="114"/>
      <c r="L1088" s="16"/>
      <c r="M1088" s="16"/>
    </row>
    <row r="1089" spans="1:13">
      <c r="A1089" s="15"/>
      <c r="B1089" s="538" t="str">
        <f>Master!F6</f>
        <v>290/E, Khanapur Village, Gandipet Mandal, Ranga Reddy, Hyderabad-500075 T.S.</v>
      </c>
      <c r="C1089" s="114"/>
      <c r="D1089" s="114"/>
      <c r="E1089" s="114"/>
      <c r="F1089" s="114"/>
      <c r="G1089" s="379"/>
      <c r="H1089" s="539" t="str">
        <f>Master!AN6</f>
        <v>290/E, Khanapur Village, Gandipet Mandal, Ranga Reddy, Hyderabad-500075 T.S.</v>
      </c>
      <c r="I1089" s="114"/>
      <c r="J1089" s="114"/>
      <c r="K1089" s="114"/>
      <c r="L1089" s="16"/>
      <c r="M1089" s="16"/>
    </row>
    <row r="1090" spans="1:13">
      <c r="A1090" s="15"/>
      <c r="B1090" s="383"/>
      <c r="C1090" s="19"/>
      <c r="D1090" s="19"/>
      <c r="E1090" s="19"/>
      <c r="F1090" s="19"/>
      <c r="G1090" s="61"/>
      <c r="H1090" s="60"/>
      <c r="I1090" s="19"/>
      <c r="J1090" s="19"/>
      <c r="K1090" s="19"/>
      <c r="L1090" s="81"/>
      <c r="M1090" s="16"/>
    </row>
    <row r="1091" spans="1:13">
      <c r="A1091" s="15"/>
      <c r="B1091" s="389"/>
      <c r="C1091" s="390"/>
      <c r="D1091" s="390"/>
      <c r="E1091" s="390"/>
      <c r="F1091" s="390"/>
      <c r="G1091" s="391"/>
      <c r="H1091" s="396"/>
      <c r="I1091" s="390"/>
      <c r="J1091" s="390" t="s">
        <v>103</v>
      </c>
      <c r="K1091" s="390"/>
      <c r="L1091" s="397"/>
      <c r="M1091" s="16"/>
    </row>
    <row r="1092" spans="1:13">
      <c r="A1092" s="15"/>
      <c r="B1092" s="980" t="s">
        <v>104</v>
      </c>
      <c r="C1092" s="981"/>
      <c r="D1092" s="981"/>
      <c r="E1092" s="981"/>
      <c r="F1092" s="981"/>
      <c r="G1092" s="392"/>
      <c r="H1092" s="982" t="s">
        <v>4</v>
      </c>
      <c r="I1092" s="981"/>
      <c r="J1092" s="981"/>
      <c r="K1092" s="981"/>
      <c r="L1092" s="983"/>
      <c r="M1092" s="16"/>
    </row>
    <row r="1093" spans="1:13">
      <c r="A1093" s="15"/>
      <c r="B1093" s="393"/>
      <c r="C1093" s="394"/>
      <c r="D1093" s="394"/>
      <c r="E1093" s="394"/>
      <c r="F1093" s="394"/>
      <c r="G1093" s="395"/>
      <c r="H1093" s="398"/>
      <c r="I1093" s="394"/>
      <c r="J1093" s="394"/>
      <c r="K1093" s="394"/>
      <c r="L1093" s="399"/>
      <c r="M1093" s="16"/>
    </row>
    <row r="1094" spans="1:13">
      <c r="A1094" s="15"/>
      <c r="B1094" s="382"/>
      <c r="C1094" s="77"/>
      <c r="D1094" s="77"/>
      <c r="E1094" s="77"/>
      <c r="F1094" s="77"/>
      <c r="G1094" s="56"/>
      <c r="H1094" s="74"/>
      <c r="I1094" s="74"/>
      <c r="J1094" s="74"/>
      <c r="K1094" s="74"/>
      <c r="L1094" s="384"/>
      <c r="M1094" s="16"/>
    </row>
    <row r="1095" spans="1:13">
      <c r="A1095" s="15"/>
      <c r="B1095" s="15"/>
      <c r="C1095" s="114"/>
      <c r="D1095" s="114"/>
      <c r="E1095" s="114"/>
      <c r="F1095" s="114"/>
      <c r="G1095" s="379"/>
      <c r="H1095" s="115" t="str">
        <f>Master!AN10</f>
        <v>INDIAN SCHOOL OF BUSINESS</v>
      </c>
      <c r="I1095" s="115"/>
      <c r="J1095" s="115"/>
      <c r="K1095" s="115"/>
      <c r="L1095" s="71"/>
      <c r="M1095" s="16"/>
    </row>
    <row r="1096" spans="1:13">
      <c r="A1096" s="15"/>
      <c r="B1096" s="70" t="str">
        <f>Master!F8</f>
        <v>GARDENING SERVICES&amp;ISB HYDERABAD</v>
      </c>
      <c r="C1096" s="114"/>
      <c r="D1096" s="114"/>
      <c r="E1096" s="114"/>
      <c r="F1096" s="114"/>
      <c r="G1096" s="379"/>
      <c r="H1096" s="115"/>
      <c r="I1096" s="115"/>
      <c r="J1096" s="115"/>
      <c r="K1096" s="115"/>
      <c r="L1096" s="71"/>
      <c r="M1096" s="16"/>
    </row>
    <row r="1097" spans="1:13">
      <c r="A1097" s="15"/>
      <c r="B1097" s="15"/>
      <c r="C1097" s="114"/>
      <c r="D1097" s="114"/>
      <c r="E1097" s="114"/>
      <c r="F1097" s="114"/>
      <c r="G1097" s="379"/>
      <c r="H1097" s="115" t="str">
        <f>Master!AN11</f>
        <v>Opp.Infosys Limited,Gachibowli,Hyderabad</v>
      </c>
      <c r="I1097" s="115"/>
      <c r="J1097" s="115"/>
      <c r="K1097" s="115"/>
      <c r="L1097" s="71"/>
      <c r="M1097" s="16"/>
    </row>
    <row r="1098" spans="1:13">
      <c r="A1098" s="15"/>
      <c r="B1098" s="383"/>
      <c r="C1098" s="19"/>
      <c r="D1098" s="19"/>
      <c r="E1098" s="19"/>
      <c r="F1098" s="19"/>
      <c r="G1098" s="61"/>
      <c r="H1098" s="79"/>
      <c r="I1098" s="79"/>
      <c r="J1098" s="79"/>
      <c r="K1098" s="79"/>
      <c r="L1098" s="385"/>
      <c r="M1098" s="16"/>
    </row>
    <row r="1099" spans="1:13" ht="30" customHeight="1">
      <c r="A1099" s="15"/>
      <c r="B1099" s="948" t="s">
        <v>105</v>
      </c>
      <c r="C1099" s="949"/>
      <c r="D1099" s="949"/>
      <c r="E1099" s="949"/>
      <c r="F1099" s="949"/>
      <c r="G1099" s="949"/>
      <c r="H1099" s="950" t="str">
        <f>Master!D38</f>
        <v>SANGOLLA LAVANYA</v>
      </c>
      <c r="I1099" s="951"/>
      <c r="J1099" s="951"/>
      <c r="K1099" s="951"/>
      <c r="L1099" s="952"/>
      <c r="M1099" s="16"/>
    </row>
    <row r="1100" spans="1:13" ht="30" customHeight="1">
      <c r="A1100" s="15"/>
      <c r="B1100" s="948"/>
      <c r="C1100" s="949"/>
      <c r="D1100" s="949"/>
      <c r="E1100" s="949"/>
      <c r="F1100" s="949"/>
      <c r="G1100" s="949"/>
      <c r="H1100" s="950" t="str">
        <f>Master!K38</f>
        <v>3-35,janakapet,</v>
      </c>
      <c r="I1100" s="951"/>
      <c r="J1100" s="951"/>
      <c r="K1100" s="951"/>
      <c r="L1100" s="952"/>
      <c r="M1100" s="16"/>
    </row>
    <row r="1101" spans="1:13" ht="30" customHeight="1">
      <c r="A1101" s="15"/>
      <c r="B1101" s="948"/>
      <c r="C1101" s="949"/>
      <c r="D1101" s="949"/>
      <c r="E1101" s="949"/>
      <c r="F1101" s="949"/>
      <c r="G1101" s="949"/>
      <c r="H1101" s="950" t="str">
        <f>Master!L38</f>
        <v>Patancheru,Medak</v>
      </c>
      <c r="I1101" s="951"/>
      <c r="J1101" s="951"/>
      <c r="K1101" s="951"/>
      <c r="L1101" s="952"/>
      <c r="M1101" s="16"/>
    </row>
    <row r="1102" spans="1:13" ht="30" customHeight="1">
      <c r="A1102" s="15"/>
      <c r="B1102" s="948"/>
      <c r="C1102" s="949"/>
      <c r="D1102" s="949"/>
      <c r="E1102" s="949"/>
      <c r="F1102" s="949"/>
      <c r="G1102" s="949"/>
      <c r="H1102" s="950" t="str">
        <f>Master!M38</f>
        <v>TS-502319</v>
      </c>
      <c r="I1102" s="951"/>
      <c r="J1102" s="951"/>
      <c r="K1102" s="951"/>
      <c r="L1102" s="952"/>
      <c r="M1102" s="16"/>
    </row>
    <row r="1103" spans="1:13" ht="30" customHeight="1">
      <c r="A1103" s="73"/>
      <c r="B1103" s="948"/>
      <c r="C1103" s="949"/>
      <c r="D1103" s="949"/>
      <c r="E1103" s="949"/>
      <c r="F1103" s="949"/>
      <c r="G1103" s="949"/>
      <c r="H1103" s="989">
        <f>Master!N1512</f>
        <v>0</v>
      </c>
      <c r="I1103" s="990"/>
      <c r="J1103" s="990"/>
      <c r="K1103" s="990"/>
      <c r="L1103" s="991"/>
      <c r="M1103" s="16"/>
    </row>
    <row r="1104" spans="1:13" ht="30" customHeight="1">
      <c r="A1104" s="73"/>
      <c r="B1104" s="984" t="s">
        <v>106</v>
      </c>
      <c r="C1104" s="985"/>
      <c r="D1104" s="985"/>
      <c r="E1104" s="985"/>
      <c r="F1104" s="985"/>
      <c r="G1104" s="985"/>
      <c r="H1104" s="947">
        <f>Master!C38</f>
        <v>28</v>
      </c>
      <c r="I1104" s="945"/>
      <c r="J1104" s="945"/>
      <c r="K1104" s="945"/>
      <c r="L1104" s="946"/>
      <c r="M1104" s="16"/>
    </row>
    <row r="1105" spans="1:13" ht="30" customHeight="1">
      <c r="A1105" s="73"/>
      <c r="B1105" s="943" t="s">
        <v>107</v>
      </c>
      <c r="C1105" s="944"/>
      <c r="D1105" s="944"/>
      <c r="E1105" s="944"/>
      <c r="F1105" s="944"/>
      <c r="G1105" s="944"/>
      <c r="H1105" s="947" t="str">
        <f>Master!J38</f>
        <v>Unskilled Gardner</v>
      </c>
      <c r="I1105" s="945"/>
      <c r="J1105" s="945"/>
      <c r="K1105" s="945"/>
      <c r="L1105" s="946"/>
      <c r="M1105" s="16"/>
    </row>
    <row r="1106" spans="1:13" ht="30" customHeight="1">
      <c r="A1106" s="73"/>
      <c r="B1106" s="943" t="s">
        <v>108</v>
      </c>
      <c r="C1106" s="944"/>
      <c r="D1106" s="944"/>
      <c r="E1106" s="944"/>
      <c r="F1106" s="944"/>
      <c r="G1106" s="944"/>
      <c r="H1106" s="957">
        <f>Master!S38</f>
        <v>43850</v>
      </c>
      <c r="I1106" s="958"/>
      <c r="J1106" s="958"/>
      <c r="K1106" s="958"/>
      <c r="L1106" s="959"/>
      <c r="M1106" s="16"/>
    </row>
    <row r="1107" spans="1:13" ht="30" customHeight="1">
      <c r="A1107" s="73"/>
      <c r="B1107" s="386" t="s">
        <v>109</v>
      </c>
      <c r="C1107" s="116"/>
      <c r="D1107" s="116"/>
      <c r="E1107" s="116"/>
      <c r="F1107" s="116"/>
      <c r="G1107" s="116"/>
      <c r="H1107" s="947">
        <f>Master!Y38</f>
        <v>5212759301</v>
      </c>
      <c r="I1107" s="947"/>
      <c r="J1107" s="947"/>
      <c r="K1107" s="947"/>
      <c r="L1107" s="953"/>
      <c r="M1107" s="16"/>
    </row>
    <row r="1108" spans="1:13" ht="30" customHeight="1">
      <c r="A1108" s="73"/>
      <c r="B1108" s="386" t="s">
        <v>110</v>
      </c>
      <c r="C1108" s="116"/>
      <c r="D1108" s="116"/>
      <c r="E1108" s="116"/>
      <c r="F1108" s="116"/>
      <c r="G1108" s="119"/>
      <c r="H1108" s="947" t="str">
        <f>Master!X38</f>
        <v>100993758799</v>
      </c>
      <c r="I1108" s="947"/>
      <c r="J1108" s="947"/>
      <c r="K1108" s="947"/>
      <c r="L1108" s="953"/>
      <c r="M1108" s="16"/>
    </row>
    <row r="1109" spans="1:13" ht="30" customHeight="1">
      <c r="A1109" s="73"/>
      <c r="B1109" s="954" t="s">
        <v>111</v>
      </c>
      <c r="C1109" s="955"/>
      <c r="D1109" s="955"/>
      <c r="E1109" s="955"/>
      <c r="F1109" s="955"/>
      <c r="G1109" s="955"/>
      <c r="H1109" s="950">
        <f>Master!AC38</f>
        <v>10627</v>
      </c>
      <c r="I1109" s="951"/>
      <c r="J1109" s="951"/>
      <c r="K1109" s="951"/>
      <c r="L1109" s="952"/>
      <c r="M1109" s="16"/>
    </row>
    <row r="1110" spans="1:13" ht="30" customHeight="1">
      <c r="A1110" s="73"/>
      <c r="B1110" s="943" t="s">
        <v>112</v>
      </c>
      <c r="C1110" s="944"/>
      <c r="D1110" s="944"/>
      <c r="E1110" s="944"/>
      <c r="F1110" s="944"/>
      <c r="G1110" s="944"/>
      <c r="H1110" s="956">
        <f>Master!F10</f>
        <v>44652</v>
      </c>
      <c r="I1110" s="945"/>
      <c r="J1110" s="945"/>
      <c r="K1110" s="945"/>
      <c r="L1110" s="946"/>
      <c r="M1110" s="16"/>
    </row>
    <row r="1111" spans="1:13" ht="30" customHeight="1">
      <c r="A1111" s="15"/>
      <c r="B1111" s="943" t="s">
        <v>113</v>
      </c>
      <c r="C1111" s="944"/>
      <c r="D1111" s="944"/>
      <c r="E1111" s="944"/>
      <c r="F1111" s="944"/>
      <c r="G1111" s="944"/>
      <c r="H1111" s="945" t="s">
        <v>114</v>
      </c>
      <c r="I1111" s="945"/>
      <c r="J1111" s="945"/>
      <c r="K1111" s="945"/>
      <c r="L1111" s="946"/>
      <c r="M1111" s="16"/>
    </row>
    <row r="1112" spans="1:13" ht="30" customHeight="1">
      <c r="A1112" s="15"/>
      <c r="B1112" s="386" t="s">
        <v>115</v>
      </c>
      <c r="C1112" s="116"/>
      <c r="D1112" s="116"/>
      <c r="E1112" s="116"/>
      <c r="F1112" s="116"/>
      <c r="G1112" s="119"/>
      <c r="H1112" s="947">
        <f>Master!AA38</f>
        <v>26</v>
      </c>
      <c r="I1112" s="945"/>
      <c r="J1112" s="945"/>
      <c r="K1112" s="945"/>
      <c r="L1112" s="946"/>
      <c r="M1112" s="16"/>
    </row>
    <row r="1113" spans="1:13" ht="30" customHeight="1">
      <c r="A1113" s="15"/>
      <c r="B1113" s="386" t="s">
        <v>116</v>
      </c>
      <c r="C1113" s="116"/>
      <c r="D1113" s="116"/>
      <c r="E1113" s="116"/>
      <c r="F1113" s="116"/>
      <c r="G1113" s="119"/>
      <c r="H1113" s="986" t="s">
        <v>28</v>
      </c>
      <c r="I1113" s="987"/>
      <c r="J1113" s="987"/>
      <c r="K1113" s="987"/>
      <c r="L1113" s="988"/>
      <c r="M1113" s="16"/>
    </row>
    <row r="1114" spans="1:13" ht="30" customHeight="1">
      <c r="A1114" s="15"/>
      <c r="B1114" s="386" t="s">
        <v>117</v>
      </c>
      <c r="C1114" s="116"/>
      <c r="D1114" s="116"/>
      <c r="E1114" s="116"/>
      <c r="F1114" s="116"/>
      <c r="G1114" s="119"/>
      <c r="H1114" s="989">
        <v>0</v>
      </c>
      <c r="I1114" s="990"/>
      <c r="J1114" s="990"/>
      <c r="K1114" s="990"/>
      <c r="L1114" s="991"/>
      <c r="M1114" s="16"/>
    </row>
    <row r="1115" spans="1:13" ht="30" customHeight="1">
      <c r="A1115" s="15"/>
      <c r="B1115" s="386" t="s">
        <v>118</v>
      </c>
      <c r="C1115" s="116"/>
      <c r="D1115" s="116"/>
      <c r="E1115" s="116"/>
      <c r="F1115" s="116"/>
      <c r="G1115" s="119"/>
      <c r="H1115" s="986">
        <v>0</v>
      </c>
      <c r="I1115" s="987"/>
      <c r="J1115" s="987"/>
      <c r="K1115" s="987"/>
      <c r="L1115" s="988"/>
      <c r="M1115" s="16"/>
    </row>
    <row r="1116" spans="1:13" ht="30" customHeight="1">
      <c r="A1116" s="15"/>
      <c r="B1116" s="386" t="s">
        <v>119</v>
      </c>
      <c r="C1116" s="116"/>
      <c r="D1116" s="116"/>
      <c r="E1116" s="116"/>
      <c r="F1116" s="116"/>
      <c r="G1116" s="119"/>
      <c r="H1116" s="117"/>
      <c r="I1116" s="118"/>
      <c r="J1116" s="990">
        <f>Master!AK38</f>
        <v>9210.4</v>
      </c>
      <c r="K1116" s="992"/>
      <c r="L1116" s="581" t="s">
        <v>737</v>
      </c>
      <c r="M1116" s="16"/>
    </row>
    <row r="1117" spans="1:13" ht="30" customHeight="1">
      <c r="A1117" s="15"/>
      <c r="B1117" s="386" t="s">
        <v>120</v>
      </c>
      <c r="C1117" s="116"/>
      <c r="D1117" s="465" t="s">
        <v>24</v>
      </c>
      <c r="E1117" s="466">
        <f>Master!AM38</f>
        <v>1105</v>
      </c>
      <c r="F1117" s="465" t="s">
        <v>23</v>
      </c>
      <c r="G1117" s="466">
        <f>Master!AL38</f>
        <v>70</v>
      </c>
      <c r="H1117" s="465" t="s">
        <v>25</v>
      </c>
      <c r="I1117" s="466">
        <f>Master!AN38</f>
        <v>0</v>
      </c>
      <c r="J1117" s="465" t="s">
        <v>26</v>
      </c>
      <c r="K1117" s="466">
        <f>Master!AO38</f>
        <v>0</v>
      </c>
      <c r="L1117" s="400">
        <f>Master!AP38</f>
        <v>0</v>
      </c>
      <c r="M1117" s="16"/>
    </row>
    <row r="1118" spans="1:13" ht="30" customHeight="1">
      <c r="A1118" s="15"/>
      <c r="B1118" s="386" t="s">
        <v>121</v>
      </c>
      <c r="C1118" s="116"/>
      <c r="D1118" s="116"/>
      <c r="E1118" s="116"/>
      <c r="F1118" s="116"/>
      <c r="G1118" s="119"/>
      <c r="H1118" s="117"/>
      <c r="I1118" s="118"/>
      <c r="J1118" s="541">
        <f>Master!AR38</f>
        <v>8035.4</v>
      </c>
      <c r="K1118" s="118"/>
      <c r="L1118" s="125"/>
      <c r="M1118" s="16"/>
    </row>
    <row r="1119" spans="1:13">
      <c r="A1119" s="15"/>
      <c r="B1119" s="387" t="s">
        <v>122</v>
      </c>
      <c r="C1119" s="74"/>
      <c r="D1119" s="74"/>
      <c r="E1119" s="74"/>
      <c r="F1119" s="74"/>
      <c r="G1119" s="75"/>
      <c r="H1119" s="76"/>
      <c r="I1119" s="77"/>
      <c r="J1119" s="77"/>
      <c r="K1119" s="77"/>
      <c r="L1119" s="78"/>
      <c r="M1119" s="16"/>
    </row>
    <row r="1120" spans="1:13">
      <c r="A1120" s="15"/>
      <c r="B1120" s="388" t="s">
        <v>123</v>
      </c>
      <c r="C1120" s="79"/>
      <c r="D1120" s="79"/>
      <c r="E1120" s="79"/>
      <c r="F1120" s="79"/>
      <c r="G1120" s="80"/>
      <c r="H1120" s="60"/>
      <c r="I1120" s="19"/>
      <c r="J1120" s="19"/>
      <c r="K1120" s="19"/>
      <c r="L1120" s="81"/>
      <c r="M1120" s="16"/>
    </row>
    <row r="1121" spans="1:13">
      <c r="A1121" s="15"/>
      <c r="B1121" s="15"/>
      <c r="C1121" s="114"/>
      <c r="D1121" s="114"/>
      <c r="E1121" s="114"/>
      <c r="F1121" s="114"/>
      <c r="G1121" s="114"/>
      <c r="H1121" s="114"/>
      <c r="I1121" s="114"/>
      <c r="J1121" s="114"/>
      <c r="K1121" s="114"/>
      <c r="L1121" s="16"/>
      <c r="M1121" s="16"/>
    </row>
    <row r="1122" spans="1:13" ht="15" thickBot="1">
      <c r="A1122" s="27"/>
      <c r="B1122" s="27"/>
      <c r="C1122" s="25"/>
      <c r="D1122" s="25"/>
      <c r="E1122" s="25"/>
      <c r="F1122" s="25"/>
      <c r="G1122" s="25"/>
      <c r="H1122" s="25"/>
      <c r="I1122" s="25"/>
      <c r="J1122" s="25"/>
      <c r="K1122" s="25"/>
      <c r="L1122" s="26"/>
      <c r="M1122" s="26"/>
    </row>
    <row r="1123" spans="1:13">
      <c r="A1123" s="420"/>
      <c r="B1123" s="420"/>
      <c r="C1123" s="420"/>
      <c r="D1123" s="420"/>
      <c r="E1123" s="420"/>
      <c r="F1123" s="420"/>
      <c r="G1123" s="420"/>
      <c r="H1123" s="420"/>
      <c r="I1123" s="420"/>
      <c r="J1123" s="420"/>
      <c r="K1123" s="420"/>
      <c r="L1123" s="420"/>
      <c r="M1123" s="420"/>
    </row>
    <row r="1124" spans="1:13">
      <c r="A1124" s="420"/>
      <c r="B1124" s="420"/>
      <c r="C1124" s="420"/>
      <c r="D1124" s="420"/>
      <c r="E1124" s="420"/>
      <c r="F1124" s="420"/>
      <c r="G1124" s="420"/>
      <c r="H1124" s="420"/>
      <c r="I1124" s="420"/>
      <c r="J1124" s="420"/>
      <c r="K1124" s="420"/>
      <c r="L1124" s="420"/>
      <c r="M1124" s="420"/>
    </row>
    <row r="1125" spans="1:13">
      <c r="A1125" s="420"/>
      <c r="B1125" s="420"/>
      <c r="C1125" s="420"/>
      <c r="D1125" s="420"/>
      <c r="E1125" s="420"/>
      <c r="F1125" s="420"/>
      <c r="G1125" s="420"/>
      <c r="H1125" s="420"/>
      <c r="I1125" s="420"/>
      <c r="J1125" s="420"/>
      <c r="K1125" s="420"/>
      <c r="L1125" s="420"/>
      <c r="M1125" s="420"/>
    </row>
    <row r="1126" spans="1:13">
      <c r="A1126" s="420"/>
      <c r="B1126" s="420"/>
      <c r="C1126" s="420"/>
      <c r="D1126" s="420"/>
      <c r="E1126" s="420"/>
      <c r="F1126" s="420"/>
      <c r="G1126" s="420"/>
      <c r="H1126" s="420"/>
      <c r="I1126" s="420"/>
      <c r="J1126" s="420"/>
      <c r="K1126" s="420"/>
      <c r="L1126" s="420"/>
      <c r="M1126" s="420"/>
    </row>
    <row r="1127" spans="1:13" ht="15" thickBot="1">
      <c r="A1127" s="420"/>
      <c r="B1127" s="420"/>
      <c r="C1127" s="420"/>
      <c r="D1127" s="420"/>
      <c r="E1127" s="420"/>
      <c r="F1127" s="420"/>
      <c r="G1127" s="420"/>
      <c r="H1127" s="420"/>
      <c r="I1127" s="420"/>
      <c r="J1127" s="420"/>
      <c r="K1127" s="420"/>
      <c r="L1127" s="420"/>
      <c r="M1127" s="420"/>
    </row>
    <row r="1128" spans="1:13" ht="32.4">
      <c r="A1128" s="68"/>
      <c r="B1128" s="960" t="s">
        <v>99</v>
      </c>
      <c r="C1128" s="961"/>
      <c r="D1128" s="961"/>
      <c r="E1128" s="961"/>
      <c r="F1128" s="961"/>
      <c r="G1128" s="961"/>
      <c r="H1128" s="961"/>
      <c r="I1128" s="961"/>
      <c r="J1128" s="961"/>
      <c r="K1128" s="961"/>
      <c r="L1128" s="962"/>
      <c r="M1128" s="69"/>
    </row>
    <row r="1129" spans="1:13" ht="23.4">
      <c r="A1129" s="15"/>
      <c r="B1129" s="963" t="s">
        <v>100</v>
      </c>
      <c r="C1129" s="964"/>
      <c r="D1129" s="964"/>
      <c r="E1129" s="964"/>
      <c r="F1129" s="964"/>
      <c r="G1129" s="964"/>
      <c r="H1129" s="964"/>
      <c r="I1129" s="964"/>
      <c r="J1129" s="964"/>
      <c r="K1129" s="964"/>
      <c r="L1129" s="965"/>
      <c r="M1129" s="16"/>
    </row>
    <row r="1130" spans="1:13" ht="15.6">
      <c r="A1130" s="15"/>
      <c r="B1130" s="966" t="s">
        <v>1070</v>
      </c>
      <c r="C1130" s="967"/>
      <c r="D1130" s="967"/>
      <c r="E1130" s="967"/>
      <c r="F1130" s="967"/>
      <c r="G1130" s="967"/>
      <c r="H1130" s="968"/>
      <c r="I1130" s="968"/>
      <c r="J1130" s="968"/>
      <c r="K1130" s="968"/>
      <c r="L1130" s="969"/>
      <c r="M1130" s="16"/>
    </row>
    <row r="1131" spans="1:13">
      <c r="A1131" s="15"/>
      <c r="B1131" s="970" t="s">
        <v>101</v>
      </c>
      <c r="C1131" s="971"/>
      <c r="D1131" s="971"/>
      <c r="E1131" s="971"/>
      <c r="F1131" s="971"/>
      <c r="G1131" s="391"/>
      <c r="H1131" s="974" t="s">
        <v>102</v>
      </c>
      <c r="I1131" s="975"/>
      <c r="J1131" s="975"/>
      <c r="K1131" s="975"/>
      <c r="L1131" s="976"/>
      <c r="M1131" s="16"/>
    </row>
    <row r="1132" spans="1:13">
      <c r="A1132" s="15"/>
      <c r="B1132" s="972"/>
      <c r="C1132" s="973"/>
      <c r="D1132" s="973"/>
      <c r="E1132" s="973"/>
      <c r="F1132" s="973"/>
      <c r="G1132" s="395"/>
      <c r="H1132" s="977"/>
      <c r="I1132" s="978"/>
      <c r="J1132" s="978"/>
      <c r="K1132" s="978"/>
      <c r="L1132" s="979"/>
      <c r="M1132" s="16"/>
    </row>
    <row r="1133" spans="1:13">
      <c r="A1133" s="15"/>
      <c r="B1133" s="382"/>
      <c r="C1133" s="77"/>
      <c r="D1133" s="77"/>
      <c r="E1133" s="77"/>
      <c r="F1133" s="77"/>
      <c r="G1133" s="56"/>
      <c r="H1133" s="76"/>
      <c r="I1133" s="77"/>
      <c r="J1133" s="77"/>
      <c r="K1133" s="77"/>
      <c r="L1133" s="78"/>
      <c r="M1133" s="16"/>
    </row>
    <row r="1134" spans="1:13">
      <c r="A1134" s="15"/>
      <c r="B1134" s="378" t="str">
        <f>Master!F5</f>
        <v>GROTECH LANDSCAPE DEVELOPERS PVT. LTD.</v>
      </c>
      <c r="C1134" s="114"/>
      <c r="D1134" s="114"/>
      <c r="E1134" s="114"/>
      <c r="F1134" s="114"/>
      <c r="G1134" s="379"/>
      <c r="H1134" s="381" t="str">
        <f>Master!AN5</f>
        <v>GROTECH LANDSCAPE DEVELOPERS PVT. LTD.</v>
      </c>
      <c r="I1134" s="114"/>
      <c r="J1134" s="114"/>
      <c r="K1134" s="114"/>
      <c r="L1134" s="16"/>
      <c r="M1134" s="16"/>
    </row>
    <row r="1135" spans="1:13">
      <c r="A1135" s="15"/>
      <c r="B1135" s="15"/>
      <c r="C1135" s="114"/>
      <c r="D1135" s="114"/>
      <c r="E1135" s="114"/>
      <c r="F1135" s="114"/>
      <c r="G1135" s="379"/>
      <c r="H1135" s="380"/>
      <c r="I1135" s="114"/>
      <c r="J1135" s="114"/>
      <c r="K1135" s="114"/>
      <c r="L1135" s="16"/>
      <c r="M1135" s="16"/>
    </row>
    <row r="1136" spans="1:13">
      <c r="A1136" s="15"/>
      <c r="B1136" s="538" t="str">
        <f>Master!F6</f>
        <v>290/E, Khanapur Village, Gandipet Mandal, Ranga Reddy, Hyderabad-500075 T.S.</v>
      </c>
      <c r="C1136" s="114"/>
      <c r="D1136" s="114"/>
      <c r="E1136" s="114"/>
      <c r="F1136" s="114"/>
      <c r="G1136" s="379"/>
      <c r="H1136" s="539" t="str">
        <f>Master!AN6</f>
        <v>290/E, Khanapur Village, Gandipet Mandal, Ranga Reddy, Hyderabad-500075 T.S.</v>
      </c>
      <c r="I1136" s="114"/>
      <c r="J1136" s="114"/>
      <c r="K1136" s="114"/>
      <c r="L1136" s="16"/>
      <c r="M1136" s="16"/>
    </row>
    <row r="1137" spans="1:13">
      <c r="A1137" s="15"/>
      <c r="B1137" s="383"/>
      <c r="C1137" s="19"/>
      <c r="D1137" s="19"/>
      <c r="E1137" s="19"/>
      <c r="F1137" s="19"/>
      <c r="G1137" s="61"/>
      <c r="H1137" s="60"/>
      <c r="I1137" s="19"/>
      <c r="J1137" s="19"/>
      <c r="K1137" s="19"/>
      <c r="L1137" s="81"/>
      <c r="M1137" s="16"/>
    </row>
    <row r="1138" spans="1:13">
      <c r="A1138" s="15"/>
      <c r="B1138" s="389"/>
      <c r="C1138" s="390"/>
      <c r="D1138" s="390"/>
      <c r="E1138" s="390"/>
      <c r="F1138" s="390"/>
      <c r="G1138" s="391"/>
      <c r="H1138" s="396"/>
      <c r="I1138" s="390"/>
      <c r="J1138" s="390" t="s">
        <v>103</v>
      </c>
      <c r="K1138" s="390"/>
      <c r="L1138" s="397"/>
      <c r="M1138" s="16"/>
    </row>
    <row r="1139" spans="1:13">
      <c r="A1139" s="15"/>
      <c r="B1139" s="980" t="s">
        <v>104</v>
      </c>
      <c r="C1139" s="981"/>
      <c r="D1139" s="981"/>
      <c r="E1139" s="981"/>
      <c r="F1139" s="981"/>
      <c r="G1139" s="392"/>
      <c r="H1139" s="982" t="s">
        <v>4</v>
      </c>
      <c r="I1139" s="981"/>
      <c r="J1139" s="981"/>
      <c r="K1139" s="981"/>
      <c r="L1139" s="983"/>
      <c r="M1139" s="16"/>
    </row>
    <row r="1140" spans="1:13">
      <c r="A1140" s="15"/>
      <c r="B1140" s="393"/>
      <c r="C1140" s="394"/>
      <c r="D1140" s="394"/>
      <c r="E1140" s="394"/>
      <c r="F1140" s="394"/>
      <c r="G1140" s="395"/>
      <c r="H1140" s="398"/>
      <c r="I1140" s="394"/>
      <c r="J1140" s="394"/>
      <c r="K1140" s="394"/>
      <c r="L1140" s="399"/>
      <c r="M1140" s="16"/>
    </row>
    <row r="1141" spans="1:13">
      <c r="A1141" s="15"/>
      <c r="B1141" s="382"/>
      <c r="C1141" s="77"/>
      <c r="D1141" s="77"/>
      <c r="E1141" s="77"/>
      <c r="F1141" s="77"/>
      <c r="G1141" s="56"/>
      <c r="H1141" s="74"/>
      <c r="I1141" s="74"/>
      <c r="J1141" s="74"/>
      <c r="K1141" s="74"/>
      <c r="L1141" s="384"/>
      <c r="M1141" s="16"/>
    </row>
    <row r="1142" spans="1:13">
      <c r="A1142" s="15"/>
      <c r="B1142" s="15"/>
      <c r="C1142" s="114"/>
      <c r="D1142" s="114"/>
      <c r="E1142" s="114"/>
      <c r="F1142" s="114"/>
      <c r="G1142" s="379"/>
      <c r="H1142" s="115" t="str">
        <f>Master!AN10</f>
        <v>INDIAN SCHOOL OF BUSINESS</v>
      </c>
      <c r="I1142" s="115"/>
      <c r="J1142" s="115"/>
      <c r="K1142" s="115"/>
      <c r="L1142" s="71"/>
      <c r="M1142" s="16"/>
    </row>
    <row r="1143" spans="1:13">
      <c r="A1143" s="15"/>
      <c r="B1143" s="70" t="str">
        <f>Master!F8</f>
        <v>GARDENING SERVICES&amp;ISB HYDERABAD</v>
      </c>
      <c r="C1143" s="114"/>
      <c r="D1143" s="114"/>
      <c r="E1143" s="114"/>
      <c r="F1143" s="114"/>
      <c r="G1143" s="379"/>
      <c r="H1143" s="115"/>
      <c r="I1143" s="115"/>
      <c r="J1143" s="115"/>
      <c r="K1143" s="115"/>
      <c r="L1143" s="71"/>
      <c r="M1143" s="16"/>
    </row>
    <row r="1144" spans="1:13">
      <c r="A1144" s="15"/>
      <c r="B1144" s="15"/>
      <c r="C1144" s="114"/>
      <c r="D1144" s="114"/>
      <c r="E1144" s="114"/>
      <c r="F1144" s="114"/>
      <c r="G1144" s="379"/>
      <c r="H1144" s="115" t="str">
        <f>Master!AN11</f>
        <v>Opp.Infosys Limited,Gachibowli,Hyderabad</v>
      </c>
      <c r="I1144" s="115"/>
      <c r="J1144" s="115"/>
      <c r="K1144" s="115"/>
      <c r="L1144" s="71"/>
      <c r="M1144" s="16"/>
    </row>
    <row r="1145" spans="1:13">
      <c r="A1145" s="15"/>
      <c r="B1145" s="383"/>
      <c r="C1145" s="19"/>
      <c r="D1145" s="19"/>
      <c r="E1145" s="19"/>
      <c r="F1145" s="19"/>
      <c r="G1145" s="61"/>
      <c r="H1145" s="79"/>
      <c r="I1145" s="79"/>
      <c r="J1145" s="79"/>
      <c r="K1145" s="79"/>
      <c r="L1145" s="385"/>
      <c r="M1145" s="16"/>
    </row>
    <row r="1146" spans="1:13" ht="30" customHeight="1">
      <c r="A1146" s="15"/>
      <c r="B1146" s="948" t="s">
        <v>105</v>
      </c>
      <c r="C1146" s="949"/>
      <c r="D1146" s="949"/>
      <c r="E1146" s="949"/>
      <c r="F1146" s="949"/>
      <c r="G1146" s="949"/>
      <c r="H1146" s="950" t="str">
        <f>Master!D39</f>
        <v>MANGALI LAVANYA</v>
      </c>
      <c r="I1146" s="951"/>
      <c r="J1146" s="951"/>
      <c r="K1146" s="951"/>
      <c r="L1146" s="952"/>
      <c r="M1146" s="16"/>
    </row>
    <row r="1147" spans="1:13" ht="30" customHeight="1">
      <c r="A1147" s="15"/>
      <c r="B1147" s="948"/>
      <c r="C1147" s="949"/>
      <c r="D1147" s="949"/>
      <c r="E1147" s="949"/>
      <c r="F1147" s="949"/>
      <c r="G1147" s="949"/>
      <c r="H1147" s="950" t="str">
        <f>Master!K39</f>
        <v>H.no.3-10,</v>
      </c>
      <c r="I1147" s="951"/>
      <c r="J1147" s="951"/>
      <c r="K1147" s="951"/>
      <c r="L1147" s="952"/>
      <c r="M1147" s="16"/>
    </row>
    <row r="1148" spans="1:13" ht="30" customHeight="1">
      <c r="A1148" s="15"/>
      <c r="B1148" s="948"/>
      <c r="C1148" s="949"/>
      <c r="D1148" s="949"/>
      <c r="E1148" s="949"/>
      <c r="F1148" s="949"/>
      <c r="G1148" s="949"/>
      <c r="H1148" s="950" t="str">
        <f>Master!L39</f>
        <v>Madhavaram,madharam,Medhak</v>
      </c>
      <c r="I1148" s="951"/>
      <c r="J1148" s="951"/>
      <c r="K1148" s="951"/>
      <c r="L1148" s="952"/>
      <c r="M1148" s="16"/>
    </row>
    <row r="1149" spans="1:13" ht="30" customHeight="1">
      <c r="A1149" s="15"/>
      <c r="B1149" s="948"/>
      <c r="C1149" s="949"/>
      <c r="D1149" s="949"/>
      <c r="E1149" s="949"/>
      <c r="F1149" s="949"/>
      <c r="G1149" s="949"/>
      <c r="H1149" s="950" t="str">
        <f>Master!M39</f>
        <v>TS-502319</v>
      </c>
      <c r="I1149" s="951"/>
      <c r="J1149" s="951"/>
      <c r="K1149" s="951"/>
      <c r="L1149" s="952"/>
      <c r="M1149" s="16"/>
    </row>
    <row r="1150" spans="1:13" ht="30" customHeight="1">
      <c r="A1150" s="73"/>
      <c r="B1150" s="948"/>
      <c r="C1150" s="949"/>
      <c r="D1150" s="949"/>
      <c r="E1150" s="949"/>
      <c r="F1150" s="949"/>
      <c r="G1150" s="949"/>
      <c r="H1150" s="989">
        <f>Master!N1580</f>
        <v>0</v>
      </c>
      <c r="I1150" s="990"/>
      <c r="J1150" s="990"/>
      <c r="K1150" s="990"/>
      <c r="L1150" s="991"/>
      <c r="M1150" s="16"/>
    </row>
    <row r="1151" spans="1:13" ht="30" customHeight="1">
      <c r="A1151" s="73"/>
      <c r="B1151" s="984" t="s">
        <v>106</v>
      </c>
      <c r="C1151" s="985"/>
      <c r="D1151" s="985"/>
      <c r="E1151" s="985"/>
      <c r="F1151" s="985"/>
      <c r="G1151" s="985"/>
      <c r="H1151" s="947">
        <f>Master!C39</f>
        <v>29</v>
      </c>
      <c r="I1151" s="945"/>
      <c r="J1151" s="945"/>
      <c r="K1151" s="945"/>
      <c r="L1151" s="946"/>
      <c r="M1151" s="16"/>
    </row>
    <row r="1152" spans="1:13" ht="30" customHeight="1">
      <c r="A1152" s="73"/>
      <c r="B1152" s="943" t="s">
        <v>107</v>
      </c>
      <c r="C1152" s="944"/>
      <c r="D1152" s="944"/>
      <c r="E1152" s="944"/>
      <c r="F1152" s="944"/>
      <c r="G1152" s="944"/>
      <c r="H1152" s="947" t="str">
        <f>Master!J39</f>
        <v>Unskilled Gardner</v>
      </c>
      <c r="I1152" s="945"/>
      <c r="J1152" s="945"/>
      <c r="K1152" s="945"/>
      <c r="L1152" s="946"/>
      <c r="M1152" s="16"/>
    </row>
    <row r="1153" spans="1:13" ht="30" customHeight="1">
      <c r="A1153" s="73"/>
      <c r="B1153" s="943" t="s">
        <v>108</v>
      </c>
      <c r="C1153" s="944"/>
      <c r="D1153" s="944"/>
      <c r="E1153" s="944"/>
      <c r="F1153" s="944"/>
      <c r="G1153" s="944"/>
      <c r="H1153" s="957">
        <f>Master!S39</f>
        <v>43850</v>
      </c>
      <c r="I1153" s="958"/>
      <c r="J1153" s="958"/>
      <c r="K1153" s="958"/>
      <c r="L1153" s="959"/>
      <c r="M1153" s="16"/>
    </row>
    <row r="1154" spans="1:13" ht="30" customHeight="1">
      <c r="A1154" s="73"/>
      <c r="B1154" s="386" t="s">
        <v>109</v>
      </c>
      <c r="C1154" s="116"/>
      <c r="D1154" s="116"/>
      <c r="E1154" s="116"/>
      <c r="F1154" s="116"/>
      <c r="G1154" s="116"/>
      <c r="H1154" s="947">
        <f>Master!Y39</f>
        <v>5214535728</v>
      </c>
      <c r="I1154" s="947"/>
      <c r="J1154" s="947"/>
      <c r="K1154" s="947"/>
      <c r="L1154" s="953"/>
      <c r="M1154" s="16"/>
    </row>
    <row r="1155" spans="1:13" ht="30" customHeight="1">
      <c r="A1155" s="73"/>
      <c r="B1155" s="386" t="s">
        <v>110</v>
      </c>
      <c r="C1155" s="116"/>
      <c r="D1155" s="116"/>
      <c r="E1155" s="116"/>
      <c r="F1155" s="116"/>
      <c r="G1155" s="119"/>
      <c r="H1155" s="947" t="str">
        <f>Master!X39</f>
        <v>101269710584</v>
      </c>
      <c r="I1155" s="947"/>
      <c r="J1155" s="947"/>
      <c r="K1155" s="947"/>
      <c r="L1155" s="953"/>
      <c r="M1155" s="16"/>
    </row>
    <row r="1156" spans="1:13" ht="30" customHeight="1">
      <c r="A1156" s="73"/>
      <c r="B1156" s="954" t="s">
        <v>111</v>
      </c>
      <c r="C1156" s="955"/>
      <c r="D1156" s="955"/>
      <c r="E1156" s="955"/>
      <c r="F1156" s="955"/>
      <c r="G1156" s="955"/>
      <c r="H1156" s="950">
        <f>Master!AC39</f>
        <v>10627</v>
      </c>
      <c r="I1156" s="951"/>
      <c r="J1156" s="951"/>
      <c r="K1156" s="951"/>
      <c r="L1156" s="952"/>
      <c r="M1156" s="16"/>
    </row>
    <row r="1157" spans="1:13" ht="30" customHeight="1">
      <c r="A1157" s="73"/>
      <c r="B1157" s="943" t="s">
        <v>112</v>
      </c>
      <c r="C1157" s="944"/>
      <c r="D1157" s="944"/>
      <c r="E1157" s="944"/>
      <c r="F1157" s="944"/>
      <c r="G1157" s="944"/>
      <c r="H1157" s="956">
        <f>Master!F10</f>
        <v>44652</v>
      </c>
      <c r="I1157" s="945"/>
      <c r="J1157" s="945"/>
      <c r="K1157" s="945"/>
      <c r="L1157" s="946"/>
      <c r="M1157" s="16"/>
    </row>
    <row r="1158" spans="1:13" ht="30" customHeight="1">
      <c r="A1158" s="15"/>
      <c r="B1158" s="943" t="s">
        <v>113</v>
      </c>
      <c r="C1158" s="944"/>
      <c r="D1158" s="944"/>
      <c r="E1158" s="944"/>
      <c r="F1158" s="944"/>
      <c r="G1158" s="944"/>
      <c r="H1158" s="945" t="s">
        <v>114</v>
      </c>
      <c r="I1158" s="945"/>
      <c r="J1158" s="945"/>
      <c r="K1158" s="945"/>
      <c r="L1158" s="946"/>
      <c r="M1158" s="16"/>
    </row>
    <row r="1159" spans="1:13" ht="30" customHeight="1">
      <c r="A1159" s="15"/>
      <c r="B1159" s="386" t="s">
        <v>115</v>
      </c>
      <c r="C1159" s="116"/>
      <c r="D1159" s="116"/>
      <c r="E1159" s="116"/>
      <c r="F1159" s="116"/>
      <c r="G1159" s="119"/>
      <c r="H1159" s="947">
        <f>Master!AA39</f>
        <v>26</v>
      </c>
      <c r="I1159" s="945"/>
      <c r="J1159" s="945"/>
      <c r="K1159" s="945"/>
      <c r="L1159" s="946"/>
      <c r="M1159" s="16"/>
    </row>
    <row r="1160" spans="1:13" ht="30" customHeight="1">
      <c r="A1160" s="15"/>
      <c r="B1160" s="386" t="s">
        <v>116</v>
      </c>
      <c r="C1160" s="116"/>
      <c r="D1160" s="116"/>
      <c r="E1160" s="116"/>
      <c r="F1160" s="116"/>
      <c r="G1160" s="119"/>
      <c r="H1160" s="986" t="s">
        <v>28</v>
      </c>
      <c r="I1160" s="987"/>
      <c r="J1160" s="987"/>
      <c r="K1160" s="987"/>
      <c r="L1160" s="988"/>
      <c r="M1160" s="16"/>
    </row>
    <row r="1161" spans="1:13" ht="30" customHeight="1">
      <c r="A1161" s="15"/>
      <c r="B1161" s="386" t="s">
        <v>117</v>
      </c>
      <c r="C1161" s="116"/>
      <c r="D1161" s="116"/>
      <c r="E1161" s="116"/>
      <c r="F1161" s="116"/>
      <c r="G1161" s="119"/>
      <c r="H1161" s="989">
        <v>0</v>
      </c>
      <c r="I1161" s="990"/>
      <c r="J1161" s="990"/>
      <c r="K1161" s="990"/>
      <c r="L1161" s="991"/>
      <c r="M1161" s="16"/>
    </row>
    <row r="1162" spans="1:13" ht="30" customHeight="1">
      <c r="A1162" s="15"/>
      <c r="B1162" s="386" t="s">
        <v>118</v>
      </c>
      <c r="C1162" s="116"/>
      <c r="D1162" s="116"/>
      <c r="E1162" s="116"/>
      <c r="F1162" s="116"/>
      <c r="G1162" s="119"/>
      <c r="H1162" s="986">
        <v>0</v>
      </c>
      <c r="I1162" s="987"/>
      <c r="J1162" s="987"/>
      <c r="K1162" s="987"/>
      <c r="L1162" s="988"/>
      <c r="M1162" s="16"/>
    </row>
    <row r="1163" spans="1:13" ht="30" customHeight="1">
      <c r="A1163" s="15"/>
      <c r="B1163" s="386" t="s">
        <v>119</v>
      </c>
      <c r="C1163" s="116"/>
      <c r="D1163" s="116"/>
      <c r="E1163" s="116"/>
      <c r="F1163" s="116"/>
      <c r="G1163" s="119"/>
      <c r="H1163" s="117"/>
      <c r="I1163" s="118"/>
      <c r="J1163" s="990">
        <f>Master!AK39</f>
        <v>9210.4</v>
      </c>
      <c r="K1163" s="992"/>
      <c r="L1163" s="581" t="s">
        <v>737</v>
      </c>
      <c r="M1163" s="16"/>
    </row>
    <row r="1164" spans="1:13" ht="30" customHeight="1">
      <c r="A1164" s="15"/>
      <c r="B1164" s="386" t="s">
        <v>120</v>
      </c>
      <c r="C1164" s="116"/>
      <c r="D1164" s="465" t="s">
        <v>24</v>
      </c>
      <c r="E1164" s="466">
        <f>Master!AM39</f>
        <v>1105</v>
      </c>
      <c r="F1164" s="465" t="s">
        <v>23</v>
      </c>
      <c r="G1164" s="466">
        <f>Master!AL39</f>
        <v>70</v>
      </c>
      <c r="H1164" s="465" t="s">
        <v>25</v>
      </c>
      <c r="I1164" s="466">
        <f>Master!AN39</f>
        <v>0</v>
      </c>
      <c r="J1164" s="465" t="s">
        <v>26</v>
      </c>
      <c r="K1164" s="466">
        <f>Master!AO39</f>
        <v>0</v>
      </c>
      <c r="L1164" s="400">
        <f>Master!AP39</f>
        <v>0</v>
      </c>
      <c r="M1164" s="16"/>
    </row>
    <row r="1165" spans="1:13" ht="30" customHeight="1">
      <c r="A1165" s="15"/>
      <c r="B1165" s="386" t="s">
        <v>121</v>
      </c>
      <c r="C1165" s="116"/>
      <c r="D1165" s="116"/>
      <c r="E1165" s="116"/>
      <c r="F1165" s="116"/>
      <c r="G1165" s="119"/>
      <c r="H1165" s="117"/>
      <c r="I1165" s="118"/>
      <c r="J1165" s="541">
        <f>Master!AR39</f>
        <v>8035.4</v>
      </c>
      <c r="K1165" s="118"/>
      <c r="L1165" s="125"/>
      <c r="M1165" s="16"/>
    </row>
    <row r="1166" spans="1:13">
      <c r="A1166" s="15"/>
      <c r="B1166" s="387" t="s">
        <v>122</v>
      </c>
      <c r="C1166" s="74"/>
      <c r="D1166" s="74"/>
      <c r="E1166" s="74"/>
      <c r="F1166" s="74"/>
      <c r="G1166" s="75"/>
      <c r="H1166" s="76"/>
      <c r="I1166" s="77"/>
      <c r="J1166" s="77"/>
      <c r="K1166" s="77"/>
      <c r="L1166" s="78"/>
      <c r="M1166" s="16"/>
    </row>
    <row r="1167" spans="1:13">
      <c r="A1167" s="15"/>
      <c r="B1167" s="388" t="s">
        <v>123</v>
      </c>
      <c r="C1167" s="79"/>
      <c r="D1167" s="79"/>
      <c r="E1167" s="79"/>
      <c r="F1167" s="79"/>
      <c r="G1167" s="80"/>
      <c r="H1167" s="60"/>
      <c r="I1167" s="19"/>
      <c r="J1167" s="19"/>
      <c r="K1167" s="19"/>
      <c r="L1167" s="81"/>
      <c r="M1167" s="16"/>
    </row>
    <row r="1168" spans="1:13">
      <c r="A1168" s="15"/>
      <c r="B1168" s="15"/>
      <c r="C1168" s="114"/>
      <c r="D1168" s="114"/>
      <c r="E1168" s="114"/>
      <c r="F1168" s="114"/>
      <c r="G1168" s="114"/>
      <c r="H1168" s="114"/>
      <c r="I1168" s="114"/>
      <c r="J1168" s="114"/>
      <c r="K1168" s="114"/>
      <c r="L1168" s="16"/>
      <c r="M1168" s="16"/>
    </row>
    <row r="1169" spans="1:13" ht="15" thickBot="1">
      <c r="A1169" s="27"/>
      <c r="B1169" s="27"/>
      <c r="C1169" s="25"/>
      <c r="D1169" s="25"/>
      <c r="E1169" s="25"/>
      <c r="F1169" s="25"/>
      <c r="G1169" s="25"/>
      <c r="H1169" s="25"/>
      <c r="I1169" s="25"/>
      <c r="J1169" s="25"/>
      <c r="K1169" s="25"/>
      <c r="L1169" s="26"/>
      <c r="M1169" s="26"/>
    </row>
    <row r="1170" spans="1:13">
      <c r="A1170" s="420"/>
      <c r="B1170" s="420"/>
      <c r="C1170" s="420"/>
      <c r="D1170" s="420"/>
      <c r="E1170" s="420"/>
      <c r="F1170" s="420"/>
      <c r="G1170" s="420"/>
      <c r="H1170" s="420"/>
      <c r="I1170" s="420"/>
      <c r="J1170" s="420"/>
      <c r="K1170" s="420"/>
      <c r="L1170" s="420"/>
      <c r="M1170" s="420"/>
    </row>
    <row r="1171" spans="1:13">
      <c r="A1171" s="420"/>
      <c r="B1171" s="420"/>
      <c r="C1171" s="420"/>
      <c r="D1171" s="420"/>
      <c r="E1171" s="420"/>
      <c r="F1171" s="420"/>
      <c r="G1171" s="420"/>
      <c r="H1171" s="420"/>
      <c r="I1171" s="420"/>
      <c r="J1171" s="420"/>
      <c r="K1171" s="420"/>
      <c r="L1171" s="420"/>
      <c r="M1171" s="420"/>
    </row>
    <row r="1172" spans="1:13">
      <c r="A1172" s="420"/>
      <c r="B1172" s="420"/>
      <c r="C1172" s="420"/>
      <c r="D1172" s="420"/>
      <c r="E1172" s="420"/>
      <c r="F1172" s="420"/>
      <c r="G1172" s="420"/>
      <c r="H1172" s="420"/>
      <c r="I1172" s="420"/>
      <c r="J1172" s="420"/>
      <c r="K1172" s="420"/>
      <c r="L1172" s="420"/>
      <c r="M1172" s="420"/>
    </row>
    <row r="1173" spans="1:13">
      <c r="A1173" s="420"/>
      <c r="B1173" s="420"/>
      <c r="C1173" s="420"/>
      <c r="D1173" s="420"/>
      <c r="E1173" s="420"/>
      <c r="F1173" s="420"/>
      <c r="G1173" s="420"/>
      <c r="H1173" s="420"/>
      <c r="I1173" s="420"/>
      <c r="J1173" s="420"/>
      <c r="K1173" s="420"/>
      <c r="L1173" s="420"/>
      <c r="M1173" s="420"/>
    </row>
    <row r="1174" spans="1:13" ht="15" thickBot="1">
      <c r="A1174" s="420"/>
      <c r="B1174" s="420"/>
      <c r="C1174" s="420"/>
      <c r="D1174" s="420"/>
      <c r="E1174" s="420"/>
      <c r="F1174" s="420"/>
      <c r="G1174" s="420"/>
      <c r="H1174" s="420"/>
      <c r="I1174" s="420"/>
      <c r="J1174" s="420"/>
      <c r="K1174" s="420"/>
      <c r="L1174" s="420"/>
      <c r="M1174" s="420"/>
    </row>
    <row r="1175" spans="1:13" ht="32.4">
      <c r="A1175" s="68"/>
      <c r="B1175" s="960" t="s">
        <v>99</v>
      </c>
      <c r="C1175" s="961"/>
      <c r="D1175" s="961"/>
      <c r="E1175" s="961"/>
      <c r="F1175" s="961"/>
      <c r="G1175" s="961"/>
      <c r="H1175" s="961"/>
      <c r="I1175" s="961"/>
      <c r="J1175" s="961"/>
      <c r="K1175" s="961"/>
      <c r="L1175" s="962"/>
      <c r="M1175" s="69"/>
    </row>
    <row r="1176" spans="1:13" ht="23.4">
      <c r="A1176" s="15"/>
      <c r="B1176" s="963" t="s">
        <v>100</v>
      </c>
      <c r="C1176" s="964"/>
      <c r="D1176" s="964"/>
      <c r="E1176" s="964"/>
      <c r="F1176" s="964"/>
      <c r="G1176" s="964"/>
      <c r="H1176" s="964"/>
      <c r="I1176" s="964"/>
      <c r="J1176" s="964"/>
      <c r="K1176" s="964"/>
      <c r="L1176" s="965"/>
      <c r="M1176" s="16"/>
    </row>
    <row r="1177" spans="1:13" ht="15.6">
      <c r="A1177" s="15"/>
      <c r="B1177" s="966" t="s">
        <v>1070</v>
      </c>
      <c r="C1177" s="967"/>
      <c r="D1177" s="967"/>
      <c r="E1177" s="967"/>
      <c r="F1177" s="967"/>
      <c r="G1177" s="967"/>
      <c r="H1177" s="968"/>
      <c r="I1177" s="968"/>
      <c r="J1177" s="968"/>
      <c r="K1177" s="968"/>
      <c r="L1177" s="969"/>
      <c r="M1177" s="16"/>
    </row>
    <row r="1178" spans="1:13">
      <c r="A1178" s="15"/>
      <c r="B1178" s="970" t="s">
        <v>101</v>
      </c>
      <c r="C1178" s="971"/>
      <c r="D1178" s="971"/>
      <c r="E1178" s="971"/>
      <c r="F1178" s="971"/>
      <c r="G1178" s="391"/>
      <c r="H1178" s="974" t="s">
        <v>102</v>
      </c>
      <c r="I1178" s="975"/>
      <c r="J1178" s="975"/>
      <c r="K1178" s="975"/>
      <c r="L1178" s="976"/>
      <c r="M1178" s="16"/>
    </row>
    <row r="1179" spans="1:13">
      <c r="A1179" s="15"/>
      <c r="B1179" s="972"/>
      <c r="C1179" s="973"/>
      <c r="D1179" s="973"/>
      <c r="E1179" s="973"/>
      <c r="F1179" s="973"/>
      <c r="G1179" s="395"/>
      <c r="H1179" s="977"/>
      <c r="I1179" s="978"/>
      <c r="J1179" s="978"/>
      <c r="K1179" s="978"/>
      <c r="L1179" s="979"/>
      <c r="M1179" s="16"/>
    </row>
    <row r="1180" spans="1:13">
      <c r="A1180" s="15"/>
      <c r="B1180" s="382"/>
      <c r="C1180" s="77"/>
      <c r="D1180" s="77"/>
      <c r="E1180" s="77"/>
      <c r="F1180" s="77"/>
      <c r="G1180" s="56"/>
      <c r="H1180" s="76"/>
      <c r="I1180" s="77"/>
      <c r="J1180" s="77"/>
      <c r="K1180" s="77"/>
      <c r="L1180" s="78"/>
      <c r="M1180" s="16"/>
    </row>
    <row r="1181" spans="1:13">
      <c r="A1181" s="15"/>
      <c r="B1181" s="378" t="str">
        <f>Master!F5</f>
        <v>GROTECH LANDSCAPE DEVELOPERS PVT. LTD.</v>
      </c>
      <c r="C1181" s="114"/>
      <c r="D1181" s="114"/>
      <c r="E1181" s="114"/>
      <c r="F1181" s="114"/>
      <c r="G1181" s="379"/>
      <c r="H1181" s="381" t="str">
        <f>Master!AN5</f>
        <v>GROTECH LANDSCAPE DEVELOPERS PVT. LTD.</v>
      </c>
      <c r="I1181" s="114"/>
      <c r="J1181" s="114"/>
      <c r="K1181" s="114"/>
      <c r="L1181" s="16"/>
      <c r="M1181" s="16"/>
    </row>
    <row r="1182" spans="1:13">
      <c r="A1182" s="15"/>
      <c r="B1182" s="15"/>
      <c r="C1182" s="114"/>
      <c r="D1182" s="114"/>
      <c r="E1182" s="114"/>
      <c r="F1182" s="114"/>
      <c r="G1182" s="379"/>
      <c r="H1182" s="380"/>
      <c r="I1182" s="114"/>
      <c r="J1182" s="114"/>
      <c r="K1182" s="114"/>
      <c r="L1182" s="16"/>
      <c r="M1182" s="16"/>
    </row>
    <row r="1183" spans="1:13">
      <c r="A1183" s="15"/>
      <c r="B1183" s="538" t="str">
        <f>Master!F6</f>
        <v>290/E, Khanapur Village, Gandipet Mandal, Ranga Reddy, Hyderabad-500075 T.S.</v>
      </c>
      <c r="C1183" s="114"/>
      <c r="D1183" s="114"/>
      <c r="E1183" s="114"/>
      <c r="F1183" s="114"/>
      <c r="G1183" s="379"/>
      <c r="H1183" s="539" t="str">
        <f>Master!AN6</f>
        <v>290/E, Khanapur Village, Gandipet Mandal, Ranga Reddy, Hyderabad-500075 T.S.</v>
      </c>
      <c r="I1183" s="114"/>
      <c r="J1183" s="114"/>
      <c r="K1183" s="114"/>
      <c r="L1183" s="16"/>
      <c r="M1183" s="16"/>
    </row>
    <row r="1184" spans="1:13">
      <c r="A1184" s="15"/>
      <c r="B1184" s="383"/>
      <c r="C1184" s="19"/>
      <c r="D1184" s="19"/>
      <c r="E1184" s="19"/>
      <c r="F1184" s="19"/>
      <c r="G1184" s="61"/>
      <c r="H1184" s="60"/>
      <c r="I1184" s="19"/>
      <c r="J1184" s="19"/>
      <c r="K1184" s="19"/>
      <c r="L1184" s="81"/>
      <c r="M1184" s="16"/>
    </row>
    <row r="1185" spans="1:13">
      <c r="A1185" s="15"/>
      <c r="B1185" s="389"/>
      <c r="C1185" s="390"/>
      <c r="D1185" s="390"/>
      <c r="E1185" s="390"/>
      <c r="F1185" s="390"/>
      <c r="G1185" s="391"/>
      <c r="H1185" s="396"/>
      <c r="I1185" s="390"/>
      <c r="J1185" s="390" t="s">
        <v>103</v>
      </c>
      <c r="K1185" s="390"/>
      <c r="L1185" s="397"/>
      <c r="M1185" s="16"/>
    </row>
    <row r="1186" spans="1:13">
      <c r="A1186" s="15"/>
      <c r="B1186" s="980" t="s">
        <v>104</v>
      </c>
      <c r="C1186" s="981"/>
      <c r="D1186" s="981"/>
      <c r="E1186" s="981"/>
      <c r="F1186" s="981"/>
      <c r="G1186" s="392"/>
      <c r="H1186" s="982" t="s">
        <v>4</v>
      </c>
      <c r="I1186" s="981"/>
      <c r="J1186" s="981"/>
      <c r="K1186" s="981"/>
      <c r="L1186" s="983"/>
      <c r="M1186" s="16"/>
    </row>
    <row r="1187" spans="1:13">
      <c r="A1187" s="15"/>
      <c r="B1187" s="393"/>
      <c r="C1187" s="394"/>
      <c r="D1187" s="394"/>
      <c r="E1187" s="394"/>
      <c r="F1187" s="394"/>
      <c r="G1187" s="395"/>
      <c r="H1187" s="398"/>
      <c r="I1187" s="394"/>
      <c r="J1187" s="394"/>
      <c r="K1187" s="394"/>
      <c r="L1187" s="399"/>
      <c r="M1187" s="16"/>
    </row>
    <row r="1188" spans="1:13">
      <c r="A1188" s="15"/>
      <c r="B1188" s="382"/>
      <c r="C1188" s="77"/>
      <c r="D1188" s="77"/>
      <c r="E1188" s="77"/>
      <c r="F1188" s="77"/>
      <c r="G1188" s="56"/>
      <c r="H1188" s="74"/>
      <c r="I1188" s="74"/>
      <c r="J1188" s="74"/>
      <c r="K1188" s="74"/>
      <c r="L1188" s="384"/>
      <c r="M1188" s="16"/>
    </row>
    <row r="1189" spans="1:13">
      <c r="A1189" s="15"/>
      <c r="B1189" s="15"/>
      <c r="C1189" s="114"/>
      <c r="D1189" s="114"/>
      <c r="E1189" s="114"/>
      <c r="F1189" s="114"/>
      <c r="G1189" s="379"/>
      <c r="H1189" s="115" t="str">
        <f>Master!AN10</f>
        <v>INDIAN SCHOOL OF BUSINESS</v>
      </c>
      <c r="I1189" s="115"/>
      <c r="J1189" s="115"/>
      <c r="K1189" s="115"/>
      <c r="L1189" s="71"/>
      <c r="M1189" s="16"/>
    </row>
    <row r="1190" spans="1:13">
      <c r="A1190" s="15"/>
      <c r="B1190" s="70" t="str">
        <f>Master!F8</f>
        <v>GARDENING SERVICES&amp;ISB HYDERABAD</v>
      </c>
      <c r="C1190" s="114"/>
      <c r="D1190" s="114"/>
      <c r="E1190" s="114"/>
      <c r="F1190" s="114"/>
      <c r="G1190" s="379"/>
      <c r="H1190" s="115"/>
      <c r="I1190" s="115"/>
      <c r="J1190" s="115"/>
      <c r="K1190" s="115"/>
      <c r="L1190" s="71"/>
      <c r="M1190" s="16"/>
    </row>
    <row r="1191" spans="1:13">
      <c r="A1191" s="15"/>
      <c r="B1191" s="15"/>
      <c r="C1191" s="114"/>
      <c r="D1191" s="114"/>
      <c r="E1191" s="114"/>
      <c r="F1191" s="114"/>
      <c r="G1191" s="379"/>
      <c r="H1191" s="115" t="str">
        <f>Master!AN11</f>
        <v>Opp.Infosys Limited,Gachibowli,Hyderabad</v>
      </c>
      <c r="I1191" s="115"/>
      <c r="J1191" s="115"/>
      <c r="K1191" s="115"/>
      <c r="L1191" s="71"/>
      <c r="M1191" s="16"/>
    </row>
    <row r="1192" spans="1:13">
      <c r="A1192" s="15"/>
      <c r="B1192" s="383"/>
      <c r="C1192" s="19"/>
      <c r="D1192" s="19"/>
      <c r="E1192" s="19"/>
      <c r="F1192" s="19"/>
      <c r="G1192" s="61"/>
      <c r="H1192" s="79"/>
      <c r="I1192" s="79"/>
      <c r="J1192" s="79"/>
      <c r="K1192" s="79"/>
      <c r="L1192" s="385"/>
      <c r="M1192" s="16"/>
    </row>
    <row r="1193" spans="1:13" ht="30" customHeight="1">
      <c r="A1193" s="15"/>
      <c r="B1193" s="948" t="s">
        <v>105</v>
      </c>
      <c r="C1193" s="949"/>
      <c r="D1193" s="949"/>
      <c r="E1193" s="949"/>
      <c r="F1193" s="949"/>
      <c r="G1193" s="949"/>
      <c r="H1193" s="950" t="str">
        <f>Master!D40</f>
        <v>MANGLI CHANDRAMMA</v>
      </c>
      <c r="I1193" s="951"/>
      <c r="J1193" s="951"/>
      <c r="K1193" s="951"/>
      <c r="L1193" s="952"/>
      <c r="M1193" s="16"/>
    </row>
    <row r="1194" spans="1:13" ht="30" customHeight="1">
      <c r="A1194" s="15"/>
      <c r="B1194" s="948"/>
      <c r="C1194" s="949"/>
      <c r="D1194" s="949"/>
      <c r="E1194" s="949"/>
      <c r="F1194" s="949"/>
      <c r="G1194" s="949"/>
      <c r="H1194" s="950" t="str">
        <f>Master!K40</f>
        <v>House no. - 3-33 Madharam,</v>
      </c>
      <c r="I1194" s="951"/>
      <c r="J1194" s="951"/>
      <c r="K1194" s="951"/>
      <c r="L1194" s="952"/>
      <c r="M1194" s="16"/>
    </row>
    <row r="1195" spans="1:13" ht="30" customHeight="1">
      <c r="A1195" s="15"/>
      <c r="B1195" s="948"/>
      <c r="C1195" s="949"/>
      <c r="D1195" s="949"/>
      <c r="E1195" s="949"/>
      <c r="F1195" s="949"/>
      <c r="G1195" s="949"/>
      <c r="H1195" s="950" t="str">
        <f>Master!L40</f>
        <v>MADHARAM,MEDHAK</v>
      </c>
      <c r="I1195" s="951"/>
      <c r="J1195" s="951"/>
      <c r="K1195" s="951"/>
      <c r="L1195" s="952"/>
      <c r="M1195" s="16"/>
    </row>
    <row r="1196" spans="1:13" ht="30" customHeight="1">
      <c r="A1196" s="15"/>
      <c r="B1196" s="948"/>
      <c r="C1196" s="949"/>
      <c r="D1196" s="949"/>
      <c r="E1196" s="949"/>
      <c r="F1196" s="949"/>
      <c r="G1196" s="949"/>
      <c r="H1196" s="950" t="str">
        <f>Master!M40</f>
        <v>Andhra pradesh - 502319</v>
      </c>
      <c r="I1196" s="951"/>
      <c r="J1196" s="951"/>
      <c r="K1196" s="951"/>
      <c r="L1196" s="952"/>
      <c r="M1196" s="16"/>
    </row>
    <row r="1197" spans="1:13" ht="30" customHeight="1">
      <c r="A1197" s="73"/>
      <c r="B1197" s="948"/>
      <c r="C1197" s="949"/>
      <c r="D1197" s="949"/>
      <c r="E1197" s="949"/>
      <c r="F1197" s="949"/>
      <c r="G1197" s="949"/>
      <c r="H1197" s="989">
        <f>Master!N1648</f>
        <v>0</v>
      </c>
      <c r="I1197" s="990"/>
      <c r="J1197" s="990"/>
      <c r="K1197" s="990"/>
      <c r="L1197" s="991"/>
      <c r="M1197" s="16"/>
    </row>
    <row r="1198" spans="1:13" ht="30" customHeight="1">
      <c r="A1198" s="73"/>
      <c r="B1198" s="984" t="s">
        <v>106</v>
      </c>
      <c r="C1198" s="985"/>
      <c r="D1198" s="985"/>
      <c r="E1198" s="985"/>
      <c r="F1198" s="985"/>
      <c r="G1198" s="985"/>
      <c r="H1198" s="947">
        <f>Master!C40</f>
        <v>30</v>
      </c>
      <c r="I1198" s="945"/>
      <c r="J1198" s="945"/>
      <c r="K1198" s="945"/>
      <c r="L1198" s="946"/>
      <c r="M1198" s="16"/>
    </row>
    <row r="1199" spans="1:13" ht="30" customHeight="1">
      <c r="A1199" s="73"/>
      <c r="B1199" s="943" t="s">
        <v>107</v>
      </c>
      <c r="C1199" s="944"/>
      <c r="D1199" s="944"/>
      <c r="E1199" s="944"/>
      <c r="F1199" s="944"/>
      <c r="G1199" s="944"/>
      <c r="H1199" s="947" t="str">
        <f>Master!J40</f>
        <v>Unskilled Gardner</v>
      </c>
      <c r="I1199" s="945"/>
      <c r="J1199" s="945"/>
      <c r="K1199" s="945"/>
      <c r="L1199" s="946"/>
      <c r="M1199" s="16"/>
    </row>
    <row r="1200" spans="1:13" ht="30" customHeight="1">
      <c r="A1200" s="73"/>
      <c r="B1200" s="943" t="s">
        <v>108</v>
      </c>
      <c r="C1200" s="944"/>
      <c r="D1200" s="944"/>
      <c r="E1200" s="944"/>
      <c r="F1200" s="944"/>
      <c r="G1200" s="944"/>
      <c r="H1200" s="957">
        <f>Master!S40</f>
        <v>43850</v>
      </c>
      <c r="I1200" s="958"/>
      <c r="J1200" s="958"/>
      <c r="K1200" s="958"/>
      <c r="L1200" s="959"/>
      <c r="M1200" s="16"/>
    </row>
    <row r="1201" spans="1:13" ht="30" customHeight="1">
      <c r="A1201" s="73"/>
      <c r="B1201" s="386" t="s">
        <v>109</v>
      </c>
      <c r="C1201" s="116"/>
      <c r="D1201" s="116"/>
      <c r="E1201" s="116"/>
      <c r="F1201" s="116"/>
      <c r="G1201" s="116"/>
      <c r="H1201" s="947">
        <f>Master!Y40</f>
        <v>5216340615</v>
      </c>
      <c r="I1201" s="947"/>
      <c r="J1201" s="947"/>
      <c r="K1201" s="947"/>
      <c r="L1201" s="953"/>
      <c r="M1201" s="16"/>
    </row>
    <row r="1202" spans="1:13" ht="30" customHeight="1">
      <c r="A1202" s="73"/>
      <c r="B1202" s="386" t="s">
        <v>110</v>
      </c>
      <c r="C1202" s="116"/>
      <c r="D1202" s="116"/>
      <c r="E1202" s="116"/>
      <c r="F1202" s="116"/>
      <c r="G1202" s="119"/>
      <c r="H1202" s="947" t="str">
        <f>Master!X40</f>
        <v>101554508983</v>
      </c>
      <c r="I1202" s="947"/>
      <c r="J1202" s="947"/>
      <c r="K1202" s="947"/>
      <c r="L1202" s="953"/>
      <c r="M1202" s="16"/>
    </row>
    <row r="1203" spans="1:13" ht="30" customHeight="1">
      <c r="A1203" s="73"/>
      <c r="B1203" s="954" t="s">
        <v>111</v>
      </c>
      <c r="C1203" s="955"/>
      <c r="D1203" s="955"/>
      <c r="E1203" s="955"/>
      <c r="F1203" s="955"/>
      <c r="G1203" s="955"/>
      <c r="H1203" s="950">
        <f>Master!AC40</f>
        <v>10627</v>
      </c>
      <c r="I1203" s="951"/>
      <c r="J1203" s="951"/>
      <c r="K1203" s="951"/>
      <c r="L1203" s="952"/>
      <c r="M1203" s="16"/>
    </row>
    <row r="1204" spans="1:13" ht="30" customHeight="1">
      <c r="A1204" s="73"/>
      <c r="B1204" s="943" t="s">
        <v>112</v>
      </c>
      <c r="C1204" s="944"/>
      <c r="D1204" s="944"/>
      <c r="E1204" s="944"/>
      <c r="F1204" s="944"/>
      <c r="G1204" s="944"/>
      <c r="H1204" s="956">
        <f>Master!F10</f>
        <v>44652</v>
      </c>
      <c r="I1204" s="945"/>
      <c r="J1204" s="945"/>
      <c r="K1204" s="945"/>
      <c r="L1204" s="946"/>
      <c r="M1204" s="16"/>
    </row>
    <row r="1205" spans="1:13" ht="30" customHeight="1">
      <c r="A1205" s="15"/>
      <c r="B1205" s="943" t="s">
        <v>113</v>
      </c>
      <c r="C1205" s="944"/>
      <c r="D1205" s="944"/>
      <c r="E1205" s="944"/>
      <c r="F1205" s="944"/>
      <c r="G1205" s="944"/>
      <c r="H1205" s="945" t="s">
        <v>114</v>
      </c>
      <c r="I1205" s="945"/>
      <c r="J1205" s="945"/>
      <c r="K1205" s="945"/>
      <c r="L1205" s="946"/>
      <c r="M1205" s="16"/>
    </row>
    <row r="1206" spans="1:13" ht="30" customHeight="1">
      <c r="A1206" s="15"/>
      <c r="B1206" s="386" t="s">
        <v>115</v>
      </c>
      <c r="C1206" s="116"/>
      <c r="D1206" s="116"/>
      <c r="E1206" s="116"/>
      <c r="F1206" s="116"/>
      <c r="G1206" s="119"/>
      <c r="H1206" s="947">
        <f>Master!AA40</f>
        <v>26</v>
      </c>
      <c r="I1206" s="945"/>
      <c r="J1206" s="945"/>
      <c r="K1206" s="945"/>
      <c r="L1206" s="946"/>
      <c r="M1206" s="16"/>
    </row>
    <row r="1207" spans="1:13" ht="30" customHeight="1">
      <c r="A1207" s="15"/>
      <c r="B1207" s="386" t="s">
        <v>116</v>
      </c>
      <c r="C1207" s="116"/>
      <c r="D1207" s="116"/>
      <c r="E1207" s="116"/>
      <c r="F1207" s="116"/>
      <c r="G1207" s="119"/>
      <c r="H1207" s="986" t="s">
        <v>28</v>
      </c>
      <c r="I1207" s="987"/>
      <c r="J1207" s="987"/>
      <c r="K1207" s="987"/>
      <c r="L1207" s="988"/>
      <c r="M1207" s="16"/>
    </row>
    <row r="1208" spans="1:13" ht="30" customHeight="1">
      <c r="A1208" s="15"/>
      <c r="B1208" s="386" t="s">
        <v>117</v>
      </c>
      <c r="C1208" s="116"/>
      <c r="D1208" s="116"/>
      <c r="E1208" s="116"/>
      <c r="F1208" s="116"/>
      <c r="G1208" s="119"/>
      <c r="H1208" s="989">
        <v>0</v>
      </c>
      <c r="I1208" s="990"/>
      <c r="J1208" s="990"/>
      <c r="K1208" s="990"/>
      <c r="L1208" s="991"/>
      <c r="M1208" s="16"/>
    </row>
    <row r="1209" spans="1:13" ht="30" customHeight="1">
      <c r="A1209" s="15"/>
      <c r="B1209" s="386" t="s">
        <v>118</v>
      </c>
      <c r="C1209" s="116"/>
      <c r="D1209" s="116"/>
      <c r="E1209" s="116"/>
      <c r="F1209" s="116"/>
      <c r="G1209" s="119"/>
      <c r="H1209" s="986">
        <v>0</v>
      </c>
      <c r="I1209" s="987"/>
      <c r="J1209" s="987"/>
      <c r="K1209" s="987"/>
      <c r="L1209" s="988"/>
      <c r="M1209" s="16"/>
    </row>
    <row r="1210" spans="1:13" ht="30" customHeight="1">
      <c r="A1210" s="15"/>
      <c r="B1210" s="386" t="s">
        <v>119</v>
      </c>
      <c r="C1210" s="116"/>
      <c r="D1210" s="116"/>
      <c r="E1210" s="116"/>
      <c r="F1210" s="116"/>
      <c r="G1210" s="119"/>
      <c r="H1210" s="487">
        <f>Master!AK40</f>
        <v>9210.4</v>
      </c>
      <c r="I1210" s="118"/>
      <c r="J1210" s="990">
        <f>Master!AK1648</f>
        <v>0</v>
      </c>
      <c r="K1210" s="992"/>
      <c r="L1210" s="581" t="s">
        <v>737</v>
      </c>
      <c r="M1210" s="16"/>
    </row>
    <row r="1211" spans="1:13" ht="30" customHeight="1">
      <c r="A1211" s="15"/>
      <c r="B1211" s="386" t="s">
        <v>120</v>
      </c>
      <c r="C1211" s="116"/>
      <c r="D1211" s="465" t="s">
        <v>24</v>
      </c>
      <c r="E1211" s="466">
        <f>Master!AM40</f>
        <v>1105</v>
      </c>
      <c r="F1211" s="465" t="s">
        <v>23</v>
      </c>
      <c r="G1211" s="466">
        <f>Master!AL40</f>
        <v>70</v>
      </c>
      <c r="H1211" s="465" t="s">
        <v>25</v>
      </c>
      <c r="I1211" s="466">
        <f>Master!AN40</f>
        <v>0</v>
      </c>
      <c r="J1211" s="465" t="s">
        <v>26</v>
      </c>
      <c r="K1211" s="466">
        <f>Master!AO40</f>
        <v>0</v>
      </c>
      <c r="L1211" s="400">
        <f>Master!AP40</f>
        <v>0</v>
      </c>
      <c r="M1211" s="16"/>
    </row>
    <row r="1212" spans="1:13" ht="30" customHeight="1">
      <c r="A1212" s="15"/>
      <c r="B1212" s="386" t="s">
        <v>121</v>
      </c>
      <c r="C1212" s="116"/>
      <c r="D1212" s="116"/>
      <c r="E1212" s="116"/>
      <c r="F1212" s="116"/>
      <c r="G1212" s="119"/>
      <c r="H1212" s="117"/>
      <c r="I1212" s="118"/>
      <c r="J1212" s="541">
        <f>Master!AR40</f>
        <v>8035.4</v>
      </c>
      <c r="K1212" s="118"/>
      <c r="L1212" s="125"/>
      <c r="M1212" s="16"/>
    </row>
    <row r="1213" spans="1:13">
      <c r="A1213" s="15"/>
      <c r="B1213" s="387" t="s">
        <v>122</v>
      </c>
      <c r="C1213" s="74"/>
      <c r="D1213" s="74"/>
      <c r="E1213" s="74"/>
      <c r="F1213" s="74"/>
      <c r="G1213" s="75"/>
      <c r="H1213" s="76"/>
      <c r="I1213" s="77"/>
      <c r="J1213" s="77"/>
      <c r="K1213" s="77"/>
      <c r="L1213" s="78"/>
      <c r="M1213" s="16"/>
    </row>
    <row r="1214" spans="1:13">
      <c r="A1214" s="15"/>
      <c r="B1214" s="388" t="s">
        <v>123</v>
      </c>
      <c r="C1214" s="79"/>
      <c r="D1214" s="79"/>
      <c r="E1214" s="79"/>
      <c r="F1214" s="79"/>
      <c r="G1214" s="80"/>
      <c r="H1214" s="60"/>
      <c r="I1214" s="19"/>
      <c r="J1214" s="19"/>
      <c r="K1214" s="19"/>
      <c r="L1214" s="81"/>
      <c r="M1214" s="16"/>
    </row>
    <row r="1215" spans="1:13">
      <c r="A1215" s="15"/>
      <c r="B1215" s="15"/>
      <c r="C1215" s="114"/>
      <c r="D1215" s="114"/>
      <c r="E1215" s="114"/>
      <c r="F1215" s="114"/>
      <c r="G1215" s="114"/>
      <c r="H1215" s="114"/>
      <c r="I1215" s="114"/>
      <c r="J1215" s="114"/>
      <c r="K1215" s="114"/>
      <c r="L1215" s="16"/>
      <c r="M1215" s="16"/>
    </row>
    <row r="1216" spans="1:13" ht="15" thickBot="1">
      <c r="A1216" s="27"/>
      <c r="B1216" s="27"/>
      <c r="C1216" s="25"/>
      <c r="D1216" s="25"/>
      <c r="E1216" s="25"/>
      <c r="F1216" s="25"/>
      <c r="G1216" s="25"/>
      <c r="H1216" s="25"/>
      <c r="I1216" s="25"/>
      <c r="J1216" s="25"/>
      <c r="K1216" s="25"/>
      <c r="L1216" s="26"/>
      <c r="M1216" s="26"/>
    </row>
    <row r="1217" spans="1:13">
      <c r="A1217" s="420"/>
      <c r="B1217" s="420"/>
      <c r="C1217" s="420"/>
      <c r="D1217" s="420"/>
      <c r="E1217" s="420"/>
      <c r="F1217" s="420"/>
      <c r="G1217" s="420"/>
      <c r="H1217" s="420"/>
      <c r="I1217" s="420"/>
      <c r="J1217" s="420"/>
      <c r="K1217" s="420"/>
      <c r="L1217" s="420"/>
      <c r="M1217" s="420"/>
    </row>
    <row r="1218" spans="1:13">
      <c r="A1218" s="420"/>
      <c r="B1218" s="420"/>
      <c r="C1218" s="420"/>
      <c r="D1218" s="420"/>
      <c r="E1218" s="420"/>
      <c r="F1218" s="420"/>
      <c r="G1218" s="420"/>
      <c r="H1218" s="420"/>
      <c r="I1218" s="420"/>
      <c r="J1218" s="420"/>
      <c r="K1218" s="420"/>
      <c r="L1218" s="420"/>
      <c r="M1218" s="420"/>
    </row>
    <row r="1219" spans="1:13">
      <c r="A1219" s="420"/>
      <c r="B1219" s="420"/>
      <c r="C1219" s="420"/>
      <c r="D1219" s="420"/>
      <c r="E1219" s="420"/>
      <c r="F1219" s="420"/>
      <c r="G1219" s="420"/>
      <c r="H1219" s="420"/>
      <c r="I1219" s="420"/>
      <c r="J1219" s="420"/>
      <c r="K1219" s="420"/>
      <c r="L1219" s="420"/>
      <c r="M1219" s="420"/>
    </row>
    <row r="1220" spans="1:13">
      <c r="A1220" s="420"/>
      <c r="B1220" s="420"/>
      <c r="C1220" s="420"/>
      <c r="D1220" s="420"/>
      <c r="E1220" s="420"/>
      <c r="F1220" s="420"/>
      <c r="G1220" s="420"/>
      <c r="H1220" s="420"/>
      <c r="I1220" s="420"/>
      <c r="J1220" s="420"/>
      <c r="K1220" s="420"/>
      <c r="L1220" s="420"/>
      <c r="M1220" s="420"/>
    </row>
    <row r="1221" spans="1:13" ht="15" thickBot="1">
      <c r="A1221" s="420"/>
      <c r="B1221" s="420"/>
      <c r="C1221" s="420"/>
      <c r="D1221" s="420"/>
      <c r="E1221" s="420"/>
      <c r="F1221" s="420"/>
      <c r="G1221" s="420"/>
      <c r="H1221" s="420"/>
      <c r="I1221" s="420"/>
      <c r="J1221" s="420"/>
      <c r="K1221" s="420"/>
      <c r="L1221" s="420"/>
      <c r="M1221" s="420"/>
    </row>
    <row r="1222" spans="1:13" ht="32.4">
      <c r="A1222" s="68"/>
      <c r="B1222" s="960" t="s">
        <v>99</v>
      </c>
      <c r="C1222" s="961"/>
      <c r="D1222" s="961"/>
      <c r="E1222" s="961"/>
      <c r="F1222" s="961"/>
      <c r="G1222" s="961"/>
      <c r="H1222" s="961"/>
      <c r="I1222" s="961"/>
      <c r="J1222" s="961"/>
      <c r="K1222" s="961"/>
      <c r="L1222" s="962"/>
      <c r="M1222" s="69"/>
    </row>
    <row r="1223" spans="1:13" ht="23.4">
      <c r="A1223" s="15"/>
      <c r="B1223" s="963" t="s">
        <v>100</v>
      </c>
      <c r="C1223" s="964"/>
      <c r="D1223" s="964"/>
      <c r="E1223" s="964"/>
      <c r="F1223" s="964"/>
      <c r="G1223" s="964"/>
      <c r="H1223" s="964"/>
      <c r="I1223" s="964"/>
      <c r="J1223" s="964"/>
      <c r="K1223" s="964"/>
      <c r="L1223" s="965"/>
      <c r="M1223" s="16"/>
    </row>
    <row r="1224" spans="1:13" ht="15.6">
      <c r="A1224" s="15"/>
      <c r="B1224" s="966" t="s">
        <v>1070</v>
      </c>
      <c r="C1224" s="967"/>
      <c r="D1224" s="967"/>
      <c r="E1224" s="967"/>
      <c r="F1224" s="967"/>
      <c r="G1224" s="967"/>
      <c r="H1224" s="968"/>
      <c r="I1224" s="968"/>
      <c r="J1224" s="968"/>
      <c r="K1224" s="968"/>
      <c r="L1224" s="969"/>
      <c r="M1224" s="16"/>
    </row>
    <row r="1225" spans="1:13">
      <c r="A1225" s="15"/>
      <c r="B1225" s="970" t="s">
        <v>101</v>
      </c>
      <c r="C1225" s="971"/>
      <c r="D1225" s="971"/>
      <c r="E1225" s="971"/>
      <c r="F1225" s="971"/>
      <c r="G1225" s="391"/>
      <c r="H1225" s="974" t="s">
        <v>102</v>
      </c>
      <c r="I1225" s="975"/>
      <c r="J1225" s="975"/>
      <c r="K1225" s="975"/>
      <c r="L1225" s="976"/>
      <c r="M1225" s="16"/>
    </row>
    <row r="1226" spans="1:13">
      <c r="A1226" s="15"/>
      <c r="B1226" s="972"/>
      <c r="C1226" s="973"/>
      <c r="D1226" s="973"/>
      <c r="E1226" s="973"/>
      <c r="F1226" s="973"/>
      <c r="G1226" s="395"/>
      <c r="H1226" s="977"/>
      <c r="I1226" s="978"/>
      <c r="J1226" s="978"/>
      <c r="K1226" s="978"/>
      <c r="L1226" s="979"/>
      <c r="M1226" s="16"/>
    </row>
    <row r="1227" spans="1:13">
      <c r="A1227" s="15"/>
      <c r="B1227" s="382"/>
      <c r="C1227" s="77"/>
      <c r="D1227" s="77"/>
      <c r="E1227" s="77"/>
      <c r="F1227" s="77"/>
      <c r="G1227" s="56"/>
      <c r="H1227" s="76"/>
      <c r="I1227" s="77"/>
      <c r="J1227" s="77"/>
      <c r="K1227" s="77"/>
      <c r="L1227" s="78"/>
      <c r="M1227" s="16"/>
    </row>
    <row r="1228" spans="1:13">
      <c r="A1228" s="15"/>
      <c r="B1228" s="378" t="str">
        <f>Master!F5</f>
        <v>GROTECH LANDSCAPE DEVELOPERS PVT. LTD.</v>
      </c>
      <c r="C1228" s="114"/>
      <c r="D1228" s="114"/>
      <c r="E1228" s="114"/>
      <c r="F1228" s="114"/>
      <c r="G1228" s="379"/>
      <c r="H1228" s="381" t="str">
        <f>Master!AN5</f>
        <v>GROTECH LANDSCAPE DEVELOPERS PVT. LTD.</v>
      </c>
      <c r="I1228" s="114"/>
      <c r="J1228" s="114"/>
      <c r="K1228" s="114"/>
      <c r="L1228" s="16"/>
      <c r="M1228" s="16"/>
    </row>
    <row r="1229" spans="1:13">
      <c r="A1229" s="15"/>
      <c r="B1229" s="15"/>
      <c r="C1229" s="114"/>
      <c r="D1229" s="114"/>
      <c r="E1229" s="114"/>
      <c r="F1229" s="114"/>
      <c r="G1229" s="379"/>
      <c r="H1229" s="380"/>
      <c r="I1229" s="114"/>
      <c r="J1229" s="114"/>
      <c r="K1229" s="114"/>
      <c r="L1229" s="16"/>
      <c r="M1229" s="16"/>
    </row>
    <row r="1230" spans="1:13">
      <c r="A1230" s="15"/>
      <c r="B1230" s="538" t="str">
        <f>Master!F6</f>
        <v>290/E, Khanapur Village, Gandipet Mandal, Ranga Reddy, Hyderabad-500075 T.S.</v>
      </c>
      <c r="C1230" s="114"/>
      <c r="D1230" s="114"/>
      <c r="E1230" s="114"/>
      <c r="F1230" s="114"/>
      <c r="G1230" s="379"/>
      <c r="H1230" s="539" t="str">
        <f>Master!AN6</f>
        <v>290/E, Khanapur Village, Gandipet Mandal, Ranga Reddy, Hyderabad-500075 T.S.</v>
      </c>
      <c r="I1230" s="114"/>
      <c r="J1230" s="114"/>
      <c r="K1230" s="114"/>
      <c r="L1230" s="16"/>
      <c r="M1230" s="16"/>
    </row>
    <row r="1231" spans="1:13">
      <c r="A1231" s="15"/>
      <c r="B1231" s="383"/>
      <c r="C1231" s="19"/>
      <c r="D1231" s="19"/>
      <c r="E1231" s="19"/>
      <c r="F1231" s="19"/>
      <c r="G1231" s="61"/>
      <c r="H1231" s="60"/>
      <c r="I1231" s="19"/>
      <c r="J1231" s="19"/>
      <c r="K1231" s="19"/>
      <c r="L1231" s="81"/>
      <c r="M1231" s="16"/>
    </row>
    <row r="1232" spans="1:13">
      <c r="A1232" s="15"/>
      <c r="B1232" s="389"/>
      <c r="C1232" s="390"/>
      <c r="D1232" s="390"/>
      <c r="E1232" s="390"/>
      <c r="F1232" s="390"/>
      <c r="G1232" s="391"/>
      <c r="H1232" s="396"/>
      <c r="I1232" s="390"/>
      <c r="J1232" s="390" t="s">
        <v>103</v>
      </c>
      <c r="K1232" s="390"/>
      <c r="L1232" s="397"/>
      <c r="M1232" s="16"/>
    </row>
    <row r="1233" spans="1:13">
      <c r="A1233" s="15"/>
      <c r="B1233" s="980" t="s">
        <v>104</v>
      </c>
      <c r="C1233" s="981"/>
      <c r="D1233" s="981"/>
      <c r="E1233" s="981"/>
      <c r="F1233" s="981"/>
      <c r="G1233" s="392"/>
      <c r="H1233" s="982" t="s">
        <v>4</v>
      </c>
      <c r="I1233" s="981"/>
      <c r="J1233" s="981"/>
      <c r="K1233" s="981"/>
      <c r="L1233" s="983"/>
      <c r="M1233" s="16"/>
    </row>
    <row r="1234" spans="1:13">
      <c r="A1234" s="15"/>
      <c r="B1234" s="393"/>
      <c r="C1234" s="394"/>
      <c r="D1234" s="394"/>
      <c r="E1234" s="394"/>
      <c r="F1234" s="394"/>
      <c r="G1234" s="395"/>
      <c r="H1234" s="398"/>
      <c r="I1234" s="394"/>
      <c r="J1234" s="394"/>
      <c r="K1234" s="394"/>
      <c r="L1234" s="399"/>
      <c r="M1234" s="16"/>
    </row>
    <row r="1235" spans="1:13">
      <c r="A1235" s="15"/>
      <c r="B1235" s="382"/>
      <c r="C1235" s="77"/>
      <c r="D1235" s="77"/>
      <c r="E1235" s="77"/>
      <c r="F1235" s="77"/>
      <c r="G1235" s="56"/>
      <c r="H1235" s="74"/>
      <c r="I1235" s="74"/>
      <c r="J1235" s="74"/>
      <c r="K1235" s="74"/>
      <c r="L1235" s="384"/>
      <c r="M1235" s="16"/>
    </row>
    <row r="1236" spans="1:13">
      <c r="A1236" s="15"/>
      <c r="B1236" s="15"/>
      <c r="C1236" s="114"/>
      <c r="D1236" s="114"/>
      <c r="E1236" s="114"/>
      <c r="F1236" s="114"/>
      <c r="G1236" s="379"/>
      <c r="H1236" s="115" t="str">
        <f>Master!AN10</f>
        <v>INDIAN SCHOOL OF BUSINESS</v>
      </c>
      <c r="I1236" s="115"/>
      <c r="J1236" s="115"/>
      <c r="K1236" s="115"/>
      <c r="L1236" s="71"/>
      <c r="M1236" s="16"/>
    </row>
    <row r="1237" spans="1:13">
      <c r="A1237" s="15"/>
      <c r="B1237" s="70" t="str">
        <f>Master!F8</f>
        <v>GARDENING SERVICES&amp;ISB HYDERABAD</v>
      </c>
      <c r="C1237" s="114"/>
      <c r="D1237" s="114"/>
      <c r="E1237" s="114"/>
      <c r="F1237" s="114"/>
      <c r="G1237" s="379"/>
      <c r="H1237" s="115"/>
      <c r="I1237" s="115"/>
      <c r="J1237" s="115"/>
      <c r="K1237" s="115"/>
      <c r="L1237" s="71"/>
      <c r="M1237" s="16"/>
    </row>
    <row r="1238" spans="1:13">
      <c r="A1238" s="15"/>
      <c r="B1238" s="15"/>
      <c r="C1238" s="114"/>
      <c r="D1238" s="114"/>
      <c r="E1238" s="114"/>
      <c r="F1238" s="114"/>
      <c r="G1238" s="379"/>
      <c r="H1238" s="115" t="str">
        <f>Master!AN11</f>
        <v>Opp.Infosys Limited,Gachibowli,Hyderabad</v>
      </c>
      <c r="I1238" s="115"/>
      <c r="J1238" s="115"/>
      <c r="K1238" s="115"/>
      <c r="L1238" s="71"/>
      <c r="M1238" s="16"/>
    </row>
    <row r="1239" spans="1:13">
      <c r="A1239" s="15"/>
      <c r="B1239" s="383"/>
      <c r="C1239" s="19"/>
      <c r="D1239" s="19"/>
      <c r="E1239" s="19"/>
      <c r="F1239" s="19"/>
      <c r="G1239" s="61"/>
      <c r="H1239" s="79"/>
      <c r="I1239" s="79"/>
      <c r="J1239" s="79"/>
      <c r="K1239" s="79"/>
      <c r="L1239" s="385"/>
      <c r="M1239" s="16"/>
    </row>
    <row r="1240" spans="1:13" ht="30" customHeight="1">
      <c r="A1240" s="15"/>
      <c r="B1240" s="948" t="s">
        <v>105</v>
      </c>
      <c r="C1240" s="949"/>
      <c r="D1240" s="949"/>
      <c r="E1240" s="949"/>
      <c r="F1240" s="949"/>
      <c r="G1240" s="949"/>
      <c r="H1240" s="950" t="str">
        <f>Master!D41</f>
        <v>DASARI SUVARNA</v>
      </c>
      <c r="I1240" s="951"/>
      <c r="J1240" s="951"/>
      <c r="K1240" s="951"/>
      <c r="L1240" s="952"/>
      <c r="M1240" s="16"/>
    </row>
    <row r="1241" spans="1:13" ht="30" customHeight="1">
      <c r="A1241" s="15"/>
      <c r="B1241" s="948"/>
      <c r="C1241" s="949"/>
      <c r="D1241" s="949"/>
      <c r="E1241" s="949"/>
      <c r="F1241" s="949"/>
      <c r="G1241" s="949"/>
      <c r="H1241" s="950" t="str">
        <f>Master!K41</f>
        <v>H.NO.11-50,GOPINAGAR,SERILINGMPLLI</v>
      </c>
      <c r="I1241" s="951"/>
      <c r="J1241" s="951"/>
      <c r="K1241" s="951"/>
      <c r="L1241" s="952"/>
      <c r="M1241" s="16"/>
    </row>
    <row r="1242" spans="1:13" ht="30" customHeight="1">
      <c r="A1242" s="15"/>
      <c r="B1242" s="948"/>
      <c r="C1242" s="949"/>
      <c r="D1242" s="949"/>
      <c r="E1242" s="949"/>
      <c r="F1242" s="949"/>
      <c r="G1242" s="949"/>
      <c r="H1242" s="950" t="str">
        <f>Master!L41</f>
        <v>NEAR GVT SCHOOL LINGAMPALLI,</v>
      </c>
      <c r="I1242" s="951"/>
      <c r="J1242" s="951"/>
      <c r="K1242" s="951"/>
      <c r="L1242" s="952"/>
      <c r="M1242" s="16"/>
    </row>
    <row r="1243" spans="1:13" ht="30" customHeight="1">
      <c r="A1243" s="15"/>
      <c r="B1243" s="948"/>
      <c r="C1243" s="949"/>
      <c r="D1243" s="949"/>
      <c r="E1243" s="949"/>
      <c r="F1243" s="949"/>
      <c r="G1243" s="949"/>
      <c r="H1243" s="950" t="str">
        <f>Master!M41</f>
        <v>KV R.R,TS-500019</v>
      </c>
      <c r="I1243" s="951"/>
      <c r="J1243" s="951"/>
      <c r="K1243" s="951"/>
      <c r="L1243" s="952"/>
      <c r="M1243" s="16"/>
    </row>
    <row r="1244" spans="1:13" ht="30" customHeight="1">
      <c r="A1244" s="73"/>
      <c r="B1244" s="948"/>
      <c r="C1244" s="949"/>
      <c r="D1244" s="949"/>
      <c r="E1244" s="949"/>
      <c r="F1244" s="949"/>
      <c r="G1244" s="949"/>
      <c r="H1244" s="989">
        <f>Master!N1716</f>
        <v>0</v>
      </c>
      <c r="I1244" s="990"/>
      <c r="J1244" s="990"/>
      <c r="K1244" s="990"/>
      <c r="L1244" s="991"/>
      <c r="M1244" s="16"/>
    </row>
    <row r="1245" spans="1:13" ht="30" customHeight="1">
      <c r="A1245" s="73"/>
      <c r="B1245" s="984" t="s">
        <v>106</v>
      </c>
      <c r="C1245" s="985"/>
      <c r="D1245" s="985"/>
      <c r="E1245" s="985"/>
      <c r="F1245" s="985"/>
      <c r="G1245" s="985"/>
      <c r="H1245" s="947">
        <f>Master!C41</f>
        <v>31</v>
      </c>
      <c r="I1245" s="945"/>
      <c r="J1245" s="945"/>
      <c r="K1245" s="945"/>
      <c r="L1245" s="946"/>
      <c r="M1245" s="16"/>
    </row>
    <row r="1246" spans="1:13" ht="30" customHeight="1">
      <c r="A1246" s="73"/>
      <c r="B1246" s="943" t="s">
        <v>107</v>
      </c>
      <c r="C1246" s="944"/>
      <c r="D1246" s="944"/>
      <c r="E1246" s="944"/>
      <c r="F1246" s="944"/>
      <c r="G1246" s="944"/>
      <c r="H1246" s="947" t="str">
        <f>Master!J41</f>
        <v>Unskilled Gardner</v>
      </c>
      <c r="I1246" s="945"/>
      <c r="J1246" s="945"/>
      <c r="K1246" s="945"/>
      <c r="L1246" s="946"/>
      <c r="M1246" s="16"/>
    </row>
    <row r="1247" spans="1:13" ht="30" customHeight="1">
      <c r="A1247" s="73"/>
      <c r="B1247" s="943" t="s">
        <v>108</v>
      </c>
      <c r="C1247" s="944"/>
      <c r="D1247" s="944"/>
      <c r="E1247" s="944"/>
      <c r="F1247" s="944"/>
      <c r="G1247" s="944"/>
      <c r="H1247" s="957">
        <f>Master!S41</f>
        <v>43850</v>
      </c>
      <c r="I1247" s="958"/>
      <c r="J1247" s="958"/>
      <c r="K1247" s="958"/>
      <c r="L1247" s="959"/>
      <c r="M1247" s="16"/>
    </row>
    <row r="1248" spans="1:13" ht="30" customHeight="1">
      <c r="A1248" s="73"/>
      <c r="B1248" s="386" t="s">
        <v>109</v>
      </c>
      <c r="C1248" s="116"/>
      <c r="D1248" s="116"/>
      <c r="E1248" s="116"/>
      <c r="F1248" s="116"/>
      <c r="G1248" s="116"/>
      <c r="H1248" s="947">
        <f>Master!Y41</f>
        <v>5216116294</v>
      </c>
      <c r="I1248" s="947"/>
      <c r="J1248" s="947"/>
      <c r="K1248" s="947"/>
      <c r="L1248" s="953"/>
      <c r="M1248" s="16"/>
    </row>
    <row r="1249" spans="1:13" ht="30" customHeight="1">
      <c r="A1249" s="73"/>
      <c r="B1249" s="386" t="s">
        <v>110</v>
      </c>
      <c r="C1249" s="116"/>
      <c r="D1249" s="116"/>
      <c r="E1249" s="116"/>
      <c r="F1249" s="116"/>
      <c r="G1249" s="119"/>
      <c r="H1249" s="947" t="str">
        <f>Master!X41</f>
        <v>101521098686</v>
      </c>
      <c r="I1249" s="947"/>
      <c r="J1249" s="947"/>
      <c r="K1249" s="947"/>
      <c r="L1249" s="953"/>
      <c r="M1249" s="16"/>
    </row>
    <row r="1250" spans="1:13" ht="30" customHeight="1">
      <c r="A1250" s="73"/>
      <c r="B1250" s="954" t="s">
        <v>111</v>
      </c>
      <c r="C1250" s="955"/>
      <c r="D1250" s="955"/>
      <c r="E1250" s="955"/>
      <c r="F1250" s="955"/>
      <c r="G1250" s="955"/>
      <c r="H1250" s="950">
        <f>Master!AC41</f>
        <v>10627</v>
      </c>
      <c r="I1250" s="951"/>
      <c r="J1250" s="951"/>
      <c r="K1250" s="951"/>
      <c r="L1250" s="952"/>
      <c r="M1250" s="16"/>
    </row>
    <row r="1251" spans="1:13" ht="30" customHeight="1">
      <c r="A1251" s="73"/>
      <c r="B1251" s="943" t="s">
        <v>112</v>
      </c>
      <c r="C1251" s="944"/>
      <c r="D1251" s="944"/>
      <c r="E1251" s="944"/>
      <c r="F1251" s="944"/>
      <c r="G1251" s="944"/>
      <c r="H1251" s="956">
        <f>Master!F10</f>
        <v>44652</v>
      </c>
      <c r="I1251" s="945"/>
      <c r="J1251" s="945"/>
      <c r="K1251" s="945"/>
      <c r="L1251" s="946"/>
      <c r="M1251" s="16"/>
    </row>
    <row r="1252" spans="1:13" ht="30" customHeight="1">
      <c r="A1252" s="15"/>
      <c r="B1252" s="943" t="s">
        <v>113</v>
      </c>
      <c r="C1252" s="944"/>
      <c r="D1252" s="944"/>
      <c r="E1252" s="944"/>
      <c r="F1252" s="944"/>
      <c r="G1252" s="944"/>
      <c r="H1252" s="945" t="s">
        <v>114</v>
      </c>
      <c r="I1252" s="945"/>
      <c r="J1252" s="945"/>
      <c r="K1252" s="945"/>
      <c r="L1252" s="946"/>
      <c r="M1252" s="16"/>
    </row>
    <row r="1253" spans="1:13" ht="30" customHeight="1">
      <c r="A1253" s="15"/>
      <c r="B1253" s="386" t="s">
        <v>115</v>
      </c>
      <c r="C1253" s="116"/>
      <c r="D1253" s="116"/>
      <c r="E1253" s="116"/>
      <c r="F1253" s="116"/>
      <c r="G1253" s="119"/>
      <c r="H1253" s="947">
        <f>Master!AA41</f>
        <v>0</v>
      </c>
      <c r="I1253" s="945"/>
      <c r="J1253" s="945"/>
      <c r="K1253" s="945"/>
      <c r="L1253" s="946"/>
      <c r="M1253" s="16"/>
    </row>
    <row r="1254" spans="1:13" ht="30" customHeight="1">
      <c r="A1254" s="15"/>
      <c r="B1254" s="386" t="s">
        <v>116</v>
      </c>
      <c r="C1254" s="116"/>
      <c r="D1254" s="116"/>
      <c r="E1254" s="116"/>
      <c r="F1254" s="116"/>
      <c r="G1254" s="119"/>
      <c r="H1254" s="986" t="s">
        <v>28</v>
      </c>
      <c r="I1254" s="987"/>
      <c r="J1254" s="987"/>
      <c r="K1254" s="987"/>
      <c r="L1254" s="988"/>
      <c r="M1254" s="16"/>
    </row>
    <row r="1255" spans="1:13" ht="30" customHeight="1">
      <c r="A1255" s="15"/>
      <c r="B1255" s="386" t="s">
        <v>117</v>
      </c>
      <c r="C1255" s="116"/>
      <c r="D1255" s="116"/>
      <c r="E1255" s="116"/>
      <c r="F1255" s="116"/>
      <c r="G1255" s="119"/>
      <c r="H1255" s="989">
        <v>0</v>
      </c>
      <c r="I1255" s="990"/>
      <c r="J1255" s="990"/>
      <c r="K1255" s="990"/>
      <c r="L1255" s="991"/>
      <c r="M1255" s="16"/>
    </row>
    <row r="1256" spans="1:13" ht="30" customHeight="1">
      <c r="A1256" s="15"/>
      <c r="B1256" s="386" t="s">
        <v>118</v>
      </c>
      <c r="C1256" s="116"/>
      <c r="D1256" s="116"/>
      <c r="E1256" s="116"/>
      <c r="F1256" s="116"/>
      <c r="G1256" s="119"/>
      <c r="H1256" s="986">
        <v>0</v>
      </c>
      <c r="I1256" s="987"/>
      <c r="J1256" s="987"/>
      <c r="K1256" s="987"/>
      <c r="L1256" s="988"/>
      <c r="M1256" s="16"/>
    </row>
    <row r="1257" spans="1:13" ht="30" customHeight="1">
      <c r="A1257" s="15"/>
      <c r="B1257" s="386" t="s">
        <v>119</v>
      </c>
      <c r="C1257" s="116"/>
      <c r="D1257" s="116"/>
      <c r="E1257" s="116"/>
      <c r="F1257" s="116"/>
      <c r="G1257" s="119"/>
      <c r="H1257" s="117"/>
      <c r="I1257" s="118"/>
      <c r="J1257" s="990">
        <f>Master!AK41</f>
        <v>0</v>
      </c>
      <c r="K1257" s="992"/>
      <c r="L1257" s="581" t="s">
        <v>737</v>
      </c>
      <c r="M1257" s="16"/>
    </row>
    <row r="1258" spans="1:13" ht="30" customHeight="1">
      <c r="A1258" s="15"/>
      <c r="B1258" s="386" t="s">
        <v>120</v>
      </c>
      <c r="C1258" s="116"/>
      <c r="D1258" s="465" t="s">
        <v>24</v>
      </c>
      <c r="E1258" s="466">
        <f>Master!AM41</f>
        <v>0</v>
      </c>
      <c r="F1258" s="465" t="s">
        <v>23</v>
      </c>
      <c r="G1258" s="466">
        <f>Master!AL41</f>
        <v>0</v>
      </c>
      <c r="H1258" s="465" t="s">
        <v>25</v>
      </c>
      <c r="I1258" s="466">
        <f>Master!AN41</f>
        <v>0</v>
      </c>
      <c r="J1258" s="465" t="s">
        <v>26</v>
      </c>
      <c r="K1258" s="466">
        <f>Master!AO41</f>
        <v>0</v>
      </c>
      <c r="L1258" s="400">
        <f>Master!AP41</f>
        <v>0</v>
      </c>
      <c r="M1258" s="16"/>
    </row>
    <row r="1259" spans="1:13" ht="30" customHeight="1">
      <c r="A1259" s="15"/>
      <c r="B1259" s="386" t="s">
        <v>121</v>
      </c>
      <c r="C1259" s="116"/>
      <c r="D1259" s="116"/>
      <c r="E1259" s="116"/>
      <c r="F1259" s="116"/>
      <c r="G1259" s="119"/>
      <c r="H1259" s="117"/>
      <c r="I1259" s="118"/>
      <c r="J1259" s="541">
        <f>Master!AR41</f>
        <v>0</v>
      </c>
      <c r="K1259" s="118"/>
      <c r="L1259" s="125"/>
      <c r="M1259" s="16"/>
    </row>
    <row r="1260" spans="1:13">
      <c r="A1260" s="15"/>
      <c r="B1260" s="387" t="s">
        <v>122</v>
      </c>
      <c r="C1260" s="74"/>
      <c r="D1260" s="74"/>
      <c r="E1260" s="74"/>
      <c r="F1260" s="74"/>
      <c r="G1260" s="75"/>
      <c r="H1260" s="76"/>
      <c r="I1260" s="77"/>
      <c r="J1260" s="77"/>
      <c r="K1260" s="77"/>
      <c r="L1260" s="78"/>
      <c r="M1260" s="16"/>
    </row>
    <row r="1261" spans="1:13">
      <c r="A1261" s="15"/>
      <c r="B1261" s="388" t="s">
        <v>123</v>
      </c>
      <c r="C1261" s="79"/>
      <c r="D1261" s="79"/>
      <c r="E1261" s="79"/>
      <c r="F1261" s="79"/>
      <c r="G1261" s="80"/>
      <c r="H1261" s="60"/>
      <c r="I1261" s="19"/>
      <c r="J1261" s="19"/>
      <c r="K1261" s="19"/>
      <c r="L1261" s="81"/>
      <c r="M1261" s="16"/>
    </row>
    <row r="1262" spans="1:13">
      <c r="A1262" s="15"/>
      <c r="B1262" s="15"/>
      <c r="C1262" s="114"/>
      <c r="D1262" s="114"/>
      <c r="E1262" s="114"/>
      <c r="F1262" s="114"/>
      <c r="G1262" s="114"/>
      <c r="H1262" s="114"/>
      <c r="I1262" s="114"/>
      <c r="J1262" s="114"/>
      <c r="K1262" s="114"/>
      <c r="L1262" s="16"/>
      <c r="M1262" s="16"/>
    </row>
    <row r="1263" spans="1:13" ht="15" thickBot="1">
      <c r="A1263" s="27"/>
      <c r="B1263" s="27"/>
      <c r="C1263" s="25"/>
      <c r="D1263" s="25"/>
      <c r="E1263" s="25"/>
      <c r="F1263" s="25"/>
      <c r="G1263" s="25"/>
      <c r="H1263" s="25"/>
      <c r="I1263" s="25"/>
      <c r="J1263" s="25"/>
      <c r="K1263" s="25"/>
      <c r="L1263" s="26"/>
      <c r="M1263" s="26"/>
    </row>
    <row r="1264" spans="1:13">
      <c r="A1264" s="420"/>
      <c r="B1264" s="420"/>
      <c r="C1264" s="420"/>
      <c r="D1264" s="420"/>
      <c r="E1264" s="420"/>
      <c r="F1264" s="420"/>
      <c r="G1264" s="420"/>
      <c r="H1264" s="420"/>
      <c r="I1264" s="420"/>
      <c r="J1264" s="420"/>
      <c r="K1264" s="420"/>
      <c r="L1264" s="420"/>
      <c r="M1264" s="420"/>
    </row>
    <row r="1265" spans="1:13">
      <c r="A1265" s="420"/>
      <c r="B1265" s="420"/>
      <c r="C1265" s="420"/>
      <c r="D1265" s="420"/>
      <c r="E1265" s="420"/>
      <c r="F1265" s="420"/>
      <c r="G1265" s="420"/>
      <c r="H1265" s="420"/>
      <c r="I1265" s="420"/>
      <c r="J1265" s="420"/>
      <c r="K1265" s="420"/>
      <c r="L1265" s="420"/>
      <c r="M1265" s="420"/>
    </row>
    <row r="1266" spans="1:13">
      <c r="A1266" s="420"/>
      <c r="B1266" s="420"/>
      <c r="C1266" s="420"/>
      <c r="D1266" s="420"/>
      <c r="E1266" s="420"/>
      <c r="F1266" s="420"/>
      <c r="G1266" s="420"/>
      <c r="H1266" s="420"/>
      <c r="I1266" s="420"/>
      <c r="J1266" s="420"/>
      <c r="K1266" s="420"/>
      <c r="L1266" s="420"/>
      <c r="M1266" s="420"/>
    </row>
    <row r="1267" spans="1:13">
      <c r="A1267" s="420"/>
      <c r="B1267" s="420"/>
      <c r="C1267" s="420"/>
      <c r="D1267" s="420"/>
      <c r="E1267" s="420"/>
      <c r="F1267" s="420"/>
      <c r="G1267" s="420"/>
      <c r="H1267" s="420"/>
      <c r="I1267" s="420"/>
      <c r="J1267" s="420"/>
      <c r="K1267" s="420"/>
      <c r="L1267" s="420"/>
      <c r="M1267" s="420"/>
    </row>
    <row r="1268" spans="1:13" ht="15" thickBot="1">
      <c r="A1268" s="420"/>
      <c r="B1268" s="420"/>
      <c r="C1268" s="420"/>
      <c r="D1268" s="420"/>
      <c r="E1268" s="420"/>
      <c r="F1268" s="420"/>
      <c r="G1268" s="420"/>
      <c r="H1268" s="420"/>
      <c r="I1268" s="420"/>
      <c r="J1268" s="420"/>
      <c r="K1268" s="420"/>
      <c r="L1268" s="420"/>
      <c r="M1268" s="420"/>
    </row>
    <row r="1269" spans="1:13" ht="32.4">
      <c r="A1269" s="68"/>
      <c r="B1269" s="960" t="s">
        <v>99</v>
      </c>
      <c r="C1269" s="961"/>
      <c r="D1269" s="961"/>
      <c r="E1269" s="961"/>
      <c r="F1269" s="961"/>
      <c r="G1269" s="961"/>
      <c r="H1269" s="961"/>
      <c r="I1269" s="961"/>
      <c r="J1269" s="961"/>
      <c r="K1269" s="961"/>
      <c r="L1269" s="962"/>
      <c r="M1269" s="69"/>
    </row>
    <row r="1270" spans="1:13" ht="23.4">
      <c r="A1270" s="15"/>
      <c r="B1270" s="963" t="s">
        <v>100</v>
      </c>
      <c r="C1270" s="964"/>
      <c r="D1270" s="964"/>
      <c r="E1270" s="964"/>
      <c r="F1270" s="964"/>
      <c r="G1270" s="964"/>
      <c r="H1270" s="964"/>
      <c r="I1270" s="964"/>
      <c r="J1270" s="964"/>
      <c r="K1270" s="964"/>
      <c r="L1270" s="965"/>
      <c r="M1270" s="16"/>
    </row>
    <row r="1271" spans="1:13" ht="15.6">
      <c r="A1271" s="15"/>
      <c r="B1271" s="966" t="s">
        <v>1070</v>
      </c>
      <c r="C1271" s="967"/>
      <c r="D1271" s="967"/>
      <c r="E1271" s="967"/>
      <c r="F1271" s="967"/>
      <c r="G1271" s="967"/>
      <c r="H1271" s="968"/>
      <c r="I1271" s="968"/>
      <c r="J1271" s="968"/>
      <c r="K1271" s="968"/>
      <c r="L1271" s="969"/>
      <c r="M1271" s="16"/>
    </row>
    <row r="1272" spans="1:13">
      <c r="A1272" s="15"/>
      <c r="B1272" s="970" t="s">
        <v>101</v>
      </c>
      <c r="C1272" s="971"/>
      <c r="D1272" s="971"/>
      <c r="E1272" s="971"/>
      <c r="F1272" s="971"/>
      <c r="G1272" s="391"/>
      <c r="H1272" s="974" t="s">
        <v>102</v>
      </c>
      <c r="I1272" s="975"/>
      <c r="J1272" s="975"/>
      <c r="K1272" s="975"/>
      <c r="L1272" s="976"/>
      <c r="M1272" s="16"/>
    </row>
    <row r="1273" spans="1:13">
      <c r="A1273" s="15"/>
      <c r="B1273" s="972"/>
      <c r="C1273" s="973"/>
      <c r="D1273" s="973"/>
      <c r="E1273" s="973"/>
      <c r="F1273" s="973"/>
      <c r="G1273" s="395"/>
      <c r="H1273" s="977"/>
      <c r="I1273" s="978"/>
      <c r="J1273" s="978"/>
      <c r="K1273" s="978"/>
      <c r="L1273" s="979"/>
      <c r="M1273" s="16"/>
    </row>
    <row r="1274" spans="1:13">
      <c r="A1274" s="15"/>
      <c r="B1274" s="382"/>
      <c r="C1274" s="77"/>
      <c r="D1274" s="77"/>
      <c r="E1274" s="77"/>
      <c r="F1274" s="77"/>
      <c r="G1274" s="56"/>
      <c r="H1274" s="76"/>
      <c r="I1274" s="77"/>
      <c r="J1274" s="77"/>
      <c r="K1274" s="77"/>
      <c r="L1274" s="78"/>
      <c r="M1274" s="16"/>
    </row>
    <row r="1275" spans="1:13">
      <c r="A1275" s="15"/>
      <c r="B1275" s="378" t="str">
        <f>Master!F5</f>
        <v>GROTECH LANDSCAPE DEVELOPERS PVT. LTD.</v>
      </c>
      <c r="C1275" s="114"/>
      <c r="D1275" s="114"/>
      <c r="E1275" s="114"/>
      <c r="F1275" s="114"/>
      <c r="G1275" s="379"/>
      <c r="H1275" s="381" t="str">
        <f>Master!AN5</f>
        <v>GROTECH LANDSCAPE DEVELOPERS PVT. LTD.</v>
      </c>
      <c r="I1275" s="114"/>
      <c r="J1275" s="114"/>
      <c r="K1275" s="114"/>
      <c r="L1275" s="16"/>
      <c r="M1275" s="16"/>
    </row>
    <row r="1276" spans="1:13">
      <c r="A1276" s="15"/>
      <c r="B1276" s="15"/>
      <c r="C1276" s="114"/>
      <c r="D1276" s="114"/>
      <c r="E1276" s="114"/>
      <c r="F1276" s="114"/>
      <c r="G1276" s="379"/>
      <c r="H1276" s="380"/>
      <c r="I1276" s="114"/>
      <c r="J1276" s="114"/>
      <c r="K1276" s="114"/>
      <c r="L1276" s="16"/>
      <c r="M1276" s="16"/>
    </row>
    <row r="1277" spans="1:13">
      <c r="A1277" s="15"/>
      <c r="B1277" s="538" t="str">
        <f>Master!F6</f>
        <v>290/E, Khanapur Village, Gandipet Mandal, Ranga Reddy, Hyderabad-500075 T.S.</v>
      </c>
      <c r="C1277" s="114"/>
      <c r="D1277" s="114"/>
      <c r="E1277" s="114"/>
      <c r="F1277" s="114"/>
      <c r="G1277" s="379"/>
      <c r="H1277" s="539" t="str">
        <f>Master!AN6</f>
        <v>290/E, Khanapur Village, Gandipet Mandal, Ranga Reddy, Hyderabad-500075 T.S.</v>
      </c>
      <c r="I1277" s="114"/>
      <c r="J1277" s="114"/>
      <c r="K1277" s="114"/>
      <c r="L1277" s="16"/>
      <c r="M1277" s="16"/>
    </row>
    <row r="1278" spans="1:13">
      <c r="A1278" s="15"/>
      <c r="B1278" s="383"/>
      <c r="C1278" s="19"/>
      <c r="D1278" s="19"/>
      <c r="E1278" s="19"/>
      <c r="F1278" s="19"/>
      <c r="G1278" s="61"/>
      <c r="H1278" s="60"/>
      <c r="I1278" s="19"/>
      <c r="J1278" s="19"/>
      <c r="K1278" s="19"/>
      <c r="L1278" s="81"/>
      <c r="M1278" s="16"/>
    </row>
    <row r="1279" spans="1:13">
      <c r="A1279" s="15"/>
      <c r="B1279" s="389"/>
      <c r="C1279" s="390"/>
      <c r="D1279" s="390"/>
      <c r="E1279" s="390"/>
      <c r="F1279" s="390"/>
      <c r="G1279" s="391"/>
      <c r="H1279" s="396"/>
      <c r="I1279" s="390"/>
      <c r="J1279" s="390" t="s">
        <v>103</v>
      </c>
      <c r="K1279" s="390"/>
      <c r="L1279" s="397"/>
      <c r="M1279" s="16"/>
    </row>
    <row r="1280" spans="1:13">
      <c r="A1280" s="15"/>
      <c r="B1280" s="980" t="s">
        <v>104</v>
      </c>
      <c r="C1280" s="981"/>
      <c r="D1280" s="981"/>
      <c r="E1280" s="981"/>
      <c r="F1280" s="981"/>
      <c r="G1280" s="392"/>
      <c r="H1280" s="982" t="s">
        <v>4</v>
      </c>
      <c r="I1280" s="981"/>
      <c r="J1280" s="981"/>
      <c r="K1280" s="981"/>
      <c r="L1280" s="983"/>
      <c r="M1280" s="16"/>
    </row>
    <row r="1281" spans="1:13">
      <c r="A1281" s="15"/>
      <c r="B1281" s="393"/>
      <c r="C1281" s="394"/>
      <c r="D1281" s="394"/>
      <c r="E1281" s="394"/>
      <c r="F1281" s="394"/>
      <c r="G1281" s="395"/>
      <c r="H1281" s="398"/>
      <c r="I1281" s="394"/>
      <c r="J1281" s="394"/>
      <c r="K1281" s="394"/>
      <c r="L1281" s="399"/>
      <c r="M1281" s="16"/>
    </row>
    <row r="1282" spans="1:13">
      <c r="A1282" s="15"/>
      <c r="B1282" s="382"/>
      <c r="C1282" s="77"/>
      <c r="D1282" s="77"/>
      <c r="E1282" s="77"/>
      <c r="F1282" s="77"/>
      <c r="G1282" s="56"/>
      <c r="H1282" s="74"/>
      <c r="I1282" s="74"/>
      <c r="J1282" s="74"/>
      <c r="K1282" s="74"/>
      <c r="L1282" s="384"/>
      <c r="M1282" s="16"/>
    </row>
    <row r="1283" spans="1:13">
      <c r="A1283" s="15"/>
      <c r="B1283" s="15"/>
      <c r="C1283" s="114"/>
      <c r="D1283" s="114"/>
      <c r="E1283" s="114"/>
      <c r="F1283" s="114"/>
      <c r="G1283" s="379"/>
      <c r="H1283" s="115" t="str">
        <f>Master!AN10</f>
        <v>INDIAN SCHOOL OF BUSINESS</v>
      </c>
      <c r="I1283" s="115"/>
      <c r="J1283" s="115"/>
      <c r="K1283" s="115"/>
      <c r="L1283" s="71"/>
      <c r="M1283" s="16"/>
    </row>
    <row r="1284" spans="1:13">
      <c r="A1284" s="15"/>
      <c r="B1284" s="70" t="str">
        <f>Master!F8</f>
        <v>GARDENING SERVICES&amp;ISB HYDERABAD</v>
      </c>
      <c r="C1284" s="114"/>
      <c r="D1284" s="114"/>
      <c r="E1284" s="114"/>
      <c r="F1284" s="114"/>
      <c r="G1284" s="379"/>
      <c r="H1284" s="115"/>
      <c r="I1284" s="115"/>
      <c r="J1284" s="115"/>
      <c r="K1284" s="115"/>
      <c r="L1284" s="71"/>
      <c r="M1284" s="16"/>
    </row>
    <row r="1285" spans="1:13">
      <c r="A1285" s="15"/>
      <c r="B1285" s="15"/>
      <c r="C1285" s="114"/>
      <c r="D1285" s="114"/>
      <c r="E1285" s="114"/>
      <c r="F1285" s="114"/>
      <c r="G1285" s="379"/>
      <c r="H1285" s="115" t="str">
        <f>Master!AN11</f>
        <v>Opp.Infosys Limited,Gachibowli,Hyderabad</v>
      </c>
      <c r="I1285" s="115"/>
      <c r="J1285" s="115"/>
      <c r="K1285" s="115"/>
      <c r="L1285" s="71"/>
      <c r="M1285" s="16"/>
    </row>
    <row r="1286" spans="1:13">
      <c r="A1286" s="15"/>
      <c r="B1286" s="383"/>
      <c r="C1286" s="19"/>
      <c r="D1286" s="19"/>
      <c r="E1286" s="19"/>
      <c r="F1286" s="19"/>
      <c r="G1286" s="61"/>
      <c r="H1286" s="79"/>
      <c r="I1286" s="79"/>
      <c r="J1286" s="79"/>
      <c r="K1286" s="79"/>
      <c r="L1286" s="385"/>
      <c r="M1286" s="16"/>
    </row>
    <row r="1287" spans="1:13" ht="30" customHeight="1">
      <c r="A1287" s="15"/>
      <c r="B1287" s="948" t="s">
        <v>105</v>
      </c>
      <c r="C1287" s="949"/>
      <c r="D1287" s="949"/>
      <c r="E1287" s="949"/>
      <c r="F1287" s="949"/>
      <c r="G1287" s="949"/>
      <c r="H1287" s="950" t="str">
        <f>Master!D42</f>
        <v>MARATHI CHANDRAKALA</v>
      </c>
      <c r="I1287" s="951"/>
      <c r="J1287" s="951"/>
      <c r="K1287" s="951"/>
      <c r="L1287" s="952"/>
      <c r="M1287" s="16"/>
    </row>
    <row r="1288" spans="1:13" ht="30" customHeight="1">
      <c r="A1288" s="15"/>
      <c r="B1288" s="948"/>
      <c r="C1288" s="949"/>
      <c r="D1288" s="949"/>
      <c r="E1288" s="949"/>
      <c r="F1288" s="949"/>
      <c r="G1288" s="949"/>
      <c r="H1288" s="950" t="str">
        <f>Master!K42</f>
        <v>3/32,janagampet</v>
      </c>
      <c r="I1288" s="951"/>
      <c r="J1288" s="951"/>
      <c r="K1288" s="951"/>
      <c r="L1288" s="952"/>
      <c r="M1288" s="16"/>
    </row>
    <row r="1289" spans="1:13" ht="30" customHeight="1">
      <c r="A1289" s="15"/>
      <c r="B1289" s="948"/>
      <c r="C1289" s="949"/>
      <c r="D1289" s="949"/>
      <c r="E1289" s="949"/>
      <c r="F1289" s="949"/>
      <c r="G1289" s="949"/>
      <c r="H1289" s="950" t="str">
        <f>Master!L42</f>
        <v>patancheru,sultanpur,Medak</v>
      </c>
      <c r="I1289" s="951"/>
      <c r="J1289" s="951"/>
      <c r="K1289" s="951"/>
      <c r="L1289" s="952"/>
      <c r="M1289" s="16"/>
    </row>
    <row r="1290" spans="1:13" ht="30" customHeight="1">
      <c r="A1290" s="15"/>
      <c r="B1290" s="948"/>
      <c r="C1290" s="949"/>
      <c r="D1290" s="949"/>
      <c r="E1290" s="949"/>
      <c r="F1290" s="949"/>
      <c r="G1290" s="949"/>
      <c r="H1290" s="950" t="str">
        <f>Master!M42</f>
        <v>TS-502319</v>
      </c>
      <c r="I1290" s="951"/>
      <c r="J1290" s="951"/>
      <c r="K1290" s="951"/>
      <c r="L1290" s="952"/>
      <c r="M1290" s="16"/>
    </row>
    <row r="1291" spans="1:13" ht="30" customHeight="1">
      <c r="A1291" s="73"/>
      <c r="B1291" s="948"/>
      <c r="C1291" s="949"/>
      <c r="D1291" s="949"/>
      <c r="E1291" s="949"/>
      <c r="F1291" s="949"/>
      <c r="G1291" s="949"/>
      <c r="H1291" s="989">
        <f>Master!N1784</f>
        <v>0</v>
      </c>
      <c r="I1291" s="990"/>
      <c r="J1291" s="990"/>
      <c r="K1291" s="990"/>
      <c r="L1291" s="991"/>
      <c r="M1291" s="16"/>
    </row>
    <row r="1292" spans="1:13" ht="30" customHeight="1">
      <c r="A1292" s="73"/>
      <c r="B1292" s="984" t="s">
        <v>106</v>
      </c>
      <c r="C1292" s="985"/>
      <c r="D1292" s="985"/>
      <c r="E1292" s="985"/>
      <c r="F1292" s="985"/>
      <c r="G1292" s="985"/>
      <c r="H1292" s="947">
        <f>Master!C42</f>
        <v>32</v>
      </c>
      <c r="I1292" s="945"/>
      <c r="J1292" s="945"/>
      <c r="K1292" s="945"/>
      <c r="L1292" s="946"/>
      <c r="M1292" s="16"/>
    </row>
    <row r="1293" spans="1:13" ht="30" customHeight="1">
      <c r="A1293" s="73"/>
      <c r="B1293" s="943" t="s">
        <v>107</v>
      </c>
      <c r="C1293" s="944"/>
      <c r="D1293" s="944"/>
      <c r="E1293" s="944"/>
      <c r="F1293" s="944"/>
      <c r="G1293" s="944"/>
      <c r="H1293" s="947" t="str">
        <f>Master!J42</f>
        <v>Unskilled Gardner</v>
      </c>
      <c r="I1293" s="945"/>
      <c r="J1293" s="945"/>
      <c r="K1293" s="945"/>
      <c r="L1293" s="946"/>
      <c r="M1293" s="16"/>
    </row>
    <row r="1294" spans="1:13" ht="30" customHeight="1">
      <c r="A1294" s="73"/>
      <c r="B1294" s="943" t="s">
        <v>108</v>
      </c>
      <c r="C1294" s="944"/>
      <c r="D1294" s="944"/>
      <c r="E1294" s="944"/>
      <c r="F1294" s="944"/>
      <c r="G1294" s="944"/>
      <c r="H1294" s="957">
        <f>Master!S42</f>
        <v>43850</v>
      </c>
      <c r="I1294" s="958"/>
      <c r="J1294" s="958"/>
      <c r="K1294" s="958"/>
      <c r="L1294" s="959"/>
      <c r="M1294" s="16"/>
    </row>
    <row r="1295" spans="1:13" ht="30" customHeight="1">
      <c r="A1295" s="73"/>
      <c r="B1295" s="386" t="s">
        <v>109</v>
      </c>
      <c r="C1295" s="116"/>
      <c r="D1295" s="116"/>
      <c r="E1295" s="116"/>
      <c r="F1295" s="116"/>
      <c r="G1295" s="116"/>
      <c r="H1295" s="947">
        <f>Master!Y42</f>
        <v>5210266822</v>
      </c>
      <c r="I1295" s="947"/>
      <c r="J1295" s="947"/>
      <c r="K1295" s="947"/>
      <c r="L1295" s="953"/>
      <c r="M1295" s="16"/>
    </row>
    <row r="1296" spans="1:13" ht="30" customHeight="1">
      <c r="A1296" s="73"/>
      <c r="B1296" s="386" t="s">
        <v>110</v>
      </c>
      <c r="C1296" s="116"/>
      <c r="D1296" s="116"/>
      <c r="E1296" s="116"/>
      <c r="F1296" s="116"/>
      <c r="G1296" s="119"/>
      <c r="H1296" s="947" t="str">
        <f>Master!X42</f>
        <v>100127755377</v>
      </c>
      <c r="I1296" s="947"/>
      <c r="J1296" s="947"/>
      <c r="K1296" s="947"/>
      <c r="L1296" s="953"/>
      <c r="M1296" s="16"/>
    </row>
    <row r="1297" spans="1:13" ht="30" customHeight="1">
      <c r="A1297" s="73"/>
      <c r="B1297" s="954" t="s">
        <v>111</v>
      </c>
      <c r="C1297" s="955"/>
      <c r="D1297" s="955"/>
      <c r="E1297" s="955"/>
      <c r="F1297" s="955"/>
      <c r="G1297" s="955"/>
      <c r="H1297" s="950">
        <f>Master!AC42</f>
        <v>10627</v>
      </c>
      <c r="I1297" s="951"/>
      <c r="J1297" s="951"/>
      <c r="K1297" s="951"/>
      <c r="L1297" s="952"/>
      <c r="M1297" s="16"/>
    </row>
    <row r="1298" spans="1:13" ht="30" customHeight="1">
      <c r="A1298" s="73"/>
      <c r="B1298" s="943" t="s">
        <v>112</v>
      </c>
      <c r="C1298" s="944"/>
      <c r="D1298" s="944"/>
      <c r="E1298" s="944"/>
      <c r="F1298" s="944"/>
      <c r="G1298" s="944"/>
      <c r="H1298" s="956">
        <f>Master!F10</f>
        <v>44652</v>
      </c>
      <c r="I1298" s="945"/>
      <c r="J1298" s="945"/>
      <c r="K1298" s="945"/>
      <c r="L1298" s="946"/>
      <c r="M1298" s="16"/>
    </row>
    <row r="1299" spans="1:13" ht="30" customHeight="1">
      <c r="A1299" s="15"/>
      <c r="B1299" s="943" t="s">
        <v>113</v>
      </c>
      <c r="C1299" s="944"/>
      <c r="D1299" s="944"/>
      <c r="E1299" s="944"/>
      <c r="F1299" s="944"/>
      <c r="G1299" s="944"/>
      <c r="H1299" s="945" t="s">
        <v>114</v>
      </c>
      <c r="I1299" s="945"/>
      <c r="J1299" s="945"/>
      <c r="K1299" s="945"/>
      <c r="L1299" s="946"/>
      <c r="M1299" s="16"/>
    </row>
    <row r="1300" spans="1:13" ht="30" customHeight="1">
      <c r="A1300" s="15"/>
      <c r="B1300" s="386" t="s">
        <v>115</v>
      </c>
      <c r="C1300" s="116"/>
      <c r="D1300" s="116"/>
      <c r="E1300" s="116"/>
      <c r="F1300" s="116"/>
      <c r="G1300" s="119"/>
      <c r="H1300" s="947">
        <f>Master!AA42</f>
        <v>26</v>
      </c>
      <c r="I1300" s="945"/>
      <c r="J1300" s="945"/>
      <c r="K1300" s="945"/>
      <c r="L1300" s="946"/>
      <c r="M1300" s="16"/>
    </row>
    <row r="1301" spans="1:13" ht="30" customHeight="1">
      <c r="A1301" s="15"/>
      <c r="B1301" s="386" t="s">
        <v>116</v>
      </c>
      <c r="C1301" s="116"/>
      <c r="D1301" s="116"/>
      <c r="E1301" s="116"/>
      <c r="F1301" s="116"/>
      <c r="G1301" s="119"/>
      <c r="H1301" s="986" t="s">
        <v>28</v>
      </c>
      <c r="I1301" s="987"/>
      <c r="J1301" s="987"/>
      <c r="K1301" s="987"/>
      <c r="L1301" s="988"/>
      <c r="M1301" s="16"/>
    </row>
    <row r="1302" spans="1:13" ht="30" customHeight="1">
      <c r="A1302" s="15"/>
      <c r="B1302" s="386" t="s">
        <v>117</v>
      </c>
      <c r="C1302" s="116"/>
      <c r="D1302" s="116"/>
      <c r="E1302" s="116"/>
      <c r="F1302" s="116"/>
      <c r="G1302" s="119"/>
      <c r="H1302" s="989">
        <v>0</v>
      </c>
      <c r="I1302" s="990"/>
      <c r="J1302" s="990"/>
      <c r="K1302" s="990"/>
      <c r="L1302" s="991"/>
      <c r="M1302" s="16"/>
    </row>
    <row r="1303" spans="1:13" ht="30" customHeight="1">
      <c r="A1303" s="15"/>
      <c r="B1303" s="386" t="s">
        <v>118</v>
      </c>
      <c r="C1303" s="116"/>
      <c r="D1303" s="116"/>
      <c r="E1303" s="116"/>
      <c r="F1303" s="116"/>
      <c r="G1303" s="119"/>
      <c r="H1303" s="986">
        <v>0</v>
      </c>
      <c r="I1303" s="987"/>
      <c r="J1303" s="987"/>
      <c r="K1303" s="987"/>
      <c r="L1303" s="988"/>
      <c r="M1303" s="16"/>
    </row>
    <row r="1304" spans="1:13" ht="30" customHeight="1">
      <c r="A1304" s="15"/>
      <c r="B1304" s="386" t="s">
        <v>119</v>
      </c>
      <c r="C1304" s="116"/>
      <c r="D1304" s="116"/>
      <c r="E1304" s="116"/>
      <c r="F1304" s="116"/>
      <c r="G1304" s="119"/>
      <c r="H1304" s="117"/>
      <c r="I1304" s="118"/>
      <c r="J1304" s="990">
        <f>Master!AK42</f>
        <v>9210.4</v>
      </c>
      <c r="K1304" s="992"/>
      <c r="L1304" s="581" t="s">
        <v>737</v>
      </c>
      <c r="M1304" s="16"/>
    </row>
    <row r="1305" spans="1:13" ht="30" customHeight="1">
      <c r="A1305" s="15"/>
      <c r="B1305" s="386" t="s">
        <v>120</v>
      </c>
      <c r="C1305" s="116"/>
      <c r="D1305" s="465" t="s">
        <v>24</v>
      </c>
      <c r="E1305" s="466">
        <f>Master!AM42</f>
        <v>1105</v>
      </c>
      <c r="F1305" s="465" t="s">
        <v>23</v>
      </c>
      <c r="G1305" s="466">
        <f>Master!AL42</f>
        <v>70</v>
      </c>
      <c r="H1305" s="465" t="s">
        <v>25</v>
      </c>
      <c r="I1305" s="466">
        <f>Master!AN42</f>
        <v>0</v>
      </c>
      <c r="J1305" s="465" t="s">
        <v>26</v>
      </c>
      <c r="K1305" s="466">
        <f>Master!AO42</f>
        <v>0</v>
      </c>
      <c r="L1305" s="400">
        <f>Master!AP42</f>
        <v>0</v>
      </c>
      <c r="M1305" s="16"/>
    </row>
    <row r="1306" spans="1:13" ht="30" customHeight="1">
      <c r="A1306" s="15"/>
      <c r="B1306" s="386" t="s">
        <v>121</v>
      </c>
      <c r="C1306" s="116"/>
      <c r="D1306" s="116"/>
      <c r="E1306" s="116"/>
      <c r="F1306" s="116"/>
      <c r="G1306" s="119"/>
      <c r="H1306" s="117"/>
      <c r="I1306" s="118"/>
      <c r="J1306" s="541">
        <f>Master!AR42</f>
        <v>8035.4</v>
      </c>
      <c r="K1306" s="118"/>
      <c r="L1306" s="125"/>
      <c r="M1306" s="16"/>
    </row>
    <row r="1307" spans="1:13">
      <c r="A1307" s="15"/>
      <c r="B1307" s="387" t="s">
        <v>122</v>
      </c>
      <c r="C1307" s="74"/>
      <c r="D1307" s="74"/>
      <c r="E1307" s="74"/>
      <c r="F1307" s="74"/>
      <c r="G1307" s="75"/>
      <c r="H1307" s="76"/>
      <c r="I1307" s="77"/>
      <c r="J1307" s="77"/>
      <c r="K1307" s="77"/>
      <c r="L1307" s="78"/>
      <c r="M1307" s="16"/>
    </row>
    <row r="1308" spans="1:13">
      <c r="A1308" s="15"/>
      <c r="B1308" s="388" t="s">
        <v>123</v>
      </c>
      <c r="C1308" s="79"/>
      <c r="D1308" s="79"/>
      <c r="E1308" s="79"/>
      <c r="F1308" s="79"/>
      <c r="G1308" s="80"/>
      <c r="H1308" s="60"/>
      <c r="I1308" s="19"/>
      <c r="J1308" s="19"/>
      <c r="K1308" s="19"/>
      <c r="L1308" s="81"/>
      <c r="M1308" s="16"/>
    </row>
    <row r="1309" spans="1:13">
      <c r="A1309" s="15"/>
      <c r="B1309" s="15"/>
      <c r="C1309" s="114"/>
      <c r="D1309" s="114"/>
      <c r="E1309" s="114"/>
      <c r="F1309" s="114"/>
      <c r="G1309" s="114"/>
      <c r="H1309" s="114"/>
      <c r="I1309" s="114"/>
      <c r="J1309" s="114"/>
      <c r="K1309" s="114"/>
      <c r="L1309" s="16"/>
      <c r="M1309" s="16"/>
    </row>
    <row r="1310" spans="1:13" ht="15" thickBot="1">
      <c r="A1310" s="27"/>
      <c r="B1310" s="27"/>
      <c r="C1310" s="25"/>
      <c r="D1310" s="25"/>
      <c r="E1310" s="25"/>
      <c r="F1310" s="25"/>
      <c r="G1310" s="25"/>
      <c r="H1310" s="25"/>
      <c r="I1310" s="25"/>
      <c r="J1310" s="25"/>
      <c r="K1310" s="25"/>
      <c r="L1310" s="26"/>
      <c r="M1310" s="26"/>
    </row>
    <row r="1311" spans="1:13">
      <c r="A1311" s="420"/>
      <c r="B1311" s="420"/>
      <c r="C1311" s="420"/>
      <c r="D1311" s="420"/>
      <c r="E1311" s="420"/>
      <c r="F1311" s="420"/>
      <c r="G1311" s="420"/>
      <c r="H1311" s="420"/>
      <c r="I1311" s="420"/>
      <c r="J1311" s="420"/>
      <c r="K1311" s="420"/>
      <c r="L1311" s="420"/>
      <c r="M1311" s="420"/>
    </row>
    <row r="1312" spans="1:13">
      <c r="A1312" s="420"/>
      <c r="B1312" s="420"/>
      <c r="C1312" s="420"/>
      <c r="D1312" s="420"/>
      <c r="E1312" s="420"/>
      <c r="F1312" s="420"/>
      <c r="G1312" s="420"/>
      <c r="H1312" s="420"/>
      <c r="I1312" s="420"/>
      <c r="J1312" s="420"/>
      <c r="K1312" s="420"/>
      <c r="L1312" s="420"/>
      <c r="M1312" s="420"/>
    </row>
    <row r="1313" spans="1:13">
      <c r="A1313" s="420"/>
      <c r="B1313" s="420"/>
      <c r="C1313" s="420"/>
      <c r="D1313" s="420"/>
      <c r="E1313" s="420"/>
      <c r="F1313" s="420"/>
      <c r="G1313" s="420"/>
      <c r="H1313" s="420"/>
      <c r="I1313" s="420"/>
      <c r="J1313" s="420"/>
      <c r="K1313" s="420"/>
      <c r="L1313" s="420"/>
      <c r="M1313" s="420"/>
    </row>
    <row r="1314" spans="1:13">
      <c r="A1314" s="420"/>
      <c r="B1314" s="420"/>
      <c r="C1314" s="420"/>
      <c r="D1314" s="420"/>
      <c r="E1314" s="420"/>
      <c r="F1314" s="420"/>
      <c r="G1314" s="420"/>
      <c r="H1314" s="420"/>
      <c r="I1314" s="420"/>
      <c r="J1314" s="420"/>
      <c r="K1314" s="420"/>
      <c r="L1314" s="420"/>
      <c r="M1314" s="420"/>
    </row>
    <row r="1315" spans="1:13" ht="15" thickBot="1">
      <c r="A1315" s="420"/>
      <c r="B1315" s="420"/>
      <c r="C1315" s="420"/>
      <c r="D1315" s="420"/>
      <c r="E1315" s="420"/>
      <c r="F1315" s="420"/>
      <c r="G1315" s="420"/>
      <c r="H1315" s="420"/>
      <c r="I1315" s="420"/>
      <c r="J1315" s="420"/>
      <c r="K1315" s="420"/>
      <c r="L1315" s="420"/>
      <c r="M1315" s="420"/>
    </row>
    <row r="1316" spans="1:13" ht="32.4">
      <c r="A1316" s="68"/>
      <c r="B1316" s="960" t="s">
        <v>99</v>
      </c>
      <c r="C1316" s="961"/>
      <c r="D1316" s="961"/>
      <c r="E1316" s="961"/>
      <c r="F1316" s="961"/>
      <c r="G1316" s="961"/>
      <c r="H1316" s="961"/>
      <c r="I1316" s="961"/>
      <c r="J1316" s="961"/>
      <c r="K1316" s="961"/>
      <c r="L1316" s="962"/>
      <c r="M1316" s="69"/>
    </row>
    <row r="1317" spans="1:13" ht="23.4">
      <c r="A1317" s="15"/>
      <c r="B1317" s="963" t="s">
        <v>100</v>
      </c>
      <c r="C1317" s="964"/>
      <c r="D1317" s="964"/>
      <c r="E1317" s="964"/>
      <c r="F1317" s="964"/>
      <c r="G1317" s="964"/>
      <c r="H1317" s="964"/>
      <c r="I1317" s="964"/>
      <c r="J1317" s="964"/>
      <c r="K1317" s="964"/>
      <c r="L1317" s="965"/>
      <c r="M1317" s="16"/>
    </row>
    <row r="1318" spans="1:13" ht="15.6">
      <c r="A1318" s="15"/>
      <c r="B1318" s="966" t="s">
        <v>1070</v>
      </c>
      <c r="C1318" s="967"/>
      <c r="D1318" s="967"/>
      <c r="E1318" s="967"/>
      <c r="F1318" s="967"/>
      <c r="G1318" s="967"/>
      <c r="H1318" s="968"/>
      <c r="I1318" s="968"/>
      <c r="J1318" s="968"/>
      <c r="K1318" s="968"/>
      <c r="L1318" s="969"/>
      <c r="M1318" s="16"/>
    </row>
    <row r="1319" spans="1:13">
      <c r="A1319" s="15"/>
      <c r="B1319" s="970" t="s">
        <v>101</v>
      </c>
      <c r="C1319" s="971"/>
      <c r="D1319" s="971"/>
      <c r="E1319" s="971"/>
      <c r="F1319" s="971"/>
      <c r="G1319" s="391"/>
      <c r="H1319" s="974" t="s">
        <v>102</v>
      </c>
      <c r="I1319" s="975"/>
      <c r="J1319" s="975"/>
      <c r="K1319" s="975"/>
      <c r="L1319" s="976"/>
      <c r="M1319" s="16"/>
    </row>
    <row r="1320" spans="1:13">
      <c r="A1320" s="15"/>
      <c r="B1320" s="972"/>
      <c r="C1320" s="973"/>
      <c r="D1320" s="973"/>
      <c r="E1320" s="973"/>
      <c r="F1320" s="973"/>
      <c r="G1320" s="395"/>
      <c r="H1320" s="977"/>
      <c r="I1320" s="978"/>
      <c r="J1320" s="978"/>
      <c r="K1320" s="978"/>
      <c r="L1320" s="979"/>
      <c r="M1320" s="16"/>
    </row>
    <row r="1321" spans="1:13">
      <c r="A1321" s="15"/>
      <c r="B1321" s="382"/>
      <c r="C1321" s="77"/>
      <c r="D1321" s="77"/>
      <c r="E1321" s="77"/>
      <c r="F1321" s="77"/>
      <c r="G1321" s="56"/>
      <c r="H1321" s="76"/>
      <c r="I1321" s="77"/>
      <c r="J1321" s="77"/>
      <c r="K1321" s="77"/>
      <c r="L1321" s="78"/>
      <c r="M1321" s="16"/>
    </row>
    <row r="1322" spans="1:13">
      <c r="A1322" s="15"/>
      <c r="B1322" s="378" t="str">
        <f>Master!F5</f>
        <v>GROTECH LANDSCAPE DEVELOPERS PVT. LTD.</v>
      </c>
      <c r="C1322" s="114"/>
      <c r="D1322" s="114"/>
      <c r="E1322" s="114"/>
      <c r="F1322" s="114"/>
      <c r="G1322" s="379"/>
      <c r="H1322" s="381" t="str">
        <f>Master!AN5</f>
        <v>GROTECH LANDSCAPE DEVELOPERS PVT. LTD.</v>
      </c>
      <c r="I1322" s="114"/>
      <c r="J1322" s="114"/>
      <c r="K1322" s="114"/>
      <c r="L1322" s="16"/>
      <c r="M1322" s="16"/>
    </row>
    <row r="1323" spans="1:13">
      <c r="A1323" s="15"/>
      <c r="B1323" s="15"/>
      <c r="C1323" s="114"/>
      <c r="D1323" s="114"/>
      <c r="E1323" s="114"/>
      <c r="F1323" s="114"/>
      <c r="G1323" s="379"/>
      <c r="H1323" s="380"/>
      <c r="I1323" s="114"/>
      <c r="J1323" s="114"/>
      <c r="K1323" s="114"/>
      <c r="L1323" s="16"/>
      <c r="M1323" s="16"/>
    </row>
    <row r="1324" spans="1:13">
      <c r="A1324" s="15"/>
      <c r="B1324" s="538" t="str">
        <f>Master!F6</f>
        <v>290/E, Khanapur Village, Gandipet Mandal, Ranga Reddy, Hyderabad-500075 T.S.</v>
      </c>
      <c r="C1324" s="114"/>
      <c r="D1324" s="114"/>
      <c r="E1324" s="114"/>
      <c r="F1324" s="114"/>
      <c r="G1324" s="379"/>
      <c r="H1324" s="539" t="str">
        <f>Master!AN6</f>
        <v>290/E, Khanapur Village, Gandipet Mandal, Ranga Reddy, Hyderabad-500075 T.S.</v>
      </c>
      <c r="I1324" s="114"/>
      <c r="J1324" s="114"/>
      <c r="K1324" s="114"/>
      <c r="L1324" s="16"/>
      <c r="M1324" s="16"/>
    </row>
    <row r="1325" spans="1:13">
      <c r="A1325" s="15"/>
      <c r="B1325" s="383"/>
      <c r="C1325" s="19"/>
      <c r="D1325" s="19"/>
      <c r="E1325" s="19"/>
      <c r="F1325" s="19"/>
      <c r="G1325" s="61"/>
      <c r="H1325" s="60"/>
      <c r="I1325" s="19"/>
      <c r="J1325" s="19"/>
      <c r="K1325" s="19"/>
      <c r="L1325" s="81"/>
      <c r="M1325" s="16"/>
    </row>
    <row r="1326" spans="1:13">
      <c r="A1326" s="15"/>
      <c r="B1326" s="389"/>
      <c r="C1326" s="390"/>
      <c r="D1326" s="390"/>
      <c r="E1326" s="390"/>
      <c r="F1326" s="390"/>
      <c r="G1326" s="391"/>
      <c r="H1326" s="396"/>
      <c r="I1326" s="390"/>
      <c r="J1326" s="390" t="s">
        <v>103</v>
      </c>
      <c r="K1326" s="390"/>
      <c r="L1326" s="397"/>
      <c r="M1326" s="16"/>
    </row>
    <row r="1327" spans="1:13">
      <c r="A1327" s="15"/>
      <c r="B1327" s="980" t="s">
        <v>104</v>
      </c>
      <c r="C1327" s="981"/>
      <c r="D1327" s="981"/>
      <c r="E1327" s="981"/>
      <c r="F1327" s="981"/>
      <c r="G1327" s="392"/>
      <c r="H1327" s="982" t="s">
        <v>4</v>
      </c>
      <c r="I1327" s="981"/>
      <c r="J1327" s="981"/>
      <c r="K1327" s="981"/>
      <c r="L1327" s="983"/>
      <c r="M1327" s="16"/>
    </row>
    <row r="1328" spans="1:13">
      <c r="A1328" s="15"/>
      <c r="B1328" s="393"/>
      <c r="C1328" s="394"/>
      <c r="D1328" s="394"/>
      <c r="E1328" s="394"/>
      <c r="F1328" s="394"/>
      <c r="G1328" s="395"/>
      <c r="H1328" s="398"/>
      <c r="I1328" s="394"/>
      <c r="J1328" s="394"/>
      <c r="K1328" s="394"/>
      <c r="L1328" s="399"/>
      <c r="M1328" s="16"/>
    </row>
    <row r="1329" spans="1:13">
      <c r="A1329" s="15"/>
      <c r="B1329" s="382"/>
      <c r="C1329" s="77"/>
      <c r="D1329" s="77"/>
      <c r="E1329" s="77"/>
      <c r="F1329" s="77"/>
      <c r="G1329" s="56"/>
      <c r="H1329" s="74"/>
      <c r="I1329" s="74"/>
      <c r="J1329" s="74"/>
      <c r="K1329" s="74"/>
      <c r="L1329" s="384"/>
      <c r="M1329" s="16"/>
    </row>
    <row r="1330" spans="1:13">
      <c r="A1330" s="15"/>
      <c r="B1330" s="15"/>
      <c r="C1330" s="114"/>
      <c r="D1330" s="114"/>
      <c r="E1330" s="114"/>
      <c r="F1330" s="114"/>
      <c r="G1330" s="379"/>
      <c r="H1330" s="115" t="str">
        <f>Master!AN10</f>
        <v>INDIAN SCHOOL OF BUSINESS</v>
      </c>
      <c r="I1330" s="115"/>
      <c r="J1330" s="115"/>
      <c r="K1330" s="115"/>
      <c r="L1330" s="71"/>
      <c r="M1330" s="16"/>
    </row>
    <row r="1331" spans="1:13">
      <c r="A1331" s="15"/>
      <c r="B1331" s="70" t="str">
        <f>Master!F8</f>
        <v>GARDENING SERVICES&amp;ISB HYDERABAD</v>
      </c>
      <c r="C1331" s="114"/>
      <c r="D1331" s="114"/>
      <c r="E1331" s="114"/>
      <c r="F1331" s="114"/>
      <c r="G1331" s="379"/>
      <c r="H1331" s="115"/>
      <c r="I1331" s="115"/>
      <c r="J1331" s="115"/>
      <c r="K1331" s="115"/>
      <c r="L1331" s="71"/>
      <c r="M1331" s="16"/>
    </row>
    <row r="1332" spans="1:13">
      <c r="A1332" s="15"/>
      <c r="B1332" s="15"/>
      <c r="C1332" s="114"/>
      <c r="D1332" s="114"/>
      <c r="E1332" s="114"/>
      <c r="F1332" s="114"/>
      <c r="G1332" s="379"/>
      <c r="H1332" s="115" t="str">
        <f>Master!AN11</f>
        <v>Opp.Infosys Limited,Gachibowli,Hyderabad</v>
      </c>
      <c r="I1332" s="115"/>
      <c r="J1332" s="115"/>
      <c r="K1332" s="115"/>
      <c r="L1332" s="71"/>
      <c r="M1332" s="16"/>
    </row>
    <row r="1333" spans="1:13">
      <c r="A1333" s="15"/>
      <c r="B1333" s="383"/>
      <c r="C1333" s="19"/>
      <c r="D1333" s="19"/>
      <c r="E1333" s="19"/>
      <c r="F1333" s="19"/>
      <c r="G1333" s="61"/>
      <c r="H1333" s="79"/>
      <c r="I1333" s="79"/>
      <c r="J1333" s="79"/>
      <c r="K1333" s="79"/>
      <c r="L1333" s="385"/>
      <c r="M1333" s="16"/>
    </row>
    <row r="1334" spans="1:13" ht="30" customHeight="1">
      <c r="A1334" s="15"/>
      <c r="B1334" s="948" t="s">
        <v>105</v>
      </c>
      <c r="C1334" s="949"/>
      <c r="D1334" s="949"/>
      <c r="E1334" s="949"/>
      <c r="F1334" s="949"/>
      <c r="G1334" s="949"/>
      <c r="H1334" s="950" t="str">
        <f>Master!D43</f>
        <v>ANKAGALLA YADAMMA</v>
      </c>
      <c r="I1334" s="951"/>
      <c r="J1334" s="951"/>
      <c r="K1334" s="951"/>
      <c r="L1334" s="952"/>
      <c r="M1334" s="16"/>
    </row>
    <row r="1335" spans="1:13" ht="30" customHeight="1">
      <c r="A1335" s="15"/>
      <c r="B1335" s="948"/>
      <c r="C1335" s="949"/>
      <c r="D1335" s="949"/>
      <c r="E1335" s="949"/>
      <c r="F1335" s="949"/>
      <c r="G1335" s="949"/>
      <c r="H1335" s="993">
        <f>Master!K43</f>
        <v>26330</v>
      </c>
      <c r="I1335" s="994"/>
      <c r="J1335" s="994"/>
      <c r="K1335" s="994"/>
      <c r="L1335" s="995"/>
      <c r="M1335" s="16"/>
    </row>
    <row r="1336" spans="1:13" ht="30" customHeight="1">
      <c r="A1336" s="15"/>
      <c r="B1336" s="948"/>
      <c r="C1336" s="949"/>
      <c r="D1336" s="949"/>
      <c r="E1336" s="949"/>
      <c r="F1336" s="949"/>
      <c r="G1336" s="949"/>
      <c r="H1336" s="950" t="str">
        <f>Master!L43</f>
        <v>Sulthanpoor,patancheru,Sulthanpur</v>
      </c>
      <c r="I1336" s="951"/>
      <c r="J1336" s="951"/>
      <c r="K1336" s="951"/>
      <c r="L1336" s="952"/>
      <c r="M1336" s="16"/>
    </row>
    <row r="1337" spans="1:13" ht="30" customHeight="1">
      <c r="A1337" s="15"/>
      <c r="B1337" s="948"/>
      <c r="C1337" s="949"/>
      <c r="D1337" s="949"/>
      <c r="E1337" s="949"/>
      <c r="F1337" s="949"/>
      <c r="G1337" s="949"/>
      <c r="H1337" s="950" t="str">
        <f>Master!M43</f>
        <v>TS-502319</v>
      </c>
      <c r="I1337" s="951"/>
      <c r="J1337" s="951"/>
      <c r="K1337" s="951"/>
      <c r="L1337" s="952"/>
      <c r="M1337" s="16"/>
    </row>
    <row r="1338" spans="1:13" ht="30" customHeight="1">
      <c r="A1338" s="73"/>
      <c r="B1338" s="948"/>
      <c r="C1338" s="949"/>
      <c r="D1338" s="949"/>
      <c r="E1338" s="949"/>
      <c r="F1338" s="949"/>
      <c r="G1338" s="949"/>
      <c r="H1338" s="989">
        <f>Master!N1852</f>
        <v>0</v>
      </c>
      <c r="I1338" s="990"/>
      <c r="J1338" s="990"/>
      <c r="K1338" s="990"/>
      <c r="L1338" s="991"/>
      <c r="M1338" s="16"/>
    </row>
    <row r="1339" spans="1:13" ht="30" customHeight="1">
      <c r="A1339" s="73"/>
      <c r="B1339" s="984" t="s">
        <v>106</v>
      </c>
      <c r="C1339" s="985"/>
      <c r="D1339" s="985"/>
      <c r="E1339" s="985"/>
      <c r="F1339" s="985"/>
      <c r="G1339" s="985"/>
      <c r="H1339" s="947">
        <f>Master!C43</f>
        <v>33</v>
      </c>
      <c r="I1339" s="945"/>
      <c r="J1339" s="945"/>
      <c r="K1339" s="945"/>
      <c r="L1339" s="946"/>
      <c r="M1339" s="16"/>
    </row>
    <row r="1340" spans="1:13" ht="30" customHeight="1">
      <c r="A1340" s="73"/>
      <c r="B1340" s="943" t="s">
        <v>107</v>
      </c>
      <c r="C1340" s="944"/>
      <c r="D1340" s="944"/>
      <c r="E1340" s="944"/>
      <c r="F1340" s="944"/>
      <c r="G1340" s="944"/>
      <c r="H1340" s="947" t="str">
        <f>Master!J43</f>
        <v>Unskilled Gardner</v>
      </c>
      <c r="I1340" s="945"/>
      <c r="J1340" s="945"/>
      <c r="K1340" s="945"/>
      <c r="L1340" s="946"/>
      <c r="M1340" s="16"/>
    </row>
    <row r="1341" spans="1:13" ht="30" customHeight="1">
      <c r="A1341" s="73"/>
      <c r="B1341" s="943" t="s">
        <v>108</v>
      </c>
      <c r="C1341" s="944"/>
      <c r="D1341" s="944"/>
      <c r="E1341" s="944"/>
      <c r="F1341" s="944"/>
      <c r="G1341" s="944"/>
      <c r="H1341" s="957">
        <f>Master!S43</f>
        <v>43850</v>
      </c>
      <c r="I1341" s="958"/>
      <c r="J1341" s="958"/>
      <c r="K1341" s="958"/>
      <c r="L1341" s="959"/>
      <c r="M1341" s="16"/>
    </row>
    <row r="1342" spans="1:13" ht="30" customHeight="1">
      <c r="A1342" s="73"/>
      <c r="B1342" s="386" t="s">
        <v>109</v>
      </c>
      <c r="C1342" s="116"/>
      <c r="D1342" s="116"/>
      <c r="E1342" s="116"/>
      <c r="F1342" s="116"/>
      <c r="G1342" s="116"/>
      <c r="H1342" s="947">
        <f>Master!Y43</f>
        <v>5216340696</v>
      </c>
      <c r="I1342" s="947"/>
      <c r="J1342" s="947"/>
      <c r="K1342" s="947"/>
      <c r="L1342" s="953"/>
      <c r="M1342" s="16"/>
    </row>
    <row r="1343" spans="1:13" ht="30" customHeight="1">
      <c r="A1343" s="73"/>
      <c r="B1343" s="386" t="s">
        <v>110</v>
      </c>
      <c r="C1343" s="116"/>
      <c r="D1343" s="116"/>
      <c r="E1343" s="116"/>
      <c r="F1343" s="116"/>
      <c r="G1343" s="119"/>
      <c r="H1343" s="947" t="str">
        <f>Master!X43</f>
        <v>101553811711</v>
      </c>
      <c r="I1343" s="947"/>
      <c r="J1343" s="947"/>
      <c r="K1343" s="947"/>
      <c r="L1343" s="953"/>
      <c r="M1343" s="16"/>
    </row>
    <row r="1344" spans="1:13" ht="30" customHeight="1">
      <c r="A1344" s="73"/>
      <c r="B1344" s="954" t="s">
        <v>111</v>
      </c>
      <c r="C1344" s="955"/>
      <c r="D1344" s="955"/>
      <c r="E1344" s="955"/>
      <c r="F1344" s="955"/>
      <c r="G1344" s="955"/>
      <c r="H1344" s="950">
        <f>Master!AC43</f>
        <v>10627</v>
      </c>
      <c r="I1344" s="951"/>
      <c r="J1344" s="951"/>
      <c r="K1344" s="951"/>
      <c r="L1344" s="952"/>
      <c r="M1344" s="16"/>
    </row>
    <row r="1345" spans="1:13" ht="30" customHeight="1">
      <c r="A1345" s="73"/>
      <c r="B1345" s="943" t="s">
        <v>112</v>
      </c>
      <c r="C1345" s="944"/>
      <c r="D1345" s="944"/>
      <c r="E1345" s="944"/>
      <c r="F1345" s="944"/>
      <c r="G1345" s="944"/>
      <c r="H1345" s="956">
        <f>Master!F10</f>
        <v>44652</v>
      </c>
      <c r="I1345" s="945"/>
      <c r="J1345" s="945"/>
      <c r="K1345" s="945"/>
      <c r="L1345" s="946"/>
      <c r="M1345" s="16"/>
    </row>
    <row r="1346" spans="1:13" ht="30" customHeight="1">
      <c r="A1346" s="15"/>
      <c r="B1346" s="943" t="s">
        <v>113</v>
      </c>
      <c r="C1346" s="944"/>
      <c r="D1346" s="944"/>
      <c r="E1346" s="944"/>
      <c r="F1346" s="944"/>
      <c r="G1346" s="944"/>
      <c r="H1346" s="945" t="s">
        <v>114</v>
      </c>
      <c r="I1346" s="945"/>
      <c r="J1346" s="945"/>
      <c r="K1346" s="945"/>
      <c r="L1346" s="946"/>
      <c r="M1346" s="16"/>
    </row>
    <row r="1347" spans="1:13" ht="30" customHeight="1">
      <c r="A1347" s="15"/>
      <c r="B1347" s="386" t="s">
        <v>115</v>
      </c>
      <c r="C1347" s="116"/>
      <c r="D1347" s="116"/>
      <c r="E1347" s="116"/>
      <c r="F1347" s="116"/>
      <c r="G1347" s="119"/>
      <c r="H1347" s="947">
        <f>Master!AA43</f>
        <v>26</v>
      </c>
      <c r="I1347" s="945"/>
      <c r="J1347" s="945"/>
      <c r="K1347" s="945"/>
      <c r="L1347" s="946"/>
      <c r="M1347" s="16"/>
    </row>
    <row r="1348" spans="1:13" ht="30" customHeight="1">
      <c r="A1348" s="15"/>
      <c r="B1348" s="386" t="s">
        <v>116</v>
      </c>
      <c r="C1348" s="116"/>
      <c r="D1348" s="116"/>
      <c r="E1348" s="116"/>
      <c r="F1348" s="116"/>
      <c r="G1348" s="119"/>
      <c r="H1348" s="986" t="s">
        <v>28</v>
      </c>
      <c r="I1348" s="987"/>
      <c r="J1348" s="987"/>
      <c r="K1348" s="987"/>
      <c r="L1348" s="988"/>
      <c r="M1348" s="16"/>
    </row>
    <row r="1349" spans="1:13" ht="30" customHeight="1">
      <c r="A1349" s="15"/>
      <c r="B1349" s="386" t="s">
        <v>117</v>
      </c>
      <c r="C1349" s="116"/>
      <c r="D1349" s="116"/>
      <c r="E1349" s="116"/>
      <c r="F1349" s="116"/>
      <c r="G1349" s="119"/>
      <c r="H1349" s="989">
        <v>0</v>
      </c>
      <c r="I1349" s="990"/>
      <c r="J1349" s="990"/>
      <c r="K1349" s="990"/>
      <c r="L1349" s="991"/>
      <c r="M1349" s="16"/>
    </row>
    <row r="1350" spans="1:13" ht="30" customHeight="1">
      <c r="A1350" s="15"/>
      <c r="B1350" s="386" t="s">
        <v>118</v>
      </c>
      <c r="C1350" s="116"/>
      <c r="D1350" s="116"/>
      <c r="E1350" s="116"/>
      <c r="F1350" s="116"/>
      <c r="G1350" s="119"/>
      <c r="H1350" s="986">
        <v>0</v>
      </c>
      <c r="I1350" s="987"/>
      <c r="J1350" s="987"/>
      <c r="K1350" s="987"/>
      <c r="L1350" s="988"/>
      <c r="M1350" s="16"/>
    </row>
    <row r="1351" spans="1:13" ht="30" customHeight="1">
      <c r="A1351" s="15"/>
      <c r="B1351" s="386" t="s">
        <v>119</v>
      </c>
      <c r="C1351" s="116"/>
      <c r="D1351" s="116"/>
      <c r="E1351" s="116"/>
      <c r="F1351" s="116"/>
      <c r="G1351" s="119"/>
      <c r="H1351" s="117"/>
      <c r="I1351" s="118"/>
      <c r="J1351" s="990">
        <f>Master!AK43</f>
        <v>9210.4</v>
      </c>
      <c r="K1351" s="992"/>
      <c r="L1351" s="581" t="s">
        <v>737</v>
      </c>
      <c r="M1351" s="16"/>
    </row>
    <row r="1352" spans="1:13" ht="30" customHeight="1">
      <c r="A1352" s="15"/>
      <c r="B1352" s="386" t="s">
        <v>120</v>
      </c>
      <c r="C1352" s="116"/>
      <c r="D1352" s="465" t="s">
        <v>24</v>
      </c>
      <c r="E1352" s="466">
        <f>Master!AM43</f>
        <v>1105</v>
      </c>
      <c r="F1352" s="465" t="s">
        <v>23</v>
      </c>
      <c r="G1352" s="466">
        <f>Master!AL43</f>
        <v>70</v>
      </c>
      <c r="H1352" s="465" t="s">
        <v>25</v>
      </c>
      <c r="I1352" s="466">
        <f>Master!AN43</f>
        <v>0</v>
      </c>
      <c r="J1352" s="465" t="s">
        <v>26</v>
      </c>
      <c r="K1352" s="466">
        <f>Master!AO43</f>
        <v>0</v>
      </c>
      <c r="L1352" s="400">
        <f>Master!AP43</f>
        <v>0</v>
      </c>
      <c r="M1352" s="16"/>
    </row>
    <row r="1353" spans="1:13" ht="30" customHeight="1">
      <c r="A1353" s="15"/>
      <c r="B1353" s="386" t="s">
        <v>121</v>
      </c>
      <c r="C1353" s="116"/>
      <c r="D1353" s="116"/>
      <c r="E1353" s="116"/>
      <c r="F1353" s="116"/>
      <c r="G1353" s="119"/>
      <c r="H1353" s="117"/>
      <c r="I1353" s="118"/>
      <c r="J1353" s="541">
        <f>Master!AR43</f>
        <v>8035.4</v>
      </c>
      <c r="K1353" s="118"/>
      <c r="L1353" s="125"/>
      <c r="M1353" s="16"/>
    </row>
    <row r="1354" spans="1:13">
      <c r="A1354" s="15"/>
      <c r="B1354" s="387" t="s">
        <v>122</v>
      </c>
      <c r="C1354" s="74"/>
      <c r="D1354" s="74"/>
      <c r="E1354" s="74"/>
      <c r="F1354" s="74"/>
      <c r="G1354" s="75"/>
      <c r="H1354" s="76"/>
      <c r="I1354" s="77"/>
      <c r="J1354" s="77"/>
      <c r="K1354" s="77"/>
      <c r="L1354" s="78"/>
      <c r="M1354" s="16"/>
    </row>
    <row r="1355" spans="1:13">
      <c r="A1355" s="15"/>
      <c r="B1355" s="388" t="s">
        <v>123</v>
      </c>
      <c r="C1355" s="79"/>
      <c r="D1355" s="79"/>
      <c r="E1355" s="79"/>
      <c r="F1355" s="79"/>
      <c r="G1355" s="80"/>
      <c r="H1355" s="60"/>
      <c r="I1355" s="19"/>
      <c r="J1355" s="19"/>
      <c r="K1355" s="19"/>
      <c r="L1355" s="81"/>
      <c r="M1355" s="16"/>
    </row>
    <row r="1356" spans="1:13">
      <c r="A1356" s="15"/>
      <c r="B1356" s="15"/>
      <c r="C1356" s="114"/>
      <c r="D1356" s="114"/>
      <c r="E1356" s="114"/>
      <c r="F1356" s="114"/>
      <c r="G1356" s="114"/>
      <c r="H1356" s="114"/>
      <c r="I1356" s="114"/>
      <c r="J1356" s="114"/>
      <c r="K1356" s="114"/>
      <c r="L1356" s="16"/>
      <c r="M1356" s="16"/>
    </row>
    <row r="1357" spans="1:13" ht="15" thickBot="1">
      <c r="A1357" s="27"/>
      <c r="B1357" s="27"/>
      <c r="C1357" s="25"/>
      <c r="D1357" s="25"/>
      <c r="E1357" s="25"/>
      <c r="F1357" s="25"/>
      <c r="G1357" s="25"/>
      <c r="H1357" s="25"/>
      <c r="I1357" s="25"/>
      <c r="J1357" s="25"/>
      <c r="K1357" s="25"/>
      <c r="L1357" s="26"/>
      <c r="M1357" s="26"/>
    </row>
    <row r="1358" spans="1:13">
      <c r="A1358" s="420"/>
      <c r="B1358" s="420"/>
      <c r="C1358" s="420"/>
      <c r="D1358" s="420"/>
      <c r="E1358" s="420"/>
      <c r="F1358" s="420"/>
      <c r="G1358" s="420"/>
      <c r="H1358" s="420"/>
      <c r="I1358" s="420"/>
      <c r="J1358" s="420"/>
      <c r="K1358" s="420"/>
      <c r="L1358" s="420"/>
      <c r="M1358" s="420"/>
    </row>
    <row r="1359" spans="1:13">
      <c r="A1359" s="420"/>
      <c r="B1359" s="420"/>
      <c r="C1359" s="420"/>
      <c r="D1359" s="420"/>
      <c r="E1359" s="420"/>
      <c r="F1359" s="420"/>
      <c r="G1359" s="420"/>
      <c r="H1359" s="420"/>
      <c r="I1359" s="420"/>
      <c r="J1359" s="420"/>
      <c r="K1359" s="420"/>
      <c r="L1359" s="420"/>
      <c r="M1359" s="420"/>
    </row>
    <row r="1360" spans="1:13">
      <c r="A1360" s="420"/>
      <c r="B1360" s="420"/>
      <c r="C1360" s="420"/>
      <c r="D1360" s="420"/>
      <c r="E1360" s="420"/>
      <c r="F1360" s="420"/>
      <c r="G1360" s="420"/>
      <c r="H1360" s="420"/>
      <c r="I1360" s="420"/>
      <c r="J1360" s="420"/>
      <c r="K1360" s="420"/>
      <c r="L1360" s="420"/>
      <c r="M1360" s="420"/>
    </row>
    <row r="1361" spans="1:13">
      <c r="A1361" s="420"/>
      <c r="B1361" s="420"/>
      <c r="C1361" s="420"/>
      <c r="D1361" s="420"/>
      <c r="E1361" s="420"/>
      <c r="F1361" s="420"/>
      <c r="G1361" s="420"/>
      <c r="H1361" s="420"/>
      <c r="I1361" s="420"/>
      <c r="J1361" s="420"/>
      <c r="K1361" s="420"/>
      <c r="L1361" s="420"/>
      <c r="M1361" s="420"/>
    </row>
    <row r="1362" spans="1:13" ht="15" thickBot="1">
      <c r="A1362" s="420"/>
      <c r="B1362" s="420"/>
      <c r="C1362" s="420"/>
      <c r="D1362" s="420"/>
      <c r="E1362" s="420"/>
      <c r="F1362" s="420"/>
      <c r="G1362" s="420"/>
      <c r="H1362" s="420"/>
      <c r="I1362" s="420"/>
      <c r="J1362" s="420"/>
      <c r="K1362" s="420"/>
      <c r="L1362" s="420"/>
      <c r="M1362" s="420"/>
    </row>
    <row r="1363" spans="1:13" ht="32.4">
      <c r="A1363" s="68"/>
      <c r="B1363" s="960" t="s">
        <v>99</v>
      </c>
      <c r="C1363" s="961"/>
      <c r="D1363" s="961"/>
      <c r="E1363" s="961"/>
      <c r="F1363" s="961"/>
      <c r="G1363" s="961"/>
      <c r="H1363" s="961"/>
      <c r="I1363" s="961"/>
      <c r="J1363" s="961"/>
      <c r="K1363" s="961"/>
      <c r="L1363" s="962"/>
      <c r="M1363" s="69"/>
    </row>
    <row r="1364" spans="1:13" ht="23.4">
      <c r="A1364" s="15"/>
      <c r="B1364" s="963" t="s">
        <v>100</v>
      </c>
      <c r="C1364" s="964"/>
      <c r="D1364" s="964"/>
      <c r="E1364" s="964"/>
      <c r="F1364" s="964"/>
      <c r="G1364" s="964"/>
      <c r="H1364" s="964"/>
      <c r="I1364" s="964"/>
      <c r="J1364" s="964"/>
      <c r="K1364" s="964"/>
      <c r="L1364" s="965"/>
      <c r="M1364" s="16"/>
    </row>
    <row r="1365" spans="1:13" ht="15.6">
      <c r="A1365" s="15"/>
      <c r="B1365" s="966" t="s">
        <v>1070</v>
      </c>
      <c r="C1365" s="967"/>
      <c r="D1365" s="967"/>
      <c r="E1365" s="967"/>
      <c r="F1365" s="967"/>
      <c r="G1365" s="967"/>
      <c r="H1365" s="968"/>
      <c r="I1365" s="968"/>
      <c r="J1365" s="968"/>
      <c r="K1365" s="968"/>
      <c r="L1365" s="969"/>
      <c r="M1365" s="16"/>
    </row>
    <row r="1366" spans="1:13">
      <c r="A1366" s="15"/>
      <c r="B1366" s="970" t="s">
        <v>101</v>
      </c>
      <c r="C1366" s="971"/>
      <c r="D1366" s="971"/>
      <c r="E1366" s="971"/>
      <c r="F1366" s="971"/>
      <c r="G1366" s="391"/>
      <c r="H1366" s="974" t="s">
        <v>102</v>
      </c>
      <c r="I1366" s="975"/>
      <c r="J1366" s="975"/>
      <c r="K1366" s="975"/>
      <c r="L1366" s="976"/>
      <c r="M1366" s="16"/>
    </row>
    <row r="1367" spans="1:13">
      <c r="A1367" s="15"/>
      <c r="B1367" s="972"/>
      <c r="C1367" s="973"/>
      <c r="D1367" s="973"/>
      <c r="E1367" s="973"/>
      <c r="F1367" s="973"/>
      <c r="G1367" s="395"/>
      <c r="H1367" s="977"/>
      <c r="I1367" s="978"/>
      <c r="J1367" s="978"/>
      <c r="K1367" s="978"/>
      <c r="L1367" s="979"/>
      <c r="M1367" s="16"/>
    </row>
    <row r="1368" spans="1:13">
      <c r="A1368" s="15"/>
      <c r="B1368" s="382"/>
      <c r="C1368" s="77"/>
      <c r="D1368" s="77"/>
      <c r="E1368" s="77"/>
      <c r="F1368" s="77"/>
      <c r="G1368" s="56"/>
      <c r="H1368" s="76"/>
      <c r="I1368" s="77"/>
      <c r="J1368" s="77"/>
      <c r="K1368" s="77"/>
      <c r="L1368" s="78"/>
      <c r="M1368" s="16"/>
    </row>
    <row r="1369" spans="1:13">
      <c r="A1369" s="15"/>
      <c r="B1369" s="378" t="str">
        <f>Master!F5</f>
        <v>GROTECH LANDSCAPE DEVELOPERS PVT. LTD.</v>
      </c>
      <c r="C1369" s="114"/>
      <c r="D1369" s="114"/>
      <c r="E1369" s="114"/>
      <c r="F1369" s="114"/>
      <c r="G1369" s="379"/>
      <c r="H1369" s="381" t="str">
        <f>Master!AN5</f>
        <v>GROTECH LANDSCAPE DEVELOPERS PVT. LTD.</v>
      </c>
      <c r="I1369" s="114"/>
      <c r="J1369" s="114"/>
      <c r="K1369" s="114"/>
      <c r="L1369" s="16"/>
      <c r="M1369" s="16"/>
    </row>
    <row r="1370" spans="1:13">
      <c r="A1370" s="15"/>
      <c r="B1370" s="15"/>
      <c r="C1370" s="114"/>
      <c r="D1370" s="114"/>
      <c r="E1370" s="114"/>
      <c r="F1370" s="114"/>
      <c r="G1370" s="379"/>
      <c r="H1370" s="380"/>
      <c r="I1370" s="114"/>
      <c r="J1370" s="114"/>
      <c r="K1370" s="114"/>
      <c r="L1370" s="16"/>
      <c r="M1370" s="16"/>
    </row>
    <row r="1371" spans="1:13">
      <c r="A1371" s="15"/>
      <c r="B1371" s="538" t="str">
        <f>Master!F6</f>
        <v>290/E, Khanapur Village, Gandipet Mandal, Ranga Reddy, Hyderabad-500075 T.S.</v>
      </c>
      <c r="C1371" s="114"/>
      <c r="D1371" s="114"/>
      <c r="E1371" s="114"/>
      <c r="F1371" s="114"/>
      <c r="G1371" s="379"/>
      <c r="H1371" s="539" t="str">
        <f>Master!AN6</f>
        <v>290/E, Khanapur Village, Gandipet Mandal, Ranga Reddy, Hyderabad-500075 T.S.</v>
      </c>
      <c r="I1371" s="114"/>
      <c r="J1371" s="114"/>
      <c r="K1371" s="114"/>
      <c r="L1371" s="16"/>
      <c r="M1371" s="16"/>
    </row>
    <row r="1372" spans="1:13">
      <c r="A1372" s="15"/>
      <c r="B1372" s="383"/>
      <c r="C1372" s="19"/>
      <c r="D1372" s="19"/>
      <c r="E1372" s="19"/>
      <c r="F1372" s="19"/>
      <c r="G1372" s="61"/>
      <c r="H1372" s="60"/>
      <c r="I1372" s="19"/>
      <c r="J1372" s="19"/>
      <c r="K1372" s="19"/>
      <c r="L1372" s="81"/>
      <c r="M1372" s="16"/>
    </row>
    <row r="1373" spans="1:13">
      <c r="A1373" s="15"/>
      <c r="B1373" s="389"/>
      <c r="C1373" s="390"/>
      <c r="D1373" s="390"/>
      <c r="E1373" s="390"/>
      <c r="F1373" s="390"/>
      <c r="G1373" s="391"/>
      <c r="H1373" s="396"/>
      <c r="I1373" s="390"/>
      <c r="J1373" s="390" t="s">
        <v>103</v>
      </c>
      <c r="K1373" s="390"/>
      <c r="L1373" s="397"/>
      <c r="M1373" s="16"/>
    </row>
    <row r="1374" spans="1:13">
      <c r="A1374" s="15"/>
      <c r="B1374" s="980" t="s">
        <v>104</v>
      </c>
      <c r="C1374" s="981"/>
      <c r="D1374" s="981"/>
      <c r="E1374" s="981"/>
      <c r="F1374" s="981"/>
      <c r="G1374" s="392"/>
      <c r="H1374" s="982" t="s">
        <v>4</v>
      </c>
      <c r="I1374" s="981"/>
      <c r="J1374" s="981"/>
      <c r="K1374" s="981"/>
      <c r="L1374" s="983"/>
      <c r="M1374" s="16"/>
    </row>
    <row r="1375" spans="1:13">
      <c r="A1375" s="15"/>
      <c r="B1375" s="393"/>
      <c r="C1375" s="394"/>
      <c r="D1375" s="394"/>
      <c r="E1375" s="394"/>
      <c r="F1375" s="394"/>
      <c r="G1375" s="395"/>
      <c r="H1375" s="398"/>
      <c r="I1375" s="394"/>
      <c r="J1375" s="394"/>
      <c r="K1375" s="394"/>
      <c r="L1375" s="399"/>
      <c r="M1375" s="16"/>
    </row>
    <row r="1376" spans="1:13">
      <c r="A1376" s="15"/>
      <c r="B1376" s="382"/>
      <c r="C1376" s="77"/>
      <c r="D1376" s="77"/>
      <c r="E1376" s="77"/>
      <c r="F1376" s="77"/>
      <c r="G1376" s="56"/>
      <c r="H1376" s="74"/>
      <c r="I1376" s="74"/>
      <c r="J1376" s="74"/>
      <c r="K1376" s="74"/>
      <c r="L1376" s="384"/>
      <c r="M1376" s="16"/>
    </row>
    <row r="1377" spans="1:13">
      <c r="A1377" s="15"/>
      <c r="B1377" s="15"/>
      <c r="C1377" s="114"/>
      <c r="D1377" s="114"/>
      <c r="E1377" s="114"/>
      <c r="F1377" s="114"/>
      <c r="G1377" s="379"/>
      <c r="H1377" s="115" t="str">
        <f>Master!AN10</f>
        <v>INDIAN SCHOOL OF BUSINESS</v>
      </c>
      <c r="I1377" s="115"/>
      <c r="J1377" s="115"/>
      <c r="K1377" s="115"/>
      <c r="L1377" s="71"/>
      <c r="M1377" s="16"/>
    </row>
    <row r="1378" spans="1:13">
      <c r="A1378" s="15"/>
      <c r="B1378" s="70" t="str">
        <f>Master!F8</f>
        <v>GARDENING SERVICES&amp;ISB HYDERABAD</v>
      </c>
      <c r="C1378" s="114"/>
      <c r="D1378" s="114"/>
      <c r="E1378" s="114"/>
      <c r="F1378" s="114"/>
      <c r="G1378" s="379"/>
      <c r="H1378" s="115"/>
      <c r="I1378" s="115"/>
      <c r="J1378" s="115"/>
      <c r="K1378" s="115"/>
      <c r="L1378" s="71"/>
      <c r="M1378" s="16"/>
    </row>
    <row r="1379" spans="1:13">
      <c r="A1379" s="15"/>
      <c r="B1379" s="15"/>
      <c r="C1379" s="114"/>
      <c r="D1379" s="114"/>
      <c r="E1379" s="114"/>
      <c r="F1379" s="114"/>
      <c r="G1379" s="379"/>
      <c r="H1379" s="115" t="str">
        <f>Master!AN11</f>
        <v>Opp.Infosys Limited,Gachibowli,Hyderabad</v>
      </c>
      <c r="I1379" s="115"/>
      <c r="J1379" s="115"/>
      <c r="K1379" s="115"/>
      <c r="L1379" s="71"/>
      <c r="M1379" s="16"/>
    </row>
    <row r="1380" spans="1:13">
      <c r="A1380" s="15"/>
      <c r="B1380" s="383"/>
      <c r="C1380" s="19"/>
      <c r="D1380" s="19"/>
      <c r="E1380" s="19"/>
      <c r="F1380" s="19"/>
      <c r="G1380" s="61"/>
      <c r="H1380" s="79"/>
      <c r="I1380" s="79"/>
      <c r="J1380" s="79"/>
      <c r="K1380" s="79"/>
      <c r="L1380" s="385"/>
      <c r="M1380" s="16"/>
    </row>
    <row r="1381" spans="1:13" ht="30" customHeight="1">
      <c r="A1381" s="15"/>
      <c r="B1381" s="948" t="s">
        <v>105</v>
      </c>
      <c r="C1381" s="949"/>
      <c r="D1381" s="949"/>
      <c r="E1381" s="949"/>
      <c r="F1381" s="949"/>
      <c r="G1381" s="949"/>
      <c r="H1381" s="950" t="str">
        <f>Master!D44</f>
        <v xml:space="preserve">NINGAMMA </v>
      </c>
      <c r="I1381" s="951"/>
      <c r="J1381" s="951"/>
      <c r="K1381" s="951"/>
      <c r="L1381" s="952"/>
      <c r="M1381" s="16"/>
    </row>
    <row r="1382" spans="1:13" ht="30" customHeight="1">
      <c r="A1382" s="15"/>
      <c r="B1382" s="948"/>
      <c r="C1382" s="949"/>
      <c r="D1382" s="949"/>
      <c r="E1382" s="949"/>
      <c r="F1382" s="949"/>
      <c r="G1382" s="949"/>
      <c r="H1382" s="994" t="str">
        <f>Master!K44</f>
        <v>5/4/256</v>
      </c>
      <c r="I1382" s="994"/>
      <c r="J1382" s="994"/>
      <c r="K1382" s="994"/>
      <c r="L1382" s="995"/>
      <c r="M1382" s="16"/>
    </row>
    <row r="1383" spans="1:13" ht="30" customHeight="1">
      <c r="A1383" s="15"/>
      <c r="B1383" s="948"/>
      <c r="C1383" s="949"/>
      <c r="D1383" s="949"/>
      <c r="E1383" s="949"/>
      <c r="F1383" s="949"/>
      <c r="G1383" s="949"/>
      <c r="H1383" s="950" t="str">
        <f>Master!L44</f>
        <v>Janatha colony,Bhalki,Bidar</v>
      </c>
      <c r="I1383" s="951"/>
      <c r="J1383" s="951"/>
      <c r="K1383" s="951"/>
      <c r="L1383" s="952"/>
      <c r="M1383" s="16"/>
    </row>
    <row r="1384" spans="1:13" ht="30" customHeight="1">
      <c r="A1384" s="15"/>
      <c r="B1384" s="948"/>
      <c r="C1384" s="949"/>
      <c r="D1384" s="949"/>
      <c r="E1384" s="949"/>
      <c r="F1384" s="949"/>
      <c r="G1384" s="949"/>
      <c r="H1384" s="950" t="str">
        <f>Master!M44</f>
        <v>karnataka-585328</v>
      </c>
      <c r="I1384" s="951"/>
      <c r="J1384" s="951"/>
      <c r="K1384" s="951"/>
      <c r="L1384" s="952"/>
      <c r="M1384" s="16"/>
    </row>
    <row r="1385" spans="1:13" ht="30" customHeight="1">
      <c r="A1385" s="73"/>
      <c r="B1385" s="948"/>
      <c r="C1385" s="949"/>
      <c r="D1385" s="949"/>
      <c r="E1385" s="949"/>
      <c r="F1385" s="949"/>
      <c r="G1385" s="949"/>
      <c r="H1385" s="989">
        <f>Master!N1920</f>
        <v>0</v>
      </c>
      <c r="I1385" s="990"/>
      <c r="J1385" s="990"/>
      <c r="K1385" s="990"/>
      <c r="L1385" s="991"/>
      <c r="M1385" s="16"/>
    </row>
    <row r="1386" spans="1:13" ht="30" customHeight="1">
      <c r="A1386" s="73"/>
      <c r="B1386" s="984" t="s">
        <v>106</v>
      </c>
      <c r="C1386" s="985"/>
      <c r="D1386" s="985"/>
      <c r="E1386" s="985"/>
      <c r="F1386" s="985"/>
      <c r="G1386" s="985"/>
      <c r="H1386" s="947">
        <f>Master!C44</f>
        <v>34</v>
      </c>
      <c r="I1386" s="945"/>
      <c r="J1386" s="945"/>
      <c r="K1386" s="945"/>
      <c r="L1386" s="946"/>
      <c r="M1386" s="16"/>
    </row>
    <row r="1387" spans="1:13" ht="30" customHeight="1">
      <c r="A1387" s="73"/>
      <c r="B1387" s="943" t="s">
        <v>107</v>
      </c>
      <c r="C1387" s="944"/>
      <c r="D1387" s="944"/>
      <c r="E1387" s="944"/>
      <c r="F1387" s="944"/>
      <c r="G1387" s="944"/>
      <c r="H1387" s="947" t="str">
        <f>Master!J44</f>
        <v>Unskilled Gardner</v>
      </c>
      <c r="I1387" s="945"/>
      <c r="J1387" s="945"/>
      <c r="K1387" s="945"/>
      <c r="L1387" s="946"/>
      <c r="M1387" s="16"/>
    </row>
    <row r="1388" spans="1:13" ht="30" customHeight="1">
      <c r="A1388" s="73"/>
      <c r="B1388" s="943" t="s">
        <v>108</v>
      </c>
      <c r="C1388" s="944"/>
      <c r="D1388" s="944"/>
      <c r="E1388" s="944"/>
      <c r="F1388" s="944"/>
      <c r="G1388" s="944"/>
      <c r="H1388" s="957">
        <f>Master!S44</f>
        <v>43850</v>
      </c>
      <c r="I1388" s="958"/>
      <c r="J1388" s="958"/>
      <c r="K1388" s="958"/>
      <c r="L1388" s="959"/>
      <c r="M1388" s="16"/>
    </row>
    <row r="1389" spans="1:13" ht="30" customHeight="1">
      <c r="A1389" s="73"/>
      <c r="B1389" s="386" t="s">
        <v>109</v>
      </c>
      <c r="C1389" s="116"/>
      <c r="D1389" s="116"/>
      <c r="E1389" s="116"/>
      <c r="F1389" s="116"/>
      <c r="G1389" s="116"/>
      <c r="H1389" s="947">
        <f>Master!Y44</f>
        <v>5215200706</v>
      </c>
      <c r="I1389" s="947"/>
      <c r="J1389" s="947"/>
      <c r="K1389" s="947"/>
      <c r="L1389" s="953"/>
      <c r="M1389" s="16"/>
    </row>
    <row r="1390" spans="1:13" ht="30" customHeight="1">
      <c r="A1390" s="73"/>
      <c r="B1390" s="386" t="s">
        <v>110</v>
      </c>
      <c r="C1390" s="116"/>
      <c r="D1390" s="116"/>
      <c r="E1390" s="116"/>
      <c r="F1390" s="116"/>
      <c r="G1390" s="119"/>
      <c r="H1390" s="947" t="str">
        <f>Master!X44</f>
        <v>101381353296</v>
      </c>
      <c r="I1390" s="947"/>
      <c r="J1390" s="947"/>
      <c r="K1390" s="947"/>
      <c r="L1390" s="953"/>
      <c r="M1390" s="16"/>
    </row>
    <row r="1391" spans="1:13" ht="30" customHeight="1">
      <c r="A1391" s="73"/>
      <c r="B1391" s="954" t="s">
        <v>111</v>
      </c>
      <c r="C1391" s="955"/>
      <c r="D1391" s="955"/>
      <c r="E1391" s="955"/>
      <c r="F1391" s="955"/>
      <c r="G1391" s="955"/>
      <c r="H1391" s="950">
        <f>Master!AC44</f>
        <v>10627</v>
      </c>
      <c r="I1391" s="951"/>
      <c r="J1391" s="951"/>
      <c r="K1391" s="951"/>
      <c r="L1391" s="952"/>
      <c r="M1391" s="16"/>
    </row>
    <row r="1392" spans="1:13" ht="30" customHeight="1">
      <c r="A1392" s="73"/>
      <c r="B1392" s="943" t="s">
        <v>112</v>
      </c>
      <c r="C1392" s="944"/>
      <c r="D1392" s="944"/>
      <c r="E1392" s="944"/>
      <c r="F1392" s="944"/>
      <c r="G1392" s="944"/>
      <c r="H1392" s="956">
        <f>Master!F10</f>
        <v>44652</v>
      </c>
      <c r="I1392" s="945"/>
      <c r="J1392" s="945"/>
      <c r="K1392" s="945"/>
      <c r="L1392" s="946"/>
      <c r="M1392" s="16"/>
    </row>
    <row r="1393" spans="1:13" ht="30" customHeight="1">
      <c r="A1393" s="15"/>
      <c r="B1393" s="943" t="s">
        <v>113</v>
      </c>
      <c r="C1393" s="944"/>
      <c r="D1393" s="944"/>
      <c r="E1393" s="944"/>
      <c r="F1393" s="944"/>
      <c r="G1393" s="944"/>
      <c r="H1393" s="945" t="s">
        <v>114</v>
      </c>
      <c r="I1393" s="945"/>
      <c r="J1393" s="945"/>
      <c r="K1393" s="945"/>
      <c r="L1393" s="946"/>
      <c r="M1393" s="16"/>
    </row>
    <row r="1394" spans="1:13" ht="30" customHeight="1">
      <c r="A1394" s="15"/>
      <c r="B1394" s="386" t="s">
        <v>115</v>
      </c>
      <c r="C1394" s="116"/>
      <c r="D1394" s="116"/>
      <c r="E1394" s="116"/>
      <c r="F1394" s="116"/>
      <c r="G1394" s="119"/>
      <c r="H1394" s="947">
        <f>Master!AA44</f>
        <v>26</v>
      </c>
      <c r="I1394" s="945"/>
      <c r="J1394" s="945"/>
      <c r="K1394" s="945"/>
      <c r="L1394" s="946"/>
      <c r="M1394" s="16"/>
    </row>
    <row r="1395" spans="1:13" ht="30" customHeight="1">
      <c r="A1395" s="15"/>
      <c r="B1395" s="386" t="s">
        <v>116</v>
      </c>
      <c r="C1395" s="116"/>
      <c r="D1395" s="116"/>
      <c r="E1395" s="116"/>
      <c r="F1395" s="116"/>
      <c r="G1395" s="119"/>
      <c r="H1395" s="986" t="s">
        <v>28</v>
      </c>
      <c r="I1395" s="987"/>
      <c r="J1395" s="987"/>
      <c r="K1395" s="987"/>
      <c r="L1395" s="988"/>
      <c r="M1395" s="16"/>
    </row>
    <row r="1396" spans="1:13" ht="30" customHeight="1">
      <c r="A1396" s="15"/>
      <c r="B1396" s="386" t="s">
        <v>117</v>
      </c>
      <c r="C1396" s="116"/>
      <c r="D1396" s="116"/>
      <c r="E1396" s="116"/>
      <c r="F1396" s="116"/>
      <c r="G1396" s="119"/>
      <c r="H1396" s="989">
        <v>0</v>
      </c>
      <c r="I1396" s="990"/>
      <c r="J1396" s="990"/>
      <c r="K1396" s="990"/>
      <c r="L1396" s="991"/>
      <c r="M1396" s="16"/>
    </row>
    <row r="1397" spans="1:13" ht="30" customHeight="1">
      <c r="A1397" s="15"/>
      <c r="B1397" s="386" t="s">
        <v>118</v>
      </c>
      <c r="C1397" s="116"/>
      <c r="D1397" s="116"/>
      <c r="E1397" s="116"/>
      <c r="F1397" s="116"/>
      <c r="G1397" s="119"/>
      <c r="H1397" s="986">
        <v>0</v>
      </c>
      <c r="I1397" s="987"/>
      <c r="J1397" s="987"/>
      <c r="K1397" s="987"/>
      <c r="L1397" s="988"/>
      <c r="M1397" s="16"/>
    </row>
    <row r="1398" spans="1:13" ht="30" customHeight="1">
      <c r="A1398" s="15"/>
      <c r="B1398" s="386" t="s">
        <v>119</v>
      </c>
      <c r="C1398" s="116"/>
      <c r="D1398" s="116"/>
      <c r="E1398" s="116"/>
      <c r="F1398" s="116"/>
      <c r="G1398" s="119"/>
      <c r="H1398" s="117"/>
      <c r="I1398" s="118"/>
      <c r="J1398" s="990">
        <f>Master!AK44</f>
        <v>9210.4</v>
      </c>
      <c r="K1398" s="992"/>
      <c r="L1398" s="581" t="s">
        <v>737</v>
      </c>
      <c r="M1398" s="16"/>
    </row>
    <row r="1399" spans="1:13" ht="30" customHeight="1">
      <c r="A1399" s="15"/>
      <c r="B1399" s="386" t="s">
        <v>120</v>
      </c>
      <c r="C1399" s="116"/>
      <c r="D1399" s="465" t="s">
        <v>24</v>
      </c>
      <c r="E1399" s="466">
        <f>Master!AM44</f>
        <v>1105</v>
      </c>
      <c r="F1399" s="465" t="s">
        <v>23</v>
      </c>
      <c r="G1399" s="466">
        <f>Master!AL44</f>
        <v>70</v>
      </c>
      <c r="H1399" s="465" t="s">
        <v>25</v>
      </c>
      <c r="I1399" s="466">
        <f>Master!AN44</f>
        <v>0</v>
      </c>
      <c r="J1399" s="465" t="s">
        <v>26</v>
      </c>
      <c r="K1399" s="466">
        <f>Master!AO44</f>
        <v>0</v>
      </c>
      <c r="L1399" s="400">
        <f>Master!AP44</f>
        <v>0</v>
      </c>
      <c r="M1399" s="16"/>
    </row>
    <row r="1400" spans="1:13" ht="30" customHeight="1">
      <c r="A1400" s="15"/>
      <c r="B1400" s="386" t="s">
        <v>121</v>
      </c>
      <c r="C1400" s="116"/>
      <c r="D1400" s="116"/>
      <c r="E1400" s="116"/>
      <c r="F1400" s="116"/>
      <c r="G1400" s="119"/>
      <c r="H1400" s="117"/>
      <c r="I1400" s="118"/>
      <c r="J1400" s="541">
        <f>Master!AR44</f>
        <v>8035.4</v>
      </c>
      <c r="K1400" s="118"/>
      <c r="L1400" s="125"/>
      <c r="M1400" s="16"/>
    </row>
    <row r="1401" spans="1:13">
      <c r="A1401" s="15"/>
      <c r="B1401" s="387" t="s">
        <v>122</v>
      </c>
      <c r="C1401" s="74"/>
      <c r="D1401" s="74"/>
      <c r="E1401" s="74"/>
      <c r="F1401" s="74"/>
      <c r="G1401" s="75"/>
      <c r="H1401" s="76"/>
      <c r="I1401" s="77"/>
      <c r="J1401" s="77"/>
      <c r="K1401" s="77"/>
      <c r="L1401" s="78"/>
      <c r="M1401" s="16"/>
    </row>
    <row r="1402" spans="1:13">
      <c r="A1402" s="15"/>
      <c r="B1402" s="388" t="s">
        <v>123</v>
      </c>
      <c r="C1402" s="79"/>
      <c r="D1402" s="79"/>
      <c r="E1402" s="79"/>
      <c r="F1402" s="79"/>
      <c r="G1402" s="80"/>
      <c r="H1402" s="60"/>
      <c r="I1402" s="19"/>
      <c r="J1402" s="19"/>
      <c r="K1402" s="19"/>
      <c r="L1402" s="81"/>
      <c r="M1402" s="16"/>
    </row>
    <row r="1403" spans="1:13">
      <c r="A1403" s="15"/>
      <c r="B1403" s="15"/>
      <c r="C1403" s="114"/>
      <c r="D1403" s="114"/>
      <c r="E1403" s="114"/>
      <c r="F1403" s="114"/>
      <c r="G1403" s="114"/>
      <c r="H1403" s="114"/>
      <c r="I1403" s="114"/>
      <c r="J1403" s="114"/>
      <c r="K1403" s="114"/>
      <c r="L1403" s="16"/>
      <c r="M1403" s="16"/>
    </row>
    <row r="1404" spans="1:13" ht="15" thickBot="1">
      <c r="A1404" s="27"/>
      <c r="B1404" s="27"/>
      <c r="C1404" s="25"/>
      <c r="D1404" s="25"/>
      <c r="E1404" s="25"/>
      <c r="F1404" s="25"/>
      <c r="G1404" s="25"/>
      <c r="H1404" s="25"/>
      <c r="I1404" s="25"/>
      <c r="J1404" s="25"/>
      <c r="K1404" s="25"/>
      <c r="L1404" s="26"/>
      <c r="M1404" s="26"/>
    </row>
    <row r="1405" spans="1:13">
      <c r="A1405" s="420"/>
      <c r="B1405" s="420"/>
      <c r="C1405" s="420"/>
      <c r="D1405" s="420"/>
      <c r="E1405" s="420"/>
      <c r="F1405" s="420"/>
      <c r="G1405" s="420"/>
      <c r="H1405" s="420"/>
      <c r="I1405" s="420"/>
      <c r="J1405" s="420"/>
      <c r="K1405" s="420"/>
      <c r="L1405" s="420"/>
      <c r="M1405" s="420"/>
    </row>
    <row r="1406" spans="1:13">
      <c r="A1406" s="420"/>
      <c r="B1406" s="420"/>
      <c r="C1406" s="420"/>
      <c r="D1406" s="420"/>
      <c r="E1406" s="420"/>
      <c r="F1406" s="420"/>
      <c r="G1406" s="420"/>
      <c r="H1406" s="420"/>
      <c r="I1406" s="420"/>
      <c r="J1406" s="420"/>
      <c r="K1406" s="420"/>
      <c r="L1406" s="420"/>
      <c r="M1406" s="420"/>
    </row>
    <row r="1407" spans="1:13">
      <c r="A1407" s="420"/>
      <c r="B1407" s="420"/>
      <c r="C1407" s="420"/>
      <c r="D1407" s="420"/>
      <c r="E1407" s="420"/>
      <c r="F1407" s="420"/>
      <c r="G1407" s="420"/>
      <c r="H1407" s="420"/>
      <c r="I1407" s="420"/>
      <c r="J1407" s="420"/>
      <c r="K1407" s="420"/>
      <c r="L1407" s="420"/>
      <c r="M1407" s="420"/>
    </row>
    <row r="1408" spans="1:13">
      <c r="A1408" s="420"/>
      <c r="B1408" s="420"/>
      <c r="C1408" s="420"/>
      <c r="D1408" s="420"/>
      <c r="E1408" s="420"/>
      <c r="F1408" s="420"/>
      <c r="G1408" s="420"/>
      <c r="H1408" s="420"/>
      <c r="I1408" s="420"/>
      <c r="J1408" s="420"/>
      <c r="K1408" s="420"/>
      <c r="L1408" s="420"/>
      <c r="M1408" s="420"/>
    </row>
    <row r="1409" spans="1:13" ht="15" thickBot="1">
      <c r="A1409" s="420"/>
      <c r="B1409" s="420"/>
      <c r="C1409" s="420"/>
      <c r="D1409" s="420"/>
      <c r="E1409" s="420"/>
      <c r="F1409" s="420"/>
      <c r="G1409" s="420"/>
      <c r="H1409" s="420"/>
      <c r="I1409" s="420"/>
      <c r="J1409" s="420"/>
      <c r="K1409" s="420"/>
      <c r="L1409" s="420"/>
      <c r="M1409" s="420"/>
    </row>
    <row r="1410" spans="1:13" ht="32.4">
      <c r="A1410" s="68"/>
      <c r="B1410" s="960" t="s">
        <v>99</v>
      </c>
      <c r="C1410" s="961"/>
      <c r="D1410" s="961"/>
      <c r="E1410" s="961"/>
      <c r="F1410" s="961"/>
      <c r="G1410" s="961"/>
      <c r="H1410" s="961"/>
      <c r="I1410" s="961"/>
      <c r="J1410" s="961"/>
      <c r="K1410" s="961"/>
      <c r="L1410" s="962"/>
      <c r="M1410" s="69"/>
    </row>
    <row r="1411" spans="1:13" ht="23.4">
      <c r="A1411" s="15"/>
      <c r="B1411" s="963" t="s">
        <v>100</v>
      </c>
      <c r="C1411" s="964"/>
      <c r="D1411" s="964"/>
      <c r="E1411" s="964"/>
      <c r="F1411" s="964"/>
      <c r="G1411" s="964"/>
      <c r="H1411" s="964"/>
      <c r="I1411" s="964"/>
      <c r="J1411" s="964"/>
      <c r="K1411" s="964"/>
      <c r="L1411" s="965"/>
      <c r="M1411" s="16"/>
    </row>
    <row r="1412" spans="1:13" ht="15.6">
      <c r="A1412" s="15"/>
      <c r="B1412" s="966" t="s">
        <v>1070</v>
      </c>
      <c r="C1412" s="967"/>
      <c r="D1412" s="967"/>
      <c r="E1412" s="967"/>
      <c r="F1412" s="967"/>
      <c r="G1412" s="967"/>
      <c r="H1412" s="968"/>
      <c r="I1412" s="968"/>
      <c r="J1412" s="968"/>
      <c r="K1412" s="968"/>
      <c r="L1412" s="969"/>
      <c r="M1412" s="16"/>
    </row>
    <row r="1413" spans="1:13">
      <c r="A1413" s="15"/>
      <c r="B1413" s="970" t="s">
        <v>101</v>
      </c>
      <c r="C1413" s="971"/>
      <c r="D1413" s="971"/>
      <c r="E1413" s="971"/>
      <c r="F1413" s="971"/>
      <c r="G1413" s="391"/>
      <c r="H1413" s="974" t="s">
        <v>102</v>
      </c>
      <c r="I1413" s="975"/>
      <c r="J1413" s="975"/>
      <c r="K1413" s="975"/>
      <c r="L1413" s="976"/>
      <c r="M1413" s="16"/>
    </row>
    <row r="1414" spans="1:13">
      <c r="A1414" s="15"/>
      <c r="B1414" s="972"/>
      <c r="C1414" s="973"/>
      <c r="D1414" s="973"/>
      <c r="E1414" s="973"/>
      <c r="F1414" s="973"/>
      <c r="G1414" s="395"/>
      <c r="H1414" s="977"/>
      <c r="I1414" s="978"/>
      <c r="J1414" s="978"/>
      <c r="K1414" s="978"/>
      <c r="L1414" s="979"/>
      <c r="M1414" s="16"/>
    </row>
    <row r="1415" spans="1:13">
      <c r="A1415" s="15"/>
      <c r="B1415" s="382"/>
      <c r="C1415" s="77"/>
      <c r="D1415" s="77"/>
      <c r="E1415" s="77"/>
      <c r="F1415" s="77"/>
      <c r="G1415" s="56"/>
      <c r="H1415" s="76"/>
      <c r="I1415" s="77"/>
      <c r="J1415" s="77"/>
      <c r="K1415" s="77"/>
      <c r="L1415" s="78"/>
      <c r="M1415" s="16"/>
    </row>
    <row r="1416" spans="1:13">
      <c r="A1416" s="15"/>
      <c r="B1416" s="378" t="str">
        <f>Master!F5</f>
        <v>GROTECH LANDSCAPE DEVELOPERS PVT. LTD.</v>
      </c>
      <c r="C1416" s="114"/>
      <c r="D1416" s="114"/>
      <c r="E1416" s="114"/>
      <c r="F1416" s="114"/>
      <c r="G1416" s="379"/>
      <c r="H1416" s="381" t="str">
        <f>Master!AN5</f>
        <v>GROTECH LANDSCAPE DEVELOPERS PVT. LTD.</v>
      </c>
      <c r="I1416" s="114"/>
      <c r="J1416" s="114"/>
      <c r="K1416" s="114"/>
      <c r="L1416" s="16"/>
      <c r="M1416" s="16"/>
    </row>
    <row r="1417" spans="1:13">
      <c r="A1417" s="15"/>
      <c r="B1417" s="15"/>
      <c r="C1417" s="114"/>
      <c r="D1417" s="114"/>
      <c r="E1417" s="114"/>
      <c r="F1417" s="114"/>
      <c r="G1417" s="379"/>
      <c r="H1417" s="380"/>
      <c r="I1417" s="114"/>
      <c r="J1417" s="114"/>
      <c r="K1417" s="114"/>
      <c r="L1417" s="16"/>
      <c r="M1417" s="16"/>
    </row>
    <row r="1418" spans="1:13">
      <c r="A1418" s="15"/>
      <c r="B1418" s="538" t="str">
        <f>Master!F6</f>
        <v>290/E, Khanapur Village, Gandipet Mandal, Ranga Reddy, Hyderabad-500075 T.S.</v>
      </c>
      <c r="C1418" s="114"/>
      <c r="D1418" s="114"/>
      <c r="E1418" s="114"/>
      <c r="F1418" s="114"/>
      <c r="G1418" s="379"/>
      <c r="H1418" s="539" t="str">
        <f>Master!AN6</f>
        <v>290/E, Khanapur Village, Gandipet Mandal, Ranga Reddy, Hyderabad-500075 T.S.</v>
      </c>
      <c r="I1418" s="114"/>
      <c r="J1418" s="114"/>
      <c r="K1418" s="114"/>
      <c r="L1418" s="16"/>
      <c r="M1418" s="16"/>
    </row>
    <row r="1419" spans="1:13">
      <c r="A1419" s="15"/>
      <c r="B1419" s="383"/>
      <c r="C1419" s="19"/>
      <c r="D1419" s="19"/>
      <c r="E1419" s="19"/>
      <c r="F1419" s="19"/>
      <c r="G1419" s="61"/>
      <c r="H1419" s="60"/>
      <c r="I1419" s="19"/>
      <c r="J1419" s="19"/>
      <c r="K1419" s="19"/>
      <c r="L1419" s="81"/>
      <c r="M1419" s="16"/>
    </row>
    <row r="1420" spans="1:13">
      <c r="A1420" s="15"/>
      <c r="B1420" s="389"/>
      <c r="C1420" s="390"/>
      <c r="D1420" s="390"/>
      <c r="E1420" s="390"/>
      <c r="F1420" s="390"/>
      <c r="G1420" s="391"/>
      <c r="H1420" s="396"/>
      <c r="I1420" s="390"/>
      <c r="J1420" s="390" t="s">
        <v>103</v>
      </c>
      <c r="K1420" s="390"/>
      <c r="L1420" s="397"/>
      <c r="M1420" s="16"/>
    </row>
    <row r="1421" spans="1:13">
      <c r="A1421" s="15"/>
      <c r="B1421" s="980" t="s">
        <v>104</v>
      </c>
      <c r="C1421" s="981"/>
      <c r="D1421" s="981"/>
      <c r="E1421" s="981"/>
      <c r="F1421" s="981"/>
      <c r="G1421" s="392"/>
      <c r="H1421" s="982" t="s">
        <v>4</v>
      </c>
      <c r="I1421" s="981"/>
      <c r="J1421" s="981"/>
      <c r="K1421" s="981"/>
      <c r="L1421" s="983"/>
      <c r="M1421" s="16"/>
    </row>
    <row r="1422" spans="1:13">
      <c r="A1422" s="15"/>
      <c r="B1422" s="393"/>
      <c r="C1422" s="394"/>
      <c r="D1422" s="394"/>
      <c r="E1422" s="394"/>
      <c r="F1422" s="394"/>
      <c r="G1422" s="395"/>
      <c r="H1422" s="398"/>
      <c r="I1422" s="394"/>
      <c r="J1422" s="394"/>
      <c r="K1422" s="394"/>
      <c r="L1422" s="399"/>
      <c r="M1422" s="16"/>
    </row>
    <row r="1423" spans="1:13">
      <c r="A1423" s="15"/>
      <c r="B1423" s="382"/>
      <c r="C1423" s="77"/>
      <c r="D1423" s="77"/>
      <c r="E1423" s="77"/>
      <c r="F1423" s="77"/>
      <c r="G1423" s="56"/>
      <c r="H1423" s="74"/>
      <c r="I1423" s="74"/>
      <c r="J1423" s="74"/>
      <c r="K1423" s="74"/>
      <c r="L1423" s="384"/>
      <c r="M1423" s="16"/>
    </row>
    <row r="1424" spans="1:13">
      <c r="A1424" s="15"/>
      <c r="B1424" s="15"/>
      <c r="C1424" s="114"/>
      <c r="D1424" s="114"/>
      <c r="E1424" s="114"/>
      <c r="F1424" s="114"/>
      <c r="G1424" s="379"/>
      <c r="H1424" s="115" t="str">
        <f>Master!AN10</f>
        <v>INDIAN SCHOOL OF BUSINESS</v>
      </c>
      <c r="I1424" s="115"/>
      <c r="J1424" s="115"/>
      <c r="K1424" s="115"/>
      <c r="L1424" s="71"/>
      <c r="M1424" s="16"/>
    </row>
    <row r="1425" spans="1:13">
      <c r="A1425" s="15"/>
      <c r="B1425" s="70" t="str">
        <f>Master!F8</f>
        <v>GARDENING SERVICES&amp;ISB HYDERABAD</v>
      </c>
      <c r="C1425" s="114"/>
      <c r="D1425" s="114"/>
      <c r="E1425" s="114"/>
      <c r="F1425" s="114"/>
      <c r="G1425" s="379"/>
      <c r="H1425" s="115"/>
      <c r="I1425" s="115"/>
      <c r="J1425" s="115"/>
      <c r="K1425" s="115"/>
      <c r="L1425" s="71"/>
      <c r="M1425" s="16"/>
    </row>
    <row r="1426" spans="1:13">
      <c r="A1426" s="15"/>
      <c r="B1426" s="15"/>
      <c r="C1426" s="114"/>
      <c r="D1426" s="114"/>
      <c r="E1426" s="114"/>
      <c r="F1426" s="114"/>
      <c r="G1426" s="379"/>
      <c r="H1426" s="115" t="str">
        <f>Master!AN11</f>
        <v>Opp.Infosys Limited,Gachibowli,Hyderabad</v>
      </c>
      <c r="I1426" s="115"/>
      <c r="J1426" s="115"/>
      <c r="K1426" s="115"/>
      <c r="L1426" s="71"/>
      <c r="M1426" s="16"/>
    </row>
    <row r="1427" spans="1:13">
      <c r="A1427" s="15"/>
      <c r="B1427" s="383"/>
      <c r="C1427" s="19"/>
      <c r="D1427" s="19"/>
      <c r="E1427" s="19"/>
      <c r="F1427" s="19"/>
      <c r="G1427" s="61"/>
      <c r="H1427" s="79"/>
      <c r="I1427" s="79"/>
      <c r="J1427" s="79"/>
      <c r="K1427" s="79"/>
      <c r="L1427" s="385"/>
      <c r="M1427" s="16"/>
    </row>
    <row r="1428" spans="1:13" ht="30" customHeight="1">
      <c r="A1428" s="15"/>
      <c r="B1428" s="948" t="s">
        <v>105</v>
      </c>
      <c r="C1428" s="949"/>
      <c r="D1428" s="949"/>
      <c r="E1428" s="949"/>
      <c r="F1428" s="949"/>
      <c r="G1428" s="949"/>
      <c r="H1428" s="950" t="str">
        <f>Master!D45</f>
        <v>V AMBAMMA</v>
      </c>
      <c r="I1428" s="951"/>
      <c r="J1428" s="951"/>
      <c r="K1428" s="951"/>
      <c r="L1428" s="952"/>
      <c r="M1428" s="16"/>
    </row>
    <row r="1429" spans="1:13" ht="30" customHeight="1">
      <c r="A1429" s="15"/>
      <c r="B1429" s="948"/>
      <c r="C1429" s="949"/>
      <c r="D1429" s="949"/>
      <c r="E1429" s="949"/>
      <c r="F1429" s="949"/>
      <c r="G1429" s="949"/>
      <c r="H1429" s="950" t="str">
        <f>Master!K45</f>
        <v>H.no.6-199/1</v>
      </c>
      <c r="I1429" s="951"/>
      <c r="J1429" s="951"/>
      <c r="K1429" s="951"/>
      <c r="L1429" s="952"/>
      <c r="M1429" s="16"/>
    </row>
    <row r="1430" spans="1:13" ht="30" customHeight="1">
      <c r="A1430" s="15"/>
      <c r="B1430" s="948"/>
      <c r="C1430" s="949"/>
      <c r="D1430" s="949"/>
      <c r="E1430" s="949"/>
      <c r="F1430" s="949"/>
      <c r="G1430" s="949"/>
      <c r="H1430" s="950" t="str">
        <f>Master!L45</f>
        <v>Narra basthi,Patancheru,Medak</v>
      </c>
      <c r="I1430" s="951"/>
      <c r="J1430" s="951"/>
      <c r="K1430" s="951"/>
      <c r="L1430" s="952"/>
      <c r="M1430" s="16"/>
    </row>
    <row r="1431" spans="1:13" ht="30" customHeight="1">
      <c r="A1431" s="15"/>
      <c r="B1431" s="948"/>
      <c r="C1431" s="949"/>
      <c r="D1431" s="949"/>
      <c r="E1431" s="949"/>
      <c r="F1431" s="949"/>
      <c r="G1431" s="949"/>
      <c r="H1431" s="950" t="str">
        <f>Master!M45</f>
        <v>TS-502319</v>
      </c>
      <c r="I1431" s="951"/>
      <c r="J1431" s="951"/>
      <c r="K1431" s="951"/>
      <c r="L1431" s="952"/>
      <c r="M1431" s="16"/>
    </row>
    <row r="1432" spans="1:13" ht="30" customHeight="1">
      <c r="A1432" s="73"/>
      <c r="B1432" s="948"/>
      <c r="C1432" s="949"/>
      <c r="D1432" s="949"/>
      <c r="E1432" s="949"/>
      <c r="F1432" s="949"/>
      <c r="G1432" s="949"/>
      <c r="H1432" s="989">
        <f>Master!N1988</f>
        <v>0</v>
      </c>
      <c r="I1432" s="990"/>
      <c r="J1432" s="990"/>
      <c r="K1432" s="990"/>
      <c r="L1432" s="991"/>
      <c r="M1432" s="16"/>
    </row>
    <row r="1433" spans="1:13" ht="30" customHeight="1">
      <c r="A1433" s="73"/>
      <c r="B1433" s="984" t="s">
        <v>106</v>
      </c>
      <c r="C1433" s="985"/>
      <c r="D1433" s="985"/>
      <c r="E1433" s="985"/>
      <c r="F1433" s="985"/>
      <c r="G1433" s="985"/>
      <c r="H1433" s="947">
        <f>Master!C45</f>
        <v>35</v>
      </c>
      <c r="I1433" s="945"/>
      <c r="J1433" s="945"/>
      <c r="K1433" s="945"/>
      <c r="L1433" s="946"/>
      <c r="M1433" s="16"/>
    </row>
    <row r="1434" spans="1:13" ht="30" customHeight="1">
      <c r="A1434" s="73"/>
      <c r="B1434" s="943" t="s">
        <v>107</v>
      </c>
      <c r="C1434" s="944"/>
      <c r="D1434" s="944"/>
      <c r="E1434" s="944"/>
      <c r="F1434" s="944"/>
      <c r="G1434" s="944"/>
      <c r="H1434" s="947" t="str">
        <f>Master!J45</f>
        <v>Unskilled Gardner</v>
      </c>
      <c r="I1434" s="945"/>
      <c r="J1434" s="945"/>
      <c r="K1434" s="945"/>
      <c r="L1434" s="946"/>
      <c r="M1434" s="16"/>
    </row>
    <row r="1435" spans="1:13" ht="30" customHeight="1">
      <c r="A1435" s="73"/>
      <c r="B1435" s="943" t="s">
        <v>108</v>
      </c>
      <c r="C1435" s="944"/>
      <c r="D1435" s="944"/>
      <c r="E1435" s="944"/>
      <c r="F1435" s="944"/>
      <c r="G1435" s="944"/>
      <c r="H1435" s="957">
        <f>Master!S45</f>
        <v>43850</v>
      </c>
      <c r="I1435" s="958"/>
      <c r="J1435" s="958"/>
      <c r="K1435" s="958"/>
      <c r="L1435" s="959"/>
      <c r="M1435" s="16"/>
    </row>
    <row r="1436" spans="1:13" ht="30" customHeight="1">
      <c r="A1436" s="73"/>
      <c r="B1436" s="386" t="s">
        <v>109</v>
      </c>
      <c r="C1436" s="116"/>
      <c r="D1436" s="116"/>
      <c r="E1436" s="116"/>
      <c r="F1436" s="116"/>
      <c r="G1436" s="116"/>
      <c r="H1436" s="947">
        <f>Master!Y45</f>
        <v>5216116335</v>
      </c>
      <c r="I1436" s="947"/>
      <c r="J1436" s="947"/>
      <c r="K1436" s="947"/>
      <c r="L1436" s="953"/>
      <c r="M1436" s="16"/>
    </row>
    <row r="1437" spans="1:13" ht="30" customHeight="1">
      <c r="A1437" s="73"/>
      <c r="B1437" s="386" t="s">
        <v>110</v>
      </c>
      <c r="C1437" s="116"/>
      <c r="D1437" s="116"/>
      <c r="E1437" s="116"/>
      <c r="F1437" s="116"/>
      <c r="G1437" s="119"/>
      <c r="H1437" s="947" t="str">
        <f>Master!X45</f>
        <v>101362702317</v>
      </c>
      <c r="I1437" s="947"/>
      <c r="J1437" s="947"/>
      <c r="K1437" s="947"/>
      <c r="L1437" s="953"/>
      <c r="M1437" s="16"/>
    </row>
    <row r="1438" spans="1:13" ht="30" customHeight="1">
      <c r="A1438" s="73"/>
      <c r="B1438" s="954" t="s">
        <v>111</v>
      </c>
      <c r="C1438" s="955"/>
      <c r="D1438" s="955"/>
      <c r="E1438" s="955"/>
      <c r="F1438" s="955"/>
      <c r="G1438" s="955"/>
      <c r="H1438" s="950">
        <f>Master!AC45</f>
        <v>10627</v>
      </c>
      <c r="I1438" s="951"/>
      <c r="J1438" s="951"/>
      <c r="K1438" s="951"/>
      <c r="L1438" s="952"/>
      <c r="M1438" s="16"/>
    </row>
    <row r="1439" spans="1:13" ht="30" customHeight="1">
      <c r="A1439" s="73"/>
      <c r="B1439" s="943" t="s">
        <v>112</v>
      </c>
      <c r="C1439" s="944"/>
      <c r="D1439" s="944"/>
      <c r="E1439" s="944"/>
      <c r="F1439" s="944"/>
      <c r="G1439" s="944"/>
      <c r="H1439" s="956">
        <f>Master!F10</f>
        <v>44652</v>
      </c>
      <c r="I1439" s="945"/>
      <c r="J1439" s="945"/>
      <c r="K1439" s="945"/>
      <c r="L1439" s="946"/>
      <c r="M1439" s="16"/>
    </row>
    <row r="1440" spans="1:13" ht="30" customHeight="1">
      <c r="A1440" s="15"/>
      <c r="B1440" s="943" t="s">
        <v>113</v>
      </c>
      <c r="C1440" s="944"/>
      <c r="D1440" s="944"/>
      <c r="E1440" s="944"/>
      <c r="F1440" s="944"/>
      <c r="G1440" s="944"/>
      <c r="H1440" s="945" t="s">
        <v>114</v>
      </c>
      <c r="I1440" s="945"/>
      <c r="J1440" s="945"/>
      <c r="K1440" s="945"/>
      <c r="L1440" s="946"/>
      <c r="M1440" s="16"/>
    </row>
    <row r="1441" spans="1:13" ht="30" customHeight="1">
      <c r="A1441" s="15"/>
      <c r="B1441" s="386" t="s">
        <v>115</v>
      </c>
      <c r="C1441" s="116"/>
      <c r="D1441" s="116"/>
      <c r="E1441" s="116"/>
      <c r="F1441" s="116"/>
      <c r="G1441" s="119"/>
      <c r="H1441" s="947">
        <f>Master!AA45</f>
        <v>26</v>
      </c>
      <c r="I1441" s="945"/>
      <c r="J1441" s="945"/>
      <c r="K1441" s="945"/>
      <c r="L1441" s="946"/>
      <c r="M1441" s="16"/>
    </row>
    <row r="1442" spans="1:13" ht="30" customHeight="1">
      <c r="A1442" s="15"/>
      <c r="B1442" s="386" t="s">
        <v>116</v>
      </c>
      <c r="C1442" s="116"/>
      <c r="D1442" s="116"/>
      <c r="E1442" s="116"/>
      <c r="F1442" s="116"/>
      <c r="G1442" s="119"/>
      <c r="H1442" s="986" t="s">
        <v>28</v>
      </c>
      <c r="I1442" s="987"/>
      <c r="J1442" s="987"/>
      <c r="K1442" s="987"/>
      <c r="L1442" s="988"/>
      <c r="M1442" s="16"/>
    </row>
    <row r="1443" spans="1:13" ht="30" customHeight="1">
      <c r="A1443" s="15"/>
      <c r="B1443" s="386" t="s">
        <v>117</v>
      </c>
      <c r="C1443" s="116"/>
      <c r="D1443" s="116"/>
      <c r="E1443" s="116"/>
      <c r="F1443" s="116"/>
      <c r="G1443" s="119"/>
      <c r="H1443" s="989">
        <v>0</v>
      </c>
      <c r="I1443" s="990"/>
      <c r="J1443" s="990"/>
      <c r="K1443" s="990"/>
      <c r="L1443" s="991"/>
      <c r="M1443" s="16"/>
    </row>
    <row r="1444" spans="1:13" ht="30" customHeight="1">
      <c r="A1444" s="15"/>
      <c r="B1444" s="386" t="s">
        <v>118</v>
      </c>
      <c r="C1444" s="116"/>
      <c r="D1444" s="116"/>
      <c r="E1444" s="116"/>
      <c r="F1444" s="116"/>
      <c r="G1444" s="119"/>
      <c r="H1444" s="986">
        <v>0</v>
      </c>
      <c r="I1444" s="987"/>
      <c r="J1444" s="987"/>
      <c r="K1444" s="987"/>
      <c r="L1444" s="988"/>
      <c r="M1444" s="16"/>
    </row>
    <row r="1445" spans="1:13" ht="30" customHeight="1">
      <c r="A1445" s="15"/>
      <c r="B1445" s="386" t="s">
        <v>119</v>
      </c>
      <c r="C1445" s="116"/>
      <c r="D1445" s="116"/>
      <c r="E1445" s="116"/>
      <c r="F1445" s="116"/>
      <c r="G1445" s="119"/>
      <c r="H1445" s="117"/>
      <c r="I1445" s="118"/>
      <c r="J1445" s="990">
        <f>Master!AK45</f>
        <v>9210.4</v>
      </c>
      <c r="K1445" s="992"/>
      <c r="L1445" s="581" t="s">
        <v>737</v>
      </c>
      <c r="M1445" s="16"/>
    </row>
    <row r="1446" spans="1:13" ht="30" customHeight="1">
      <c r="A1446" s="15"/>
      <c r="B1446" s="386" t="s">
        <v>120</v>
      </c>
      <c r="C1446" s="116"/>
      <c r="D1446" s="465" t="s">
        <v>24</v>
      </c>
      <c r="E1446" s="466">
        <f>Master!AM45</f>
        <v>1105</v>
      </c>
      <c r="F1446" s="465" t="s">
        <v>23</v>
      </c>
      <c r="G1446" s="466">
        <f>Master!AL45</f>
        <v>70</v>
      </c>
      <c r="H1446" s="465" t="s">
        <v>25</v>
      </c>
      <c r="I1446" s="466">
        <f>Master!AN45</f>
        <v>0</v>
      </c>
      <c r="J1446" s="465" t="s">
        <v>26</v>
      </c>
      <c r="K1446" s="466">
        <f>Master!AO45</f>
        <v>0</v>
      </c>
      <c r="L1446" s="400">
        <f>Master!AP45</f>
        <v>0</v>
      </c>
      <c r="M1446" s="16"/>
    </row>
    <row r="1447" spans="1:13" ht="30" customHeight="1">
      <c r="A1447" s="15"/>
      <c r="B1447" s="386" t="s">
        <v>121</v>
      </c>
      <c r="C1447" s="116"/>
      <c r="D1447" s="116"/>
      <c r="E1447" s="116"/>
      <c r="F1447" s="116"/>
      <c r="G1447" s="119"/>
      <c r="H1447" s="117"/>
      <c r="I1447" s="118"/>
      <c r="J1447" s="541">
        <f>Master!AR45</f>
        <v>8035.4</v>
      </c>
      <c r="K1447" s="118"/>
      <c r="L1447" s="125"/>
      <c r="M1447" s="16"/>
    </row>
    <row r="1448" spans="1:13">
      <c r="A1448" s="15"/>
      <c r="B1448" s="387" t="s">
        <v>122</v>
      </c>
      <c r="C1448" s="74"/>
      <c r="D1448" s="74"/>
      <c r="E1448" s="74"/>
      <c r="F1448" s="74"/>
      <c r="G1448" s="75"/>
      <c r="H1448" s="76"/>
      <c r="I1448" s="77"/>
      <c r="J1448" s="77"/>
      <c r="K1448" s="77"/>
      <c r="L1448" s="78"/>
      <c r="M1448" s="16"/>
    </row>
    <row r="1449" spans="1:13">
      <c r="A1449" s="15"/>
      <c r="B1449" s="388" t="s">
        <v>123</v>
      </c>
      <c r="C1449" s="79"/>
      <c r="D1449" s="79"/>
      <c r="E1449" s="79"/>
      <c r="F1449" s="79"/>
      <c r="G1449" s="80"/>
      <c r="H1449" s="60"/>
      <c r="I1449" s="19"/>
      <c r="J1449" s="19"/>
      <c r="K1449" s="19"/>
      <c r="L1449" s="81"/>
      <c r="M1449" s="16"/>
    </row>
    <row r="1450" spans="1:13">
      <c r="A1450" s="15"/>
      <c r="B1450" s="15"/>
      <c r="C1450" s="114"/>
      <c r="D1450" s="114"/>
      <c r="E1450" s="114"/>
      <c r="F1450" s="114"/>
      <c r="G1450" s="114"/>
      <c r="H1450" s="114"/>
      <c r="I1450" s="114"/>
      <c r="J1450" s="114"/>
      <c r="K1450" s="114"/>
      <c r="L1450" s="16"/>
      <c r="M1450" s="16"/>
    </row>
    <row r="1451" spans="1:13" ht="15" thickBot="1">
      <c r="A1451" s="27"/>
      <c r="B1451" s="27"/>
      <c r="C1451" s="25"/>
      <c r="D1451" s="25"/>
      <c r="E1451" s="25"/>
      <c r="F1451" s="25"/>
      <c r="G1451" s="25"/>
      <c r="H1451" s="25"/>
      <c r="I1451" s="25"/>
      <c r="J1451" s="25"/>
      <c r="K1451" s="25"/>
      <c r="L1451" s="26"/>
      <c r="M1451" s="26"/>
    </row>
    <row r="1452" spans="1:13">
      <c r="A1452" s="420"/>
      <c r="B1452" s="420"/>
      <c r="C1452" s="420"/>
      <c r="D1452" s="420"/>
      <c r="E1452" s="420"/>
      <c r="F1452" s="420"/>
      <c r="G1452" s="420"/>
      <c r="H1452" s="420"/>
      <c r="I1452" s="420"/>
      <c r="J1452" s="420"/>
      <c r="K1452" s="420"/>
      <c r="L1452" s="420"/>
      <c r="M1452" s="420"/>
    </row>
    <row r="1453" spans="1:13">
      <c r="A1453" s="420"/>
      <c r="B1453" s="420"/>
      <c r="C1453" s="420"/>
      <c r="D1453" s="420"/>
      <c r="E1453" s="420"/>
      <c r="F1453" s="420"/>
      <c r="G1453" s="420"/>
      <c r="H1453" s="420"/>
      <c r="I1453" s="420"/>
      <c r="J1453" s="420"/>
      <c r="K1453" s="420"/>
      <c r="L1453" s="420"/>
      <c r="M1453" s="420"/>
    </row>
    <row r="1454" spans="1:13">
      <c r="A1454" s="420"/>
      <c r="B1454" s="420"/>
      <c r="C1454" s="420"/>
      <c r="D1454" s="420"/>
      <c r="E1454" s="420"/>
      <c r="F1454" s="420"/>
      <c r="G1454" s="420"/>
      <c r="H1454" s="420"/>
      <c r="I1454" s="420"/>
      <c r="J1454" s="420"/>
      <c r="K1454" s="420"/>
      <c r="L1454" s="420"/>
      <c r="M1454" s="420"/>
    </row>
    <row r="1455" spans="1:13">
      <c r="A1455" s="420"/>
      <c r="B1455" s="420"/>
      <c r="C1455" s="420"/>
      <c r="D1455" s="420"/>
      <c r="E1455" s="420"/>
      <c r="F1455" s="420"/>
      <c r="G1455" s="420"/>
      <c r="H1455" s="420"/>
      <c r="I1455" s="420"/>
      <c r="J1455" s="420"/>
      <c r="K1455" s="420"/>
      <c r="L1455" s="420"/>
      <c r="M1455" s="420"/>
    </row>
    <row r="1456" spans="1:13" ht="15" thickBot="1">
      <c r="A1456" s="420"/>
      <c r="B1456" s="420"/>
      <c r="C1456" s="420"/>
      <c r="D1456" s="420"/>
      <c r="E1456" s="420"/>
      <c r="F1456" s="420"/>
      <c r="G1456" s="420"/>
      <c r="H1456" s="420"/>
      <c r="I1456" s="420"/>
      <c r="J1456" s="420"/>
      <c r="K1456" s="420"/>
      <c r="L1456" s="420"/>
      <c r="M1456" s="420"/>
    </row>
    <row r="1457" spans="1:13" ht="32.4">
      <c r="A1457" s="68"/>
      <c r="B1457" s="960" t="s">
        <v>99</v>
      </c>
      <c r="C1457" s="961"/>
      <c r="D1457" s="961"/>
      <c r="E1457" s="961"/>
      <c r="F1457" s="961"/>
      <c r="G1457" s="961"/>
      <c r="H1457" s="961"/>
      <c r="I1457" s="961"/>
      <c r="J1457" s="961"/>
      <c r="K1457" s="961"/>
      <c r="L1457" s="962"/>
      <c r="M1457" s="69"/>
    </row>
    <row r="1458" spans="1:13" ht="23.4">
      <c r="A1458" s="15"/>
      <c r="B1458" s="963" t="s">
        <v>100</v>
      </c>
      <c r="C1458" s="964"/>
      <c r="D1458" s="964"/>
      <c r="E1458" s="964"/>
      <c r="F1458" s="964"/>
      <c r="G1458" s="964"/>
      <c r="H1458" s="964"/>
      <c r="I1458" s="964"/>
      <c r="J1458" s="964"/>
      <c r="K1458" s="964"/>
      <c r="L1458" s="965"/>
      <c r="M1458" s="16"/>
    </row>
    <row r="1459" spans="1:13" ht="15.6">
      <c r="A1459" s="15"/>
      <c r="B1459" s="966" t="s">
        <v>1070</v>
      </c>
      <c r="C1459" s="967"/>
      <c r="D1459" s="967"/>
      <c r="E1459" s="967"/>
      <c r="F1459" s="967"/>
      <c r="G1459" s="967"/>
      <c r="H1459" s="968"/>
      <c r="I1459" s="968"/>
      <c r="J1459" s="968"/>
      <c r="K1459" s="968"/>
      <c r="L1459" s="969"/>
      <c r="M1459" s="16"/>
    </row>
    <row r="1460" spans="1:13">
      <c r="A1460" s="15"/>
      <c r="B1460" s="970" t="s">
        <v>101</v>
      </c>
      <c r="C1460" s="971"/>
      <c r="D1460" s="971"/>
      <c r="E1460" s="971"/>
      <c r="F1460" s="971"/>
      <c r="G1460" s="391"/>
      <c r="H1460" s="974" t="s">
        <v>102</v>
      </c>
      <c r="I1460" s="975"/>
      <c r="J1460" s="975"/>
      <c r="K1460" s="975"/>
      <c r="L1460" s="976"/>
      <c r="M1460" s="16"/>
    </row>
    <row r="1461" spans="1:13">
      <c r="A1461" s="15"/>
      <c r="B1461" s="972"/>
      <c r="C1461" s="973"/>
      <c r="D1461" s="973"/>
      <c r="E1461" s="973"/>
      <c r="F1461" s="973"/>
      <c r="G1461" s="395"/>
      <c r="H1461" s="977"/>
      <c r="I1461" s="978"/>
      <c r="J1461" s="978"/>
      <c r="K1461" s="978"/>
      <c r="L1461" s="979"/>
      <c r="M1461" s="16"/>
    </row>
    <row r="1462" spans="1:13">
      <c r="A1462" s="15"/>
      <c r="B1462" s="382"/>
      <c r="C1462" s="77"/>
      <c r="D1462" s="77"/>
      <c r="E1462" s="77"/>
      <c r="F1462" s="77"/>
      <c r="G1462" s="56"/>
      <c r="H1462" s="76"/>
      <c r="I1462" s="77"/>
      <c r="J1462" s="77"/>
      <c r="K1462" s="77"/>
      <c r="L1462" s="78"/>
      <c r="M1462" s="16"/>
    </row>
    <row r="1463" spans="1:13">
      <c r="A1463" s="15"/>
      <c r="B1463" s="378" t="str">
        <f>Master!F5</f>
        <v>GROTECH LANDSCAPE DEVELOPERS PVT. LTD.</v>
      </c>
      <c r="C1463" s="114"/>
      <c r="D1463" s="114"/>
      <c r="E1463" s="114"/>
      <c r="F1463" s="114"/>
      <c r="G1463" s="379"/>
      <c r="H1463" s="381" t="str">
        <f>Master!AN5</f>
        <v>GROTECH LANDSCAPE DEVELOPERS PVT. LTD.</v>
      </c>
      <c r="I1463" s="114"/>
      <c r="J1463" s="114"/>
      <c r="K1463" s="114"/>
      <c r="L1463" s="16"/>
      <c r="M1463" s="16"/>
    </row>
    <row r="1464" spans="1:13">
      <c r="A1464" s="15"/>
      <c r="B1464" s="15"/>
      <c r="C1464" s="114"/>
      <c r="D1464" s="114"/>
      <c r="E1464" s="114"/>
      <c r="F1464" s="114"/>
      <c r="G1464" s="379"/>
      <c r="H1464" s="380"/>
      <c r="I1464" s="114"/>
      <c r="J1464" s="114"/>
      <c r="K1464" s="114"/>
      <c r="L1464" s="16"/>
      <c r="M1464" s="16"/>
    </row>
    <row r="1465" spans="1:13">
      <c r="A1465" s="15"/>
      <c r="B1465" s="538" t="str">
        <f>Master!F6</f>
        <v>290/E, Khanapur Village, Gandipet Mandal, Ranga Reddy, Hyderabad-500075 T.S.</v>
      </c>
      <c r="C1465" s="114"/>
      <c r="D1465" s="114"/>
      <c r="E1465" s="114"/>
      <c r="F1465" s="114"/>
      <c r="G1465" s="379"/>
      <c r="H1465" s="539" t="str">
        <f>Master!AN6</f>
        <v>290/E, Khanapur Village, Gandipet Mandal, Ranga Reddy, Hyderabad-500075 T.S.</v>
      </c>
      <c r="I1465" s="114"/>
      <c r="J1465" s="114"/>
      <c r="K1465" s="114"/>
      <c r="L1465" s="16"/>
      <c r="M1465" s="16"/>
    </row>
    <row r="1466" spans="1:13">
      <c r="A1466" s="15"/>
      <c r="B1466" s="383"/>
      <c r="C1466" s="19"/>
      <c r="D1466" s="19"/>
      <c r="E1466" s="19"/>
      <c r="F1466" s="19"/>
      <c r="G1466" s="61"/>
      <c r="H1466" s="60"/>
      <c r="I1466" s="19"/>
      <c r="J1466" s="19"/>
      <c r="K1466" s="19"/>
      <c r="L1466" s="81"/>
      <c r="M1466" s="16"/>
    </row>
    <row r="1467" spans="1:13">
      <c r="A1467" s="15"/>
      <c r="B1467" s="389"/>
      <c r="C1467" s="390"/>
      <c r="D1467" s="390"/>
      <c r="E1467" s="390"/>
      <c r="F1467" s="390"/>
      <c r="G1467" s="391"/>
      <c r="H1467" s="396"/>
      <c r="I1467" s="390"/>
      <c r="J1467" s="390" t="s">
        <v>103</v>
      </c>
      <c r="K1467" s="390"/>
      <c r="L1467" s="397"/>
      <c r="M1467" s="16"/>
    </row>
    <row r="1468" spans="1:13">
      <c r="A1468" s="15"/>
      <c r="B1468" s="980" t="s">
        <v>104</v>
      </c>
      <c r="C1468" s="981"/>
      <c r="D1468" s="981"/>
      <c r="E1468" s="981"/>
      <c r="F1468" s="981"/>
      <c r="G1468" s="392"/>
      <c r="H1468" s="982" t="s">
        <v>4</v>
      </c>
      <c r="I1468" s="981"/>
      <c r="J1468" s="981"/>
      <c r="K1468" s="981"/>
      <c r="L1468" s="983"/>
      <c r="M1468" s="16"/>
    </row>
    <row r="1469" spans="1:13">
      <c r="A1469" s="15"/>
      <c r="B1469" s="393"/>
      <c r="C1469" s="394"/>
      <c r="D1469" s="394"/>
      <c r="E1469" s="394"/>
      <c r="F1469" s="394"/>
      <c r="G1469" s="395"/>
      <c r="H1469" s="398"/>
      <c r="I1469" s="394"/>
      <c r="J1469" s="394"/>
      <c r="K1469" s="394"/>
      <c r="L1469" s="399"/>
      <c r="M1469" s="16"/>
    </row>
    <row r="1470" spans="1:13">
      <c r="A1470" s="15"/>
      <c r="B1470" s="382"/>
      <c r="C1470" s="77"/>
      <c r="D1470" s="77"/>
      <c r="E1470" s="77"/>
      <c r="F1470" s="77"/>
      <c r="G1470" s="56"/>
      <c r="H1470" s="74"/>
      <c r="I1470" s="74"/>
      <c r="J1470" s="74"/>
      <c r="K1470" s="74"/>
      <c r="L1470" s="384"/>
      <c r="M1470" s="16"/>
    </row>
    <row r="1471" spans="1:13">
      <c r="A1471" s="15"/>
      <c r="B1471" s="15"/>
      <c r="C1471" s="114"/>
      <c r="D1471" s="114"/>
      <c r="E1471" s="114"/>
      <c r="F1471" s="114"/>
      <c r="G1471" s="379"/>
      <c r="H1471" s="115" t="str">
        <f>Master!AN10</f>
        <v>INDIAN SCHOOL OF BUSINESS</v>
      </c>
      <c r="I1471" s="115"/>
      <c r="J1471" s="115"/>
      <c r="K1471" s="115"/>
      <c r="L1471" s="71"/>
      <c r="M1471" s="16"/>
    </row>
    <row r="1472" spans="1:13">
      <c r="A1472" s="15"/>
      <c r="B1472" s="70" t="str">
        <f>Master!F8</f>
        <v>GARDENING SERVICES&amp;ISB HYDERABAD</v>
      </c>
      <c r="C1472" s="114"/>
      <c r="D1472" s="114"/>
      <c r="E1472" s="114"/>
      <c r="F1472" s="114"/>
      <c r="G1472" s="379"/>
      <c r="H1472" s="115"/>
      <c r="I1472" s="115"/>
      <c r="J1472" s="115"/>
      <c r="K1472" s="115"/>
      <c r="L1472" s="71"/>
      <c r="M1472" s="16"/>
    </row>
    <row r="1473" spans="1:13">
      <c r="A1473" s="15"/>
      <c r="B1473" s="15"/>
      <c r="C1473" s="114"/>
      <c r="D1473" s="114"/>
      <c r="E1473" s="114"/>
      <c r="F1473" s="114"/>
      <c r="G1473" s="379"/>
      <c r="H1473" s="115" t="str">
        <f>Master!AN11</f>
        <v>Opp.Infosys Limited,Gachibowli,Hyderabad</v>
      </c>
      <c r="I1473" s="115"/>
      <c r="J1473" s="115"/>
      <c r="K1473" s="115"/>
      <c r="L1473" s="71"/>
      <c r="M1473" s="16"/>
    </row>
    <row r="1474" spans="1:13">
      <c r="A1474" s="15"/>
      <c r="B1474" s="383"/>
      <c r="C1474" s="19"/>
      <c r="D1474" s="19"/>
      <c r="E1474" s="19"/>
      <c r="F1474" s="19"/>
      <c r="G1474" s="61"/>
      <c r="H1474" s="79"/>
      <c r="I1474" s="79"/>
      <c r="J1474" s="79"/>
      <c r="K1474" s="79"/>
      <c r="L1474" s="385"/>
      <c r="M1474" s="16"/>
    </row>
    <row r="1475" spans="1:13" ht="30" customHeight="1">
      <c r="A1475" s="15"/>
      <c r="B1475" s="948" t="s">
        <v>105</v>
      </c>
      <c r="C1475" s="949"/>
      <c r="D1475" s="949"/>
      <c r="E1475" s="949"/>
      <c r="F1475" s="949"/>
      <c r="G1475" s="949"/>
      <c r="H1475" s="950" t="str">
        <f>Master!D46</f>
        <v>PALLAPU LAXMI</v>
      </c>
      <c r="I1475" s="951"/>
      <c r="J1475" s="951"/>
      <c r="K1475" s="951"/>
      <c r="L1475" s="952"/>
      <c r="M1475" s="16"/>
    </row>
    <row r="1476" spans="1:13" ht="30" customHeight="1">
      <c r="A1476" s="15"/>
      <c r="B1476" s="948"/>
      <c r="C1476" s="949"/>
      <c r="D1476" s="949"/>
      <c r="E1476" s="949"/>
      <c r="F1476" s="949"/>
      <c r="G1476" s="949"/>
      <c r="H1476" s="994">
        <f>Master!K46</f>
        <v>21245</v>
      </c>
      <c r="I1476" s="994"/>
      <c r="J1476" s="994"/>
      <c r="K1476" s="994"/>
      <c r="L1476" s="995"/>
      <c r="M1476" s="16"/>
    </row>
    <row r="1477" spans="1:13" ht="30" customHeight="1">
      <c r="A1477" s="15"/>
      <c r="B1477" s="948"/>
      <c r="C1477" s="949"/>
      <c r="D1477" s="949"/>
      <c r="E1477" s="949"/>
      <c r="F1477" s="949"/>
      <c r="G1477" s="949"/>
      <c r="H1477" s="950" t="str">
        <f>Master!L46</f>
        <v>Nagdar,kalher,medak</v>
      </c>
      <c r="I1477" s="951"/>
      <c r="J1477" s="951"/>
      <c r="K1477" s="951"/>
      <c r="L1477" s="952"/>
      <c r="M1477" s="16"/>
    </row>
    <row r="1478" spans="1:13" ht="30" customHeight="1">
      <c r="A1478" s="15"/>
      <c r="B1478" s="948"/>
      <c r="C1478" s="949"/>
      <c r="D1478" s="949"/>
      <c r="E1478" s="949"/>
      <c r="F1478" s="949"/>
      <c r="G1478" s="949"/>
      <c r="H1478" s="950" t="str">
        <f>Master!M46</f>
        <v>AP-502371</v>
      </c>
      <c r="I1478" s="951"/>
      <c r="J1478" s="951"/>
      <c r="K1478" s="951"/>
      <c r="L1478" s="952"/>
      <c r="M1478" s="16"/>
    </row>
    <row r="1479" spans="1:13" ht="30" customHeight="1">
      <c r="A1479" s="73"/>
      <c r="B1479" s="948"/>
      <c r="C1479" s="949"/>
      <c r="D1479" s="949"/>
      <c r="E1479" s="949"/>
      <c r="F1479" s="949"/>
      <c r="G1479" s="949"/>
      <c r="H1479" s="989">
        <f>Master!N2056</f>
        <v>0</v>
      </c>
      <c r="I1479" s="990"/>
      <c r="J1479" s="990"/>
      <c r="K1479" s="990"/>
      <c r="L1479" s="991"/>
      <c r="M1479" s="16"/>
    </row>
    <row r="1480" spans="1:13" ht="30" customHeight="1">
      <c r="A1480" s="73"/>
      <c r="B1480" s="984" t="s">
        <v>106</v>
      </c>
      <c r="C1480" s="985"/>
      <c r="D1480" s="985"/>
      <c r="E1480" s="985"/>
      <c r="F1480" s="985"/>
      <c r="G1480" s="985"/>
      <c r="H1480" s="947">
        <f>Master!C46</f>
        <v>36</v>
      </c>
      <c r="I1480" s="945"/>
      <c r="J1480" s="945"/>
      <c r="K1480" s="945"/>
      <c r="L1480" s="946"/>
      <c r="M1480" s="16"/>
    </row>
    <row r="1481" spans="1:13" ht="30" customHeight="1">
      <c r="A1481" s="73"/>
      <c r="B1481" s="943" t="s">
        <v>107</v>
      </c>
      <c r="C1481" s="944"/>
      <c r="D1481" s="944"/>
      <c r="E1481" s="944"/>
      <c r="F1481" s="944"/>
      <c r="G1481" s="944"/>
      <c r="H1481" s="947" t="str">
        <f>Master!J46</f>
        <v>Unskilled Gardner</v>
      </c>
      <c r="I1481" s="945"/>
      <c r="J1481" s="945"/>
      <c r="K1481" s="945"/>
      <c r="L1481" s="946"/>
      <c r="M1481" s="16"/>
    </row>
    <row r="1482" spans="1:13" ht="30" customHeight="1">
      <c r="A1482" s="73"/>
      <c r="B1482" s="943" t="s">
        <v>108</v>
      </c>
      <c r="C1482" s="944"/>
      <c r="D1482" s="944"/>
      <c r="E1482" s="944"/>
      <c r="F1482" s="944"/>
      <c r="G1482" s="944"/>
      <c r="H1482" s="957">
        <f>Master!S46</f>
        <v>43850</v>
      </c>
      <c r="I1482" s="958"/>
      <c r="J1482" s="958"/>
      <c r="K1482" s="958"/>
      <c r="L1482" s="959"/>
      <c r="M1482" s="16"/>
    </row>
    <row r="1483" spans="1:13" ht="30" customHeight="1">
      <c r="A1483" s="73"/>
      <c r="B1483" s="386" t="s">
        <v>109</v>
      </c>
      <c r="C1483" s="116"/>
      <c r="D1483" s="116"/>
      <c r="E1483" s="116"/>
      <c r="F1483" s="116"/>
      <c r="G1483" s="116"/>
      <c r="H1483" s="947">
        <f>Master!Y46</f>
        <v>5215200729</v>
      </c>
      <c r="I1483" s="947"/>
      <c r="J1483" s="947"/>
      <c r="K1483" s="947"/>
      <c r="L1483" s="953"/>
      <c r="M1483" s="16"/>
    </row>
    <row r="1484" spans="1:13" ht="30" customHeight="1">
      <c r="A1484" s="73"/>
      <c r="B1484" s="386" t="s">
        <v>110</v>
      </c>
      <c r="C1484" s="116"/>
      <c r="D1484" s="116"/>
      <c r="E1484" s="116"/>
      <c r="F1484" s="116"/>
      <c r="G1484" s="119"/>
      <c r="H1484" s="947" t="str">
        <f>Master!X46</f>
        <v>101362702340</v>
      </c>
      <c r="I1484" s="947"/>
      <c r="J1484" s="947"/>
      <c r="K1484" s="947"/>
      <c r="L1484" s="953"/>
      <c r="M1484" s="16"/>
    </row>
    <row r="1485" spans="1:13" ht="30" customHeight="1">
      <c r="A1485" s="73"/>
      <c r="B1485" s="954" t="s">
        <v>111</v>
      </c>
      <c r="C1485" s="955"/>
      <c r="D1485" s="955"/>
      <c r="E1485" s="955"/>
      <c r="F1485" s="955"/>
      <c r="G1485" s="955"/>
      <c r="H1485" s="950">
        <f>Master!AC46</f>
        <v>10627</v>
      </c>
      <c r="I1485" s="951"/>
      <c r="J1485" s="951"/>
      <c r="K1485" s="951"/>
      <c r="L1485" s="952"/>
      <c r="M1485" s="16"/>
    </row>
    <row r="1486" spans="1:13" ht="30" customHeight="1">
      <c r="A1486" s="73"/>
      <c r="B1486" s="943" t="s">
        <v>112</v>
      </c>
      <c r="C1486" s="944"/>
      <c r="D1486" s="944"/>
      <c r="E1486" s="944"/>
      <c r="F1486" s="944"/>
      <c r="G1486" s="944"/>
      <c r="H1486" s="956">
        <f>Master!F10</f>
        <v>44652</v>
      </c>
      <c r="I1486" s="945"/>
      <c r="J1486" s="945"/>
      <c r="K1486" s="945"/>
      <c r="L1486" s="946"/>
      <c r="M1486" s="16"/>
    </row>
    <row r="1487" spans="1:13" ht="30" customHeight="1">
      <c r="A1487" s="15"/>
      <c r="B1487" s="943" t="s">
        <v>113</v>
      </c>
      <c r="C1487" s="944"/>
      <c r="D1487" s="944"/>
      <c r="E1487" s="944"/>
      <c r="F1487" s="944"/>
      <c r="G1487" s="944"/>
      <c r="H1487" s="945" t="s">
        <v>114</v>
      </c>
      <c r="I1487" s="945"/>
      <c r="J1487" s="945"/>
      <c r="K1487" s="945"/>
      <c r="L1487" s="946"/>
      <c r="M1487" s="16"/>
    </row>
    <row r="1488" spans="1:13" ht="30" customHeight="1">
      <c r="A1488" s="15"/>
      <c r="B1488" s="386" t="s">
        <v>115</v>
      </c>
      <c r="C1488" s="116"/>
      <c r="D1488" s="116"/>
      <c r="E1488" s="116"/>
      <c r="F1488" s="116"/>
      <c r="G1488" s="119"/>
      <c r="H1488" s="947">
        <f>Master!AA46</f>
        <v>26</v>
      </c>
      <c r="I1488" s="945"/>
      <c r="J1488" s="945"/>
      <c r="K1488" s="945"/>
      <c r="L1488" s="946"/>
      <c r="M1488" s="16"/>
    </row>
    <row r="1489" spans="1:13" ht="30" customHeight="1">
      <c r="A1489" s="15"/>
      <c r="B1489" s="386" t="s">
        <v>116</v>
      </c>
      <c r="C1489" s="116"/>
      <c r="D1489" s="116"/>
      <c r="E1489" s="116"/>
      <c r="F1489" s="116"/>
      <c r="G1489" s="119"/>
      <c r="H1489" s="986" t="s">
        <v>28</v>
      </c>
      <c r="I1489" s="987"/>
      <c r="J1489" s="987"/>
      <c r="K1489" s="987"/>
      <c r="L1489" s="988"/>
      <c r="M1489" s="16"/>
    </row>
    <row r="1490" spans="1:13" ht="30" customHeight="1">
      <c r="A1490" s="15"/>
      <c r="B1490" s="386" t="s">
        <v>117</v>
      </c>
      <c r="C1490" s="116"/>
      <c r="D1490" s="116"/>
      <c r="E1490" s="116"/>
      <c r="F1490" s="116"/>
      <c r="G1490" s="119"/>
      <c r="H1490" s="989">
        <v>0</v>
      </c>
      <c r="I1490" s="990"/>
      <c r="J1490" s="990"/>
      <c r="K1490" s="990"/>
      <c r="L1490" s="991"/>
      <c r="M1490" s="16"/>
    </row>
    <row r="1491" spans="1:13" ht="30" customHeight="1">
      <c r="A1491" s="15"/>
      <c r="B1491" s="386" t="s">
        <v>118</v>
      </c>
      <c r="C1491" s="116"/>
      <c r="D1491" s="116"/>
      <c r="E1491" s="116"/>
      <c r="F1491" s="116"/>
      <c r="G1491" s="119"/>
      <c r="H1491" s="986">
        <v>0</v>
      </c>
      <c r="I1491" s="987"/>
      <c r="J1491" s="987"/>
      <c r="K1491" s="987"/>
      <c r="L1491" s="988"/>
      <c r="M1491" s="16"/>
    </row>
    <row r="1492" spans="1:13" ht="30" customHeight="1">
      <c r="A1492" s="15"/>
      <c r="B1492" s="386" t="s">
        <v>119</v>
      </c>
      <c r="C1492" s="116"/>
      <c r="D1492" s="116"/>
      <c r="E1492" s="116"/>
      <c r="F1492" s="116"/>
      <c r="G1492" s="119"/>
      <c r="H1492" s="117"/>
      <c r="I1492" s="118"/>
      <c r="J1492" s="990">
        <f>Master!AK46</f>
        <v>9210.4</v>
      </c>
      <c r="K1492" s="992"/>
      <c r="L1492" s="581" t="s">
        <v>737</v>
      </c>
      <c r="M1492" s="16"/>
    </row>
    <row r="1493" spans="1:13" ht="30" customHeight="1">
      <c r="A1493" s="15"/>
      <c r="B1493" s="386" t="s">
        <v>120</v>
      </c>
      <c r="C1493" s="116"/>
      <c r="D1493" s="465" t="s">
        <v>24</v>
      </c>
      <c r="E1493" s="466">
        <f>Master!AM46</f>
        <v>1105</v>
      </c>
      <c r="F1493" s="465" t="s">
        <v>23</v>
      </c>
      <c r="G1493" s="466">
        <f>Master!AL46</f>
        <v>70</v>
      </c>
      <c r="H1493" s="465" t="s">
        <v>25</v>
      </c>
      <c r="I1493" s="466">
        <f>Master!AN46</f>
        <v>0</v>
      </c>
      <c r="J1493" s="465" t="s">
        <v>26</v>
      </c>
      <c r="K1493" s="466">
        <f>Master!AO46</f>
        <v>0</v>
      </c>
      <c r="L1493" s="400">
        <f>Master!AP46</f>
        <v>0</v>
      </c>
      <c r="M1493" s="16"/>
    </row>
    <row r="1494" spans="1:13" ht="30" customHeight="1">
      <c r="A1494" s="15"/>
      <c r="B1494" s="386" t="s">
        <v>121</v>
      </c>
      <c r="C1494" s="116"/>
      <c r="D1494" s="116"/>
      <c r="E1494" s="116"/>
      <c r="F1494" s="116"/>
      <c r="G1494" s="119"/>
      <c r="H1494" s="117"/>
      <c r="I1494" s="118"/>
      <c r="J1494" s="541">
        <f>Master!AR46</f>
        <v>8035.4</v>
      </c>
      <c r="K1494" s="118"/>
      <c r="L1494" s="125"/>
      <c r="M1494" s="16"/>
    </row>
    <row r="1495" spans="1:13">
      <c r="A1495" s="15"/>
      <c r="B1495" s="387" t="s">
        <v>122</v>
      </c>
      <c r="C1495" s="74"/>
      <c r="D1495" s="74"/>
      <c r="E1495" s="74"/>
      <c r="F1495" s="74"/>
      <c r="G1495" s="75"/>
      <c r="H1495" s="76"/>
      <c r="I1495" s="77"/>
      <c r="J1495" s="77"/>
      <c r="K1495" s="77"/>
      <c r="L1495" s="78"/>
      <c r="M1495" s="16"/>
    </row>
    <row r="1496" spans="1:13">
      <c r="A1496" s="15"/>
      <c r="B1496" s="388" t="s">
        <v>123</v>
      </c>
      <c r="C1496" s="79"/>
      <c r="D1496" s="79"/>
      <c r="E1496" s="79"/>
      <c r="F1496" s="79"/>
      <c r="G1496" s="80"/>
      <c r="H1496" s="60"/>
      <c r="I1496" s="19"/>
      <c r="J1496" s="19"/>
      <c r="K1496" s="19"/>
      <c r="L1496" s="81"/>
      <c r="M1496" s="16"/>
    </row>
    <row r="1497" spans="1:13">
      <c r="A1497" s="15"/>
      <c r="B1497" s="15"/>
      <c r="C1497" s="114"/>
      <c r="D1497" s="114"/>
      <c r="E1497" s="114"/>
      <c r="F1497" s="114"/>
      <c r="G1497" s="114"/>
      <c r="H1497" s="114"/>
      <c r="I1497" s="114"/>
      <c r="J1497" s="114"/>
      <c r="K1497" s="114"/>
      <c r="L1497" s="16"/>
      <c r="M1497" s="16"/>
    </row>
    <row r="1498" spans="1:13" ht="15" thickBot="1">
      <c r="A1498" s="27"/>
      <c r="B1498" s="27"/>
      <c r="C1498" s="25"/>
      <c r="D1498" s="25"/>
      <c r="E1498" s="25"/>
      <c r="F1498" s="25"/>
      <c r="G1498" s="25"/>
      <c r="H1498" s="25"/>
      <c r="I1498" s="25"/>
      <c r="J1498" s="25"/>
      <c r="K1498" s="25"/>
      <c r="L1498" s="26"/>
      <c r="M1498" s="26"/>
    </row>
    <row r="1499" spans="1:13">
      <c r="A1499" s="420"/>
      <c r="B1499" s="420"/>
      <c r="C1499" s="420"/>
      <c r="D1499" s="420"/>
      <c r="E1499" s="420"/>
      <c r="F1499" s="420"/>
      <c r="G1499" s="420"/>
      <c r="H1499" s="420"/>
      <c r="I1499" s="420"/>
      <c r="J1499" s="420"/>
      <c r="K1499" s="420"/>
      <c r="L1499" s="420"/>
      <c r="M1499" s="420"/>
    </row>
    <row r="1500" spans="1:13">
      <c r="A1500" s="420"/>
      <c r="B1500" s="420"/>
      <c r="C1500" s="420"/>
      <c r="D1500" s="420"/>
      <c r="E1500" s="420"/>
      <c r="F1500" s="420"/>
      <c r="G1500" s="420"/>
      <c r="H1500" s="420"/>
      <c r="I1500" s="420"/>
      <c r="J1500" s="420"/>
      <c r="K1500" s="420"/>
      <c r="L1500" s="420"/>
      <c r="M1500" s="420"/>
    </row>
    <row r="1501" spans="1:13">
      <c r="A1501" s="420"/>
      <c r="B1501" s="420"/>
      <c r="C1501" s="420"/>
      <c r="D1501" s="420"/>
      <c r="E1501" s="420"/>
      <c r="F1501" s="420"/>
      <c r="G1501" s="420"/>
      <c r="H1501" s="420"/>
      <c r="I1501" s="420"/>
      <c r="J1501" s="420"/>
      <c r="K1501" s="420"/>
      <c r="L1501" s="420"/>
      <c r="M1501" s="420"/>
    </row>
    <row r="1502" spans="1:13">
      <c r="A1502" s="420"/>
      <c r="B1502" s="420"/>
      <c r="C1502" s="420"/>
      <c r="D1502" s="420"/>
      <c r="E1502" s="420"/>
      <c r="F1502" s="420"/>
      <c r="G1502" s="420"/>
      <c r="H1502" s="420"/>
      <c r="I1502" s="420"/>
      <c r="J1502" s="420"/>
      <c r="K1502" s="420"/>
      <c r="L1502" s="420"/>
      <c r="M1502" s="420"/>
    </row>
    <row r="1503" spans="1:13" ht="15" thickBot="1">
      <c r="A1503" s="420"/>
      <c r="B1503" s="420"/>
      <c r="C1503" s="420"/>
      <c r="D1503" s="420"/>
      <c r="E1503" s="420"/>
      <c r="F1503" s="420"/>
      <c r="G1503" s="420"/>
      <c r="H1503" s="420"/>
      <c r="I1503" s="420"/>
      <c r="J1503" s="420"/>
      <c r="K1503" s="420"/>
      <c r="L1503" s="420"/>
      <c r="M1503" s="420"/>
    </row>
    <row r="1504" spans="1:13" ht="32.4">
      <c r="A1504" s="68"/>
      <c r="B1504" s="960" t="s">
        <v>99</v>
      </c>
      <c r="C1504" s="961"/>
      <c r="D1504" s="961"/>
      <c r="E1504" s="961"/>
      <c r="F1504" s="961"/>
      <c r="G1504" s="961"/>
      <c r="H1504" s="961"/>
      <c r="I1504" s="961"/>
      <c r="J1504" s="961"/>
      <c r="K1504" s="961"/>
      <c r="L1504" s="962"/>
      <c r="M1504" s="69"/>
    </row>
    <row r="1505" spans="1:13" ht="23.4">
      <c r="A1505" s="15"/>
      <c r="B1505" s="963" t="s">
        <v>100</v>
      </c>
      <c r="C1505" s="964"/>
      <c r="D1505" s="964"/>
      <c r="E1505" s="964"/>
      <c r="F1505" s="964"/>
      <c r="G1505" s="964"/>
      <c r="H1505" s="964"/>
      <c r="I1505" s="964"/>
      <c r="J1505" s="964"/>
      <c r="K1505" s="964"/>
      <c r="L1505" s="965"/>
      <c r="M1505" s="16"/>
    </row>
    <row r="1506" spans="1:13" ht="15.6">
      <c r="A1506" s="15"/>
      <c r="B1506" s="966" t="s">
        <v>1070</v>
      </c>
      <c r="C1506" s="967"/>
      <c r="D1506" s="967"/>
      <c r="E1506" s="967"/>
      <c r="F1506" s="967"/>
      <c r="G1506" s="967"/>
      <c r="H1506" s="968"/>
      <c r="I1506" s="968"/>
      <c r="J1506" s="968"/>
      <c r="K1506" s="968"/>
      <c r="L1506" s="969"/>
      <c r="M1506" s="16"/>
    </row>
    <row r="1507" spans="1:13">
      <c r="A1507" s="15"/>
      <c r="B1507" s="970" t="s">
        <v>101</v>
      </c>
      <c r="C1507" s="971"/>
      <c r="D1507" s="971"/>
      <c r="E1507" s="971"/>
      <c r="F1507" s="971"/>
      <c r="G1507" s="391"/>
      <c r="H1507" s="974" t="s">
        <v>102</v>
      </c>
      <c r="I1507" s="975"/>
      <c r="J1507" s="975"/>
      <c r="K1507" s="975"/>
      <c r="L1507" s="976"/>
      <c r="M1507" s="16"/>
    </row>
    <row r="1508" spans="1:13">
      <c r="A1508" s="15"/>
      <c r="B1508" s="972"/>
      <c r="C1508" s="973"/>
      <c r="D1508" s="973"/>
      <c r="E1508" s="973"/>
      <c r="F1508" s="973"/>
      <c r="G1508" s="395"/>
      <c r="H1508" s="977"/>
      <c r="I1508" s="978"/>
      <c r="J1508" s="978"/>
      <c r="K1508" s="978"/>
      <c r="L1508" s="979"/>
      <c r="M1508" s="16"/>
    </row>
    <row r="1509" spans="1:13">
      <c r="A1509" s="15"/>
      <c r="B1509" s="382"/>
      <c r="C1509" s="77"/>
      <c r="D1509" s="77"/>
      <c r="E1509" s="77"/>
      <c r="F1509" s="77"/>
      <c r="G1509" s="56"/>
      <c r="H1509" s="76"/>
      <c r="I1509" s="77"/>
      <c r="J1509" s="77"/>
      <c r="K1509" s="77"/>
      <c r="L1509" s="78"/>
      <c r="M1509" s="16"/>
    </row>
    <row r="1510" spans="1:13">
      <c r="A1510" s="15"/>
      <c r="B1510" s="378" t="str">
        <f>Master!F5</f>
        <v>GROTECH LANDSCAPE DEVELOPERS PVT. LTD.</v>
      </c>
      <c r="C1510" s="114"/>
      <c r="D1510" s="114"/>
      <c r="E1510" s="114"/>
      <c r="F1510" s="114"/>
      <c r="G1510" s="379"/>
      <c r="H1510" s="381" t="str">
        <f>Master!AN5</f>
        <v>GROTECH LANDSCAPE DEVELOPERS PVT. LTD.</v>
      </c>
      <c r="I1510" s="114"/>
      <c r="J1510" s="114"/>
      <c r="K1510" s="114"/>
      <c r="L1510" s="16"/>
      <c r="M1510" s="16"/>
    </row>
    <row r="1511" spans="1:13">
      <c r="A1511" s="15"/>
      <c r="B1511" s="15"/>
      <c r="C1511" s="114"/>
      <c r="D1511" s="114"/>
      <c r="E1511" s="114"/>
      <c r="F1511" s="114"/>
      <c r="G1511" s="379"/>
      <c r="H1511" s="380"/>
      <c r="I1511" s="114"/>
      <c r="J1511" s="114"/>
      <c r="K1511" s="114"/>
      <c r="L1511" s="16"/>
      <c r="M1511" s="16"/>
    </row>
    <row r="1512" spans="1:13">
      <c r="A1512" s="15"/>
      <c r="B1512" s="538" t="str">
        <f>Master!F6</f>
        <v>290/E, Khanapur Village, Gandipet Mandal, Ranga Reddy, Hyderabad-500075 T.S.</v>
      </c>
      <c r="C1512" s="114"/>
      <c r="D1512" s="114"/>
      <c r="E1512" s="114"/>
      <c r="F1512" s="114"/>
      <c r="G1512" s="379"/>
      <c r="H1512" s="539" t="str">
        <f>Master!AN6</f>
        <v>290/E, Khanapur Village, Gandipet Mandal, Ranga Reddy, Hyderabad-500075 T.S.</v>
      </c>
      <c r="I1512" s="114"/>
      <c r="J1512" s="114"/>
      <c r="K1512" s="114"/>
      <c r="L1512" s="16"/>
      <c r="M1512" s="16"/>
    </row>
    <row r="1513" spans="1:13">
      <c r="A1513" s="15"/>
      <c r="B1513" s="383"/>
      <c r="C1513" s="19"/>
      <c r="D1513" s="19"/>
      <c r="E1513" s="19"/>
      <c r="F1513" s="19"/>
      <c r="G1513" s="61"/>
      <c r="H1513" s="60"/>
      <c r="I1513" s="19"/>
      <c r="J1513" s="19"/>
      <c r="K1513" s="19"/>
      <c r="L1513" s="81"/>
      <c r="M1513" s="16"/>
    </row>
    <row r="1514" spans="1:13">
      <c r="A1514" s="15"/>
      <c r="B1514" s="389"/>
      <c r="C1514" s="390"/>
      <c r="D1514" s="390"/>
      <c r="E1514" s="390"/>
      <c r="F1514" s="390"/>
      <c r="G1514" s="391"/>
      <c r="H1514" s="396"/>
      <c r="I1514" s="390"/>
      <c r="J1514" s="390" t="s">
        <v>103</v>
      </c>
      <c r="K1514" s="390"/>
      <c r="L1514" s="397"/>
      <c r="M1514" s="16"/>
    </row>
    <row r="1515" spans="1:13">
      <c r="A1515" s="15"/>
      <c r="B1515" s="980" t="s">
        <v>104</v>
      </c>
      <c r="C1515" s="981"/>
      <c r="D1515" s="981"/>
      <c r="E1515" s="981"/>
      <c r="F1515" s="981"/>
      <c r="G1515" s="392"/>
      <c r="H1515" s="982" t="s">
        <v>4</v>
      </c>
      <c r="I1515" s="981"/>
      <c r="J1515" s="981"/>
      <c r="K1515" s="981"/>
      <c r="L1515" s="983"/>
      <c r="M1515" s="16"/>
    </row>
    <row r="1516" spans="1:13">
      <c r="A1516" s="15"/>
      <c r="B1516" s="393"/>
      <c r="C1516" s="394"/>
      <c r="D1516" s="394"/>
      <c r="E1516" s="394"/>
      <c r="F1516" s="394"/>
      <c r="G1516" s="395"/>
      <c r="H1516" s="398"/>
      <c r="I1516" s="394"/>
      <c r="J1516" s="394"/>
      <c r="K1516" s="394"/>
      <c r="L1516" s="399"/>
      <c r="M1516" s="16"/>
    </row>
    <row r="1517" spans="1:13">
      <c r="A1517" s="15"/>
      <c r="B1517" s="382"/>
      <c r="C1517" s="77"/>
      <c r="D1517" s="77"/>
      <c r="E1517" s="77"/>
      <c r="F1517" s="77"/>
      <c r="G1517" s="56"/>
      <c r="H1517" s="74"/>
      <c r="I1517" s="74"/>
      <c r="J1517" s="74"/>
      <c r="K1517" s="74"/>
      <c r="L1517" s="384"/>
      <c r="M1517" s="16"/>
    </row>
    <row r="1518" spans="1:13">
      <c r="A1518" s="15"/>
      <c r="B1518" s="15"/>
      <c r="C1518" s="114"/>
      <c r="D1518" s="114"/>
      <c r="E1518" s="114"/>
      <c r="F1518" s="114"/>
      <c r="G1518" s="379"/>
      <c r="H1518" s="115" t="str">
        <f>Master!AN10</f>
        <v>INDIAN SCHOOL OF BUSINESS</v>
      </c>
      <c r="I1518" s="115"/>
      <c r="J1518" s="115"/>
      <c r="K1518" s="115"/>
      <c r="L1518" s="71"/>
      <c r="M1518" s="16"/>
    </row>
    <row r="1519" spans="1:13">
      <c r="A1519" s="15"/>
      <c r="B1519" s="70" t="str">
        <f>Master!F8</f>
        <v>GARDENING SERVICES&amp;ISB HYDERABAD</v>
      </c>
      <c r="C1519" s="114"/>
      <c r="D1519" s="114"/>
      <c r="E1519" s="114"/>
      <c r="F1519" s="114"/>
      <c r="G1519" s="379"/>
      <c r="H1519" s="115"/>
      <c r="I1519" s="115"/>
      <c r="J1519" s="115"/>
      <c r="K1519" s="115"/>
      <c r="L1519" s="71"/>
      <c r="M1519" s="16"/>
    </row>
    <row r="1520" spans="1:13">
      <c r="A1520" s="15"/>
      <c r="B1520" s="15"/>
      <c r="C1520" s="114"/>
      <c r="D1520" s="114"/>
      <c r="E1520" s="114"/>
      <c r="F1520" s="114"/>
      <c r="G1520" s="379"/>
      <c r="H1520" s="115" t="str">
        <f>Master!AN11</f>
        <v>Opp.Infosys Limited,Gachibowli,Hyderabad</v>
      </c>
      <c r="I1520" s="115"/>
      <c r="J1520" s="115"/>
      <c r="K1520" s="115"/>
      <c r="L1520" s="71"/>
      <c r="M1520" s="16"/>
    </row>
    <row r="1521" spans="1:13">
      <c r="A1521" s="15"/>
      <c r="B1521" s="383"/>
      <c r="C1521" s="19"/>
      <c r="D1521" s="19"/>
      <c r="E1521" s="19"/>
      <c r="F1521" s="19"/>
      <c r="G1521" s="61"/>
      <c r="H1521" s="79"/>
      <c r="I1521" s="79"/>
      <c r="J1521" s="79"/>
      <c r="K1521" s="79"/>
      <c r="L1521" s="385"/>
      <c r="M1521" s="16"/>
    </row>
    <row r="1522" spans="1:13" ht="30" customHeight="1">
      <c r="A1522" s="15"/>
      <c r="B1522" s="948" t="s">
        <v>105</v>
      </c>
      <c r="C1522" s="949"/>
      <c r="D1522" s="949"/>
      <c r="E1522" s="949"/>
      <c r="F1522" s="949"/>
      <c r="G1522" s="949"/>
      <c r="H1522" s="950" t="str">
        <f>Master!D47</f>
        <v>Nagani laxmi</v>
      </c>
      <c r="I1522" s="951"/>
      <c r="J1522" s="951"/>
      <c r="K1522" s="951"/>
      <c r="L1522" s="952"/>
      <c r="M1522" s="16"/>
    </row>
    <row r="1523" spans="1:13" ht="30" customHeight="1">
      <c r="A1523" s="15"/>
      <c r="B1523" s="948"/>
      <c r="C1523" s="949"/>
      <c r="D1523" s="949"/>
      <c r="E1523" s="949"/>
      <c r="F1523" s="949"/>
      <c r="G1523" s="949"/>
      <c r="H1523" s="950" t="str">
        <f>Master!K47</f>
        <v>H.NO.3-18</v>
      </c>
      <c r="I1523" s="951"/>
      <c r="J1523" s="951"/>
      <c r="K1523" s="951"/>
      <c r="L1523" s="952"/>
      <c r="M1523" s="16"/>
    </row>
    <row r="1524" spans="1:13" ht="30" customHeight="1">
      <c r="A1524" s="15"/>
      <c r="B1524" s="948"/>
      <c r="C1524" s="949"/>
      <c r="D1524" s="949"/>
      <c r="E1524" s="949"/>
      <c r="F1524" s="949"/>
      <c r="G1524" s="949"/>
      <c r="H1524" s="950" t="str">
        <f>Master!L47</f>
        <v>MADHARAM,MEDHAK</v>
      </c>
      <c r="I1524" s="951"/>
      <c r="J1524" s="951"/>
      <c r="K1524" s="951"/>
      <c r="L1524" s="952"/>
      <c r="M1524" s="16"/>
    </row>
    <row r="1525" spans="1:13" ht="30" customHeight="1">
      <c r="A1525" s="15"/>
      <c r="B1525" s="948"/>
      <c r="C1525" s="949"/>
      <c r="D1525" s="949"/>
      <c r="E1525" s="949"/>
      <c r="F1525" s="949"/>
      <c r="G1525" s="949"/>
      <c r="H1525" s="950" t="str">
        <f>Master!M47</f>
        <v>TS-502319</v>
      </c>
      <c r="I1525" s="951"/>
      <c r="J1525" s="951"/>
      <c r="K1525" s="951"/>
      <c r="L1525" s="952"/>
      <c r="M1525" s="16"/>
    </row>
    <row r="1526" spans="1:13" ht="30" customHeight="1">
      <c r="A1526" s="73"/>
      <c r="B1526" s="948"/>
      <c r="C1526" s="949"/>
      <c r="D1526" s="949"/>
      <c r="E1526" s="949"/>
      <c r="F1526" s="949"/>
      <c r="G1526" s="949"/>
      <c r="H1526" s="989">
        <f>Master!N2102</f>
        <v>0</v>
      </c>
      <c r="I1526" s="990"/>
      <c r="J1526" s="990"/>
      <c r="K1526" s="990"/>
      <c r="L1526" s="991"/>
      <c r="M1526" s="16"/>
    </row>
    <row r="1527" spans="1:13" ht="30" customHeight="1">
      <c r="A1527" s="73"/>
      <c r="B1527" s="984" t="s">
        <v>106</v>
      </c>
      <c r="C1527" s="985"/>
      <c r="D1527" s="985"/>
      <c r="E1527" s="985"/>
      <c r="F1527" s="985"/>
      <c r="G1527" s="985"/>
      <c r="H1527" s="947">
        <f>Master!C47</f>
        <v>37</v>
      </c>
      <c r="I1527" s="945"/>
      <c r="J1527" s="945"/>
      <c r="K1527" s="945"/>
      <c r="L1527" s="946"/>
      <c r="M1527" s="16"/>
    </row>
    <row r="1528" spans="1:13" ht="30" customHeight="1">
      <c r="A1528" s="73"/>
      <c r="B1528" s="943" t="s">
        <v>107</v>
      </c>
      <c r="C1528" s="944"/>
      <c r="D1528" s="944"/>
      <c r="E1528" s="944"/>
      <c r="F1528" s="944"/>
      <c r="G1528" s="944"/>
      <c r="H1528" s="947" t="str">
        <f>Master!J47</f>
        <v>Unskilled Gardner</v>
      </c>
      <c r="I1528" s="945"/>
      <c r="J1528" s="945"/>
      <c r="K1528" s="945"/>
      <c r="L1528" s="946"/>
      <c r="M1528" s="16"/>
    </row>
    <row r="1529" spans="1:13" ht="30" customHeight="1">
      <c r="A1529" s="73"/>
      <c r="B1529" s="943" t="s">
        <v>108</v>
      </c>
      <c r="C1529" s="944"/>
      <c r="D1529" s="944"/>
      <c r="E1529" s="944"/>
      <c r="F1529" s="944"/>
      <c r="G1529" s="944"/>
      <c r="H1529" s="957">
        <f>Master!S47</f>
        <v>43850</v>
      </c>
      <c r="I1529" s="958"/>
      <c r="J1529" s="958"/>
      <c r="K1529" s="958"/>
      <c r="L1529" s="959"/>
      <c r="M1529" s="16"/>
    </row>
    <row r="1530" spans="1:13" ht="30" customHeight="1">
      <c r="A1530" s="73"/>
      <c r="B1530" s="386" t="s">
        <v>109</v>
      </c>
      <c r="C1530" s="116"/>
      <c r="D1530" s="116"/>
      <c r="E1530" s="116"/>
      <c r="F1530" s="116"/>
      <c r="G1530" s="116"/>
      <c r="H1530" s="947">
        <f>Master!Y47</f>
        <v>5213565032</v>
      </c>
      <c r="I1530" s="947"/>
      <c r="J1530" s="947"/>
      <c r="K1530" s="947"/>
      <c r="L1530" s="953"/>
      <c r="M1530" s="16"/>
    </row>
    <row r="1531" spans="1:13" ht="30" customHeight="1">
      <c r="A1531" s="73"/>
      <c r="B1531" s="386" t="s">
        <v>110</v>
      </c>
      <c r="C1531" s="116"/>
      <c r="D1531" s="116"/>
      <c r="E1531" s="116"/>
      <c r="F1531" s="116"/>
      <c r="G1531" s="119"/>
      <c r="H1531" s="947" t="str">
        <f>Master!X47</f>
        <v>100245723121</v>
      </c>
      <c r="I1531" s="947"/>
      <c r="J1531" s="947"/>
      <c r="K1531" s="947"/>
      <c r="L1531" s="953"/>
      <c r="M1531" s="16"/>
    </row>
    <row r="1532" spans="1:13" ht="30" customHeight="1">
      <c r="A1532" s="73"/>
      <c r="B1532" s="954" t="s">
        <v>111</v>
      </c>
      <c r="C1532" s="955"/>
      <c r="D1532" s="955"/>
      <c r="E1532" s="955"/>
      <c r="F1532" s="955"/>
      <c r="G1532" s="955"/>
      <c r="H1532" s="950">
        <f>Master!AC47</f>
        <v>10627</v>
      </c>
      <c r="I1532" s="951"/>
      <c r="J1532" s="951"/>
      <c r="K1532" s="951"/>
      <c r="L1532" s="952"/>
      <c r="M1532" s="16"/>
    </row>
    <row r="1533" spans="1:13" ht="30" customHeight="1">
      <c r="A1533" s="73"/>
      <c r="B1533" s="943" t="s">
        <v>112</v>
      </c>
      <c r="C1533" s="944"/>
      <c r="D1533" s="944"/>
      <c r="E1533" s="944"/>
      <c r="F1533" s="944"/>
      <c r="G1533" s="944"/>
      <c r="H1533" s="956">
        <f>Master!F10</f>
        <v>44652</v>
      </c>
      <c r="I1533" s="945"/>
      <c r="J1533" s="945"/>
      <c r="K1533" s="945"/>
      <c r="L1533" s="946"/>
      <c r="M1533" s="16"/>
    </row>
    <row r="1534" spans="1:13" ht="30" customHeight="1">
      <c r="A1534" s="15"/>
      <c r="B1534" s="943" t="s">
        <v>113</v>
      </c>
      <c r="C1534" s="944"/>
      <c r="D1534" s="944"/>
      <c r="E1534" s="944"/>
      <c r="F1534" s="944"/>
      <c r="G1534" s="944"/>
      <c r="H1534" s="945" t="s">
        <v>114</v>
      </c>
      <c r="I1534" s="945"/>
      <c r="J1534" s="945"/>
      <c r="K1534" s="945"/>
      <c r="L1534" s="946"/>
      <c r="M1534" s="16"/>
    </row>
    <row r="1535" spans="1:13" ht="30" customHeight="1">
      <c r="A1535" s="15"/>
      <c r="B1535" s="386" t="s">
        <v>115</v>
      </c>
      <c r="C1535" s="116"/>
      <c r="D1535" s="116"/>
      <c r="E1535" s="116"/>
      <c r="F1535" s="116"/>
      <c r="G1535" s="119"/>
      <c r="H1535" s="947">
        <f>Master!AA47</f>
        <v>26</v>
      </c>
      <c r="I1535" s="945"/>
      <c r="J1535" s="945"/>
      <c r="K1535" s="945"/>
      <c r="L1535" s="946"/>
      <c r="M1535" s="16"/>
    </row>
    <row r="1536" spans="1:13" ht="30" customHeight="1">
      <c r="A1536" s="15"/>
      <c r="B1536" s="386" t="s">
        <v>116</v>
      </c>
      <c r="C1536" s="116"/>
      <c r="D1536" s="116"/>
      <c r="E1536" s="116"/>
      <c r="F1536" s="116"/>
      <c r="G1536" s="119"/>
      <c r="H1536" s="986" t="s">
        <v>28</v>
      </c>
      <c r="I1536" s="987"/>
      <c r="J1536" s="987"/>
      <c r="K1536" s="987"/>
      <c r="L1536" s="988"/>
      <c r="M1536" s="16"/>
    </row>
    <row r="1537" spans="1:13" ht="30" customHeight="1">
      <c r="A1537" s="15"/>
      <c r="B1537" s="386" t="s">
        <v>117</v>
      </c>
      <c r="C1537" s="116"/>
      <c r="D1537" s="116"/>
      <c r="E1537" s="116"/>
      <c r="F1537" s="116"/>
      <c r="G1537" s="119"/>
      <c r="H1537" s="989">
        <v>0</v>
      </c>
      <c r="I1537" s="990"/>
      <c r="J1537" s="990"/>
      <c r="K1537" s="990"/>
      <c r="L1537" s="991"/>
      <c r="M1537" s="16"/>
    </row>
    <row r="1538" spans="1:13" ht="30" customHeight="1">
      <c r="A1538" s="15"/>
      <c r="B1538" s="386" t="s">
        <v>118</v>
      </c>
      <c r="C1538" s="116"/>
      <c r="D1538" s="116"/>
      <c r="E1538" s="116"/>
      <c r="F1538" s="116"/>
      <c r="G1538" s="119"/>
      <c r="H1538" s="986">
        <v>0</v>
      </c>
      <c r="I1538" s="987"/>
      <c r="J1538" s="987"/>
      <c r="K1538" s="987"/>
      <c r="L1538" s="988"/>
      <c r="M1538" s="16"/>
    </row>
    <row r="1539" spans="1:13" ht="30" customHeight="1">
      <c r="A1539" s="15"/>
      <c r="B1539" s="386" t="s">
        <v>119</v>
      </c>
      <c r="C1539" s="116"/>
      <c r="D1539" s="116"/>
      <c r="E1539" s="116"/>
      <c r="F1539" s="116"/>
      <c r="G1539" s="119"/>
      <c r="H1539" s="117"/>
      <c r="I1539" s="118"/>
      <c r="J1539" s="990">
        <f>Master!AK47</f>
        <v>9210.4</v>
      </c>
      <c r="K1539" s="992"/>
      <c r="L1539" s="581" t="s">
        <v>737</v>
      </c>
      <c r="M1539" s="16"/>
    </row>
    <row r="1540" spans="1:13" ht="30" customHeight="1">
      <c r="A1540" s="15"/>
      <c r="B1540" s="386" t="s">
        <v>120</v>
      </c>
      <c r="C1540" s="116"/>
      <c r="D1540" s="465" t="s">
        <v>24</v>
      </c>
      <c r="E1540" s="466">
        <f>Master!AM47</f>
        <v>1105</v>
      </c>
      <c r="F1540" s="465" t="s">
        <v>23</v>
      </c>
      <c r="G1540" s="466">
        <f>Master!AL47</f>
        <v>70</v>
      </c>
      <c r="H1540" s="465" t="s">
        <v>25</v>
      </c>
      <c r="I1540" s="466">
        <f>Master!AN47</f>
        <v>0</v>
      </c>
      <c r="J1540" s="465" t="s">
        <v>26</v>
      </c>
      <c r="K1540" s="466">
        <f>Master!AO47</f>
        <v>0</v>
      </c>
      <c r="L1540" s="400">
        <f>Master!AP47</f>
        <v>0</v>
      </c>
      <c r="M1540" s="16"/>
    </row>
    <row r="1541" spans="1:13" ht="30" customHeight="1">
      <c r="A1541" s="15"/>
      <c r="B1541" s="386" t="s">
        <v>121</v>
      </c>
      <c r="C1541" s="116"/>
      <c r="D1541" s="116"/>
      <c r="E1541" s="116"/>
      <c r="F1541" s="116"/>
      <c r="G1541" s="119"/>
      <c r="H1541" s="117"/>
      <c r="I1541" s="118"/>
      <c r="J1541" s="541">
        <f>Master!AR47</f>
        <v>8035.4</v>
      </c>
      <c r="K1541" s="118"/>
      <c r="L1541" s="125"/>
      <c r="M1541" s="16"/>
    </row>
    <row r="1542" spans="1:13">
      <c r="A1542" s="15"/>
      <c r="B1542" s="387" t="s">
        <v>122</v>
      </c>
      <c r="C1542" s="74"/>
      <c r="D1542" s="74"/>
      <c r="E1542" s="74"/>
      <c r="F1542" s="74"/>
      <c r="G1542" s="75"/>
      <c r="H1542" s="76"/>
      <c r="I1542" s="77"/>
      <c r="J1542" s="77"/>
      <c r="K1542" s="77"/>
      <c r="L1542" s="78"/>
      <c r="M1542" s="16"/>
    </row>
    <row r="1543" spans="1:13">
      <c r="A1543" s="15"/>
      <c r="B1543" s="388" t="s">
        <v>123</v>
      </c>
      <c r="C1543" s="79"/>
      <c r="D1543" s="79"/>
      <c r="E1543" s="79"/>
      <c r="F1543" s="79"/>
      <c r="G1543" s="80"/>
      <c r="H1543" s="60"/>
      <c r="I1543" s="19"/>
      <c r="J1543" s="19"/>
      <c r="K1543" s="19"/>
      <c r="L1543" s="81"/>
      <c r="M1543" s="16"/>
    </row>
    <row r="1544" spans="1:13">
      <c r="A1544" s="15"/>
      <c r="B1544" s="15"/>
      <c r="C1544" s="114"/>
      <c r="D1544" s="114"/>
      <c r="E1544" s="114"/>
      <c r="F1544" s="114"/>
      <c r="G1544" s="114"/>
      <c r="H1544" s="114"/>
      <c r="I1544" s="114"/>
      <c r="J1544" s="114"/>
      <c r="K1544" s="114"/>
      <c r="L1544" s="16"/>
      <c r="M1544" s="16"/>
    </row>
    <row r="1545" spans="1:13" ht="15" thickBot="1">
      <c r="A1545" s="27"/>
      <c r="B1545" s="27"/>
      <c r="C1545" s="25"/>
      <c r="D1545" s="25"/>
      <c r="E1545" s="25"/>
      <c r="F1545" s="25"/>
      <c r="G1545" s="25"/>
      <c r="H1545" s="25"/>
      <c r="I1545" s="25"/>
      <c r="J1545" s="25"/>
      <c r="K1545" s="25"/>
      <c r="L1545" s="26"/>
      <c r="M1545" s="26"/>
    </row>
    <row r="1546" spans="1:13">
      <c r="A1546" s="420"/>
      <c r="B1546" s="420"/>
      <c r="C1546" s="420"/>
      <c r="D1546" s="420"/>
      <c r="E1546" s="420"/>
      <c r="F1546" s="420"/>
      <c r="G1546" s="420"/>
      <c r="H1546" s="420"/>
      <c r="I1546" s="420"/>
      <c r="J1546" s="420"/>
      <c r="K1546" s="420"/>
      <c r="L1546" s="420"/>
      <c r="M1546" s="420"/>
    </row>
    <row r="1547" spans="1:13">
      <c r="A1547" s="420"/>
      <c r="B1547" s="420"/>
      <c r="C1547" s="420"/>
      <c r="D1547" s="420"/>
      <c r="E1547" s="420"/>
      <c r="F1547" s="420"/>
      <c r="G1547" s="420"/>
      <c r="H1547" s="420"/>
      <c r="I1547" s="420"/>
      <c r="J1547" s="420"/>
      <c r="K1547" s="420"/>
      <c r="L1547" s="420"/>
      <c r="M1547" s="420"/>
    </row>
    <row r="1548" spans="1:13">
      <c r="A1548" s="420"/>
      <c r="B1548" s="420"/>
      <c r="C1548" s="420"/>
      <c r="D1548" s="420"/>
      <c r="E1548" s="420"/>
      <c r="F1548" s="420"/>
      <c r="G1548" s="420"/>
      <c r="H1548" s="420"/>
      <c r="I1548" s="420"/>
      <c r="J1548" s="420"/>
      <c r="K1548" s="420"/>
      <c r="L1548" s="420"/>
      <c r="M1548" s="420"/>
    </row>
    <row r="1549" spans="1:13">
      <c r="A1549" s="420"/>
      <c r="B1549" s="420"/>
      <c r="C1549" s="420"/>
      <c r="D1549" s="420"/>
      <c r="E1549" s="420"/>
      <c r="F1549" s="420"/>
      <c r="G1549" s="420"/>
      <c r="H1549" s="420"/>
      <c r="I1549" s="420"/>
      <c r="J1549" s="420"/>
      <c r="K1549" s="420"/>
      <c r="L1549" s="420"/>
      <c r="M1549" s="420"/>
    </row>
    <row r="1550" spans="1:13" ht="15" thickBot="1">
      <c r="A1550" s="420"/>
      <c r="B1550" s="420"/>
      <c r="C1550" s="420"/>
      <c r="D1550" s="420"/>
      <c r="E1550" s="420"/>
      <c r="F1550" s="420"/>
      <c r="G1550" s="420"/>
      <c r="H1550" s="420"/>
      <c r="I1550" s="420"/>
      <c r="J1550" s="420"/>
      <c r="K1550" s="420"/>
      <c r="L1550" s="420"/>
      <c r="M1550" s="420"/>
    </row>
    <row r="1551" spans="1:13" ht="32.4">
      <c r="A1551" s="68"/>
      <c r="B1551" s="960" t="s">
        <v>99</v>
      </c>
      <c r="C1551" s="961"/>
      <c r="D1551" s="961"/>
      <c r="E1551" s="961"/>
      <c r="F1551" s="961"/>
      <c r="G1551" s="961"/>
      <c r="H1551" s="961"/>
      <c r="I1551" s="961"/>
      <c r="J1551" s="961"/>
      <c r="K1551" s="961"/>
      <c r="L1551" s="962"/>
      <c r="M1551" s="69"/>
    </row>
    <row r="1552" spans="1:13" ht="23.4">
      <c r="A1552" s="15"/>
      <c r="B1552" s="963" t="s">
        <v>100</v>
      </c>
      <c r="C1552" s="964"/>
      <c r="D1552" s="964"/>
      <c r="E1552" s="964"/>
      <c r="F1552" s="964"/>
      <c r="G1552" s="964"/>
      <c r="H1552" s="964"/>
      <c r="I1552" s="964"/>
      <c r="J1552" s="964"/>
      <c r="K1552" s="964"/>
      <c r="L1552" s="965"/>
      <c r="M1552" s="16"/>
    </row>
    <row r="1553" spans="1:13" ht="15.6">
      <c r="A1553" s="15"/>
      <c r="B1553" s="966" t="s">
        <v>1070</v>
      </c>
      <c r="C1553" s="967"/>
      <c r="D1553" s="967"/>
      <c r="E1553" s="967"/>
      <c r="F1553" s="967"/>
      <c r="G1553" s="967"/>
      <c r="H1553" s="968"/>
      <c r="I1553" s="968"/>
      <c r="J1553" s="968"/>
      <c r="K1553" s="968"/>
      <c r="L1553" s="969"/>
      <c r="M1553" s="16"/>
    </row>
    <row r="1554" spans="1:13">
      <c r="A1554" s="15"/>
      <c r="B1554" s="970" t="s">
        <v>101</v>
      </c>
      <c r="C1554" s="971"/>
      <c r="D1554" s="971"/>
      <c r="E1554" s="971"/>
      <c r="F1554" s="971"/>
      <c r="G1554" s="391"/>
      <c r="H1554" s="974" t="s">
        <v>102</v>
      </c>
      <c r="I1554" s="975"/>
      <c r="J1554" s="975"/>
      <c r="K1554" s="975"/>
      <c r="L1554" s="976"/>
      <c r="M1554" s="16"/>
    </row>
    <row r="1555" spans="1:13">
      <c r="A1555" s="15"/>
      <c r="B1555" s="972"/>
      <c r="C1555" s="973"/>
      <c r="D1555" s="973"/>
      <c r="E1555" s="973"/>
      <c r="F1555" s="973"/>
      <c r="G1555" s="395"/>
      <c r="H1555" s="977"/>
      <c r="I1555" s="978"/>
      <c r="J1555" s="978"/>
      <c r="K1555" s="978"/>
      <c r="L1555" s="979"/>
      <c r="M1555" s="16"/>
    </row>
    <row r="1556" spans="1:13">
      <c r="A1556" s="15"/>
      <c r="B1556" s="382"/>
      <c r="C1556" s="77"/>
      <c r="D1556" s="77"/>
      <c r="E1556" s="77"/>
      <c r="F1556" s="77"/>
      <c r="G1556" s="56"/>
      <c r="H1556" s="76"/>
      <c r="I1556" s="77"/>
      <c r="J1556" s="77"/>
      <c r="K1556" s="77"/>
      <c r="L1556" s="78"/>
      <c r="M1556" s="16"/>
    </row>
    <row r="1557" spans="1:13">
      <c r="A1557" s="15"/>
      <c r="B1557" s="378" t="str">
        <f>Master!F5</f>
        <v>GROTECH LANDSCAPE DEVELOPERS PVT. LTD.</v>
      </c>
      <c r="C1557" s="114"/>
      <c r="D1557" s="114"/>
      <c r="E1557" s="114"/>
      <c r="F1557" s="114"/>
      <c r="G1557" s="379"/>
      <c r="H1557" s="381" t="str">
        <f>Master!AN5</f>
        <v>GROTECH LANDSCAPE DEVELOPERS PVT. LTD.</v>
      </c>
      <c r="I1557" s="114"/>
      <c r="J1557" s="114"/>
      <c r="K1557" s="114"/>
      <c r="L1557" s="16"/>
      <c r="M1557" s="16"/>
    </row>
    <row r="1558" spans="1:13">
      <c r="A1558" s="15"/>
      <c r="B1558" s="15"/>
      <c r="C1558" s="114"/>
      <c r="D1558" s="114"/>
      <c r="E1558" s="114"/>
      <c r="F1558" s="114"/>
      <c r="G1558" s="379"/>
      <c r="H1558" s="380"/>
      <c r="I1558" s="114"/>
      <c r="J1558" s="114"/>
      <c r="K1558" s="114"/>
      <c r="L1558" s="16"/>
      <c r="M1558" s="16"/>
    </row>
    <row r="1559" spans="1:13">
      <c r="A1559" s="15"/>
      <c r="B1559" s="538" t="str">
        <f>Master!F6</f>
        <v>290/E, Khanapur Village, Gandipet Mandal, Ranga Reddy, Hyderabad-500075 T.S.</v>
      </c>
      <c r="C1559" s="114"/>
      <c r="D1559" s="114"/>
      <c r="E1559" s="114"/>
      <c r="F1559" s="114"/>
      <c r="G1559" s="379"/>
      <c r="H1559" s="539" t="str">
        <f>Master!AN6</f>
        <v>290/E, Khanapur Village, Gandipet Mandal, Ranga Reddy, Hyderabad-500075 T.S.</v>
      </c>
      <c r="I1559" s="114"/>
      <c r="J1559" s="114"/>
      <c r="K1559" s="114"/>
      <c r="L1559" s="16"/>
      <c r="M1559" s="16"/>
    </row>
    <row r="1560" spans="1:13">
      <c r="A1560" s="15"/>
      <c r="B1560" s="383"/>
      <c r="C1560" s="19"/>
      <c r="D1560" s="19"/>
      <c r="E1560" s="19"/>
      <c r="F1560" s="19"/>
      <c r="G1560" s="61"/>
      <c r="H1560" s="60"/>
      <c r="I1560" s="19"/>
      <c r="J1560" s="19"/>
      <c r="K1560" s="19"/>
      <c r="L1560" s="81"/>
      <c r="M1560" s="16"/>
    </row>
    <row r="1561" spans="1:13">
      <c r="A1561" s="15"/>
      <c r="B1561" s="389"/>
      <c r="C1561" s="390"/>
      <c r="D1561" s="390"/>
      <c r="E1561" s="390"/>
      <c r="F1561" s="390"/>
      <c r="G1561" s="391"/>
      <c r="H1561" s="396"/>
      <c r="I1561" s="390"/>
      <c r="J1561" s="390" t="s">
        <v>103</v>
      </c>
      <c r="K1561" s="390"/>
      <c r="L1561" s="397"/>
      <c r="M1561" s="16"/>
    </row>
    <row r="1562" spans="1:13">
      <c r="A1562" s="15"/>
      <c r="B1562" s="980" t="s">
        <v>104</v>
      </c>
      <c r="C1562" s="981"/>
      <c r="D1562" s="981"/>
      <c r="E1562" s="981"/>
      <c r="F1562" s="981"/>
      <c r="G1562" s="392"/>
      <c r="H1562" s="982" t="s">
        <v>4</v>
      </c>
      <c r="I1562" s="981"/>
      <c r="J1562" s="981"/>
      <c r="K1562" s="981"/>
      <c r="L1562" s="983"/>
      <c r="M1562" s="16"/>
    </row>
    <row r="1563" spans="1:13">
      <c r="A1563" s="15"/>
      <c r="B1563" s="393"/>
      <c r="C1563" s="394"/>
      <c r="D1563" s="394"/>
      <c r="E1563" s="394"/>
      <c r="F1563" s="394"/>
      <c r="G1563" s="395"/>
      <c r="H1563" s="398"/>
      <c r="I1563" s="394"/>
      <c r="J1563" s="394"/>
      <c r="K1563" s="394"/>
      <c r="L1563" s="399"/>
      <c r="M1563" s="16"/>
    </row>
    <row r="1564" spans="1:13">
      <c r="A1564" s="15"/>
      <c r="B1564" s="382"/>
      <c r="C1564" s="77"/>
      <c r="D1564" s="77"/>
      <c r="E1564" s="77"/>
      <c r="F1564" s="77"/>
      <c r="G1564" s="56"/>
      <c r="H1564" s="74"/>
      <c r="I1564" s="74"/>
      <c r="J1564" s="74"/>
      <c r="K1564" s="74"/>
      <c r="L1564" s="384"/>
      <c r="M1564" s="16"/>
    </row>
    <row r="1565" spans="1:13">
      <c r="A1565" s="15"/>
      <c r="B1565" s="15"/>
      <c r="C1565" s="114"/>
      <c r="D1565" s="114"/>
      <c r="E1565" s="114"/>
      <c r="F1565" s="114"/>
      <c r="G1565" s="379"/>
      <c r="H1565" s="115" t="str">
        <f>Master!AN10</f>
        <v>INDIAN SCHOOL OF BUSINESS</v>
      </c>
      <c r="I1565" s="115"/>
      <c r="J1565" s="115"/>
      <c r="K1565" s="115"/>
      <c r="L1565" s="71"/>
      <c r="M1565" s="16"/>
    </row>
    <row r="1566" spans="1:13">
      <c r="A1566" s="15"/>
      <c r="B1566" s="70" t="str">
        <f>Master!F8</f>
        <v>GARDENING SERVICES&amp;ISB HYDERABAD</v>
      </c>
      <c r="C1566" s="114"/>
      <c r="D1566" s="114"/>
      <c r="E1566" s="114"/>
      <c r="F1566" s="114"/>
      <c r="G1566" s="379"/>
      <c r="H1566" s="115"/>
      <c r="I1566" s="115"/>
      <c r="J1566" s="115"/>
      <c r="K1566" s="115"/>
      <c r="L1566" s="71"/>
      <c r="M1566" s="16"/>
    </row>
    <row r="1567" spans="1:13">
      <c r="A1567" s="15"/>
      <c r="B1567" s="15"/>
      <c r="C1567" s="114"/>
      <c r="D1567" s="114"/>
      <c r="E1567" s="114"/>
      <c r="F1567" s="114"/>
      <c r="G1567" s="379"/>
      <c r="H1567" s="115" t="str">
        <f>Master!AN11</f>
        <v>Opp.Infosys Limited,Gachibowli,Hyderabad</v>
      </c>
      <c r="I1567" s="115"/>
      <c r="J1567" s="115"/>
      <c r="K1567" s="115"/>
      <c r="L1567" s="71"/>
      <c r="M1567" s="16"/>
    </row>
    <row r="1568" spans="1:13">
      <c r="A1568" s="15"/>
      <c r="B1568" s="383"/>
      <c r="C1568" s="19"/>
      <c r="D1568" s="19"/>
      <c r="E1568" s="19"/>
      <c r="F1568" s="19"/>
      <c r="G1568" s="61"/>
      <c r="H1568" s="79"/>
      <c r="I1568" s="79"/>
      <c r="J1568" s="79"/>
      <c r="K1568" s="79"/>
      <c r="L1568" s="385"/>
      <c r="M1568" s="16"/>
    </row>
    <row r="1569" spans="1:13" ht="30" customHeight="1">
      <c r="A1569" s="15"/>
      <c r="B1569" s="948" t="s">
        <v>105</v>
      </c>
      <c r="C1569" s="949"/>
      <c r="D1569" s="949"/>
      <c r="E1569" s="949"/>
      <c r="F1569" s="949"/>
      <c r="G1569" s="949"/>
      <c r="H1569" s="950" t="str">
        <f>Master!D48</f>
        <v>Lingola amrutha</v>
      </c>
      <c r="I1569" s="951"/>
      <c r="J1569" s="951"/>
      <c r="K1569" s="951"/>
      <c r="L1569" s="952"/>
      <c r="M1569" s="16"/>
    </row>
    <row r="1570" spans="1:13" ht="30" customHeight="1">
      <c r="A1570" s="15"/>
      <c r="B1570" s="948"/>
      <c r="C1570" s="949"/>
      <c r="D1570" s="949"/>
      <c r="E1570" s="949"/>
      <c r="F1570" s="949"/>
      <c r="G1570" s="949"/>
      <c r="H1570" s="950" t="str">
        <f>Master!K48</f>
        <v>3-31,Janakampet</v>
      </c>
      <c r="I1570" s="951"/>
      <c r="J1570" s="951"/>
      <c r="K1570" s="951"/>
      <c r="L1570" s="952"/>
      <c r="M1570" s="16"/>
    </row>
    <row r="1571" spans="1:13" ht="30" customHeight="1">
      <c r="A1571" s="15"/>
      <c r="B1571" s="948"/>
      <c r="C1571" s="949"/>
      <c r="D1571" s="949"/>
      <c r="E1571" s="949"/>
      <c r="F1571" s="949"/>
      <c r="G1571" s="949"/>
      <c r="H1571" s="950" t="str">
        <f>Master!L48</f>
        <v>patancheru,Sultanpur,medak</v>
      </c>
      <c r="I1571" s="951"/>
      <c r="J1571" s="951"/>
      <c r="K1571" s="951"/>
      <c r="L1571" s="952"/>
      <c r="M1571" s="16"/>
    </row>
    <row r="1572" spans="1:13" ht="30" customHeight="1">
      <c r="A1572" s="15"/>
      <c r="B1572" s="948"/>
      <c r="C1572" s="949"/>
      <c r="D1572" s="949"/>
      <c r="E1572" s="949"/>
      <c r="F1572" s="949"/>
      <c r="G1572" s="949"/>
      <c r="H1572" s="950" t="str">
        <f>Master!M48</f>
        <v>TS-502319</v>
      </c>
      <c r="I1572" s="951"/>
      <c r="J1572" s="951"/>
      <c r="K1572" s="951"/>
      <c r="L1572" s="952"/>
      <c r="M1572" s="16"/>
    </row>
    <row r="1573" spans="1:13" ht="30" customHeight="1">
      <c r="A1573" s="73"/>
      <c r="B1573" s="948"/>
      <c r="C1573" s="949"/>
      <c r="D1573" s="949"/>
      <c r="E1573" s="949"/>
      <c r="F1573" s="949"/>
      <c r="G1573" s="949"/>
      <c r="H1573" s="989">
        <f>Master!N2148</f>
        <v>0</v>
      </c>
      <c r="I1573" s="990"/>
      <c r="J1573" s="990"/>
      <c r="K1573" s="990"/>
      <c r="L1573" s="991"/>
      <c r="M1573" s="16"/>
    </row>
    <row r="1574" spans="1:13" ht="30" customHeight="1">
      <c r="A1574" s="73"/>
      <c r="B1574" s="984" t="s">
        <v>106</v>
      </c>
      <c r="C1574" s="985"/>
      <c r="D1574" s="985"/>
      <c r="E1574" s="985"/>
      <c r="F1574" s="985"/>
      <c r="G1574" s="985"/>
      <c r="H1574" s="947">
        <f>Master!C48</f>
        <v>38</v>
      </c>
      <c r="I1574" s="945"/>
      <c r="J1574" s="945"/>
      <c r="K1574" s="945"/>
      <c r="L1574" s="946"/>
      <c r="M1574" s="16"/>
    </row>
    <row r="1575" spans="1:13" ht="30" customHeight="1">
      <c r="A1575" s="73"/>
      <c r="B1575" s="943" t="s">
        <v>107</v>
      </c>
      <c r="C1575" s="944"/>
      <c r="D1575" s="944"/>
      <c r="E1575" s="944"/>
      <c r="F1575" s="944"/>
      <c r="G1575" s="944"/>
      <c r="H1575" s="947" t="str">
        <f>Master!J48</f>
        <v>Unskilled Gardner</v>
      </c>
      <c r="I1575" s="945"/>
      <c r="J1575" s="945"/>
      <c r="K1575" s="945"/>
      <c r="L1575" s="946"/>
      <c r="M1575" s="16"/>
    </row>
    <row r="1576" spans="1:13" ht="30" customHeight="1">
      <c r="A1576" s="73"/>
      <c r="B1576" s="943" t="s">
        <v>108</v>
      </c>
      <c r="C1576" s="944"/>
      <c r="D1576" s="944"/>
      <c r="E1576" s="944"/>
      <c r="F1576" s="944"/>
      <c r="G1576" s="944"/>
      <c r="H1576" s="957">
        <f>Master!S48</f>
        <v>43850</v>
      </c>
      <c r="I1576" s="958"/>
      <c r="J1576" s="958"/>
      <c r="K1576" s="958"/>
      <c r="L1576" s="959"/>
      <c r="M1576" s="16"/>
    </row>
    <row r="1577" spans="1:13" ht="30" customHeight="1">
      <c r="A1577" s="73"/>
      <c r="B1577" s="386" t="s">
        <v>109</v>
      </c>
      <c r="C1577" s="116"/>
      <c r="D1577" s="116"/>
      <c r="E1577" s="116"/>
      <c r="F1577" s="116"/>
      <c r="G1577" s="116"/>
      <c r="H1577" s="947">
        <f>Master!Y48</f>
        <v>5210209440</v>
      </c>
      <c r="I1577" s="947"/>
      <c r="J1577" s="947"/>
      <c r="K1577" s="947"/>
      <c r="L1577" s="953"/>
      <c r="M1577" s="16"/>
    </row>
    <row r="1578" spans="1:13" ht="30" customHeight="1">
      <c r="A1578" s="73"/>
      <c r="B1578" s="386" t="s">
        <v>110</v>
      </c>
      <c r="C1578" s="116"/>
      <c r="D1578" s="116"/>
      <c r="E1578" s="116"/>
      <c r="F1578" s="116"/>
      <c r="G1578" s="119"/>
      <c r="H1578" s="947" t="str">
        <f>Master!X48</f>
        <v>100201625830</v>
      </c>
      <c r="I1578" s="947"/>
      <c r="J1578" s="947"/>
      <c r="K1578" s="947"/>
      <c r="L1578" s="953"/>
      <c r="M1578" s="16"/>
    </row>
    <row r="1579" spans="1:13" ht="30" customHeight="1">
      <c r="A1579" s="73"/>
      <c r="B1579" s="954" t="s">
        <v>111</v>
      </c>
      <c r="C1579" s="955"/>
      <c r="D1579" s="955"/>
      <c r="E1579" s="955"/>
      <c r="F1579" s="955"/>
      <c r="G1579" s="955"/>
      <c r="H1579" s="950">
        <f>Master!AC48</f>
        <v>10627</v>
      </c>
      <c r="I1579" s="951"/>
      <c r="J1579" s="951"/>
      <c r="K1579" s="951"/>
      <c r="L1579" s="952"/>
      <c r="M1579" s="16"/>
    </row>
    <row r="1580" spans="1:13" ht="30" customHeight="1">
      <c r="A1580" s="73"/>
      <c r="B1580" s="943" t="s">
        <v>112</v>
      </c>
      <c r="C1580" s="944"/>
      <c r="D1580" s="944"/>
      <c r="E1580" s="944"/>
      <c r="F1580" s="944"/>
      <c r="G1580" s="944"/>
      <c r="H1580" s="956">
        <f>Master!F10</f>
        <v>44652</v>
      </c>
      <c r="I1580" s="945"/>
      <c r="J1580" s="945"/>
      <c r="K1580" s="945"/>
      <c r="L1580" s="946"/>
      <c r="M1580" s="16"/>
    </row>
    <row r="1581" spans="1:13" ht="30" customHeight="1">
      <c r="A1581" s="15"/>
      <c r="B1581" s="943" t="s">
        <v>113</v>
      </c>
      <c r="C1581" s="944"/>
      <c r="D1581" s="944"/>
      <c r="E1581" s="944"/>
      <c r="F1581" s="944"/>
      <c r="G1581" s="944"/>
      <c r="H1581" s="945" t="s">
        <v>114</v>
      </c>
      <c r="I1581" s="945"/>
      <c r="J1581" s="945"/>
      <c r="K1581" s="945"/>
      <c r="L1581" s="946"/>
      <c r="M1581" s="16"/>
    </row>
    <row r="1582" spans="1:13" ht="30" customHeight="1">
      <c r="A1582" s="15"/>
      <c r="B1582" s="386" t="s">
        <v>115</v>
      </c>
      <c r="C1582" s="116"/>
      <c r="D1582" s="116"/>
      <c r="E1582" s="116"/>
      <c r="F1582" s="116"/>
      <c r="G1582" s="119"/>
      <c r="H1582" s="947">
        <f>Master!AA48</f>
        <v>26</v>
      </c>
      <c r="I1582" s="945"/>
      <c r="J1582" s="945"/>
      <c r="K1582" s="945"/>
      <c r="L1582" s="946"/>
      <c r="M1582" s="16"/>
    </row>
    <row r="1583" spans="1:13" ht="30" customHeight="1">
      <c r="A1583" s="15"/>
      <c r="B1583" s="386" t="s">
        <v>116</v>
      </c>
      <c r="C1583" s="116"/>
      <c r="D1583" s="116"/>
      <c r="E1583" s="116"/>
      <c r="F1583" s="116"/>
      <c r="G1583" s="119"/>
      <c r="H1583" s="986" t="s">
        <v>28</v>
      </c>
      <c r="I1583" s="987"/>
      <c r="J1583" s="987"/>
      <c r="K1583" s="987"/>
      <c r="L1583" s="988"/>
      <c r="M1583" s="16"/>
    </row>
    <row r="1584" spans="1:13" ht="30" customHeight="1">
      <c r="A1584" s="15"/>
      <c r="B1584" s="386" t="s">
        <v>117</v>
      </c>
      <c r="C1584" s="116"/>
      <c r="D1584" s="116"/>
      <c r="E1584" s="116"/>
      <c r="F1584" s="116"/>
      <c r="G1584" s="119"/>
      <c r="H1584" s="989">
        <v>0</v>
      </c>
      <c r="I1584" s="990"/>
      <c r="J1584" s="990"/>
      <c r="K1584" s="990"/>
      <c r="L1584" s="991"/>
      <c r="M1584" s="16"/>
    </row>
    <row r="1585" spans="1:13" ht="30" customHeight="1">
      <c r="A1585" s="15"/>
      <c r="B1585" s="386" t="s">
        <v>118</v>
      </c>
      <c r="C1585" s="116"/>
      <c r="D1585" s="116"/>
      <c r="E1585" s="116"/>
      <c r="F1585" s="116"/>
      <c r="G1585" s="119"/>
      <c r="H1585" s="986">
        <v>0</v>
      </c>
      <c r="I1585" s="987"/>
      <c r="J1585" s="987"/>
      <c r="K1585" s="987"/>
      <c r="L1585" s="988"/>
      <c r="M1585" s="16"/>
    </row>
    <row r="1586" spans="1:13" ht="30" customHeight="1">
      <c r="A1586" s="15"/>
      <c r="B1586" s="386" t="s">
        <v>119</v>
      </c>
      <c r="C1586" s="116"/>
      <c r="D1586" s="116"/>
      <c r="E1586" s="116"/>
      <c r="F1586" s="116"/>
      <c r="G1586" s="119"/>
      <c r="H1586" s="117"/>
      <c r="I1586" s="118"/>
      <c r="J1586" s="990">
        <f>Master!AK48</f>
        <v>9210.4</v>
      </c>
      <c r="K1586" s="992"/>
      <c r="L1586" s="581" t="s">
        <v>737</v>
      </c>
      <c r="M1586" s="16"/>
    </row>
    <row r="1587" spans="1:13" ht="30" customHeight="1">
      <c r="A1587" s="15"/>
      <c r="B1587" s="386" t="s">
        <v>120</v>
      </c>
      <c r="C1587" s="116"/>
      <c r="D1587" s="465" t="s">
        <v>24</v>
      </c>
      <c r="E1587" s="466">
        <f>Master!AM48</f>
        <v>1105</v>
      </c>
      <c r="F1587" s="465" t="s">
        <v>23</v>
      </c>
      <c r="G1587" s="466">
        <f>Master!AL48</f>
        <v>70</v>
      </c>
      <c r="H1587" s="465" t="s">
        <v>25</v>
      </c>
      <c r="I1587" s="466">
        <f>Master!AN48</f>
        <v>0</v>
      </c>
      <c r="J1587" s="465" t="s">
        <v>26</v>
      </c>
      <c r="K1587" s="466">
        <f>Master!AO48</f>
        <v>0</v>
      </c>
      <c r="L1587" s="400">
        <f>Master!AP48</f>
        <v>0</v>
      </c>
      <c r="M1587" s="16"/>
    </row>
    <row r="1588" spans="1:13" ht="30" customHeight="1">
      <c r="A1588" s="15"/>
      <c r="B1588" s="386" t="s">
        <v>121</v>
      </c>
      <c r="C1588" s="116"/>
      <c r="D1588" s="116"/>
      <c r="E1588" s="116"/>
      <c r="F1588" s="116"/>
      <c r="G1588" s="119"/>
      <c r="H1588" s="117"/>
      <c r="I1588" s="118"/>
      <c r="J1588" s="541">
        <f>Master!AR48</f>
        <v>8035.4</v>
      </c>
      <c r="K1588" s="118"/>
      <c r="L1588" s="125"/>
      <c r="M1588" s="16"/>
    </row>
    <row r="1589" spans="1:13">
      <c r="A1589" s="15"/>
      <c r="B1589" s="387" t="s">
        <v>122</v>
      </c>
      <c r="C1589" s="74"/>
      <c r="D1589" s="74"/>
      <c r="E1589" s="74"/>
      <c r="F1589" s="74"/>
      <c r="G1589" s="75"/>
      <c r="H1589" s="76"/>
      <c r="I1589" s="77"/>
      <c r="J1589" s="77"/>
      <c r="K1589" s="77"/>
      <c r="L1589" s="78"/>
      <c r="M1589" s="16"/>
    </row>
    <row r="1590" spans="1:13">
      <c r="A1590" s="15"/>
      <c r="B1590" s="388" t="s">
        <v>123</v>
      </c>
      <c r="C1590" s="79"/>
      <c r="D1590" s="79"/>
      <c r="E1590" s="79"/>
      <c r="F1590" s="79"/>
      <c r="G1590" s="80"/>
      <c r="H1590" s="60"/>
      <c r="I1590" s="19"/>
      <c r="J1590" s="19"/>
      <c r="K1590" s="19"/>
      <c r="L1590" s="81"/>
      <c r="M1590" s="16"/>
    </row>
    <row r="1591" spans="1:13">
      <c r="A1591" s="15"/>
      <c r="B1591" s="15"/>
      <c r="C1591" s="114"/>
      <c r="D1591" s="114"/>
      <c r="E1591" s="114"/>
      <c r="F1591" s="114"/>
      <c r="G1591" s="114"/>
      <c r="H1591" s="114"/>
      <c r="I1591" s="114"/>
      <c r="J1591" s="114"/>
      <c r="K1591" s="114"/>
      <c r="L1591" s="16"/>
      <c r="M1591" s="16"/>
    </row>
    <row r="1592" spans="1:13" ht="15" thickBot="1">
      <c r="A1592" s="27"/>
      <c r="B1592" s="27"/>
      <c r="C1592" s="25"/>
      <c r="D1592" s="25"/>
      <c r="E1592" s="25"/>
      <c r="F1592" s="25"/>
      <c r="G1592" s="25"/>
      <c r="H1592" s="25"/>
      <c r="I1592" s="25"/>
      <c r="J1592" s="25"/>
      <c r="K1592" s="25"/>
      <c r="L1592" s="26"/>
      <c r="M1592" s="26"/>
    </row>
    <row r="1593" spans="1:13">
      <c r="A1593" s="420"/>
      <c r="B1593" s="420"/>
      <c r="C1593" s="420"/>
      <c r="D1593" s="420"/>
      <c r="E1593" s="420"/>
      <c r="F1593" s="420"/>
      <c r="G1593" s="420"/>
      <c r="H1593" s="420"/>
      <c r="I1593" s="420"/>
      <c r="J1593" s="420"/>
      <c r="K1593" s="420"/>
      <c r="L1593" s="420"/>
      <c r="M1593" s="420"/>
    </row>
    <row r="1594" spans="1:13">
      <c r="A1594" s="420"/>
      <c r="B1594" s="420"/>
      <c r="C1594" s="420"/>
      <c r="D1594" s="420"/>
      <c r="E1594" s="420"/>
      <c r="F1594" s="420"/>
      <c r="G1594" s="420"/>
      <c r="H1594" s="420"/>
      <c r="I1594" s="420"/>
      <c r="J1594" s="420"/>
      <c r="K1594" s="420"/>
      <c r="L1594" s="420"/>
      <c r="M1594" s="420"/>
    </row>
    <row r="1595" spans="1:13">
      <c r="A1595" s="420"/>
      <c r="B1595" s="420"/>
      <c r="C1595" s="420"/>
      <c r="D1595" s="420"/>
      <c r="E1595" s="420"/>
      <c r="F1595" s="420"/>
      <c r="G1595" s="420"/>
      <c r="H1595" s="420"/>
      <c r="I1595" s="420"/>
      <c r="J1595" s="420"/>
      <c r="K1595" s="420"/>
      <c r="L1595" s="420"/>
      <c r="M1595" s="420"/>
    </row>
    <row r="1596" spans="1:13">
      <c r="A1596" s="420"/>
      <c r="B1596" s="420"/>
      <c r="C1596" s="420"/>
      <c r="D1596" s="420"/>
      <c r="E1596" s="420"/>
      <c r="F1596" s="420"/>
      <c r="G1596" s="420"/>
      <c r="H1596" s="420"/>
      <c r="I1596" s="420"/>
      <c r="J1596" s="420"/>
      <c r="K1596" s="420"/>
      <c r="L1596" s="420"/>
      <c r="M1596" s="420"/>
    </row>
    <row r="1597" spans="1:13" ht="15" thickBot="1">
      <c r="A1597" s="420"/>
      <c r="B1597" s="420"/>
      <c r="C1597" s="420"/>
      <c r="D1597" s="420"/>
      <c r="E1597" s="420"/>
      <c r="F1597" s="420"/>
      <c r="G1597" s="420"/>
      <c r="H1597" s="420"/>
      <c r="I1597" s="420"/>
      <c r="J1597" s="420"/>
      <c r="K1597" s="420"/>
      <c r="L1597" s="420"/>
      <c r="M1597" s="420"/>
    </row>
    <row r="1598" spans="1:13" ht="32.4">
      <c r="A1598" s="68"/>
      <c r="B1598" s="960" t="s">
        <v>99</v>
      </c>
      <c r="C1598" s="961"/>
      <c r="D1598" s="961"/>
      <c r="E1598" s="961"/>
      <c r="F1598" s="961"/>
      <c r="G1598" s="961"/>
      <c r="H1598" s="961"/>
      <c r="I1598" s="961"/>
      <c r="J1598" s="961"/>
      <c r="K1598" s="961"/>
      <c r="L1598" s="962"/>
      <c r="M1598" s="69"/>
    </row>
    <row r="1599" spans="1:13" ht="23.4">
      <c r="A1599" s="15"/>
      <c r="B1599" s="963" t="s">
        <v>100</v>
      </c>
      <c r="C1599" s="964"/>
      <c r="D1599" s="964"/>
      <c r="E1599" s="964"/>
      <c r="F1599" s="964"/>
      <c r="G1599" s="964"/>
      <c r="H1599" s="964"/>
      <c r="I1599" s="964"/>
      <c r="J1599" s="964"/>
      <c r="K1599" s="964"/>
      <c r="L1599" s="965"/>
      <c r="M1599" s="16"/>
    </row>
    <row r="1600" spans="1:13" ht="15.6">
      <c r="A1600" s="15"/>
      <c r="B1600" s="966" t="s">
        <v>1070</v>
      </c>
      <c r="C1600" s="967"/>
      <c r="D1600" s="967"/>
      <c r="E1600" s="967"/>
      <c r="F1600" s="967"/>
      <c r="G1600" s="967"/>
      <c r="H1600" s="968"/>
      <c r="I1600" s="968"/>
      <c r="J1600" s="968"/>
      <c r="K1600" s="968"/>
      <c r="L1600" s="969"/>
      <c r="M1600" s="16"/>
    </row>
    <row r="1601" spans="1:13">
      <c r="A1601" s="15"/>
      <c r="B1601" s="970" t="s">
        <v>101</v>
      </c>
      <c r="C1601" s="971"/>
      <c r="D1601" s="971"/>
      <c r="E1601" s="971"/>
      <c r="F1601" s="971"/>
      <c r="G1601" s="391"/>
      <c r="H1601" s="974" t="s">
        <v>102</v>
      </c>
      <c r="I1601" s="975"/>
      <c r="J1601" s="975"/>
      <c r="K1601" s="975"/>
      <c r="L1601" s="976"/>
      <c r="M1601" s="16"/>
    </row>
    <row r="1602" spans="1:13">
      <c r="A1602" s="15"/>
      <c r="B1602" s="972"/>
      <c r="C1602" s="973"/>
      <c r="D1602" s="973"/>
      <c r="E1602" s="973"/>
      <c r="F1602" s="973"/>
      <c r="G1602" s="395"/>
      <c r="H1602" s="977"/>
      <c r="I1602" s="978"/>
      <c r="J1602" s="978"/>
      <c r="K1602" s="978"/>
      <c r="L1602" s="979"/>
      <c r="M1602" s="16"/>
    </row>
    <row r="1603" spans="1:13">
      <c r="A1603" s="15"/>
      <c r="B1603" s="382"/>
      <c r="C1603" s="77"/>
      <c r="D1603" s="77"/>
      <c r="E1603" s="77"/>
      <c r="F1603" s="77"/>
      <c r="G1603" s="56"/>
      <c r="H1603" s="76"/>
      <c r="I1603" s="77"/>
      <c r="J1603" s="77"/>
      <c r="K1603" s="77"/>
      <c r="L1603" s="78"/>
      <c r="M1603" s="16"/>
    </row>
    <row r="1604" spans="1:13">
      <c r="A1604" s="15"/>
      <c r="B1604" s="378" t="str">
        <f>Master!F5</f>
        <v>GROTECH LANDSCAPE DEVELOPERS PVT. LTD.</v>
      </c>
      <c r="C1604" s="114"/>
      <c r="D1604" s="114"/>
      <c r="E1604" s="114"/>
      <c r="F1604" s="114"/>
      <c r="G1604" s="379"/>
      <c r="H1604" s="381" t="str">
        <f>Master!AN5</f>
        <v>GROTECH LANDSCAPE DEVELOPERS PVT. LTD.</v>
      </c>
      <c r="I1604" s="114"/>
      <c r="J1604" s="114"/>
      <c r="K1604" s="114"/>
      <c r="L1604" s="16"/>
      <c r="M1604" s="16"/>
    </row>
    <row r="1605" spans="1:13">
      <c r="A1605" s="15"/>
      <c r="B1605" s="15"/>
      <c r="C1605" s="114"/>
      <c r="D1605" s="114"/>
      <c r="E1605" s="114"/>
      <c r="F1605" s="114"/>
      <c r="G1605" s="379"/>
      <c r="H1605" s="380"/>
      <c r="I1605" s="114"/>
      <c r="J1605" s="114"/>
      <c r="K1605" s="114"/>
      <c r="L1605" s="16"/>
      <c r="M1605" s="16"/>
    </row>
    <row r="1606" spans="1:13">
      <c r="A1606" s="15"/>
      <c r="B1606" s="538" t="str">
        <f>Master!F6</f>
        <v>290/E, Khanapur Village, Gandipet Mandal, Ranga Reddy, Hyderabad-500075 T.S.</v>
      </c>
      <c r="C1606" s="114"/>
      <c r="D1606" s="114"/>
      <c r="E1606" s="114"/>
      <c r="F1606" s="114"/>
      <c r="G1606" s="379"/>
      <c r="H1606" s="539" t="str">
        <f>Master!AN6</f>
        <v>290/E, Khanapur Village, Gandipet Mandal, Ranga Reddy, Hyderabad-500075 T.S.</v>
      </c>
      <c r="I1606" s="114"/>
      <c r="J1606" s="114"/>
      <c r="K1606" s="114"/>
      <c r="L1606" s="16"/>
      <c r="M1606" s="16"/>
    </row>
    <row r="1607" spans="1:13">
      <c r="A1607" s="15"/>
      <c r="B1607" s="383"/>
      <c r="C1607" s="19"/>
      <c r="D1607" s="19"/>
      <c r="E1607" s="19"/>
      <c r="F1607" s="19"/>
      <c r="G1607" s="61"/>
      <c r="H1607" s="60"/>
      <c r="I1607" s="19"/>
      <c r="J1607" s="19"/>
      <c r="K1607" s="19"/>
      <c r="L1607" s="81"/>
      <c r="M1607" s="16"/>
    </row>
    <row r="1608" spans="1:13">
      <c r="A1608" s="15"/>
      <c r="B1608" s="389"/>
      <c r="C1608" s="390"/>
      <c r="D1608" s="390"/>
      <c r="E1608" s="390"/>
      <c r="F1608" s="390"/>
      <c r="G1608" s="391"/>
      <c r="H1608" s="396"/>
      <c r="I1608" s="390"/>
      <c r="J1608" s="390" t="s">
        <v>103</v>
      </c>
      <c r="K1608" s="390"/>
      <c r="L1608" s="397"/>
      <c r="M1608" s="16"/>
    </row>
    <row r="1609" spans="1:13">
      <c r="A1609" s="15"/>
      <c r="B1609" s="980" t="s">
        <v>104</v>
      </c>
      <c r="C1609" s="981"/>
      <c r="D1609" s="981"/>
      <c r="E1609" s="981"/>
      <c r="F1609" s="981"/>
      <c r="G1609" s="392"/>
      <c r="H1609" s="982" t="s">
        <v>4</v>
      </c>
      <c r="I1609" s="981"/>
      <c r="J1609" s="981"/>
      <c r="K1609" s="981"/>
      <c r="L1609" s="983"/>
      <c r="M1609" s="16"/>
    </row>
    <row r="1610" spans="1:13">
      <c r="A1610" s="15"/>
      <c r="B1610" s="393"/>
      <c r="C1610" s="394"/>
      <c r="D1610" s="394"/>
      <c r="E1610" s="394"/>
      <c r="F1610" s="394"/>
      <c r="G1610" s="395"/>
      <c r="H1610" s="398"/>
      <c r="I1610" s="394"/>
      <c r="J1610" s="394"/>
      <c r="K1610" s="394"/>
      <c r="L1610" s="399"/>
      <c r="M1610" s="16"/>
    </row>
    <row r="1611" spans="1:13">
      <c r="A1611" s="15"/>
      <c r="B1611" s="382"/>
      <c r="C1611" s="77"/>
      <c r="D1611" s="77"/>
      <c r="E1611" s="77"/>
      <c r="F1611" s="77"/>
      <c r="G1611" s="56"/>
      <c r="H1611" s="74"/>
      <c r="I1611" s="74"/>
      <c r="J1611" s="74"/>
      <c r="K1611" s="74"/>
      <c r="L1611" s="384"/>
      <c r="M1611" s="16"/>
    </row>
    <row r="1612" spans="1:13">
      <c r="A1612" s="15"/>
      <c r="B1612" s="15"/>
      <c r="C1612" s="114"/>
      <c r="D1612" s="114"/>
      <c r="E1612" s="114"/>
      <c r="F1612" s="114"/>
      <c r="G1612" s="379"/>
      <c r="H1612" s="115" t="str">
        <f>Master!AN10</f>
        <v>INDIAN SCHOOL OF BUSINESS</v>
      </c>
      <c r="I1612" s="115"/>
      <c r="J1612" s="115"/>
      <c r="K1612" s="115"/>
      <c r="L1612" s="71"/>
      <c r="M1612" s="16"/>
    </row>
    <row r="1613" spans="1:13">
      <c r="A1613" s="15"/>
      <c r="B1613" s="70" t="str">
        <f>Master!F8</f>
        <v>GARDENING SERVICES&amp;ISB HYDERABAD</v>
      </c>
      <c r="C1613" s="114"/>
      <c r="D1613" s="114"/>
      <c r="E1613" s="114"/>
      <c r="F1613" s="114"/>
      <c r="G1613" s="379"/>
      <c r="H1613" s="115"/>
      <c r="I1613" s="115"/>
      <c r="J1613" s="115"/>
      <c r="K1613" s="115"/>
      <c r="L1613" s="71"/>
      <c r="M1613" s="16"/>
    </row>
    <row r="1614" spans="1:13">
      <c r="A1614" s="15"/>
      <c r="B1614" s="15"/>
      <c r="C1614" s="114"/>
      <c r="D1614" s="114"/>
      <c r="E1614" s="114"/>
      <c r="F1614" s="114"/>
      <c r="G1614" s="379"/>
      <c r="H1614" s="115" t="str">
        <f>Master!AN11</f>
        <v>Opp.Infosys Limited,Gachibowli,Hyderabad</v>
      </c>
      <c r="I1614" s="115"/>
      <c r="J1614" s="115"/>
      <c r="K1614" s="115"/>
      <c r="L1614" s="71"/>
      <c r="M1614" s="16"/>
    </row>
    <row r="1615" spans="1:13">
      <c r="A1615" s="15"/>
      <c r="B1615" s="383"/>
      <c r="C1615" s="19"/>
      <c r="D1615" s="19"/>
      <c r="E1615" s="19"/>
      <c r="F1615" s="19"/>
      <c r="G1615" s="61"/>
      <c r="H1615" s="79"/>
      <c r="I1615" s="79"/>
      <c r="J1615" s="79"/>
      <c r="K1615" s="79"/>
      <c r="L1615" s="385"/>
      <c r="M1615" s="16"/>
    </row>
    <row r="1616" spans="1:13" ht="30" customHeight="1">
      <c r="A1616" s="15"/>
      <c r="B1616" s="948" t="s">
        <v>105</v>
      </c>
      <c r="C1616" s="949"/>
      <c r="D1616" s="949"/>
      <c r="E1616" s="949"/>
      <c r="F1616" s="949"/>
      <c r="G1616" s="949"/>
      <c r="H1616" s="950" t="str">
        <f>Master!D49</f>
        <v>Kuduru satyamma</v>
      </c>
      <c r="I1616" s="951"/>
      <c r="J1616" s="951"/>
      <c r="K1616" s="951"/>
      <c r="L1616" s="952"/>
      <c r="M1616" s="16"/>
    </row>
    <row r="1617" spans="1:13" ht="30" customHeight="1">
      <c r="A1617" s="15"/>
      <c r="B1617" s="948"/>
      <c r="C1617" s="949"/>
      <c r="D1617" s="949"/>
      <c r="E1617" s="949"/>
      <c r="F1617" s="949"/>
      <c r="G1617" s="949"/>
      <c r="H1617" s="950" t="str">
        <f>Master!K49</f>
        <v>5-11 BC colony</v>
      </c>
      <c r="I1617" s="951"/>
      <c r="J1617" s="951"/>
      <c r="K1617" s="951"/>
      <c r="L1617" s="952"/>
      <c r="M1617" s="16"/>
    </row>
    <row r="1618" spans="1:13" ht="30" customHeight="1">
      <c r="A1618" s="15"/>
      <c r="B1618" s="948"/>
      <c r="C1618" s="949"/>
      <c r="D1618" s="949"/>
      <c r="E1618" s="949"/>
      <c r="F1618" s="949"/>
      <c r="G1618" s="949"/>
      <c r="H1618" s="950" t="str">
        <f>Master!L49</f>
        <v>mahabubnagar,dhrmapur-mndl,</v>
      </c>
      <c r="I1618" s="951"/>
      <c r="J1618" s="951"/>
      <c r="K1618" s="951"/>
      <c r="L1618" s="952"/>
      <c r="M1618" s="16"/>
    </row>
    <row r="1619" spans="1:13" ht="30" customHeight="1">
      <c r="A1619" s="15"/>
      <c r="B1619" s="948"/>
      <c r="C1619" s="949"/>
      <c r="D1619" s="949"/>
      <c r="E1619" s="949"/>
      <c r="F1619" s="949"/>
      <c r="G1619" s="949"/>
      <c r="H1619" s="950" t="str">
        <f>Master!M49</f>
        <v>TS-502319</v>
      </c>
      <c r="I1619" s="951"/>
      <c r="J1619" s="951"/>
      <c r="K1619" s="951"/>
      <c r="L1619" s="952"/>
      <c r="M1619" s="16"/>
    </row>
    <row r="1620" spans="1:13" ht="30" customHeight="1">
      <c r="A1620" s="73"/>
      <c r="B1620" s="948"/>
      <c r="C1620" s="949"/>
      <c r="D1620" s="949"/>
      <c r="E1620" s="949"/>
      <c r="F1620" s="949"/>
      <c r="G1620" s="949"/>
      <c r="H1620" s="989">
        <f>Master!N2194</f>
        <v>0</v>
      </c>
      <c r="I1620" s="990"/>
      <c r="J1620" s="990"/>
      <c r="K1620" s="990"/>
      <c r="L1620" s="991"/>
      <c r="M1620" s="16"/>
    </row>
    <row r="1621" spans="1:13" ht="30" customHeight="1">
      <c r="A1621" s="73"/>
      <c r="B1621" s="984" t="s">
        <v>106</v>
      </c>
      <c r="C1621" s="985"/>
      <c r="D1621" s="985"/>
      <c r="E1621" s="985"/>
      <c r="F1621" s="985"/>
      <c r="G1621" s="985"/>
      <c r="H1621" s="947">
        <f>Master!C49</f>
        <v>39</v>
      </c>
      <c r="I1621" s="945"/>
      <c r="J1621" s="945"/>
      <c r="K1621" s="945"/>
      <c r="L1621" s="946"/>
      <c r="M1621" s="16"/>
    </row>
    <row r="1622" spans="1:13" ht="30" customHeight="1">
      <c r="A1622" s="73"/>
      <c r="B1622" s="943" t="s">
        <v>107</v>
      </c>
      <c r="C1622" s="944"/>
      <c r="D1622" s="944"/>
      <c r="E1622" s="944"/>
      <c r="F1622" s="944"/>
      <c r="G1622" s="944"/>
      <c r="H1622" s="947" t="str">
        <f>Master!J49</f>
        <v>Unskilled Gardner</v>
      </c>
      <c r="I1622" s="945"/>
      <c r="J1622" s="945"/>
      <c r="K1622" s="945"/>
      <c r="L1622" s="946"/>
      <c r="M1622" s="16"/>
    </row>
    <row r="1623" spans="1:13" ht="30" customHeight="1">
      <c r="A1623" s="73"/>
      <c r="B1623" s="943" t="s">
        <v>108</v>
      </c>
      <c r="C1623" s="944"/>
      <c r="D1623" s="944"/>
      <c r="E1623" s="944"/>
      <c r="F1623" s="944"/>
      <c r="G1623" s="944"/>
      <c r="H1623" s="957">
        <f>Master!S49</f>
        <v>43850</v>
      </c>
      <c r="I1623" s="958"/>
      <c r="J1623" s="958"/>
      <c r="K1623" s="958"/>
      <c r="L1623" s="959"/>
      <c r="M1623" s="16"/>
    </row>
    <row r="1624" spans="1:13" ht="30" customHeight="1">
      <c r="A1624" s="73"/>
      <c r="B1624" s="386" t="s">
        <v>109</v>
      </c>
      <c r="C1624" s="116"/>
      <c r="D1624" s="116"/>
      <c r="E1624" s="116"/>
      <c r="F1624" s="116"/>
      <c r="G1624" s="116"/>
      <c r="H1624" s="947">
        <f>Master!Y49</f>
        <v>5216116222</v>
      </c>
      <c r="I1624" s="947"/>
      <c r="J1624" s="947"/>
      <c r="K1624" s="947"/>
      <c r="L1624" s="953"/>
      <c r="M1624" s="16"/>
    </row>
    <row r="1625" spans="1:13" ht="30" customHeight="1">
      <c r="A1625" s="73"/>
      <c r="B1625" s="386" t="s">
        <v>110</v>
      </c>
      <c r="C1625" s="116"/>
      <c r="D1625" s="116"/>
      <c r="E1625" s="116"/>
      <c r="F1625" s="116"/>
      <c r="G1625" s="119"/>
      <c r="H1625" s="947" t="str">
        <f>Master!X49</f>
        <v>101440681199</v>
      </c>
      <c r="I1625" s="947"/>
      <c r="J1625" s="947"/>
      <c r="K1625" s="947"/>
      <c r="L1625" s="953"/>
      <c r="M1625" s="16"/>
    </row>
    <row r="1626" spans="1:13" ht="30" customHeight="1">
      <c r="A1626" s="73"/>
      <c r="B1626" s="954" t="s">
        <v>111</v>
      </c>
      <c r="C1626" s="955"/>
      <c r="D1626" s="955"/>
      <c r="E1626" s="955"/>
      <c r="F1626" s="955"/>
      <c r="G1626" s="955"/>
      <c r="H1626" s="950">
        <f>Master!AC49</f>
        <v>10627</v>
      </c>
      <c r="I1626" s="951"/>
      <c r="J1626" s="951"/>
      <c r="K1626" s="951"/>
      <c r="L1626" s="952"/>
      <c r="M1626" s="16"/>
    </row>
    <row r="1627" spans="1:13" ht="30" customHeight="1">
      <c r="A1627" s="73"/>
      <c r="B1627" s="943" t="s">
        <v>112</v>
      </c>
      <c r="C1627" s="944"/>
      <c r="D1627" s="944"/>
      <c r="E1627" s="944"/>
      <c r="F1627" s="944"/>
      <c r="G1627" s="944"/>
      <c r="H1627" s="956">
        <f>Master!F10</f>
        <v>44652</v>
      </c>
      <c r="I1627" s="945"/>
      <c r="J1627" s="945"/>
      <c r="K1627" s="945"/>
      <c r="L1627" s="946"/>
      <c r="M1627" s="16"/>
    </row>
    <row r="1628" spans="1:13" ht="30" customHeight="1">
      <c r="A1628" s="15"/>
      <c r="B1628" s="943" t="s">
        <v>113</v>
      </c>
      <c r="C1628" s="944"/>
      <c r="D1628" s="944"/>
      <c r="E1628" s="944"/>
      <c r="F1628" s="944"/>
      <c r="G1628" s="944"/>
      <c r="H1628" s="945" t="s">
        <v>114</v>
      </c>
      <c r="I1628" s="945"/>
      <c r="J1628" s="945"/>
      <c r="K1628" s="945"/>
      <c r="L1628" s="946"/>
      <c r="M1628" s="16"/>
    </row>
    <row r="1629" spans="1:13" ht="30" customHeight="1">
      <c r="A1629" s="15"/>
      <c r="B1629" s="386" t="s">
        <v>115</v>
      </c>
      <c r="C1629" s="116"/>
      <c r="D1629" s="116"/>
      <c r="E1629" s="116"/>
      <c r="F1629" s="116"/>
      <c r="G1629" s="119"/>
      <c r="H1629" s="947">
        <f>Master!AA49</f>
        <v>26</v>
      </c>
      <c r="I1629" s="945"/>
      <c r="J1629" s="945"/>
      <c r="K1629" s="945"/>
      <c r="L1629" s="946"/>
      <c r="M1629" s="16"/>
    </row>
    <row r="1630" spans="1:13" ht="30" customHeight="1">
      <c r="A1630" s="15"/>
      <c r="B1630" s="386" t="s">
        <v>116</v>
      </c>
      <c r="C1630" s="116"/>
      <c r="D1630" s="116"/>
      <c r="E1630" s="116"/>
      <c r="F1630" s="116"/>
      <c r="G1630" s="119"/>
      <c r="H1630" s="986" t="s">
        <v>28</v>
      </c>
      <c r="I1630" s="987"/>
      <c r="J1630" s="987"/>
      <c r="K1630" s="987"/>
      <c r="L1630" s="988"/>
      <c r="M1630" s="16"/>
    </row>
    <row r="1631" spans="1:13" ht="30" customHeight="1">
      <c r="A1631" s="15"/>
      <c r="B1631" s="386" t="s">
        <v>117</v>
      </c>
      <c r="C1631" s="116"/>
      <c r="D1631" s="116"/>
      <c r="E1631" s="116"/>
      <c r="F1631" s="116"/>
      <c r="G1631" s="119"/>
      <c r="H1631" s="989">
        <v>0</v>
      </c>
      <c r="I1631" s="990"/>
      <c r="J1631" s="990"/>
      <c r="K1631" s="990"/>
      <c r="L1631" s="991"/>
      <c r="M1631" s="16"/>
    </row>
    <row r="1632" spans="1:13" ht="30" customHeight="1">
      <c r="A1632" s="15"/>
      <c r="B1632" s="386" t="s">
        <v>118</v>
      </c>
      <c r="C1632" s="116"/>
      <c r="D1632" s="116"/>
      <c r="E1632" s="116"/>
      <c r="F1632" s="116"/>
      <c r="G1632" s="119"/>
      <c r="H1632" s="986">
        <v>0</v>
      </c>
      <c r="I1632" s="987"/>
      <c r="J1632" s="987"/>
      <c r="K1632" s="987"/>
      <c r="L1632" s="988"/>
      <c r="M1632" s="16"/>
    </row>
    <row r="1633" spans="1:13" ht="30" customHeight="1">
      <c r="A1633" s="15"/>
      <c r="B1633" s="386" t="s">
        <v>119</v>
      </c>
      <c r="C1633" s="116"/>
      <c r="D1633" s="116"/>
      <c r="E1633" s="116"/>
      <c r="F1633" s="116"/>
      <c r="G1633" s="119"/>
      <c r="H1633" s="117"/>
      <c r="I1633" s="118"/>
      <c r="J1633" s="990">
        <f>Master!AK49</f>
        <v>9210.4</v>
      </c>
      <c r="K1633" s="992"/>
      <c r="L1633" s="581" t="s">
        <v>737</v>
      </c>
      <c r="M1633" s="16"/>
    </row>
    <row r="1634" spans="1:13" ht="30" customHeight="1">
      <c r="A1634" s="15"/>
      <c r="B1634" s="386" t="s">
        <v>120</v>
      </c>
      <c r="C1634" s="116"/>
      <c r="D1634" s="465" t="s">
        <v>24</v>
      </c>
      <c r="E1634" s="466">
        <f>Master!AM49</f>
        <v>1105</v>
      </c>
      <c r="F1634" s="465" t="s">
        <v>23</v>
      </c>
      <c r="G1634" s="466">
        <f>Master!AL49</f>
        <v>70</v>
      </c>
      <c r="H1634" s="465" t="s">
        <v>25</v>
      </c>
      <c r="I1634" s="466">
        <f>Master!AN49</f>
        <v>0</v>
      </c>
      <c r="J1634" s="465" t="s">
        <v>26</v>
      </c>
      <c r="K1634" s="466">
        <f>Master!AO49</f>
        <v>0</v>
      </c>
      <c r="L1634" s="400">
        <f>Master!AP49</f>
        <v>0</v>
      </c>
      <c r="M1634" s="16"/>
    </row>
    <row r="1635" spans="1:13" ht="30" customHeight="1">
      <c r="A1635" s="15"/>
      <c r="B1635" s="386" t="s">
        <v>121</v>
      </c>
      <c r="C1635" s="116"/>
      <c r="D1635" s="116"/>
      <c r="E1635" s="116"/>
      <c r="F1635" s="116"/>
      <c r="G1635" s="119"/>
      <c r="H1635" s="117"/>
      <c r="I1635" s="118"/>
      <c r="J1635" s="541">
        <f>Master!AR49</f>
        <v>8035.4</v>
      </c>
      <c r="K1635" s="118"/>
      <c r="L1635" s="125"/>
      <c r="M1635" s="16"/>
    </row>
    <row r="1636" spans="1:13">
      <c r="A1636" s="15"/>
      <c r="B1636" s="387" t="s">
        <v>122</v>
      </c>
      <c r="C1636" s="74"/>
      <c r="D1636" s="74"/>
      <c r="E1636" s="74"/>
      <c r="F1636" s="74"/>
      <c r="G1636" s="75"/>
      <c r="H1636" s="76"/>
      <c r="I1636" s="77"/>
      <c r="J1636" s="77"/>
      <c r="K1636" s="77"/>
      <c r="L1636" s="78"/>
      <c r="M1636" s="16"/>
    </row>
    <row r="1637" spans="1:13">
      <c r="A1637" s="15"/>
      <c r="B1637" s="388" t="s">
        <v>123</v>
      </c>
      <c r="C1637" s="79"/>
      <c r="D1637" s="79"/>
      <c r="E1637" s="79"/>
      <c r="F1637" s="79"/>
      <c r="G1637" s="80"/>
      <c r="H1637" s="60"/>
      <c r="I1637" s="19"/>
      <c r="J1637" s="19"/>
      <c r="K1637" s="19"/>
      <c r="L1637" s="81"/>
      <c r="M1637" s="16"/>
    </row>
    <row r="1638" spans="1:13">
      <c r="A1638" s="15"/>
      <c r="B1638" s="15"/>
      <c r="C1638" s="114"/>
      <c r="D1638" s="114"/>
      <c r="E1638" s="114"/>
      <c r="F1638" s="114"/>
      <c r="G1638" s="114"/>
      <c r="H1638" s="114"/>
      <c r="I1638" s="114"/>
      <c r="J1638" s="114"/>
      <c r="K1638" s="114"/>
      <c r="L1638" s="16"/>
      <c r="M1638" s="16"/>
    </row>
    <row r="1639" spans="1:13" ht="15" thickBot="1">
      <c r="A1639" s="27"/>
      <c r="B1639" s="27"/>
      <c r="C1639" s="25"/>
      <c r="D1639" s="25"/>
      <c r="E1639" s="25"/>
      <c r="F1639" s="25"/>
      <c r="G1639" s="25"/>
      <c r="H1639" s="25"/>
      <c r="I1639" s="25"/>
      <c r="J1639" s="25"/>
      <c r="K1639" s="25"/>
      <c r="L1639" s="26"/>
      <c r="M1639" s="26"/>
    </row>
    <row r="1640" spans="1:13">
      <c r="A1640" s="420"/>
      <c r="B1640" s="420"/>
      <c r="C1640" s="420"/>
      <c r="D1640" s="420"/>
      <c r="E1640" s="420"/>
      <c r="F1640" s="420"/>
      <c r="G1640" s="420"/>
      <c r="H1640" s="420"/>
      <c r="I1640" s="420"/>
      <c r="J1640" s="420"/>
      <c r="K1640" s="420"/>
      <c r="L1640" s="420"/>
      <c r="M1640" s="420"/>
    </row>
    <row r="1641" spans="1:13">
      <c r="A1641" s="420"/>
      <c r="B1641" s="420"/>
      <c r="C1641" s="420"/>
      <c r="D1641" s="420"/>
      <c r="E1641" s="420"/>
      <c r="F1641" s="420"/>
      <c r="G1641" s="420"/>
      <c r="H1641" s="420"/>
      <c r="I1641" s="420"/>
      <c r="J1641" s="420"/>
      <c r="K1641" s="420"/>
      <c r="L1641" s="420"/>
      <c r="M1641" s="420"/>
    </row>
    <row r="1642" spans="1:13">
      <c r="A1642" s="420"/>
      <c r="B1642" s="420"/>
      <c r="C1642" s="420"/>
      <c r="D1642" s="420"/>
      <c r="E1642" s="420"/>
      <c r="F1642" s="420"/>
      <c r="G1642" s="420"/>
      <c r="H1642" s="420"/>
      <c r="I1642" s="420"/>
      <c r="J1642" s="420"/>
      <c r="K1642" s="420"/>
      <c r="L1642" s="420"/>
      <c r="M1642" s="420"/>
    </row>
    <row r="1643" spans="1:13">
      <c r="A1643" s="420"/>
      <c r="B1643" s="420"/>
      <c r="C1643" s="420"/>
      <c r="D1643" s="420"/>
      <c r="E1643" s="420"/>
      <c r="F1643" s="420"/>
      <c r="G1643" s="420"/>
      <c r="H1643" s="420"/>
      <c r="I1643" s="420"/>
      <c r="J1643" s="420"/>
      <c r="K1643" s="420"/>
      <c r="L1643" s="420"/>
      <c r="M1643" s="420"/>
    </row>
    <row r="1644" spans="1:13" ht="15" thickBot="1">
      <c r="A1644" s="420"/>
      <c r="B1644" s="420"/>
      <c r="C1644" s="420"/>
      <c r="D1644" s="420"/>
      <c r="E1644" s="420"/>
      <c r="F1644" s="420"/>
      <c r="G1644" s="420"/>
      <c r="H1644" s="420"/>
      <c r="I1644" s="420"/>
      <c r="J1644" s="420"/>
      <c r="K1644" s="420"/>
      <c r="L1644" s="420"/>
      <c r="M1644" s="420"/>
    </row>
    <row r="1645" spans="1:13" ht="32.4">
      <c r="A1645" s="68"/>
      <c r="B1645" s="960" t="s">
        <v>99</v>
      </c>
      <c r="C1645" s="961"/>
      <c r="D1645" s="961"/>
      <c r="E1645" s="961"/>
      <c r="F1645" s="961"/>
      <c r="G1645" s="961"/>
      <c r="H1645" s="961"/>
      <c r="I1645" s="961"/>
      <c r="J1645" s="961"/>
      <c r="K1645" s="961"/>
      <c r="L1645" s="962"/>
      <c r="M1645" s="69"/>
    </row>
    <row r="1646" spans="1:13" ht="23.4">
      <c r="A1646" s="15"/>
      <c r="B1646" s="963" t="s">
        <v>100</v>
      </c>
      <c r="C1646" s="964"/>
      <c r="D1646" s="964"/>
      <c r="E1646" s="964"/>
      <c r="F1646" s="964"/>
      <c r="G1646" s="964"/>
      <c r="H1646" s="964"/>
      <c r="I1646" s="964"/>
      <c r="J1646" s="964"/>
      <c r="K1646" s="964"/>
      <c r="L1646" s="965"/>
      <c r="M1646" s="16"/>
    </row>
    <row r="1647" spans="1:13" ht="15.6">
      <c r="A1647" s="15"/>
      <c r="B1647" s="966" t="s">
        <v>1070</v>
      </c>
      <c r="C1647" s="967"/>
      <c r="D1647" s="967"/>
      <c r="E1647" s="967"/>
      <c r="F1647" s="967"/>
      <c r="G1647" s="967"/>
      <c r="H1647" s="968"/>
      <c r="I1647" s="968"/>
      <c r="J1647" s="968"/>
      <c r="K1647" s="968"/>
      <c r="L1647" s="969"/>
      <c r="M1647" s="16"/>
    </row>
    <row r="1648" spans="1:13">
      <c r="A1648" s="15"/>
      <c r="B1648" s="970" t="s">
        <v>101</v>
      </c>
      <c r="C1648" s="971"/>
      <c r="D1648" s="971"/>
      <c r="E1648" s="971"/>
      <c r="F1648" s="971"/>
      <c r="G1648" s="391"/>
      <c r="H1648" s="974" t="s">
        <v>102</v>
      </c>
      <c r="I1648" s="975"/>
      <c r="J1648" s="975"/>
      <c r="K1648" s="975"/>
      <c r="L1648" s="976"/>
      <c r="M1648" s="16"/>
    </row>
    <row r="1649" spans="1:13">
      <c r="A1649" s="15"/>
      <c r="B1649" s="972"/>
      <c r="C1649" s="973"/>
      <c r="D1649" s="973"/>
      <c r="E1649" s="973"/>
      <c r="F1649" s="973"/>
      <c r="G1649" s="395"/>
      <c r="H1649" s="977"/>
      <c r="I1649" s="978"/>
      <c r="J1649" s="978"/>
      <c r="K1649" s="978"/>
      <c r="L1649" s="979"/>
      <c r="M1649" s="16"/>
    </row>
    <row r="1650" spans="1:13">
      <c r="A1650" s="15"/>
      <c r="B1650" s="382"/>
      <c r="C1650" s="77"/>
      <c r="D1650" s="77"/>
      <c r="E1650" s="77"/>
      <c r="F1650" s="77"/>
      <c r="G1650" s="56"/>
      <c r="H1650" s="76"/>
      <c r="I1650" s="77"/>
      <c r="J1650" s="77"/>
      <c r="K1650" s="77"/>
      <c r="L1650" s="78"/>
      <c r="M1650" s="16"/>
    </row>
    <row r="1651" spans="1:13">
      <c r="A1651" s="15"/>
      <c r="B1651" s="378" t="str">
        <f>Master!F5</f>
        <v>GROTECH LANDSCAPE DEVELOPERS PVT. LTD.</v>
      </c>
      <c r="C1651" s="114"/>
      <c r="D1651" s="114"/>
      <c r="E1651" s="114"/>
      <c r="F1651" s="114"/>
      <c r="G1651" s="379"/>
      <c r="H1651" s="381" t="str">
        <f>Master!AN5</f>
        <v>GROTECH LANDSCAPE DEVELOPERS PVT. LTD.</v>
      </c>
      <c r="I1651" s="114"/>
      <c r="J1651" s="114"/>
      <c r="K1651" s="114"/>
      <c r="L1651" s="16"/>
      <c r="M1651" s="16"/>
    </row>
    <row r="1652" spans="1:13">
      <c r="A1652" s="15"/>
      <c r="B1652" s="15"/>
      <c r="C1652" s="114"/>
      <c r="D1652" s="114"/>
      <c r="E1652" s="114"/>
      <c r="F1652" s="114"/>
      <c r="G1652" s="379"/>
      <c r="H1652" s="380"/>
      <c r="I1652" s="114"/>
      <c r="J1652" s="114"/>
      <c r="K1652" s="114"/>
      <c r="L1652" s="16"/>
      <c r="M1652" s="16"/>
    </row>
    <row r="1653" spans="1:13">
      <c r="A1653" s="15"/>
      <c r="B1653" s="538" t="str">
        <f>Master!F6</f>
        <v>290/E, Khanapur Village, Gandipet Mandal, Ranga Reddy, Hyderabad-500075 T.S.</v>
      </c>
      <c r="C1653" s="114"/>
      <c r="D1653" s="114"/>
      <c r="E1653" s="114"/>
      <c r="F1653" s="114"/>
      <c r="G1653" s="379"/>
      <c r="H1653" s="539" t="str">
        <f>Master!AN6</f>
        <v>290/E, Khanapur Village, Gandipet Mandal, Ranga Reddy, Hyderabad-500075 T.S.</v>
      </c>
      <c r="I1653" s="114"/>
      <c r="J1653" s="114"/>
      <c r="K1653" s="114"/>
      <c r="L1653" s="16"/>
      <c r="M1653" s="16"/>
    </row>
    <row r="1654" spans="1:13">
      <c r="A1654" s="15"/>
      <c r="B1654" s="383"/>
      <c r="C1654" s="19"/>
      <c r="D1654" s="19"/>
      <c r="E1654" s="19"/>
      <c r="F1654" s="19"/>
      <c r="G1654" s="61"/>
      <c r="H1654" s="60"/>
      <c r="I1654" s="19"/>
      <c r="J1654" s="19"/>
      <c r="K1654" s="19"/>
      <c r="L1654" s="81"/>
      <c r="M1654" s="16"/>
    </row>
    <row r="1655" spans="1:13">
      <c r="A1655" s="15"/>
      <c r="B1655" s="389"/>
      <c r="C1655" s="390"/>
      <c r="D1655" s="390"/>
      <c r="E1655" s="390"/>
      <c r="F1655" s="390"/>
      <c r="G1655" s="391"/>
      <c r="H1655" s="396"/>
      <c r="I1655" s="390"/>
      <c r="J1655" s="390" t="s">
        <v>103</v>
      </c>
      <c r="K1655" s="390"/>
      <c r="L1655" s="397"/>
      <c r="M1655" s="16"/>
    </row>
    <row r="1656" spans="1:13">
      <c r="A1656" s="15"/>
      <c r="B1656" s="980" t="s">
        <v>104</v>
      </c>
      <c r="C1656" s="981"/>
      <c r="D1656" s="981"/>
      <c r="E1656" s="981"/>
      <c r="F1656" s="981"/>
      <c r="G1656" s="392"/>
      <c r="H1656" s="982" t="s">
        <v>4</v>
      </c>
      <c r="I1656" s="981"/>
      <c r="J1656" s="981"/>
      <c r="K1656" s="981"/>
      <c r="L1656" s="983"/>
      <c r="M1656" s="16"/>
    </row>
    <row r="1657" spans="1:13">
      <c r="A1657" s="15"/>
      <c r="B1657" s="393"/>
      <c r="C1657" s="394"/>
      <c r="D1657" s="394"/>
      <c r="E1657" s="394"/>
      <c r="F1657" s="394"/>
      <c r="G1657" s="395"/>
      <c r="H1657" s="398"/>
      <c r="I1657" s="394"/>
      <c r="J1657" s="394"/>
      <c r="K1657" s="394"/>
      <c r="L1657" s="399"/>
      <c r="M1657" s="16"/>
    </row>
    <row r="1658" spans="1:13">
      <c r="A1658" s="15"/>
      <c r="B1658" s="382"/>
      <c r="C1658" s="77"/>
      <c r="D1658" s="77"/>
      <c r="E1658" s="77"/>
      <c r="F1658" s="77"/>
      <c r="G1658" s="56"/>
      <c r="H1658" s="74"/>
      <c r="I1658" s="74"/>
      <c r="J1658" s="74"/>
      <c r="K1658" s="74"/>
      <c r="L1658" s="384"/>
      <c r="M1658" s="16"/>
    </row>
    <row r="1659" spans="1:13">
      <c r="A1659" s="15"/>
      <c r="B1659" s="15"/>
      <c r="C1659" s="114"/>
      <c r="D1659" s="114"/>
      <c r="E1659" s="114"/>
      <c r="F1659" s="114"/>
      <c r="G1659" s="379"/>
      <c r="H1659" s="115" t="str">
        <f>Master!AN10</f>
        <v>INDIAN SCHOOL OF BUSINESS</v>
      </c>
      <c r="I1659" s="115"/>
      <c r="J1659" s="115"/>
      <c r="K1659" s="115"/>
      <c r="L1659" s="71"/>
      <c r="M1659" s="16"/>
    </row>
    <row r="1660" spans="1:13">
      <c r="A1660" s="15"/>
      <c r="B1660" s="70" t="str">
        <f>Master!F8</f>
        <v>GARDENING SERVICES&amp;ISB HYDERABAD</v>
      </c>
      <c r="C1660" s="114"/>
      <c r="D1660" s="114"/>
      <c r="E1660" s="114"/>
      <c r="F1660" s="114"/>
      <c r="G1660" s="379"/>
      <c r="H1660" s="115"/>
      <c r="I1660" s="115"/>
      <c r="J1660" s="115"/>
      <c r="K1660" s="115"/>
      <c r="L1660" s="71"/>
      <c r="M1660" s="16"/>
    </row>
    <row r="1661" spans="1:13">
      <c r="A1661" s="15"/>
      <c r="B1661" s="15"/>
      <c r="C1661" s="114"/>
      <c r="D1661" s="114"/>
      <c r="E1661" s="114"/>
      <c r="F1661" s="114"/>
      <c r="G1661" s="379"/>
      <c r="H1661" s="115" t="str">
        <f>Master!AN11</f>
        <v>Opp.Infosys Limited,Gachibowli,Hyderabad</v>
      </c>
      <c r="I1661" s="115"/>
      <c r="J1661" s="115"/>
      <c r="K1661" s="115"/>
      <c r="L1661" s="71"/>
      <c r="M1661" s="16"/>
    </row>
    <row r="1662" spans="1:13">
      <c r="A1662" s="15"/>
      <c r="B1662" s="383"/>
      <c r="C1662" s="19"/>
      <c r="D1662" s="19"/>
      <c r="E1662" s="19"/>
      <c r="F1662" s="19"/>
      <c r="G1662" s="61"/>
      <c r="H1662" s="79"/>
      <c r="I1662" s="79"/>
      <c r="J1662" s="79"/>
      <c r="K1662" s="79"/>
      <c r="L1662" s="385"/>
      <c r="M1662" s="16"/>
    </row>
    <row r="1663" spans="1:13" ht="30" customHeight="1">
      <c r="A1663" s="15"/>
      <c r="B1663" s="948" t="s">
        <v>105</v>
      </c>
      <c r="C1663" s="949"/>
      <c r="D1663" s="949"/>
      <c r="E1663" s="949"/>
      <c r="F1663" s="949"/>
      <c r="G1663" s="949"/>
      <c r="H1663" s="950" t="str">
        <f>Master!D50</f>
        <v>Mangali Lakshmi</v>
      </c>
      <c r="I1663" s="951"/>
      <c r="J1663" s="951"/>
      <c r="K1663" s="951"/>
      <c r="L1663" s="952"/>
      <c r="M1663" s="16"/>
    </row>
    <row r="1664" spans="1:13" ht="30" customHeight="1">
      <c r="A1664" s="15"/>
      <c r="B1664" s="948"/>
      <c r="C1664" s="949"/>
      <c r="D1664" s="949"/>
      <c r="E1664" s="949"/>
      <c r="F1664" s="949"/>
      <c r="G1664" s="949"/>
      <c r="H1664" s="950" t="str">
        <f>Master!K50</f>
        <v>H NO 2-36</v>
      </c>
      <c r="I1664" s="951"/>
      <c r="J1664" s="951"/>
      <c r="K1664" s="951"/>
      <c r="L1664" s="952"/>
      <c r="M1664" s="16"/>
    </row>
    <row r="1665" spans="1:13" ht="30" customHeight="1">
      <c r="A1665" s="15"/>
      <c r="B1665" s="948"/>
      <c r="C1665" s="949"/>
      <c r="D1665" s="949"/>
      <c r="E1665" s="949"/>
      <c r="F1665" s="949"/>
      <c r="G1665" s="949"/>
      <c r="H1665" s="950" t="str">
        <f>Master!L50</f>
        <v>MADHRAM MEDAK</v>
      </c>
      <c r="I1665" s="951"/>
      <c r="J1665" s="951"/>
      <c r="K1665" s="951"/>
      <c r="L1665" s="952"/>
      <c r="M1665" s="16"/>
    </row>
    <row r="1666" spans="1:13" ht="30" customHeight="1">
      <c r="A1666" s="15"/>
      <c r="B1666" s="948"/>
      <c r="C1666" s="949"/>
      <c r="D1666" s="949"/>
      <c r="E1666" s="949"/>
      <c r="F1666" s="949"/>
      <c r="G1666" s="949"/>
      <c r="H1666" s="950" t="str">
        <f>Master!M50</f>
        <v>TS-502319</v>
      </c>
      <c r="I1666" s="951"/>
      <c r="J1666" s="951"/>
      <c r="K1666" s="951"/>
      <c r="L1666" s="952"/>
      <c r="M1666" s="16"/>
    </row>
    <row r="1667" spans="1:13" ht="30" customHeight="1">
      <c r="A1667" s="73"/>
      <c r="B1667" s="948"/>
      <c r="C1667" s="949"/>
      <c r="D1667" s="949"/>
      <c r="E1667" s="949"/>
      <c r="F1667" s="949"/>
      <c r="G1667" s="949"/>
      <c r="H1667" s="989">
        <f>Master!N2240</f>
        <v>0</v>
      </c>
      <c r="I1667" s="990"/>
      <c r="J1667" s="990"/>
      <c r="K1667" s="990"/>
      <c r="L1667" s="991"/>
      <c r="M1667" s="16"/>
    </row>
    <row r="1668" spans="1:13" ht="30" customHeight="1">
      <c r="A1668" s="73"/>
      <c r="B1668" s="984" t="s">
        <v>106</v>
      </c>
      <c r="C1668" s="985"/>
      <c r="D1668" s="985"/>
      <c r="E1668" s="985"/>
      <c r="F1668" s="985"/>
      <c r="G1668" s="985"/>
      <c r="H1668" s="947">
        <f>Master!C50</f>
        <v>40</v>
      </c>
      <c r="I1668" s="945"/>
      <c r="J1668" s="945"/>
      <c r="K1668" s="945"/>
      <c r="L1668" s="946"/>
      <c r="M1668" s="16"/>
    </row>
    <row r="1669" spans="1:13" ht="30" customHeight="1">
      <c r="A1669" s="73"/>
      <c r="B1669" s="943" t="s">
        <v>107</v>
      </c>
      <c r="C1669" s="944"/>
      <c r="D1669" s="944"/>
      <c r="E1669" s="944"/>
      <c r="F1669" s="944"/>
      <c r="G1669" s="944"/>
      <c r="H1669" s="947" t="str">
        <f>Master!J50</f>
        <v>Unskilled Gardner</v>
      </c>
      <c r="I1669" s="945"/>
      <c r="J1669" s="945"/>
      <c r="K1669" s="945"/>
      <c r="L1669" s="946"/>
      <c r="M1669" s="16"/>
    </row>
    <row r="1670" spans="1:13" ht="30" customHeight="1">
      <c r="A1670" s="73"/>
      <c r="B1670" s="943" t="s">
        <v>108</v>
      </c>
      <c r="C1670" s="944"/>
      <c r="D1670" s="944"/>
      <c r="E1670" s="944"/>
      <c r="F1670" s="944"/>
      <c r="G1670" s="944"/>
      <c r="H1670" s="957">
        <f>Master!S50</f>
        <v>43862</v>
      </c>
      <c r="I1670" s="958"/>
      <c r="J1670" s="958"/>
      <c r="K1670" s="958"/>
      <c r="L1670" s="959"/>
      <c r="M1670" s="16"/>
    </row>
    <row r="1671" spans="1:13" ht="30" customHeight="1">
      <c r="A1671" s="73"/>
      <c r="B1671" s="386" t="s">
        <v>109</v>
      </c>
      <c r="C1671" s="116"/>
      <c r="D1671" s="116"/>
      <c r="E1671" s="116"/>
      <c r="F1671" s="116"/>
      <c r="G1671" s="116"/>
      <c r="H1671" s="947">
        <f>Master!Y50</f>
        <v>5216385030</v>
      </c>
      <c r="I1671" s="947"/>
      <c r="J1671" s="947"/>
      <c r="K1671" s="947"/>
      <c r="L1671" s="953"/>
      <c r="M1671" s="16"/>
    </row>
    <row r="1672" spans="1:13" ht="30" customHeight="1">
      <c r="A1672" s="73"/>
      <c r="B1672" s="386" t="s">
        <v>110</v>
      </c>
      <c r="C1672" s="116"/>
      <c r="D1672" s="116"/>
      <c r="E1672" s="116"/>
      <c r="F1672" s="116"/>
      <c r="G1672" s="119"/>
      <c r="H1672" s="947" t="str">
        <f>Master!X50</f>
        <v>101556794449</v>
      </c>
      <c r="I1672" s="947"/>
      <c r="J1672" s="947"/>
      <c r="K1672" s="947"/>
      <c r="L1672" s="953"/>
      <c r="M1672" s="16"/>
    </row>
    <row r="1673" spans="1:13" ht="30" customHeight="1">
      <c r="A1673" s="73"/>
      <c r="B1673" s="954" t="s">
        <v>111</v>
      </c>
      <c r="C1673" s="955"/>
      <c r="D1673" s="955"/>
      <c r="E1673" s="955"/>
      <c r="F1673" s="955"/>
      <c r="G1673" s="955"/>
      <c r="H1673" s="950">
        <f>Master!AC50</f>
        <v>10627</v>
      </c>
      <c r="I1673" s="951"/>
      <c r="J1673" s="951"/>
      <c r="K1673" s="951"/>
      <c r="L1673" s="952"/>
      <c r="M1673" s="16"/>
    </row>
    <row r="1674" spans="1:13" ht="30" customHeight="1">
      <c r="A1674" s="73"/>
      <c r="B1674" s="943" t="s">
        <v>112</v>
      </c>
      <c r="C1674" s="944"/>
      <c r="D1674" s="944"/>
      <c r="E1674" s="944"/>
      <c r="F1674" s="944"/>
      <c r="G1674" s="944"/>
      <c r="H1674" s="956">
        <f>Master!F10</f>
        <v>44652</v>
      </c>
      <c r="I1674" s="945"/>
      <c r="J1674" s="945"/>
      <c r="K1674" s="945"/>
      <c r="L1674" s="946"/>
      <c r="M1674" s="16"/>
    </row>
    <row r="1675" spans="1:13" ht="30" customHeight="1">
      <c r="A1675" s="15"/>
      <c r="B1675" s="943" t="s">
        <v>113</v>
      </c>
      <c r="C1675" s="944"/>
      <c r="D1675" s="944"/>
      <c r="E1675" s="944"/>
      <c r="F1675" s="944"/>
      <c r="G1675" s="944"/>
      <c r="H1675" s="945" t="s">
        <v>114</v>
      </c>
      <c r="I1675" s="945"/>
      <c r="J1675" s="945"/>
      <c r="K1675" s="945"/>
      <c r="L1675" s="946"/>
      <c r="M1675" s="16"/>
    </row>
    <row r="1676" spans="1:13" ht="30" customHeight="1">
      <c r="A1676" s="15"/>
      <c r="B1676" s="386" t="s">
        <v>115</v>
      </c>
      <c r="C1676" s="116"/>
      <c r="D1676" s="116"/>
      <c r="E1676" s="116"/>
      <c r="F1676" s="116"/>
      <c r="G1676" s="119"/>
      <c r="H1676" s="947">
        <f>Master!AA50</f>
        <v>26</v>
      </c>
      <c r="I1676" s="945"/>
      <c r="J1676" s="945"/>
      <c r="K1676" s="945"/>
      <c r="L1676" s="946"/>
      <c r="M1676" s="16"/>
    </row>
    <row r="1677" spans="1:13" ht="30" customHeight="1">
      <c r="A1677" s="15"/>
      <c r="B1677" s="386" t="s">
        <v>116</v>
      </c>
      <c r="C1677" s="116"/>
      <c r="D1677" s="116"/>
      <c r="E1677" s="116"/>
      <c r="F1677" s="116"/>
      <c r="G1677" s="119"/>
      <c r="H1677" s="986" t="s">
        <v>28</v>
      </c>
      <c r="I1677" s="987"/>
      <c r="J1677" s="987"/>
      <c r="K1677" s="987"/>
      <c r="L1677" s="988"/>
      <c r="M1677" s="16"/>
    </row>
    <row r="1678" spans="1:13" ht="30" customHeight="1">
      <c r="A1678" s="15"/>
      <c r="B1678" s="386" t="s">
        <v>117</v>
      </c>
      <c r="C1678" s="116"/>
      <c r="D1678" s="116"/>
      <c r="E1678" s="116"/>
      <c r="F1678" s="116"/>
      <c r="G1678" s="119"/>
      <c r="H1678" s="989">
        <v>0</v>
      </c>
      <c r="I1678" s="990"/>
      <c r="J1678" s="990"/>
      <c r="K1678" s="990"/>
      <c r="L1678" s="991"/>
      <c r="M1678" s="16"/>
    </row>
    <row r="1679" spans="1:13" ht="30" customHeight="1">
      <c r="A1679" s="15"/>
      <c r="B1679" s="386" t="s">
        <v>118</v>
      </c>
      <c r="C1679" s="116"/>
      <c r="D1679" s="116"/>
      <c r="E1679" s="116"/>
      <c r="F1679" s="116"/>
      <c r="G1679" s="119"/>
      <c r="H1679" s="986">
        <v>0</v>
      </c>
      <c r="I1679" s="987"/>
      <c r="J1679" s="987"/>
      <c r="K1679" s="987"/>
      <c r="L1679" s="988"/>
      <c r="M1679" s="16"/>
    </row>
    <row r="1680" spans="1:13" ht="30" customHeight="1">
      <c r="A1680" s="15"/>
      <c r="B1680" s="386" t="s">
        <v>119</v>
      </c>
      <c r="C1680" s="116"/>
      <c r="D1680" s="116"/>
      <c r="E1680" s="116"/>
      <c r="F1680" s="116"/>
      <c r="G1680" s="119"/>
      <c r="H1680" s="117"/>
      <c r="I1680" s="118"/>
      <c r="J1680" s="990">
        <f>Master!AK50</f>
        <v>9210.4</v>
      </c>
      <c r="K1680" s="992"/>
      <c r="L1680" s="581" t="s">
        <v>737</v>
      </c>
      <c r="M1680" s="16"/>
    </row>
    <row r="1681" spans="1:13" ht="30" customHeight="1">
      <c r="A1681" s="15"/>
      <c r="B1681" s="386" t="s">
        <v>120</v>
      </c>
      <c r="C1681" s="116"/>
      <c r="D1681" s="465" t="s">
        <v>24</v>
      </c>
      <c r="E1681" s="466">
        <f>Master!AM50</f>
        <v>1105</v>
      </c>
      <c r="F1681" s="465" t="s">
        <v>23</v>
      </c>
      <c r="G1681" s="466">
        <f>Master!AL50</f>
        <v>70</v>
      </c>
      <c r="H1681" s="465" t="s">
        <v>25</v>
      </c>
      <c r="I1681" s="466">
        <f>Master!AN50</f>
        <v>0</v>
      </c>
      <c r="J1681" s="465" t="s">
        <v>26</v>
      </c>
      <c r="K1681" s="466">
        <f>Master!AO50</f>
        <v>0</v>
      </c>
      <c r="L1681" s="400">
        <f>Master!AP50</f>
        <v>0</v>
      </c>
      <c r="M1681" s="16"/>
    </row>
    <row r="1682" spans="1:13" ht="30" customHeight="1">
      <c r="A1682" s="15"/>
      <c r="B1682" s="386" t="s">
        <v>121</v>
      </c>
      <c r="C1682" s="116"/>
      <c r="D1682" s="116"/>
      <c r="E1682" s="116"/>
      <c r="F1682" s="116"/>
      <c r="G1682" s="119"/>
      <c r="H1682" s="117"/>
      <c r="I1682" s="118"/>
      <c r="J1682" s="541">
        <f>Master!AR50</f>
        <v>8035.4</v>
      </c>
      <c r="K1682" s="118"/>
      <c r="L1682" s="125"/>
      <c r="M1682" s="16"/>
    </row>
    <row r="1683" spans="1:13">
      <c r="A1683" s="15"/>
      <c r="B1683" s="387" t="s">
        <v>122</v>
      </c>
      <c r="C1683" s="74"/>
      <c r="D1683" s="74"/>
      <c r="E1683" s="74"/>
      <c r="F1683" s="74"/>
      <c r="G1683" s="75"/>
      <c r="H1683" s="76"/>
      <c r="I1683" s="77"/>
      <c r="J1683" s="77"/>
      <c r="K1683" s="77"/>
      <c r="L1683" s="78"/>
      <c r="M1683" s="16"/>
    </row>
    <row r="1684" spans="1:13">
      <c r="A1684" s="15"/>
      <c r="B1684" s="388" t="s">
        <v>123</v>
      </c>
      <c r="C1684" s="79"/>
      <c r="D1684" s="79"/>
      <c r="E1684" s="79"/>
      <c r="F1684" s="79"/>
      <c r="G1684" s="80"/>
      <c r="H1684" s="60"/>
      <c r="I1684" s="19"/>
      <c r="J1684" s="19"/>
      <c r="K1684" s="19"/>
      <c r="L1684" s="81"/>
      <c r="M1684" s="16"/>
    </row>
    <row r="1685" spans="1:13">
      <c r="A1685" s="15"/>
      <c r="B1685" s="15"/>
      <c r="C1685" s="114"/>
      <c r="D1685" s="114"/>
      <c r="E1685" s="114"/>
      <c r="F1685" s="114"/>
      <c r="G1685" s="114"/>
      <c r="H1685" s="114"/>
      <c r="I1685" s="114"/>
      <c r="J1685" s="114"/>
      <c r="K1685" s="114"/>
      <c r="L1685" s="16"/>
      <c r="M1685" s="16"/>
    </row>
    <row r="1686" spans="1:13" ht="15" thickBot="1">
      <c r="A1686" s="27"/>
      <c r="B1686" s="27"/>
      <c r="C1686" s="25"/>
      <c r="D1686" s="25"/>
      <c r="E1686" s="25"/>
      <c r="F1686" s="25"/>
      <c r="G1686" s="25"/>
      <c r="H1686" s="25"/>
      <c r="I1686" s="25"/>
      <c r="J1686" s="25"/>
      <c r="K1686" s="25"/>
      <c r="L1686" s="26"/>
      <c r="M1686" s="26"/>
    </row>
    <row r="1687" spans="1:13">
      <c r="A1687" s="420"/>
      <c r="B1687" s="420"/>
      <c r="C1687" s="420"/>
      <c r="D1687" s="420"/>
      <c r="E1687" s="420"/>
      <c r="F1687" s="420"/>
      <c r="G1687" s="420"/>
      <c r="H1687" s="420"/>
      <c r="I1687" s="420"/>
      <c r="J1687" s="420"/>
      <c r="K1687" s="420"/>
      <c r="L1687" s="420"/>
      <c r="M1687" s="420"/>
    </row>
    <row r="1688" spans="1:13">
      <c r="A1688" s="420"/>
      <c r="B1688" s="420"/>
      <c r="C1688" s="420"/>
      <c r="D1688" s="420"/>
      <c r="E1688" s="420"/>
      <c r="F1688" s="420"/>
      <c r="G1688" s="420"/>
      <c r="H1688" s="420"/>
      <c r="I1688" s="420"/>
      <c r="J1688" s="420"/>
      <c r="K1688" s="420"/>
      <c r="L1688" s="420"/>
      <c r="M1688" s="420"/>
    </row>
    <row r="1689" spans="1:13">
      <c r="A1689" s="420"/>
      <c r="B1689" s="420"/>
      <c r="C1689" s="420"/>
      <c r="D1689" s="420"/>
      <c r="E1689" s="420"/>
      <c r="F1689" s="420"/>
      <c r="G1689" s="420"/>
      <c r="H1689" s="420"/>
      <c r="I1689" s="420"/>
      <c r="J1689" s="420"/>
      <c r="K1689" s="420"/>
      <c r="L1689" s="420"/>
      <c r="M1689" s="420"/>
    </row>
    <row r="1690" spans="1:13">
      <c r="A1690" s="420"/>
      <c r="B1690" s="420"/>
      <c r="C1690" s="420"/>
      <c r="D1690" s="420"/>
      <c r="E1690" s="420"/>
      <c r="F1690" s="420"/>
      <c r="G1690" s="420"/>
      <c r="H1690" s="420"/>
      <c r="I1690" s="420"/>
      <c r="J1690" s="420"/>
      <c r="K1690" s="420"/>
      <c r="L1690" s="420"/>
      <c r="M1690" s="420"/>
    </row>
    <row r="1691" spans="1:13" ht="15" thickBot="1">
      <c r="A1691" s="420"/>
      <c r="B1691" s="420"/>
      <c r="C1691" s="420"/>
      <c r="D1691" s="420"/>
      <c r="E1691" s="420"/>
      <c r="F1691" s="420"/>
      <c r="G1691" s="420"/>
      <c r="H1691" s="420"/>
      <c r="I1691" s="420"/>
      <c r="J1691" s="420"/>
      <c r="K1691" s="420"/>
      <c r="L1691" s="420"/>
      <c r="M1691" s="420"/>
    </row>
    <row r="1692" spans="1:13" ht="32.4">
      <c r="A1692" s="68"/>
      <c r="B1692" s="960" t="s">
        <v>99</v>
      </c>
      <c r="C1692" s="961"/>
      <c r="D1692" s="961"/>
      <c r="E1692" s="961"/>
      <c r="F1692" s="961"/>
      <c r="G1692" s="961"/>
      <c r="H1692" s="961"/>
      <c r="I1692" s="961"/>
      <c r="J1692" s="961"/>
      <c r="K1692" s="961"/>
      <c r="L1692" s="962"/>
      <c r="M1692" s="69"/>
    </row>
    <row r="1693" spans="1:13" ht="23.4">
      <c r="A1693" s="15"/>
      <c r="B1693" s="963" t="s">
        <v>100</v>
      </c>
      <c r="C1693" s="964"/>
      <c r="D1693" s="964"/>
      <c r="E1693" s="964"/>
      <c r="F1693" s="964"/>
      <c r="G1693" s="964"/>
      <c r="H1693" s="964"/>
      <c r="I1693" s="964"/>
      <c r="J1693" s="964"/>
      <c r="K1693" s="964"/>
      <c r="L1693" s="965"/>
      <c r="M1693" s="16"/>
    </row>
    <row r="1694" spans="1:13" ht="15.6">
      <c r="A1694" s="15"/>
      <c r="B1694" s="966" t="s">
        <v>1070</v>
      </c>
      <c r="C1694" s="967"/>
      <c r="D1694" s="967"/>
      <c r="E1694" s="967"/>
      <c r="F1694" s="967"/>
      <c r="G1694" s="967"/>
      <c r="H1694" s="968"/>
      <c r="I1694" s="968"/>
      <c r="J1694" s="968"/>
      <c r="K1694" s="968"/>
      <c r="L1694" s="969"/>
      <c r="M1694" s="16"/>
    </row>
    <row r="1695" spans="1:13">
      <c r="A1695" s="15"/>
      <c r="B1695" s="970" t="s">
        <v>101</v>
      </c>
      <c r="C1695" s="971"/>
      <c r="D1695" s="971"/>
      <c r="E1695" s="971"/>
      <c r="F1695" s="971"/>
      <c r="G1695" s="391"/>
      <c r="H1695" s="974" t="s">
        <v>102</v>
      </c>
      <c r="I1695" s="975"/>
      <c r="J1695" s="975"/>
      <c r="K1695" s="975"/>
      <c r="L1695" s="976"/>
      <c r="M1695" s="16"/>
    </row>
    <row r="1696" spans="1:13">
      <c r="A1696" s="15"/>
      <c r="B1696" s="972"/>
      <c r="C1696" s="973"/>
      <c r="D1696" s="973"/>
      <c r="E1696" s="973"/>
      <c r="F1696" s="973"/>
      <c r="G1696" s="395"/>
      <c r="H1696" s="977"/>
      <c r="I1696" s="978"/>
      <c r="J1696" s="978"/>
      <c r="K1696" s="978"/>
      <c r="L1696" s="979"/>
      <c r="M1696" s="16"/>
    </row>
    <row r="1697" spans="1:13">
      <c r="A1697" s="15"/>
      <c r="B1697" s="382"/>
      <c r="C1697" s="77"/>
      <c r="D1697" s="77"/>
      <c r="E1697" s="77"/>
      <c r="F1697" s="77"/>
      <c r="G1697" s="56"/>
      <c r="H1697" s="76"/>
      <c r="I1697" s="77"/>
      <c r="J1697" s="77"/>
      <c r="K1697" s="77"/>
      <c r="L1697" s="78"/>
      <c r="M1697" s="16"/>
    </row>
    <row r="1698" spans="1:13">
      <c r="A1698" s="15"/>
      <c r="B1698" s="378" t="str">
        <f>Master!F5</f>
        <v>GROTECH LANDSCAPE DEVELOPERS PVT. LTD.</v>
      </c>
      <c r="C1698" s="114"/>
      <c r="D1698" s="114"/>
      <c r="E1698" s="114"/>
      <c r="F1698" s="114"/>
      <c r="G1698" s="379"/>
      <c r="H1698" s="381" t="str">
        <f>Master!AN5</f>
        <v>GROTECH LANDSCAPE DEVELOPERS PVT. LTD.</v>
      </c>
      <c r="I1698" s="114"/>
      <c r="J1698" s="114"/>
      <c r="K1698" s="114"/>
      <c r="L1698" s="16"/>
      <c r="M1698" s="16"/>
    </row>
    <row r="1699" spans="1:13">
      <c r="A1699" s="15"/>
      <c r="B1699" s="15"/>
      <c r="C1699" s="114"/>
      <c r="D1699" s="114"/>
      <c r="E1699" s="114"/>
      <c r="F1699" s="114"/>
      <c r="G1699" s="379"/>
      <c r="H1699" s="380"/>
      <c r="I1699" s="114"/>
      <c r="J1699" s="114"/>
      <c r="K1699" s="114"/>
      <c r="L1699" s="16"/>
      <c r="M1699" s="16"/>
    </row>
    <row r="1700" spans="1:13">
      <c r="A1700" s="15"/>
      <c r="B1700" s="538" t="str">
        <f>Master!F6</f>
        <v>290/E, Khanapur Village, Gandipet Mandal, Ranga Reddy, Hyderabad-500075 T.S.</v>
      </c>
      <c r="C1700" s="114"/>
      <c r="D1700" s="114"/>
      <c r="E1700" s="114"/>
      <c r="F1700" s="114"/>
      <c r="G1700" s="379"/>
      <c r="H1700" s="539" t="str">
        <f>Master!AN6</f>
        <v>290/E, Khanapur Village, Gandipet Mandal, Ranga Reddy, Hyderabad-500075 T.S.</v>
      </c>
      <c r="I1700" s="114"/>
      <c r="J1700" s="114"/>
      <c r="K1700" s="114"/>
      <c r="L1700" s="16"/>
      <c r="M1700" s="16"/>
    </row>
    <row r="1701" spans="1:13">
      <c r="A1701" s="15"/>
      <c r="B1701" s="383"/>
      <c r="C1701" s="19"/>
      <c r="D1701" s="19"/>
      <c r="E1701" s="19"/>
      <c r="F1701" s="19"/>
      <c r="G1701" s="61"/>
      <c r="H1701" s="60"/>
      <c r="I1701" s="19"/>
      <c r="J1701" s="19"/>
      <c r="K1701" s="19"/>
      <c r="L1701" s="81"/>
      <c r="M1701" s="16"/>
    </row>
    <row r="1702" spans="1:13">
      <c r="A1702" s="15"/>
      <c r="B1702" s="389"/>
      <c r="C1702" s="390"/>
      <c r="D1702" s="390"/>
      <c r="E1702" s="390"/>
      <c r="F1702" s="390"/>
      <c r="G1702" s="391"/>
      <c r="H1702" s="396"/>
      <c r="I1702" s="390"/>
      <c r="J1702" s="390" t="s">
        <v>103</v>
      </c>
      <c r="K1702" s="390"/>
      <c r="L1702" s="397"/>
      <c r="M1702" s="16"/>
    </row>
    <row r="1703" spans="1:13">
      <c r="A1703" s="15"/>
      <c r="B1703" s="980" t="s">
        <v>104</v>
      </c>
      <c r="C1703" s="981"/>
      <c r="D1703" s="981"/>
      <c r="E1703" s="981"/>
      <c r="F1703" s="981"/>
      <c r="G1703" s="392"/>
      <c r="H1703" s="982" t="s">
        <v>4</v>
      </c>
      <c r="I1703" s="981"/>
      <c r="J1703" s="981"/>
      <c r="K1703" s="981"/>
      <c r="L1703" s="983"/>
      <c r="M1703" s="16"/>
    </row>
    <row r="1704" spans="1:13">
      <c r="A1704" s="15"/>
      <c r="B1704" s="393"/>
      <c r="C1704" s="394"/>
      <c r="D1704" s="394"/>
      <c r="E1704" s="394"/>
      <c r="F1704" s="394"/>
      <c r="G1704" s="395"/>
      <c r="H1704" s="398"/>
      <c r="I1704" s="394"/>
      <c r="J1704" s="394"/>
      <c r="K1704" s="394"/>
      <c r="L1704" s="399"/>
      <c r="M1704" s="16"/>
    </row>
    <row r="1705" spans="1:13">
      <c r="A1705" s="15"/>
      <c r="B1705" s="382"/>
      <c r="C1705" s="77"/>
      <c r="D1705" s="77"/>
      <c r="E1705" s="77"/>
      <c r="F1705" s="77"/>
      <c r="G1705" s="56"/>
      <c r="H1705" s="74"/>
      <c r="I1705" s="74"/>
      <c r="J1705" s="74"/>
      <c r="K1705" s="74"/>
      <c r="L1705" s="384"/>
      <c r="M1705" s="16"/>
    </row>
    <row r="1706" spans="1:13">
      <c r="A1706" s="15"/>
      <c r="B1706" s="15"/>
      <c r="C1706" s="114"/>
      <c r="D1706" s="114"/>
      <c r="E1706" s="114"/>
      <c r="F1706" s="114"/>
      <c r="G1706" s="379"/>
      <c r="H1706" s="115" t="str">
        <f>Master!AN10</f>
        <v>INDIAN SCHOOL OF BUSINESS</v>
      </c>
      <c r="I1706" s="115"/>
      <c r="J1706" s="115"/>
      <c r="K1706" s="115"/>
      <c r="L1706" s="71"/>
      <c r="M1706" s="16"/>
    </row>
    <row r="1707" spans="1:13">
      <c r="A1707" s="15"/>
      <c r="B1707" s="70" t="str">
        <f>Master!F8</f>
        <v>GARDENING SERVICES&amp;ISB HYDERABAD</v>
      </c>
      <c r="C1707" s="114"/>
      <c r="D1707" s="114"/>
      <c r="E1707" s="114"/>
      <c r="F1707" s="114"/>
      <c r="G1707" s="379"/>
      <c r="H1707" s="115"/>
      <c r="I1707" s="115"/>
      <c r="J1707" s="115"/>
      <c r="K1707" s="115"/>
      <c r="L1707" s="71"/>
      <c r="M1707" s="16"/>
    </row>
    <row r="1708" spans="1:13">
      <c r="A1708" s="15"/>
      <c r="B1708" s="15"/>
      <c r="C1708" s="114"/>
      <c r="D1708" s="114"/>
      <c r="E1708" s="114"/>
      <c r="F1708" s="114"/>
      <c r="G1708" s="379"/>
      <c r="H1708" s="115" t="str">
        <f>Master!AN11</f>
        <v>Opp.Infosys Limited,Gachibowli,Hyderabad</v>
      </c>
      <c r="I1708" s="115"/>
      <c r="J1708" s="115"/>
      <c r="K1708" s="115"/>
      <c r="L1708" s="71"/>
      <c r="M1708" s="16"/>
    </row>
    <row r="1709" spans="1:13">
      <c r="A1709" s="15"/>
      <c r="B1709" s="383"/>
      <c r="C1709" s="19"/>
      <c r="D1709" s="19"/>
      <c r="E1709" s="19"/>
      <c r="F1709" s="19"/>
      <c r="G1709" s="61"/>
      <c r="H1709" s="79"/>
      <c r="I1709" s="79"/>
      <c r="J1709" s="79"/>
      <c r="K1709" s="79"/>
      <c r="L1709" s="385"/>
      <c r="M1709" s="16"/>
    </row>
    <row r="1710" spans="1:13" ht="30" customHeight="1">
      <c r="A1710" s="15"/>
      <c r="B1710" s="948" t="s">
        <v>105</v>
      </c>
      <c r="C1710" s="949"/>
      <c r="D1710" s="949"/>
      <c r="E1710" s="949"/>
      <c r="F1710" s="949"/>
      <c r="G1710" s="949"/>
      <c r="H1710" s="950" t="str">
        <f>Master!D51</f>
        <v>Ningolla santhosha</v>
      </c>
      <c r="I1710" s="951"/>
      <c r="J1710" s="951"/>
      <c r="K1710" s="951"/>
      <c r="L1710" s="952"/>
      <c r="M1710" s="16"/>
    </row>
    <row r="1711" spans="1:13" ht="30" customHeight="1">
      <c r="A1711" s="15"/>
      <c r="B1711" s="948"/>
      <c r="C1711" s="949"/>
      <c r="D1711" s="949"/>
      <c r="E1711" s="949"/>
      <c r="F1711" s="949"/>
      <c r="G1711" s="949"/>
      <c r="H1711" s="950" t="str">
        <f>Master!K51</f>
        <v>H NO 3-27/1</v>
      </c>
      <c r="I1711" s="951"/>
      <c r="J1711" s="951"/>
      <c r="K1711" s="951"/>
      <c r="L1711" s="952"/>
      <c r="M1711" s="16"/>
    </row>
    <row r="1712" spans="1:13" ht="30" customHeight="1">
      <c r="A1712" s="15"/>
      <c r="B1712" s="948"/>
      <c r="C1712" s="949"/>
      <c r="D1712" s="949"/>
      <c r="E1712" s="949"/>
      <c r="F1712" s="949"/>
      <c r="G1712" s="949"/>
      <c r="H1712" s="950" t="str">
        <f>Master!L51</f>
        <v xml:space="preserve"> SULTANPUR</v>
      </c>
      <c r="I1712" s="951"/>
      <c r="J1712" s="951"/>
      <c r="K1712" s="951"/>
      <c r="L1712" s="952"/>
      <c r="M1712" s="16"/>
    </row>
    <row r="1713" spans="1:13" ht="30" customHeight="1">
      <c r="A1713" s="15"/>
      <c r="B1713" s="948"/>
      <c r="C1713" s="949"/>
      <c r="D1713" s="949"/>
      <c r="E1713" s="949"/>
      <c r="F1713" s="949"/>
      <c r="G1713" s="949"/>
      <c r="H1713" s="950" t="str">
        <f>Master!M51</f>
        <v>TS-502319</v>
      </c>
      <c r="I1713" s="951"/>
      <c r="J1713" s="951"/>
      <c r="K1713" s="951"/>
      <c r="L1713" s="952"/>
      <c r="M1713" s="16"/>
    </row>
    <row r="1714" spans="1:13" ht="30" customHeight="1">
      <c r="A1714" s="73"/>
      <c r="B1714" s="948"/>
      <c r="C1714" s="949"/>
      <c r="D1714" s="949"/>
      <c r="E1714" s="949"/>
      <c r="F1714" s="949"/>
      <c r="G1714" s="949"/>
      <c r="H1714" s="989">
        <f>Master!N2286</f>
        <v>0</v>
      </c>
      <c r="I1714" s="990"/>
      <c r="J1714" s="990"/>
      <c r="K1714" s="990"/>
      <c r="L1714" s="991"/>
      <c r="M1714" s="16"/>
    </row>
    <row r="1715" spans="1:13" ht="30" customHeight="1">
      <c r="A1715" s="73"/>
      <c r="B1715" s="984" t="s">
        <v>106</v>
      </c>
      <c r="C1715" s="985"/>
      <c r="D1715" s="985"/>
      <c r="E1715" s="985"/>
      <c r="F1715" s="985"/>
      <c r="G1715" s="985"/>
      <c r="H1715" s="947">
        <f>Master!C51</f>
        <v>41</v>
      </c>
      <c r="I1715" s="945"/>
      <c r="J1715" s="945"/>
      <c r="K1715" s="945"/>
      <c r="L1715" s="946"/>
      <c r="M1715" s="16"/>
    </row>
    <row r="1716" spans="1:13" ht="30" customHeight="1">
      <c r="A1716" s="73"/>
      <c r="B1716" s="943" t="s">
        <v>107</v>
      </c>
      <c r="C1716" s="944"/>
      <c r="D1716" s="944"/>
      <c r="E1716" s="944"/>
      <c r="F1716" s="944"/>
      <c r="G1716" s="944"/>
      <c r="H1716" s="947" t="str">
        <f>Master!J51</f>
        <v>Unskilled Gardner</v>
      </c>
      <c r="I1716" s="945"/>
      <c r="J1716" s="945"/>
      <c r="K1716" s="945"/>
      <c r="L1716" s="946"/>
      <c r="M1716" s="16"/>
    </row>
    <row r="1717" spans="1:13" ht="30" customHeight="1">
      <c r="A1717" s="73"/>
      <c r="B1717" s="943" t="s">
        <v>108</v>
      </c>
      <c r="C1717" s="944"/>
      <c r="D1717" s="944"/>
      <c r="E1717" s="944"/>
      <c r="F1717" s="944"/>
      <c r="G1717" s="944"/>
      <c r="H1717" s="957">
        <f>Master!S51</f>
        <v>43862</v>
      </c>
      <c r="I1717" s="958"/>
      <c r="J1717" s="958"/>
      <c r="K1717" s="958"/>
      <c r="L1717" s="959"/>
      <c r="M1717" s="16"/>
    </row>
    <row r="1718" spans="1:13" ht="30" customHeight="1">
      <c r="A1718" s="73"/>
      <c r="B1718" s="386" t="s">
        <v>109</v>
      </c>
      <c r="C1718" s="116"/>
      <c r="D1718" s="116"/>
      <c r="E1718" s="116"/>
      <c r="F1718" s="116"/>
      <c r="G1718" s="116"/>
      <c r="H1718" s="947">
        <f>Master!Y51</f>
        <v>5216385073</v>
      </c>
      <c r="I1718" s="947"/>
      <c r="J1718" s="947"/>
      <c r="K1718" s="947"/>
      <c r="L1718" s="953"/>
      <c r="M1718" s="16"/>
    </row>
    <row r="1719" spans="1:13" ht="30" customHeight="1">
      <c r="A1719" s="73"/>
      <c r="B1719" s="386" t="s">
        <v>110</v>
      </c>
      <c r="C1719" s="116"/>
      <c r="D1719" s="116"/>
      <c r="E1719" s="116"/>
      <c r="F1719" s="116"/>
      <c r="G1719" s="119"/>
      <c r="H1719" s="947" t="str">
        <f>Master!X51</f>
        <v>101344596547</v>
      </c>
      <c r="I1719" s="947"/>
      <c r="J1719" s="947"/>
      <c r="K1719" s="947"/>
      <c r="L1719" s="953"/>
      <c r="M1719" s="16"/>
    </row>
    <row r="1720" spans="1:13" ht="30" customHeight="1">
      <c r="A1720" s="73"/>
      <c r="B1720" s="954" t="s">
        <v>111</v>
      </c>
      <c r="C1720" s="955"/>
      <c r="D1720" s="955"/>
      <c r="E1720" s="955"/>
      <c r="F1720" s="955"/>
      <c r="G1720" s="955"/>
      <c r="H1720" s="950">
        <f>Master!AC51</f>
        <v>10627</v>
      </c>
      <c r="I1720" s="951"/>
      <c r="J1720" s="951"/>
      <c r="K1720" s="951"/>
      <c r="L1720" s="952"/>
      <c r="M1720" s="16"/>
    </row>
    <row r="1721" spans="1:13" ht="30" customHeight="1">
      <c r="A1721" s="73"/>
      <c r="B1721" s="943" t="s">
        <v>112</v>
      </c>
      <c r="C1721" s="944"/>
      <c r="D1721" s="944"/>
      <c r="E1721" s="944"/>
      <c r="F1721" s="944"/>
      <c r="G1721" s="944"/>
      <c r="H1721" s="956">
        <f>Master!F10</f>
        <v>44652</v>
      </c>
      <c r="I1721" s="945"/>
      <c r="J1721" s="945"/>
      <c r="K1721" s="945"/>
      <c r="L1721" s="946"/>
      <c r="M1721" s="16"/>
    </row>
    <row r="1722" spans="1:13" ht="30" customHeight="1">
      <c r="A1722" s="15"/>
      <c r="B1722" s="943" t="s">
        <v>113</v>
      </c>
      <c r="C1722" s="944"/>
      <c r="D1722" s="944"/>
      <c r="E1722" s="944"/>
      <c r="F1722" s="944"/>
      <c r="G1722" s="944"/>
      <c r="H1722" s="945" t="s">
        <v>114</v>
      </c>
      <c r="I1722" s="945"/>
      <c r="J1722" s="945"/>
      <c r="K1722" s="945"/>
      <c r="L1722" s="946"/>
      <c r="M1722" s="16"/>
    </row>
    <row r="1723" spans="1:13" ht="30" customHeight="1">
      <c r="A1723" s="15"/>
      <c r="B1723" s="386" t="s">
        <v>115</v>
      </c>
      <c r="C1723" s="116"/>
      <c r="D1723" s="116"/>
      <c r="E1723" s="116"/>
      <c r="F1723" s="116"/>
      <c r="G1723" s="119"/>
      <c r="H1723" s="947">
        <f>Master!AA51</f>
        <v>26</v>
      </c>
      <c r="I1723" s="945"/>
      <c r="J1723" s="945"/>
      <c r="K1723" s="945"/>
      <c r="L1723" s="946"/>
      <c r="M1723" s="16"/>
    </row>
    <row r="1724" spans="1:13" ht="30" customHeight="1">
      <c r="A1724" s="15"/>
      <c r="B1724" s="386" t="s">
        <v>116</v>
      </c>
      <c r="C1724" s="116"/>
      <c r="D1724" s="116"/>
      <c r="E1724" s="116"/>
      <c r="F1724" s="116"/>
      <c r="G1724" s="119"/>
      <c r="H1724" s="986" t="s">
        <v>28</v>
      </c>
      <c r="I1724" s="987"/>
      <c r="J1724" s="987"/>
      <c r="K1724" s="987"/>
      <c r="L1724" s="988"/>
      <c r="M1724" s="16"/>
    </row>
    <row r="1725" spans="1:13" ht="30" customHeight="1">
      <c r="A1725" s="15"/>
      <c r="B1725" s="386" t="s">
        <v>117</v>
      </c>
      <c r="C1725" s="116"/>
      <c r="D1725" s="116"/>
      <c r="E1725" s="116"/>
      <c r="F1725" s="116"/>
      <c r="G1725" s="119"/>
      <c r="H1725" s="989">
        <v>0</v>
      </c>
      <c r="I1725" s="990"/>
      <c r="J1725" s="990"/>
      <c r="K1725" s="990"/>
      <c r="L1725" s="991"/>
      <c r="M1725" s="16"/>
    </row>
    <row r="1726" spans="1:13" ht="30" customHeight="1">
      <c r="A1726" s="15"/>
      <c r="B1726" s="386" t="s">
        <v>118</v>
      </c>
      <c r="C1726" s="116"/>
      <c r="D1726" s="116"/>
      <c r="E1726" s="116"/>
      <c r="F1726" s="116"/>
      <c r="G1726" s="119"/>
      <c r="H1726" s="986">
        <v>0</v>
      </c>
      <c r="I1726" s="987"/>
      <c r="J1726" s="987"/>
      <c r="K1726" s="987"/>
      <c r="L1726" s="988"/>
      <c r="M1726" s="16"/>
    </row>
    <row r="1727" spans="1:13" ht="30" customHeight="1">
      <c r="A1727" s="15"/>
      <c r="B1727" s="386" t="s">
        <v>119</v>
      </c>
      <c r="C1727" s="116"/>
      <c r="D1727" s="116"/>
      <c r="E1727" s="116"/>
      <c r="F1727" s="116"/>
      <c r="G1727" s="119"/>
      <c r="H1727" s="117"/>
      <c r="I1727" s="118"/>
      <c r="J1727" s="990">
        <f>Master!AK51</f>
        <v>9210.4</v>
      </c>
      <c r="K1727" s="992"/>
      <c r="L1727" s="581" t="s">
        <v>737</v>
      </c>
      <c r="M1727" s="16"/>
    </row>
    <row r="1728" spans="1:13" ht="30" customHeight="1">
      <c r="A1728" s="15"/>
      <c r="B1728" s="386" t="s">
        <v>120</v>
      </c>
      <c r="C1728" s="116"/>
      <c r="D1728" s="465" t="s">
        <v>24</v>
      </c>
      <c r="E1728" s="466">
        <f>Master!AM51</f>
        <v>1105</v>
      </c>
      <c r="F1728" s="465" t="s">
        <v>23</v>
      </c>
      <c r="G1728" s="466">
        <f>Master!AL51</f>
        <v>70</v>
      </c>
      <c r="H1728" s="465" t="s">
        <v>25</v>
      </c>
      <c r="I1728" s="466">
        <f>Master!AN51</f>
        <v>0</v>
      </c>
      <c r="J1728" s="465" t="s">
        <v>26</v>
      </c>
      <c r="K1728" s="466">
        <f>Master!AO51</f>
        <v>0</v>
      </c>
      <c r="L1728" s="400">
        <f>Master!AP51</f>
        <v>0</v>
      </c>
      <c r="M1728" s="16"/>
    </row>
    <row r="1729" spans="1:13" ht="30" customHeight="1">
      <c r="A1729" s="15"/>
      <c r="B1729" s="386" t="s">
        <v>121</v>
      </c>
      <c r="C1729" s="116"/>
      <c r="D1729" s="116"/>
      <c r="E1729" s="116"/>
      <c r="F1729" s="116"/>
      <c r="G1729" s="119"/>
      <c r="H1729" s="117"/>
      <c r="I1729" s="118"/>
      <c r="J1729" s="541">
        <f>Master!AR51</f>
        <v>8035.4</v>
      </c>
      <c r="K1729" s="118"/>
      <c r="L1729" s="125"/>
      <c r="M1729" s="16"/>
    </row>
    <row r="1730" spans="1:13">
      <c r="A1730" s="15"/>
      <c r="B1730" s="387" t="s">
        <v>122</v>
      </c>
      <c r="C1730" s="74"/>
      <c r="D1730" s="74"/>
      <c r="E1730" s="74"/>
      <c r="F1730" s="74"/>
      <c r="G1730" s="75"/>
      <c r="H1730" s="76"/>
      <c r="I1730" s="77"/>
      <c r="J1730" s="77"/>
      <c r="K1730" s="77"/>
      <c r="L1730" s="78"/>
      <c r="M1730" s="16"/>
    </row>
    <row r="1731" spans="1:13">
      <c r="A1731" s="15"/>
      <c r="B1731" s="388" t="s">
        <v>123</v>
      </c>
      <c r="C1731" s="79"/>
      <c r="D1731" s="79"/>
      <c r="E1731" s="79"/>
      <c r="F1731" s="79"/>
      <c r="G1731" s="80"/>
      <c r="H1731" s="60"/>
      <c r="I1731" s="19"/>
      <c r="J1731" s="19"/>
      <c r="K1731" s="19"/>
      <c r="L1731" s="81"/>
      <c r="M1731" s="16"/>
    </row>
    <row r="1732" spans="1:13">
      <c r="A1732" s="15"/>
      <c r="B1732" s="15"/>
      <c r="C1732" s="114"/>
      <c r="D1732" s="114"/>
      <c r="E1732" s="114"/>
      <c r="F1732" s="114"/>
      <c r="G1732" s="114"/>
      <c r="H1732" s="114"/>
      <c r="I1732" s="114"/>
      <c r="J1732" s="114"/>
      <c r="K1732" s="114"/>
      <c r="L1732" s="16"/>
      <c r="M1732" s="16"/>
    </row>
    <row r="1733" spans="1:13" ht="15" thickBot="1">
      <c r="A1733" s="27"/>
      <c r="B1733" s="27"/>
      <c r="C1733" s="25"/>
      <c r="D1733" s="25"/>
      <c r="E1733" s="25"/>
      <c r="F1733" s="25"/>
      <c r="G1733" s="25"/>
      <c r="H1733" s="25"/>
      <c r="I1733" s="25"/>
      <c r="J1733" s="25"/>
      <c r="K1733" s="25"/>
      <c r="L1733" s="26"/>
      <c r="M1733" s="26"/>
    </row>
    <row r="1734" spans="1:13">
      <c r="A1734" s="420"/>
      <c r="B1734" s="420"/>
      <c r="C1734" s="420"/>
      <c r="D1734" s="420"/>
      <c r="E1734" s="420"/>
      <c r="F1734" s="420"/>
      <c r="G1734" s="420"/>
      <c r="H1734" s="420"/>
      <c r="I1734" s="420"/>
      <c r="J1734" s="420"/>
      <c r="K1734" s="420"/>
      <c r="L1734" s="420"/>
      <c r="M1734" s="420"/>
    </row>
    <row r="1735" spans="1:13">
      <c r="A1735" s="420"/>
      <c r="B1735" s="420"/>
      <c r="C1735" s="420"/>
      <c r="D1735" s="420"/>
      <c r="E1735" s="420"/>
      <c r="F1735" s="420"/>
      <c r="G1735" s="420"/>
      <c r="H1735" s="420"/>
      <c r="I1735" s="420"/>
      <c r="J1735" s="420"/>
      <c r="K1735" s="420"/>
      <c r="L1735" s="420"/>
      <c r="M1735" s="420"/>
    </row>
    <row r="1736" spans="1:13">
      <c r="A1736" s="420"/>
      <c r="B1736" s="420"/>
      <c r="C1736" s="420"/>
      <c r="D1736" s="420"/>
      <c r="E1736" s="420"/>
      <c r="F1736" s="420"/>
      <c r="G1736" s="420"/>
      <c r="H1736" s="420"/>
      <c r="I1736" s="420"/>
      <c r="J1736" s="420"/>
      <c r="K1736" s="420"/>
      <c r="L1736" s="420"/>
      <c r="M1736" s="420"/>
    </row>
    <row r="1737" spans="1:13">
      <c r="A1737" s="420"/>
      <c r="B1737" s="420"/>
      <c r="C1737" s="420"/>
      <c r="D1737" s="420"/>
      <c r="E1737" s="420"/>
      <c r="F1737" s="420"/>
      <c r="G1737" s="420"/>
      <c r="H1737" s="420"/>
      <c r="I1737" s="420"/>
      <c r="J1737" s="420"/>
      <c r="K1737" s="420"/>
      <c r="L1737" s="420"/>
      <c r="M1737" s="420"/>
    </row>
    <row r="1738" spans="1:13" ht="15" thickBot="1">
      <c r="A1738" s="420"/>
      <c r="B1738" s="420"/>
      <c r="C1738" s="420"/>
      <c r="D1738" s="420"/>
      <c r="E1738" s="420"/>
      <c r="F1738" s="420"/>
      <c r="G1738" s="420"/>
      <c r="H1738" s="420"/>
      <c r="I1738" s="420"/>
      <c r="J1738" s="420"/>
      <c r="K1738" s="420"/>
      <c r="L1738" s="420"/>
      <c r="M1738" s="420"/>
    </row>
    <row r="1739" spans="1:13" ht="32.4">
      <c r="A1739" s="68"/>
      <c r="B1739" s="960" t="s">
        <v>99</v>
      </c>
      <c r="C1739" s="961"/>
      <c r="D1739" s="961"/>
      <c r="E1739" s="961"/>
      <c r="F1739" s="961"/>
      <c r="G1739" s="961"/>
      <c r="H1739" s="961"/>
      <c r="I1739" s="961"/>
      <c r="J1739" s="961"/>
      <c r="K1739" s="961"/>
      <c r="L1739" s="962"/>
      <c r="M1739" s="69"/>
    </row>
    <row r="1740" spans="1:13" ht="23.4">
      <c r="A1740" s="15"/>
      <c r="B1740" s="963" t="s">
        <v>100</v>
      </c>
      <c r="C1740" s="964"/>
      <c r="D1740" s="964"/>
      <c r="E1740" s="964"/>
      <c r="F1740" s="964"/>
      <c r="G1740" s="964"/>
      <c r="H1740" s="964"/>
      <c r="I1740" s="964"/>
      <c r="J1740" s="964"/>
      <c r="K1740" s="964"/>
      <c r="L1740" s="965"/>
      <c r="M1740" s="16"/>
    </row>
    <row r="1741" spans="1:13" ht="15.6">
      <c r="A1741" s="15"/>
      <c r="B1741" s="966" t="s">
        <v>1070</v>
      </c>
      <c r="C1741" s="967"/>
      <c r="D1741" s="967"/>
      <c r="E1741" s="967"/>
      <c r="F1741" s="967"/>
      <c r="G1741" s="967"/>
      <c r="H1741" s="968"/>
      <c r="I1741" s="968"/>
      <c r="J1741" s="968"/>
      <c r="K1741" s="968"/>
      <c r="L1741" s="969"/>
      <c r="M1741" s="16"/>
    </row>
    <row r="1742" spans="1:13">
      <c r="A1742" s="15"/>
      <c r="B1742" s="970" t="s">
        <v>101</v>
      </c>
      <c r="C1742" s="971"/>
      <c r="D1742" s="971"/>
      <c r="E1742" s="971"/>
      <c r="F1742" s="971"/>
      <c r="G1742" s="391"/>
      <c r="H1742" s="974" t="s">
        <v>102</v>
      </c>
      <c r="I1742" s="975"/>
      <c r="J1742" s="975"/>
      <c r="K1742" s="975"/>
      <c r="L1742" s="976"/>
      <c r="M1742" s="16"/>
    </row>
    <row r="1743" spans="1:13">
      <c r="A1743" s="15"/>
      <c r="B1743" s="972"/>
      <c r="C1743" s="973"/>
      <c r="D1743" s="973"/>
      <c r="E1743" s="973"/>
      <c r="F1743" s="973"/>
      <c r="G1743" s="395"/>
      <c r="H1743" s="977"/>
      <c r="I1743" s="978"/>
      <c r="J1743" s="978"/>
      <c r="K1743" s="978"/>
      <c r="L1743" s="979"/>
      <c r="M1743" s="16"/>
    </row>
    <row r="1744" spans="1:13">
      <c r="A1744" s="15"/>
      <c r="B1744" s="382"/>
      <c r="C1744" s="77"/>
      <c r="D1744" s="77"/>
      <c r="E1744" s="77"/>
      <c r="F1744" s="77"/>
      <c r="G1744" s="56"/>
      <c r="H1744" s="76"/>
      <c r="I1744" s="77"/>
      <c r="J1744" s="77"/>
      <c r="K1744" s="77"/>
      <c r="L1744" s="78"/>
      <c r="M1744" s="16"/>
    </row>
    <row r="1745" spans="1:13">
      <c r="A1745" s="15"/>
      <c r="B1745" s="378" t="str">
        <f>Master!F5</f>
        <v>GROTECH LANDSCAPE DEVELOPERS PVT. LTD.</v>
      </c>
      <c r="C1745" s="114"/>
      <c r="D1745" s="114"/>
      <c r="E1745" s="114"/>
      <c r="F1745" s="114"/>
      <c r="G1745" s="379"/>
      <c r="H1745" s="381" t="str">
        <f>Master!AN5</f>
        <v>GROTECH LANDSCAPE DEVELOPERS PVT. LTD.</v>
      </c>
      <c r="I1745" s="114"/>
      <c r="J1745" s="114"/>
      <c r="K1745" s="114"/>
      <c r="L1745" s="16"/>
      <c r="M1745" s="16"/>
    </row>
    <row r="1746" spans="1:13">
      <c r="A1746" s="15"/>
      <c r="B1746" s="15"/>
      <c r="C1746" s="114"/>
      <c r="D1746" s="114"/>
      <c r="E1746" s="114"/>
      <c r="F1746" s="114"/>
      <c r="G1746" s="379"/>
      <c r="H1746" s="380"/>
      <c r="I1746" s="114"/>
      <c r="J1746" s="114"/>
      <c r="K1746" s="114"/>
      <c r="L1746" s="16"/>
      <c r="M1746" s="16"/>
    </row>
    <row r="1747" spans="1:13">
      <c r="A1747" s="15"/>
      <c r="B1747" s="538" t="str">
        <f>Master!F6</f>
        <v>290/E, Khanapur Village, Gandipet Mandal, Ranga Reddy, Hyderabad-500075 T.S.</v>
      </c>
      <c r="C1747" s="114"/>
      <c r="D1747" s="114"/>
      <c r="E1747" s="114"/>
      <c r="F1747" s="114"/>
      <c r="G1747" s="379"/>
      <c r="H1747" s="539" t="str">
        <f>Master!AN6</f>
        <v>290/E, Khanapur Village, Gandipet Mandal, Ranga Reddy, Hyderabad-500075 T.S.</v>
      </c>
      <c r="I1747" s="114"/>
      <c r="J1747" s="114"/>
      <c r="K1747" s="114"/>
      <c r="L1747" s="16"/>
      <c r="M1747" s="16"/>
    </row>
    <row r="1748" spans="1:13">
      <c r="A1748" s="15"/>
      <c r="B1748" s="383"/>
      <c r="C1748" s="19"/>
      <c r="D1748" s="19"/>
      <c r="E1748" s="19"/>
      <c r="F1748" s="19"/>
      <c r="G1748" s="61"/>
      <c r="H1748" s="60"/>
      <c r="I1748" s="19"/>
      <c r="J1748" s="19"/>
      <c r="K1748" s="19"/>
      <c r="L1748" s="81"/>
      <c r="M1748" s="16"/>
    </row>
    <row r="1749" spans="1:13">
      <c r="A1749" s="15"/>
      <c r="B1749" s="389"/>
      <c r="C1749" s="390"/>
      <c r="D1749" s="390"/>
      <c r="E1749" s="390"/>
      <c r="F1749" s="390"/>
      <c r="G1749" s="391"/>
      <c r="H1749" s="396"/>
      <c r="I1749" s="390"/>
      <c r="J1749" s="390" t="s">
        <v>103</v>
      </c>
      <c r="K1749" s="390"/>
      <c r="L1749" s="397"/>
      <c r="M1749" s="16"/>
    </row>
    <row r="1750" spans="1:13">
      <c r="A1750" s="15"/>
      <c r="B1750" s="980" t="s">
        <v>104</v>
      </c>
      <c r="C1750" s="981"/>
      <c r="D1750" s="981"/>
      <c r="E1750" s="981"/>
      <c r="F1750" s="981"/>
      <c r="G1750" s="392"/>
      <c r="H1750" s="982" t="s">
        <v>4</v>
      </c>
      <c r="I1750" s="981"/>
      <c r="J1750" s="981"/>
      <c r="K1750" s="981"/>
      <c r="L1750" s="983"/>
      <c r="M1750" s="16"/>
    </row>
    <row r="1751" spans="1:13">
      <c r="A1751" s="15"/>
      <c r="B1751" s="393"/>
      <c r="C1751" s="394"/>
      <c r="D1751" s="394"/>
      <c r="E1751" s="394"/>
      <c r="F1751" s="394"/>
      <c r="G1751" s="395"/>
      <c r="H1751" s="398"/>
      <c r="I1751" s="394"/>
      <c r="J1751" s="394"/>
      <c r="K1751" s="394"/>
      <c r="L1751" s="399"/>
      <c r="M1751" s="16"/>
    </row>
    <row r="1752" spans="1:13">
      <c r="A1752" s="15"/>
      <c r="B1752" s="382"/>
      <c r="C1752" s="77"/>
      <c r="D1752" s="77"/>
      <c r="E1752" s="77"/>
      <c r="F1752" s="77"/>
      <c r="G1752" s="56"/>
      <c r="H1752" s="74"/>
      <c r="I1752" s="74"/>
      <c r="J1752" s="74"/>
      <c r="K1752" s="74"/>
      <c r="L1752" s="384"/>
      <c r="M1752" s="16"/>
    </row>
    <row r="1753" spans="1:13">
      <c r="A1753" s="15"/>
      <c r="B1753" s="15"/>
      <c r="C1753" s="114"/>
      <c r="D1753" s="114"/>
      <c r="E1753" s="114"/>
      <c r="F1753" s="114"/>
      <c r="G1753" s="379"/>
      <c r="H1753" s="115" t="str">
        <f>Master!AN10</f>
        <v>INDIAN SCHOOL OF BUSINESS</v>
      </c>
      <c r="I1753" s="115"/>
      <c r="J1753" s="115"/>
      <c r="K1753" s="115"/>
      <c r="L1753" s="71"/>
      <c r="M1753" s="16"/>
    </row>
    <row r="1754" spans="1:13">
      <c r="A1754" s="15"/>
      <c r="B1754" s="70" t="str">
        <f>Master!F8</f>
        <v>GARDENING SERVICES&amp;ISB HYDERABAD</v>
      </c>
      <c r="C1754" s="114"/>
      <c r="D1754" s="114"/>
      <c r="E1754" s="114"/>
      <c r="F1754" s="114"/>
      <c r="G1754" s="379"/>
      <c r="H1754" s="115"/>
      <c r="I1754" s="115"/>
      <c r="J1754" s="115"/>
      <c r="K1754" s="115"/>
      <c r="L1754" s="71"/>
      <c r="M1754" s="16"/>
    </row>
    <row r="1755" spans="1:13">
      <c r="A1755" s="15"/>
      <c r="B1755" s="15"/>
      <c r="C1755" s="114"/>
      <c r="D1755" s="114"/>
      <c r="E1755" s="114"/>
      <c r="F1755" s="114"/>
      <c r="G1755" s="379"/>
      <c r="H1755" s="115" t="str">
        <f>Master!AN11</f>
        <v>Opp.Infosys Limited,Gachibowli,Hyderabad</v>
      </c>
      <c r="I1755" s="115"/>
      <c r="J1755" s="115"/>
      <c r="K1755" s="115"/>
      <c r="L1755" s="71"/>
      <c r="M1755" s="16"/>
    </row>
    <row r="1756" spans="1:13">
      <c r="A1756" s="15"/>
      <c r="B1756" s="383"/>
      <c r="C1756" s="19"/>
      <c r="D1756" s="19"/>
      <c r="E1756" s="19"/>
      <c r="F1756" s="19"/>
      <c r="G1756" s="61"/>
      <c r="H1756" s="79"/>
      <c r="I1756" s="79"/>
      <c r="J1756" s="79"/>
      <c r="K1756" s="79"/>
      <c r="L1756" s="385"/>
      <c r="M1756" s="16"/>
    </row>
    <row r="1757" spans="1:13" ht="30" customHeight="1">
      <c r="A1757" s="15"/>
      <c r="B1757" s="948" t="s">
        <v>105</v>
      </c>
      <c r="C1757" s="949"/>
      <c r="D1757" s="949"/>
      <c r="E1757" s="949"/>
      <c r="F1757" s="949"/>
      <c r="G1757" s="949"/>
      <c r="H1757" s="950" t="str">
        <f>Master!D52</f>
        <v>Mutholla Suneeta</v>
      </c>
      <c r="I1757" s="951"/>
      <c r="J1757" s="951"/>
      <c r="K1757" s="951"/>
      <c r="L1757" s="952"/>
      <c r="M1757" s="16"/>
    </row>
    <row r="1758" spans="1:13" ht="30" customHeight="1">
      <c r="A1758" s="15"/>
      <c r="B1758" s="948"/>
      <c r="C1758" s="949"/>
      <c r="D1758" s="949"/>
      <c r="E1758" s="949"/>
      <c r="F1758" s="949"/>
      <c r="G1758" s="949"/>
      <c r="H1758" s="950" t="str">
        <f>Master!K52</f>
        <v>H NO 3-37</v>
      </c>
      <c r="I1758" s="951"/>
      <c r="J1758" s="951"/>
      <c r="K1758" s="951"/>
      <c r="L1758" s="952"/>
      <c r="M1758" s="16"/>
    </row>
    <row r="1759" spans="1:13" ht="30" customHeight="1">
      <c r="A1759" s="15"/>
      <c r="B1759" s="948"/>
      <c r="C1759" s="949"/>
      <c r="D1759" s="949"/>
      <c r="E1759" s="949"/>
      <c r="F1759" s="949"/>
      <c r="G1759" s="949"/>
      <c r="H1759" s="950" t="str">
        <f>Master!L52</f>
        <v>SULTANPUR</v>
      </c>
      <c r="I1759" s="951"/>
      <c r="J1759" s="951"/>
      <c r="K1759" s="951"/>
      <c r="L1759" s="952"/>
      <c r="M1759" s="16"/>
    </row>
    <row r="1760" spans="1:13" ht="30" customHeight="1">
      <c r="A1760" s="15"/>
      <c r="B1760" s="948"/>
      <c r="C1760" s="949"/>
      <c r="D1760" s="949"/>
      <c r="E1760" s="949"/>
      <c r="F1760" s="949"/>
      <c r="G1760" s="949"/>
      <c r="H1760" s="950" t="str">
        <f>Master!M52</f>
        <v>TS-502319</v>
      </c>
      <c r="I1760" s="951"/>
      <c r="J1760" s="951"/>
      <c r="K1760" s="951"/>
      <c r="L1760" s="952"/>
      <c r="M1760" s="16"/>
    </row>
    <row r="1761" spans="1:13" ht="30" customHeight="1">
      <c r="A1761" s="73"/>
      <c r="B1761" s="948"/>
      <c r="C1761" s="949"/>
      <c r="D1761" s="949"/>
      <c r="E1761" s="949"/>
      <c r="F1761" s="949"/>
      <c r="G1761" s="949"/>
      <c r="H1761" s="989">
        <f>Master!N2332</f>
        <v>0</v>
      </c>
      <c r="I1761" s="990"/>
      <c r="J1761" s="990"/>
      <c r="K1761" s="990"/>
      <c r="L1761" s="991"/>
      <c r="M1761" s="16"/>
    </row>
    <row r="1762" spans="1:13" ht="30" customHeight="1">
      <c r="A1762" s="73"/>
      <c r="B1762" s="984" t="s">
        <v>106</v>
      </c>
      <c r="C1762" s="985"/>
      <c r="D1762" s="985"/>
      <c r="E1762" s="985"/>
      <c r="F1762" s="985"/>
      <c r="G1762" s="985"/>
      <c r="H1762" s="947">
        <f>Master!C52</f>
        <v>42</v>
      </c>
      <c r="I1762" s="945"/>
      <c r="J1762" s="945"/>
      <c r="K1762" s="945"/>
      <c r="L1762" s="946"/>
      <c r="M1762" s="16"/>
    </row>
    <row r="1763" spans="1:13" ht="30" customHeight="1">
      <c r="A1763" s="73"/>
      <c r="B1763" s="943" t="s">
        <v>107</v>
      </c>
      <c r="C1763" s="944"/>
      <c r="D1763" s="944"/>
      <c r="E1763" s="944"/>
      <c r="F1763" s="944"/>
      <c r="G1763" s="944"/>
      <c r="H1763" s="947" t="str">
        <f>Master!J52</f>
        <v>Unskilled Gardner</v>
      </c>
      <c r="I1763" s="945"/>
      <c r="J1763" s="945"/>
      <c r="K1763" s="945"/>
      <c r="L1763" s="946"/>
      <c r="M1763" s="16"/>
    </row>
    <row r="1764" spans="1:13" ht="30" customHeight="1">
      <c r="A1764" s="73"/>
      <c r="B1764" s="943" t="s">
        <v>108</v>
      </c>
      <c r="C1764" s="944"/>
      <c r="D1764" s="944"/>
      <c r="E1764" s="944"/>
      <c r="F1764" s="944"/>
      <c r="G1764" s="944"/>
      <c r="H1764" s="957">
        <f>Master!S52</f>
        <v>43862</v>
      </c>
      <c r="I1764" s="958"/>
      <c r="J1764" s="958"/>
      <c r="K1764" s="958"/>
      <c r="L1764" s="959"/>
      <c r="M1764" s="16"/>
    </row>
    <row r="1765" spans="1:13" ht="30" customHeight="1">
      <c r="A1765" s="73"/>
      <c r="B1765" s="386" t="s">
        <v>109</v>
      </c>
      <c r="C1765" s="116"/>
      <c r="D1765" s="116"/>
      <c r="E1765" s="116"/>
      <c r="F1765" s="116"/>
      <c r="G1765" s="116"/>
      <c r="H1765" s="947">
        <f>Master!Y52</f>
        <v>5216385098</v>
      </c>
      <c r="I1765" s="947"/>
      <c r="J1765" s="947"/>
      <c r="K1765" s="947"/>
      <c r="L1765" s="953"/>
      <c r="M1765" s="16"/>
    </row>
    <row r="1766" spans="1:13" ht="30" customHeight="1">
      <c r="A1766" s="73"/>
      <c r="B1766" s="386" t="s">
        <v>110</v>
      </c>
      <c r="C1766" s="116"/>
      <c r="D1766" s="116"/>
      <c r="E1766" s="116"/>
      <c r="F1766" s="116"/>
      <c r="G1766" s="119"/>
      <c r="H1766" s="947" t="str">
        <f>Master!X52</f>
        <v>101556794454</v>
      </c>
      <c r="I1766" s="947"/>
      <c r="J1766" s="947"/>
      <c r="K1766" s="947"/>
      <c r="L1766" s="953"/>
      <c r="M1766" s="16"/>
    </row>
    <row r="1767" spans="1:13" ht="30" customHeight="1">
      <c r="A1767" s="73"/>
      <c r="B1767" s="954" t="s">
        <v>111</v>
      </c>
      <c r="C1767" s="955"/>
      <c r="D1767" s="955"/>
      <c r="E1767" s="955"/>
      <c r="F1767" s="955"/>
      <c r="G1767" s="955"/>
      <c r="H1767" s="950">
        <f>Master!AC52</f>
        <v>10627</v>
      </c>
      <c r="I1767" s="951"/>
      <c r="J1767" s="951"/>
      <c r="K1767" s="951"/>
      <c r="L1767" s="952"/>
      <c r="M1767" s="16"/>
    </row>
    <row r="1768" spans="1:13" ht="30" customHeight="1">
      <c r="A1768" s="73"/>
      <c r="B1768" s="943" t="s">
        <v>112</v>
      </c>
      <c r="C1768" s="944"/>
      <c r="D1768" s="944"/>
      <c r="E1768" s="944"/>
      <c r="F1768" s="944"/>
      <c r="G1768" s="944"/>
      <c r="H1768" s="956">
        <f>Master!F10</f>
        <v>44652</v>
      </c>
      <c r="I1768" s="945"/>
      <c r="J1768" s="945"/>
      <c r="K1768" s="945"/>
      <c r="L1768" s="946"/>
      <c r="M1768" s="16"/>
    </row>
    <row r="1769" spans="1:13" ht="30" customHeight="1">
      <c r="A1769" s="15"/>
      <c r="B1769" s="943" t="s">
        <v>113</v>
      </c>
      <c r="C1769" s="944"/>
      <c r="D1769" s="944"/>
      <c r="E1769" s="944"/>
      <c r="F1769" s="944"/>
      <c r="G1769" s="944"/>
      <c r="H1769" s="945" t="s">
        <v>114</v>
      </c>
      <c r="I1769" s="945"/>
      <c r="J1769" s="945"/>
      <c r="K1769" s="945"/>
      <c r="L1769" s="946"/>
      <c r="M1769" s="16"/>
    </row>
    <row r="1770" spans="1:13" ht="30" customHeight="1">
      <c r="A1770" s="15"/>
      <c r="B1770" s="386" t="s">
        <v>115</v>
      </c>
      <c r="C1770" s="116"/>
      <c r="D1770" s="116"/>
      <c r="E1770" s="116"/>
      <c r="F1770" s="116"/>
      <c r="G1770" s="119"/>
      <c r="H1770" s="947">
        <f>Master!AA52</f>
        <v>26</v>
      </c>
      <c r="I1770" s="945"/>
      <c r="J1770" s="945"/>
      <c r="K1770" s="945"/>
      <c r="L1770" s="946"/>
      <c r="M1770" s="16"/>
    </row>
    <row r="1771" spans="1:13" ht="30" customHeight="1">
      <c r="A1771" s="15"/>
      <c r="B1771" s="386" t="s">
        <v>116</v>
      </c>
      <c r="C1771" s="116"/>
      <c r="D1771" s="116"/>
      <c r="E1771" s="116"/>
      <c r="F1771" s="116"/>
      <c r="G1771" s="119"/>
      <c r="H1771" s="986" t="s">
        <v>28</v>
      </c>
      <c r="I1771" s="987"/>
      <c r="J1771" s="987"/>
      <c r="K1771" s="987"/>
      <c r="L1771" s="988"/>
      <c r="M1771" s="16"/>
    </row>
    <row r="1772" spans="1:13" ht="30" customHeight="1">
      <c r="A1772" s="15"/>
      <c r="B1772" s="386" t="s">
        <v>117</v>
      </c>
      <c r="C1772" s="116"/>
      <c r="D1772" s="116"/>
      <c r="E1772" s="116"/>
      <c r="F1772" s="116"/>
      <c r="G1772" s="119"/>
      <c r="H1772" s="989">
        <v>0</v>
      </c>
      <c r="I1772" s="990"/>
      <c r="J1772" s="990"/>
      <c r="K1772" s="990"/>
      <c r="L1772" s="991"/>
      <c r="M1772" s="16"/>
    </row>
    <row r="1773" spans="1:13" ht="30" customHeight="1">
      <c r="A1773" s="15"/>
      <c r="B1773" s="386" t="s">
        <v>118</v>
      </c>
      <c r="C1773" s="116"/>
      <c r="D1773" s="116"/>
      <c r="E1773" s="116"/>
      <c r="F1773" s="116"/>
      <c r="G1773" s="119"/>
      <c r="H1773" s="986">
        <v>0</v>
      </c>
      <c r="I1773" s="987"/>
      <c r="J1773" s="987"/>
      <c r="K1773" s="987"/>
      <c r="L1773" s="988"/>
      <c r="M1773" s="16"/>
    </row>
    <row r="1774" spans="1:13" ht="30" customHeight="1">
      <c r="A1774" s="15"/>
      <c r="B1774" s="386" t="s">
        <v>119</v>
      </c>
      <c r="C1774" s="116"/>
      <c r="D1774" s="116"/>
      <c r="E1774" s="116"/>
      <c r="F1774" s="116"/>
      <c r="G1774" s="119"/>
      <c r="H1774" s="117"/>
      <c r="I1774" s="118"/>
      <c r="J1774" s="990">
        <f>Master!AK52</f>
        <v>9210.4</v>
      </c>
      <c r="K1774" s="992"/>
      <c r="L1774" s="581" t="s">
        <v>737</v>
      </c>
      <c r="M1774" s="16"/>
    </row>
    <row r="1775" spans="1:13" ht="30" customHeight="1">
      <c r="A1775" s="15"/>
      <c r="B1775" s="386" t="s">
        <v>120</v>
      </c>
      <c r="C1775" s="116"/>
      <c r="D1775" s="465" t="s">
        <v>24</v>
      </c>
      <c r="E1775" s="466">
        <f>Master!AM52</f>
        <v>1105</v>
      </c>
      <c r="F1775" s="465" t="s">
        <v>23</v>
      </c>
      <c r="G1775" s="466">
        <f>Master!AL52</f>
        <v>70</v>
      </c>
      <c r="H1775" s="465" t="s">
        <v>25</v>
      </c>
      <c r="I1775" s="466">
        <f>Master!AN52</f>
        <v>0</v>
      </c>
      <c r="J1775" s="465" t="s">
        <v>26</v>
      </c>
      <c r="K1775" s="466">
        <f>Master!AO52</f>
        <v>0</v>
      </c>
      <c r="L1775" s="400">
        <f>Master!AP52</f>
        <v>0</v>
      </c>
      <c r="M1775" s="16"/>
    </row>
    <row r="1776" spans="1:13" ht="30" customHeight="1">
      <c r="A1776" s="15"/>
      <c r="B1776" s="386" t="s">
        <v>121</v>
      </c>
      <c r="C1776" s="116"/>
      <c r="D1776" s="116"/>
      <c r="E1776" s="116"/>
      <c r="F1776" s="116"/>
      <c r="G1776" s="119"/>
      <c r="H1776" s="117"/>
      <c r="I1776" s="118"/>
      <c r="J1776" s="541">
        <f>Master!AR52</f>
        <v>8035.4</v>
      </c>
      <c r="K1776" s="118"/>
      <c r="L1776" s="125"/>
      <c r="M1776" s="16"/>
    </row>
    <row r="1777" spans="1:13">
      <c r="A1777" s="15"/>
      <c r="B1777" s="387" t="s">
        <v>122</v>
      </c>
      <c r="C1777" s="74"/>
      <c r="D1777" s="74"/>
      <c r="E1777" s="74"/>
      <c r="F1777" s="74"/>
      <c r="G1777" s="75"/>
      <c r="H1777" s="76"/>
      <c r="I1777" s="77"/>
      <c r="J1777" s="77"/>
      <c r="K1777" s="77"/>
      <c r="L1777" s="78"/>
      <c r="M1777" s="16"/>
    </row>
    <row r="1778" spans="1:13">
      <c r="A1778" s="15"/>
      <c r="B1778" s="388" t="s">
        <v>123</v>
      </c>
      <c r="C1778" s="79"/>
      <c r="D1778" s="79"/>
      <c r="E1778" s="79"/>
      <c r="F1778" s="79"/>
      <c r="G1778" s="80"/>
      <c r="H1778" s="60"/>
      <c r="I1778" s="19"/>
      <c r="J1778" s="19"/>
      <c r="K1778" s="19"/>
      <c r="L1778" s="81"/>
      <c r="M1778" s="16"/>
    </row>
    <row r="1779" spans="1:13">
      <c r="A1779" s="15"/>
      <c r="B1779" s="15"/>
      <c r="C1779" s="114"/>
      <c r="D1779" s="114"/>
      <c r="E1779" s="114"/>
      <c r="F1779" s="114"/>
      <c r="G1779" s="114"/>
      <c r="H1779" s="114"/>
      <c r="I1779" s="114"/>
      <c r="J1779" s="114"/>
      <c r="K1779" s="114"/>
      <c r="L1779" s="16"/>
      <c r="M1779" s="16"/>
    </row>
    <row r="1780" spans="1:13" ht="15" thickBot="1">
      <c r="A1780" s="27"/>
      <c r="B1780" s="27"/>
      <c r="C1780" s="25"/>
      <c r="D1780" s="25"/>
      <c r="E1780" s="25"/>
      <c r="F1780" s="25"/>
      <c r="G1780" s="25"/>
      <c r="H1780" s="25"/>
      <c r="I1780" s="25"/>
      <c r="J1780" s="25"/>
      <c r="K1780" s="25"/>
      <c r="L1780" s="26"/>
      <c r="M1780" s="26"/>
    </row>
    <row r="1781" spans="1:13">
      <c r="A1781" s="420"/>
      <c r="B1781" s="420"/>
      <c r="C1781" s="420"/>
      <c r="D1781" s="420"/>
      <c r="E1781" s="420"/>
      <c r="F1781" s="420"/>
      <c r="G1781" s="420"/>
      <c r="H1781" s="420"/>
      <c r="I1781" s="420"/>
      <c r="J1781" s="420"/>
      <c r="K1781" s="420"/>
      <c r="L1781" s="420"/>
      <c r="M1781" s="420"/>
    </row>
    <row r="1782" spans="1:13">
      <c r="A1782" s="420"/>
      <c r="B1782" s="420"/>
      <c r="C1782" s="420"/>
      <c r="D1782" s="420"/>
      <c r="E1782" s="420"/>
      <c r="F1782" s="420"/>
      <c r="G1782" s="420"/>
      <c r="H1782" s="420"/>
      <c r="I1782" s="420"/>
      <c r="J1782" s="420"/>
      <c r="K1782" s="420"/>
      <c r="L1782" s="420"/>
      <c r="M1782" s="420"/>
    </row>
    <row r="1783" spans="1:13">
      <c r="A1783" s="420"/>
      <c r="B1783" s="420"/>
      <c r="C1783" s="420"/>
      <c r="D1783" s="420"/>
      <c r="E1783" s="420"/>
      <c r="F1783" s="420"/>
      <c r="G1783" s="420"/>
      <c r="H1783" s="420"/>
      <c r="I1783" s="420"/>
      <c r="J1783" s="420"/>
      <c r="K1783" s="420"/>
      <c r="L1783" s="420"/>
      <c r="M1783" s="420"/>
    </row>
    <row r="1784" spans="1:13">
      <c r="A1784" s="420"/>
      <c r="B1784" s="420"/>
      <c r="C1784" s="420"/>
      <c r="D1784" s="420"/>
      <c r="E1784" s="420"/>
      <c r="F1784" s="420"/>
      <c r="G1784" s="420"/>
      <c r="H1784" s="420"/>
      <c r="I1784" s="420"/>
      <c r="J1784" s="420"/>
      <c r="K1784" s="420"/>
      <c r="L1784" s="420"/>
      <c r="M1784" s="420"/>
    </row>
    <row r="1785" spans="1:13" ht="15" thickBot="1">
      <c r="A1785" s="420"/>
      <c r="B1785" s="420"/>
      <c r="C1785" s="420"/>
      <c r="D1785" s="420"/>
      <c r="E1785" s="420"/>
      <c r="F1785" s="420"/>
      <c r="G1785" s="420"/>
      <c r="H1785" s="420"/>
      <c r="I1785" s="420"/>
      <c r="J1785" s="420"/>
      <c r="K1785" s="420"/>
      <c r="L1785" s="420"/>
      <c r="M1785" s="420"/>
    </row>
    <row r="1786" spans="1:13" ht="32.4">
      <c r="A1786" s="68"/>
      <c r="B1786" s="960" t="s">
        <v>99</v>
      </c>
      <c r="C1786" s="961"/>
      <c r="D1786" s="961"/>
      <c r="E1786" s="961"/>
      <c r="F1786" s="961"/>
      <c r="G1786" s="961"/>
      <c r="H1786" s="961"/>
      <c r="I1786" s="961"/>
      <c r="J1786" s="961"/>
      <c r="K1786" s="961"/>
      <c r="L1786" s="962"/>
      <c r="M1786" s="69"/>
    </row>
    <row r="1787" spans="1:13" ht="23.4">
      <c r="A1787" s="15"/>
      <c r="B1787" s="963" t="s">
        <v>100</v>
      </c>
      <c r="C1787" s="964"/>
      <c r="D1787" s="964"/>
      <c r="E1787" s="964"/>
      <c r="F1787" s="964"/>
      <c r="G1787" s="964"/>
      <c r="H1787" s="964"/>
      <c r="I1787" s="964"/>
      <c r="J1787" s="964"/>
      <c r="K1787" s="964"/>
      <c r="L1787" s="965"/>
      <c r="M1787" s="16"/>
    </row>
    <row r="1788" spans="1:13" ht="15.6">
      <c r="A1788" s="15"/>
      <c r="B1788" s="966" t="s">
        <v>1070</v>
      </c>
      <c r="C1788" s="967"/>
      <c r="D1788" s="967"/>
      <c r="E1788" s="967"/>
      <c r="F1788" s="967"/>
      <c r="G1788" s="967"/>
      <c r="H1788" s="968"/>
      <c r="I1788" s="968"/>
      <c r="J1788" s="968"/>
      <c r="K1788" s="968"/>
      <c r="L1788" s="969"/>
      <c r="M1788" s="16"/>
    </row>
    <row r="1789" spans="1:13">
      <c r="A1789" s="15"/>
      <c r="B1789" s="970" t="s">
        <v>101</v>
      </c>
      <c r="C1789" s="971"/>
      <c r="D1789" s="971"/>
      <c r="E1789" s="971"/>
      <c r="F1789" s="971"/>
      <c r="G1789" s="391"/>
      <c r="H1789" s="974" t="s">
        <v>102</v>
      </c>
      <c r="I1789" s="975"/>
      <c r="J1789" s="975"/>
      <c r="K1789" s="975"/>
      <c r="L1789" s="976"/>
      <c r="M1789" s="16"/>
    </row>
    <row r="1790" spans="1:13">
      <c r="A1790" s="15"/>
      <c r="B1790" s="972"/>
      <c r="C1790" s="973"/>
      <c r="D1790" s="973"/>
      <c r="E1790" s="973"/>
      <c r="F1790" s="973"/>
      <c r="G1790" s="395"/>
      <c r="H1790" s="977"/>
      <c r="I1790" s="978"/>
      <c r="J1790" s="978"/>
      <c r="K1790" s="978"/>
      <c r="L1790" s="979"/>
      <c r="M1790" s="16"/>
    </row>
    <row r="1791" spans="1:13">
      <c r="A1791" s="15"/>
      <c r="B1791" s="382"/>
      <c r="C1791" s="77"/>
      <c r="D1791" s="77"/>
      <c r="E1791" s="77"/>
      <c r="F1791" s="77"/>
      <c r="G1791" s="56"/>
      <c r="H1791" s="76"/>
      <c r="I1791" s="77"/>
      <c r="J1791" s="77"/>
      <c r="K1791" s="77"/>
      <c r="L1791" s="78"/>
      <c r="M1791" s="16"/>
    </row>
    <row r="1792" spans="1:13">
      <c r="A1792" s="15"/>
      <c r="B1792" s="378" t="str">
        <f>Master!F5</f>
        <v>GROTECH LANDSCAPE DEVELOPERS PVT. LTD.</v>
      </c>
      <c r="C1792" s="114"/>
      <c r="D1792" s="114"/>
      <c r="E1792" s="114"/>
      <c r="F1792" s="114"/>
      <c r="G1792" s="379"/>
      <c r="H1792" s="381" t="str">
        <f>Master!AN5</f>
        <v>GROTECH LANDSCAPE DEVELOPERS PVT. LTD.</v>
      </c>
      <c r="I1792" s="114"/>
      <c r="J1792" s="114"/>
      <c r="K1792" s="114"/>
      <c r="L1792" s="16"/>
      <c r="M1792" s="16"/>
    </row>
    <row r="1793" spans="1:13">
      <c r="A1793" s="15"/>
      <c r="B1793" s="15"/>
      <c r="C1793" s="114"/>
      <c r="D1793" s="114"/>
      <c r="E1793" s="114"/>
      <c r="F1793" s="114"/>
      <c r="G1793" s="379"/>
      <c r="H1793" s="380"/>
      <c r="I1793" s="114"/>
      <c r="J1793" s="114"/>
      <c r="K1793" s="114"/>
      <c r="L1793" s="16"/>
      <c r="M1793" s="16"/>
    </row>
    <row r="1794" spans="1:13">
      <c r="A1794" s="15"/>
      <c r="B1794" s="538" t="str">
        <f>Master!F6</f>
        <v>290/E, Khanapur Village, Gandipet Mandal, Ranga Reddy, Hyderabad-500075 T.S.</v>
      </c>
      <c r="C1794" s="114"/>
      <c r="D1794" s="114"/>
      <c r="E1794" s="114"/>
      <c r="F1794" s="114"/>
      <c r="G1794" s="379"/>
      <c r="H1794" s="539" t="str">
        <f>Master!AN6</f>
        <v>290/E, Khanapur Village, Gandipet Mandal, Ranga Reddy, Hyderabad-500075 T.S.</v>
      </c>
      <c r="I1794" s="114"/>
      <c r="J1794" s="114"/>
      <c r="K1794" s="114"/>
      <c r="L1794" s="16"/>
      <c r="M1794" s="16"/>
    </row>
    <row r="1795" spans="1:13">
      <c r="A1795" s="15"/>
      <c r="B1795" s="383"/>
      <c r="C1795" s="19"/>
      <c r="D1795" s="19"/>
      <c r="E1795" s="19"/>
      <c r="F1795" s="19"/>
      <c r="G1795" s="61"/>
      <c r="H1795" s="60"/>
      <c r="I1795" s="19"/>
      <c r="J1795" s="19"/>
      <c r="K1795" s="19"/>
      <c r="L1795" s="81"/>
      <c r="M1795" s="16"/>
    </row>
    <row r="1796" spans="1:13">
      <c r="A1796" s="15"/>
      <c r="B1796" s="389"/>
      <c r="C1796" s="390"/>
      <c r="D1796" s="390"/>
      <c r="E1796" s="390"/>
      <c r="F1796" s="390"/>
      <c r="G1796" s="391"/>
      <c r="H1796" s="396"/>
      <c r="I1796" s="390"/>
      <c r="J1796" s="390" t="s">
        <v>103</v>
      </c>
      <c r="K1796" s="390"/>
      <c r="L1796" s="397"/>
      <c r="M1796" s="16"/>
    </row>
    <row r="1797" spans="1:13">
      <c r="A1797" s="15"/>
      <c r="B1797" s="980" t="s">
        <v>104</v>
      </c>
      <c r="C1797" s="981"/>
      <c r="D1797" s="981"/>
      <c r="E1797" s="981"/>
      <c r="F1797" s="981"/>
      <c r="G1797" s="392"/>
      <c r="H1797" s="982" t="s">
        <v>4</v>
      </c>
      <c r="I1797" s="981"/>
      <c r="J1797" s="981"/>
      <c r="K1797" s="981"/>
      <c r="L1797" s="983"/>
      <c r="M1797" s="16"/>
    </row>
    <row r="1798" spans="1:13">
      <c r="A1798" s="15"/>
      <c r="B1798" s="393"/>
      <c r="C1798" s="394"/>
      <c r="D1798" s="394"/>
      <c r="E1798" s="394"/>
      <c r="F1798" s="394"/>
      <c r="G1798" s="395"/>
      <c r="H1798" s="398"/>
      <c r="I1798" s="394"/>
      <c r="J1798" s="394"/>
      <c r="K1798" s="394"/>
      <c r="L1798" s="399"/>
      <c r="M1798" s="16"/>
    </row>
    <row r="1799" spans="1:13">
      <c r="A1799" s="15"/>
      <c r="B1799" s="382"/>
      <c r="C1799" s="77"/>
      <c r="D1799" s="77"/>
      <c r="E1799" s="77"/>
      <c r="F1799" s="77"/>
      <c r="G1799" s="56"/>
      <c r="H1799" s="74"/>
      <c r="I1799" s="74"/>
      <c r="J1799" s="74"/>
      <c r="K1799" s="74"/>
      <c r="L1799" s="384"/>
      <c r="M1799" s="16"/>
    </row>
    <row r="1800" spans="1:13">
      <c r="A1800" s="15"/>
      <c r="B1800" s="15"/>
      <c r="C1800" s="114"/>
      <c r="D1800" s="114"/>
      <c r="E1800" s="114"/>
      <c r="F1800" s="114"/>
      <c r="G1800" s="379"/>
      <c r="H1800" s="115" t="str">
        <f>Master!AN10</f>
        <v>INDIAN SCHOOL OF BUSINESS</v>
      </c>
      <c r="I1800" s="115"/>
      <c r="J1800" s="115"/>
      <c r="K1800" s="115"/>
      <c r="L1800" s="71"/>
      <c r="M1800" s="16"/>
    </row>
    <row r="1801" spans="1:13">
      <c r="A1801" s="15"/>
      <c r="B1801" s="70" t="str">
        <f>Master!F8</f>
        <v>GARDENING SERVICES&amp;ISB HYDERABAD</v>
      </c>
      <c r="C1801" s="114"/>
      <c r="D1801" s="114"/>
      <c r="E1801" s="114"/>
      <c r="F1801" s="114"/>
      <c r="G1801" s="379"/>
      <c r="H1801" s="115"/>
      <c r="I1801" s="115"/>
      <c r="J1801" s="115"/>
      <c r="K1801" s="115"/>
      <c r="L1801" s="71"/>
      <c r="M1801" s="16"/>
    </row>
    <row r="1802" spans="1:13">
      <c r="A1802" s="15"/>
      <c r="B1802" s="15"/>
      <c r="C1802" s="114"/>
      <c r="D1802" s="114"/>
      <c r="E1802" s="114"/>
      <c r="F1802" s="114"/>
      <c r="G1802" s="379"/>
      <c r="H1802" s="115" t="str">
        <f>Master!AN11</f>
        <v>Opp.Infosys Limited,Gachibowli,Hyderabad</v>
      </c>
      <c r="I1802" s="115"/>
      <c r="J1802" s="115"/>
      <c r="K1802" s="115"/>
      <c r="L1802" s="71"/>
      <c r="M1802" s="16"/>
    </row>
    <row r="1803" spans="1:13">
      <c r="A1803" s="15"/>
      <c r="B1803" s="383"/>
      <c r="C1803" s="19"/>
      <c r="D1803" s="19"/>
      <c r="E1803" s="19"/>
      <c r="F1803" s="19"/>
      <c r="G1803" s="61"/>
      <c r="H1803" s="79"/>
      <c r="I1803" s="79"/>
      <c r="J1803" s="79"/>
      <c r="K1803" s="79"/>
      <c r="L1803" s="385"/>
      <c r="M1803" s="16"/>
    </row>
    <row r="1804" spans="1:13" ht="30" customHeight="1">
      <c r="A1804" s="15"/>
      <c r="B1804" s="948" t="s">
        <v>105</v>
      </c>
      <c r="C1804" s="949"/>
      <c r="D1804" s="949"/>
      <c r="E1804" s="949"/>
      <c r="F1804" s="949"/>
      <c r="G1804" s="949"/>
      <c r="H1804" s="950" t="str">
        <f>Master!D53</f>
        <v>Mutholla sushila</v>
      </c>
      <c r="I1804" s="951"/>
      <c r="J1804" s="951"/>
      <c r="K1804" s="951"/>
      <c r="L1804" s="952"/>
      <c r="M1804" s="16"/>
    </row>
    <row r="1805" spans="1:13" ht="30" customHeight="1">
      <c r="A1805" s="15"/>
      <c r="B1805" s="948"/>
      <c r="C1805" s="949"/>
      <c r="D1805" s="949"/>
      <c r="E1805" s="949"/>
      <c r="F1805" s="949"/>
      <c r="G1805" s="949"/>
      <c r="H1805" s="950" t="str">
        <f>Master!K53</f>
        <v>H NO 3-26JANAKPET</v>
      </c>
      <c r="I1805" s="951"/>
      <c r="J1805" s="951"/>
      <c r="K1805" s="951"/>
      <c r="L1805" s="952"/>
      <c r="M1805" s="16"/>
    </row>
    <row r="1806" spans="1:13" ht="30" customHeight="1">
      <c r="A1806" s="15"/>
      <c r="B1806" s="948"/>
      <c r="C1806" s="949"/>
      <c r="D1806" s="949"/>
      <c r="E1806" s="949"/>
      <c r="F1806" s="949"/>
      <c r="G1806" s="949"/>
      <c r="H1806" s="950" t="str">
        <f>Master!L53</f>
        <v>SULTANPUR</v>
      </c>
      <c r="I1806" s="951"/>
      <c r="J1806" s="951"/>
      <c r="K1806" s="951"/>
      <c r="L1806" s="952"/>
      <c r="M1806" s="16"/>
    </row>
    <row r="1807" spans="1:13" ht="30" customHeight="1">
      <c r="A1807" s="15"/>
      <c r="B1807" s="948"/>
      <c r="C1807" s="949"/>
      <c r="D1807" s="949"/>
      <c r="E1807" s="949"/>
      <c r="F1807" s="949"/>
      <c r="G1807" s="949"/>
      <c r="H1807" s="950" t="str">
        <f>Master!M53</f>
        <v>TS-502319</v>
      </c>
      <c r="I1807" s="951"/>
      <c r="J1807" s="951"/>
      <c r="K1807" s="951"/>
      <c r="L1807" s="952"/>
      <c r="M1807" s="16"/>
    </row>
    <row r="1808" spans="1:13" ht="30" customHeight="1">
      <c r="A1808" s="73"/>
      <c r="B1808" s="948"/>
      <c r="C1808" s="949"/>
      <c r="D1808" s="949"/>
      <c r="E1808" s="949"/>
      <c r="F1808" s="949"/>
      <c r="G1808" s="949"/>
      <c r="H1808" s="989">
        <f>Master!N2378</f>
        <v>0</v>
      </c>
      <c r="I1808" s="990"/>
      <c r="J1808" s="990"/>
      <c r="K1808" s="990"/>
      <c r="L1808" s="991"/>
      <c r="M1808" s="16"/>
    </row>
    <row r="1809" spans="1:13" ht="30" customHeight="1">
      <c r="A1809" s="73"/>
      <c r="B1809" s="984" t="s">
        <v>106</v>
      </c>
      <c r="C1809" s="985"/>
      <c r="D1809" s="985"/>
      <c r="E1809" s="985"/>
      <c r="F1809" s="985"/>
      <c r="G1809" s="985"/>
      <c r="H1809" s="947">
        <f>Master!C53</f>
        <v>43</v>
      </c>
      <c r="I1809" s="945"/>
      <c r="J1809" s="945"/>
      <c r="K1809" s="945"/>
      <c r="L1809" s="946"/>
      <c r="M1809" s="16"/>
    </row>
    <row r="1810" spans="1:13" ht="30" customHeight="1">
      <c r="A1810" s="73"/>
      <c r="B1810" s="943" t="s">
        <v>107</v>
      </c>
      <c r="C1810" s="944"/>
      <c r="D1810" s="944"/>
      <c r="E1810" s="944"/>
      <c r="F1810" s="944"/>
      <c r="G1810" s="944"/>
      <c r="H1810" s="947" t="str">
        <f>Master!J53</f>
        <v>Unskilled Gardner</v>
      </c>
      <c r="I1810" s="945"/>
      <c r="J1810" s="945"/>
      <c r="K1810" s="945"/>
      <c r="L1810" s="946"/>
      <c r="M1810" s="16"/>
    </row>
    <row r="1811" spans="1:13" ht="30" customHeight="1">
      <c r="A1811" s="73"/>
      <c r="B1811" s="943" t="s">
        <v>108</v>
      </c>
      <c r="C1811" s="944"/>
      <c r="D1811" s="944"/>
      <c r="E1811" s="944"/>
      <c r="F1811" s="944"/>
      <c r="G1811" s="944"/>
      <c r="H1811" s="957">
        <f>Master!S53</f>
        <v>43862</v>
      </c>
      <c r="I1811" s="958"/>
      <c r="J1811" s="958"/>
      <c r="K1811" s="958"/>
      <c r="L1811" s="959"/>
      <c r="M1811" s="16"/>
    </row>
    <row r="1812" spans="1:13" ht="30" customHeight="1">
      <c r="A1812" s="73"/>
      <c r="B1812" s="386" t="s">
        <v>109</v>
      </c>
      <c r="C1812" s="116"/>
      <c r="D1812" s="116"/>
      <c r="E1812" s="116"/>
      <c r="F1812" s="116"/>
      <c r="G1812" s="116"/>
      <c r="H1812" s="947">
        <f>Master!Y53</f>
        <v>5216385125</v>
      </c>
      <c r="I1812" s="947"/>
      <c r="J1812" s="947"/>
      <c r="K1812" s="947"/>
      <c r="L1812" s="953"/>
      <c r="M1812" s="16"/>
    </row>
    <row r="1813" spans="1:13" ht="30" customHeight="1">
      <c r="A1813" s="73"/>
      <c r="B1813" s="386" t="s">
        <v>110</v>
      </c>
      <c r="C1813" s="116"/>
      <c r="D1813" s="116"/>
      <c r="E1813" s="116"/>
      <c r="F1813" s="116"/>
      <c r="G1813" s="119"/>
      <c r="H1813" s="947" t="str">
        <f>Master!X53</f>
        <v>100209063448</v>
      </c>
      <c r="I1813" s="947"/>
      <c r="J1813" s="947"/>
      <c r="K1813" s="947"/>
      <c r="L1813" s="953"/>
      <c r="M1813" s="16"/>
    </row>
    <row r="1814" spans="1:13" ht="30" customHeight="1">
      <c r="A1814" s="73"/>
      <c r="B1814" s="954" t="s">
        <v>111</v>
      </c>
      <c r="C1814" s="955"/>
      <c r="D1814" s="955"/>
      <c r="E1814" s="955"/>
      <c r="F1814" s="955"/>
      <c r="G1814" s="955"/>
      <c r="H1814" s="950">
        <f>Master!AC53</f>
        <v>10627</v>
      </c>
      <c r="I1814" s="951"/>
      <c r="J1814" s="951"/>
      <c r="K1814" s="951"/>
      <c r="L1814" s="952"/>
      <c r="M1814" s="16"/>
    </row>
    <row r="1815" spans="1:13" ht="30" customHeight="1">
      <c r="A1815" s="73"/>
      <c r="B1815" s="943" t="s">
        <v>112</v>
      </c>
      <c r="C1815" s="944"/>
      <c r="D1815" s="944"/>
      <c r="E1815" s="944"/>
      <c r="F1815" s="944"/>
      <c r="G1815" s="944"/>
      <c r="H1815" s="956">
        <f>Master!F10</f>
        <v>44652</v>
      </c>
      <c r="I1815" s="945"/>
      <c r="J1815" s="945"/>
      <c r="K1815" s="945"/>
      <c r="L1815" s="946"/>
      <c r="M1815" s="16"/>
    </row>
    <row r="1816" spans="1:13" ht="30" customHeight="1">
      <c r="A1816" s="15"/>
      <c r="B1816" s="943" t="s">
        <v>113</v>
      </c>
      <c r="C1816" s="944"/>
      <c r="D1816" s="944"/>
      <c r="E1816" s="944"/>
      <c r="F1816" s="944"/>
      <c r="G1816" s="944"/>
      <c r="H1816" s="945" t="s">
        <v>114</v>
      </c>
      <c r="I1816" s="945"/>
      <c r="J1816" s="945"/>
      <c r="K1816" s="945"/>
      <c r="L1816" s="946"/>
      <c r="M1816" s="16"/>
    </row>
    <row r="1817" spans="1:13" ht="30" customHeight="1">
      <c r="A1817" s="15"/>
      <c r="B1817" s="386" t="s">
        <v>115</v>
      </c>
      <c r="C1817" s="116"/>
      <c r="D1817" s="116"/>
      <c r="E1817" s="116"/>
      <c r="F1817" s="116"/>
      <c r="G1817" s="119"/>
      <c r="H1817" s="947">
        <f>Master!AA53</f>
        <v>26</v>
      </c>
      <c r="I1817" s="945"/>
      <c r="J1817" s="945"/>
      <c r="K1817" s="945"/>
      <c r="L1817" s="946"/>
      <c r="M1817" s="16"/>
    </row>
    <row r="1818" spans="1:13" ht="30" customHeight="1">
      <c r="A1818" s="15"/>
      <c r="B1818" s="386" t="s">
        <v>116</v>
      </c>
      <c r="C1818" s="116"/>
      <c r="D1818" s="116"/>
      <c r="E1818" s="116"/>
      <c r="F1818" s="116"/>
      <c r="G1818" s="119"/>
      <c r="H1818" s="986" t="s">
        <v>28</v>
      </c>
      <c r="I1818" s="987"/>
      <c r="J1818" s="987"/>
      <c r="K1818" s="987"/>
      <c r="L1818" s="988"/>
      <c r="M1818" s="16"/>
    </row>
    <row r="1819" spans="1:13" ht="30" customHeight="1">
      <c r="A1819" s="15"/>
      <c r="B1819" s="386" t="s">
        <v>117</v>
      </c>
      <c r="C1819" s="116"/>
      <c r="D1819" s="116"/>
      <c r="E1819" s="116"/>
      <c r="F1819" s="116"/>
      <c r="G1819" s="119"/>
      <c r="H1819" s="989">
        <v>0</v>
      </c>
      <c r="I1819" s="990"/>
      <c r="J1819" s="990"/>
      <c r="K1819" s="990"/>
      <c r="L1819" s="991"/>
      <c r="M1819" s="16"/>
    </row>
    <row r="1820" spans="1:13" ht="30" customHeight="1">
      <c r="A1820" s="15"/>
      <c r="B1820" s="386" t="s">
        <v>118</v>
      </c>
      <c r="C1820" s="116"/>
      <c r="D1820" s="116"/>
      <c r="E1820" s="116"/>
      <c r="F1820" s="116"/>
      <c r="G1820" s="119"/>
      <c r="H1820" s="986">
        <v>0</v>
      </c>
      <c r="I1820" s="987"/>
      <c r="J1820" s="987"/>
      <c r="K1820" s="987"/>
      <c r="L1820" s="988"/>
      <c r="M1820" s="16"/>
    </row>
    <row r="1821" spans="1:13" ht="30" customHeight="1">
      <c r="A1821" s="15"/>
      <c r="B1821" s="386" t="s">
        <v>119</v>
      </c>
      <c r="C1821" s="116"/>
      <c r="D1821" s="116"/>
      <c r="E1821" s="116"/>
      <c r="F1821" s="116"/>
      <c r="G1821" s="119"/>
      <c r="H1821" s="117"/>
      <c r="I1821" s="118"/>
      <c r="J1821" s="541">
        <f>Master!AK53</f>
        <v>9210.4</v>
      </c>
      <c r="K1821" s="587"/>
      <c r="L1821" s="581" t="s">
        <v>737</v>
      </c>
      <c r="M1821" s="16"/>
    </row>
    <row r="1822" spans="1:13" ht="30" customHeight="1">
      <c r="A1822" s="15"/>
      <c r="B1822" s="386" t="s">
        <v>120</v>
      </c>
      <c r="C1822" s="116"/>
      <c r="D1822" s="465" t="s">
        <v>24</v>
      </c>
      <c r="E1822" s="466">
        <f>Master!AM53</f>
        <v>1105</v>
      </c>
      <c r="F1822" s="465" t="s">
        <v>23</v>
      </c>
      <c r="G1822" s="466">
        <f>Master!AL53</f>
        <v>70</v>
      </c>
      <c r="H1822" s="465" t="s">
        <v>25</v>
      </c>
      <c r="I1822" s="466">
        <f>Master!AN53</f>
        <v>0</v>
      </c>
      <c r="J1822" s="465" t="s">
        <v>26</v>
      </c>
      <c r="K1822" s="466">
        <f>Master!AO53</f>
        <v>0</v>
      </c>
      <c r="L1822" s="400">
        <f>Master!AP53</f>
        <v>0</v>
      </c>
      <c r="M1822" s="16"/>
    </row>
    <row r="1823" spans="1:13" ht="30" customHeight="1">
      <c r="A1823" s="15"/>
      <c r="B1823" s="386" t="s">
        <v>121</v>
      </c>
      <c r="C1823" s="116"/>
      <c r="D1823" s="116"/>
      <c r="E1823" s="116"/>
      <c r="F1823" s="116"/>
      <c r="G1823" s="119"/>
      <c r="H1823" s="117"/>
      <c r="I1823" s="118"/>
      <c r="J1823" s="541">
        <f>Master!AR53</f>
        <v>8035.4</v>
      </c>
      <c r="K1823" s="118"/>
      <c r="L1823" s="125"/>
      <c r="M1823" s="16"/>
    </row>
    <row r="1824" spans="1:13">
      <c r="A1824" s="15"/>
      <c r="B1824" s="387" t="s">
        <v>122</v>
      </c>
      <c r="C1824" s="74"/>
      <c r="D1824" s="74"/>
      <c r="E1824" s="74"/>
      <c r="F1824" s="74"/>
      <c r="G1824" s="75"/>
      <c r="H1824" s="76"/>
      <c r="I1824" s="77"/>
      <c r="J1824" s="77"/>
      <c r="K1824" s="77"/>
      <c r="L1824" s="78"/>
      <c r="M1824" s="16"/>
    </row>
    <row r="1825" spans="1:13">
      <c r="A1825" s="15"/>
      <c r="B1825" s="388" t="s">
        <v>123</v>
      </c>
      <c r="C1825" s="79"/>
      <c r="D1825" s="79"/>
      <c r="E1825" s="79"/>
      <c r="F1825" s="79"/>
      <c r="G1825" s="80"/>
      <c r="H1825" s="60"/>
      <c r="I1825" s="19"/>
      <c r="J1825" s="19"/>
      <c r="K1825" s="19"/>
      <c r="L1825" s="81"/>
      <c r="M1825" s="16"/>
    </row>
    <row r="1826" spans="1:13">
      <c r="A1826" s="15"/>
      <c r="B1826" s="15"/>
      <c r="C1826" s="114"/>
      <c r="D1826" s="114"/>
      <c r="E1826" s="114"/>
      <c r="F1826" s="114"/>
      <c r="G1826" s="114"/>
      <c r="H1826" s="114"/>
      <c r="I1826" s="114"/>
      <c r="J1826" s="114"/>
      <c r="K1826" s="114"/>
      <c r="L1826" s="16"/>
      <c r="M1826" s="16"/>
    </row>
    <row r="1827" spans="1:13" ht="15" thickBot="1">
      <c r="A1827" s="27"/>
      <c r="B1827" s="27"/>
      <c r="C1827" s="25"/>
      <c r="D1827" s="25"/>
      <c r="E1827" s="25"/>
      <c r="F1827" s="25"/>
      <c r="G1827" s="25"/>
      <c r="H1827" s="25"/>
      <c r="I1827" s="25"/>
      <c r="J1827" s="25"/>
      <c r="K1827" s="25"/>
      <c r="L1827" s="26"/>
      <c r="M1827" s="26"/>
    </row>
    <row r="1828" spans="1:13">
      <c r="A1828" s="420"/>
      <c r="B1828" s="420"/>
      <c r="C1828" s="420"/>
      <c r="D1828" s="420"/>
      <c r="E1828" s="420"/>
      <c r="F1828" s="420"/>
      <c r="G1828" s="420"/>
      <c r="H1828" s="420"/>
      <c r="I1828" s="420"/>
      <c r="J1828" s="420"/>
      <c r="K1828" s="420"/>
      <c r="L1828" s="420"/>
      <c r="M1828" s="420"/>
    </row>
    <row r="1829" spans="1:13">
      <c r="A1829" s="420"/>
      <c r="B1829" s="420"/>
      <c r="C1829" s="420"/>
      <c r="D1829" s="420"/>
      <c r="E1829" s="420"/>
      <c r="F1829" s="420"/>
      <c r="G1829" s="420"/>
      <c r="H1829" s="420"/>
      <c r="I1829" s="420"/>
      <c r="J1829" s="420"/>
      <c r="K1829" s="420"/>
      <c r="L1829" s="420"/>
      <c r="M1829" s="420"/>
    </row>
    <row r="1830" spans="1:13">
      <c r="A1830" s="420"/>
      <c r="B1830" s="420"/>
      <c r="C1830" s="420"/>
      <c r="D1830" s="420"/>
      <c r="E1830" s="420"/>
      <c r="F1830" s="420"/>
      <c r="G1830" s="420"/>
      <c r="H1830" s="420"/>
      <c r="I1830" s="420"/>
      <c r="J1830" s="420"/>
      <c r="K1830" s="420"/>
      <c r="L1830" s="420"/>
      <c r="M1830" s="420"/>
    </row>
    <row r="1831" spans="1:13">
      <c r="A1831" s="420"/>
      <c r="B1831" s="420"/>
      <c r="C1831" s="420"/>
      <c r="D1831" s="420"/>
      <c r="E1831" s="420"/>
      <c r="F1831" s="420"/>
      <c r="G1831" s="420"/>
      <c r="H1831" s="420"/>
      <c r="I1831" s="420"/>
      <c r="J1831" s="420"/>
      <c r="K1831" s="420"/>
      <c r="L1831" s="420"/>
      <c r="M1831" s="420"/>
    </row>
    <row r="1832" spans="1:13" ht="15" thickBot="1">
      <c r="A1832" s="420"/>
      <c r="B1832" s="420"/>
      <c r="C1832" s="420"/>
      <c r="D1832" s="420"/>
      <c r="E1832" s="420"/>
      <c r="F1832" s="420"/>
      <c r="G1832" s="420"/>
      <c r="H1832" s="420"/>
      <c r="I1832" s="420"/>
      <c r="J1832" s="420"/>
      <c r="K1832" s="420"/>
      <c r="L1832" s="420"/>
      <c r="M1832" s="420"/>
    </row>
    <row r="1833" spans="1:13" ht="32.4">
      <c r="A1833" s="68"/>
      <c r="B1833" s="960" t="s">
        <v>99</v>
      </c>
      <c r="C1833" s="961"/>
      <c r="D1833" s="961"/>
      <c r="E1833" s="961"/>
      <c r="F1833" s="961"/>
      <c r="G1833" s="961"/>
      <c r="H1833" s="961"/>
      <c r="I1833" s="961"/>
      <c r="J1833" s="961"/>
      <c r="K1833" s="961"/>
      <c r="L1833" s="962"/>
      <c r="M1833" s="69"/>
    </row>
    <row r="1834" spans="1:13" ht="23.4">
      <c r="A1834" s="15"/>
      <c r="B1834" s="963" t="s">
        <v>100</v>
      </c>
      <c r="C1834" s="964"/>
      <c r="D1834" s="964"/>
      <c r="E1834" s="964"/>
      <c r="F1834" s="964"/>
      <c r="G1834" s="964"/>
      <c r="H1834" s="964"/>
      <c r="I1834" s="964"/>
      <c r="J1834" s="964"/>
      <c r="K1834" s="964"/>
      <c r="L1834" s="965"/>
      <c r="M1834" s="16"/>
    </row>
    <row r="1835" spans="1:13" ht="15.6">
      <c r="A1835" s="15"/>
      <c r="B1835" s="966" t="s">
        <v>1070</v>
      </c>
      <c r="C1835" s="967"/>
      <c r="D1835" s="967"/>
      <c r="E1835" s="967"/>
      <c r="F1835" s="967"/>
      <c r="G1835" s="967"/>
      <c r="H1835" s="968"/>
      <c r="I1835" s="968"/>
      <c r="J1835" s="968"/>
      <c r="K1835" s="968"/>
      <c r="L1835" s="969"/>
      <c r="M1835" s="16"/>
    </row>
    <row r="1836" spans="1:13">
      <c r="A1836" s="15"/>
      <c r="B1836" s="970" t="s">
        <v>101</v>
      </c>
      <c r="C1836" s="971"/>
      <c r="D1836" s="971"/>
      <c r="E1836" s="971"/>
      <c r="F1836" s="971"/>
      <c r="G1836" s="391"/>
      <c r="H1836" s="974" t="s">
        <v>102</v>
      </c>
      <c r="I1836" s="975"/>
      <c r="J1836" s="975"/>
      <c r="K1836" s="975"/>
      <c r="L1836" s="976"/>
      <c r="M1836" s="16"/>
    </row>
    <row r="1837" spans="1:13">
      <c r="A1837" s="15"/>
      <c r="B1837" s="972"/>
      <c r="C1837" s="973"/>
      <c r="D1837" s="973"/>
      <c r="E1837" s="973"/>
      <c r="F1837" s="973"/>
      <c r="G1837" s="395"/>
      <c r="H1837" s="977"/>
      <c r="I1837" s="978"/>
      <c r="J1837" s="978"/>
      <c r="K1837" s="978"/>
      <c r="L1837" s="979"/>
      <c r="M1837" s="16"/>
    </row>
    <row r="1838" spans="1:13">
      <c r="A1838" s="15"/>
      <c r="B1838" s="382"/>
      <c r="C1838" s="77"/>
      <c r="D1838" s="77"/>
      <c r="E1838" s="77"/>
      <c r="F1838" s="77"/>
      <c r="G1838" s="56"/>
      <c r="H1838" s="76"/>
      <c r="I1838" s="77"/>
      <c r="J1838" s="77"/>
      <c r="K1838" s="77"/>
      <c r="L1838" s="78"/>
      <c r="M1838" s="16"/>
    </row>
    <row r="1839" spans="1:13">
      <c r="A1839" s="15"/>
      <c r="B1839" s="378" t="str">
        <f>Master!F5</f>
        <v>GROTECH LANDSCAPE DEVELOPERS PVT. LTD.</v>
      </c>
      <c r="C1839" s="114"/>
      <c r="D1839" s="114"/>
      <c r="E1839" s="114"/>
      <c r="F1839" s="114"/>
      <c r="G1839" s="379"/>
      <c r="H1839" s="381" t="str">
        <f>Master!AN5</f>
        <v>GROTECH LANDSCAPE DEVELOPERS PVT. LTD.</v>
      </c>
      <c r="I1839" s="114"/>
      <c r="J1839" s="114"/>
      <c r="K1839" s="114"/>
      <c r="L1839" s="16"/>
      <c r="M1839" s="16"/>
    </row>
    <row r="1840" spans="1:13">
      <c r="A1840" s="15"/>
      <c r="B1840" s="15"/>
      <c r="C1840" s="114"/>
      <c r="D1840" s="114"/>
      <c r="E1840" s="114"/>
      <c r="F1840" s="114"/>
      <c r="G1840" s="379"/>
      <c r="H1840" s="380"/>
      <c r="I1840" s="114"/>
      <c r="J1840" s="114"/>
      <c r="K1840" s="114"/>
      <c r="L1840" s="16"/>
      <c r="M1840" s="16"/>
    </row>
    <row r="1841" spans="1:13">
      <c r="A1841" s="15"/>
      <c r="B1841" s="538" t="str">
        <f>Master!F6</f>
        <v>290/E, Khanapur Village, Gandipet Mandal, Ranga Reddy, Hyderabad-500075 T.S.</v>
      </c>
      <c r="C1841" s="114"/>
      <c r="D1841" s="114"/>
      <c r="E1841" s="114"/>
      <c r="F1841" s="114"/>
      <c r="G1841" s="379"/>
      <c r="H1841" s="539" t="str">
        <f>Master!AN6</f>
        <v>290/E, Khanapur Village, Gandipet Mandal, Ranga Reddy, Hyderabad-500075 T.S.</v>
      </c>
      <c r="I1841" s="114"/>
      <c r="J1841" s="114"/>
      <c r="K1841" s="114"/>
      <c r="L1841" s="16"/>
      <c r="M1841" s="16"/>
    </row>
    <row r="1842" spans="1:13">
      <c r="A1842" s="15"/>
      <c r="B1842" s="383"/>
      <c r="C1842" s="19"/>
      <c r="D1842" s="19"/>
      <c r="E1842" s="19"/>
      <c r="F1842" s="19"/>
      <c r="G1842" s="61"/>
      <c r="H1842" s="60"/>
      <c r="I1842" s="19"/>
      <c r="J1842" s="19"/>
      <c r="K1842" s="19"/>
      <c r="L1842" s="81"/>
      <c r="M1842" s="16"/>
    </row>
    <row r="1843" spans="1:13">
      <c r="A1843" s="15"/>
      <c r="B1843" s="389"/>
      <c r="C1843" s="390"/>
      <c r="D1843" s="390"/>
      <c r="E1843" s="390"/>
      <c r="F1843" s="390"/>
      <c r="G1843" s="391"/>
      <c r="H1843" s="396"/>
      <c r="I1843" s="390"/>
      <c r="J1843" s="390" t="s">
        <v>103</v>
      </c>
      <c r="K1843" s="390"/>
      <c r="L1843" s="397"/>
      <c r="M1843" s="16"/>
    </row>
    <row r="1844" spans="1:13">
      <c r="A1844" s="15"/>
      <c r="B1844" s="980" t="s">
        <v>104</v>
      </c>
      <c r="C1844" s="981"/>
      <c r="D1844" s="981"/>
      <c r="E1844" s="981"/>
      <c r="F1844" s="981"/>
      <c r="G1844" s="392"/>
      <c r="H1844" s="982" t="s">
        <v>4</v>
      </c>
      <c r="I1844" s="981"/>
      <c r="J1844" s="981"/>
      <c r="K1844" s="981"/>
      <c r="L1844" s="983"/>
      <c r="M1844" s="16"/>
    </row>
    <row r="1845" spans="1:13">
      <c r="A1845" s="15"/>
      <c r="B1845" s="393"/>
      <c r="C1845" s="394"/>
      <c r="D1845" s="394"/>
      <c r="E1845" s="394"/>
      <c r="F1845" s="394"/>
      <c r="G1845" s="395"/>
      <c r="H1845" s="398"/>
      <c r="I1845" s="394"/>
      <c r="J1845" s="394"/>
      <c r="K1845" s="394"/>
      <c r="L1845" s="399"/>
      <c r="M1845" s="16"/>
    </row>
    <row r="1846" spans="1:13">
      <c r="A1846" s="15"/>
      <c r="B1846" s="382"/>
      <c r="C1846" s="77"/>
      <c r="D1846" s="77"/>
      <c r="E1846" s="77"/>
      <c r="F1846" s="77"/>
      <c r="G1846" s="56"/>
      <c r="H1846" s="74"/>
      <c r="I1846" s="74"/>
      <c r="J1846" s="74"/>
      <c r="K1846" s="74"/>
      <c r="L1846" s="384"/>
      <c r="M1846" s="16"/>
    </row>
    <row r="1847" spans="1:13">
      <c r="A1847" s="15"/>
      <c r="B1847" s="15"/>
      <c r="C1847" s="114"/>
      <c r="D1847" s="114"/>
      <c r="E1847" s="114"/>
      <c r="F1847" s="114"/>
      <c r="G1847" s="379"/>
      <c r="H1847" s="115" t="str">
        <f>Master!AN10</f>
        <v>INDIAN SCHOOL OF BUSINESS</v>
      </c>
      <c r="I1847" s="115"/>
      <c r="J1847" s="115"/>
      <c r="K1847" s="115"/>
      <c r="L1847" s="71"/>
      <c r="M1847" s="16"/>
    </row>
    <row r="1848" spans="1:13">
      <c r="A1848" s="15"/>
      <c r="B1848" s="70" t="str">
        <f>Master!F8</f>
        <v>GARDENING SERVICES&amp;ISB HYDERABAD</v>
      </c>
      <c r="C1848" s="114"/>
      <c r="D1848" s="114"/>
      <c r="E1848" s="114"/>
      <c r="F1848" s="114"/>
      <c r="G1848" s="379"/>
      <c r="H1848" s="115"/>
      <c r="I1848" s="115"/>
      <c r="J1848" s="115"/>
      <c r="K1848" s="115"/>
      <c r="L1848" s="71"/>
      <c r="M1848" s="16"/>
    </row>
    <row r="1849" spans="1:13">
      <c r="A1849" s="15"/>
      <c r="B1849" s="15"/>
      <c r="C1849" s="114"/>
      <c r="D1849" s="114"/>
      <c r="E1849" s="114"/>
      <c r="F1849" s="114"/>
      <c r="G1849" s="379"/>
      <c r="H1849" s="115" t="str">
        <f>Master!AN11</f>
        <v>Opp.Infosys Limited,Gachibowli,Hyderabad</v>
      </c>
      <c r="I1849" s="115"/>
      <c r="J1849" s="115"/>
      <c r="K1849" s="115"/>
      <c r="L1849" s="71"/>
      <c r="M1849" s="16"/>
    </row>
    <row r="1850" spans="1:13">
      <c r="A1850" s="15"/>
      <c r="B1850" s="383"/>
      <c r="C1850" s="19"/>
      <c r="D1850" s="19"/>
      <c r="E1850" s="19"/>
      <c r="F1850" s="19"/>
      <c r="G1850" s="61"/>
      <c r="H1850" s="79"/>
      <c r="I1850" s="79"/>
      <c r="J1850" s="79"/>
      <c r="K1850" s="79"/>
      <c r="L1850" s="385"/>
      <c r="M1850" s="16"/>
    </row>
    <row r="1851" spans="1:13" ht="30" customHeight="1">
      <c r="A1851" s="15"/>
      <c r="B1851" s="948" t="s">
        <v>105</v>
      </c>
      <c r="C1851" s="949"/>
      <c r="D1851" s="949"/>
      <c r="E1851" s="949"/>
      <c r="F1851" s="949"/>
      <c r="G1851" s="949"/>
      <c r="H1851" s="950" t="str">
        <f>Master!D54</f>
        <v>Kummari kalavathi</v>
      </c>
      <c r="I1851" s="951"/>
      <c r="J1851" s="951"/>
      <c r="K1851" s="951"/>
      <c r="L1851" s="952"/>
      <c r="M1851" s="16"/>
    </row>
    <row r="1852" spans="1:13" ht="30" customHeight="1">
      <c r="A1852" s="15"/>
      <c r="B1852" s="948"/>
      <c r="C1852" s="949"/>
      <c r="D1852" s="949"/>
      <c r="E1852" s="949"/>
      <c r="F1852" s="949"/>
      <c r="G1852" s="949"/>
      <c r="H1852" s="950" t="str">
        <f>Master!K54</f>
        <v>H NO 2-71\1</v>
      </c>
      <c r="I1852" s="951"/>
      <c r="J1852" s="951"/>
      <c r="K1852" s="951"/>
      <c r="L1852" s="952"/>
      <c r="M1852" s="16"/>
    </row>
    <row r="1853" spans="1:13" ht="30" customHeight="1">
      <c r="A1853" s="15"/>
      <c r="B1853" s="948"/>
      <c r="C1853" s="949"/>
      <c r="D1853" s="949"/>
      <c r="E1853" s="949"/>
      <c r="F1853" s="949"/>
      <c r="G1853" s="949"/>
      <c r="H1853" s="950" t="str">
        <f>Master!L54</f>
        <v>MADHARAM,MEDHAK</v>
      </c>
      <c r="I1853" s="951"/>
      <c r="J1853" s="951"/>
      <c r="K1853" s="951"/>
      <c r="L1853" s="952"/>
      <c r="M1853" s="16"/>
    </row>
    <row r="1854" spans="1:13" ht="30" customHeight="1">
      <c r="A1854" s="15"/>
      <c r="B1854" s="948"/>
      <c r="C1854" s="949"/>
      <c r="D1854" s="949"/>
      <c r="E1854" s="949"/>
      <c r="F1854" s="949"/>
      <c r="G1854" s="949"/>
      <c r="H1854" s="950" t="str">
        <f>Master!M54</f>
        <v>TS-502319</v>
      </c>
      <c r="I1854" s="951"/>
      <c r="J1854" s="951"/>
      <c r="K1854" s="951"/>
      <c r="L1854" s="952"/>
      <c r="M1854" s="16"/>
    </row>
    <row r="1855" spans="1:13" ht="30" customHeight="1">
      <c r="A1855" s="73"/>
      <c r="B1855" s="948"/>
      <c r="C1855" s="949"/>
      <c r="D1855" s="949"/>
      <c r="E1855" s="949"/>
      <c r="F1855" s="949"/>
      <c r="G1855" s="949"/>
      <c r="H1855" s="989">
        <f>Master!N2424</f>
        <v>0</v>
      </c>
      <c r="I1855" s="990"/>
      <c r="J1855" s="990"/>
      <c r="K1855" s="990"/>
      <c r="L1855" s="991"/>
      <c r="M1855" s="16"/>
    </row>
    <row r="1856" spans="1:13" ht="30" customHeight="1">
      <c r="A1856" s="73"/>
      <c r="B1856" s="984" t="s">
        <v>106</v>
      </c>
      <c r="C1856" s="985"/>
      <c r="D1856" s="985"/>
      <c r="E1856" s="985"/>
      <c r="F1856" s="985"/>
      <c r="G1856" s="985"/>
      <c r="H1856" s="947">
        <f>Master!C54</f>
        <v>44</v>
      </c>
      <c r="I1856" s="945"/>
      <c r="J1856" s="945"/>
      <c r="K1856" s="945"/>
      <c r="L1856" s="946"/>
      <c r="M1856" s="16"/>
    </row>
    <row r="1857" spans="1:13" ht="30" customHeight="1">
      <c r="A1857" s="73"/>
      <c r="B1857" s="943" t="s">
        <v>107</v>
      </c>
      <c r="C1857" s="944"/>
      <c r="D1857" s="944"/>
      <c r="E1857" s="944"/>
      <c r="F1857" s="944"/>
      <c r="G1857" s="944"/>
      <c r="H1857" s="947" t="str">
        <f>Master!J54</f>
        <v>Unskilled Gardner</v>
      </c>
      <c r="I1857" s="945"/>
      <c r="J1857" s="945"/>
      <c r="K1857" s="945"/>
      <c r="L1857" s="946"/>
      <c r="M1857" s="16"/>
    </row>
    <row r="1858" spans="1:13" ht="30" customHeight="1">
      <c r="A1858" s="73"/>
      <c r="B1858" s="943" t="s">
        <v>108</v>
      </c>
      <c r="C1858" s="944"/>
      <c r="D1858" s="944"/>
      <c r="E1858" s="944"/>
      <c r="F1858" s="944"/>
      <c r="G1858" s="944"/>
      <c r="H1858" s="957">
        <f>Master!S54</f>
        <v>43862</v>
      </c>
      <c r="I1858" s="958"/>
      <c r="J1858" s="958"/>
      <c r="K1858" s="958"/>
      <c r="L1858" s="959"/>
      <c r="M1858" s="16"/>
    </row>
    <row r="1859" spans="1:13" ht="30" customHeight="1">
      <c r="A1859" s="73"/>
      <c r="B1859" s="386" t="s">
        <v>109</v>
      </c>
      <c r="C1859" s="116"/>
      <c r="D1859" s="116"/>
      <c r="E1859" s="116"/>
      <c r="F1859" s="116"/>
      <c r="G1859" s="116"/>
      <c r="H1859" s="947">
        <f>Master!Y54</f>
        <v>5216385155</v>
      </c>
      <c r="I1859" s="947"/>
      <c r="J1859" s="947"/>
      <c r="K1859" s="947"/>
      <c r="L1859" s="953"/>
      <c r="M1859" s="16"/>
    </row>
    <row r="1860" spans="1:13" ht="30" customHeight="1">
      <c r="A1860" s="73"/>
      <c r="B1860" s="386" t="s">
        <v>110</v>
      </c>
      <c r="C1860" s="116"/>
      <c r="D1860" s="116"/>
      <c r="E1860" s="116"/>
      <c r="F1860" s="116"/>
      <c r="G1860" s="119"/>
      <c r="H1860" s="947" t="str">
        <f>Master!X54</f>
        <v>101322441815</v>
      </c>
      <c r="I1860" s="947"/>
      <c r="J1860" s="947"/>
      <c r="K1860" s="947"/>
      <c r="L1860" s="953"/>
      <c r="M1860" s="16"/>
    </row>
    <row r="1861" spans="1:13" ht="30" customHeight="1">
      <c r="A1861" s="73"/>
      <c r="B1861" s="954" t="s">
        <v>111</v>
      </c>
      <c r="C1861" s="955"/>
      <c r="D1861" s="955"/>
      <c r="E1861" s="955"/>
      <c r="F1861" s="955"/>
      <c r="G1861" s="955"/>
      <c r="H1861" s="950">
        <f>Master!AC54</f>
        <v>10627</v>
      </c>
      <c r="I1861" s="951"/>
      <c r="J1861" s="951"/>
      <c r="K1861" s="951"/>
      <c r="L1861" s="952"/>
      <c r="M1861" s="16"/>
    </row>
    <row r="1862" spans="1:13" ht="30" customHeight="1">
      <c r="A1862" s="73"/>
      <c r="B1862" s="943" t="s">
        <v>112</v>
      </c>
      <c r="C1862" s="944"/>
      <c r="D1862" s="944"/>
      <c r="E1862" s="944"/>
      <c r="F1862" s="944"/>
      <c r="G1862" s="944"/>
      <c r="H1862" s="956">
        <f>Master!F10</f>
        <v>44652</v>
      </c>
      <c r="I1862" s="945"/>
      <c r="J1862" s="945"/>
      <c r="K1862" s="945"/>
      <c r="L1862" s="946"/>
      <c r="M1862" s="16"/>
    </row>
    <row r="1863" spans="1:13" ht="30" customHeight="1">
      <c r="A1863" s="15"/>
      <c r="B1863" s="943" t="s">
        <v>113</v>
      </c>
      <c r="C1863" s="944"/>
      <c r="D1863" s="944"/>
      <c r="E1863" s="944"/>
      <c r="F1863" s="944"/>
      <c r="G1863" s="944"/>
      <c r="H1863" s="945" t="s">
        <v>114</v>
      </c>
      <c r="I1863" s="945"/>
      <c r="J1863" s="945"/>
      <c r="K1863" s="945"/>
      <c r="L1863" s="946"/>
      <c r="M1863" s="16"/>
    </row>
    <row r="1864" spans="1:13" ht="30" customHeight="1">
      <c r="A1864" s="15"/>
      <c r="B1864" s="386" t="s">
        <v>115</v>
      </c>
      <c r="C1864" s="116"/>
      <c r="D1864" s="116"/>
      <c r="E1864" s="116"/>
      <c r="F1864" s="116"/>
      <c r="G1864" s="119"/>
      <c r="H1864" s="947">
        <f>Master!AA54</f>
        <v>26</v>
      </c>
      <c r="I1864" s="945"/>
      <c r="J1864" s="945"/>
      <c r="K1864" s="945"/>
      <c r="L1864" s="946"/>
      <c r="M1864" s="16"/>
    </row>
    <row r="1865" spans="1:13" ht="30" customHeight="1">
      <c r="A1865" s="15"/>
      <c r="B1865" s="386" t="s">
        <v>116</v>
      </c>
      <c r="C1865" s="116"/>
      <c r="D1865" s="116"/>
      <c r="E1865" s="116"/>
      <c r="F1865" s="116"/>
      <c r="G1865" s="119"/>
      <c r="H1865" s="986" t="s">
        <v>28</v>
      </c>
      <c r="I1865" s="987"/>
      <c r="J1865" s="987"/>
      <c r="K1865" s="987"/>
      <c r="L1865" s="988"/>
      <c r="M1865" s="16"/>
    </row>
    <row r="1866" spans="1:13" ht="30" customHeight="1">
      <c r="A1866" s="15"/>
      <c r="B1866" s="386" t="s">
        <v>117</v>
      </c>
      <c r="C1866" s="116"/>
      <c r="D1866" s="116"/>
      <c r="E1866" s="116"/>
      <c r="F1866" s="116"/>
      <c r="G1866" s="119"/>
      <c r="H1866" s="989">
        <v>0</v>
      </c>
      <c r="I1866" s="990"/>
      <c r="J1866" s="990"/>
      <c r="K1866" s="990"/>
      <c r="L1866" s="991"/>
      <c r="M1866" s="16"/>
    </row>
    <row r="1867" spans="1:13" ht="30" customHeight="1">
      <c r="A1867" s="15"/>
      <c r="B1867" s="386" t="s">
        <v>118</v>
      </c>
      <c r="C1867" s="116"/>
      <c r="D1867" s="116"/>
      <c r="E1867" s="116"/>
      <c r="F1867" s="116"/>
      <c r="G1867" s="119"/>
      <c r="H1867" s="986">
        <v>0</v>
      </c>
      <c r="I1867" s="987"/>
      <c r="J1867" s="987"/>
      <c r="K1867" s="987"/>
      <c r="L1867" s="988"/>
      <c r="M1867" s="16"/>
    </row>
    <row r="1868" spans="1:13" ht="30" customHeight="1">
      <c r="A1868" s="15"/>
      <c r="B1868" s="386" t="s">
        <v>119</v>
      </c>
      <c r="C1868" s="116"/>
      <c r="D1868" s="116"/>
      <c r="E1868" s="116"/>
      <c r="F1868" s="116"/>
      <c r="G1868" s="119"/>
      <c r="H1868" s="117"/>
      <c r="I1868" s="118"/>
      <c r="J1868" s="990">
        <f>Master!AK54</f>
        <v>9210.4</v>
      </c>
      <c r="K1868" s="992"/>
      <c r="L1868" s="581" t="s">
        <v>737</v>
      </c>
      <c r="M1868" s="16"/>
    </row>
    <row r="1869" spans="1:13" ht="30" customHeight="1">
      <c r="A1869" s="15"/>
      <c r="B1869" s="386" t="s">
        <v>120</v>
      </c>
      <c r="C1869" s="116"/>
      <c r="D1869" s="465" t="s">
        <v>24</v>
      </c>
      <c r="E1869" s="466">
        <f>Master!AM54</f>
        <v>1105</v>
      </c>
      <c r="F1869" s="465" t="s">
        <v>23</v>
      </c>
      <c r="G1869" s="466">
        <f>Master!AL54</f>
        <v>70</v>
      </c>
      <c r="H1869" s="465" t="s">
        <v>25</v>
      </c>
      <c r="I1869" s="466">
        <f>Master!AN54</f>
        <v>0</v>
      </c>
      <c r="J1869" s="465" t="s">
        <v>26</v>
      </c>
      <c r="K1869" s="466">
        <f>Master!AO54</f>
        <v>0</v>
      </c>
      <c r="L1869" s="400">
        <f>Master!AP54</f>
        <v>0</v>
      </c>
      <c r="M1869" s="16"/>
    </row>
    <row r="1870" spans="1:13" ht="30" customHeight="1">
      <c r="A1870" s="15"/>
      <c r="B1870" s="386" t="s">
        <v>121</v>
      </c>
      <c r="C1870" s="116"/>
      <c r="D1870" s="116"/>
      <c r="E1870" s="116"/>
      <c r="F1870" s="116"/>
      <c r="G1870" s="119"/>
      <c r="H1870" s="117"/>
      <c r="I1870" s="118"/>
      <c r="J1870" s="541">
        <f>Master!AR54</f>
        <v>8035.4</v>
      </c>
      <c r="K1870" s="118"/>
      <c r="L1870" s="125"/>
      <c r="M1870" s="16"/>
    </row>
    <row r="1871" spans="1:13">
      <c r="A1871" s="15"/>
      <c r="B1871" s="387" t="s">
        <v>122</v>
      </c>
      <c r="C1871" s="74"/>
      <c r="D1871" s="74"/>
      <c r="E1871" s="74"/>
      <c r="F1871" s="74"/>
      <c r="G1871" s="75"/>
      <c r="H1871" s="76"/>
      <c r="I1871" s="77"/>
      <c r="J1871" s="77"/>
      <c r="K1871" s="77"/>
      <c r="L1871" s="78"/>
      <c r="M1871" s="16"/>
    </row>
    <row r="1872" spans="1:13">
      <c r="A1872" s="15"/>
      <c r="B1872" s="388" t="s">
        <v>123</v>
      </c>
      <c r="C1872" s="79"/>
      <c r="D1872" s="79"/>
      <c r="E1872" s="79"/>
      <c r="F1872" s="79"/>
      <c r="G1872" s="80"/>
      <c r="H1872" s="60"/>
      <c r="I1872" s="19"/>
      <c r="J1872" s="19"/>
      <c r="K1872" s="19"/>
      <c r="L1872" s="81"/>
      <c r="M1872" s="16"/>
    </row>
    <row r="1873" spans="1:13">
      <c r="A1873" s="15"/>
      <c r="B1873" s="15"/>
      <c r="C1873" s="114"/>
      <c r="D1873" s="114"/>
      <c r="E1873" s="114"/>
      <c r="F1873" s="114"/>
      <c r="G1873" s="114"/>
      <c r="H1873" s="114"/>
      <c r="I1873" s="114"/>
      <c r="J1873" s="114"/>
      <c r="K1873" s="114"/>
      <c r="L1873" s="16"/>
      <c r="M1873" s="16"/>
    </row>
    <row r="1874" spans="1:13" ht="15" thickBot="1">
      <c r="A1874" s="27"/>
      <c r="B1874" s="27"/>
      <c r="C1874" s="25"/>
      <c r="D1874" s="25"/>
      <c r="E1874" s="25"/>
      <c r="F1874" s="25"/>
      <c r="G1874" s="25"/>
      <c r="H1874" s="25"/>
      <c r="I1874" s="25"/>
      <c r="J1874" s="25"/>
      <c r="K1874" s="25"/>
      <c r="L1874" s="26"/>
      <c r="M1874" s="26"/>
    </row>
    <row r="1875" spans="1:13">
      <c r="A1875" s="420"/>
      <c r="B1875" s="420"/>
      <c r="C1875" s="420"/>
      <c r="D1875" s="420"/>
      <c r="E1875" s="420"/>
      <c r="F1875" s="420"/>
      <c r="G1875" s="420"/>
      <c r="H1875" s="420"/>
      <c r="I1875" s="420"/>
      <c r="J1875" s="420"/>
      <c r="K1875" s="420"/>
      <c r="L1875" s="420"/>
      <c r="M1875" s="420"/>
    </row>
    <row r="1876" spans="1:13">
      <c r="A1876" s="420"/>
      <c r="B1876" s="420"/>
      <c r="C1876" s="420"/>
      <c r="D1876" s="420"/>
      <c r="E1876" s="420"/>
      <c r="F1876" s="420"/>
      <c r="G1876" s="420"/>
      <c r="H1876" s="420"/>
      <c r="I1876" s="420"/>
      <c r="J1876" s="420"/>
      <c r="K1876" s="420"/>
      <c r="L1876" s="420"/>
      <c r="M1876" s="420"/>
    </row>
    <row r="1877" spans="1:13">
      <c r="A1877" s="420"/>
      <c r="B1877" s="420"/>
      <c r="C1877" s="420"/>
      <c r="D1877" s="420"/>
      <c r="E1877" s="420"/>
      <c r="F1877" s="420"/>
      <c r="G1877" s="420"/>
      <c r="H1877" s="420"/>
      <c r="I1877" s="420"/>
      <c r="J1877" s="420"/>
      <c r="K1877" s="420"/>
      <c r="L1877" s="420"/>
      <c r="M1877" s="420"/>
    </row>
    <row r="1878" spans="1:13">
      <c r="A1878" s="420"/>
      <c r="B1878" s="420"/>
      <c r="C1878" s="420"/>
      <c r="D1878" s="420"/>
      <c r="E1878" s="420"/>
      <c r="F1878" s="420"/>
      <c r="G1878" s="420"/>
      <c r="H1878" s="420"/>
      <c r="I1878" s="420"/>
      <c r="J1878" s="420"/>
      <c r="K1878" s="420"/>
      <c r="L1878" s="420"/>
      <c r="M1878" s="420"/>
    </row>
    <row r="1879" spans="1:13" ht="15" thickBot="1">
      <c r="A1879" s="420"/>
      <c r="B1879" s="420"/>
      <c r="C1879" s="420"/>
      <c r="D1879" s="420"/>
      <c r="E1879" s="420"/>
      <c r="F1879" s="420"/>
      <c r="G1879" s="420"/>
      <c r="H1879" s="420"/>
      <c r="I1879" s="420"/>
      <c r="J1879" s="420"/>
      <c r="K1879" s="420"/>
      <c r="L1879" s="420"/>
      <c r="M1879" s="420"/>
    </row>
    <row r="1880" spans="1:13" ht="32.4">
      <c r="A1880" s="68"/>
      <c r="B1880" s="960" t="s">
        <v>99</v>
      </c>
      <c r="C1880" s="961"/>
      <c r="D1880" s="961"/>
      <c r="E1880" s="961"/>
      <c r="F1880" s="961"/>
      <c r="G1880" s="961"/>
      <c r="H1880" s="961"/>
      <c r="I1880" s="961"/>
      <c r="J1880" s="961"/>
      <c r="K1880" s="961"/>
      <c r="L1880" s="962"/>
      <c r="M1880" s="69"/>
    </row>
    <row r="1881" spans="1:13" ht="23.4">
      <c r="A1881" s="15"/>
      <c r="B1881" s="963" t="s">
        <v>100</v>
      </c>
      <c r="C1881" s="964"/>
      <c r="D1881" s="964"/>
      <c r="E1881" s="964"/>
      <c r="F1881" s="964"/>
      <c r="G1881" s="964"/>
      <c r="H1881" s="964"/>
      <c r="I1881" s="964"/>
      <c r="J1881" s="964"/>
      <c r="K1881" s="964"/>
      <c r="L1881" s="965"/>
      <c r="M1881" s="16"/>
    </row>
    <row r="1882" spans="1:13" ht="15.6">
      <c r="A1882" s="15"/>
      <c r="B1882" s="966" t="s">
        <v>1070</v>
      </c>
      <c r="C1882" s="967"/>
      <c r="D1882" s="967"/>
      <c r="E1882" s="967"/>
      <c r="F1882" s="967"/>
      <c r="G1882" s="967"/>
      <c r="H1882" s="968"/>
      <c r="I1882" s="968"/>
      <c r="J1882" s="968"/>
      <c r="K1882" s="968"/>
      <c r="L1882" s="969"/>
      <c r="M1882" s="16"/>
    </row>
    <row r="1883" spans="1:13">
      <c r="A1883" s="15"/>
      <c r="B1883" s="970" t="s">
        <v>101</v>
      </c>
      <c r="C1883" s="971"/>
      <c r="D1883" s="971"/>
      <c r="E1883" s="971"/>
      <c r="F1883" s="971"/>
      <c r="G1883" s="391"/>
      <c r="H1883" s="974" t="s">
        <v>102</v>
      </c>
      <c r="I1883" s="975"/>
      <c r="J1883" s="975"/>
      <c r="K1883" s="975"/>
      <c r="L1883" s="976"/>
      <c r="M1883" s="16"/>
    </row>
    <row r="1884" spans="1:13">
      <c r="A1884" s="15"/>
      <c r="B1884" s="972"/>
      <c r="C1884" s="973"/>
      <c r="D1884" s="973"/>
      <c r="E1884" s="973"/>
      <c r="F1884" s="973"/>
      <c r="G1884" s="395"/>
      <c r="H1884" s="977"/>
      <c r="I1884" s="978"/>
      <c r="J1884" s="978"/>
      <c r="K1884" s="978"/>
      <c r="L1884" s="979"/>
      <c r="M1884" s="16"/>
    </row>
    <row r="1885" spans="1:13">
      <c r="A1885" s="15"/>
      <c r="B1885" s="382"/>
      <c r="C1885" s="77"/>
      <c r="D1885" s="77"/>
      <c r="E1885" s="77"/>
      <c r="F1885" s="77"/>
      <c r="G1885" s="56"/>
      <c r="H1885" s="76"/>
      <c r="I1885" s="77"/>
      <c r="J1885" s="77"/>
      <c r="K1885" s="77"/>
      <c r="L1885" s="78"/>
      <c r="M1885" s="16"/>
    </row>
    <row r="1886" spans="1:13">
      <c r="A1886" s="15"/>
      <c r="B1886" s="378" t="str">
        <f>Master!F5</f>
        <v>GROTECH LANDSCAPE DEVELOPERS PVT. LTD.</v>
      </c>
      <c r="C1886" s="114"/>
      <c r="D1886" s="114"/>
      <c r="E1886" s="114"/>
      <c r="F1886" s="114"/>
      <c r="G1886" s="379"/>
      <c r="H1886" s="381" t="str">
        <f>Master!AN5</f>
        <v>GROTECH LANDSCAPE DEVELOPERS PVT. LTD.</v>
      </c>
      <c r="I1886" s="114"/>
      <c r="J1886" s="114"/>
      <c r="K1886" s="114"/>
      <c r="L1886" s="16"/>
      <c r="M1886" s="16"/>
    </row>
    <row r="1887" spans="1:13">
      <c r="A1887" s="15"/>
      <c r="B1887" s="15"/>
      <c r="C1887" s="114"/>
      <c r="D1887" s="114"/>
      <c r="E1887" s="114"/>
      <c r="F1887" s="114"/>
      <c r="G1887" s="379"/>
      <c r="H1887" s="380"/>
      <c r="I1887" s="114"/>
      <c r="J1887" s="114"/>
      <c r="K1887" s="114"/>
      <c r="L1887" s="16"/>
      <c r="M1887" s="16"/>
    </row>
    <row r="1888" spans="1:13">
      <c r="A1888" s="15"/>
      <c r="B1888" s="538" t="str">
        <f>Master!F6</f>
        <v>290/E, Khanapur Village, Gandipet Mandal, Ranga Reddy, Hyderabad-500075 T.S.</v>
      </c>
      <c r="C1888" s="114"/>
      <c r="D1888" s="114"/>
      <c r="E1888" s="114"/>
      <c r="F1888" s="114"/>
      <c r="G1888" s="379"/>
      <c r="H1888" s="539" t="str">
        <f>Master!AN6</f>
        <v>290/E, Khanapur Village, Gandipet Mandal, Ranga Reddy, Hyderabad-500075 T.S.</v>
      </c>
      <c r="I1888" s="114"/>
      <c r="J1888" s="114"/>
      <c r="K1888" s="114"/>
      <c r="L1888" s="16"/>
      <c r="M1888" s="16"/>
    </row>
    <row r="1889" spans="1:13">
      <c r="A1889" s="15"/>
      <c r="B1889" s="383"/>
      <c r="C1889" s="19"/>
      <c r="D1889" s="19"/>
      <c r="E1889" s="19"/>
      <c r="F1889" s="19"/>
      <c r="G1889" s="61"/>
      <c r="H1889" s="60"/>
      <c r="I1889" s="19"/>
      <c r="J1889" s="19"/>
      <c r="K1889" s="19"/>
      <c r="L1889" s="81"/>
      <c r="M1889" s="16"/>
    </row>
    <row r="1890" spans="1:13">
      <c r="A1890" s="15"/>
      <c r="B1890" s="389"/>
      <c r="C1890" s="390"/>
      <c r="D1890" s="390"/>
      <c r="E1890" s="390"/>
      <c r="F1890" s="390"/>
      <c r="G1890" s="391"/>
      <c r="H1890" s="396"/>
      <c r="I1890" s="390"/>
      <c r="J1890" s="390" t="s">
        <v>103</v>
      </c>
      <c r="K1890" s="390"/>
      <c r="L1890" s="397"/>
      <c r="M1890" s="16"/>
    </row>
    <row r="1891" spans="1:13">
      <c r="A1891" s="15"/>
      <c r="B1891" s="980" t="s">
        <v>104</v>
      </c>
      <c r="C1891" s="981"/>
      <c r="D1891" s="981"/>
      <c r="E1891" s="981"/>
      <c r="F1891" s="981"/>
      <c r="G1891" s="392"/>
      <c r="H1891" s="982" t="s">
        <v>4</v>
      </c>
      <c r="I1891" s="981"/>
      <c r="J1891" s="981"/>
      <c r="K1891" s="981"/>
      <c r="L1891" s="983"/>
      <c r="M1891" s="16"/>
    </row>
    <row r="1892" spans="1:13">
      <c r="A1892" s="15"/>
      <c r="B1892" s="393"/>
      <c r="C1892" s="394"/>
      <c r="D1892" s="394"/>
      <c r="E1892" s="394"/>
      <c r="F1892" s="394"/>
      <c r="G1892" s="395"/>
      <c r="H1892" s="398"/>
      <c r="I1892" s="394"/>
      <c r="J1892" s="394"/>
      <c r="K1892" s="394"/>
      <c r="L1892" s="399"/>
      <c r="M1892" s="16"/>
    </row>
    <row r="1893" spans="1:13">
      <c r="A1893" s="15"/>
      <c r="B1893" s="382"/>
      <c r="C1893" s="77"/>
      <c r="D1893" s="77"/>
      <c r="E1893" s="77"/>
      <c r="F1893" s="77"/>
      <c r="G1893" s="56"/>
      <c r="H1893" s="74"/>
      <c r="I1893" s="74"/>
      <c r="J1893" s="74"/>
      <c r="K1893" s="74"/>
      <c r="L1893" s="384"/>
      <c r="M1893" s="16"/>
    </row>
    <row r="1894" spans="1:13">
      <c r="A1894" s="15"/>
      <c r="B1894" s="15"/>
      <c r="C1894" s="114"/>
      <c r="D1894" s="114"/>
      <c r="E1894" s="114"/>
      <c r="F1894" s="114"/>
      <c r="G1894" s="379"/>
      <c r="H1894" s="115" t="str">
        <f>Master!AN10</f>
        <v>INDIAN SCHOOL OF BUSINESS</v>
      </c>
      <c r="I1894" s="115"/>
      <c r="J1894" s="115"/>
      <c r="K1894" s="115"/>
      <c r="L1894" s="71"/>
      <c r="M1894" s="16"/>
    </row>
    <row r="1895" spans="1:13">
      <c r="A1895" s="15"/>
      <c r="B1895" s="70" t="str">
        <f>Master!F8</f>
        <v>GARDENING SERVICES&amp;ISB HYDERABAD</v>
      </c>
      <c r="C1895" s="114"/>
      <c r="D1895" s="114"/>
      <c r="E1895" s="114"/>
      <c r="F1895" s="114"/>
      <c r="G1895" s="379"/>
      <c r="H1895" s="115"/>
      <c r="I1895" s="115"/>
      <c r="J1895" s="115"/>
      <c r="K1895" s="115"/>
      <c r="L1895" s="71"/>
      <c r="M1895" s="16"/>
    </row>
    <row r="1896" spans="1:13">
      <c r="A1896" s="15"/>
      <c r="B1896" s="15"/>
      <c r="C1896" s="114"/>
      <c r="D1896" s="114"/>
      <c r="E1896" s="114"/>
      <c r="F1896" s="114"/>
      <c r="G1896" s="379"/>
      <c r="H1896" s="115" t="str">
        <f>Master!AN11</f>
        <v>Opp.Infosys Limited,Gachibowli,Hyderabad</v>
      </c>
      <c r="I1896" s="115"/>
      <c r="J1896" s="115"/>
      <c r="K1896" s="115"/>
      <c r="L1896" s="71"/>
      <c r="M1896" s="16"/>
    </row>
    <row r="1897" spans="1:13">
      <c r="A1897" s="15"/>
      <c r="B1897" s="383"/>
      <c r="C1897" s="19"/>
      <c r="D1897" s="19"/>
      <c r="E1897" s="19"/>
      <c r="F1897" s="19"/>
      <c r="G1897" s="61"/>
      <c r="H1897" s="79"/>
      <c r="I1897" s="79"/>
      <c r="J1897" s="79"/>
      <c r="K1897" s="79"/>
      <c r="L1897" s="385"/>
      <c r="M1897" s="16"/>
    </row>
    <row r="1898" spans="1:13" ht="30" customHeight="1">
      <c r="A1898" s="15"/>
      <c r="B1898" s="948" t="s">
        <v>105</v>
      </c>
      <c r="C1898" s="949"/>
      <c r="D1898" s="949"/>
      <c r="E1898" s="949"/>
      <c r="F1898" s="949"/>
      <c r="G1898" s="949"/>
      <c r="H1898" s="950" t="str">
        <f>Master!D55</f>
        <v xml:space="preserve">Vadla Naveena </v>
      </c>
      <c r="I1898" s="951"/>
      <c r="J1898" s="951"/>
      <c r="K1898" s="951"/>
      <c r="L1898" s="952"/>
      <c r="M1898" s="16"/>
    </row>
    <row r="1899" spans="1:13" ht="30" customHeight="1">
      <c r="A1899" s="15"/>
      <c r="B1899" s="948"/>
      <c r="C1899" s="949"/>
      <c r="D1899" s="949"/>
      <c r="E1899" s="949"/>
      <c r="F1899" s="949"/>
      <c r="G1899" s="949"/>
      <c r="H1899" s="950" t="str">
        <f>Master!K55</f>
        <v>H NO 3-10 MADHRAM</v>
      </c>
      <c r="I1899" s="951"/>
      <c r="J1899" s="951"/>
      <c r="K1899" s="951"/>
      <c r="L1899" s="952"/>
      <c r="M1899" s="16"/>
    </row>
    <row r="1900" spans="1:13" ht="30" customHeight="1">
      <c r="A1900" s="15"/>
      <c r="B1900" s="948"/>
      <c r="C1900" s="949"/>
      <c r="D1900" s="949"/>
      <c r="E1900" s="949"/>
      <c r="F1900" s="949"/>
      <c r="G1900" s="949"/>
      <c r="H1900" s="950" t="str">
        <f>Master!L55</f>
        <v>MADHRAM MEDAK</v>
      </c>
      <c r="I1900" s="951"/>
      <c r="J1900" s="951"/>
      <c r="K1900" s="951"/>
      <c r="L1900" s="952"/>
      <c r="M1900" s="16"/>
    </row>
    <row r="1901" spans="1:13" ht="30" customHeight="1">
      <c r="A1901" s="15"/>
      <c r="B1901" s="948"/>
      <c r="C1901" s="949"/>
      <c r="D1901" s="949"/>
      <c r="E1901" s="949"/>
      <c r="F1901" s="949"/>
      <c r="G1901" s="949"/>
      <c r="H1901" s="950" t="str">
        <f>Master!M55</f>
        <v>TS-502319</v>
      </c>
      <c r="I1901" s="951"/>
      <c r="J1901" s="951"/>
      <c r="K1901" s="951"/>
      <c r="L1901" s="952"/>
      <c r="M1901" s="16"/>
    </row>
    <row r="1902" spans="1:13" ht="30" customHeight="1">
      <c r="A1902" s="73"/>
      <c r="B1902" s="948"/>
      <c r="C1902" s="949"/>
      <c r="D1902" s="949"/>
      <c r="E1902" s="949"/>
      <c r="F1902" s="949"/>
      <c r="G1902" s="949"/>
      <c r="H1902" s="989">
        <f>Master!N2470</f>
        <v>0</v>
      </c>
      <c r="I1902" s="990"/>
      <c r="J1902" s="990"/>
      <c r="K1902" s="990"/>
      <c r="L1902" s="991"/>
      <c r="M1902" s="16"/>
    </row>
    <row r="1903" spans="1:13" ht="30" customHeight="1">
      <c r="A1903" s="73"/>
      <c r="B1903" s="984" t="s">
        <v>106</v>
      </c>
      <c r="C1903" s="985"/>
      <c r="D1903" s="985"/>
      <c r="E1903" s="985"/>
      <c r="F1903" s="985"/>
      <c r="G1903" s="985"/>
      <c r="H1903" s="947">
        <f>Master!C55</f>
        <v>45</v>
      </c>
      <c r="I1903" s="945"/>
      <c r="J1903" s="945"/>
      <c r="K1903" s="945"/>
      <c r="L1903" s="946"/>
      <c r="M1903" s="16"/>
    </row>
    <row r="1904" spans="1:13" ht="30" customHeight="1">
      <c r="A1904" s="73"/>
      <c r="B1904" s="943" t="s">
        <v>107</v>
      </c>
      <c r="C1904" s="944"/>
      <c r="D1904" s="944"/>
      <c r="E1904" s="944"/>
      <c r="F1904" s="944"/>
      <c r="G1904" s="944"/>
      <c r="H1904" s="947" t="str">
        <f>Master!J55</f>
        <v>Unskilled Gardner</v>
      </c>
      <c r="I1904" s="945"/>
      <c r="J1904" s="945"/>
      <c r="K1904" s="945"/>
      <c r="L1904" s="946"/>
      <c r="M1904" s="16"/>
    </row>
    <row r="1905" spans="1:13" ht="30" customHeight="1">
      <c r="A1905" s="73"/>
      <c r="B1905" s="943" t="s">
        <v>108</v>
      </c>
      <c r="C1905" s="944"/>
      <c r="D1905" s="944"/>
      <c r="E1905" s="944"/>
      <c r="F1905" s="944"/>
      <c r="G1905" s="944"/>
      <c r="H1905" s="957">
        <f>Master!S55</f>
        <v>43862</v>
      </c>
      <c r="I1905" s="958"/>
      <c r="J1905" s="958"/>
      <c r="K1905" s="958"/>
      <c r="L1905" s="959"/>
      <c r="M1905" s="16"/>
    </row>
    <row r="1906" spans="1:13" ht="30" customHeight="1">
      <c r="A1906" s="73"/>
      <c r="B1906" s="386" t="s">
        <v>109</v>
      </c>
      <c r="C1906" s="116"/>
      <c r="D1906" s="116"/>
      <c r="E1906" s="116"/>
      <c r="F1906" s="116"/>
      <c r="G1906" s="116"/>
      <c r="H1906" s="947">
        <f>Master!Y55</f>
        <v>5216385182</v>
      </c>
      <c r="I1906" s="947"/>
      <c r="J1906" s="947"/>
      <c r="K1906" s="947"/>
      <c r="L1906" s="953"/>
      <c r="M1906" s="16"/>
    </row>
    <row r="1907" spans="1:13" ht="30" customHeight="1">
      <c r="A1907" s="73"/>
      <c r="B1907" s="386" t="s">
        <v>110</v>
      </c>
      <c r="C1907" s="116"/>
      <c r="D1907" s="116"/>
      <c r="E1907" s="116"/>
      <c r="F1907" s="116"/>
      <c r="G1907" s="119"/>
      <c r="H1907" s="947" t="str">
        <f>Master!X55</f>
        <v>101458887492</v>
      </c>
      <c r="I1907" s="947"/>
      <c r="J1907" s="947"/>
      <c r="K1907" s="947"/>
      <c r="L1907" s="953"/>
      <c r="M1907" s="16"/>
    </row>
    <row r="1908" spans="1:13" ht="30" customHeight="1">
      <c r="A1908" s="73"/>
      <c r="B1908" s="954" t="s">
        <v>111</v>
      </c>
      <c r="C1908" s="955"/>
      <c r="D1908" s="955"/>
      <c r="E1908" s="955"/>
      <c r="F1908" s="955"/>
      <c r="G1908" s="955"/>
      <c r="H1908" s="950">
        <f>Master!AC55</f>
        <v>10627</v>
      </c>
      <c r="I1908" s="951"/>
      <c r="J1908" s="951"/>
      <c r="K1908" s="951"/>
      <c r="L1908" s="952"/>
      <c r="M1908" s="16"/>
    </row>
    <row r="1909" spans="1:13" ht="30" customHeight="1">
      <c r="A1909" s="73"/>
      <c r="B1909" s="943" t="s">
        <v>112</v>
      </c>
      <c r="C1909" s="944"/>
      <c r="D1909" s="944"/>
      <c r="E1909" s="944"/>
      <c r="F1909" s="944"/>
      <c r="G1909" s="944"/>
      <c r="H1909" s="956">
        <f>Master!F10</f>
        <v>44652</v>
      </c>
      <c r="I1909" s="945"/>
      <c r="J1909" s="945"/>
      <c r="K1909" s="945"/>
      <c r="L1909" s="946"/>
      <c r="M1909" s="16"/>
    </row>
    <row r="1910" spans="1:13" ht="30" customHeight="1">
      <c r="A1910" s="15"/>
      <c r="B1910" s="943" t="s">
        <v>113</v>
      </c>
      <c r="C1910" s="944"/>
      <c r="D1910" s="944"/>
      <c r="E1910" s="944"/>
      <c r="F1910" s="944"/>
      <c r="G1910" s="944"/>
      <c r="H1910" s="945" t="s">
        <v>114</v>
      </c>
      <c r="I1910" s="945"/>
      <c r="J1910" s="945"/>
      <c r="K1910" s="945"/>
      <c r="L1910" s="946"/>
      <c r="M1910" s="16"/>
    </row>
    <row r="1911" spans="1:13" ht="30" customHeight="1">
      <c r="A1911" s="15"/>
      <c r="B1911" s="386" t="s">
        <v>115</v>
      </c>
      <c r="C1911" s="116"/>
      <c r="D1911" s="116"/>
      <c r="E1911" s="116"/>
      <c r="F1911" s="116"/>
      <c r="G1911" s="119"/>
      <c r="H1911" s="947">
        <f>Master!AA55</f>
        <v>26</v>
      </c>
      <c r="I1911" s="945"/>
      <c r="J1911" s="945"/>
      <c r="K1911" s="945"/>
      <c r="L1911" s="946"/>
      <c r="M1911" s="16"/>
    </row>
    <row r="1912" spans="1:13" ht="30" customHeight="1">
      <c r="A1912" s="15"/>
      <c r="B1912" s="386" t="s">
        <v>116</v>
      </c>
      <c r="C1912" s="116"/>
      <c r="D1912" s="116"/>
      <c r="E1912" s="116"/>
      <c r="F1912" s="116"/>
      <c r="G1912" s="119"/>
      <c r="H1912" s="986" t="s">
        <v>28</v>
      </c>
      <c r="I1912" s="987"/>
      <c r="J1912" s="987"/>
      <c r="K1912" s="987"/>
      <c r="L1912" s="988"/>
      <c r="M1912" s="16"/>
    </row>
    <row r="1913" spans="1:13" ht="30" customHeight="1">
      <c r="A1913" s="15"/>
      <c r="B1913" s="386" t="s">
        <v>117</v>
      </c>
      <c r="C1913" s="116"/>
      <c r="D1913" s="116"/>
      <c r="E1913" s="116"/>
      <c r="F1913" s="116"/>
      <c r="G1913" s="119"/>
      <c r="H1913" s="989">
        <v>0</v>
      </c>
      <c r="I1913" s="990"/>
      <c r="J1913" s="990"/>
      <c r="K1913" s="990"/>
      <c r="L1913" s="991"/>
      <c r="M1913" s="16"/>
    </row>
    <row r="1914" spans="1:13" ht="30" customHeight="1">
      <c r="A1914" s="15"/>
      <c r="B1914" s="386" t="s">
        <v>118</v>
      </c>
      <c r="C1914" s="116"/>
      <c r="D1914" s="116"/>
      <c r="E1914" s="116"/>
      <c r="F1914" s="116"/>
      <c r="G1914" s="119"/>
      <c r="H1914" s="986">
        <v>0</v>
      </c>
      <c r="I1914" s="987"/>
      <c r="J1914" s="987"/>
      <c r="K1914" s="987"/>
      <c r="L1914" s="988"/>
      <c r="M1914" s="16"/>
    </row>
    <row r="1915" spans="1:13" ht="30" customHeight="1">
      <c r="A1915" s="15"/>
      <c r="B1915" s="386" t="s">
        <v>119</v>
      </c>
      <c r="C1915" s="116"/>
      <c r="D1915" s="116"/>
      <c r="E1915" s="116"/>
      <c r="F1915" s="116"/>
      <c r="G1915" s="119"/>
      <c r="H1915" s="117"/>
      <c r="I1915" s="118"/>
      <c r="J1915" s="990">
        <f>Master!AK55</f>
        <v>9210.4</v>
      </c>
      <c r="K1915" s="992"/>
      <c r="L1915" s="581" t="s">
        <v>737</v>
      </c>
      <c r="M1915" s="16"/>
    </row>
    <row r="1916" spans="1:13" ht="30" customHeight="1">
      <c r="A1916" s="15"/>
      <c r="B1916" s="386" t="s">
        <v>120</v>
      </c>
      <c r="C1916" s="116"/>
      <c r="D1916" s="465" t="s">
        <v>24</v>
      </c>
      <c r="E1916" s="466">
        <f>Master!AM55</f>
        <v>1105</v>
      </c>
      <c r="F1916" s="465" t="s">
        <v>23</v>
      </c>
      <c r="G1916" s="466">
        <f>Master!AL55</f>
        <v>70</v>
      </c>
      <c r="H1916" s="465" t="s">
        <v>25</v>
      </c>
      <c r="I1916" s="466">
        <f>Master!AN55</f>
        <v>0</v>
      </c>
      <c r="J1916" s="465" t="s">
        <v>26</v>
      </c>
      <c r="K1916" s="466">
        <f>Master!AO55</f>
        <v>0</v>
      </c>
      <c r="L1916" s="400">
        <f>Master!AP55</f>
        <v>0</v>
      </c>
      <c r="M1916" s="16"/>
    </row>
    <row r="1917" spans="1:13" ht="30" customHeight="1">
      <c r="A1917" s="15"/>
      <c r="B1917" s="386" t="s">
        <v>121</v>
      </c>
      <c r="C1917" s="116"/>
      <c r="D1917" s="116"/>
      <c r="E1917" s="116"/>
      <c r="F1917" s="116"/>
      <c r="G1917" s="119"/>
      <c r="H1917" s="117"/>
      <c r="I1917" s="118"/>
      <c r="J1917" s="541">
        <f>Master!AR55</f>
        <v>8035.4</v>
      </c>
      <c r="K1917" s="118"/>
      <c r="L1917" s="125"/>
      <c r="M1917" s="16"/>
    </row>
    <row r="1918" spans="1:13">
      <c r="A1918" s="15"/>
      <c r="B1918" s="387" t="s">
        <v>122</v>
      </c>
      <c r="C1918" s="74"/>
      <c r="D1918" s="74"/>
      <c r="E1918" s="74"/>
      <c r="F1918" s="74"/>
      <c r="G1918" s="75"/>
      <c r="H1918" s="76"/>
      <c r="I1918" s="77"/>
      <c r="J1918" s="77"/>
      <c r="K1918" s="77"/>
      <c r="L1918" s="78"/>
      <c r="M1918" s="16"/>
    </row>
    <row r="1919" spans="1:13">
      <c r="A1919" s="15"/>
      <c r="B1919" s="388" t="s">
        <v>123</v>
      </c>
      <c r="C1919" s="79"/>
      <c r="D1919" s="79"/>
      <c r="E1919" s="79"/>
      <c r="F1919" s="79"/>
      <c r="G1919" s="80"/>
      <c r="H1919" s="60"/>
      <c r="I1919" s="19"/>
      <c r="J1919" s="19"/>
      <c r="K1919" s="19"/>
      <c r="L1919" s="81"/>
      <c r="M1919" s="16"/>
    </row>
    <row r="1920" spans="1:13">
      <c r="A1920" s="15"/>
      <c r="B1920" s="15"/>
      <c r="C1920" s="114"/>
      <c r="D1920" s="114"/>
      <c r="E1920" s="114"/>
      <c r="F1920" s="114"/>
      <c r="G1920" s="114"/>
      <c r="H1920" s="114"/>
      <c r="I1920" s="114"/>
      <c r="J1920" s="114"/>
      <c r="K1920" s="114"/>
      <c r="L1920" s="16"/>
      <c r="M1920" s="16"/>
    </row>
    <row r="1921" spans="1:13" ht="15" thickBot="1">
      <c r="A1921" s="27"/>
      <c r="B1921" s="27"/>
      <c r="C1921" s="25"/>
      <c r="D1921" s="25"/>
      <c r="E1921" s="25"/>
      <c r="F1921" s="25"/>
      <c r="G1921" s="25"/>
      <c r="H1921" s="25"/>
      <c r="I1921" s="25"/>
      <c r="J1921" s="25"/>
      <c r="K1921" s="25"/>
      <c r="L1921" s="26"/>
      <c r="M1921" s="26"/>
    </row>
    <row r="1922" spans="1:13">
      <c r="A1922" s="420"/>
      <c r="B1922" s="420"/>
      <c r="C1922" s="420"/>
      <c r="D1922" s="420"/>
      <c r="E1922" s="420"/>
      <c r="F1922" s="420"/>
      <c r="G1922" s="420"/>
      <c r="H1922" s="420"/>
      <c r="I1922" s="420"/>
      <c r="J1922" s="420"/>
      <c r="K1922" s="420"/>
      <c r="L1922" s="420"/>
      <c r="M1922" s="420"/>
    </row>
    <row r="1923" spans="1:13">
      <c r="A1923" s="420"/>
      <c r="B1923" s="420"/>
      <c r="C1923" s="420"/>
      <c r="D1923" s="420"/>
      <c r="E1923" s="420"/>
      <c r="F1923" s="420"/>
      <c r="G1923" s="420"/>
      <c r="H1923" s="420"/>
      <c r="I1923" s="420"/>
      <c r="J1923" s="420"/>
      <c r="K1923" s="420"/>
      <c r="L1923" s="420"/>
      <c r="M1923" s="420"/>
    </row>
    <row r="1924" spans="1:13">
      <c r="A1924" s="420"/>
      <c r="B1924" s="420"/>
      <c r="C1924" s="420"/>
      <c r="D1924" s="420"/>
      <c r="E1924" s="420"/>
      <c r="F1924" s="420"/>
      <c r="G1924" s="420"/>
      <c r="H1924" s="420"/>
      <c r="I1924" s="420"/>
      <c r="J1924" s="420"/>
      <c r="K1924" s="420"/>
      <c r="L1924" s="420"/>
      <c r="M1924" s="420"/>
    </row>
    <row r="1925" spans="1:13">
      <c r="A1925" s="420"/>
      <c r="B1925" s="420"/>
      <c r="C1925" s="420"/>
      <c r="D1925" s="420"/>
      <c r="E1925" s="420"/>
      <c r="F1925" s="420"/>
      <c r="G1925" s="420"/>
      <c r="H1925" s="420"/>
      <c r="I1925" s="420"/>
      <c r="J1925" s="420"/>
      <c r="K1925" s="420"/>
      <c r="L1925" s="420"/>
      <c r="M1925" s="420"/>
    </row>
    <row r="1926" spans="1:13" ht="15" thickBot="1">
      <c r="A1926" s="420"/>
      <c r="B1926" s="420"/>
      <c r="C1926" s="420"/>
      <c r="D1926" s="420"/>
      <c r="E1926" s="420"/>
      <c r="F1926" s="420"/>
      <c r="G1926" s="420"/>
      <c r="H1926" s="420"/>
      <c r="I1926" s="420"/>
      <c r="J1926" s="420"/>
      <c r="K1926" s="420"/>
      <c r="L1926" s="420"/>
      <c r="M1926" s="420"/>
    </row>
    <row r="1927" spans="1:13" ht="32.4">
      <c r="A1927" s="68"/>
      <c r="B1927" s="960" t="s">
        <v>99</v>
      </c>
      <c r="C1927" s="961"/>
      <c r="D1927" s="961"/>
      <c r="E1927" s="961"/>
      <c r="F1927" s="961"/>
      <c r="G1927" s="961"/>
      <c r="H1927" s="961"/>
      <c r="I1927" s="961"/>
      <c r="J1927" s="961"/>
      <c r="K1927" s="961"/>
      <c r="L1927" s="962"/>
      <c r="M1927" s="69"/>
    </row>
    <row r="1928" spans="1:13" ht="23.4">
      <c r="A1928" s="15"/>
      <c r="B1928" s="963" t="s">
        <v>100</v>
      </c>
      <c r="C1928" s="964"/>
      <c r="D1928" s="964"/>
      <c r="E1928" s="964"/>
      <c r="F1928" s="964"/>
      <c r="G1928" s="964"/>
      <c r="H1928" s="964"/>
      <c r="I1928" s="964"/>
      <c r="J1928" s="964"/>
      <c r="K1928" s="964"/>
      <c r="L1928" s="965"/>
      <c r="M1928" s="16"/>
    </row>
    <row r="1929" spans="1:13" ht="15.6">
      <c r="A1929" s="15"/>
      <c r="B1929" s="966" t="s">
        <v>1070</v>
      </c>
      <c r="C1929" s="967"/>
      <c r="D1929" s="967"/>
      <c r="E1929" s="967"/>
      <c r="F1929" s="967"/>
      <c r="G1929" s="967"/>
      <c r="H1929" s="968"/>
      <c r="I1929" s="968"/>
      <c r="J1929" s="968"/>
      <c r="K1929" s="968"/>
      <c r="L1929" s="969"/>
      <c r="M1929" s="16"/>
    </row>
    <row r="1930" spans="1:13">
      <c r="A1930" s="15"/>
      <c r="B1930" s="970" t="s">
        <v>101</v>
      </c>
      <c r="C1930" s="971"/>
      <c r="D1930" s="971"/>
      <c r="E1930" s="971"/>
      <c r="F1930" s="971"/>
      <c r="G1930" s="391"/>
      <c r="H1930" s="974" t="s">
        <v>102</v>
      </c>
      <c r="I1930" s="975"/>
      <c r="J1930" s="975"/>
      <c r="K1930" s="975"/>
      <c r="L1930" s="976"/>
      <c r="M1930" s="16"/>
    </row>
    <row r="1931" spans="1:13">
      <c r="A1931" s="15"/>
      <c r="B1931" s="972"/>
      <c r="C1931" s="973"/>
      <c r="D1931" s="973"/>
      <c r="E1931" s="973"/>
      <c r="F1931" s="973"/>
      <c r="G1931" s="395"/>
      <c r="H1931" s="977"/>
      <c r="I1931" s="978"/>
      <c r="J1931" s="978"/>
      <c r="K1931" s="978"/>
      <c r="L1931" s="979"/>
      <c r="M1931" s="16"/>
    </row>
    <row r="1932" spans="1:13">
      <c r="A1932" s="15"/>
      <c r="B1932" s="382"/>
      <c r="C1932" s="77"/>
      <c r="D1932" s="77"/>
      <c r="E1932" s="77"/>
      <c r="F1932" s="77"/>
      <c r="G1932" s="56"/>
      <c r="H1932" s="76"/>
      <c r="I1932" s="77"/>
      <c r="J1932" s="77"/>
      <c r="K1932" s="77"/>
      <c r="L1932" s="78"/>
      <c r="M1932" s="16"/>
    </row>
    <row r="1933" spans="1:13">
      <c r="A1933" s="15"/>
      <c r="B1933" s="378" t="str">
        <f>Master!F5</f>
        <v>GROTECH LANDSCAPE DEVELOPERS PVT. LTD.</v>
      </c>
      <c r="C1933" s="114"/>
      <c r="D1933" s="114"/>
      <c r="E1933" s="114"/>
      <c r="F1933" s="114"/>
      <c r="G1933" s="379"/>
      <c r="H1933" s="381" t="str">
        <f>Master!AN5</f>
        <v>GROTECH LANDSCAPE DEVELOPERS PVT. LTD.</v>
      </c>
      <c r="I1933" s="114"/>
      <c r="J1933" s="114"/>
      <c r="K1933" s="114"/>
      <c r="L1933" s="16"/>
      <c r="M1933" s="16"/>
    </row>
    <row r="1934" spans="1:13">
      <c r="A1934" s="15"/>
      <c r="B1934" s="15"/>
      <c r="C1934" s="114"/>
      <c r="D1934" s="114"/>
      <c r="E1934" s="114"/>
      <c r="F1934" s="114"/>
      <c r="G1934" s="379"/>
      <c r="H1934" s="380"/>
      <c r="I1934" s="114"/>
      <c r="J1934" s="114"/>
      <c r="K1934" s="114"/>
      <c r="L1934" s="16"/>
      <c r="M1934" s="16"/>
    </row>
    <row r="1935" spans="1:13">
      <c r="A1935" s="15"/>
      <c r="B1935" s="538" t="str">
        <f>Master!F6</f>
        <v>290/E, Khanapur Village, Gandipet Mandal, Ranga Reddy, Hyderabad-500075 T.S.</v>
      </c>
      <c r="C1935" s="114"/>
      <c r="D1935" s="114"/>
      <c r="E1935" s="114"/>
      <c r="F1935" s="114"/>
      <c r="G1935" s="379"/>
      <c r="H1935" s="539" t="str">
        <f>Master!AN6</f>
        <v>290/E, Khanapur Village, Gandipet Mandal, Ranga Reddy, Hyderabad-500075 T.S.</v>
      </c>
      <c r="I1935" s="114"/>
      <c r="J1935" s="114"/>
      <c r="K1935" s="114"/>
      <c r="L1935" s="16"/>
      <c r="M1935" s="16"/>
    </row>
    <row r="1936" spans="1:13">
      <c r="A1936" s="15"/>
      <c r="B1936" s="383"/>
      <c r="C1936" s="19"/>
      <c r="D1936" s="19"/>
      <c r="E1936" s="19"/>
      <c r="F1936" s="19"/>
      <c r="G1936" s="61"/>
      <c r="H1936" s="60"/>
      <c r="I1936" s="19"/>
      <c r="J1936" s="19"/>
      <c r="K1936" s="19"/>
      <c r="L1936" s="81"/>
      <c r="M1936" s="16"/>
    </row>
    <row r="1937" spans="1:13">
      <c r="A1937" s="15"/>
      <c r="B1937" s="389"/>
      <c r="C1937" s="390"/>
      <c r="D1937" s="390"/>
      <c r="E1937" s="390"/>
      <c r="F1937" s="390"/>
      <c r="G1937" s="391"/>
      <c r="H1937" s="396"/>
      <c r="I1937" s="390"/>
      <c r="J1937" s="390" t="s">
        <v>103</v>
      </c>
      <c r="K1937" s="390"/>
      <c r="L1937" s="397"/>
      <c r="M1937" s="16"/>
    </row>
    <row r="1938" spans="1:13">
      <c r="A1938" s="15"/>
      <c r="B1938" s="980" t="s">
        <v>104</v>
      </c>
      <c r="C1938" s="981"/>
      <c r="D1938" s="981"/>
      <c r="E1938" s="981"/>
      <c r="F1938" s="981"/>
      <c r="G1938" s="392"/>
      <c r="H1938" s="982" t="s">
        <v>4</v>
      </c>
      <c r="I1938" s="981"/>
      <c r="J1938" s="981"/>
      <c r="K1938" s="981"/>
      <c r="L1938" s="983"/>
      <c r="M1938" s="16"/>
    </row>
    <row r="1939" spans="1:13">
      <c r="A1939" s="15"/>
      <c r="B1939" s="393"/>
      <c r="C1939" s="394"/>
      <c r="D1939" s="394"/>
      <c r="E1939" s="394"/>
      <c r="F1939" s="394"/>
      <c r="G1939" s="395"/>
      <c r="H1939" s="398"/>
      <c r="I1939" s="394"/>
      <c r="J1939" s="394"/>
      <c r="K1939" s="394"/>
      <c r="L1939" s="399"/>
      <c r="M1939" s="16"/>
    </row>
    <row r="1940" spans="1:13">
      <c r="A1940" s="15"/>
      <c r="B1940" s="382"/>
      <c r="C1940" s="77"/>
      <c r="D1940" s="77"/>
      <c r="E1940" s="77"/>
      <c r="F1940" s="77"/>
      <c r="G1940" s="56"/>
      <c r="H1940" s="74"/>
      <c r="I1940" s="74"/>
      <c r="J1940" s="74"/>
      <c r="K1940" s="74"/>
      <c r="L1940" s="384"/>
      <c r="M1940" s="16"/>
    </row>
    <row r="1941" spans="1:13">
      <c r="A1941" s="15"/>
      <c r="B1941" s="15"/>
      <c r="C1941" s="114"/>
      <c r="D1941" s="114"/>
      <c r="E1941" s="114"/>
      <c r="F1941" s="114"/>
      <c r="G1941" s="379"/>
      <c r="H1941" s="115" t="str">
        <f>Master!AN10</f>
        <v>INDIAN SCHOOL OF BUSINESS</v>
      </c>
      <c r="I1941" s="115"/>
      <c r="J1941" s="115"/>
      <c r="K1941" s="115"/>
      <c r="L1941" s="71"/>
      <c r="M1941" s="16"/>
    </row>
    <row r="1942" spans="1:13">
      <c r="A1942" s="15"/>
      <c r="B1942" s="70" t="str">
        <f>Master!F8</f>
        <v>GARDENING SERVICES&amp;ISB HYDERABAD</v>
      </c>
      <c r="C1942" s="114"/>
      <c r="D1942" s="114"/>
      <c r="E1942" s="114"/>
      <c r="F1942" s="114"/>
      <c r="G1942" s="379"/>
      <c r="H1942" s="115"/>
      <c r="I1942" s="115"/>
      <c r="J1942" s="115"/>
      <c r="K1942" s="115"/>
      <c r="L1942" s="71"/>
      <c r="M1942" s="16"/>
    </row>
    <row r="1943" spans="1:13">
      <c r="A1943" s="15"/>
      <c r="B1943" s="15"/>
      <c r="C1943" s="114"/>
      <c r="D1943" s="114"/>
      <c r="E1943" s="114"/>
      <c r="F1943" s="114"/>
      <c r="G1943" s="379"/>
      <c r="H1943" s="115" t="str">
        <f>Master!AN11</f>
        <v>Opp.Infosys Limited,Gachibowli,Hyderabad</v>
      </c>
      <c r="I1943" s="115"/>
      <c r="J1943" s="115"/>
      <c r="K1943" s="115"/>
      <c r="L1943" s="71"/>
      <c r="M1943" s="16"/>
    </row>
    <row r="1944" spans="1:13">
      <c r="A1944" s="15"/>
      <c r="B1944" s="383"/>
      <c r="C1944" s="19"/>
      <c r="D1944" s="19"/>
      <c r="E1944" s="19"/>
      <c r="F1944" s="19"/>
      <c r="G1944" s="61"/>
      <c r="H1944" s="79"/>
      <c r="I1944" s="79"/>
      <c r="J1944" s="79"/>
      <c r="K1944" s="79"/>
      <c r="L1944" s="385"/>
      <c r="M1944" s="16"/>
    </row>
    <row r="1945" spans="1:13" ht="30" customHeight="1">
      <c r="A1945" s="15"/>
      <c r="B1945" s="948" t="s">
        <v>105</v>
      </c>
      <c r="C1945" s="949"/>
      <c r="D1945" s="949"/>
      <c r="E1945" s="949"/>
      <c r="F1945" s="949"/>
      <c r="G1945" s="949"/>
      <c r="H1945" s="950" t="str">
        <f>Master!D56</f>
        <v>Nagani shantamma</v>
      </c>
      <c r="I1945" s="951"/>
      <c r="J1945" s="951"/>
      <c r="K1945" s="951"/>
      <c r="L1945" s="952"/>
      <c r="M1945" s="16"/>
    </row>
    <row r="1946" spans="1:13" ht="30" customHeight="1">
      <c r="A1946" s="15"/>
      <c r="B1946" s="948"/>
      <c r="C1946" s="949"/>
      <c r="D1946" s="949"/>
      <c r="E1946" s="949"/>
      <c r="F1946" s="949"/>
      <c r="G1946" s="949"/>
      <c r="H1946" s="950" t="str">
        <f>Master!K56</f>
        <v>H NO 3-44</v>
      </c>
      <c r="I1946" s="951"/>
      <c r="J1946" s="951"/>
      <c r="K1946" s="951"/>
      <c r="L1946" s="952"/>
      <c r="M1946" s="16"/>
    </row>
    <row r="1947" spans="1:13" ht="30" customHeight="1">
      <c r="A1947" s="15"/>
      <c r="B1947" s="948"/>
      <c r="C1947" s="949"/>
      <c r="D1947" s="949"/>
      <c r="E1947" s="949"/>
      <c r="F1947" s="949"/>
      <c r="G1947" s="949"/>
      <c r="H1947" s="950" t="str">
        <f>Master!L56</f>
        <v>MADHARAM,MEDHAK</v>
      </c>
      <c r="I1947" s="951"/>
      <c r="J1947" s="951"/>
      <c r="K1947" s="951"/>
      <c r="L1947" s="952"/>
      <c r="M1947" s="16"/>
    </row>
    <row r="1948" spans="1:13" ht="30" customHeight="1">
      <c r="A1948" s="15"/>
      <c r="B1948" s="948"/>
      <c r="C1948" s="949"/>
      <c r="D1948" s="949"/>
      <c r="E1948" s="949"/>
      <c r="F1948" s="949"/>
      <c r="G1948" s="949"/>
      <c r="H1948" s="950" t="str">
        <f>Master!M56</f>
        <v>TS-502319</v>
      </c>
      <c r="I1948" s="951"/>
      <c r="J1948" s="951"/>
      <c r="K1948" s="951"/>
      <c r="L1948" s="952"/>
      <c r="M1948" s="16"/>
    </row>
    <row r="1949" spans="1:13" ht="30" customHeight="1">
      <c r="A1949" s="73"/>
      <c r="B1949" s="948"/>
      <c r="C1949" s="949"/>
      <c r="D1949" s="949"/>
      <c r="E1949" s="949"/>
      <c r="F1949" s="949"/>
      <c r="G1949" s="949"/>
      <c r="H1949" s="989">
        <f>Master!N2516</f>
        <v>0</v>
      </c>
      <c r="I1949" s="990"/>
      <c r="J1949" s="990"/>
      <c r="K1949" s="990"/>
      <c r="L1949" s="991"/>
      <c r="M1949" s="16"/>
    </row>
    <row r="1950" spans="1:13" ht="30" customHeight="1">
      <c r="A1950" s="73"/>
      <c r="B1950" s="984" t="s">
        <v>106</v>
      </c>
      <c r="C1950" s="985"/>
      <c r="D1950" s="985"/>
      <c r="E1950" s="985"/>
      <c r="F1950" s="985"/>
      <c r="G1950" s="985"/>
      <c r="H1950" s="947">
        <f>Master!C56</f>
        <v>46</v>
      </c>
      <c r="I1950" s="945"/>
      <c r="J1950" s="945"/>
      <c r="K1950" s="945"/>
      <c r="L1950" s="946"/>
      <c r="M1950" s="16"/>
    </row>
    <row r="1951" spans="1:13" ht="30" customHeight="1">
      <c r="A1951" s="73"/>
      <c r="B1951" s="943" t="s">
        <v>107</v>
      </c>
      <c r="C1951" s="944"/>
      <c r="D1951" s="944"/>
      <c r="E1951" s="944"/>
      <c r="F1951" s="944"/>
      <c r="G1951" s="944"/>
      <c r="H1951" s="947" t="str">
        <f>Master!J56</f>
        <v>Unskilled Gardner</v>
      </c>
      <c r="I1951" s="945"/>
      <c r="J1951" s="945"/>
      <c r="K1951" s="945"/>
      <c r="L1951" s="946"/>
      <c r="M1951" s="16"/>
    </row>
    <row r="1952" spans="1:13" ht="30" customHeight="1">
      <c r="A1952" s="73"/>
      <c r="B1952" s="943" t="s">
        <v>108</v>
      </c>
      <c r="C1952" s="944"/>
      <c r="D1952" s="944"/>
      <c r="E1952" s="944"/>
      <c r="F1952" s="944"/>
      <c r="G1952" s="944"/>
      <c r="H1952" s="957">
        <f>Master!S56</f>
        <v>43864</v>
      </c>
      <c r="I1952" s="958"/>
      <c r="J1952" s="958"/>
      <c r="K1952" s="958"/>
      <c r="L1952" s="959"/>
      <c r="M1952" s="16"/>
    </row>
    <row r="1953" spans="1:13" ht="30" customHeight="1">
      <c r="A1953" s="73"/>
      <c r="B1953" s="386" t="s">
        <v>109</v>
      </c>
      <c r="C1953" s="116"/>
      <c r="D1953" s="116"/>
      <c r="E1953" s="116"/>
      <c r="F1953" s="116"/>
      <c r="G1953" s="116"/>
      <c r="H1953" s="996">
        <f>Master!Y56</f>
        <v>5209952214</v>
      </c>
      <c r="I1953" s="945"/>
      <c r="J1953" s="945"/>
      <c r="K1953" s="945"/>
      <c r="L1953" s="946"/>
      <c r="M1953" s="16"/>
    </row>
    <row r="1954" spans="1:13" ht="30" customHeight="1">
      <c r="A1954" s="73"/>
      <c r="B1954" s="386" t="s">
        <v>110</v>
      </c>
      <c r="C1954" s="116"/>
      <c r="D1954" s="116"/>
      <c r="E1954" s="116"/>
      <c r="F1954" s="116"/>
      <c r="G1954" s="119"/>
      <c r="H1954" s="947" t="str">
        <f>Master!X56</f>
        <v>100246061839</v>
      </c>
      <c r="I1954" s="947"/>
      <c r="J1954" s="947"/>
      <c r="K1954" s="947"/>
      <c r="L1954" s="953"/>
      <c r="M1954" s="16"/>
    </row>
    <row r="1955" spans="1:13" ht="30" customHeight="1">
      <c r="A1955" s="73"/>
      <c r="B1955" s="954" t="s">
        <v>111</v>
      </c>
      <c r="C1955" s="955"/>
      <c r="D1955" s="955"/>
      <c r="E1955" s="955"/>
      <c r="F1955" s="955"/>
      <c r="G1955" s="955"/>
      <c r="H1955" s="950">
        <f>Master!AC56</f>
        <v>10627</v>
      </c>
      <c r="I1955" s="951"/>
      <c r="J1955" s="951"/>
      <c r="K1955" s="951"/>
      <c r="L1955" s="952"/>
      <c r="M1955" s="16"/>
    </row>
    <row r="1956" spans="1:13" ht="30" customHeight="1">
      <c r="A1956" s="73"/>
      <c r="B1956" s="943" t="s">
        <v>112</v>
      </c>
      <c r="C1956" s="944"/>
      <c r="D1956" s="944"/>
      <c r="E1956" s="944"/>
      <c r="F1956" s="944"/>
      <c r="G1956" s="944"/>
      <c r="H1956" s="956">
        <f>Master!F10</f>
        <v>44652</v>
      </c>
      <c r="I1956" s="945"/>
      <c r="J1956" s="945"/>
      <c r="K1956" s="945"/>
      <c r="L1956" s="946"/>
      <c r="M1956" s="16"/>
    </row>
    <row r="1957" spans="1:13" ht="30" customHeight="1">
      <c r="A1957" s="15"/>
      <c r="B1957" s="943" t="s">
        <v>113</v>
      </c>
      <c r="C1957" s="944"/>
      <c r="D1957" s="944"/>
      <c r="E1957" s="944"/>
      <c r="F1957" s="944"/>
      <c r="G1957" s="944"/>
      <c r="H1957" s="945" t="s">
        <v>114</v>
      </c>
      <c r="I1957" s="945"/>
      <c r="J1957" s="945"/>
      <c r="K1957" s="945"/>
      <c r="L1957" s="946"/>
      <c r="M1957" s="16"/>
    </row>
    <row r="1958" spans="1:13" ht="30" customHeight="1">
      <c r="A1958" s="15"/>
      <c r="B1958" s="386" t="s">
        <v>115</v>
      </c>
      <c r="C1958" s="116"/>
      <c r="D1958" s="116"/>
      <c r="E1958" s="116"/>
      <c r="F1958" s="116"/>
      <c r="G1958" s="119"/>
      <c r="H1958" s="947">
        <f>Master!AA56</f>
        <v>26</v>
      </c>
      <c r="I1958" s="945"/>
      <c r="J1958" s="945"/>
      <c r="K1958" s="945"/>
      <c r="L1958" s="946"/>
      <c r="M1958" s="16"/>
    </row>
    <row r="1959" spans="1:13" ht="30" customHeight="1">
      <c r="A1959" s="15"/>
      <c r="B1959" s="386" t="s">
        <v>116</v>
      </c>
      <c r="C1959" s="116"/>
      <c r="D1959" s="116"/>
      <c r="E1959" s="116"/>
      <c r="F1959" s="116"/>
      <c r="G1959" s="119"/>
      <c r="H1959" s="986" t="s">
        <v>28</v>
      </c>
      <c r="I1959" s="987"/>
      <c r="J1959" s="987"/>
      <c r="K1959" s="987"/>
      <c r="L1959" s="988"/>
      <c r="M1959" s="16"/>
    </row>
    <row r="1960" spans="1:13" ht="30" customHeight="1">
      <c r="A1960" s="15"/>
      <c r="B1960" s="386" t="s">
        <v>117</v>
      </c>
      <c r="C1960" s="116"/>
      <c r="D1960" s="116"/>
      <c r="E1960" s="116"/>
      <c r="F1960" s="116"/>
      <c r="G1960" s="119"/>
      <c r="H1960" s="989">
        <v>0</v>
      </c>
      <c r="I1960" s="990"/>
      <c r="J1960" s="990"/>
      <c r="K1960" s="990"/>
      <c r="L1960" s="991"/>
      <c r="M1960" s="16"/>
    </row>
    <row r="1961" spans="1:13" ht="30" customHeight="1">
      <c r="A1961" s="15"/>
      <c r="B1961" s="386" t="s">
        <v>118</v>
      </c>
      <c r="C1961" s="116"/>
      <c r="D1961" s="116"/>
      <c r="E1961" s="116"/>
      <c r="F1961" s="116"/>
      <c r="G1961" s="119"/>
      <c r="H1961" s="986">
        <v>0</v>
      </c>
      <c r="I1961" s="987"/>
      <c r="J1961" s="987"/>
      <c r="K1961" s="987"/>
      <c r="L1961" s="988"/>
      <c r="M1961" s="16"/>
    </row>
    <row r="1962" spans="1:13" ht="30" customHeight="1">
      <c r="A1962" s="15"/>
      <c r="B1962" s="386" t="s">
        <v>119</v>
      </c>
      <c r="C1962" s="116"/>
      <c r="D1962" s="116"/>
      <c r="E1962" s="116"/>
      <c r="F1962" s="116"/>
      <c r="G1962" s="119"/>
      <c r="H1962" s="117"/>
      <c r="I1962" s="118"/>
      <c r="J1962" s="990">
        <f>Master!AK56</f>
        <v>9210.4</v>
      </c>
      <c r="K1962" s="992"/>
      <c r="L1962" s="581" t="s">
        <v>737</v>
      </c>
      <c r="M1962" s="16"/>
    </row>
    <row r="1963" spans="1:13" ht="30" customHeight="1">
      <c r="A1963" s="15"/>
      <c r="B1963" s="386" t="s">
        <v>120</v>
      </c>
      <c r="C1963" s="116"/>
      <c r="D1963" s="465" t="s">
        <v>24</v>
      </c>
      <c r="E1963" s="466">
        <f>Master!AM56</f>
        <v>1105</v>
      </c>
      <c r="F1963" s="465" t="s">
        <v>23</v>
      </c>
      <c r="G1963" s="466">
        <f>Master!AL56</f>
        <v>70</v>
      </c>
      <c r="H1963" s="465" t="s">
        <v>25</v>
      </c>
      <c r="I1963" s="466">
        <f>Master!AN56</f>
        <v>0</v>
      </c>
      <c r="J1963" s="465" t="s">
        <v>26</v>
      </c>
      <c r="K1963" s="466">
        <f>Master!AO56</f>
        <v>0</v>
      </c>
      <c r="L1963" s="400">
        <f>Master!AP56</f>
        <v>0</v>
      </c>
      <c r="M1963" s="16"/>
    </row>
    <row r="1964" spans="1:13" ht="30" customHeight="1">
      <c r="A1964" s="15"/>
      <c r="B1964" s="386" t="s">
        <v>121</v>
      </c>
      <c r="C1964" s="116"/>
      <c r="D1964" s="116"/>
      <c r="E1964" s="116"/>
      <c r="F1964" s="116"/>
      <c r="G1964" s="119"/>
      <c r="H1964" s="117"/>
      <c r="I1964" s="118"/>
      <c r="J1964" s="541">
        <f>Master!AR56</f>
        <v>8035.4</v>
      </c>
      <c r="K1964" s="118"/>
      <c r="L1964" s="125"/>
      <c r="M1964" s="16"/>
    </row>
    <row r="1965" spans="1:13">
      <c r="A1965" s="15"/>
      <c r="B1965" s="387" t="s">
        <v>122</v>
      </c>
      <c r="C1965" s="74"/>
      <c r="D1965" s="74"/>
      <c r="E1965" s="74"/>
      <c r="F1965" s="74"/>
      <c r="G1965" s="75"/>
      <c r="H1965" s="76"/>
      <c r="I1965" s="77"/>
      <c r="J1965" s="77"/>
      <c r="K1965" s="77"/>
      <c r="L1965" s="78"/>
      <c r="M1965" s="16"/>
    </row>
    <row r="1966" spans="1:13">
      <c r="A1966" s="15"/>
      <c r="B1966" s="388" t="s">
        <v>123</v>
      </c>
      <c r="C1966" s="79"/>
      <c r="D1966" s="79"/>
      <c r="E1966" s="79"/>
      <c r="F1966" s="79"/>
      <c r="G1966" s="80"/>
      <c r="H1966" s="60"/>
      <c r="I1966" s="19"/>
      <c r="J1966" s="19"/>
      <c r="K1966" s="19"/>
      <c r="L1966" s="81"/>
      <c r="M1966" s="16"/>
    </row>
    <row r="1967" spans="1:13">
      <c r="A1967" s="15"/>
      <c r="B1967" s="15"/>
      <c r="C1967" s="114"/>
      <c r="D1967" s="114"/>
      <c r="E1967" s="114"/>
      <c r="F1967" s="114"/>
      <c r="G1967" s="114"/>
      <c r="H1967" s="114"/>
      <c r="I1967" s="114"/>
      <c r="J1967" s="114"/>
      <c r="K1967" s="114"/>
      <c r="L1967" s="16"/>
      <c r="M1967" s="16"/>
    </row>
    <row r="1968" spans="1:13" ht="15" thickBot="1">
      <c r="A1968" s="27"/>
      <c r="B1968" s="27"/>
      <c r="C1968" s="25"/>
      <c r="D1968" s="25"/>
      <c r="E1968" s="25"/>
      <c r="F1968" s="25"/>
      <c r="G1968" s="25"/>
      <c r="H1968" s="25"/>
      <c r="I1968" s="25"/>
      <c r="J1968" s="25"/>
      <c r="K1968" s="25"/>
      <c r="L1968" s="26"/>
      <c r="M1968" s="26"/>
    </row>
    <row r="1969" spans="1:13">
      <c r="A1969" s="420"/>
      <c r="B1969" s="420"/>
      <c r="C1969" s="420"/>
      <c r="D1969" s="420"/>
      <c r="E1969" s="420"/>
      <c r="F1969" s="420"/>
      <c r="G1969" s="420"/>
      <c r="H1969" s="420"/>
      <c r="I1969" s="420"/>
      <c r="J1969" s="420"/>
      <c r="K1969" s="420"/>
      <c r="L1969" s="420"/>
      <c r="M1969" s="420"/>
    </row>
    <row r="1970" spans="1:13">
      <c r="A1970" s="420"/>
      <c r="B1970" s="420"/>
      <c r="C1970" s="420"/>
      <c r="D1970" s="420"/>
      <c r="E1970" s="420"/>
      <c r="F1970" s="420"/>
      <c r="G1970" s="420"/>
      <c r="H1970" s="420"/>
      <c r="I1970" s="420"/>
      <c r="J1970" s="420"/>
      <c r="K1970" s="420"/>
      <c r="L1970" s="420"/>
      <c r="M1970" s="420"/>
    </row>
    <row r="1971" spans="1:13">
      <c r="A1971" s="420"/>
      <c r="B1971" s="420"/>
      <c r="C1971" s="420"/>
      <c r="D1971" s="420"/>
      <c r="E1971" s="420"/>
      <c r="F1971" s="420"/>
      <c r="G1971" s="420"/>
      <c r="H1971" s="420"/>
      <c r="I1971" s="420"/>
      <c r="J1971" s="420"/>
      <c r="K1971" s="420"/>
      <c r="L1971" s="420"/>
      <c r="M1971" s="420"/>
    </row>
    <row r="1972" spans="1:13">
      <c r="A1972" s="420"/>
      <c r="B1972" s="420"/>
      <c r="C1972" s="420"/>
      <c r="D1972" s="420"/>
      <c r="E1972" s="420"/>
      <c r="F1972" s="420"/>
      <c r="G1972" s="420"/>
      <c r="H1972" s="420"/>
      <c r="I1972" s="420"/>
      <c r="J1972" s="420"/>
      <c r="K1972" s="420"/>
      <c r="L1972" s="420"/>
      <c r="M1972" s="420"/>
    </row>
    <row r="1973" spans="1:13" ht="15" thickBot="1">
      <c r="A1973" s="420"/>
      <c r="B1973" s="420"/>
      <c r="C1973" s="420"/>
      <c r="D1973" s="420"/>
      <c r="E1973" s="420"/>
      <c r="F1973" s="420"/>
      <c r="G1973" s="420"/>
      <c r="H1973" s="420"/>
      <c r="I1973" s="420"/>
      <c r="J1973" s="420"/>
      <c r="K1973" s="420"/>
      <c r="L1973" s="420"/>
      <c r="M1973" s="420"/>
    </row>
    <row r="1974" spans="1:13" ht="32.4">
      <c r="A1974" s="68"/>
      <c r="B1974" s="960" t="s">
        <v>99</v>
      </c>
      <c r="C1974" s="961"/>
      <c r="D1974" s="961"/>
      <c r="E1974" s="961"/>
      <c r="F1974" s="961"/>
      <c r="G1974" s="961"/>
      <c r="H1974" s="961"/>
      <c r="I1974" s="961"/>
      <c r="J1974" s="961"/>
      <c r="K1974" s="961"/>
      <c r="L1974" s="962"/>
      <c r="M1974" s="69"/>
    </row>
    <row r="1975" spans="1:13" ht="23.4">
      <c r="A1975" s="15"/>
      <c r="B1975" s="963" t="s">
        <v>100</v>
      </c>
      <c r="C1975" s="964"/>
      <c r="D1975" s="964"/>
      <c r="E1975" s="964"/>
      <c r="F1975" s="964"/>
      <c r="G1975" s="964"/>
      <c r="H1975" s="964"/>
      <c r="I1975" s="964"/>
      <c r="J1975" s="964"/>
      <c r="K1975" s="964"/>
      <c r="L1975" s="965"/>
      <c r="M1975" s="16"/>
    </row>
    <row r="1976" spans="1:13" ht="15.6">
      <c r="A1976" s="15"/>
      <c r="B1976" s="966" t="s">
        <v>1070</v>
      </c>
      <c r="C1976" s="967"/>
      <c r="D1976" s="967"/>
      <c r="E1976" s="967"/>
      <c r="F1976" s="967"/>
      <c r="G1976" s="967"/>
      <c r="H1976" s="968"/>
      <c r="I1976" s="968"/>
      <c r="J1976" s="968"/>
      <c r="K1976" s="968"/>
      <c r="L1976" s="969"/>
      <c r="M1976" s="16"/>
    </row>
    <row r="1977" spans="1:13">
      <c r="A1977" s="15"/>
      <c r="B1977" s="970" t="s">
        <v>101</v>
      </c>
      <c r="C1977" s="971"/>
      <c r="D1977" s="971"/>
      <c r="E1977" s="971"/>
      <c r="F1977" s="971"/>
      <c r="G1977" s="391"/>
      <c r="H1977" s="974" t="s">
        <v>102</v>
      </c>
      <c r="I1977" s="975"/>
      <c r="J1977" s="975"/>
      <c r="K1977" s="975"/>
      <c r="L1977" s="976"/>
      <c r="M1977" s="16"/>
    </row>
    <row r="1978" spans="1:13">
      <c r="A1978" s="15"/>
      <c r="B1978" s="972"/>
      <c r="C1978" s="973"/>
      <c r="D1978" s="973"/>
      <c r="E1978" s="973"/>
      <c r="F1978" s="973"/>
      <c r="G1978" s="395"/>
      <c r="H1978" s="977"/>
      <c r="I1978" s="978"/>
      <c r="J1978" s="978"/>
      <c r="K1978" s="978"/>
      <c r="L1978" s="979"/>
      <c r="M1978" s="16"/>
    </row>
    <row r="1979" spans="1:13">
      <c r="A1979" s="15"/>
      <c r="B1979" s="382"/>
      <c r="C1979" s="77"/>
      <c r="D1979" s="77"/>
      <c r="E1979" s="77"/>
      <c r="F1979" s="77"/>
      <c r="G1979" s="56"/>
      <c r="H1979" s="76"/>
      <c r="I1979" s="77"/>
      <c r="J1979" s="77"/>
      <c r="K1979" s="77"/>
      <c r="L1979" s="78"/>
      <c r="M1979" s="16"/>
    </row>
    <row r="1980" spans="1:13">
      <c r="A1980" s="15"/>
      <c r="B1980" s="378" t="str">
        <f>Master!F5</f>
        <v>GROTECH LANDSCAPE DEVELOPERS PVT. LTD.</v>
      </c>
      <c r="C1980" s="114"/>
      <c r="D1980" s="114"/>
      <c r="E1980" s="114"/>
      <c r="F1980" s="114"/>
      <c r="G1980" s="379"/>
      <c r="H1980" s="381" t="str">
        <f>Master!AN5</f>
        <v>GROTECH LANDSCAPE DEVELOPERS PVT. LTD.</v>
      </c>
      <c r="I1980" s="114"/>
      <c r="J1980" s="114"/>
      <c r="K1980" s="114"/>
      <c r="L1980" s="16"/>
      <c r="M1980" s="16"/>
    </row>
    <row r="1981" spans="1:13">
      <c r="A1981" s="15"/>
      <c r="B1981" s="15"/>
      <c r="C1981" s="114"/>
      <c r="D1981" s="114"/>
      <c r="E1981" s="114"/>
      <c r="F1981" s="114"/>
      <c r="G1981" s="379"/>
      <c r="H1981" s="380"/>
      <c r="I1981" s="114"/>
      <c r="J1981" s="114"/>
      <c r="K1981" s="114"/>
      <c r="L1981" s="16"/>
      <c r="M1981" s="16"/>
    </row>
    <row r="1982" spans="1:13">
      <c r="A1982" s="15"/>
      <c r="B1982" s="538" t="str">
        <f>Master!F6</f>
        <v>290/E, Khanapur Village, Gandipet Mandal, Ranga Reddy, Hyderabad-500075 T.S.</v>
      </c>
      <c r="C1982" s="114"/>
      <c r="D1982" s="114"/>
      <c r="E1982" s="114"/>
      <c r="F1982" s="114"/>
      <c r="G1982" s="379"/>
      <c r="H1982" s="539" t="str">
        <f>Master!AN6</f>
        <v>290/E, Khanapur Village, Gandipet Mandal, Ranga Reddy, Hyderabad-500075 T.S.</v>
      </c>
      <c r="I1982" s="114"/>
      <c r="J1982" s="114"/>
      <c r="K1982" s="114"/>
      <c r="L1982" s="16"/>
      <c r="M1982" s="16"/>
    </row>
    <row r="1983" spans="1:13">
      <c r="A1983" s="15"/>
      <c r="B1983" s="383"/>
      <c r="C1983" s="19"/>
      <c r="D1983" s="19"/>
      <c r="E1983" s="19"/>
      <c r="F1983" s="19"/>
      <c r="G1983" s="61"/>
      <c r="H1983" s="60"/>
      <c r="I1983" s="19"/>
      <c r="J1983" s="19"/>
      <c r="K1983" s="19"/>
      <c r="L1983" s="81"/>
      <c r="M1983" s="16"/>
    </row>
    <row r="1984" spans="1:13">
      <c r="A1984" s="15"/>
      <c r="B1984" s="389"/>
      <c r="C1984" s="390"/>
      <c r="D1984" s="390"/>
      <c r="E1984" s="390"/>
      <c r="F1984" s="390"/>
      <c r="G1984" s="391"/>
      <c r="H1984" s="396"/>
      <c r="I1984" s="390"/>
      <c r="J1984" s="390" t="s">
        <v>103</v>
      </c>
      <c r="K1984" s="390"/>
      <c r="L1984" s="397"/>
      <c r="M1984" s="16"/>
    </row>
    <row r="1985" spans="1:13">
      <c r="A1985" s="15"/>
      <c r="B1985" s="980" t="s">
        <v>104</v>
      </c>
      <c r="C1985" s="981"/>
      <c r="D1985" s="981"/>
      <c r="E1985" s="981"/>
      <c r="F1985" s="981"/>
      <c r="G1985" s="392"/>
      <c r="H1985" s="982" t="s">
        <v>4</v>
      </c>
      <c r="I1985" s="981"/>
      <c r="J1985" s="981"/>
      <c r="K1985" s="981"/>
      <c r="L1985" s="983"/>
      <c r="M1985" s="16"/>
    </row>
    <row r="1986" spans="1:13">
      <c r="A1986" s="15"/>
      <c r="B1986" s="393"/>
      <c r="C1986" s="394"/>
      <c r="D1986" s="394"/>
      <c r="E1986" s="394"/>
      <c r="F1986" s="394"/>
      <c r="G1986" s="395"/>
      <c r="H1986" s="398"/>
      <c r="I1986" s="394"/>
      <c r="J1986" s="394"/>
      <c r="K1986" s="394"/>
      <c r="L1986" s="399"/>
      <c r="M1986" s="16"/>
    </row>
    <row r="1987" spans="1:13">
      <c r="A1987" s="15"/>
      <c r="B1987" s="382"/>
      <c r="C1987" s="77"/>
      <c r="D1987" s="77"/>
      <c r="E1987" s="77"/>
      <c r="F1987" s="77"/>
      <c r="G1987" s="56"/>
      <c r="H1987" s="74"/>
      <c r="I1987" s="74"/>
      <c r="J1987" s="74"/>
      <c r="K1987" s="74"/>
      <c r="L1987" s="384"/>
      <c r="M1987" s="16"/>
    </row>
    <row r="1988" spans="1:13">
      <c r="A1988" s="15"/>
      <c r="B1988" s="15"/>
      <c r="C1988" s="114"/>
      <c r="D1988" s="114"/>
      <c r="E1988" s="114"/>
      <c r="F1988" s="114"/>
      <c r="G1988" s="379"/>
      <c r="H1988" s="115" t="str">
        <f>Master!AN10</f>
        <v>INDIAN SCHOOL OF BUSINESS</v>
      </c>
      <c r="I1988" s="115"/>
      <c r="J1988" s="115"/>
      <c r="K1988" s="115"/>
      <c r="L1988" s="71"/>
      <c r="M1988" s="16"/>
    </row>
    <row r="1989" spans="1:13">
      <c r="A1989" s="15"/>
      <c r="B1989" s="70" t="str">
        <f>Master!F8</f>
        <v>GARDENING SERVICES&amp;ISB HYDERABAD</v>
      </c>
      <c r="C1989" s="114"/>
      <c r="D1989" s="114"/>
      <c r="E1989" s="114"/>
      <c r="F1989" s="114"/>
      <c r="G1989" s="379"/>
      <c r="H1989" s="115"/>
      <c r="I1989" s="115"/>
      <c r="J1989" s="115"/>
      <c r="K1989" s="115"/>
      <c r="L1989" s="71"/>
      <c r="M1989" s="16"/>
    </row>
    <row r="1990" spans="1:13">
      <c r="A1990" s="15"/>
      <c r="B1990" s="15"/>
      <c r="C1990" s="114"/>
      <c r="D1990" s="114"/>
      <c r="E1990" s="114"/>
      <c r="F1990" s="114"/>
      <c r="G1990" s="379"/>
      <c r="H1990" s="115" t="str">
        <f>Master!AN11</f>
        <v>Opp.Infosys Limited,Gachibowli,Hyderabad</v>
      </c>
      <c r="I1990" s="115"/>
      <c r="J1990" s="115"/>
      <c r="K1990" s="115"/>
      <c r="L1990" s="71"/>
      <c r="M1990" s="16"/>
    </row>
    <row r="1991" spans="1:13">
      <c r="A1991" s="15"/>
      <c r="B1991" s="383"/>
      <c r="C1991" s="19"/>
      <c r="D1991" s="19"/>
      <c r="E1991" s="19"/>
      <c r="F1991" s="19"/>
      <c r="G1991" s="61"/>
      <c r="H1991" s="79"/>
      <c r="I1991" s="79"/>
      <c r="J1991" s="79"/>
      <c r="K1991" s="79"/>
      <c r="L1991" s="385"/>
      <c r="M1991" s="16"/>
    </row>
    <row r="1992" spans="1:13" ht="30" customHeight="1">
      <c r="A1992" s="15"/>
      <c r="B1992" s="948" t="s">
        <v>105</v>
      </c>
      <c r="C1992" s="949"/>
      <c r="D1992" s="949"/>
      <c r="E1992" s="949"/>
      <c r="F1992" s="949"/>
      <c r="G1992" s="949"/>
      <c r="H1992" s="950" t="str">
        <f>Master!D57</f>
        <v>Gaddmidi lakshmi</v>
      </c>
      <c r="I1992" s="951"/>
      <c r="J1992" s="951"/>
      <c r="K1992" s="951"/>
      <c r="L1992" s="952"/>
      <c r="M1992" s="16"/>
    </row>
    <row r="1993" spans="1:13" ht="30" customHeight="1">
      <c r="A1993" s="15"/>
      <c r="B1993" s="948"/>
      <c r="C1993" s="949"/>
      <c r="D1993" s="949"/>
      <c r="E1993" s="949"/>
      <c r="F1993" s="949"/>
      <c r="G1993" s="949"/>
      <c r="H1993" s="950" t="str">
        <f>Master!K57</f>
        <v>H N0 3-95/1</v>
      </c>
      <c r="I1993" s="951"/>
      <c r="J1993" s="951"/>
      <c r="K1993" s="951"/>
      <c r="L1993" s="952"/>
      <c r="M1993" s="16"/>
    </row>
    <row r="1994" spans="1:13" ht="30" customHeight="1">
      <c r="A1994" s="15"/>
      <c r="B1994" s="948"/>
      <c r="C1994" s="949"/>
      <c r="D1994" s="949"/>
      <c r="E1994" s="949"/>
      <c r="F1994" s="949"/>
      <c r="G1994" s="949"/>
      <c r="H1994" s="950" t="str">
        <f>Master!L57</f>
        <v>MADHRAM MEDAK</v>
      </c>
      <c r="I1994" s="951"/>
      <c r="J1994" s="951"/>
      <c r="K1994" s="951"/>
      <c r="L1994" s="952"/>
      <c r="M1994" s="16"/>
    </row>
    <row r="1995" spans="1:13" ht="30" customHeight="1">
      <c r="A1995" s="15"/>
      <c r="B1995" s="948"/>
      <c r="C1995" s="949"/>
      <c r="D1995" s="949"/>
      <c r="E1995" s="949"/>
      <c r="F1995" s="949"/>
      <c r="G1995" s="949"/>
      <c r="H1995" s="950" t="str">
        <f>Master!M57</f>
        <v>TS-502319</v>
      </c>
      <c r="I1995" s="951"/>
      <c r="J1995" s="951"/>
      <c r="K1995" s="951"/>
      <c r="L1995" s="952"/>
      <c r="M1995" s="16"/>
    </row>
    <row r="1996" spans="1:13" ht="30" customHeight="1">
      <c r="A1996" s="73"/>
      <c r="B1996" s="948"/>
      <c r="C1996" s="949"/>
      <c r="D1996" s="949"/>
      <c r="E1996" s="949"/>
      <c r="F1996" s="949"/>
      <c r="G1996" s="949"/>
      <c r="H1996" s="989">
        <f>Master!N2562</f>
        <v>0</v>
      </c>
      <c r="I1996" s="990"/>
      <c r="J1996" s="990"/>
      <c r="K1996" s="990"/>
      <c r="L1996" s="991"/>
      <c r="M1996" s="16"/>
    </row>
    <row r="1997" spans="1:13" ht="30" customHeight="1">
      <c r="A1997" s="73"/>
      <c r="B1997" s="984" t="s">
        <v>106</v>
      </c>
      <c r="C1997" s="985"/>
      <c r="D1997" s="985"/>
      <c r="E1997" s="985"/>
      <c r="F1997" s="985"/>
      <c r="G1997" s="985"/>
      <c r="H1997" s="947">
        <f>Master!C57</f>
        <v>47</v>
      </c>
      <c r="I1997" s="945"/>
      <c r="J1997" s="945"/>
      <c r="K1997" s="945"/>
      <c r="L1997" s="946"/>
      <c r="M1997" s="16"/>
    </row>
    <row r="1998" spans="1:13" ht="30" customHeight="1">
      <c r="A1998" s="73"/>
      <c r="B1998" s="943" t="s">
        <v>107</v>
      </c>
      <c r="C1998" s="944"/>
      <c r="D1998" s="944"/>
      <c r="E1998" s="944"/>
      <c r="F1998" s="944"/>
      <c r="G1998" s="944"/>
      <c r="H1998" s="947" t="str">
        <f>Master!J57</f>
        <v>Unskilled Gardner</v>
      </c>
      <c r="I1998" s="945"/>
      <c r="J1998" s="945"/>
      <c r="K1998" s="945"/>
      <c r="L1998" s="946"/>
      <c r="M1998" s="16"/>
    </row>
    <row r="1999" spans="1:13" ht="30" customHeight="1">
      <c r="A1999" s="73"/>
      <c r="B1999" s="943" t="s">
        <v>108</v>
      </c>
      <c r="C1999" s="944"/>
      <c r="D1999" s="944"/>
      <c r="E1999" s="944"/>
      <c r="F1999" s="944"/>
      <c r="G1999" s="944"/>
      <c r="H1999" s="957">
        <f>Master!S57</f>
        <v>43865</v>
      </c>
      <c r="I1999" s="958"/>
      <c r="J1999" s="958"/>
      <c r="K1999" s="958"/>
      <c r="L1999" s="959"/>
      <c r="M1999" s="16"/>
    </row>
    <row r="2000" spans="1:13" ht="30" customHeight="1">
      <c r="A2000" s="73"/>
      <c r="B2000" s="386" t="s">
        <v>109</v>
      </c>
      <c r="C2000" s="116"/>
      <c r="D2000" s="116"/>
      <c r="E2000" s="116"/>
      <c r="F2000" s="116"/>
      <c r="G2000" s="116"/>
      <c r="H2000" s="996">
        <f>Master!Y57</f>
        <v>5214349122</v>
      </c>
      <c r="I2000" s="945"/>
      <c r="J2000" s="945"/>
      <c r="K2000" s="945"/>
      <c r="L2000" s="946"/>
      <c r="M2000" s="16"/>
    </row>
    <row r="2001" spans="1:13" ht="30" customHeight="1">
      <c r="A2001" s="73"/>
      <c r="B2001" s="386" t="s">
        <v>110</v>
      </c>
      <c r="C2001" s="116"/>
      <c r="D2001" s="116"/>
      <c r="E2001" s="116"/>
      <c r="F2001" s="116"/>
      <c r="G2001" s="119"/>
      <c r="H2001" s="947">
        <f>Master!X57</f>
        <v>101277064828</v>
      </c>
      <c r="I2001" s="947"/>
      <c r="J2001" s="947"/>
      <c r="K2001" s="947"/>
      <c r="L2001" s="953"/>
      <c r="M2001" s="16"/>
    </row>
    <row r="2002" spans="1:13" ht="30" customHeight="1">
      <c r="A2002" s="73"/>
      <c r="B2002" s="954" t="s">
        <v>111</v>
      </c>
      <c r="C2002" s="955"/>
      <c r="D2002" s="955"/>
      <c r="E2002" s="955"/>
      <c r="F2002" s="955"/>
      <c r="G2002" s="955"/>
      <c r="H2002" s="950">
        <f>Master!AC57</f>
        <v>10627</v>
      </c>
      <c r="I2002" s="951"/>
      <c r="J2002" s="951"/>
      <c r="K2002" s="951"/>
      <c r="L2002" s="952"/>
      <c r="M2002" s="16"/>
    </row>
    <row r="2003" spans="1:13" ht="30" customHeight="1">
      <c r="A2003" s="73"/>
      <c r="B2003" s="943" t="s">
        <v>112</v>
      </c>
      <c r="C2003" s="944"/>
      <c r="D2003" s="944"/>
      <c r="E2003" s="944"/>
      <c r="F2003" s="944"/>
      <c r="G2003" s="944"/>
      <c r="H2003" s="956">
        <f>Master!F10</f>
        <v>44652</v>
      </c>
      <c r="I2003" s="945"/>
      <c r="J2003" s="945"/>
      <c r="K2003" s="945"/>
      <c r="L2003" s="946"/>
      <c r="M2003" s="16"/>
    </row>
    <row r="2004" spans="1:13" ht="30" customHeight="1">
      <c r="A2004" s="15"/>
      <c r="B2004" s="943" t="s">
        <v>113</v>
      </c>
      <c r="C2004" s="944"/>
      <c r="D2004" s="944"/>
      <c r="E2004" s="944"/>
      <c r="F2004" s="944"/>
      <c r="G2004" s="944"/>
      <c r="H2004" s="945" t="s">
        <v>114</v>
      </c>
      <c r="I2004" s="945"/>
      <c r="J2004" s="945"/>
      <c r="K2004" s="945"/>
      <c r="L2004" s="946"/>
      <c r="M2004" s="16"/>
    </row>
    <row r="2005" spans="1:13" ht="30" customHeight="1">
      <c r="A2005" s="15"/>
      <c r="B2005" s="386" t="s">
        <v>115</v>
      </c>
      <c r="C2005" s="116"/>
      <c r="D2005" s="116"/>
      <c r="E2005" s="116"/>
      <c r="F2005" s="116"/>
      <c r="G2005" s="119"/>
      <c r="H2005" s="947">
        <f>Master!AA57</f>
        <v>26</v>
      </c>
      <c r="I2005" s="945"/>
      <c r="J2005" s="945"/>
      <c r="K2005" s="945"/>
      <c r="L2005" s="946"/>
      <c r="M2005" s="16"/>
    </row>
    <row r="2006" spans="1:13" ht="30" customHeight="1">
      <c r="A2006" s="15"/>
      <c r="B2006" s="386" t="s">
        <v>116</v>
      </c>
      <c r="C2006" s="116"/>
      <c r="D2006" s="116"/>
      <c r="E2006" s="116"/>
      <c r="F2006" s="116"/>
      <c r="G2006" s="119"/>
      <c r="H2006" s="986" t="s">
        <v>28</v>
      </c>
      <c r="I2006" s="987"/>
      <c r="J2006" s="987"/>
      <c r="K2006" s="987"/>
      <c r="L2006" s="988"/>
      <c r="M2006" s="16"/>
    </row>
    <row r="2007" spans="1:13" ht="30" customHeight="1">
      <c r="A2007" s="15"/>
      <c r="B2007" s="386" t="s">
        <v>117</v>
      </c>
      <c r="C2007" s="116"/>
      <c r="D2007" s="116"/>
      <c r="E2007" s="116"/>
      <c r="F2007" s="116"/>
      <c r="G2007" s="119"/>
      <c r="H2007" s="989">
        <v>0</v>
      </c>
      <c r="I2007" s="990"/>
      <c r="J2007" s="990"/>
      <c r="K2007" s="990"/>
      <c r="L2007" s="991"/>
      <c r="M2007" s="16"/>
    </row>
    <row r="2008" spans="1:13" ht="30" customHeight="1">
      <c r="A2008" s="15"/>
      <c r="B2008" s="386" t="s">
        <v>118</v>
      </c>
      <c r="C2008" s="116"/>
      <c r="D2008" s="116"/>
      <c r="E2008" s="116"/>
      <c r="F2008" s="116"/>
      <c r="G2008" s="119"/>
      <c r="H2008" s="986">
        <v>0</v>
      </c>
      <c r="I2008" s="987"/>
      <c r="J2008" s="987"/>
      <c r="K2008" s="987"/>
      <c r="L2008" s="988"/>
      <c r="M2008" s="16"/>
    </row>
    <row r="2009" spans="1:13" ht="30" customHeight="1">
      <c r="A2009" s="15"/>
      <c r="B2009" s="386" t="s">
        <v>119</v>
      </c>
      <c r="C2009" s="116"/>
      <c r="D2009" s="116"/>
      <c r="E2009" s="116"/>
      <c r="F2009" s="116"/>
      <c r="G2009" s="119"/>
      <c r="H2009" s="117"/>
      <c r="I2009" s="118"/>
      <c r="J2009" s="990">
        <f>Master!AK57</f>
        <v>9210.4</v>
      </c>
      <c r="K2009" s="992"/>
      <c r="L2009" s="581" t="s">
        <v>737</v>
      </c>
      <c r="M2009" s="16"/>
    </row>
    <row r="2010" spans="1:13" ht="30" customHeight="1">
      <c r="A2010" s="15"/>
      <c r="B2010" s="386" t="s">
        <v>120</v>
      </c>
      <c r="C2010" s="116"/>
      <c r="D2010" s="465" t="s">
        <v>24</v>
      </c>
      <c r="E2010" s="466">
        <f>Master!AM57</f>
        <v>1105</v>
      </c>
      <c r="F2010" s="465" t="s">
        <v>23</v>
      </c>
      <c r="G2010" s="466">
        <f>Master!AL57</f>
        <v>70</v>
      </c>
      <c r="H2010" s="465" t="s">
        <v>25</v>
      </c>
      <c r="I2010" s="466">
        <f>Master!AN57</f>
        <v>0</v>
      </c>
      <c r="J2010" s="465" t="s">
        <v>26</v>
      </c>
      <c r="K2010" s="466">
        <f>Master!AO57</f>
        <v>0</v>
      </c>
      <c r="L2010" s="400">
        <f>Master!AP57</f>
        <v>0</v>
      </c>
      <c r="M2010" s="16"/>
    </row>
    <row r="2011" spans="1:13" ht="30" customHeight="1">
      <c r="A2011" s="15"/>
      <c r="B2011" s="386" t="s">
        <v>121</v>
      </c>
      <c r="C2011" s="116"/>
      <c r="D2011" s="116"/>
      <c r="E2011" s="116"/>
      <c r="F2011" s="116"/>
      <c r="G2011" s="119"/>
      <c r="H2011" s="117"/>
      <c r="I2011" s="118"/>
      <c r="J2011" s="541">
        <f>Master!AR57</f>
        <v>8035.4</v>
      </c>
      <c r="K2011" s="118"/>
      <c r="L2011" s="125"/>
      <c r="M2011" s="16"/>
    </row>
    <row r="2012" spans="1:13">
      <c r="A2012" s="15"/>
      <c r="B2012" s="387" t="s">
        <v>122</v>
      </c>
      <c r="C2012" s="74"/>
      <c r="D2012" s="74"/>
      <c r="E2012" s="74"/>
      <c r="F2012" s="74"/>
      <c r="G2012" s="75"/>
      <c r="H2012" s="76"/>
      <c r="I2012" s="77"/>
      <c r="J2012" s="77"/>
      <c r="K2012" s="77"/>
      <c r="L2012" s="78"/>
      <c r="M2012" s="16"/>
    </row>
    <row r="2013" spans="1:13">
      <c r="A2013" s="15"/>
      <c r="B2013" s="388" t="s">
        <v>123</v>
      </c>
      <c r="C2013" s="79"/>
      <c r="D2013" s="79"/>
      <c r="E2013" s="79"/>
      <c r="F2013" s="79"/>
      <c r="G2013" s="80"/>
      <c r="H2013" s="60"/>
      <c r="I2013" s="19"/>
      <c r="J2013" s="19"/>
      <c r="K2013" s="19"/>
      <c r="L2013" s="81"/>
      <c r="M2013" s="16"/>
    </row>
    <row r="2014" spans="1:13">
      <c r="A2014" s="15"/>
      <c r="B2014" s="15"/>
      <c r="C2014" s="114"/>
      <c r="D2014" s="114"/>
      <c r="E2014" s="114"/>
      <c r="F2014" s="114"/>
      <c r="G2014" s="114"/>
      <c r="H2014" s="114"/>
      <c r="I2014" s="114"/>
      <c r="J2014" s="114"/>
      <c r="K2014" s="114"/>
      <c r="L2014" s="16"/>
      <c r="M2014" s="16"/>
    </row>
    <row r="2015" spans="1:13" ht="15" thickBot="1">
      <c r="A2015" s="27"/>
      <c r="B2015" s="27"/>
      <c r="C2015" s="25"/>
      <c r="D2015" s="25"/>
      <c r="E2015" s="25"/>
      <c r="F2015" s="25"/>
      <c r="G2015" s="25"/>
      <c r="H2015" s="25"/>
      <c r="I2015" s="25"/>
      <c r="J2015" s="25"/>
      <c r="K2015" s="25"/>
      <c r="L2015" s="26"/>
      <c r="M2015" s="26"/>
    </row>
    <row r="2016" spans="1:13">
      <c r="A2016" s="420"/>
      <c r="B2016" s="420"/>
      <c r="C2016" s="420"/>
      <c r="D2016" s="420"/>
      <c r="E2016" s="420"/>
      <c r="F2016" s="420"/>
      <c r="G2016" s="420"/>
      <c r="H2016" s="420"/>
      <c r="I2016" s="420"/>
      <c r="J2016" s="420"/>
      <c r="K2016" s="420"/>
      <c r="L2016" s="420"/>
      <c r="M2016" s="420"/>
    </row>
    <row r="2017" spans="1:13">
      <c r="A2017" s="420"/>
      <c r="B2017" s="420"/>
      <c r="C2017" s="420"/>
      <c r="D2017" s="420"/>
      <c r="E2017" s="420"/>
      <c r="F2017" s="420"/>
      <c r="G2017" s="420"/>
      <c r="H2017" s="420"/>
      <c r="I2017" s="420"/>
      <c r="J2017" s="420"/>
      <c r="K2017" s="420"/>
      <c r="L2017" s="420"/>
      <c r="M2017" s="420"/>
    </row>
    <row r="2018" spans="1:13">
      <c r="A2018" s="420"/>
      <c r="B2018" s="420"/>
      <c r="C2018" s="420"/>
      <c r="D2018" s="420"/>
      <c r="E2018" s="420"/>
      <c r="F2018" s="420"/>
      <c r="G2018" s="420"/>
      <c r="H2018" s="420"/>
      <c r="I2018" s="420"/>
      <c r="J2018" s="420"/>
      <c r="K2018" s="420"/>
      <c r="L2018" s="420"/>
      <c r="M2018" s="420"/>
    </row>
    <row r="2019" spans="1:13">
      <c r="A2019" s="420"/>
      <c r="B2019" s="420"/>
      <c r="C2019" s="420"/>
      <c r="D2019" s="420"/>
      <c r="E2019" s="420"/>
      <c r="F2019" s="420"/>
      <c r="G2019" s="420"/>
      <c r="H2019" s="420"/>
      <c r="I2019" s="420"/>
      <c r="J2019" s="420"/>
      <c r="K2019" s="420"/>
      <c r="L2019" s="420"/>
      <c r="M2019" s="420"/>
    </row>
    <row r="2020" spans="1:13" ht="15" thickBot="1">
      <c r="A2020" s="420"/>
      <c r="B2020" s="420"/>
      <c r="C2020" s="420"/>
      <c r="D2020" s="420"/>
      <c r="E2020" s="420"/>
      <c r="F2020" s="420"/>
      <c r="G2020" s="420"/>
      <c r="H2020" s="420"/>
      <c r="I2020" s="420"/>
      <c r="J2020" s="420"/>
      <c r="K2020" s="420"/>
      <c r="L2020" s="420"/>
      <c r="M2020" s="420"/>
    </row>
    <row r="2021" spans="1:13" ht="32.4">
      <c r="A2021" s="68"/>
      <c r="B2021" s="960" t="s">
        <v>99</v>
      </c>
      <c r="C2021" s="961"/>
      <c r="D2021" s="961"/>
      <c r="E2021" s="961"/>
      <c r="F2021" s="961"/>
      <c r="G2021" s="961"/>
      <c r="H2021" s="961"/>
      <c r="I2021" s="961"/>
      <c r="J2021" s="961"/>
      <c r="K2021" s="961"/>
      <c r="L2021" s="962"/>
      <c r="M2021" s="69"/>
    </row>
    <row r="2022" spans="1:13" ht="23.4">
      <c r="A2022" s="15"/>
      <c r="B2022" s="963" t="s">
        <v>100</v>
      </c>
      <c r="C2022" s="964"/>
      <c r="D2022" s="964"/>
      <c r="E2022" s="964"/>
      <c r="F2022" s="964"/>
      <c r="G2022" s="964"/>
      <c r="H2022" s="964"/>
      <c r="I2022" s="964"/>
      <c r="J2022" s="964"/>
      <c r="K2022" s="964"/>
      <c r="L2022" s="965"/>
      <c r="M2022" s="16"/>
    </row>
    <row r="2023" spans="1:13" ht="15.6">
      <c r="A2023" s="15"/>
      <c r="B2023" s="966" t="s">
        <v>1070</v>
      </c>
      <c r="C2023" s="967"/>
      <c r="D2023" s="967"/>
      <c r="E2023" s="967"/>
      <c r="F2023" s="967"/>
      <c r="G2023" s="967"/>
      <c r="H2023" s="968"/>
      <c r="I2023" s="968"/>
      <c r="J2023" s="968"/>
      <c r="K2023" s="968"/>
      <c r="L2023" s="969"/>
      <c r="M2023" s="16"/>
    </row>
    <row r="2024" spans="1:13">
      <c r="A2024" s="15"/>
      <c r="B2024" s="970" t="s">
        <v>101</v>
      </c>
      <c r="C2024" s="971"/>
      <c r="D2024" s="971"/>
      <c r="E2024" s="971"/>
      <c r="F2024" s="971"/>
      <c r="G2024" s="391"/>
      <c r="H2024" s="974" t="s">
        <v>102</v>
      </c>
      <c r="I2024" s="975"/>
      <c r="J2024" s="975"/>
      <c r="K2024" s="975"/>
      <c r="L2024" s="976"/>
      <c r="M2024" s="16"/>
    </row>
    <row r="2025" spans="1:13">
      <c r="A2025" s="15"/>
      <c r="B2025" s="972"/>
      <c r="C2025" s="973"/>
      <c r="D2025" s="973"/>
      <c r="E2025" s="973"/>
      <c r="F2025" s="973"/>
      <c r="G2025" s="395"/>
      <c r="H2025" s="977"/>
      <c r="I2025" s="978"/>
      <c r="J2025" s="978"/>
      <c r="K2025" s="978"/>
      <c r="L2025" s="979"/>
      <c r="M2025" s="16"/>
    </row>
    <row r="2026" spans="1:13">
      <c r="A2026" s="15"/>
      <c r="B2026" s="382"/>
      <c r="C2026" s="77"/>
      <c r="D2026" s="77"/>
      <c r="E2026" s="77"/>
      <c r="F2026" s="77"/>
      <c r="G2026" s="56"/>
      <c r="H2026" s="76"/>
      <c r="I2026" s="77"/>
      <c r="J2026" s="77"/>
      <c r="K2026" s="77"/>
      <c r="L2026" s="78"/>
      <c r="M2026" s="16"/>
    </row>
    <row r="2027" spans="1:13">
      <c r="A2027" s="15"/>
      <c r="B2027" s="378" t="str">
        <f>Master!F5</f>
        <v>GROTECH LANDSCAPE DEVELOPERS PVT. LTD.</v>
      </c>
      <c r="C2027" s="114"/>
      <c r="D2027" s="114"/>
      <c r="E2027" s="114"/>
      <c r="F2027" s="114"/>
      <c r="G2027" s="379"/>
      <c r="H2027" s="381" t="str">
        <f>Master!AN5</f>
        <v>GROTECH LANDSCAPE DEVELOPERS PVT. LTD.</v>
      </c>
      <c r="I2027" s="114"/>
      <c r="J2027" s="114"/>
      <c r="K2027" s="114"/>
      <c r="L2027" s="16"/>
      <c r="M2027" s="16"/>
    </row>
    <row r="2028" spans="1:13">
      <c r="A2028" s="15"/>
      <c r="B2028" s="15"/>
      <c r="C2028" s="114"/>
      <c r="D2028" s="114"/>
      <c r="E2028" s="114"/>
      <c r="F2028" s="114"/>
      <c r="G2028" s="379"/>
      <c r="H2028" s="380"/>
      <c r="I2028" s="114"/>
      <c r="J2028" s="114"/>
      <c r="K2028" s="114"/>
      <c r="L2028" s="16"/>
      <c r="M2028" s="16"/>
    </row>
    <row r="2029" spans="1:13">
      <c r="A2029" s="15"/>
      <c r="B2029" s="538" t="str">
        <f>Master!F6</f>
        <v>290/E, Khanapur Village, Gandipet Mandal, Ranga Reddy, Hyderabad-500075 T.S.</v>
      </c>
      <c r="C2029" s="114"/>
      <c r="D2029" s="114"/>
      <c r="E2029" s="114"/>
      <c r="F2029" s="114"/>
      <c r="G2029" s="379"/>
      <c r="H2029" s="539" t="str">
        <f>Master!AN6</f>
        <v>290/E, Khanapur Village, Gandipet Mandal, Ranga Reddy, Hyderabad-500075 T.S.</v>
      </c>
      <c r="I2029" s="114"/>
      <c r="J2029" s="114"/>
      <c r="K2029" s="114"/>
      <c r="L2029" s="16"/>
      <c r="M2029" s="16"/>
    </row>
    <row r="2030" spans="1:13">
      <c r="A2030" s="15"/>
      <c r="B2030" s="383"/>
      <c r="C2030" s="19"/>
      <c r="D2030" s="19"/>
      <c r="E2030" s="19"/>
      <c r="F2030" s="19"/>
      <c r="G2030" s="61"/>
      <c r="H2030" s="60"/>
      <c r="I2030" s="19"/>
      <c r="J2030" s="19"/>
      <c r="K2030" s="19"/>
      <c r="L2030" s="81"/>
      <c r="M2030" s="16"/>
    </row>
    <row r="2031" spans="1:13">
      <c r="A2031" s="15"/>
      <c r="B2031" s="389"/>
      <c r="C2031" s="390"/>
      <c r="D2031" s="390"/>
      <c r="E2031" s="390"/>
      <c r="F2031" s="390"/>
      <c r="G2031" s="391"/>
      <c r="H2031" s="396"/>
      <c r="I2031" s="390"/>
      <c r="J2031" s="390" t="s">
        <v>103</v>
      </c>
      <c r="K2031" s="390"/>
      <c r="L2031" s="397"/>
      <c r="M2031" s="16"/>
    </row>
    <row r="2032" spans="1:13">
      <c r="A2032" s="15"/>
      <c r="B2032" s="980" t="s">
        <v>104</v>
      </c>
      <c r="C2032" s="981"/>
      <c r="D2032" s="981"/>
      <c r="E2032" s="981"/>
      <c r="F2032" s="981"/>
      <c r="G2032" s="392"/>
      <c r="H2032" s="982" t="s">
        <v>4</v>
      </c>
      <c r="I2032" s="981"/>
      <c r="J2032" s="981"/>
      <c r="K2032" s="981"/>
      <c r="L2032" s="983"/>
      <c r="M2032" s="16"/>
    </row>
    <row r="2033" spans="1:13">
      <c r="A2033" s="15"/>
      <c r="B2033" s="393"/>
      <c r="C2033" s="394"/>
      <c r="D2033" s="394"/>
      <c r="E2033" s="394"/>
      <c r="F2033" s="394"/>
      <c r="G2033" s="395"/>
      <c r="H2033" s="398"/>
      <c r="I2033" s="394"/>
      <c r="J2033" s="394"/>
      <c r="K2033" s="394"/>
      <c r="L2033" s="399"/>
      <c r="M2033" s="16"/>
    </row>
    <row r="2034" spans="1:13">
      <c r="A2034" s="15"/>
      <c r="B2034" s="382"/>
      <c r="C2034" s="77"/>
      <c r="D2034" s="77"/>
      <c r="E2034" s="77"/>
      <c r="F2034" s="77"/>
      <c r="G2034" s="56"/>
      <c r="H2034" s="74"/>
      <c r="I2034" s="74"/>
      <c r="J2034" s="74"/>
      <c r="K2034" s="74"/>
      <c r="L2034" s="384"/>
      <c r="M2034" s="16"/>
    </row>
    <row r="2035" spans="1:13">
      <c r="A2035" s="15"/>
      <c r="B2035" s="15"/>
      <c r="C2035" s="114"/>
      <c r="D2035" s="114"/>
      <c r="E2035" s="114"/>
      <c r="F2035" s="114"/>
      <c r="G2035" s="379"/>
      <c r="H2035" s="115" t="str">
        <f>Master!AN10</f>
        <v>INDIAN SCHOOL OF BUSINESS</v>
      </c>
      <c r="I2035" s="115"/>
      <c r="J2035" s="115"/>
      <c r="K2035" s="115"/>
      <c r="L2035" s="71"/>
      <c r="M2035" s="16"/>
    </row>
    <row r="2036" spans="1:13">
      <c r="A2036" s="15"/>
      <c r="B2036" s="70" t="str">
        <f>Master!F8</f>
        <v>GARDENING SERVICES&amp;ISB HYDERABAD</v>
      </c>
      <c r="C2036" s="114"/>
      <c r="D2036" s="114"/>
      <c r="E2036" s="114"/>
      <c r="F2036" s="114"/>
      <c r="G2036" s="379"/>
      <c r="H2036" s="115"/>
      <c r="I2036" s="115"/>
      <c r="J2036" s="115"/>
      <c r="K2036" s="115"/>
      <c r="L2036" s="71"/>
      <c r="M2036" s="16"/>
    </row>
    <row r="2037" spans="1:13">
      <c r="A2037" s="15"/>
      <c r="B2037" s="15"/>
      <c r="C2037" s="114"/>
      <c r="D2037" s="114"/>
      <c r="E2037" s="114"/>
      <c r="F2037" s="114"/>
      <c r="G2037" s="379"/>
      <c r="H2037" s="115" t="str">
        <f>Master!AN11</f>
        <v>Opp.Infosys Limited,Gachibowli,Hyderabad</v>
      </c>
      <c r="I2037" s="115"/>
      <c r="J2037" s="115"/>
      <c r="K2037" s="115"/>
      <c r="L2037" s="71"/>
      <c r="M2037" s="16"/>
    </row>
    <row r="2038" spans="1:13">
      <c r="A2038" s="15"/>
      <c r="B2038" s="383"/>
      <c r="C2038" s="19"/>
      <c r="D2038" s="19"/>
      <c r="E2038" s="19"/>
      <c r="F2038" s="19"/>
      <c r="G2038" s="61"/>
      <c r="H2038" s="79"/>
      <c r="I2038" s="79"/>
      <c r="J2038" s="79"/>
      <c r="K2038" s="79"/>
      <c r="L2038" s="385"/>
      <c r="M2038" s="16"/>
    </row>
    <row r="2039" spans="1:13" ht="30" customHeight="1">
      <c r="A2039" s="15"/>
      <c r="B2039" s="948" t="s">
        <v>105</v>
      </c>
      <c r="C2039" s="949"/>
      <c r="D2039" s="949"/>
      <c r="E2039" s="949"/>
      <c r="F2039" s="949"/>
      <c r="G2039" s="949"/>
      <c r="H2039" s="950" t="str">
        <f>Master!D58</f>
        <v>Gaddamidi raghu</v>
      </c>
      <c r="I2039" s="951"/>
      <c r="J2039" s="951"/>
      <c r="K2039" s="951"/>
      <c r="L2039" s="952"/>
      <c r="M2039" s="16"/>
    </row>
    <row r="2040" spans="1:13" ht="30" customHeight="1">
      <c r="A2040" s="15"/>
      <c r="B2040" s="948"/>
      <c r="C2040" s="949"/>
      <c r="D2040" s="949"/>
      <c r="E2040" s="949"/>
      <c r="F2040" s="949"/>
      <c r="G2040" s="949"/>
      <c r="H2040" s="950" t="str">
        <f>Master!K58</f>
        <v>H NO 3-95/1</v>
      </c>
      <c r="I2040" s="951"/>
      <c r="J2040" s="951"/>
      <c r="K2040" s="951"/>
      <c r="L2040" s="952"/>
      <c r="M2040" s="16"/>
    </row>
    <row r="2041" spans="1:13" ht="30" customHeight="1">
      <c r="A2041" s="15"/>
      <c r="B2041" s="948"/>
      <c r="C2041" s="949"/>
      <c r="D2041" s="949"/>
      <c r="E2041" s="949"/>
      <c r="F2041" s="949"/>
      <c r="G2041" s="949"/>
      <c r="H2041" s="950" t="str">
        <f>Master!L58</f>
        <v>MADHRAM MEDAK</v>
      </c>
      <c r="I2041" s="951"/>
      <c r="J2041" s="951"/>
      <c r="K2041" s="951"/>
      <c r="L2041" s="952"/>
      <c r="M2041" s="16"/>
    </row>
    <row r="2042" spans="1:13" ht="30" customHeight="1">
      <c r="A2042" s="15"/>
      <c r="B2042" s="948"/>
      <c r="C2042" s="949"/>
      <c r="D2042" s="949"/>
      <c r="E2042" s="949"/>
      <c r="F2042" s="949"/>
      <c r="G2042" s="949"/>
      <c r="H2042" s="950" t="str">
        <f>Master!M58</f>
        <v>TS-502319</v>
      </c>
      <c r="I2042" s="951"/>
      <c r="J2042" s="951"/>
      <c r="K2042" s="951"/>
      <c r="L2042" s="952"/>
      <c r="M2042" s="16"/>
    </row>
    <row r="2043" spans="1:13" ht="30" customHeight="1">
      <c r="A2043" s="73"/>
      <c r="B2043" s="948"/>
      <c r="C2043" s="949"/>
      <c r="D2043" s="949"/>
      <c r="E2043" s="949"/>
      <c r="F2043" s="949"/>
      <c r="G2043" s="949"/>
      <c r="H2043" s="989">
        <f>Master!N2608</f>
        <v>0</v>
      </c>
      <c r="I2043" s="990"/>
      <c r="J2043" s="990"/>
      <c r="K2043" s="990"/>
      <c r="L2043" s="991"/>
      <c r="M2043" s="16"/>
    </row>
    <row r="2044" spans="1:13" ht="30" customHeight="1">
      <c r="A2044" s="73"/>
      <c r="B2044" s="984" t="s">
        <v>106</v>
      </c>
      <c r="C2044" s="985"/>
      <c r="D2044" s="985"/>
      <c r="E2044" s="985"/>
      <c r="F2044" s="985"/>
      <c r="G2044" s="985"/>
      <c r="H2044" s="947">
        <f>Master!C58</f>
        <v>49</v>
      </c>
      <c r="I2044" s="945"/>
      <c r="J2044" s="945"/>
      <c r="K2044" s="945"/>
      <c r="L2044" s="946"/>
      <c r="M2044" s="16"/>
    </row>
    <row r="2045" spans="1:13" ht="30" customHeight="1">
      <c r="A2045" s="73"/>
      <c r="B2045" s="943" t="s">
        <v>107</v>
      </c>
      <c r="C2045" s="944"/>
      <c r="D2045" s="944"/>
      <c r="E2045" s="944"/>
      <c r="F2045" s="944"/>
      <c r="G2045" s="944"/>
      <c r="H2045" s="947" t="str">
        <f>Master!J58</f>
        <v>Semi Skilled Gardner</v>
      </c>
      <c r="I2045" s="945"/>
      <c r="J2045" s="945"/>
      <c r="K2045" s="945"/>
      <c r="L2045" s="946"/>
      <c r="M2045" s="16"/>
    </row>
    <row r="2046" spans="1:13" ht="30" customHeight="1">
      <c r="A2046" s="73"/>
      <c r="B2046" s="943" t="s">
        <v>108</v>
      </c>
      <c r="C2046" s="944"/>
      <c r="D2046" s="944"/>
      <c r="E2046" s="944"/>
      <c r="F2046" s="944"/>
      <c r="G2046" s="944"/>
      <c r="H2046" s="957">
        <f>Master!S58</f>
        <v>43865</v>
      </c>
      <c r="I2046" s="958"/>
      <c r="J2046" s="958"/>
      <c r="K2046" s="958"/>
      <c r="L2046" s="959"/>
      <c r="M2046" s="16"/>
    </row>
    <row r="2047" spans="1:13" ht="30" customHeight="1">
      <c r="A2047" s="73"/>
      <c r="B2047" s="386" t="s">
        <v>109</v>
      </c>
      <c r="C2047" s="116"/>
      <c r="D2047" s="116"/>
      <c r="E2047" s="116"/>
      <c r="F2047" s="116"/>
      <c r="G2047" s="116"/>
      <c r="H2047" s="947">
        <f>Master!Y58</f>
        <v>5216385272</v>
      </c>
      <c r="I2047" s="947"/>
      <c r="J2047" s="947"/>
      <c r="K2047" s="947"/>
      <c r="L2047" s="953"/>
      <c r="M2047" s="16"/>
    </row>
    <row r="2048" spans="1:13" ht="30" customHeight="1">
      <c r="A2048" s="73"/>
      <c r="B2048" s="386" t="s">
        <v>110</v>
      </c>
      <c r="C2048" s="116"/>
      <c r="D2048" s="116"/>
      <c r="E2048" s="116"/>
      <c r="F2048" s="116"/>
      <c r="G2048" s="119"/>
      <c r="H2048" s="947" t="str">
        <f>Master!X58</f>
        <v>101170655221</v>
      </c>
      <c r="I2048" s="947"/>
      <c r="J2048" s="947"/>
      <c r="K2048" s="947"/>
      <c r="L2048" s="953"/>
      <c r="M2048" s="16"/>
    </row>
    <row r="2049" spans="1:13" ht="30" customHeight="1">
      <c r="A2049" s="73"/>
      <c r="B2049" s="954" t="s">
        <v>111</v>
      </c>
      <c r="C2049" s="955"/>
      <c r="D2049" s="955"/>
      <c r="E2049" s="955"/>
      <c r="F2049" s="955"/>
      <c r="G2049" s="955"/>
      <c r="H2049" s="950">
        <f>Master!AC58</f>
        <v>11459</v>
      </c>
      <c r="I2049" s="951"/>
      <c r="J2049" s="951"/>
      <c r="K2049" s="951"/>
      <c r="L2049" s="952"/>
      <c r="M2049" s="16"/>
    </row>
    <row r="2050" spans="1:13" ht="30" customHeight="1">
      <c r="A2050" s="73"/>
      <c r="B2050" s="943" t="s">
        <v>112</v>
      </c>
      <c r="C2050" s="944"/>
      <c r="D2050" s="944"/>
      <c r="E2050" s="944"/>
      <c r="F2050" s="944"/>
      <c r="G2050" s="944"/>
      <c r="H2050" s="956">
        <f>Master!F10</f>
        <v>44652</v>
      </c>
      <c r="I2050" s="945"/>
      <c r="J2050" s="945"/>
      <c r="K2050" s="945"/>
      <c r="L2050" s="946"/>
      <c r="M2050" s="16"/>
    </row>
    <row r="2051" spans="1:13" ht="30" customHeight="1">
      <c r="A2051" s="15"/>
      <c r="B2051" s="943" t="s">
        <v>113</v>
      </c>
      <c r="C2051" s="944"/>
      <c r="D2051" s="944"/>
      <c r="E2051" s="944"/>
      <c r="F2051" s="944"/>
      <c r="G2051" s="944"/>
      <c r="H2051" s="945" t="s">
        <v>114</v>
      </c>
      <c r="I2051" s="945"/>
      <c r="J2051" s="945"/>
      <c r="K2051" s="945"/>
      <c r="L2051" s="946"/>
      <c r="M2051" s="16"/>
    </row>
    <row r="2052" spans="1:13" ht="30" customHeight="1">
      <c r="A2052" s="15"/>
      <c r="B2052" s="386" t="s">
        <v>115</v>
      </c>
      <c r="C2052" s="116"/>
      <c r="D2052" s="116"/>
      <c r="E2052" s="116"/>
      <c r="F2052" s="116"/>
      <c r="G2052" s="119"/>
      <c r="H2052" s="947">
        <f>Master!AA58</f>
        <v>26</v>
      </c>
      <c r="I2052" s="945"/>
      <c r="J2052" s="945"/>
      <c r="K2052" s="945"/>
      <c r="L2052" s="946"/>
      <c r="M2052" s="16"/>
    </row>
    <row r="2053" spans="1:13" ht="30" customHeight="1">
      <c r="A2053" s="15"/>
      <c r="B2053" s="386" t="s">
        <v>116</v>
      </c>
      <c r="C2053" s="116"/>
      <c r="D2053" s="116"/>
      <c r="E2053" s="116"/>
      <c r="F2053" s="116"/>
      <c r="G2053" s="119"/>
      <c r="H2053" s="986" t="s">
        <v>28</v>
      </c>
      <c r="I2053" s="987"/>
      <c r="J2053" s="987"/>
      <c r="K2053" s="987"/>
      <c r="L2053" s="988"/>
      <c r="M2053" s="16"/>
    </row>
    <row r="2054" spans="1:13" ht="30" customHeight="1">
      <c r="A2054" s="15"/>
      <c r="B2054" s="386" t="s">
        <v>117</v>
      </c>
      <c r="C2054" s="116"/>
      <c r="D2054" s="116"/>
      <c r="E2054" s="116"/>
      <c r="F2054" s="116"/>
      <c r="G2054" s="119"/>
      <c r="H2054" s="989">
        <v>0</v>
      </c>
      <c r="I2054" s="990"/>
      <c r="J2054" s="990"/>
      <c r="K2054" s="990"/>
      <c r="L2054" s="991"/>
      <c r="M2054" s="16"/>
    </row>
    <row r="2055" spans="1:13" ht="30" customHeight="1">
      <c r="A2055" s="15"/>
      <c r="B2055" s="386" t="s">
        <v>118</v>
      </c>
      <c r="C2055" s="116"/>
      <c r="D2055" s="116"/>
      <c r="E2055" s="116"/>
      <c r="F2055" s="116"/>
      <c r="G2055" s="119"/>
      <c r="H2055" s="986">
        <v>0</v>
      </c>
      <c r="I2055" s="987"/>
      <c r="J2055" s="987"/>
      <c r="K2055" s="987"/>
      <c r="L2055" s="988"/>
      <c r="M2055" s="16"/>
    </row>
    <row r="2056" spans="1:13" ht="30" customHeight="1">
      <c r="A2056" s="15"/>
      <c r="B2056" s="386" t="s">
        <v>119</v>
      </c>
      <c r="C2056" s="116"/>
      <c r="D2056" s="116"/>
      <c r="E2056" s="116"/>
      <c r="F2056" s="116"/>
      <c r="G2056" s="119"/>
      <c r="H2056" s="117"/>
      <c r="I2056" s="118"/>
      <c r="J2056" s="990">
        <f>Master!AK58</f>
        <v>9932.4666666666653</v>
      </c>
      <c r="K2056" s="992"/>
      <c r="L2056" s="581" t="s">
        <v>737</v>
      </c>
      <c r="M2056" s="16"/>
    </row>
    <row r="2057" spans="1:13" ht="30" customHeight="1">
      <c r="A2057" s="15"/>
      <c r="B2057" s="386" t="s">
        <v>120</v>
      </c>
      <c r="C2057" s="116"/>
      <c r="D2057" s="465" t="s">
        <v>24</v>
      </c>
      <c r="E2057" s="466">
        <f>Master!AM58</f>
        <v>1192</v>
      </c>
      <c r="F2057" s="465" t="s">
        <v>23</v>
      </c>
      <c r="G2057" s="466">
        <f>Master!AL58</f>
        <v>75</v>
      </c>
      <c r="H2057" s="465" t="s">
        <v>25</v>
      </c>
      <c r="I2057" s="466">
        <f>Master!AN58</f>
        <v>0</v>
      </c>
      <c r="J2057" s="465" t="s">
        <v>26</v>
      </c>
      <c r="K2057" s="466">
        <f>Master!AO58</f>
        <v>0</v>
      </c>
      <c r="L2057" s="400">
        <f>Master!AP58</f>
        <v>0</v>
      </c>
      <c r="M2057" s="16"/>
    </row>
    <row r="2058" spans="1:13" ht="30" customHeight="1">
      <c r="A2058" s="15"/>
      <c r="B2058" s="386" t="s">
        <v>121</v>
      </c>
      <c r="C2058" s="116"/>
      <c r="D2058" s="116"/>
      <c r="E2058" s="116"/>
      <c r="F2058" s="116"/>
      <c r="G2058" s="119"/>
      <c r="H2058" s="117"/>
      <c r="I2058" s="118"/>
      <c r="J2058" s="541">
        <f>Master!AR58</f>
        <v>8665.4666666666653</v>
      </c>
      <c r="K2058" s="118"/>
      <c r="L2058" s="125"/>
      <c r="M2058" s="16"/>
    </row>
    <row r="2059" spans="1:13">
      <c r="A2059" s="15"/>
      <c r="B2059" s="387" t="s">
        <v>122</v>
      </c>
      <c r="C2059" s="74"/>
      <c r="D2059" s="74"/>
      <c r="E2059" s="74"/>
      <c r="F2059" s="74"/>
      <c r="G2059" s="75"/>
      <c r="H2059" s="76"/>
      <c r="I2059" s="77"/>
      <c r="J2059" s="77"/>
      <c r="K2059" s="77"/>
      <c r="L2059" s="78"/>
      <c r="M2059" s="16"/>
    </row>
    <row r="2060" spans="1:13">
      <c r="A2060" s="15"/>
      <c r="B2060" s="388" t="s">
        <v>123</v>
      </c>
      <c r="C2060" s="79"/>
      <c r="D2060" s="79"/>
      <c r="E2060" s="79"/>
      <c r="F2060" s="79"/>
      <c r="G2060" s="80"/>
      <c r="H2060" s="60"/>
      <c r="I2060" s="19"/>
      <c r="J2060" s="19"/>
      <c r="K2060" s="19"/>
      <c r="L2060" s="81"/>
      <c r="M2060" s="16"/>
    </row>
    <row r="2061" spans="1:13">
      <c r="A2061" s="15"/>
      <c r="B2061" s="15"/>
      <c r="C2061" s="114"/>
      <c r="D2061" s="114"/>
      <c r="E2061" s="114"/>
      <c r="F2061" s="114"/>
      <c r="G2061" s="114"/>
      <c r="H2061" s="114"/>
      <c r="I2061" s="114"/>
      <c r="J2061" s="114"/>
      <c r="K2061" s="114"/>
      <c r="L2061" s="16"/>
      <c r="M2061" s="16"/>
    </row>
    <row r="2062" spans="1:13" ht="15" thickBot="1">
      <c r="A2062" s="27"/>
      <c r="B2062" s="27"/>
      <c r="C2062" s="25"/>
      <c r="D2062" s="25"/>
      <c r="E2062" s="25"/>
      <c r="F2062" s="25"/>
      <c r="G2062" s="25"/>
      <c r="H2062" s="25"/>
      <c r="I2062" s="25"/>
      <c r="J2062" s="25"/>
      <c r="K2062" s="25"/>
      <c r="L2062" s="26"/>
      <c r="M2062" s="26"/>
    </row>
    <row r="2063" spans="1:13">
      <c r="A2063" s="420"/>
      <c r="B2063" s="420"/>
      <c r="C2063" s="420"/>
      <c r="D2063" s="420"/>
      <c r="E2063" s="420"/>
      <c r="F2063" s="420"/>
      <c r="G2063" s="420"/>
      <c r="H2063" s="420"/>
      <c r="I2063" s="420"/>
      <c r="J2063" s="420"/>
      <c r="K2063" s="420"/>
      <c r="L2063" s="420"/>
      <c r="M2063" s="420"/>
    </row>
    <row r="2064" spans="1:13">
      <c r="A2064" s="420"/>
      <c r="B2064" s="420"/>
      <c r="C2064" s="420"/>
      <c r="D2064" s="420"/>
      <c r="E2064" s="420"/>
      <c r="F2064" s="420"/>
      <c r="G2064" s="420"/>
      <c r="H2064" s="420"/>
      <c r="I2064" s="420"/>
      <c r="J2064" s="420"/>
      <c r="K2064" s="420"/>
      <c r="L2064" s="420"/>
      <c r="M2064" s="420"/>
    </row>
    <row r="2065" spans="1:13">
      <c r="A2065" s="420"/>
      <c r="B2065" s="420"/>
      <c r="C2065" s="420"/>
      <c r="D2065" s="420"/>
      <c r="E2065" s="420"/>
      <c r="F2065" s="420"/>
      <c r="G2065" s="420"/>
      <c r="H2065" s="420"/>
      <c r="I2065" s="420"/>
      <c r="J2065" s="420"/>
      <c r="K2065" s="420"/>
      <c r="L2065" s="420"/>
      <c r="M2065" s="420"/>
    </row>
    <row r="2066" spans="1:13">
      <c r="A2066" s="420"/>
      <c r="B2066" s="420"/>
      <c r="C2066" s="420"/>
      <c r="D2066" s="420"/>
      <c r="E2066" s="420"/>
      <c r="F2066" s="420"/>
      <c r="G2066" s="420"/>
      <c r="H2066" s="420"/>
      <c r="I2066" s="420"/>
      <c r="J2066" s="420"/>
      <c r="K2066" s="420"/>
      <c r="L2066" s="420"/>
      <c r="M2066" s="420"/>
    </row>
    <row r="2067" spans="1:13" ht="15" thickBot="1">
      <c r="A2067" s="420"/>
      <c r="B2067" s="420"/>
      <c r="C2067" s="420"/>
      <c r="D2067" s="420"/>
      <c r="E2067" s="420"/>
      <c r="F2067" s="420"/>
      <c r="G2067" s="420"/>
      <c r="H2067" s="420"/>
      <c r="I2067" s="420"/>
      <c r="J2067" s="420"/>
      <c r="K2067" s="420"/>
      <c r="L2067" s="420"/>
      <c r="M2067" s="420"/>
    </row>
    <row r="2068" spans="1:13" ht="32.4">
      <c r="A2068" s="68"/>
      <c r="B2068" s="960" t="s">
        <v>99</v>
      </c>
      <c r="C2068" s="961"/>
      <c r="D2068" s="961"/>
      <c r="E2068" s="961"/>
      <c r="F2068" s="961"/>
      <c r="G2068" s="961"/>
      <c r="H2068" s="961"/>
      <c r="I2068" s="961"/>
      <c r="J2068" s="961"/>
      <c r="K2068" s="961"/>
      <c r="L2068" s="962"/>
      <c r="M2068" s="69"/>
    </row>
    <row r="2069" spans="1:13" ht="23.4">
      <c r="A2069" s="15"/>
      <c r="B2069" s="963" t="s">
        <v>100</v>
      </c>
      <c r="C2069" s="964"/>
      <c r="D2069" s="964"/>
      <c r="E2069" s="964"/>
      <c r="F2069" s="964"/>
      <c r="G2069" s="964"/>
      <c r="H2069" s="964"/>
      <c r="I2069" s="964"/>
      <c r="J2069" s="964"/>
      <c r="K2069" s="964"/>
      <c r="L2069" s="965"/>
      <c r="M2069" s="16"/>
    </row>
    <row r="2070" spans="1:13" ht="15.6">
      <c r="A2070" s="15"/>
      <c r="B2070" s="966" t="s">
        <v>1070</v>
      </c>
      <c r="C2070" s="967"/>
      <c r="D2070" s="967"/>
      <c r="E2070" s="967"/>
      <c r="F2070" s="967"/>
      <c r="G2070" s="967"/>
      <c r="H2070" s="968"/>
      <c r="I2070" s="968"/>
      <c r="J2070" s="968"/>
      <c r="K2070" s="968"/>
      <c r="L2070" s="969"/>
      <c r="M2070" s="16"/>
    </row>
    <row r="2071" spans="1:13">
      <c r="A2071" s="15"/>
      <c r="B2071" s="970" t="s">
        <v>101</v>
      </c>
      <c r="C2071" s="971"/>
      <c r="D2071" s="971"/>
      <c r="E2071" s="971"/>
      <c r="F2071" s="971"/>
      <c r="G2071" s="391"/>
      <c r="H2071" s="974" t="s">
        <v>102</v>
      </c>
      <c r="I2071" s="975"/>
      <c r="J2071" s="975"/>
      <c r="K2071" s="975"/>
      <c r="L2071" s="976"/>
      <c r="M2071" s="16"/>
    </row>
    <row r="2072" spans="1:13">
      <c r="A2072" s="15"/>
      <c r="B2072" s="972"/>
      <c r="C2072" s="973"/>
      <c r="D2072" s="973"/>
      <c r="E2072" s="973"/>
      <c r="F2072" s="973"/>
      <c r="G2072" s="395"/>
      <c r="H2072" s="977"/>
      <c r="I2072" s="978"/>
      <c r="J2072" s="978"/>
      <c r="K2072" s="978"/>
      <c r="L2072" s="979"/>
      <c r="M2072" s="16"/>
    </row>
    <row r="2073" spans="1:13">
      <c r="A2073" s="15"/>
      <c r="B2073" s="382"/>
      <c r="C2073" s="77"/>
      <c r="D2073" s="77"/>
      <c r="E2073" s="77"/>
      <c r="F2073" s="77"/>
      <c r="G2073" s="56"/>
      <c r="H2073" s="76"/>
      <c r="I2073" s="77"/>
      <c r="J2073" s="77"/>
      <c r="K2073" s="77"/>
      <c r="L2073" s="78"/>
      <c r="M2073" s="16"/>
    </row>
    <row r="2074" spans="1:13">
      <c r="A2074" s="15"/>
      <c r="B2074" s="378" t="str">
        <f>Master!F5</f>
        <v>GROTECH LANDSCAPE DEVELOPERS PVT. LTD.</v>
      </c>
      <c r="C2074" s="114"/>
      <c r="D2074" s="114"/>
      <c r="E2074" s="114"/>
      <c r="F2074" s="114"/>
      <c r="G2074" s="379"/>
      <c r="H2074" s="381" t="str">
        <f>Master!AN5</f>
        <v>GROTECH LANDSCAPE DEVELOPERS PVT. LTD.</v>
      </c>
      <c r="I2074" s="114"/>
      <c r="J2074" s="114"/>
      <c r="K2074" s="114"/>
      <c r="L2074" s="16"/>
      <c r="M2074" s="16"/>
    </row>
    <row r="2075" spans="1:13">
      <c r="A2075" s="15"/>
      <c r="B2075" s="15"/>
      <c r="C2075" s="114"/>
      <c r="D2075" s="114"/>
      <c r="E2075" s="114"/>
      <c r="F2075" s="114"/>
      <c r="G2075" s="379"/>
      <c r="H2075" s="380"/>
      <c r="I2075" s="114"/>
      <c r="J2075" s="114"/>
      <c r="K2075" s="114"/>
      <c r="L2075" s="16"/>
      <c r="M2075" s="16"/>
    </row>
    <row r="2076" spans="1:13">
      <c r="A2076" s="15"/>
      <c r="B2076" s="538" t="str">
        <f>Master!F6</f>
        <v>290/E, Khanapur Village, Gandipet Mandal, Ranga Reddy, Hyderabad-500075 T.S.</v>
      </c>
      <c r="C2076" s="114"/>
      <c r="D2076" s="114"/>
      <c r="E2076" s="114"/>
      <c r="F2076" s="114"/>
      <c r="G2076" s="379"/>
      <c r="H2076" s="539" t="str">
        <f>Master!AN6</f>
        <v>290/E, Khanapur Village, Gandipet Mandal, Ranga Reddy, Hyderabad-500075 T.S.</v>
      </c>
      <c r="I2076" s="114"/>
      <c r="J2076" s="114"/>
      <c r="K2076" s="114"/>
      <c r="L2076" s="16"/>
      <c r="M2076" s="16"/>
    </row>
    <row r="2077" spans="1:13">
      <c r="A2077" s="15"/>
      <c r="B2077" s="383"/>
      <c r="C2077" s="19"/>
      <c r="D2077" s="19"/>
      <c r="E2077" s="19"/>
      <c r="F2077" s="19"/>
      <c r="G2077" s="61"/>
      <c r="H2077" s="60"/>
      <c r="I2077" s="19"/>
      <c r="J2077" s="19"/>
      <c r="K2077" s="19"/>
      <c r="L2077" s="81"/>
      <c r="M2077" s="16"/>
    </row>
    <row r="2078" spans="1:13">
      <c r="A2078" s="15"/>
      <c r="B2078" s="389"/>
      <c r="C2078" s="390"/>
      <c r="D2078" s="390"/>
      <c r="E2078" s="390"/>
      <c r="F2078" s="390"/>
      <c r="G2078" s="391"/>
      <c r="H2078" s="396"/>
      <c r="I2078" s="390"/>
      <c r="J2078" s="390" t="s">
        <v>103</v>
      </c>
      <c r="K2078" s="390"/>
      <c r="L2078" s="397"/>
      <c r="M2078" s="16"/>
    </row>
    <row r="2079" spans="1:13">
      <c r="A2079" s="15"/>
      <c r="B2079" s="980" t="s">
        <v>104</v>
      </c>
      <c r="C2079" s="981"/>
      <c r="D2079" s="981"/>
      <c r="E2079" s="981"/>
      <c r="F2079" s="981"/>
      <c r="G2079" s="392"/>
      <c r="H2079" s="982" t="s">
        <v>4</v>
      </c>
      <c r="I2079" s="981"/>
      <c r="J2079" s="981"/>
      <c r="K2079" s="981"/>
      <c r="L2079" s="983"/>
      <c r="M2079" s="16"/>
    </row>
    <row r="2080" spans="1:13">
      <c r="A2080" s="15"/>
      <c r="B2080" s="393"/>
      <c r="C2080" s="394"/>
      <c r="D2080" s="394"/>
      <c r="E2080" s="394"/>
      <c r="F2080" s="394"/>
      <c r="G2080" s="395"/>
      <c r="H2080" s="398"/>
      <c r="I2080" s="394"/>
      <c r="J2080" s="394"/>
      <c r="K2080" s="394"/>
      <c r="L2080" s="399"/>
      <c r="M2080" s="16"/>
    </row>
    <row r="2081" spans="1:13">
      <c r="A2081" s="15"/>
      <c r="B2081" s="382"/>
      <c r="C2081" s="77"/>
      <c r="D2081" s="77"/>
      <c r="E2081" s="77"/>
      <c r="F2081" s="77"/>
      <c r="G2081" s="56"/>
      <c r="H2081" s="74"/>
      <c r="I2081" s="74"/>
      <c r="J2081" s="74"/>
      <c r="K2081" s="74"/>
      <c r="L2081" s="384"/>
      <c r="M2081" s="16"/>
    </row>
    <row r="2082" spans="1:13">
      <c r="A2082" s="15"/>
      <c r="B2082" s="15"/>
      <c r="C2082" s="114"/>
      <c r="D2082" s="114"/>
      <c r="E2082" s="114"/>
      <c r="F2082" s="114"/>
      <c r="G2082" s="379"/>
      <c r="H2082" s="115" t="str">
        <f>Master!AN10</f>
        <v>INDIAN SCHOOL OF BUSINESS</v>
      </c>
      <c r="I2082" s="115"/>
      <c r="J2082" s="115"/>
      <c r="K2082" s="115"/>
      <c r="L2082" s="71"/>
      <c r="M2082" s="16"/>
    </row>
    <row r="2083" spans="1:13">
      <c r="A2083" s="15"/>
      <c r="B2083" s="70" t="str">
        <f>Master!F8</f>
        <v>GARDENING SERVICES&amp;ISB HYDERABAD</v>
      </c>
      <c r="C2083" s="114"/>
      <c r="D2083" s="114"/>
      <c r="E2083" s="114"/>
      <c r="F2083" s="114"/>
      <c r="G2083" s="379"/>
      <c r="H2083" s="115"/>
      <c r="I2083" s="115"/>
      <c r="J2083" s="115"/>
      <c r="K2083" s="115"/>
      <c r="L2083" s="71"/>
      <c r="M2083" s="16"/>
    </row>
    <row r="2084" spans="1:13">
      <c r="A2084" s="15"/>
      <c r="B2084" s="15"/>
      <c r="C2084" s="114"/>
      <c r="D2084" s="114"/>
      <c r="E2084" s="114"/>
      <c r="F2084" s="114"/>
      <c r="G2084" s="379"/>
      <c r="H2084" s="115" t="str">
        <f>Master!AN11</f>
        <v>Opp.Infosys Limited,Gachibowli,Hyderabad</v>
      </c>
      <c r="I2084" s="115"/>
      <c r="J2084" s="115"/>
      <c r="K2084" s="115"/>
      <c r="L2084" s="71"/>
      <c r="M2084" s="16"/>
    </row>
    <row r="2085" spans="1:13">
      <c r="A2085" s="15"/>
      <c r="B2085" s="383"/>
      <c r="C2085" s="19"/>
      <c r="D2085" s="19"/>
      <c r="E2085" s="19"/>
      <c r="F2085" s="19"/>
      <c r="G2085" s="61"/>
      <c r="H2085" s="79"/>
      <c r="I2085" s="79"/>
      <c r="J2085" s="79"/>
      <c r="K2085" s="79"/>
      <c r="L2085" s="385"/>
      <c r="M2085" s="16"/>
    </row>
    <row r="2086" spans="1:13" ht="30" customHeight="1">
      <c r="A2086" s="15"/>
      <c r="B2086" s="948" t="s">
        <v>105</v>
      </c>
      <c r="C2086" s="949"/>
      <c r="D2086" s="949"/>
      <c r="E2086" s="949"/>
      <c r="F2086" s="949"/>
      <c r="G2086" s="949"/>
      <c r="H2086" s="950" t="str">
        <f>Master!D59</f>
        <v>Laxman</v>
      </c>
      <c r="I2086" s="951"/>
      <c r="J2086" s="951"/>
      <c r="K2086" s="951"/>
      <c r="L2086" s="952"/>
      <c r="M2086" s="16"/>
    </row>
    <row r="2087" spans="1:13" ht="30" customHeight="1">
      <c r="A2087" s="15"/>
      <c r="B2087" s="948"/>
      <c r="C2087" s="949"/>
      <c r="D2087" s="949"/>
      <c r="E2087" s="949"/>
      <c r="F2087" s="949"/>
      <c r="G2087" s="949"/>
      <c r="H2087" s="950" t="str">
        <f>Master!K59</f>
        <v>H NO 1/22 KOLLUR</v>
      </c>
      <c r="I2087" s="951"/>
      <c r="J2087" s="951"/>
      <c r="K2087" s="951"/>
      <c r="L2087" s="952"/>
      <c r="M2087" s="16"/>
    </row>
    <row r="2088" spans="1:13" ht="30" customHeight="1">
      <c r="A2088" s="15"/>
      <c r="B2088" s="948"/>
      <c r="C2088" s="949"/>
      <c r="D2088" s="949"/>
      <c r="E2088" s="949"/>
      <c r="F2088" s="949"/>
      <c r="G2088" s="949"/>
      <c r="H2088" s="950" t="str">
        <f>Master!L59</f>
        <v>BIDAR</v>
      </c>
      <c r="I2088" s="951"/>
      <c r="J2088" s="951"/>
      <c r="K2088" s="951"/>
      <c r="L2088" s="952"/>
      <c r="M2088" s="16"/>
    </row>
    <row r="2089" spans="1:13" ht="30" customHeight="1">
      <c r="A2089" s="15"/>
      <c r="B2089" s="948"/>
      <c r="C2089" s="949"/>
      <c r="D2089" s="949"/>
      <c r="E2089" s="949"/>
      <c r="F2089" s="949"/>
      <c r="G2089" s="949"/>
      <c r="H2089" s="950" t="str">
        <f>Master!M59</f>
        <v>KR-585326</v>
      </c>
      <c r="I2089" s="951"/>
      <c r="J2089" s="951"/>
      <c r="K2089" s="951"/>
      <c r="L2089" s="952"/>
      <c r="M2089" s="16"/>
    </row>
    <row r="2090" spans="1:13" ht="30" customHeight="1">
      <c r="A2090" s="73"/>
      <c r="B2090" s="948"/>
      <c r="C2090" s="949"/>
      <c r="D2090" s="949"/>
      <c r="E2090" s="949"/>
      <c r="F2090" s="949"/>
      <c r="G2090" s="949"/>
      <c r="H2090" s="989">
        <f>Master!N2654</f>
        <v>0</v>
      </c>
      <c r="I2090" s="990"/>
      <c r="J2090" s="990"/>
      <c r="K2090" s="990"/>
      <c r="L2090" s="991"/>
      <c r="M2090" s="16"/>
    </row>
    <row r="2091" spans="1:13" ht="30" customHeight="1">
      <c r="A2091" s="73"/>
      <c r="B2091" s="984" t="s">
        <v>106</v>
      </c>
      <c r="C2091" s="985"/>
      <c r="D2091" s="985"/>
      <c r="E2091" s="985"/>
      <c r="F2091" s="985"/>
      <c r="G2091" s="985"/>
      <c r="H2091" s="947">
        <f>Master!C59</f>
        <v>50</v>
      </c>
      <c r="I2091" s="945"/>
      <c r="J2091" s="945"/>
      <c r="K2091" s="945"/>
      <c r="L2091" s="946"/>
      <c r="M2091" s="16"/>
    </row>
    <row r="2092" spans="1:13" ht="30" customHeight="1">
      <c r="A2092" s="73"/>
      <c r="B2092" s="943" t="s">
        <v>107</v>
      </c>
      <c r="C2092" s="944"/>
      <c r="D2092" s="944"/>
      <c r="E2092" s="944"/>
      <c r="F2092" s="944"/>
      <c r="G2092" s="944"/>
      <c r="H2092" s="947" t="str">
        <f>Master!J59</f>
        <v>Semi Skilled Gardner</v>
      </c>
      <c r="I2092" s="945"/>
      <c r="J2092" s="945"/>
      <c r="K2092" s="945"/>
      <c r="L2092" s="946"/>
      <c r="M2092" s="16"/>
    </row>
    <row r="2093" spans="1:13" ht="30" customHeight="1">
      <c r="A2093" s="73"/>
      <c r="B2093" s="943" t="s">
        <v>108</v>
      </c>
      <c r="C2093" s="944"/>
      <c r="D2093" s="944"/>
      <c r="E2093" s="944"/>
      <c r="F2093" s="944"/>
      <c r="G2093" s="944"/>
      <c r="H2093" s="957">
        <f>Master!S59</f>
        <v>43881</v>
      </c>
      <c r="I2093" s="958"/>
      <c r="J2093" s="958"/>
      <c r="K2093" s="958"/>
      <c r="L2093" s="959"/>
      <c r="M2093" s="16"/>
    </row>
    <row r="2094" spans="1:13" ht="30" customHeight="1">
      <c r="A2094" s="73"/>
      <c r="B2094" s="386" t="s">
        <v>109</v>
      </c>
      <c r="C2094" s="116"/>
      <c r="D2094" s="116"/>
      <c r="E2094" s="116"/>
      <c r="F2094" s="116"/>
      <c r="G2094" s="116"/>
      <c r="H2094" s="947">
        <f>Master!Y59</f>
        <v>5216434433</v>
      </c>
      <c r="I2094" s="947"/>
      <c r="J2094" s="947"/>
      <c r="K2094" s="947"/>
      <c r="L2094" s="953"/>
      <c r="M2094" s="16"/>
    </row>
    <row r="2095" spans="1:13" ht="30" customHeight="1">
      <c r="A2095" s="73"/>
      <c r="B2095" s="386" t="s">
        <v>110</v>
      </c>
      <c r="C2095" s="116"/>
      <c r="D2095" s="116"/>
      <c r="E2095" s="116"/>
      <c r="F2095" s="116"/>
      <c r="G2095" s="119"/>
      <c r="H2095" s="947" t="str">
        <f>Master!X59</f>
        <v>101563813332</v>
      </c>
      <c r="I2095" s="947"/>
      <c r="J2095" s="947"/>
      <c r="K2095" s="947"/>
      <c r="L2095" s="953"/>
      <c r="M2095" s="16"/>
    </row>
    <row r="2096" spans="1:13" ht="30" customHeight="1">
      <c r="A2096" s="73"/>
      <c r="B2096" s="954" t="s">
        <v>111</v>
      </c>
      <c r="C2096" s="955"/>
      <c r="D2096" s="955"/>
      <c r="E2096" s="955"/>
      <c r="F2096" s="955"/>
      <c r="G2096" s="955"/>
      <c r="H2096" s="950">
        <f>Master!AC59</f>
        <v>11459</v>
      </c>
      <c r="I2096" s="951"/>
      <c r="J2096" s="951"/>
      <c r="K2096" s="951"/>
      <c r="L2096" s="952"/>
      <c r="M2096" s="16"/>
    </row>
    <row r="2097" spans="1:13" ht="30" customHeight="1">
      <c r="A2097" s="73"/>
      <c r="B2097" s="943" t="s">
        <v>112</v>
      </c>
      <c r="C2097" s="944"/>
      <c r="D2097" s="944"/>
      <c r="E2097" s="944"/>
      <c r="F2097" s="944"/>
      <c r="G2097" s="944"/>
      <c r="H2097" s="956">
        <f>Master!F10</f>
        <v>44652</v>
      </c>
      <c r="I2097" s="945"/>
      <c r="J2097" s="945"/>
      <c r="K2097" s="945"/>
      <c r="L2097" s="946"/>
      <c r="M2097" s="16"/>
    </row>
    <row r="2098" spans="1:13" ht="30" customHeight="1">
      <c r="A2098" s="15"/>
      <c r="B2098" s="943" t="s">
        <v>113</v>
      </c>
      <c r="C2098" s="944"/>
      <c r="D2098" s="944"/>
      <c r="E2098" s="944"/>
      <c r="F2098" s="944"/>
      <c r="G2098" s="944"/>
      <c r="H2098" s="945" t="s">
        <v>114</v>
      </c>
      <c r="I2098" s="945"/>
      <c r="J2098" s="945"/>
      <c r="K2098" s="945"/>
      <c r="L2098" s="946"/>
      <c r="M2098" s="16"/>
    </row>
    <row r="2099" spans="1:13" ht="30" customHeight="1">
      <c r="A2099" s="15"/>
      <c r="B2099" s="386" t="s">
        <v>115</v>
      </c>
      <c r="C2099" s="116"/>
      <c r="D2099" s="116"/>
      <c r="E2099" s="116"/>
      <c r="F2099" s="116"/>
      <c r="G2099" s="119"/>
      <c r="H2099" s="947">
        <f>Master!AA59</f>
        <v>26</v>
      </c>
      <c r="I2099" s="945"/>
      <c r="J2099" s="945"/>
      <c r="K2099" s="945"/>
      <c r="L2099" s="946"/>
      <c r="M2099" s="16"/>
    </row>
    <row r="2100" spans="1:13" ht="30" customHeight="1">
      <c r="A2100" s="15"/>
      <c r="B2100" s="386" t="s">
        <v>116</v>
      </c>
      <c r="C2100" s="116"/>
      <c r="D2100" s="116"/>
      <c r="E2100" s="116"/>
      <c r="F2100" s="116"/>
      <c r="G2100" s="119"/>
      <c r="H2100" s="986" t="s">
        <v>28</v>
      </c>
      <c r="I2100" s="987"/>
      <c r="J2100" s="987"/>
      <c r="K2100" s="987"/>
      <c r="L2100" s="988"/>
      <c r="M2100" s="16"/>
    </row>
    <row r="2101" spans="1:13" ht="30" customHeight="1">
      <c r="A2101" s="15"/>
      <c r="B2101" s="386" t="s">
        <v>117</v>
      </c>
      <c r="C2101" s="116"/>
      <c r="D2101" s="116"/>
      <c r="E2101" s="116"/>
      <c r="F2101" s="116"/>
      <c r="G2101" s="119"/>
      <c r="H2101" s="989">
        <v>0</v>
      </c>
      <c r="I2101" s="990"/>
      <c r="J2101" s="990"/>
      <c r="K2101" s="990"/>
      <c r="L2101" s="991"/>
      <c r="M2101" s="16"/>
    </row>
    <row r="2102" spans="1:13" ht="30" customHeight="1">
      <c r="A2102" s="15"/>
      <c r="B2102" s="386" t="s">
        <v>118</v>
      </c>
      <c r="C2102" s="116"/>
      <c r="D2102" s="116"/>
      <c r="E2102" s="116"/>
      <c r="F2102" s="116"/>
      <c r="G2102" s="119"/>
      <c r="H2102" s="986">
        <v>0</v>
      </c>
      <c r="I2102" s="987"/>
      <c r="J2102" s="987"/>
      <c r="K2102" s="987"/>
      <c r="L2102" s="988"/>
      <c r="M2102" s="16"/>
    </row>
    <row r="2103" spans="1:13" ht="30" customHeight="1">
      <c r="A2103" s="15"/>
      <c r="B2103" s="386" t="s">
        <v>119</v>
      </c>
      <c r="C2103" s="116"/>
      <c r="D2103" s="116"/>
      <c r="E2103" s="116"/>
      <c r="F2103" s="116"/>
      <c r="G2103" s="119"/>
      <c r="H2103" s="117"/>
      <c r="I2103" s="118"/>
      <c r="J2103" s="541">
        <f>Master!AK59</f>
        <v>9932.4666666666653</v>
      </c>
      <c r="K2103" s="587"/>
      <c r="L2103" s="581" t="s">
        <v>737</v>
      </c>
      <c r="M2103" s="16"/>
    </row>
    <row r="2104" spans="1:13" ht="30" customHeight="1">
      <c r="A2104" s="15"/>
      <c r="B2104" s="386" t="s">
        <v>120</v>
      </c>
      <c r="C2104" s="116"/>
      <c r="D2104" s="465" t="s">
        <v>24</v>
      </c>
      <c r="E2104" s="466">
        <f>Master!AM59</f>
        <v>1192</v>
      </c>
      <c r="F2104" s="465" t="s">
        <v>23</v>
      </c>
      <c r="G2104" s="466">
        <f>Master!AL59</f>
        <v>75</v>
      </c>
      <c r="H2104" s="465" t="s">
        <v>25</v>
      </c>
      <c r="I2104" s="466">
        <f>Master!AN59</f>
        <v>0</v>
      </c>
      <c r="J2104" s="465" t="s">
        <v>26</v>
      </c>
      <c r="K2104" s="466">
        <f>Master!AO59</f>
        <v>0</v>
      </c>
      <c r="L2104" s="400">
        <f>Master!AP59</f>
        <v>0</v>
      </c>
      <c r="M2104" s="16"/>
    </row>
    <row r="2105" spans="1:13" ht="30" customHeight="1">
      <c r="A2105" s="15"/>
      <c r="B2105" s="386" t="s">
        <v>121</v>
      </c>
      <c r="C2105" s="116"/>
      <c r="D2105" s="116"/>
      <c r="E2105" s="116"/>
      <c r="F2105" s="116"/>
      <c r="G2105" s="119"/>
      <c r="H2105" s="117"/>
      <c r="I2105" s="118"/>
      <c r="J2105" s="541">
        <f>Master!AR59</f>
        <v>8665.4666666666653</v>
      </c>
      <c r="K2105" s="118"/>
      <c r="L2105" s="125"/>
      <c r="M2105" s="16"/>
    </row>
    <row r="2106" spans="1:13">
      <c r="A2106" s="15"/>
      <c r="B2106" s="387" t="s">
        <v>122</v>
      </c>
      <c r="C2106" s="74"/>
      <c r="D2106" s="74"/>
      <c r="E2106" s="74"/>
      <c r="F2106" s="74"/>
      <c r="G2106" s="75"/>
      <c r="H2106" s="76"/>
      <c r="I2106" s="77"/>
      <c r="J2106" s="77"/>
      <c r="K2106" s="77"/>
      <c r="L2106" s="78"/>
      <c r="M2106" s="16"/>
    </row>
    <row r="2107" spans="1:13">
      <c r="A2107" s="15"/>
      <c r="B2107" s="388" t="s">
        <v>123</v>
      </c>
      <c r="C2107" s="79"/>
      <c r="D2107" s="79"/>
      <c r="E2107" s="79"/>
      <c r="F2107" s="79"/>
      <c r="G2107" s="80"/>
      <c r="H2107" s="60"/>
      <c r="I2107" s="19"/>
      <c r="J2107" s="19"/>
      <c r="K2107" s="19"/>
      <c r="L2107" s="81"/>
      <c r="M2107" s="16"/>
    </row>
    <row r="2108" spans="1:13">
      <c r="A2108" s="15"/>
      <c r="B2108" s="15"/>
      <c r="C2108" s="114"/>
      <c r="D2108" s="114"/>
      <c r="E2108" s="114"/>
      <c r="F2108" s="114"/>
      <c r="G2108" s="114"/>
      <c r="H2108" s="114"/>
      <c r="I2108" s="114"/>
      <c r="J2108" s="114"/>
      <c r="K2108" s="114"/>
      <c r="L2108" s="16"/>
      <c r="M2108" s="16"/>
    </row>
    <row r="2109" spans="1:13" ht="15" thickBot="1">
      <c r="A2109" s="27"/>
      <c r="B2109" s="27"/>
      <c r="C2109" s="25"/>
      <c r="D2109" s="25"/>
      <c r="E2109" s="25"/>
      <c r="F2109" s="25"/>
      <c r="G2109" s="25"/>
      <c r="H2109" s="25"/>
      <c r="I2109" s="25"/>
      <c r="J2109" s="25"/>
      <c r="K2109" s="25"/>
      <c r="L2109" s="26"/>
      <c r="M2109" s="26"/>
    </row>
    <row r="2110" spans="1:13">
      <c r="A2110" s="420"/>
      <c r="B2110" s="420"/>
      <c r="C2110" s="420"/>
      <c r="D2110" s="420"/>
      <c r="E2110" s="420"/>
      <c r="F2110" s="420"/>
      <c r="G2110" s="420"/>
      <c r="H2110" s="420"/>
      <c r="I2110" s="420"/>
      <c r="J2110" s="420"/>
      <c r="K2110" s="420"/>
      <c r="L2110" s="420"/>
      <c r="M2110" s="420"/>
    </row>
    <row r="2111" spans="1:13">
      <c r="A2111" s="420"/>
      <c r="B2111" s="420"/>
      <c r="C2111" s="420"/>
      <c r="D2111" s="420"/>
      <c r="E2111" s="420"/>
      <c r="F2111" s="420"/>
      <c r="G2111" s="420"/>
      <c r="H2111" s="420"/>
      <c r="I2111" s="420"/>
      <c r="J2111" s="420"/>
      <c r="K2111" s="420"/>
      <c r="L2111" s="420"/>
      <c r="M2111" s="420"/>
    </row>
    <row r="2112" spans="1:13">
      <c r="A2112" s="420"/>
      <c r="B2112" s="420"/>
      <c r="C2112" s="420"/>
      <c r="D2112" s="420"/>
      <c r="E2112" s="420"/>
      <c r="F2112" s="420"/>
      <c r="G2112" s="420"/>
      <c r="H2112" s="420"/>
      <c r="I2112" s="420"/>
      <c r="J2112" s="420"/>
      <c r="K2112" s="420"/>
      <c r="L2112" s="420"/>
      <c r="M2112" s="420"/>
    </row>
    <row r="2113" spans="1:13">
      <c r="A2113" s="420"/>
      <c r="B2113" s="420"/>
      <c r="C2113" s="420"/>
      <c r="D2113" s="420"/>
      <c r="E2113" s="420"/>
      <c r="F2113" s="420"/>
      <c r="G2113" s="420"/>
      <c r="H2113" s="420"/>
      <c r="I2113" s="420"/>
      <c r="J2113" s="420"/>
      <c r="K2113" s="420"/>
      <c r="L2113" s="420"/>
      <c r="M2113" s="420"/>
    </row>
    <row r="2114" spans="1:13" ht="15" thickBot="1">
      <c r="A2114" s="420"/>
      <c r="B2114" s="420"/>
      <c r="C2114" s="420"/>
      <c r="D2114" s="420"/>
      <c r="E2114" s="420"/>
      <c r="F2114" s="420"/>
      <c r="G2114" s="420"/>
      <c r="H2114" s="420"/>
      <c r="I2114" s="420"/>
      <c r="J2114" s="420"/>
      <c r="K2114" s="420"/>
      <c r="L2114" s="420"/>
      <c r="M2114" s="420"/>
    </row>
    <row r="2115" spans="1:13" ht="32.4">
      <c r="A2115" s="68"/>
      <c r="B2115" s="960" t="s">
        <v>99</v>
      </c>
      <c r="C2115" s="961"/>
      <c r="D2115" s="961"/>
      <c r="E2115" s="961"/>
      <c r="F2115" s="961"/>
      <c r="G2115" s="961"/>
      <c r="H2115" s="961"/>
      <c r="I2115" s="961"/>
      <c r="J2115" s="961"/>
      <c r="K2115" s="961"/>
      <c r="L2115" s="962"/>
      <c r="M2115" s="69"/>
    </row>
    <row r="2116" spans="1:13" ht="23.4">
      <c r="A2116" s="15"/>
      <c r="B2116" s="963" t="s">
        <v>100</v>
      </c>
      <c r="C2116" s="964"/>
      <c r="D2116" s="964"/>
      <c r="E2116" s="964"/>
      <c r="F2116" s="964"/>
      <c r="G2116" s="964"/>
      <c r="H2116" s="964"/>
      <c r="I2116" s="964"/>
      <c r="J2116" s="964"/>
      <c r="K2116" s="964"/>
      <c r="L2116" s="965"/>
      <c r="M2116" s="16"/>
    </row>
    <row r="2117" spans="1:13" ht="15.6">
      <c r="A2117" s="15"/>
      <c r="B2117" s="966" t="s">
        <v>1070</v>
      </c>
      <c r="C2117" s="967"/>
      <c r="D2117" s="967"/>
      <c r="E2117" s="967"/>
      <c r="F2117" s="967"/>
      <c r="G2117" s="967"/>
      <c r="H2117" s="968"/>
      <c r="I2117" s="968"/>
      <c r="J2117" s="968"/>
      <c r="K2117" s="968"/>
      <c r="L2117" s="969"/>
      <c r="M2117" s="16"/>
    </row>
    <row r="2118" spans="1:13">
      <c r="A2118" s="15"/>
      <c r="B2118" s="970" t="s">
        <v>101</v>
      </c>
      <c r="C2118" s="971"/>
      <c r="D2118" s="971"/>
      <c r="E2118" s="971"/>
      <c r="F2118" s="971"/>
      <c r="G2118" s="391"/>
      <c r="H2118" s="974" t="s">
        <v>102</v>
      </c>
      <c r="I2118" s="975"/>
      <c r="J2118" s="975"/>
      <c r="K2118" s="975"/>
      <c r="L2118" s="976"/>
      <c r="M2118" s="16"/>
    </row>
    <row r="2119" spans="1:13">
      <c r="A2119" s="15"/>
      <c r="B2119" s="972"/>
      <c r="C2119" s="973"/>
      <c r="D2119" s="973"/>
      <c r="E2119" s="973"/>
      <c r="F2119" s="973"/>
      <c r="G2119" s="395"/>
      <c r="H2119" s="977"/>
      <c r="I2119" s="978"/>
      <c r="J2119" s="978"/>
      <c r="K2119" s="978"/>
      <c r="L2119" s="979"/>
      <c r="M2119" s="16"/>
    </row>
    <row r="2120" spans="1:13">
      <c r="A2120" s="15"/>
      <c r="B2120" s="382"/>
      <c r="C2120" s="77"/>
      <c r="D2120" s="77"/>
      <c r="E2120" s="77"/>
      <c r="F2120" s="77"/>
      <c r="G2120" s="56"/>
      <c r="H2120" s="76"/>
      <c r="I2120" s="77"/>
      <c r="J2120" s="77"/>
      <c r="K2120" s="77"/>
      <c r="L2120" s="78"/>
      <c r="M2120" s="16"/>
    </row>
    <row r="2121" spans="1:13">
      <c r="A2121" s="15"/>
      <c r="B2121" s="378" t="str">
        <f>Master!F5</f>
        <v>GROTECH LANDSCAPE DEVELOPERS PVT. LTD.</v>
      </c>
      <c r="C2121" s="114"/>
      <c r="D2121" s="114"/>
      <c r="E2121" s="114"/>
      <c r="F2121" s="114"/>
      <c r="G2121" s="379"/>
      <c r="H2121" s="381" t="str">
        <f>Master!AN5</f>
        <v>GROTECH LANDSCAPE DEVELOPERS PVT. LTD.</v>
      </c>
      <c r="I2121" s="114"/>
      <c r="J2121" s="114"/>
      <c r="K2121" s="114"/>
      <c r="L2121" s="16"/>
      <c r="M2121" s="16"/>
    </row>
    <row r="2122" spans="1:13">
      <c r="A2122" s="15"/>
      <c r="B2122" s="15"/>
      <c r="C2122" s="114"/>
      <c r="D2122" s="114"/>
      <c r="E2122" s="114"/>
      <c r="F2122" s="114"/>
      <c r="G2122" s="379"/>
      <c r="H2122" s="380"/>
      <c r="I2122" s="114"/>
      <c r="J2122" s="114"/>
      <c r="K2122" s="114"/>
      <c r="L2122" s="16"/>
      <c r="M2122" s="16"/>
    </row>
    <row r="2123" spans="1:13">
      <c r="A2123" s="15"/>
      <c r="B2123" s="538" t="str">
        <f>Master!F6</f>
        <v>290/E, Khanapur Village, Gandipet Mandal, Ranga Reddy, Hyderabad-500075 T.S.</v>
      </c>
      <c r="C2123" s="114"/>
      <c r="D2123" s="114"/>
      <c r="E2123" s="114"/>
      <c r="F2123" s="114"/>
      <c r="G2123" s="379"/>
      <c r="H2123" s="539" t="str">
        <f>Master!AN6</f>
        <v>290/E, Khanapur Village, Gandipet Mandal, Ranga Reddy, Hyderabad-500075 T.S.</v>
      </c>
      <c r="I2123" s="114"/>
      <c r="J2123" s="114"/>
      <c r="K2123" s="114"/>
      <c r="L2123" s="16"/>
      <c r="M2123" s="16"/>
    </row>
    <row r="2124" spans="1:13">
      <c r="A2124" s="15"/>
      <c r="B2124" s="383"/>
      <c r="C2124" s="19"/>
      <c r="D2124" s="19"/>
      <c r="E2124" s="19"/>
      <c r="F2124" s="19"/>
      <c r="G2124" s="61"/>
      <c r="H2124" s="60"/>
      <c r="I2124" s="19"/>
      <c r="J2124" s="19"/>
      <c r="K2124" s="19"/>
      <c r="L2124" s="81"/>
      <c r="M2124" s="16"/>
    </row>
    <row r="2125" spans="1:13">
      <c r="A2125" s="15"/>
      <c r="B2125" s="389"/>
      <c r="C2125" s="390"/>
      <c r="D2125" s="390"/>
      <c r="E2125" s="390"/>
      <c r="F2125" s="390"/>
      <c r="G2125" s="391"/>
      <c r="H2125" s="396"/>
      <c r="I2125" s="390"/>
      <c r="J2125" s="390" t="s">
        <v>103</v>
      </c>
      <c r="K2125" s="390"/>
      <c r="L2125" s="397"/>
      <c r="M2125" s="16"/>
    </row>
    <row r="2126" spans="1:13">
      <c r="A2126" s="15"/>
      <c r="B2126" s="980" t="s">
        <v>104</v>
      </c>
      <c r="C2126" s="981"/>
      <c r="D2126" s="981"/>
      <c r="E2126" s="981"/>
      <c r="F2126" s="981"/>
      <c r="G2126" s="392"/>
      <c r="H2126" s="982" t="s">
        <v>4</v>
      </c>
      <c r="I2126" s="981"/>
      <c r="J2126" s="981"/>
      <c r="K2126" s="981"/>
      <c r="L2126" s="983"/>
      <c r="M2126" s="16"/>
    </row>
    <row r="2127" spans="1:13">
      <c r="A2127" s="15"/>
      <c r="B2127" s="393"/>
      <c r="C2127" s="394"/>
      <c r="D2127" s="394"/>
      <c r="E2127" s="394"/>
      <c r="F2127" s="394"/>
      <c r="G2127" s="395"/>
      <c r="H2127" s="398"/>
      <c r="I2127" s="394"/>
      <c r="J2127" s="394"/>
      <c r="K2127" s="394"/>
      <c r="L2127" s="399"/>
      <c r="M2127" s="16"/>
    </row>
    <row r="2128" spans="1:13">
      <c r="A2128" s="15"/>
      <c r="B2128" s="382"/>
      <c r="C2128" s="77"/>
      <c r="D2128" s="77"/>
      <c r="E2128" s="77"/>
      <c r="F2128" s="77"/>
      <c r="G2128" s="56"/>
      <c r="H2128" s="74"/>
      <c r="I2128" s="74"/>
      <c r="J2128" s="74"/>
      <c r="K2128" s="74"/>
      <c r="L2128" s="384"/>
      <c r="M2128" s="16"/>
    </row>
    <row r="2129" spans="1:13">
      <c r="A2129" s="15"/>
      <c r="B2129" s="15"/>
      <c r="C2129" s="114"/>
      <c r="D2129" s="114"/>
      <c r="E2129" s="114"/>
      <c r="F2129" s="114"/>
      <c r="G2129" s="379"/>
      <c r="H2129" s="115" t="str">
        <f>Master!AN10</f>
        <v>INDIAN SCHOOL OF BUSINESS</v>
      </c>
      <c r="I2129" s="115"/>
      <c r="J2129" s="115"/>
      <c r="K2129" s="115"/>
      <c r="L2129" s="71"/>
      <c r="M2129" s="16"/>
    </row>
    <row r="2130" spans="1:13">
      <c r="A2130" s="15"/>
      <c r="B2130" s="70" t="str">
        <f>Master!F8</f>
        <v>GARDENING SERVICES&amp;ISB HYDERABAD</v>
      </c>
      <c r="C2130" s="114"/>
      <c r="D2130" s="114"/>
      <c r="E2130" s="114"/>
      <c r="F2130" s="114"/>
      <c r="G2130" s="379"/>
      <c r="H2130" s="115"/>
      <c r="I2130" s="115"/>
      <c r="J2130" s="115"/>
      <c r="K2130" s="115"/>
      <c r="L2130" s="71"/>
      <c r="M2130" s="16"/>
    </row>
    <row r="2131" spans="1:13">
      <c r="A2131" s="15"/>
      <c r="B2131" s="15"/>
      <c r="C2131" s="114"/>
      <c r="D2131" s="114"/>
      <c r="E2131" s="114"/>
      <c r="F2131" s="114"/>
      <c r="G2131" s="379"/>
      <c r="H2131" s="115" t="str">
        <f>Master!AN11</f>
        <v>Opp.Infosys Limited,Gachibowli,Hyderabad</v>
      </c>
      <c r="I2131" s="115"/>
      <c r="J2131" s="115"/>
      <c r="K2131" s="115"/>
      <c r="L2131" s="71"/>
      <c r="M2131" s="16"/>
    </row>
    <row r="2132" spans="1:13">
      <c r="A2132" s="15"/>
      <c r="B2132" s="383"/>
      <c r="C2132" s="19"/>
      <c r="D2132" s="19"/>
      <c r="E2132" s="19"/>
      <c r="F2132" s="19"/>
      <c r="G2132" s="61"/>
      <c r="H2132" s="79"/>
      <c r="I2132" s="79"/>
      <c r="J2132" s="79"/>
      <c r="K2132" s="79"/>
      <c r="L2132" s="385"/>
      <c r="M2132" s="16"/>
    </row>
    <row r="2133" spans="1:13" ht="30" customHeight="1">
      <c r="A2133" s="15"/>
      <c r="B2133" s="948" t="s">
        <v>105</v>
      </c>
      <c r="C2133" s="949"/>
      <c r="D2133" s="949"/>
      <c r="E2133" s="949"/>
      <c r="F2133" s="949"/>
      <c r="G2133" s="949"/>
      <c r="H2133" s="950" t="str">
        <f>Master!D60</f>
        <v>VADLA JYOTHI</v>
      </c>
      <c r="I2133" s="951"/>
      <c r="J2133" s="951"/>
      <c r="K2133" s="951"/>
      <c r="L2133" s="952"/>
      <c r="M2133" s="16"/>
    </row>
    <row r="2134" spans="1:13" ht="30" customHeight="1">
      <c r="A2134" s="15"/>
      <c r="B2134" s="948"/>
      <c r="C2134" s="949"/>
      <c r="D2134" s="949"/>
      <c r="E2134" s="949"/>
      <c r="F2134" s="949"/>
      <c r="G2134" s="949"/>
      <c r="H2134" s="950" t="str">
        <f>Master!K60</f>
        <v>H NO 3-10 MADHRAM</v>
      </c>
      <c r="I2134" s="951"/>
      <c r="J2134" s="951"/>
      <c r="K2134" s="951"/>
      <c r="L2134" s="952"/>
      <c r="M2134" s="16"/>
    </row>
    <row r="2135" spans="1:13" ht="30" customHeight="1">
      <c r="A2135" s="15"/>
      <c r="B2135" s="948"/>
      <c r="C2135" s="949"/>
      <c r="D2135" s="949"/>
      <c r="E2135" s="949"/>
      <c r="F2135" s="949"/>
      <c r="G2135" s="949"/>
      <c r="H2135" s="950" t="str">
        <f>Master!L60</f>
        <v>MADHRAM MEDAK</v>
      </c>
      <c r="I2135" s="951"/>
      <c r="J2135" s="951"/>
      <c r="K2135" s="951"/>
      <c r="L2135" s="952"/>
      <c r="M2135" s="16"/>
    </row>
    <row r="2136" spans="1:13" ht="30" customHeight="1">
      <c r="A2136" s="15"/>
      <c r="B2136" s="948"/>
      <c r="C2136" s="949"/>
      <c r="D2136" s="949"/>
      <c r="E2136" s="949"/>
      <c r="F2136" s="949"/>
      <c r="G2136" s="949"/>
      <c r="H2136" s="950" t="str">
        <f>Master!M60</f>
        <v>TS-502319</v>
      </c>
      <c r="I2136" s="951"/>
      <c r="J2136" s="951"/>
      <c r="K2136" s="951"/>
      <c r="L2136" s="952"/>
      <c r="M2136" s="16"/>
    </row>
    <row r="2137" spans="1:13" ht="30" customHeight="1">
      <c r="A2137" s="73"/>
      <c r="B2137" s="948"/>
      <c r="C2137" s="949"/>
      <c r="D2137" s="949"/>
      <c r="E2137" s="949"/>
      <c r="F2137" s="949"/>
      <c r="G2137" s="949"/>
      <c r="H2137" s="989">
        <f>Master!N2700</f>
        <v>0</v>
      </c>
      <c r="I2137" s="990"/>
      <c r="J2137" s="990"/>
      <c r="K2137" s="990"/>
      <c r="L2137" s="991"/>
      <c r="M2137" s="16"/>
    </row>
    <row r="2138" spans="1:13" ht="30" customHeight="1">
      <c r="A2138" s="73"/>
      <c r="B2138" s="984" t="s">
        <v>106</v>
      </c>
      <c r="C2138" s="985"/>
      <c r="D2138" s="985"/>
      <c r="E2138" s="985"/>
      <c r="F2138" s="985"/>
      <c r="G2138" s="985"/>
      <c r="H2138" s="947">
        <f>Master!C60</f>
        <v>51</v>
      </c>
      <c r="I2138" s="945"/>
      <c r="J2138" s="945"/>
      <c r="K2138" s="945"/>
      <c r="L2138" s="946"/>
      <c r="M2138" s="16"/>
    </row>
    <row r="2139" spans="1:13" ht="30" customHeight="1">
      <c r="A2139" s="73"/>
      <c r="B2139" s="943" t="s">
        <v>107</v>
      </c>
      <c r="C2139" s="944"/>
      <c r="D2139" s="944"/>
      <c r="E2139" s="944"/>
      <c r="F2139" s="944"/>
      <c r="G2139" s="944"/>
      <c r="H2139" s="947" t="str">
        <f>Master!J60</f>
        <v>Unskilled Gardner</v>
      </c>
      <c r="I2139" s="945"/>
      <c r="J2139" s="945"/>
      <c r="K2139" s="945"/>
      <c r="L2139" s="946"/>
      <c r="M2139" s="16"/>
    </row>
    <row r="2140" spans="1:13" ht="30" customHeight="1">
      <c r="A2140" s="73"/>
      <c r="B2140" s="943" t="s">
        <v>108</v>
      </c>
      <c r="C2140" s="944"/>
      <c r="D2140" s="944"/>
      <c r="E2140" s="944"/>
      <c r="F2140" s="944"/>
      <c r="G2140" s="944"/>
      <c r="H2140" s="957">
        <f>Master!S60</f>
        <v>43885</v>
      </c>
      <c r="I2140" s="958"/>
      <c r="J2140" s="958"/>
      <c r="K2140" s="958"/>
      <c r="L2140" s="959"/>
      <c r="M2140" s="16"/>
    </row>
    <row r="2141" spans="1:13" ht="30" customHeight="1">
      <c r="A2141" s="73"/>
      <c r="B2141" s="386" t="s">
        <v>109</v>
      </c>
      <c r="C2141" s="116"/>
      <c r="D2141" s="116"/>
      <c r="E2141" s="116"/>
      <c r="F2141" s="116"/>
      <c r="G2141" s="116"/>
      <c r="H2141" s="947">
        <f>Master!Y60</f>
        <v>5216423961</v>
      </c>
      <c r="I2141" s="947"/>
      <c r="J2141" s="947"/>
      <c r="K2141" s="947"/>
      <c r="L2141" s="953"/>
      <c r="M2141" s="16"/>
    </row>
    <row r="2142" spans="1:13" ht="30" customHeight="1">
      <c r="A2142" s="73"/>
      <c r="B2142" s="386" t="s">
        <v>110</v>
      </c>
      <c r="C2142" s="116"/>
      <c r="D2142" s="116"/>
      <c r="E2142" s="116"/>
      <c r="F2142" s="116"/>
      <c r="G2142" s="119"/>
      <c r="H2142" s="947">
        <f>Master!X60</f>
        <v>100692721860</v>
      </c>
      <c r="I2142" s="947"/>
      <c r="J2142" s="947"/>
      <c r="K2142" s="947"/>
      <c r="L2142" s="953"/>
      <c r="M2142" s="16"/>
    </row>
    <row r="2143" spans="1:13" ht="30" customHeight="1">
      <c r="A2143" s="73"/>
      <c r="B2143" s="954" t="s">
        <v>111</v>
      </c>
      <c r="C2143" s="955"/>
      <c r="D2143" s="955"/>
      <c r="E2143" s="955"/>
      <c r="F2143" s="955"/>
      <c r="G2143" s="955"/>
      <c r="H2143" s="950">
        <f>Master!AC60</f>
        <v>10627</v>
      </c>
      <c r="I2143" s="951"/>
      <c r="J2143" s="951"/>
      <c r="K2143" s="951"/>
      <c r="L2143" s="952"/>
      <c r="M2143" s="16"/>
    </row>
    <row r="2144" spans="1:13" ht="30" customHeight="1">
      <c r="A2144" s="73"/>
      <c r="B2144" s="943" t="s">
        <v>112</v>
      </c>
      <c r="C2144" s="944"/>
      <c r="D2144" s="944"/>
      <c r="E2144" s="944"/>
      <c r="F2144" s="944"/>
      <c r="G2144" s="944"/>
      <c r="H2144" s="956">
        <f>Master!F10</f>
        <v>44652</v>
      </c>
      <c r="I2144" s="945"/>
      <c r="J2144" s="945"/>
      <c r="K2144" s="945"/>
      <c r="L2144" s="946"/>
      <c r="M2144" s="16"/>
    </row>
    <row r="2145" spans="1:13" ht="30" customHeight="1">
      <c r="A2145" s="15"/>
      <c r="B2145" s="943" t="s">
        <v>113</v>
      </c>
      <c r="C2145" s="944"/>
      <c r="D2145" s="944"/>
      <c r="E2145" s="944"/>
      <c r="F2145" s="944"/>
      <c r="G2145" s="944"/>
      <c r="H2145" s="945" t="s">
        <v>114</v>
      </c>
      <c r="I2145" s="945"/>
      <c r="J2145" s="945"/>
      <c r="K2145" s="945"/>
      <c r="L2145" s="946"/>
      <c r="M2145" s="16"/>
    </row>
    <row r="2146" spans="1:13" ht="30" customHeight="1">
      <c r="A2146" s="15"/>
      <c r="B2146" s="386" t="s">
        <v>115</v>
      </c>
      <c r="C2146" s="116"/>
      <c r="D2146" s="116"/>
      <c r="E2146" s="116"/>
      <c r="F2146" s="116"/>
      <c r="G2146" s="119"/>
      <c r="H2146" s="947">
        <f>Master!AA60</f>
        <v>26</v>
      </c>
      <c r="I2146" s="945"/>
      <c r="J2146" s="945"/>
      <c r="K2146" s="945"/>
      <c r="L2146" s="946"/>
      <c r="M2146" s="16"/>
    </row>
    <row r="2147" spans="1:13" ht="30" customHeight="1">
      <c r="A2147" s="15"/>
      <c r="B2147" s="386" t="s">
        <v>116</v>
      </c>
      <c r="C2147" s="116"/>
      <c r="D2147" s="116"/>
      <c r="E2147" s="116"/>
      <c r="F2147" s="116"/>
      <c r="G2147" s="119"/>
      <c r="H2147" s="986" t="s">
        <v>28</v>
      </c>
      <c r="I2147" s="987"/>
      <c r="J2147" s="987"/>
      <c r="K2147" s="987"/>
      <c r="L2147" s="988"/>
      <c r="M2147" s="16"/>
    </row>
    <row r="2148" spans="1:13" ht="30" customHeight="1">
      <c r="A2148" s="15"/>
      <c r="B2148" s="386" t="s">
        <v>117</v>
      </c>
      <c r="C2148" s="116"/>
      <c r="D2148" s="116"/>
      <c r="E2148" s="116"/>
      <c r="F2148" s="116"/>
      <c r="G2148" s="119"/>
      <c r="H2148" s="989">
        <v>0</v>
      </c>
      <c r="I2148" s="990"/>
      <c r="J2148" s="990"/>
      <c r="K2148" s="990"/>
      <c r="L2148" s="991"/>
      <c r="M2148" s="16"/>
    </row>
    <row r="2149" spans="1:13" ht="30" customHeight="1">
      <c r="A2149" s="15"/>
      <c r="B2149" s="386" t="s">
        <v>118</v>
      </c>
      <c r="C2149" s="116"/>
      <c r="D2149" s="116"/>
      <c r="E2149" s="116"/>
      <c r="F2149" s="116"/>
      <c r="G2149" s="119"/>
      <c r="H2149" s="986">
        <v>0</v>
      </c>
      <c r="I2149" s="987"/>
      <c r="J2149" s="987"/>
      <c r="K2149" s="987"/>
      <c r="L2149" s="988"/>
      <c r="M2149" s="16"/>
    </row>
    <row r="2150" spans="1:13" ht="30" customHeight="1">
      <c r="A2150" s="15"/>
      <c r="B2150" s="386" t="s">
        <v>119</v>
      </c>
      <c r="C2150" s="116"/>
      <c r="D2150" s="116"/>
      <c r="E2150" s="116"/>
      <c r="F2150" s="116"/>
      <c r="G2150" s="119"/>
      <c r="H2150" s="117"/>
      <c r="I2150" s="118"/>
      <c r="J2150" s="990">
        <f>Master!AK60</f>
        <v>9210.4</v>
      </c>
      <c r="K2150" s="992"/>
      <c r="L2150" s="581" t="s">
        <v>737</v>
      </c>
      <c r="M2150" s="16"/>
    </row>
    <row r="2151" spans="1:13" ht="30" customHeight="1">
      <c r="A2151" s="15"/>
      <c r="B2151" s="386" t="s">
        <v>120</v>
      </c>
      <c r="C2151" s="116"/>
      <c r="D2151" s="465" t="s">
        <v>24</v>
      </c>
      <c r="E2151" s="466">
        <f>Master!AM60</f>
        <v>1105</v>
      </c>
      <c r="F2151" s="465" t="s">
        <v>23</v>
      </c>
      <c r="G2151" s="466">
        <f>Master!AL60</f>
        <v>70</v>
      </c>
      <c r="H2151" s="465" t="s">
        <v>25</v>
      </c>
      <c r="I2151" s="466">
        <f>Master!AN60</f>
        <v>0</v>
      </c>
      <c r="J2151" s="465" t="s">
        <v>26</v>
      </c>
      <c r="K2151" s="466">
        <f>Master!AO60</f>
        <v>0</v>
      </c>
      <c r="L2151" s="400">
        <f>Master!AP60</f>
        <v>0</v>
      </c>
      <c r="M2151" s="16"/>
    </row>
    <row r="2152" spans="1:13" ht="30" customHeight="1">
      <c r="A2152" s="15"/>
      <c r="B2152" s="386" t="s">
        <v>121</v>
      </c>
      <c r="C2152" s="116"/>
      <c r="D2152" s="116"/>
      <c r="E2152" s="116"/>
      <c r="F2152" s="116"/>
      <c r="G2152" s="119"/>
      <c r="H2152" s="117"/>
      <c r="I2152" s="118"/>
      <c r="J2152" s="541">
        <f>Master!AR60</f>
        <v>8035.4</v>
      </c>
      <c r="K2152" s="118"/>
      <c r="L2152" s="125"/>
      <c r="M2152" s="16"/>
    </row>
    <row r="2153" spans="1:13">
      <c r="A2153" s="15"/>
      <c r="B2153" s="387" t="s">
        <v>122</v>
      </c>
      <c r="C2153" s="74"/>
      <c r="D2153" s="74"/>
      <c r="E2153" s="74"/>
      <c r="F2153" s="74"/>
      <c r="G2153" s="75"/>
      <c r="H2153" s="76"/>
      <c r="I2153" s="77"/>
      <c r="J2153" s="77"/>
      <c r="K2153" s="77"/>
      <c r="L2153" s="78"/>
      <c r="M2153" s="16"/>
    </row>
    <row r="2154" spans="1:13">
      <c r="A2154" s="15"/>
      <c r="B2154" s="388" t="s">
        <v>123</v>
      </c>
      <c r="C2154" s="79"/>
      <c r="D2154" s="79"/>
      <c r="E2154" s="79"/>
      <c r="F2154" s="79"/>
      <c r="G2154" s="80"/>
      <c r="H2154" s="60"/>
      <c r="I2154" s="19"/>
      <c r="J2154" s="19"/>
      <c r="K2154" s="19"/>
      <c r="L2154" s="81"/>
      <c r="M2154" s="16"/>
    </row>
    <row r="2155" spans="1:13">
      <c r="A2155" s="15"/>
      <c r="B2155" s="15"/>
      <c r="C2155" s="114"/>
      <c r="D2155" s="114"/>
      <c r="E2155" s="114"/>
      <c r="F2155" s="114"/>
      <c r="G2155" s="114"/>
      <c r="H2155" s="114"/>
      <c r="I2155" s="114"/>
      <c r="J2155" s="114"/>
      <c r="K2155" s="114"/>
      <c r="L2155" s="16"/>
      <c r="M2155" s="16"/>
    </row>
    <row r="2156" spans="1:13" ht="15" thickBot="1">
      <c r="A2156" s="27"/>
      <c r="B2156" s="27"/>
      <c r="C2156" s="25"/>
      <c r="D2156" s="25"/>
      <c r="E2156" s="25"/>
      <c r="F2156" s="25"/>
      <c r="G2156" s="25"/>
      <c r="H2156" s="25"/>
      <c r="I2156" s="25"/>
      <c r="J2156" s="25"/>
      <c r="K2156" s="25"/>
      <c r="L2156" s="26"/>
      <c r="M2156" s="26"/>
    </row>
    <row r="2157" spans="1:13">
      <c r="A2157" s="420"/>
      <c r="B2157" s="420"/>
      <c r="C2157" s="420"/>
      <c r="D2157" s="420"/>
      <c r="E2157" s="420"/>
      <c r="F2157" s="420"/>
      <c r="G2157" s="420"/>
      <c r="H2157" s="420"/>
      <c r="I2157" s="420"/>
      <c r="J2157" s="420"/>
      <c r="K2157" s="420"/>
      <c r="L2157" s="420"/>
      <c r="M2157" s="420"/>
    </row>
    <row r="2158" spans="1:13">
      <c r="A2158" s="420"/>
      <c r="B2158" s="420"/>
      <c r="C2158" s="420"/>
      <c r="D2158" s="420"/>
      <c r="E2158" s="420"/>
      <c r="F2158" s="420"/>
      <c r="G2158" s="420"/>
      <c r="H2158" s="420"/>
      <c r="I2158" s="420"/>
      <c r="J2158" s="420"/>
      <c r="K2158" s="420"/>
      <c r="L2158" s="420"/>
      <c r="M2158" s="420"/>
    </row>
    <row r="2159" spans="1:13">
      <c r="A2159" s="420"/>
      <c r="B2159" s="420"/>
      <c r="C2159" s="420"/>
      <c r="D2159" s="420"/>
      <c r="E2159" s="420"/>
      <c r="F2159" s="420"/>
      <c r="G2159" s="420"/>
      <c r="H2159" s="420"/>
      <c r="I2159" s="420"/>
      <c r="J2159" s="420"/>
      <c r="K2159" s="420"/>
      <c r="L2159" s="420"/>
      <c r="M2159" s="420"/>
    </row>
    <row r="2160" spans="1:13">
      <c r="A2160" s="420"/>
      <c r="B2160" s="420"/>
      <c r="C2160" s="420"/>
      <c r="D2160" s="420"/>
      <c r="E2160" s="420"/>
      <c r="F2160" s="420"/>
      <c r="G2160" s="420"/>
      <c r="H2160" s="420"/>
      <c r="I2160" s="420"/>
      <c r="J2160" s="420"/>
      <c r="K2160" s="420"/>
      <c r="L2160" s="420"/>
      <c r="M2160" s="420"/>
    </row>
    <row r="2161" spans="1:13" ht="15" thickBot="1">
      <c r="A2161" s="420"/>
      <c r="B2161" s="420"/>
      <c r="C2161" s="420"/>
      <c r="D2161" s="420"/>
      <c r="E2161" s="420"/>
      <c r="F2161" s="420"/>
      <c r="G2161" s="420"/>
      <c r="H2161" s="420"/>
      <c r="I2161" s="420"/>
      <c r="J2161" s="420"/>
      <c r="K2161" s="420"/>
      <c r="L2161" s="420"/>
      <c r="M2161" s="420"/>
    </row>
    <row r="2162" spans="1:13" ht="32.4">
      <c r="A2162" s="68"/>
      <c r="B2162" s="960" t="s">
        <v>99</v>
      </c>
      <c r="C2162" s="961"/>
      <c r="D2162" s="961"/>
      <c r="E2162" s="961"/>
      <c r="F2162" s="961"/>
      <c r="G2162" s="961"/>
      <c r="H2162" s="961"/>
      <c r="I2162" s="961"/>
      <c r="J2162" s="961"/>
      <c r="K2162" s="961"/>
      <c r="L2162" s="962"/>
      <c r="M2162" s="69"/>
    </row>
    <row r="2163" spans="1:13" ht="23.4">
      <c r="A2163" s="15"/>
      <c r="B2163" s="963" t="s">
        <v>100</v>
      </c>
      <c r="C2163" s="964"/>
      <c r="D2163" s="964"/>
      <c r="E2163" s="964"/>
      <c r="F2163" s="964"/>
      <c r="G2163" s="964"/>
      <c r="H2163" s="964"/>
      <c r="I2163" s="964"/>
      <c r="J2163" s="964"/>
      <c r="K2163" s="964"/>
      <c r="L2163" s="965"/>
      <c r="M2163" s="16"/>
    </row>
    <row r="2164" spans="1:13" ht="15.6">
      <c r="A2164" s="15"/>
      <c r="B2164" s="966" t="s">
        <v>1070</v>
      </c>
      <c r="C2164" s="967"/>
      <c r="D2164" s="967"/>
      <c r="E2164" s="967"/>
      <c r="F2164" s="967"/>
      <c r="G2164" s="967"/>
      <c r="H2164" s="968"/>
      <c r="I2164" s="968"/>
      <c r="J2164" s="968"/>
      <c r="K2164" s="968"/>
      <c r="L2164" s="969"/>
      <c r="M2164" s="16"/>
    </row>
    <row r="2165" spans="1:13">
      <c r="A2165" s="15"/>
      <c r="B2165" s="970" t="s">
        <v>101</v>
      </c>
      <c r="C2165" s="971"/>
      <c r="D2165" s="971"/>
      <c r="E2165" s="971"/>
      <c r="F2165" s="971"/>
      <c r="G2165" s="391"/>
      <c r="H2165" s="974" t="s">
        <v>102</v>
      </c>
      <c r="I2165" s="975"/>
      <c r="J2165" s="975"/>
      <c r="K2165" s="975"/>
      <c r="L2165" s="976"/>
      <c r="M2165" s="16"/>
    </row>
    <row r="2166" spans="1:13">
      <c r="A2166" s="15"/>
      <c r="B2166" s="972"/>
      <c r="C2166" s="973"/>
      <c r="D2166" s="973"/>
      <c r="E2166" s="973"/>
      <c r="F2166" s="973"/>
      <c r="G2166" s="395"/>
      <c r="H2166" s="977"/>
      <c r="I2166" s="978"/>
      <c r="J2166" s="978"/>
      <c r="K2166" s="978"/>
      <c r="L2166" s="979"/>
      <c r="M2166" s="16"/>
    </row>
    <row r="2167" spans="1:13">
      <c r="A2167" s="15"/>
      <c r="B2167" s="382"/>
      <c r="C2167" s="77"/>
      <c r="D2167" s="77"/>
      <c r="E2167" s="77"/>
      <c r="F2167" s="77"/>
      <c r="G2167" s="56"/>
      <c r="H2167" s="76"/>
      <c r="I2167" s="77"/>
      <c r="J2167" s="77"/>
      <c r="K2167" s="77"/>
      <c r="L2167" s="78"/>
      <c r="M2167" s="16"/>
    </row>
    <row r="2168" spans="1:13">
      <c r="A2168" s="15"/>
      <c r="B2168" s="378" t="str">
        <f>Master!F5</f>
        <v>GROTECH LANDSCAPE DEVELOPERS PVT. LTD.</v>
      </c>
      <c r="C2168" s="114"/>
      <c r="D2168" s="114"/>
      <c r="E2168" s="114"/>
      <c r="F2168" s="114"/>
      <c r="G2168" s="379"/>
      <c r="H2168" s="381" t="str">
        <f>Master!AN5</f>
        <v>GROTECH LANDSCAPE DEVELOPERS PVT. LTD.</v>
      </c>
      <c r="I2168" s="114"/>
      <c r="J2168" s="114"/>
      <c r="K2168" s="114"/>
      <c r="L2168" s="16"/>
      <c r="M2168" s="16"/>
    </row>
    <row r="2169" spans="1:13">
      <c r="A2169" s="15"/>
      <c r="B2169" s="15"/>
      <c r="C2169" s="114"/>
      <c r="D2169" s="114"/>
      <c r="E2169" s="114"/>
      <c r="F2169" s="114"/>
      <c r="G2169" s="379"/>
      <c r="H2169" s="380"/>
      <c r="I2169" s="114"/>
      <c r="J2169" s="114"/>
      <c r="K2169" s="114"/>
      <c r="L2169" s="16"/>
      <c r="M2169" s="16"/>
    </row>
    <row r="2170" spans="1:13">
      <c r="A2170" s="15"/>
      <c r="B2170" s="538" t="str">
        <f>Master!F6</f>
        <v>290/E, Khanapur Village, Gandipet Mandal, Ranga Reddy, Hyderabad-500075 T.S.</v>
      </c>
      <c r="C2170" s="114"/>
      <c r="D2170" s="114"/>
      <c r="E2170" s="114"/>
      <c r="F2170" s="114"/>
      <c r="G2170" s="379"/>
      <c r="H2170" s="539" t="str">
        <f>Master!AN6</f>
        <v>290/E, Khanapur Village, Gandipet Mandal, Ranga Reddy, Hyderabad-500075 T.S.</v>
      </c>
      <c r="I2170" s="114"/>
      <c r="J2170" s="114"/>
      <c r="K2170" s="114"/>
      <c r="L2170" s="16"/>
      <c r="M2170" s="16"/>
    </row>
    <row r="2171" spans="1:13">
      <c r="A2171" s="15"/>
      <c r="B2171" s="383"/>
      <c r="C2171" s="19"/>
      <c r="D2171" s="19"/>
      <c r="E2171" s="19"/>
      <c r="F2171" s="19"/>
      <c r="G2171" s="61"/>
      <c r="H2171" s="60"/>
      <c r="I2171" s="19"/>
      <c r="J2171" s="19"/>
      <c r="K2171" s="19"/>
      <c r="L2171" s="81"/>
      <c r="M2171" s="16"/>
    </row>
    <row r="2172" spans="1:13">
      <c r="A2172" s="15"/>
      <c r="B2172" s="389"/>
      <c r="C2172" s="390"/>
      <c r="D2172" s="390"/>
      <c r="E2172" s="390"/>
      <c r="F2172" s="390"/>
      <c r="G2172" s="391"/>
      <c r="H2172" s="396"/>
      <c r="I2172" s="390"/>
      <c r="J2172" s="390" t="s">
        <v>103</v>
      </c>
      <c r="K2172" s="390"/>
      <c r="L2172" s="397"/>
      <c r="M2172" s="16"/>
    </row>
    <row r="2173" spans="1:13">
      <c r="A2173" s="15"/>
      <c r="B2173" s="980" t="s">
        <v>104</v>
      </c>
      <c r="C2173" s="981"/>
      <c r="D2173" s="981"/>
      <c r="E2173" s="981"/>
      <c r="F2173" s="981"/>
      <c r="G2173" s="392"/>
      <c r="H2173" s="982" t="s">
        <v>4</v>
      </c>
      <c r="I2173" s="981"/>
      <c r="J2173" s="981"/>
      <c r="K2173" s="981"/>
      <c r="L2173" s="983"/>
      <c r="M2173" s="16"/>
    </row>
    <row r="2174" spans="1:13">
      <c r="A2174" s="15"/>
      <c r="B2174" s="393"/>
      <c r="C2174" s="394"/>
      <c r="D2174" s="394"/>
      <c r="E2174" s="394"/>
      <c r="F2174" s="394"/>
      <c r="G2174" s="395"/>
      <c r="H2174" s="398"/>
      <c r="I2174" s="394"/>
      <c r="J2174" s="394"/>
      <c r="K2174" s="394"/>
      <c r="L2174" s="399"/>
      <c r="M2174" s="16"/>
    </row>
    <row r="2175" spans="1:13">
      <c r="A2175" s="15"/>
      <c r="B2175" s="382"/>
      <c r="C2175" s="77"/>
      <c r="D2175" s="77"/>
      <c r="E2175" s="77"/>
      <c r="F2175" s="77"/>
      <c r="G2175" s="56"/>
      <c r="H2175" s="74"/>
      <c r="I2175" s="74"/>
      <c r="J2175" s="74"/>
      <c r="K2175" s="74"/>
      <c r="L2175" s="384"/>
      <c r="M2175" s="16"/>
    </row>
    <row r="2176" spans="1:13">
      <c r="A2176" s="15"/>
      <c r="B2176" s="15"/>
      <c r="C2176" s="114"/>
      <c r="D2176" s="114"/>
      <c r="E2176" s="114"/>
      <c r="F2176" s="114"/>
      <c r="G2176" s="379"/>
      <c r="H2176" s="115" t="str">
        <f>Master!AN10</f>
        <v>INDIAN SCHOOL OF BUSINESS</v>
      </c>
      <c r="I2176" s="115"/>
      <c r="J2176" s="115"/>
      <c r="K2176" s="115"/>
      <c r="L2176" s="71"/>
      <c r="M2176" s="16"/>
    </row>
    <row r="2177" spans="1:13">
      <c r="A2177" s="15"/>
      <c r="B2177" s="70" t="str">
        <f>Master!F8</f>
        <v>GARDENING SERVICES&amp;ISB HYDERABAD</v>
      </c>
      <c r="C2177" s="114"/>
      <c r="D2177" s="114"/>
      <c r="E2177" s="114"/>
      <c r="F2177" s="114"/>
      <c r="G2177" s="379"/>
      <c r="H2177" s="115"/>
      <c r="I2177" s="115"/>
      <c r="J2177" s="115"/>
      <c r="K2177" s="115"/>
      <c r="L2177" s="71"/>
      <c r="M2177" s="16"/>
    </row>
    <row r="2178" spans="1:13">
      <c r="A2178" s="15"/>
      <c r="B2178" s="15"/>
      <c r="C2178" s="114"/>
      <c r="D2178" s="114"/>
      <c r="E2178" s="114"/>
      <c r="F2178" s="114"/>
      <c r="G2178" s="379"/>
      <c r="H2178" s="115" t="str">
        <f>Master!AN11</f>
        <v>Opp.Infosys Limited,Gachibowli,Hyderabad</v>
      </c>
      <c r="I2178" s="115"/>
      <c r="J2178" s="115"/>
      <c r="K2178" s="115"/>
      <c r="L2178" s="71"/>
      <c r="M2178" s="16"/>
    </row>
    <row r="2179" spans="1:13">
      <c r="A2179" s="15"/>
      <c r="B2179" s="383"/>
      <c r="C2179" s="19"/>
      <c r="D2179" s="19"/>
      <c r="E2179" s="19"/>
      <c r="F2179" s="19"/>
      <c r="G2179" s="61"/>
      <c r="H2179" s="79"/>
      <c r="I2179" s="79"/>
      <c r="J2179" s="79"/>
      <c r="K2179" s="79"/>
      <c r="L2179" s="385"/>
      <c r="M2179" s="16"/>
    </row>
    <row r="2180" spans="1:13" ht="30" customHeight="1">
      <c r="A2180" s="15"/>
      <c r="B2180" s="948" t="s">
        <v>105</v>
      </c>
      <c r="C2180" s="949"/>
      <c r="D2180" s="949"/>
      <c r="E2180" s="949"/>
      <c r="F2180" s="949"/>
      <c r="G2180" s="949"/>
      <c r="H2180" s="950" t="str">
        <f>Master!D61</f>
        <v>Rupesh Chandra Jakhmola</v>
      </c>
      <c r="I2180" s="951"/>
      <c r="J2180" s="951"/>
      <c r="K2180" s="951"/>
      <c r="L2180" s="952"/>
      <c r="M2180" s="16"/>
    </row>
    <row r="2181" spans="1:13" ht="30" customHeight="1">
      <c r="A2181" s="15"/>
      <c r="B2181" s="948"/>
      <c r="C2181" s="949"/>
      <c r="D2181" s="949"/>
      <c r="E2181" s="949"/>
      <c r="F2181" s="949"/>
      <c r="G2181" s="949"/>
      <c r="H2181" s="950" t="str">
        <f>Master!K61</f>
        <v>KALALGHATI</v>
      </c>
      <c r="I2181" s="951"/>
      <c r="J2181" s="951"/>
      <c r="K2181" s="951"/>
      <c r="L2181" s="952"/>
      <c r="M2181" s="16"/>
    </row>
    <row r="2182" spans="1:13" ht="30" customHeight="1">
      <c r="A2182" s="15"/>
      <c r="B2182" s="948"/>
      <c r="C2182" s="949"/>
      <c r="D2182" s="949"/>
      <c r="E2182" s="949"/>
      <c r="F2182" s="949"/>
      <c r="G2182" s="949"/>
      <c r="H2182" s="950" t="str">
        <f>Master!L61</f>
        <v>KOTDWAR</v>
      </c>
      <c r="I2182" s="951"/>
      <c r="J2182" s="951"/>
      <c r="K2182" s="951"/>
      <c r="L2182" s="952"/>
      <c r="M2182" s="16"/>
    </row>
    <row r="2183" spans="1:13" ht="30" customHeight="1">
      <c r="A2183" s="15"/>
      <c r="B2183" s="948"/>
      <c r="C2183" s="949"/>
      <c r="D2183" s="949"/>
      <c r="E2183" s="949"/>
      <c r="F2183" s="949"/>
      <c r="G2183" s="949"/>
      <c r="H2183" s="950" t="str">
        <f>Master!M61</f>
        <v>UK 246149</v>
      </c>
      <c r="I2183" s="951"/>
      <c r="J2183" s="951"/>
      <c r="K2183" s="951"/>
      <c r="L2183" s="952"/>
      <c r="M2183" s="16"/>
    </row>
    <row r="2184" spans="1:13" ht="30" customHeight="1">
      <c r="A2184" s="73"/>
      <c r="B2184" s="948"/>
      <c r="C2184" s="949"/>
      <c r="D2184" s="949"/>
      <c r="E2184" s="949"/>
      <c r="F2184" s="949"/>
      <c r="G2184" s="949"/>
      <c r="H2184" s="989">
        <f>Master!N61</f>
        <v>0</v>
      </c>
      <c r="I2184" s="990"/>
      <c r="J2184" s="990"/>
      <c r="K2184" s="990"/>
      <c r="L2184" s="991"/>
      <c r="M2184" s="16"/>
    </row>
    <row r="2185" spans="1:13" ht="30" customHeight="1">
      <c r="A2185" s="73"/>
      <c r="B2185" s="984" t="s">
        <v>106</v>
      </c>
      <c r="C2185" s="985"/>
      <c r="D2185" s="985"/>
      <c r="E2185" s="985"/>
      <c r="F2185" s="985"/>
      <c r="G2185" s="985"/>
      <c r="H2185" s="947">
        <f>Master!C61</f>
        <v>52</v>
      </c>
      <c r="I2185" s="945"/>
      <c r="J2185" s="945"/>
      <c r="K2185" s="945"/>
      <c r="L2185" s="946"/>
      <c r="M2185" s="16"/>
    </row>
    <row r="2186" spans="1:13" ht="30" customHeight="1">
      <c r="A2186" s="73"/>
      <c r="B2186" s="943" t="s">
        <v>107</v>
      </c>
      <c r="C2186" s="944"/>
      <c r="D2186" s="944"/>
      <c r="E2186" s="944"/>
      <c r="F2186" s="944"/>
      <c r="G2186" s="944"/>
      <c r="H2186" s="947" t="str">
        <f>Master!J61</f>
        <v>Manager</v>
      </c>
      <c r="I2186" s="945"/>
      <c r="J2186" s="945"/>
      <c r="K2186" s="945"/>
      <c r="L2186" s="946"/>
      <c r="M2186" s="16"/>
    </row>
    <row r="2187" spans="1:13" ht="30" customHeight="1">
      <c r="A2187" s="73"/>
      <c r="B2187" s="943" t="s">
        <v>108</v>
      </c>
      <c r="C2187" s="944"/>
      <c r="D2187" s="944"/>
      <c r="E2187" s="944"/>
      <c r="F2187" s="944"/>
      <c r="G2187" s="944"/>
      <c r="H2187" s="957">
        <f>Master!S61</f>
        <v>43892</v>
      </c>
      <c r="I2187" s="958"/>
      <c r="J2187" s="958"/>
      <c r="K2187" s="958"/>
      <c r="L2187" s="959"/>
      <c r="M2187" s="16"/>
    </row>
    <row r="2188" spans="1:13" ht="30" customHeight="1">
      <c r="A2188" s="73"/>
      <c r="B2188" s="386" t="s">
        <v>109</v>
      </c>
      <c r="C2188" s="116"/>
      <c r="D2188" s="116"/>
      <c r="E2188" s="116"/>
      <c r="F2188" s="116"/>
      <c r="G2188" s="116"/>
      <c r="H2188" s="997" t="str">
        <f>Master!Y61</f>
        <v>N/A</v>
      </c>
      <c r="I2188" s="945"/>
      <c r="J2188" s="945"/>
      <c r="K2188" s="945"/>
      <c r="L2188" s="946"/>
      <c r="M2188" s="16"/>
    </row>
    <row r="2189" spans="1:13" ht="30" customHeight="1">
      <c r="A2189" s="73"/>
      <c r="B2189" s="386" t="s">
        <v>110</v>
      </c>
      <c r="C2189" s="116"/>
      <c r="D2189" s="116"/>
      <c r="E2189" s="116"/>
      <c r="F2189" s="116"/>
      <c r="G2189" s="119"/>
      <c r="H2189" s="947">
        <f>Master!X61</f>
        <v>101318416076</v>
      </c>
      <c r="I2189" s="947"/>
      <c r="J2189" s="947"/>
      <c r="K2189" s="947"/>
      <c r="L2189" s="953"/>
      <c r="M2189" s="16"/>
    </row>
    <row r="2190" spans="1:13" ht="30" customHeight="1">
      <c r="A2190" s="73"/>
      <c r="B2190" s="954" t="s">
        <v>111</v>
      </c>
      <c r="C2190" s="955"/>
      <c r="D2190" s="955"/>
      <c r="E2190" s="955"/>
      <c r="F2190" s="955"/>
      <c r="G2190" s="955"/>
      <c r="H2190" s="950">
        <f>Master!AC61</f>
        <v>27800</v>
      </c>
      <c r="I2190" s="951"/>
      <c r="J2190" s="951"/>
      <c r="K2190" s="951"/>
      <c r="L2190" s="952"/>
      <c r="M2190" s="16"/>
    </row>
    <row r="2191" spans="1:13" ht="30" customHeight="1">
      <c r="A2191" s="73"/>
      <c r="B2191" s="943" t="s">
        <v>112</v>
      </c>
      <c r="C2191" s="944"/>
      <c r="D2191" s="944"/>
      <c r="E2191" s="944"/>
      <c r="F2191" s="944"/>
      <c r="G2191" s="944"/>
      <c r="H2191" s="956">
        <f>Master!F10</f>
        <v>44652</v>
      </c>
      <c r="I2191" s="945"/>
      <c r="J2191" s="945"/>
      <c r="K2191" s="945"/>
      <c r="L2191" s="946"/>
      <c r="M2191" s="16"/>
    </row>
    <row r="2192" spans="1:13" ht="30" customHeight="1">
      <c r="A2192" s="15"/>
      <c r="B2192" s="943" t="s">
        <v>113</v>
      </c>
      <c r="C2192" s="944"/>
      <c r="D2192" s="944"/>
      <c r="E2192" s="944"/>
      <c r="F2192" s="944"/>
      <c r="G2192" s="944"/>
      <c r="H2192" s="945" t="s">
        <v>114</v>
      </c>
      <c r="I2192" s="945"/>
      <c r="J2192" s="945"/>
      <c r="K2192" s="945"/>
      <c r="L2192" s="946"/>
      <c r="M2192" s="16"/>
    </row>
    <row r="2193" spans="1:13" ht="30" customHeight="1">
      <c r="A2193" s="15"/>
      <c r="B2193" s="386" t="s">
        <v>115</v>
      </c>
      <c r="C2193" s="116"/>
      <c r="D2193" s="116"/>
      <c r="E2193" s="116"/>
      <c r="F2193" s="116"/>
      <c r="G2193" s="119"/>
      <c r="H2193" s="947">
        <f>Master!AA61</f>
        <v>30</v>
      </c>
      <c r="I2193" s="945"/>
      <c r="J2193" s="945"/>
      <c r="K2193" s="945"/>
      <c r="L2193" s="946"/>
      <c r="M2193" s="16"/>
    </row>
    <row r="2194" spans="1:13" ht="30" customHeight="1">
      <c r="A2194" s="15"/>
      <c r="B2194" s="386" t="s">
        <v>116</v>
      </c>
      <c r="C2194" s="116"/>
      <c r="D2194" s="116"/>
      <c r="E2194" s="116"/>
      <c r="F2194" s="116"/>
      <c r="G2194" s="119"/>
      <c r="H2194" s="986" t="s">
        <v>28</v>
      </c>
      <c r="I2194" s="987"/>
      <c r="J2194" s="987"/>
      <c r="K2194" s="987"/>
      <c r="L2194" s="988"/>
      <c r="M2194" s="16"/>
    </row>
    <row r="2195" spans="1:13" ht="30" customHeight="1">
      <c r="A2195" s="15"/>
      <c r="B2195" s="386" t="s">
        <v>117</v>
      </c>
      <c r="C2195" s="116"/>
      <c r="D2195" s="116"/>
      <c r="E2195" s="116"/>
      <c r="F2195" s="116"/>
      <c r="G2195" s="119"/>
      <c r="H2195" s="989">
        <v>0</v>
      </c>
      <c r="I2195" s="990"/>
      <c r="J2195" s="990"/>
      <c r="K2195" s="990"/>
      <c r="L2195" s="991"/>
      <c r="M2195" s="16"/>
    </row>
    <row r="2196" spans="1:13" ht="30" customHeight="1">
      <c r="A2196" s="15"/>
      <c r="B2196" s="386" t="s">
        <v>118</v>
      </c>
      <c r="C2196" s="116"/>
      <c r="D2196" s="116"/>
      <c r="E2196" s="116"/>
      <c r="F2196" s="116"/>
      <c r="G2196" s="119"/>
      <c r="H2196" s="986">
        <v>0</v>
      </c>
      <c r="I2196" s="987"/>
      <c r="J2196" s="987"/>
      <c r="K2196" s="987"/>
      <c r="L2196" s="988"/>
      <c r="M2196" s="16"/>
    </row>
    <row r="2197" spans="1:13" ht="30" customHeight="1">
      <c r="A2197" s="15"/>
      <c r="B2197" s="386" t="s">
        <v>119</v>
      </c>
      <c r="C2197" s="116"/>
      <c r="D2197" s="116"/>
      <c r="E2197" s="116"/>
      <c r="F2197" s="116"/>
      <c r="G2197" s="119"/>
      <c r="H2197" s="117"/>
      <c r="I2197" s="118"/>
      <c r="J2197" s="990">
        <f>Master!AK61</f>
        <v>27800</v>
      </c>
      <c r="K2197" s="992"/>
      <c r="L2197" s="581" t="s">
        <v>737</v>
      </c>
      <c r="M2197" s="16"/>
    </row>
    <row r="2198" spans="1:13" ht="30" customHeight="1">
      <c r="A2198" s="15"/>
      <c r="B2198" s="386" t="s">
        <v>120</v>
      </c>
      <c r="C2198" s="116"/>
      <c r="D2198" s="465" t="s">
        <v>24</v>
      </c>
      <c r="E2198" s="466">
        <f>Master!AM61</f>
        <v>1800</v>
      </c>
      <c r="F2198" s="465" t="s">
        <v>23</v>
      </c>
      <c r="G2198" s="466">
        <f>Master!AL61</f>
        <v>0</v>
      </c>
      <c r="H2198" s="465" t="s">
        <v>25</v>
      </c>
      <c r="I2198" s="466">
        <f>Master!AN61</f>
        <v>200</v>
      </c>
      <c r="J2198" s="465" t="s">
        <v>26</v>
      </c>
      <c r="K2198" s="466">
        <f>Master!AO61</f>
        <v>0</v>
      </c>
      <c r="L2198" s="400">
        <f>Master!AP61</f>
        <v>0</v>
      </c>
      <c r="M2198" s="16"/>
    </row>
    <row r="2199" spans="1:13" ht="30" customHeight="1">
      <c r="A2199" s="15"/>
      <c r="B2199" s="386" t="s">
        <v>121</v>
      </c>
      <c r="C2199" s="116"/>
      <c r="D2199" s="116"/>
      <c r="E2199" s="116"/>
      <c r="F2199" s="116"/>
      <c r="G2199" s="119"/>
      <c r="H2199" s="117"/>
      <c r="I2199" s="118"/>
      <c r="J2199" s="467">
        <f>Master!AR61</f>
        <v>25800</v>
      </c>
      <c r="K2199" s="118"/>
      <c r="L2199" s="125"/>
      <c r="M2199" s="16"/>
    </row>
    <row r="2200" spans="1:13">
      <c r="A2200" s="15"/>
      <c r="B2200" s="387" t="s">
        <v>122</v>
      </c>
      <c r="C2200" s="74"/>
      <c r="D2200" s="74"/>
      <c r="E2200" s="74"/>
      <c r="F2200" s="74"/>
      <c r="G2200" s="75"/>
      <c r="H2200" s="76"/>
      <c r="I2200" s="77"/>
      <c r="J2200" s="77"/>
      <c r="K2200" s="77"/>
      <c r="L2200" s="78"/>
      <c r="M2200" s="16"/>
    </row>
    <row r="2201" spans="1:13">
      <c r="A2201" s="15"/>
      <c r="B2201" s="388" t="s">
        <v>123</v>
      </c>
      <c r="C2201" s="79"/>
      <c r="D2201" s="79"/>
      <c r="E2201" s="79"/>
      <c r="F2201" s="79"/>
      <c r="G2201" s="80"/>
      <c r="H2201" s="60"/>
      <c r="I2201" s="19"/>
      <c r="J2201" s="19"/>
      <c r="K2201" s="19"/>
      <c r="L2201" s="81"/>
      <c r="M2201" s="16"/>
    </row>
    <row r="2202" spans="1:13">
      <c r="A2202" s="15"/>
      <c r="B2202" s="15"/>
      <c r="C2202" s="114"/>
      <c r="D2202" s="114"/>
      <c r="E2202" s="114"/>
      <c r="F2202" s="114"/>
      <c r="G2202" s="114"/>
      <c r="H2202" s="114"/>
      <c r="I2202" s="114"/>
      <c r="J2202" s="114"/>
      <c r="K2202" s="114"/>
      <c r="L2202" s="16"/>
      <c r="M2202" s="16"/>
    </row>
    <row r="2203" spans="1:13" ht="15" thickBot="1">
      <c r="A2203" s="27"/>
      <c r="B2203" s="27"/>
      <c r="C2203" s="25"/>
      <c r="D2203" s="25"/>
      <c r="E2203" s="25"/>
      <c r="F2203" s="25"/>
      <c r="G2203" s="25"/>
      <c r="H2203" s="25"/>
      <c r="I2203" s="25"/>
      <c r="J2203" s="25"/>
      <c r="K2203" s="25"/>
      <c r="L2203" s="26"/>
      <c r="M2203" s="26"/>
    </row>
    <row r="2204" spans="1:13">
      <c r="A2204" s="420"/>
      <c r="B2204" s="420"/>
      <c r="C2204" s="420"/>
      <c r="D2204" s="420"/>
      <c r="E2204" s="420"/>
      <c r="F2204" s="420"/>
      <c r="G2204" s="420"/>
      <c r="H2204" s="420"/>
      <c r="I2204" s="420"/>
      <c r="J2204" s="420"/>
      <c r="K2204" s="420"/>
      <c r="L2204" s="420"/>
      <c r="M2204" s="420"/>
    </row>
    <row r="2205" spans="1:13">
      <c r="A2205" s="420"/>
      <c r="B2205" s="420"/>
      <c r="C2205" s="420"/>
      <c r="D2205" s="420"/>
      <c r="E2205" s="420"/>
      <c r="F2205" s="420"/>
      <c r="G2205" s="420"/>
      <c r="H2205" s="420"/>
      <c r="I2205" s="420"/>
      <c r="J2205" s="420"/>
      <c r="K2205" s="420"/>
      <c r="L2205" s="420"/>
      <c r="M2205" s="420"/>
    </row>
    <row r="2206" spans="1:13">
      <c r="A2206" s="420"/>
      <c r="B2206" s="420"/>
      <c r="C2206" s="420"/>
      <c r="D2206" s="420"/>
      <c r="E2206" s="420"/>
      <c r="F2206" s="420"/>
      <c r="G2206" s="420"/>
      <c r="H2206" s="420"/>
      <c r="I2206" s="420"/>
      <c r="J2206" s="420"/>
      <c r="K2206" s="420"/>
      <c r="L2206" s="420"/>
      <c r="M2206" s="420"/>
    </row>
    <row r="2207" spans="1:13">
      <c r="A2207" s="420"/>
      <c r="B2207" s="420"/>
      <c r="C2207" s="420"/>
      <c r="D2207" s="420"/>
      <c r="E2207" s="420"/>
      <c r="F2207" s="420"/>
      <c r="G2207" s="420"/>
      <c r="H2207" s="420"/>
      <c r="I2207" s="420"/>
      <c r="J2207" s="420"/>
      <c r="K2207" s="420"/>
      <c r="L2207" s="420"/>
      <c r="M2207" s="420"/>
    </row>
    <row r="2208" spans="1:13" ht="15" thickBot="1">
      <c r="A2208" s="420"/>
      <c r="B2208" s="420"/>
      <c r="C2208" s="420"/>
      <c r="D2208" s="420"/>
      <c r="E2208" s="420"/>
      <c r="F2208" s="420"/>
      <c r="G2208" s="420"/>
      <c r="H2208" s="420"/>
      <c r="I2208" s="420"/>
      <c r="J2208" s="420"/>
      <c r="K2208" s="420"/>
      <c r="L2208" s="420"/>
      <c r="M2208" s="420"/>
    </row>
    <row r="2209" spans="1:13" ht="32.4">
      <c r="A2209" s="68"/>
      <c r="B2209" s="960" t="s">
        <v>99</v>
      </c>
      <c r="C2209" s="961"/>
      <c r="D2209" s="961"/>
      <c r="E2209" s="961"/>
      <c r="F2209" s="961"/>
      <c r="G2209" s="961"/>
      <c r="H2209" s="961"/>
      <c r="I2209" s="961"/>
      <c r="J2209" s="961"/>
      <c r="K2209" s="961"/>
      <c r="L2209" s="962"/>
      <c r="M2209" s="69"/>
    </row>
    <row r="2210" spans="1:13" ht="23.4">
      <c r="A2210" s="15"/>
      <c r="B2210" s="963" t="s">
        <v>100</v>
      </c>
      <c r="C2210" s="964"/>
      <c r="D2210" s="964"/>
      <c r="E2210" s="964"/>
      <c r="F2210" s="964"/>
      <c r="G2210" s="964"/>
      <c r="H2210" s="964"/>
      <c r="I2210" s="964"/>
      <c r="J2210" s="964"/>
      <c r="K2210" s="964"/>
      <c r="L2210" s="965"/>
      <c r="M2210" s="16"/>
    </row>
    <row r="2211" spans="1:13" ht="15.6">
      <c r="A2211" s="15"/>
      <c r="B2211" s="966" t="s">
        <v>1070</v>
      </c>
      <c r="C2211" s="967"/>
      <c r="D2211" s="967"/>
      <c r="E2211" s="967"/>
      <c r="F2211" s="967"/>
      <c r="G2211" s="967"/>
      <c r="H2211" s="968"/>
      <c r="I2211" s="968"/>
      <c r="J2211" s="968"/>
      <c r="K2211" s="968"/>
      <c r="L2211" s="969"/>
      <c r="M2211" s="16"/>
    </row>
    <row r="2212" spans="1:13">
      <c r="A2212" s="15"/>
      <c r="B2212" s="970" t="s">
        <v>101</v>
      </c>
      <c r="C2212" s="971"/>
      <c r="D2212" s="971"/>
      <c r="E2212" s="971"/>
      <c r="F2212" s="971"/>
      <c r="G2212" s="391"/>
      <c r="H2212" s="974" t="s">
        <v>102</v>
      </c>
      <c r="I2212" s="975"/>
      <c r="J2212" s="975"/>
      <c r="K2212" s="975"/>
      <c r="L2212" s="976"/>
      <c r="M2212" s="16"/>
    </row>
    <row r="2213" spans="1:13">
      <c r="A2213" s="15"/>
      <c r="B2213" s="972"/>
      <c r="C2213" s="973"/>
      <c r="D2213" s="973"/>
      <c r="E2213" s="973"/>
      <c r="F2213" s="973"/>
      <c r="G2213" s="395"/>
      <c r="H2213" s="977"/>
      <c r="I2213" s="978"/>
      <c r="J2213" s="978"/>
      <c r="K2213" s="978"/>
      <c r="L2213" s="979"/>
      <c r="M2213" s="16"/>
    </row>
    <row r="2214" spans="1:13">
      <c r="A2214" s="15"/>
      <c r="B2214" s="382"/>
      <c r="C2214" s="77"/>
      <c r="D2214" s="77"/>
      <c r="E2214" s="77"/>
      <c r="F2214" s="77"/>
      <c r="G2214" s="56"/>
      <c r="H2214" s="76"/>
      <c r="I2214" s="77"/>
      <c r="J2214" s="77"/>
      <c r="K2214" s="77"/>
      <c r="L2214" s="78"/>
      <c r="M2214" s="16"/>
    </row>
    <row r="2215" spans="1:13">
      <c r="A2215" s="15"/>
      <c r="B2215" s="378" t="str">
        <f>Master!F5</f>
        <v>GROTECH LANDSCAPE DEVELOPERS PVT. LTD.</v>
      </c>
      <c r="C2215" s="114"/>
      <c r="D2215" s="114"/>
      <c r="E2215" s="114"/>
      <c r="F2215" s="114"/>
      <c r="G2215" s="379"/>
      <c r="H2215" s="381" t="str">
        <f>Master!AN5</f>
        <v>GROTECH LANDSCAPE DEVELOPERS PVT. LTD.</v>
      </c>
      <c r="I2215" s="114"/>
      <c r="J2215" s="114"/>
      <c r="K2215" s="114"/>
      <c r="L2215" s="16"/>
      <c r="M2215" s="16"/>
    </row>
    <row r="2216" spans="1:13">
      <c r="A2216" s="15"/>
      <c r="B2216" s="15"/>
      <c r="C2216" s="114"/>
      <c r="D2216" s="114"/>
      <c r="E2216" s="114"/>
      <c r="F2216" s="114"/>
      <c r="G2216" s="379"/>
      <c r="H2216" s="380"/>
      <c r="I2216" s="114"/>
      <c r="J2216" s="114"/>
      <c r="K2216" s="114"/>
      <c r="L2216" s="16"/>
      <c r="M2216" s="16"/>
    </row>
    <row r="2217" spans="1:13">
      <c r="A2217" s="15"/>
      <c r="B2217" s="538" t="str">
        <f>Master!F6</f>
        <v>290/E, Khanapur Village, Gandipet Mandal, Ranga Reddy, Hyderabad-500075 T.S.</v>
      </c>
      <c r="C2217" s="114"/>
      <c r="D2217" s="114"/>
      <c r="E2217" s="114"/>
      <c r="F2217" s="114"/>
      <c r="G2217" s="379"/>
      <c r="H2217" s="539" t="str">
        <f>Master!AN6</f>
        <v>290/E, Khanapur Village, Gandipet Mandal, Ranga Reddy, Hyderabad-500075 T.S.</v>
      </c>
      <c r="I2217" s="114"/>
      <c r="J2217" s="114"/>
      <c r="K2217" s="114"/>
      <c r="L2217" s="16"/>
      <c r="M2217" s="16"/>
    </row>
    <row r="2218" spans="1:13">
      <c r="A2218" s="15"/>
      <c r="B2218" s="383"/>
      <c r="C2218" s="19"/>
      <c r="D2218" s="19"/>
      <c r="E2218" s="19"/>
      <c r="F2218" s="19"/>
      <c r="G2218" s="61"/>
      <c r="H2218" s="60"/>
      <c r="I2218" s="19"/>
      <c r="J2218" s="19"/>
      <c r="K2218" s="19"/>
      <c r="L2218" s="81"/>
      <c r="M2218" s="16"/>
    </row>
    <row r="2219" spans="1:13">
      <c r="A2219" s="15"/>
      <c r="B2219" s="389"/>
      <c r="C2219" s="390"/>
      <c r="D2219" s="390"/>
      <c r="E2219" s="390"/>
      <c r="F2219" s="390"/>
      <c r="G2219" s="391"/>
      <c r="H2219" s="396"/>
      <c r="I2219" s="390"/>
      <c r="J2219" s="390" t="s">
        <v>103</v>
      </c>
      <c r="K2219" s="390"/>
      <c r="L2219" s="397"/>
      <c r="M2219" s="16"/>
    </row>
    <row r="2220" spans="1:13">
      <c r="A2220" s="15"/>
      <c r="B2220" s="980" t="s">
        <v>104</v>
      </c>
      <c r="C2220" s="981"/>
      <c r="D2220" s="981"/>
      <c r="E2220" s="981"/>
      <c r="F2220" s="981"/>
      <c r="G2220" s="392"/>
      <c r="H2220" s="982" t="s">
        <v>4</v>
      </c>
      <c r="I2220" s="981"/>
      <c r="J2220" s="981"/>
      <c r="K2220" s="981"/>
      <c r="L2220" s="983"/>
      <c r="M2220" s="16"/>
    </row>
    <row r="2221" spans="1:13">
      <c r="A2221" s="15"/>
      <c r="B2221" s="393"/>
      <c r="C2221" s="394"/>
      <c r="D2221" s="394"/>
      <c r="E2221" s="394"/>
      <c r="F2221" s="394"/>
      <c r="G2221" s="395"/>
      <c r="H2221" s="398"/>
      <c r="I2221" s="394"/>
      <c r="J2221" s="394"/>
      <c r="K2221" s="394"/>
      <c r="L2221" s="399"/>
      <c r="M2221" s="16"/>
    </row>
    <row r="2222" spans="1:13">
      <c r="A2222" s="15"/>
      <c r="B2222" s="382"/>
      <c r="C2222" s="77"/>
      <c r="D2222" s="77"/>
      <c r="E2222" s="77"/>
      <c r="F2222" s="77"/>
      <c r="G2222" s="56"/>
      <c r="H2222" s="74"/>
      <c r="I2222" s="74"/>
      <c r="J2222" s="74"/>
      <c r="K2222" s="74"/>
      <c r="L2222" s="384"/>
      <c r="M2222" s="16"/>
    </row>
    <row r="2223" spans="1:13">
      <c r="A2223" s="15"/>
      <c r="B2223" s="15"/>
      <c r="C2223" s="114"/>
      <c r="D2223" s="114"/>
      <c r="E2223" s="114"/>
      <c r="F2223" s="114"/>
      <c r="G2223" s="379"/>
      <c r="H2223" s="115" t="str">
        <f>Master!AN10</f>
        <v>INDIAN SCHOOL OF BUSINESS</v>
      </c>
      <c r="I2223" s="115"/>
      <c r="J2223" s="115"/>
      <c r="K2223" s="115"/>
      <c r="L2223" s="71"/>
      <c r="M2223" s="16"/>
    </row>
    <row r="2224" spans="1:13">
      <c r="A2224" s="15"/>
      <c r="B2224" s="70" t="str">
        <f>Master!F8</f>
        <v>GARDENING SERVICES&amp;ISB HYDERABAD</v>
      </c>
      <c r="C2224" s="114"/>
      <c r="D2224" s="114"/>
      <c r="E2224" s="114"/>
      <c r="F2224" s="114"/>
      <c r="G2224" s="379"/>
      <c r="H2224" s="115"/>
      <c r="I2224" s="115"/>
      <c r="J2224" s="115"/>
      <c r="K2224" s="115"/>
      <c r="L2224" s="71"/>
      <c r="M2224" s="16"/>
    </row>
    <row r="2225" spans="1:13">
      <c r="A2225" s="15"/>
      <c r="B2225" s="15"/>
      <c r="C2225" s="114"/>
      <c r="D2225" s="114"/>
      <c r="E2225" s="114"/>
      <c r="F2225" s="114"/>
      <c r="G2225" s="379"/>
      <c r="H2225" s="115" t="str">
        <f>Master!AN11</f>
        <v>Opp.Infosys Limited,Gachibowli,Hyderabad</v>
      </c>
      <c r="I2225" s="115"/>
      <c r="J2225" s="115"/>
      <c r="K2225" s="115"/>
      <c r="L2225" s="71"/>
      <c r="M2225" s="16"/>
    </row>
    <row r="2226" spans="1:13">
      <c r="A2226" s="15"/>
      <c r="B2226" s="383"/>
      <c r="C2226" s="19"/>
      <c r="D2226" s="19"/>
      <c r="E2226" s="19"/>
      <c r="F2226" s="19"/>
      <c r="G2226" s="61"/>
      <c r="H2226" s="79"/>
      <c r="I2226" s="79"/>
      <c r="J2226" s="79"/>
      <c r="K2226" s="79"/>
      <c r="L2226" s="385"/>
      <c r="M2226" s="16"/>
    </row>
    <row r="2227" spans="1:13" ht="30" customHeight="1">
      <c r="A2227" s="15"/>
      <c r="B2227" s="948" t="s">
        <v>105</v>
      </c>
      <c r="C2227" s="949"/>
      <c r="D2227" s="949"/>
      <c r="E2227" s="949"/>
      <c r="F2227" s="949"/>
      <c r="G2227" s="949"/>
      <c r="H2227" s="950" t="str">
        <f>Master!D62</f>
        <v>Bakkani Mallaiah</v>
      </c>
      <c r="I2227" s="951"/>
      <c r="J2227" s="951"/>
      <c r="K2227" s="951"/>
      <c r="L2227" s="952"/>
      <c r="M2227" s="16"/>
    </row>
    <row r="2228" spans="1:13" ht="30" customHeight="1">
      <c r="A2228" s="15"/>
      <c r="B2228" s="948"/>
      <c r="C2228" s="949"/>
      <c r="D2228" s="949"/>
      <c r="E2228" s="949"/>
      <c r="F2228" s="949"/>
      <c r="G2228" s="949"/>
      <c r="H2228" s="950" t="str">
        <f>Master!K62</f>
        <v>H NO1-56</v>
      </c>
      <c r="I2228" s="951"/>
      <c r="J2228" s="951"/>
      <c r="K2228" s="951"/>
      <c r="L2228" s="952"/>
      <c r="M2228" s="16"/>
    </row>
    <row r="2229" spans="1:13" ht="30" customHeight="1">
      <c r="A2229" s="15"/>
      <c r="B2229" s="948"/>
      <c r="C2229" s="949"/>
      <c r="D2229" s="949"/>
      <c r="E2229" s="949"/>
      <c r="F2229" s="949"/>
      <c r="G2229" s="949"/>
      <c r="H2229" s="950" t="str">
        <f>Master!L62</f>
        <v>SOMANGUTHI R.R</v>
      </c>
      <c r="I2229" s="951"/>
      <c r="J2229" s="951"/>
      <c r="K2229" s="951"/>
      <c r="L2229" s="952"/>
      <c r="M2229" s="16"/>
    </row>
    <row r="2230" spans="1:13" ht="30" customHeight="1">
      <c r="A2230" s="15"/>
      <c r="B2230" s="948"/>
      <c r="C2230" s="949"/>
      <c r="D2230" s="949"/>
      <c r="E2230" s="949"/>
      <c r="F2230" s="949"/>
      <c r="G2230" s="949"/>
      <c r="H2230" s="950" t="str">
        <f>Master!M62</f>
        <v>TS-502319</v>
      </c>
      <c r="I2230" s="951"/>
      <c r="J2230" s="951"/>
      <c r="K2230" s="951"/>
      <c r="L2230" s="952"/>
      <c r="M2230" s="16"/>
    </row>
    <row r="2231" spans="1:13" ht="30" customHeight="1">
      <c r="A2231" s="73"/>
      <c r="B2231" s="948"/>
      <c r="C2231" s="949"/>
      <c r="D2231" s="949"/>
      <c r="E2231" s="949"/>
      <c r="F2231" s="949"/>
      <c r="G2231" s="949"/>
      <c r="H2231" s="989">
        <f>Master!N62</f>
        <v>0</v>
      </c>
      <c r="I2231" s="990"/>
      <c r="J2231" s="990"/>
      <c r="K2231" s="990"/>
      <c r="L2231" s="991"/>
      <c r="M2231" s="16"/>
    </row>
    <row r="2232" spans="1:13" ht="30" customHeight="1">
      <c r="A2232" s="73"/>
      <c r="B2232" s="984" t="s">
        <v>106</v>
      </c>
      <c r="C2232" s="985"/>
      <c r="D2232" s="985"/>
      <c r="E2232" s="985"/>
      <c r="F2232" s="985"/>
      <c r="G2232" s="985"/>
      <c r="H2232" s="947">
        <f>Master!C62</f>
        <v>53</v>
      </c>
      <c r="I2232" s="945"/>
      <c r="J2232" s="945"/>
      <c r="K2232" s="945"/>
      <c r="L2232" s="946"/>
      <c r="M2232" s="16"/>
    </row>
    <row r="2233" spans="1:13" ht="30" customHeight="1">
      <c r="A2233" s="73"/>
      <c r="B2233" s="943" t="s">
        <v>107</v>
      </c>
      <c r="C2233" s="944"/>
      <c r="D2233" s="944"/>
      <c r="E2233" s="944"/>
      <c r="F2233" s="944"/>
      <c r="G2233" s="944"/>
      <c r="H2233" s="947" t="str">
        <f>Master!J62</f>
        <v>Semi Skilled Gardner</v>
      </c>
      <c r="I2233" s="945"/>
      <c r="J2233" s="945"/>
      <c r="K2233" s="945"/>
      <c r="L2233" s="946"/>
      <c r="M2233" s="16"/>
    </row>
    <row r="2234" spans="1:13" ht="30" customHeight="1">
      <c r="A2234" s="73"/>
      <c r="B2234" s="943" t="s">
        <v>108</v>
      </c>
      <c r="C2234" s="944"/>
      <c r="D2234" s="944"/>
      <c r="E2234" s="944"/>
      <c r="F2234" s="944"/>
      <c r="G2234" s="944"/>
      <c r="H2234" s="957">
        <f>Master!S62</f>
        <v>43892</v>
      </c>
      <c r="I2234" s="958"/>
      <c r="J2234" s="958"/>
      <c r="K2234" s="958"/>
      <c r="L2234" s="959"/>
      <c r="M2234" s="16"/>
    </row>
    <row r="2235" spans="1:13" ht="30" customHeight="1">
      <c r="A2235" s="73"/>
      <c r="B2235" s="386" t="s">
        <v>109</v>
      </c>
      <c r="C2235" s="116"/>
      <c r="D2235" s="116"/>
      <c r="E2235" s="116"/>
      <c r="F2235" s="116"/>
      <c r="G2235" s="116"/>
      <c r="H2235" s="947">
        <f>Master!Y62</f>
        <v>5216113931</v>
      </c>
      <c r="I2235" s="947"/>
      <c r="J2235" s="947"/>
      <c r="K2235" s="947"/>
      <c r="L2235" s="953"/>
      <c r="M2235" s="16"/>
    </row>
    <row r="2236" spans="1:13" ht="30" customHeight="1">
      <c r="A2236" s="73"/>
      <c r="B2236" s="386" t="s">
        <v>110</v>
      </c>
      <c r="C2236" s="116"/>
      <c r="D2236" s="116"/>
      <c r="E2236" s="116"/>
      <c r="F2236" s="116"/>
      <c r="G2236" s="119"/>
      <c r="H2236" s="947">
        <f>Master!X62</f>
        <v>101567297449</v>
      </c>
      <c r="I2236" s="947"/>
      <c r="J2236" s="947"/>
      <c r="K2236" s="947"/>
      <c r="L2236" s="953"/>
      <c r="M2236" s="16"/>
    </row>
    <row r="2237" spans="1:13" ht="30" customHeight="1">
      <c r="A2237" s="73"/>
      <c r="B2237" s="954" t="s">
        <v>111</v>
      </c>
      <c r="C2237" s="955"/>
      <c r="D2237" s="955"/>
      <c r="E2237" s="955"/>
      <c r="F2237" s="955"/>
      <c r="G2237" s="955"/>
      <c r="H2237" s="950">
        <f>Master!AC62</f>
        <v>13753</v>
      </c>
      <c r="I2237" s="951"/>
      <c r="J2237" s="951"/>
      <c r="K2237" s="951"/>
      <c r="L2237" s="952"/>
      <c r="M2237" s="16"/>
    </row>
    <row r="2238" spans="1:13" ht="30" customHeight="1">
      <c r="A2238" s="73"/>
      <c r="B2238" s="943" t="s">
        <v>112</v>
      </c>
      <c r="C2238" s="944"/>
      <c r="D2238" s="944"/>
      <c r="E2238" s="944"/>
      <c r="F2238" s="944"/>
      <c r="G2238" s="944"/>
      <c r="H2238" s="956">
        <f>Master!F10</f>
        <v>44652</v>
      </c>
      <c r="I2238" s="945"/>
      <c r="J2238" s="945"/>
      <c r="K2238" s="945"/>
      <c r="L2238" s="946"/>
      <c r="M2238" s="16"/>
    </row>
    <row r="2239" spans="1:13" ht="30" customHeight="1">
      <c r="A2239" s="15"/>
      <c r="B2239" s="943" t="s">
        <v>113</v>
      </c>
      <c r="C2239" s="944"/>
      <c r="D2239" s="944"/>
      <c r="E2239" s="944"/>
      <c r="F2239" s="944"/>
      <c r="G2239" s="944"/>
      <c r="H2239" s="945" t="s">
        <v>114</v>
      </c>
      <c r="I2239" s="945"/>
      <c r="J2239" s="945"/>
      <c r="K2239" s="945"/>
      <c r="L2239" s="946"/>
      <c r="M2239" s="16"/>
    </row>
    <row r="2240" spans="1:13" ht="30" customHeight="1">
      <c r="A2240" s="15"/>
      <c r="B2240" s="386" t="s">
        <v>115</v>
      </c>
      <c r="C2240" s="116"/>
      <c r="D2240" s="116"/>
      <c r="E2240" s="116"/>
      <c r="F2240" s="116"/>
      <c r="G2240" s="119"/>
      <c r="H2240" s="947">
        <f>Master!AA62</f>
        <v>26</v>
      </c>
      <c r="I2240" s="945"/>
      <c r="J2240" s="945"/>
      <c r="K2240" s="945"/>
      <c r="L2240" s="946"/>
      <c r="M2240" s="16"/>
    </row>
    <row r="2241" spans="1:13" ht="30" customHeight="1">
      <c r="A2241" s="15"/>
      <c r="B2241" s="386" t="s">
        <v>116</v>
      </c>
      <c r="C2241" s="116"/>
      <c r="D2241" s="116"/>
      <c r="E2241" s="116"/>
      <c r="F2241" s="116"/>
      <c r="G2241" s="119"/>
      <c r="H2241" s="986" t="s">
        <v>28</v>
      </c>
      <c r="I2241" s="987"/>
      <c r="J2241" s="987"/>
      <c r="K2241" s="987"/>
      <c r="L2241" s="988"/>
      <c r="M2241" s="16"/>
    </row>
    <row r="2242" spans="1:13" ht="30" customHeight="1">
      <c r="A2242" s="15"/>
      <c r="B2242" s="386" t="s">
        <v>117</v>
      </c>
      <c r="C2242" s="116"/>
      <c r="D2242" s="116"/>
      <c r="E2242" s="116"/>
      <c r="F2242" s="116"/>
      <c r="G2242" s="119"/>
      <c r="H2242" s="989">
        <v>0</v>
      </c>
      <c r="I2242" s="990"/>
      <c r="J2242" s="990"/>
      <c r="K2242" s="990"/>
      <c r="L2242" s="991"/>
      <c r="M2242" s="16"/>
    </row>
    <row r="2243" spans="1:13" ht="30" customHeight="1">
      <c r="A2243" s="15"/>
      <c r="B2243" s="386" t="s">
        <v>118</v>
      </c>
      <c r="C2243" s="116"/>
      <c r="D2243" s="116"/>
      <c r="E2243" s="116"/>
      <c r="F2243" s="116"/>
      <c r="G2243" s="119"/>
      <c r="H2243" s="986">
        <v>0</v>
      </c>
      <c r="I2243" s="987"/>
      <c r="J2243" s="987"/>
      <c r="K2243" s="987"/>
      <c r="L2243" s="988"/>
      <c r="M2243" s="16"/>
    </row>
    <row r="2244" spans="1:13" ht="30" customHeight="1">
      <c r="A2244" s="15"/>
      <c r="B2244" s="386" t="s">
        <v>119</v>
      </c>
      <c r="C2244" s="116"/>
      <c r="D2244" s="116"/>
      <c r="E2244" s="116"/>
      <c r="F2244" s="116"/>
      <c r="G2244" s="119"/>
      <c r="H2244" s="117"/>
      <c r="I2244" s="118"/>
      <c r="J2244" s="990">
        <f>Master!AK62</f>
        <v>11919.599999999999</v>
      </c>
      <c r="K2244" s="992"/>
      <c r="L2244" s="581" t="s">
        <v>737</v>
      </c>
      <c r="M2244" s="16"/>
    </row>
    <row r="2245" spans="1:13" ht="30" customHeight="1">
      <c r="A2245" s="15"/>
      <c r="B2245" s="386" t="s">
        <v>120</v>
      </c>
      <c r="C2245" s="116"/>
      <c r="D2245" s="465" t="s">
        <v>24</v>
      </c>
      <c r="E2245" s="466">
        <f>Master!AM62</f>
        <v>1430</v>
      </c>
      <c r="F2245" s="465" t="s">
        <v>23</v>
      </c>
      <c r="G2245" s="466">
        <f>Master!AL62</f>
        <v>90</v>
      </c>
      <c r="H2245" s="465" t="s">
        <v>25</v>
      </c>
      <c r="I2245" s="466">
        <f>Master!AN62</f>
        <v>0</v>
      </c>
      <c r="J2245" s="465" t="s">
        <v>26</v>
      </c>
      <c r="K2245" s="466">
        <f>Master!AO62</f>
        <v>0</v>
      </c>
      <c r="L2245" s="400">
        <f>Master!AP62</f>
        <v>0</v>
      </c>
      <c r="M2245" s="16"/>
    </row>
    <row r="2246" spans="1:13" ht="30" customHeight="1">
      <c r="A2246" s="15"/>
      <c r="B2246" s="386" t="s">
        <v>121</v>
      </c>
      <c r="C2246" s="116"/>
      <c r="D2246" s="116"/>
      <c r="E2246" s="116"/>
      <c r="F2246" s="116"/>
      <c r="G2246" s="119"/>
      <c r="H2246" s="117"/>
      <c r="I2246" s="118"/>
      <c r="J2246" s="541">
        <f>Master!AR62</f>
        <v>10399.599999999999</v>
      </c>
      <c r="K2246" s="118"/>
      <c r="L2246" s="125"/>
      <c r="M2246" s="16"/>
    </row>
    <row r="2247" spans="1:13">
      <c r="A2247" s="15"/>
      <c r="B2247" s="387" t="s">
        <v>122</v>
      </c>
      <c r="C2247" s="74"/>
      <c r="D2247" s="74"/>
      <c r="E2247" s="74"/>
      <c r="F2247" s="74"/>
      <c r="G2247" s="75"/>
      <c r="H2247" s="76"/>
      <c r="I2247" s="77"/>
      <c r="J2247" s="77"/>
      <c r="K2247" s="77"/>
      <c r="L2247" s="78"/>
      <c r="M2247" s="16"/>
    </row>
    <row r="2248" spans="1:13">
      <c r="A2248" s="15"/>
      <c r="B2248" s="388" t="s">
        <v>123</v>
      </c>
      <c r="C2248" s="79"/>
      <c r="D2248" s="79"/>
      <c r="E2248" s="79"/>
      <c r="F2248" s="79"/>
      <c r="G2248" s="80"/>
      <c r="H2248" s="60"/>
      <c r="I2248" s="19"/>
      <c r="J2248" s="19"/>
      <c r="K2248" s="19"/>
      <c r="L2248" s="81"/>
      <c r="M2248" s="16"/>
    </row>
    <row r="2249" spans="1:13">
      <c r="A2249" s="15"/>
      <c r="B2249" s="15"/>
      <c r="C2249" s="114"/>
      <c r="D2249" s="114"/>
      <c r="E2249" s="114"/>
      <c r="F2249" s="114"/>
      <c r="G2249" s="114"/>
      <c r="H2249" s="114"/>
      <c r="I2249" s="114"/>
      <c r="J2249" s="114"/>
      <c r="K2249" s="114"/>
      <c r="L2249" s="16"/>
      <c r="M2249" s="16"/>
    </row>
    <row r="2250" spans="1:13" ht="15" thickBot="1">
      <c r="A2250" s="27"/>
      <c r="B2250" s="27"/>
      <c r="C2250" s="25"/>
      <c r="D2250" s="25"/>
      <c r="E2250" s="25"/>
      <c r="F2250" s="25"/>
      <c r="G2250" s="25"/>
      <c r="H2250" s="25"/>
      <c r="I2250" s="25"/>
      <c r="J2250" s="25"/>
      <c r="K2250" s="25"/>
      <c r="L2250" s="26"/>
      <c r="M2250" s="26"/>
    </row>
    <row r="2251" spans="1:13">
      <c r="A2251" s="420"/>
      <c r="B2251" s="420"/>
      <c r="C2251" s="420"/>
      <c r="D2251" s="420"/>
      <c r="E2251" s="420"/>
      <c r="F2251" s="420"/>
      <c r="G2251" s="420"/>
      <c r="H2251" s="420"/>
      <c r="I2251" s="420"/>
      <c r="J2251" s="420"/>
      <c r="K2251" s="420"/>
      <c r="L2251" s="420"/>
      <c r="M2251" s="420"/>
    </row>
    <row r="2252" spans="1:13">
      <c r="A2252" s="420"/>
      <c r="B2252" s="420"/>
      <c r="C2252" s="420"/>
      <c r="D2252" s="420"/>
      <c r="E2252" s="420"/>
      <c r="F2252" s="420"/>
      <c r="G2252" s="420"/>
      <c r="H2252" s="420"/>
      <c r="I2252" s="420"/>
      <c r="J2252" s="420"/>
      <c r="K2252" s="420"/>
      <c r="L2252" s="420"/>
      <c r="M2252" s="420"/>
    </row>
    <row r="2253" spans="1:13">
      <c r="A2253" s="420"/>
      <c r="B2253" s="420"/>
      <c r="C2253" s="420"/>
      <c r="D2253" s="420"/>
      <c r="E2253" s="420"/>
      <c r="F2253" s="420"/>
      <c r="G2253" s="420"/>
      <c r="H2253" s="420"/>
      <c r="I2253" s="420"/>
      <c r="J2253" s="420"/>
      <c r="K2253" s="420"/>
      <c r="L2253" s="420"/>
      <c r="M2253" s="420"/>
    </row>
    <row r="2254" spans="1:13">
      <c r="A2254" s="420"/>
      <c r="B2254" s="420"/>
      <c r="C2254" s="420"/>
      <c r="D2254" s="420"/>
      <c r="E2254" s="420"/>
      <c r="F2254" s="420"/>
      <c r="G2254" s="420"/>
      <c r="H2254" s="420"/>
      <c r="I2254" s="420"/>
      <c r="J2254" s="420"/>
      <c r="K2254" s="420"/>
      <c r="L2254" s="420"/>
      <c r="M2254" s="420"/>
    </row>
    <row r="2255" spans="1:13" ht="15" thickBot="1">
      <c r="A2255" s="420"/>
      <c r="B2255" s="420"/>
      <c r="C2255" s="420"/>
      <c r="D2255" s="420"/>
      <c r="E2255" s="420"/>
      <c r="F2255" s="420"/>
      <c r="G2255" s="420"/>
      <c r="H2255" s="420"/>
      <c r="I2255" s="420"/>
      <c r="J2255" s="420"/>
      <c r="K2255" s="420"/>
      <c r="L2255" s="420"/>
      <c r="M2255" s="420"/>
    </row>
    <row r="2256" spans="1:13" ht="32.4">
      <c r="A2256" s="68"/>
      <c r="B2256" s="960" t="s">
        <v>99</v>
      </c>
      <c r="C2256" s="961"/>
      <c r="D2256" s="961"/>
      <c r="E2256" s="961"/>
      <c r="F2256" s="961"/>
      <c r="G2256" s="961"/>
      <c r="H2256" s="961"/>
      <c r="I2256" s="961"/>
      <c r="J2256" s="961"/>
      <c r="K2256" s="961"/>
      <c r="L2256" s="962"/>
      <c r="M2256" s="69"/>
    </row>
    <row r="2257" spans="1:13" ht="23.4">
      <c r="A2257" s="15"/>
      <c r="B2257" s="963" t="s">
        <v>100</v>
      </c>
      <c r="C2257" s="964"/>
      <c r="D2257" s="964"/>
      <c r="E2257" s="964"/>
      <c r="F2257" s="964"/>
      <c r="G2257" s="964"/>
      <c r="H2257" s="964"/>
      <c r="I2257" s="964"/>
      <c r="J2257" s="964"/>
      <c r="K2257" s="964"/>
      <c r="L2257" s="965"/>
      <c r="M2257" s="16"/>
    </row>
    <row r="2258" spans="1:13" ht="15.6">
      <c r="A2258" s="15"/>
      <c r="B2258" s="966" t="s">
        <v>1070</v>
      </c>
      <c r="C2258" s="967"/>
      <c r="D2258" s="967"/>
      <c r="E2258" s="967"/>
      <c r="F2258" s="967"/>
      <c r="G2258" s="967"/>
      <c r="H2258" s="968"/>
      <c r="I2258" s="968"/>
      <c r="J2258" s="968"/>
      <c r="K2258" s="968"/>
      <c r="L2258" s="969"/>
      <c r="M2258" s="16"/>
    </row>
    <row r="2259" spans="1:13">
      <c r="A2259" s="15"/>
      <c r="B2259" s="970" t="s">
        <v>101</v>
      </c>
      <c r="C2259" s="971"/>
      <c r="D2259" s="971"/>
      <c r="E2259" s="971"/>
      <c r="F2259" s="971"/>
      <c r="G2259" s="391"/>
      <c r="H2259" s="974" t="s">
        <v>102</v>
      </c>
      <c r="I2259" s="975"/>
      <c r="J2259" s="975"/>
      <c r="K2259" s="975"/>
      <c r="L2259" s="976"/>
      <c r="M2259" s="16"/>
    </row>
    <row r="2260" spans="1:13">
      <c r="A2260" s="15"/>
      <c r="B2260" s="972"/>
      <c r="C2260" s="973"/>
      <c r="D2260" s="973"/>
      <c r="E2260" s="973"/>
      <c r="F2260" s="973"/>
      <c r="G2260" s="395"/>
      <c r="H2260" s="977"/>
      <c r="I2260" s="978"/>
      <c r="J2260" s="978"/>
      <c r="K2260" s="978"/>
      <c r="L2260" s="979"/>
      <c r="M2260" s="16"/>
    </row>
    <row r="2261" spans="1:13">
      <c r="A2261" s="15"/>
      <c r="B2261" s="382"/>
      <c r="C2261" s="77"/>
      <c r="D2261" s="77"/>
      <c r="E2261" s="77"/>
      <c r="F2261" s="77"/>
      <c r="G2261" s="56"/>
      <c r="H2261" s="76"/>
      <c r="I2261" s="77"/>
      <c r="J2261" s="77"/>
      <c r="K2261" s="77"/>
      <c r="L2261" s="78"/>
      <c r="M2261" s="16"/>
    </row>
    <row r="2262" spans="1:13">
      <c r="A2262" s="15"/>
      <c r="B2262" s="378" t="str">
        <f>Master!F5</f>
        <v>GROTECH LANDSCAPE DEVELOPERS PVT. LTD.</v>
      </c>
      <c r="C2262" s="114"/>
      <c r="D2262" s="114"/>
      <c r="E2262" s="114"/>
      <c r="F2262" s="114"/>
      <c r="G2262" s="379"/>
      <c r="H2262" s="381" t="str">
        <f>Master!AN5</f>
        <v>GROTECH LANDSCAPE DEVELOPERS PVT. LTD.</v>
      </c>
      <c r="I2262" s="114"/>
      <c r="J2262" s="114"/>
      <c r="K2262" s="114"/>
      <c r="L2262" s="16"/>
      <c r="M2262" s="16"/>
    </row>
    <row r="2263" spans="1:13">
      <c r="A2263" s="15"/>
      <c r="B2263" s="15"/>
      <c r="C2263" s="114"/>
      <c r="D2263" s="114"/>
      <c r="E2263" s="114"/>
      <c r="F2263" s="114"/>
      <c r="G2263" s="379"/>
      <c r="H2263" s="380"/>
      <c r="I2263" s="114"/>
      <c r="J2263" s="114"/>
      <c r="K2263" s="114"/>
      <c r="L2263" s="16"/>
      <c r="M2263" s="16"/>
    </row>
    <row r="2264" spans="1:13">
      <c r="A2264" s="15"/>
      <c r="B2264" s="538" t="str">
        <f>Master!F6</f>
        <v>290/E, Khanapur Village, Gandipet Mandal, Ranga Reddy, Hyderabad-500075 T.S.</v>
      </c>
      <c r="C2264" s="114"/>
      <c r="D2264" s="114"/>
      <c r="E2264" s="114"/>
      <c r="F2264" s="114"/>
      <c r="G2264" s="379"/>
      <c r="H2264" s="539" t="str">
        <f>Master!AN6</f>
        <v>290/E, Khanapur Village, Gandipet Mandal, Ranga Reddy, Hyderabad-500075 T.S.</v>
      </c>
      <c r="I2264" s="114"/>
      <c r="J2264" s="114"/>
      <c r="K2264" s="114"/>
      <c r="L2264" s="16"/>
      <c r="M2264" s="16"/>
    </row>
    <row r="2265" spans="1:13">
      <c r="A2265" s="15"/>
      <c r="B2265" s="383"/>
      <c r="C2265" s="19"/>
      <c r="D2265" s="19"/>
      <c r="E2265" s="19"/>
      <c r="F2265" s="19"/>
      <c r="G2265" s="61"/>
      <c r="H2265" s="60"/>
      <c r="I2265" s="19"/>
      <c r="J2265" s="19"/>
      <c r="K2265" s="19"/>
      <c r="L2265" s="81"/>
      <c r="M2265" s="16"/>
    </row>
    <row r="2266" spans="1:13">
      <c r="A2266" s="15"/>
      <c r="B2266" s="389"/>
      <c r="C2266" s="390"/>
      <c r="D2266" s="390"/>
      <c r="E2266" s="390"/>
      <c r="F2266" s="390"/>
      <c r="G2266" s="391"/>
      <c r="H2266" s="396"/>
      <c r="I2266" s="390"/>
      <c r="J2266" s="390" t="s">
        <v>103</v>
      </c>
      <c r="K2266" s="390"/>
      <c r="L2266" s="397"/>
      <c r="M2266" s="16"/>
    </row>
    <row r="2267" spans="1:13">
      <c r="A2267" s="15"/>
      <c r="B2267" s="980" t="s">
        <v>104</v>
      </c>
      <c r="C2267" s="981"/>
      <c r="D2267" s="981"/>
      <c r="E2267" s="981"/>
      <c r="F2267" s="981"/>
      <c r="G2267" s="392"/>
      <c r="H2267" s="982" t="s">
        <v>4</v>
      </c>
      <c r="I2267" s="981"/>
      <c r="J2267" s="981"/>
      <c r="K2267" s="981"/>
      <c r="L2267" s="983"/>
      <c r="M2267" s="16"/>
    </row>
    <row r="2268" spans="1:13">
      <c r="A2268" s="15"/>
      <c r="B2268" s="393"/>
      <c r="C2268" s="394"/>
      <c r="D2268" s="394"/>
      <c r="E2268" s="394"/>
      <c r="F2268" s="394"/>
      <c r="G2268" s="395"/>
      <c r="H2268" s="398"/>
      <c r="I2268" s="394"/>
      <c r="J2268" s="394"/>
      <c r="K2268" s="394"/>
      <c r="L2268" s="399"/>
      <c r="M2268" s="16"/>
    </row>
    <row r="2269" spans="1:13">
      <c r="A2269" s="15"/>
      <c r="B2269" s="382"/>
      <c r="C2269" s="77"/>
      <c r="D2269" s="77"/>
      <c r="E2269" s="77"/>
      <c r="F2269" s="77"/>
      <c r="G2269" s="56"/>
      <c r="H2269" s="74"/>
      <c r="I2269" s="74"/>
      <c r="J2269" s="74"/>
      <c r="K2269" s="74"/>
      <c r="L2269" s="384"/>
      <c r="M2269" s="16"/>
    </row>
    <row r="2270" spans="1:13">
      <c r="A2270" s="15"/>
      <c r="B2270" s="15"/>
      <c r="C2270" s="114"/>
      <c r="D2270" s="114"/>
      <c r="E2270" s="114"/>
      <c r="F2270" s="114"/>
      <c r="G2270" s="379"/>
      <c r="H2270" s="115" t="str">
        <f>Master!AN10</f>
        <v>INDIAN SCHOOL OF BUSINESS</v>
      </c>
      <c r="I2270" s="115"/>
      <c r="J2270" s="115"/>
      <c r="K2270" s="115"/>
      <c r="L2270" s="71"/>
      <c r="M2270" s="16"/>
    </row>
    <row r="2271" spans="1:13">
      <c r="A2271" s="15"/>
      <c r="B2271" s="70" t="str">
        <f>Master!F8</f>
        <v>GARDENING SERVICES&amp;ISB HYDERABAD</v>
      </c>
      <c r="C2271" s="114"/>
      <c r="D2271" s="114"/>
      <c r="E2271" s="114"/>
      <c r="F2271" s="114"/>
      <c r="G2271" s="379"/>
      <c r="H2271" s="115"/>
      <c r="I2271" s="115"/>
      <c r="J2271" s="115"/>
      <c r="K2271" s="115"/>
      <c r="L2271" s="71"/>
      <c r="M2271" s="16"/>
    </row>
    <row r="2272" spans="1:13">
      <c r="A2272" s="15"/>
      <c r="B2272" s="15"/>
      <c r="C2272" s="114"/>
      <c r="D2272" s="114"/>
      <c r="E2272" s="114"/>
      <c r="F2272" s="114"/>
      <c r="G2272" s="379"/>
      <c r="H2272" s="115" t="str">
        <f>Master!AN11</f>
        <v>Opp.Infosys Limited,Gachibowli,Hyderabad</v>
      </c>
      <c r="I2272" s="115"/>
      <c r="J2272" s="115"/>
      <c r="K2272" s="115"/>
      <c r="L2272" s="71"/>
      <c r="M2272" s="16"/>
    </row>
    <row r="2273" spans="1:13">
      <c r="A2273" s="15"/>
      <c r="B2273" s="383"/>
      <c r="C2273" s="19"/>
      <c r="D2273" s="19"/>
      <c r="E2273" s="19"/>
      <c r="F2273" s="19"/>
      <c r="G2273" s="61"/>
      <c r="H2273" s="79"/>
      <c r="I2273" s="79"/>
      <c r="J2273" s="79"/>
      <c r="K2273" s="79"/>
      <c r="L2273" s="385"/>
      <c r="M2273" s="16"/>
    </row>
    <row r="2274" spans="1:13" ht="30" customHeight="1">
      <c r="A2274" s="15"/>
      <c r="B2274" s="948" t="s">
        <v>105</v>
      </c>
      <c r="C2274" s="949"/>
      <c r="D2274" s="949"/>
      <c r="E2274" s="949"/>
      <c r="F2274" s="949"/>
      <c r="G2274" s="949"/>
      <c r="H2274" s="950" t="str">
        <f>Master!D63</f>
        <v>Chakali Narayana</v>
      </c>
      <c r="I2274" s="951"/>
      <c r="J2274" s="951"/>
      <c r="K2274" s="951"/>
      <c r="L2274" s="952"/>
      <c r="M2274" s="16"/>
    </row>
    <row r="2275" spans="1:13" ht="30" customHeight="1">
      <c r="A2275" s="15"/>
      <c r="B2275" s="948"/>
      <c r="C2275" s="949"/>
      <c r="D2275" s="949"/>
      <c r="E2275" s="949"/>
      <c r="F2275" s="949"/>
      <c r="G2275" s="949"/>
      <c r="H2275" s="950" t="str">
        <f>Master!K63</f>
        <v>H NO 3-7/1</v>
      </c>
      <c r="I2275" s="951"/>
      <c r="J2275" s="951"/>
      <c r="K2275" s="951"/>
      <c r="L2275" s="952"/>
      <c r="M2275" s="16"/>
    </row>
    <row r="2276" spans="1:13" ht="30" customHeight="1">
      <c r="A2276" s="15"/>
      <c r="B2276" s="948"/>
      <c r="C2276" s="949"/>
      <c r="D2276" s="949"/>
      <c r="E2276" s="949"/>
      <c r="F2276" s="949"/>
      <c r="G2276" s="949"/>
      <c r="H2276" s="950" t="str">
        <f>Master!L63</f>
        <v>MADHRAM MEDAK</v>
      </c>
      <c r="I2276" s="951"/>
      <c r="J2276" s="951"/>
      <c r="K2276" s="951"/>
      <c r="L2276" s="952"/>
      <c r="M2276" s="16"/>
    </row>
    <row r="2277" spans="1:13" ht="30" customHeight="1">
      <c r="A2277" s="15"/>
      <c r="B2277" s="948"/>
      <c r="C2277" s="949"/>
      <c r="D2277" s="949"/>
      <c r="E2277" s="949"/>
      <c r="F2277" s="949"/>
      <c r="G2277" s="949"/>
      <c r="H2277" s="950" t="str">
        <f>Master!M63</f>
        <v>TS-502319</v>
      </c>
      <c r="I2277" s="951"/>
      <c r="J2277" s="951"/>
      <c r="K2277" s="951"/>
      <c r="L2277" s="952"/>
      <c r="M2277" s="16"/>
    </row>
    <row r="2278" spans="1:13" ht="30" customHeight="1">
      <c r="A2278" s="73"/>
      <c r="B2278" s="948"/>
      <c r="C2278" s="949"/>
      <c r="D2278" s="949"/>
      <c r="E2278" s="949"/>
      <c r="F2278" s="949"/>
      <c r="G2278" s="949"/>
      <c r="H2278" s="989">
        <f>Master!N63</f>
        <v>0</v>
      </c>
      <c r="I2278" s="990"/>
      <c r="J2278" s="990"/>
      <c r="K2278" s="990"/>
      <c r="L2278" s="991"/>
      <c r="M2278" s="16"/>
    </row>
    <row r="2279" spans="1:13" ht="30" customHeight="1">
      <c r="A2279" s="73"/>
      <c r="B2279" s="984" t="s">
        <v>106</v>
      </c>
      <c r="C2279" s="985"/>
      <c r="D2279" s="985"/>
      <c r="E2279" s="985"/>
      <c r="F2279" s="985"/>
      <c r="G2279" s="985"/>
      <c r="H2279" s="947">
        <f>Master!C63</f>
        <v>54</v>
      </c>
      <c r="I2279" s="945"/>
      <c r="J2279" s="945"/>
      <c r="K2279" s="945"/>
      <c r="L2279" s="946"/>
      <c r="M2279" s="16"/>
    </row>
    <row r="2280" spans="1:13" ht="30" customHeight="1">
      <c r="A2280" s="73"/>
      <c r="B2280" s="943" t="s">
        <v>107</v>
      </c>
      <c r="C2280" s="944"/>
      <c r="D2280" s="944"/>
      <c r="E2280" s="944"/>
      <c r="F2280" s="944"/>
      <c r="G2280" s="944"/>
      <c r="H2280" s="947" t="str">
        <f>Master!J63</f>
        <v>Semi Skilled Gardner</v>
      </c>
      <c r="I2280" s="945"/>
      <c r="J2280" s="945"/>
      <c r="K2280" s="945"/>
      <c r="L2280" s="946"/>
      <c r="M2280" s="16"/>
    </row>
    <row r="2281" spans="1:13" ht="30" customHeight="1">
      <c r="A2281" s="73"/>
      <c r="B2281" s="943" t="s">
        <v>108</v>
      </c>
      <c r="C2281" s="944"/>
      <c r="D2281" s="944"/>
      <c r="E2281" s="944"/>
      <c r="F2281" s="944"/>
      <c r="G2281" s="944"/>
      <c r="H2281" s="957">
        <f>Master!S63</f>
        <v>43893</v>
      </c>
      <c r="I2281" s="958"/>
      <c r="J2281" s="958"/>
      <c r="K2281" s="958"/>
      <c r="L2281" s="959"/>
      <c r="M2281" s="16"/>
    </row>
    <row r="2282" spans="1:13" ht="30" customHeight="1">
      <c r="A2282" s="73"/>
      <c r="B2282" s="386" t="s">
        <v>109</v>
      </c>
      <c r="C2282" s="116"/>
      <c r="D2282" s="116"/>
      <c r="E2282" s="116"/>
      <c r="F2282" s="116"/>
      <c r="G2282" s="116"/>
      <c r="H2282" s="947">
        <f>Master!Y63</f>
        <v>5216452266</v>
      </c>
      <c r="I2282" s="947"/>
      <c r="J2282" s="947"/>
      <c r="K2282" s="947"/>
      <c r="L2282" s="953"/>
      <c r="M2282" s="16"/>
    </row>
    <row r="2283" spans="1:13" ht="30" customHeight="1">
      <c r="A2283" s="73"/>
      <c r="B2283" s="386" t="s">
        <v>110</v>
      </c>
      <c r="C2283" s="116"/>
      <c r="D2283" s="116"/>
      <c r="E2283" s="116"/>
      <c r="F2283" s="116"/>
      <c r="G2283" s="119"/>
      <c r="H2283" s="947">
        <f>Master!X63</f>
        <v>101567297431</v>
      </c>
      <c r="I2283" s="947"/>
      <c r="J2283" s="947"/>
      <c r="K2283" s="947"/>
      <c r="L2283" s="953"/>
      <c r="M2283" s="16"/>
    </row>
    <row r="2284" spans="1:13" ht="30" customHeight="1">
      <c r="A2284" s="73"/>
      <c r="B2284" s="954" t="s">
        <v>111</v>
      </c>
      <c r="C2284" s="955"/>
      <c r="D2284" s="955"/>
      <c r="E2284" s="955"/>
      <c r="F2284" s="955"/>
      <c r="G2284" s="955"/>
      <c r="H2284" s="950">
        <f>Master!AC63</f>
        <v>11459</v>
      </c>
      <c r="I2284" s="951"/>
      <c r="J2284" s="951"/>
      <c r="K2284" s="951"/>
      <c r="L2284" s="952"/>
      <c r="M2284" s="16"/>
    </row>
    <row r="2285" spans="1:13" ht="30" customHeight="1">
      <c r="A2285" s="73"/>
      <c r="B2285" s="943" t="s">
        <v>112</v>
      </c>
      <c r="C2285" s="944"/>
      <c r="D2285" s="944"/>
      <c r="E2285" s="944"/>
      <c r="F2285" s="944"/>
      <c r="G2285" s="944"/>
      <c r="H2285" s="956">
        <f>Master!F10</f>
        <v>44652</v>
      </c>
      <c r="I2285" s="945"/>
      <c r="J2285" s="945"/>
      <c r="K2285" s="945"/>
      <c r="L2285" s="946"/>
      <c r="M2285" s="16"/>
    </row>
    <row r="2286" spans="1:13" ht="30" customHeight="1">
      <c r="A2286" s="15"/>
      <c r="B2286" s="943" t="s">
        <v>113</v>
      </c>
      <c r="C2286" s="944"/>
      <c r="D2286" s="944"/>
      <c r="E2286" s="944"/>
      <c r="F2286" s="944"/>
      <c r="G2286" s="944"/>
      <c r="H2286" s="945" t="s">
        <v>114</v>
      </c>
      <c r="I2286" s="945"/>
      <c r="J2286" s="945"/>
      <c r="K2286" s="945"/>
      <c r="L2286" s="946"/>
      <c r="M2286" s="16"/>
    </row>
    <row r="2287" spans="1:13" ht="30" customHeight="1">
      <c r="A2287" s="15"/>
      <c r="B2287" s="386" t="s">
        <v>115</v>
      </c>
      <c r="C2287" s="116"/>
      <c r="D2287" s="116"/>
      <c r="E2287" s="116"/>
      <c r="F2287" s="116"/>
      <c r="G2287" s="119"/>
      <c r="H2287" s="947">
        <f>Master!AA63</f>
        <v>26</v>
      </c>
      <c r="I2287" s="945"/>
      <c r="J2287" s="945"/>
      <c r="K2287" s="945"/>
      <c r="L2287" s="946"/>
      <c r="M2287" s="16"/>
    </row>
    <row r="2288" spans="1:13" ht="30" customHeight="1">
      <c r="A2288" s="15"/>
      <c r="B2288" s="386" t="s">
        <v>116</v>
      </c>
      <c r="C2288" s="116"/>
      <c r="D2288" s="116"/>
      <c r="E2288" s="116"/>
      <c r="F2288" s="116"/>
      <c r="G2288" s="119"/>
      <c r="H2288" s="986" t="s">
        <v>28</v>
      </c>
      <c r="I2288" s="987"/>
      <c r="J2288" s="987"/>
      <c r="K2288" s="987"/>
      <c r="L2288" s="988"/>
      <c r="M2288" s="16"/>
    </row>
    <row r="2289" spans="1:13" ht="30" customHeight="1">
      <c r="A2289" s="15"/>
      <c r="B2289" s="386" t="s">
        <v>117</v>
      </c>
      <c r="C2289" s="116"/>
      <c r="D2289" s="116"/>
      <c r="E2289" s="116"/>
      <c r="F2289" s="116"/>
      <c r="G2289" s="119"/>
      <c r="H2289" s="989">
        <v>0</v>
      </c>
      <c r="I2289" s="990"/>
      <c r="J2289" s="990"/>
      <c r="K2289" s="990"/>
      <c r="L2289" s="991"/>
      <c r="M2289" s="16"/>
    </row>
    <row r="2290" spans="1:13" ht="30" customHeight="1">
      <c r="A2290" s="15"/>
      <c r="B2290" s="386" t="s">
        <v>118</v>
      </c>
      <c r="C2290" s="116"/>
      <c r="D2290" s="116"/>
      <c r="E2290" s="116"/>
      <c r="F2290" s="116"/>
      <c r="G2290" s="119"/>
      <c r="H2290" s="986">
        <v>0</v>
      </c>
      <c r="I2290" s="987"/>
      <c r="J2290" s="987"/>
      <c r="K2290" s="987"/>
      <c r="L2290" s="988"/>
      <c r="M2290" s="16"/>
    </row>
    <row r="2291" spans="1:13" ht="30" customHeight="1">
      <c r="A2291" s="15"/>
      <c r="B2291" s="386" t="s">
        <v>119</v>
      </c>
      <c r="C2291" s="116"/>
      <c r="D2291" s="116"/>
      <c r="E2291" s="116"/>
      <c r="F2291" s="116"/>
      <c r="G2291" s="119"/>
      <c r="H2291" s="117"/>
      <c r="I2291" s="118"/>
      <c r="J2291" s="990">
        <f>Master!AK63</f>
        <v>9932.4666666666653</v>
      </c>
      <c r="K2291" s="992"/>
      <c r="L2291" s="581" t="s">
        <v>737</v>
      </c>
      <c r="M2291" s="16"/>
    </row>
    <row r="2292" spans="1:13" ht="30" customHeight="1">
      <c r="A2292" s="15"/>
      <c r="B2292" s="386" t="s">
        <v>120</v>
      </c>
      <c r="C2292" s="116"/>
      <c r="D2292" s="465" t="s">
        <v>24</v>
      </c>
      <c r="E2292" s="466">
        <f>Master!AM63</f>
        <v>1192</v>
      </c>
      <c r="F2292" s="465" t="s">
        <v>23</v>
      </c>
      <c r="G2292" s="466">
        <f>Master!AL63</f>
        <v>75</v>
      </c>
      <c r="H2292" s="465" t="s">
        <v>25</v>
      </c>
      <c r="I2292" s="466">
        <f>Master!AN63</f>
        <v>0</v>
      </c>
      <c r="J2292" s="465" t="s">
        <v>26</v>
      </c>
      <c r="K2292" s="466">
        <f>Master!AO63</f>
        <v>0</v>
      </c>
      <c r="L2292" s="400">
        <f>Master!AP63</f>
        <v>0</v>
      </c>
      <c r="M2292" s="16"/>
    </row>
    <row r="2293" spans="1:13" ht="30" customHeight="1">
      <c r="A2293" s="15"/>
      <c r="B2293" s="386" t="s">
        <v>121</v>
      </c>
      <c r="C2293" s="116"/>
      <c r="D2293" s="116"/>
      <c r="E2293" s="116"/>
      <c r="F2293" s="116"/>
      <c r="G2293" s="119"/>
      <c r="H2293" s="117"/>
      <c r="I2293" s="118"/>
      <c r="J2293" s="541">
        <f>Master!AR63</f>
        <v>8665.4666666666653</v>
      </c>
      <c r="K2293" s="118"/>
      <c r="L2293" s="125"/>
      <c r="M2293" s="16"/>
    </row>
    <row r="2294" spans="1:13">
      <c r="A2294" s="15"/>
      <c r="B2294" s="387" t="s">
        <v>122</v>
      </c>
      <c r="C2294" s="74"/>
      <c r="D2294" s="74"/>
      <c r="E2294" s="74"/>
      <c r="F2294" s="74"/>
      <c r="G2294" s="75"/>
      <c r="H2294" s="76"/>
      <c r="I2294" s="77"/>
      <c r="J2294" s="77"/>
      <c r="K2294" s="77"/>
      <c r="L2294" s="78"/>
      <c r="M2294" s="16"/>
    </row>
    <row r="2295" spans="1:13">
      <c r="A2295" s="15"/>
      <c r="B2295" s="388" t="s">
        <v>123</v>
      </c>
      <c r="C2295" s="79"/>
      <c r="D2295" s="79"/>
      <c r="E2295" s="79"/>
      <c r="F2295" s="79"/>
      <c r="G2295" s="80"/>
      <c r="H2295" s="60"/>
      <c r="I2295" s="19"/>
      <c r="J2295" s="19"/>
      <c r="K2295" s="19"/>
      <c r="L2295" s="81"/>
      <c r="M2295" s="16"/>
    </row>
    <row r="2296" spans="1:13">
      <c r="A2296" s="15"/>
      <c r="B2296" s="15"/>
      <c r="C2296" s="114"/>
      <c r="D2296" s="114"/>
      <c r="E2296" s="114"/>
      <c r="F2296" s="114"/>
      <c r="G2296" s="114"/>
      <c r="H2296" s="114"/>
      <c r="I2296" s="114"/>
      <c r="J2296" s="114"/>
      <c r="K2296" s="114"/>
      <c r="L2296" s="16"/>
      <c r="M2296" s="16"/>
    </row>
    <row r="2297" spans="1:13" ht="15" thickBot="1">
      <c r="A2297" s="27"/>
      <c r="B2297" s="27"/>
      <c r="C2297" s="25"/>
      <c r="D2297" s="25"/>
      <c r="E2297" s="25"/>
      <c r="F2297" s="25"/>
      <c r="G2297" s="25"/>
      <c r="H2297" s="25"/>
      <c r="I2297" s="25"/>
      <c r="J2297" s="25"/>
      <c r="K2297" s="25"/>
      <c r="L2297" s="26"/>
      <c r="M2297" s="26"/>
    </row>
    <row r="2298" spans="1:13">
      <c r="A2298" s="420"/>
      <c r="B2298" s="420"/>
      <c r="C2298" s="420"/>
      <c r="D2298" s="420"/>
      <c r="E2298" s="420"/>
      <c r="F2298" s="420"/>
      <c r="G2298" s="420"/>
      <c r="H2298" s="420"/>
      <c r="I2298" s="420"/>
      <c r="J2298" s="420"/>
      <c r="K2298" s="420"/>
      <c r="L2298" s="420"/>
      <c r="M2298" s="420"/>
    </row>
    <row r="2299" spans="1:13">
      <c r="A2299" s="420"/>
      <c r="B2299" s="420"/>
      <c r="C2299" s="420"/>
      <c r="D2299" s="420"/>
      <c r="E2299" s="420"/>
      <c r="F2299" s="420"/>
      <c r="G2299" s="420"/>
      <c r="H2299" s="420"/>
      <c r="I2299" s="420"/>
      <c r="J2299" s="420"/>
      <c r="K2299" s="420"/>
      <c r="L2299" s="420"/>
      <c r="M2299" s="420"/>
    </row>
    <row r="2300" spans="1:13">
      <c r="A2300" s="420"/>
      <c r="B2300" s="420"/>
      <c r="C2300" s="420"/>
      <c r="D2300" s="420"/>
      <c r="E2300" s="420"/>
      <c r="F2300" s="420"/>
      <c r="G2300" s="420"/>
      <c r="H2300" s="420"/>
      <c r="I2300" s="420"/>
      <c r="J2300" s="420"/>
      <c r="K2300" s="420"/>
      <c r="L2300" s="420"/>
      <c r="M2300" s="420"/>
    </row>
    <row r="2301" spans="1:13">
      <c r="A2301" s="420"/>
      <c r="B2301" s="420"/>
      <c r="C2301" s="420"/>
      <c r="D2301" s="420"/>
      <c r="E2301" s="420"/>
      <c r="F2301" s="420"/>
      <c r="G2301" s="420"/>
      <c r="H2301" s="420"/>
      <c r="I2301" s="420"/>
      <c r="J2301" s="420"/>
      <c r="K2301" s="420"/>
      <c r="L2301" s="420"/>
      <c r="M2301" s="420"/>
    </row>
    <row r="2302" spans="1:13" ht="15" thickBot="1">
      <c r="A2302" s="420"/>
      <c r="B2302" s="420"/>
      <c r="C2302" s="420"/>
      <c r="D2302" s="420"/>
      <c r="E2302" s="420"/>
      <c r="F2302" s="420"/>
      <c r="G2302" s="420"/>
      <c r="H2302" s="420"/>
      <c r="I2302" s="420"/>
      <c r="J2302" s="420"/>
      <c r="K2302" s="420"/>
      <c r="L2302" s="420"/>
      <c r="M2302" s="420"/>
    </row>
    <row r="2303" spans="1:13" ht="32.4">
      <c r="A2303" s="68"/>
      <c r="B2303" s="960" t="s">
        <v>99</v>
      </c>
      <c r="C2303" s="961"/>
      <c r="D2303" s="961"/>
      <c r="E2303" s="961"/>
      <c r="F2303" s="961"/>
      <c r="G2303" s="961"/>
      <c r="H2303" s="961"/>
      <c r="I2303" s="961"/>
      <c r="J2303" s="961"/>
      <c r="K2303" s="961"/>
      <c r="L2303" s="962"/>
      <c r="M2303" s="69"/>
    </row>
    <row r="2304" spans="1:13" ht="23.4">
      <c r="A2304" s="15"/>
      <c r="B2304" s="963" t="s">
        <v>100</v>
      </c>
      <c r="C2304" s="964"/>
      <c r="D2304" s="964"/>
      <c r="E2304" s="964"/>
      <c r="F2304" s="964"/>
      <c r="G2304" s="964"/>
      <c r="H2304" s="964"/>
      <c r="I2304" s="964"/>
      <c r="J2304" s="964"/>
      <c r="K2304" s="964"/>
      <c r="L2304" s="965"/>
      <c r="M2304" s="16"/>
    </row>
    <row r="2305" spans="1:13" ht="15.6">
      <c r="A2305" s="15"/>
      <c r="B2305" s="966" t="s">
        <v>1070</v>
      </c>
      <c r="C2305" s="967"/>
      <c r="D2305" s="967"/>
      <c r="E2305" s="967"/>
      <c r="F2305" s="967"/>
      <c r="G2305" s="967"/>
      <c r="H2305" s="968"/>
      <c r="I2305" s="968"/>
      <c r="J2305" s="968"/>
      <c r="K2305" s="968"/>
      <c r="L2305" s="969"/>
      <c r="M2305" s="16"/>
    </row>
    <row r="2306" spans="1:13">
      <c r="A2306" s="15"/>
      <c r="B2306" s="970" t="s">
        <v>101</v>
      </c>
      <c r="C2306" s="971"/>
      <c r="D2306" s="971"/>
      <c r="E2306" s="971"/>
      <c r="F2306" s="971"/>
      <c r="G2306" s="391"/>
      <c r="H2306" s="974" t="s">
        <v>102</v>
      </c>
      <c r="I2306" s="975"/>
      <c r="J2306" s="975"/>
      <c r="K2306" s="975"/>
      <c r="L2306" s="976"/>
      <c r="M2306" s="16"/>
    </row>
    <row r="2307" spans="1:13">
      <c r="A2307" s="15"/>
      <c r="B2307" s="972"/>
      <c r="C2307" s="973"/>
      <c r="D2307" s="973"/>
      <c r="E2307" s="973"/>
      <c r="F2307" s="973"/>
      <c r="G2307" s="395"/>
      <c r="H2307" s="977"/>
      <c r="I2307" s="978"/>
      <c r="J2307" s="978"/>
      <c r="K2307" s="978"/>
      <c r="L2307" s="979"/>
      <c r="M2307" s="16"/>
    </row>
    <row r="2308" spans="1:13">
      <c r="A2308" s="15"/>
      <c r="B2308" s="382"/>
      <c r="C2308" s="77"/>
      <c r="D2308" s="77"/>
      <c r="E2308" s="77"/>
      <c r="F2308" s="77"/>
      <c r="G2308" s="56"/>
      <c r="H2308" s="76"/>
      <c r="I2308" s="77"/>
      <c r="J2308" s="77"/>
      <c r="K2308" s="77"/>
      <c r="L2308" s="78"/>
      <c r="M2308" s="16"/>
    </row>
    <row r="2309" spans="1:13">
      <c r="A2309" s="15"/>
      <c r="B2309" s="378" t="str">
        <f>Master!F5</f>
        <v>GROTECH LANDSCAPE DEVELOPERS PVT. LTD.</v>
      </c>
      <c r="C2309" s="114"/>
      <c r="D2309" s="114"/>
      <c r="E2309" s="114"/>
      <c r="F2309" s="114"/>
      <c r="G2309" s="379"/>
      <c r="H2309" s="381" t="str">
        <f>Master!AN5</f>
        <v>GROTECH LANDSCAPE DEVELOPERS PVT. LTD.</v>
      </c>
      <c r="I2309" s="114"/>
      <c r="J2309" s="114"/>
      <c r="K2309" s="114"/>
      <c r="L2309" s="16"/>
      <c r="M2309" s="16"/>
    </row>
    <row r="2310" spans="1:13">
      <c r="A2310" s="15"/>
      <c r="B2310" s="15"/>
      <c r="C2310" s="114"/>
      <c r="D2310" s="114"/>
      <c r="E2310" s="114"/>
      <c r="F2310" s="114"/>
      <c r="G2310" s="379"/>
      <c r="H2310" s="380"/>
      <c r="I2310" s="114"/>
      <c r="J2310" s="114"/>
      <c r="K2310" s="114"/>
      <c r="L2310" s="16"/>
      <c r="M2310" s="16"/>
    </row>
    <row r="2311" spans="1:13">
      <c r="A2311" s="15"/>
      <c r="B2311" s="538" t="str">
        <f>Master!F6</f>
        <v>290/E, Khanapur Village, Gandipet Mandal, Ranga Reddy, Hyderabad-500075 T.S.</v>
      </c>
      <c r="C2311" s="114"/>
      <c r="D2311" s="114"/>
      <c r="E2311" s="114"/>
      <c r="F2311" s="114"/>
      <c r="G2311" s="379"/>
      <c r="H2311" s="539" t="str">
        <f>Master!AN6</f>
        <v>290/E, Khanapur Village, Gandipet Mandal, Ranga Reddy, Hyderabad-500075 T.S.</v>
      </c>
      <c r="I2311" s="114"/>
      <c r="J2311" s="114"/>
      <c r="K2311" s="114"/>
      <c r="L2311" s="16"/>
      <c r="M2311" s="16"/>
    </row>
    <row r="2312" spans="1:13">
      <c r="A2312" s="15"/>
      <c r="B2312" s="383"/>
      <c r="C2312" s="19"/>
      <c r="D2312" s="19"/>
      <c r="E2312" s="19"/>
      <c r="F2312" s="19"/>
      <c r="G2312" s="61"/>
      <c r="H2312" s="60"/>
      <c r="I2312" s="19"/>
      <c r="J2312" s="19"/>
      <c r="K2312" s="19"/>
      <c r="L2312" s="81"/>
      <c r="M2312" s="16"/>
    </row>
    <row r="2313" spans="1:13">
      <c r="A2313" s="15"/>
      <c r="B2313" s="389"/>
      <c r="C2313" s="390"/>
      <c r="D2313" s="390"/>
      <c r="E2313" s="390"/>
      <c r="F2313" s="390"/>
      <c r="G2313" s="391"/>
      <c r="H2313" s="396"/>
      <c r="I2313" s="390"/>
      <c r="J2313" s="390" t="s">
        <v>103</v>
      </c>
      <c r="K2313" s="390"/>
      <c r="L2313" s="397"/>
      <c r="M2313" s="16"/>
    </row>
    <row r="2314" spans="1:13">
      <c r="A2314" s="15"/>
      <c r="B2314" s="980" t="s">
        <v>104</v>
      </c>
      <c r="C2314" s="981"/>
      <c r="D2314" s="981"/>
      <c r="E2314" s="981"/>
      <c r="F2314" s="981"/>
      <c r="G2314" s="392"/>
      <c r="H2314" s="982" t="s">
        <v>4</v>
      </c>
      <c r="I2314" s="981"/>
      <c r="J2314" s="981"/>
      <c r="K2314" s="981"/>
      <c r="L2314" s="983"/>
      <c r="M2314" s="16"/>
    </row>
    <row r="2315" spans="1:13">
      <c r="A2315" s="15"/>
      <c r="B2315" s="393"/>
      <c r="C2315" s="394"/>
      <c r="D2315" s="394"/>
      <c r="E2315" s="394"/>
      <c r="F2315" s="394"/>
      <c r="G2315" s="395"/>
      <c r="H2315" s="398"/>
      <c r="I2315" s="394"/>
      <c r="J2315" s="394"/>
      <c r="K2315" s="394"/>
      <c r="L2315" s="399"/>
      <c r="M2315" s="16"/>
    </row>
    <row r="2316" spans="1:13">
      <c r="A2316" s="15"/>
      <c r="B2316" s="382"/>
      <c r="C2316" s="77"/>
      <c r="D2316" s="77"/>
      <c r="E2316" s="77"/>
      <c r="F2316" s="77"/>
      <c r="G2316" s="56"/>
      <c r="H2316" s="74"/>
      <c r="I2316" s="74"/>
      <c r="J2316" s="74"/>
      <c r="K2316" s="74"/>
      <c r="L2316" s="384"/>
      <c r="M2316" s="16"/>
    </row>
    <row r="2317" spans="1:13">
      <c r="A2317" s="15"/>
      <c r="B2317" s="15"/>
      <c r="C2317" s="114"/>
      <c r="D2317" s="114"/>
      <c r="E2317" s="114"/>
      <c r="F2317" s="114"/>
      <c r="G2317" s="379"/>
      <c r="H2317" s="115" t="str">
        <f>Master!AN10</f>
        <v>INDIAN SCHOOL OF BUSINESS</v>
      </c>
      <c r="I2317" s="115"/>
      <c r="J2317" s="115"/>
      <c r="K2317" s="115"/>
      <c r="L2317" s="71"/>
      <c r="M2317" s="16"/>
    </row>
    <row r="2318" spans="1:13">
      <c r="A2318" s="15"/>
      <c r="B2318" s="70" t="str">
        <f>Master!F8</f>
        <v>GARDENING SERVICES&amp;ISB HYDERABAD</v>
      </c>
      <c r="C2318" s="114"/>
      <c r="D2318" s="114"/>
      <c r="E2318" s="114"/>
      <c r="F2318" s="114"/>
      <c r="G2318" s="379"/>
      <c r="H2318" s="115"/>
      <c r="I2318" s="115"/>
      <c r="J2318" s="115"/>
      <c r="K2318" s="115"/>
      <c r="L2318" s="71"/>
      <c r="M2318" s="16"/>
    </row>
    <row r="2319" spans="1:13">
      <c r="A2319" s="15"/>
      <c r="B2319" s="15"/>
      <c r="C2319" s="114"/>
      <c r="D2319" s="114"/>
      <c r="E2319" s="114"/>
      <c r="F2319" s="114"/>
      <c r="G2319" s="379"/>
      <c r="H2319" s="115" t="str">
        <f>Master!AN11</f>
        <v>Opp.Infosys Limited,Gachibowli,Hyderabad</v>
      </c>
      <c r="I2319" s="115"/>
      <c r="J2319" s="115"/>
      <c r="K2319" s="115"/>
      <c r="L2319" s="71"/>
      <c r="M2319" s="16"/>
    </row>
    <row r="2320" spans="1:13">
      <c r="A2320" s="15"/>
      <c r="B2320" s="383"/>
      <c r="C2320" s="19"/>
      <c r="D2320" s="19"/>
      <c r="E2320" s="19"/>
      <c r="F2320" s="19"/>
      <c r="G2320" s="61"/>
      <c r="H2320" s="79"/>
      <c r="I2320" s="79"/>
      <c r="J2320" s="79"/>
      <c r="K2320" s="79"/>
      <c r="L2320" s="385"/>
      <c r="M2320" s="16"/>
    </row>
    <row r="2321" spans="1:13" ht="30" customHeight="1">
      <c r="A2321" s="15"/>
      <c r="B2321" s="948" t="s">
        <v>105</v>
      </c>
      <c r="C2321" s="949"/>
      <c r="D2321" s="949"/>
      <c r="E2321" s="949"/>
      <c r="F2321" s="949"/>
      <c r="G2321" s="949"/>
      <c r="H2321" s="950" t="str">
        <f>Master!D64</f>
        <v>Mutyala Poshavva</v>
      </c>
      <c r="I2321" s="951"/>
      <c r="J2321" s="951"/>
      <c r="K2321" s="951"/>
      <c r="L2321" s="952"/>
      <c r="M2321" s="16"/>
    </row>
    <row r="2322" spans="1:13" ht="30" customHeight="1">
      <c r="A2322" s="15"/>
      <c r="B2322" s="948"/>
      <c r="C2322" s="949"/>
      <c r="D2322" s="949"/>
      <c r="E2322" s="949"/>
      <c r="F2322" s="949"/>
      <c r="G2322" s="949"/>
      <c r="H2322" s="950" t="str">
        <f>Master!K64</f>
        <v>H NO 65/1</v>
      </c>
      <c r="I2322" s="951"/>
      <c r="J2322" s="951"/>
      <c r="K2322" s="951"/>
      <c r="L2322" s="952"/>
      <c r="M2322" s="16"/>
    </row>
    <row r="2323" spans="1:13" ht="30" customHeight="1">
      <c r="A2323" s="15"/>
      <c r="B2323" s="948"/>
      <c r="C2323" s="949"/>
      <c r="D2323" s="949"/>
      <c r="E2323" s="949"/>
      <c r="F2323" s="949"/>
      <c r="G2323" s="949"/>
      <c r="H2323" s="950" t="str">
        <f>Master!L64</f>
        <v>MADHRAM MEDAK</v>
      </c>
      <c r="I2323" s="951"/>
      <c r="J2323" s="951"/>
      <c r="K2323" s="951"/>
      <c r="L2323" s="952"/>
      <c r="M2323" s="16"/>
    </row>
    <row r="2324" spans="1:13" ht="30" customHeight="1">
      <c r="A2324" s="15"/>
      <c r="B2324" s="948"/>
      <c r="C2324" s="949"/>
      <c r="D2324" s="949"/>
      <c r="E2324" s="949"/>
      <c r="F2324" s="949"/>
      <c r="G2324" s="949"/>
      <c r="H2324" s="950" t="str">
        <f>Master!M64</f>
        <v>TS-502319</v>
      </c>
      <c r="I2324" s="951"/>
      <c r="J2324" s="951"/>
      <c r="K2324" s="951"/>
      <c r="L2324" s="952"/>
      <c r="M2324" s="16"/>
    </row>
    <row r="2325" spans="1:13" ht="30" customHeight="1">
      <c r="A2325" s="73"/>
      <c r="B2325" s="948"/>
      <c r="C2325" s="949"/>
      <c r="D2325" s="949"/>
      <c r="E2325" s="949"/>
      <c r="F2325" s="949"/>
      <c r="G2325" s="949"/>
      <c r="H2325" s="989">
        <f>Master!N64</f>
        <v>0</v>
      </c>
      <c r="I2325" s="990"/>
      <c r="J2325" s="990"/>
      <c r="K2325" s="990"/>
      <c r="L2325" s="991"/>
      <c r="M2325" s="16"/>
    </row>
    <row r="2326" spans="1:13" ht="30" customHeight="1">
      <c r="A2326" s="73"/>
      <c r="B2326" s="984" t="s">
        <v>106</v>
      </c>
      <c r="C2326" s="985"/>
      <c r="D2326" s="985"/>
      <c r="E2326" s="985"/>
      <c r="F2326" s="985"/>
      <c r="G2326" s="985"/>
      <c r="H2326" s="947">
        <f>Master!C64</f>
        <v>55</v>
      </c>
      <c r="I2326" s="945"/>
      <c r="J2326" s="945"/>
      <c r="K2326" s="945"/>
      <c r="L2326" s="946"/>
      <c r="M2326" s="16"/>
    </row>
    <row r="2327" spans="1:13" ht="30" customHeight="1">
      <c r="A2327" s="73"/>
      <c r="B2327" s="943" t="s">
        <v>107</v>
      </c>
      <c r="C2327" s="944"/>
      <c r="D2327" s="944"/>
      <c r="E2327" s="944"/>
      <c r="F2327" s="944"/>
      <c r="G2327" s="944"/>
      <c r="H2327" s="947" t="str">
        <f>Master!J64</f>
        <v>Unskilled Gardner</v>
      </c>
      <c r="I2327" s="945"/>
      <c r="J2327" s="945"/>
      <c r="K2327" s="945"/>
      <c r="L2327" s="946"/>
      <c r="M2327" s="16"/>
    </row>
    <row r="2328" spans="1:13" ht="30" customHeight="1">
      <c r="A2328" s="73"/>
      <c r="B2328" s="943" t="s">
        <v>108</v>
      </c>
      <c r="C2328" s="944"/>
      <c r="D2328" s="944"/>
      <c r="E2328" s="944"/>
      <c r="F2328" s="944"/>
      <c r="G2328" s="944"/>
      <c r="H2328" s="957">
        <f>Master!S64</f>
        <v>43894</v>
      </c>
      <c r="I2328" s="958"/>
      <c r="J2328" s="958"/>
      <c r="K2328" s="958"/>
      <c r="L2328" s="959"/>
      <c r="M2328" s="16"/>
    </row>
    <row r="2329" spans="1:13" ht="30" customHeight="1">
      <c r="A2329" s="73"/>
      <c r="B2329" s="386" t="s">
        <v>109</v>
      </c>
      <c r="C2329" s="116"/>
      <c r="D2329" s="116"/>
      <c r="E2329" s="116"/>
      <c r="F2329" s="116"/>
      <c r="G2329" s="116"/>
      <c r="H2329" s="947">
        <f>Master!Y64</f>
        <v>5216452300</v>
      </c>
      <c r="I2329" s="947"/>
      <c r="J2329" s="947"/>
      <c r="K2329" s="947"/>
      <c r="L2329" s="953"/>
      <c r="M2329" s="16"/>
    </row>
    <row r="2330" spans="1:13" ht="30" customHeight="1">
      <c r="A2330" s="73"/>
      <c r="B2330" s="386" t="s">
        <v>110</v>
      </c>
      <c r="C2330" s="116"/>
      <c r="D2330" s="116"/>
      <c r="E2330" s="116"/>
      <c r="F2330" s="116"/>
      <c r="G2330" s="119"/>
      <c r="H2330" s="947">
        <f>Master!X64</f>
        <v>100644249379</v>
      </c>
      <c r="I2330" s="947"/>
      <c r="J2330" s="947"/>
      <c r="K2330" s="947"/>
      <c r="L2330" s="953"/>
      <c r="M2330" s="16"/>
    </row>
    <row r="2331" spans="1:13" ht="30" customHeight="1">
      <c r="A2331" s="73"/>
      <c r="B2331" s="954" t="s">
        <v>111</v>
      </c>
      <c r="C2331" s="955"/>
      <c r="D2331" s="955"/>
      <c r="E2331" s="955"/>
      <c r="F2331" s="955"/>
      <c r="G2331" s="955"/>
      <c r="H2331" s="950">
        <f>Master!AC64</f>
        <v>10627</v>
      </c>
      <c r="I2331" s="951"/>
      <c r="J2331" s="951"/>
      <c r="K2331" s="951"/>
      <c r="L2331" s="952"/>
      <c r="M2331" s="16"/>
    </row>
    <row r="2332" spans="1:13" ht="30" customHeight="1">
      <c r="A2332" s="73"/>
      <c r="B2332" s="943" t="s">
        <v>112</v>
      </c>
      <c r="C2332" s="944"/>
      <c r="D2332" s="944"/>
      <c r="E2332" s="944"/>
      <c r="F2332" s="944"/>
      <c r="G2332" s="944"/>
      <c r="H2332" s="956">
        <f>Master!F10</f>
        <v>44652</v>
      </c>
      <c r="I2332" s="945"/>
      <c r="J2332" s="945"/>
      <c r="K2332" s="945"/>
      <c r="L2332" s="946"/>
      <c r="M2332" s="16"/>
    </row>
    <row r="2333" spans="1:13" ht="30" customHeight="1">
      <c r="A2333" s="15"/>
      <c r="B2333" s="943" t="s">
        <v>113</v>
      </c>
      <c r="C2333" s="944"/>
      <c r="D2333" s="944"/>
      <c r="E2333" s="944"/>
      <c r="F2333" s="944"/>
      <c r="G2333" s="944"/>
      <c r="H2333" s="945" t="s">
        <v>114</v>
      </c>
      <c r="I2333" s="945"/>
      <c r="J2333" s="945"/>
      <c r="K2333" s="945"/>
      <c r="L2333" s="946"/>
      <c r="M2333" s="16"/>
    </row>
    <row r="2334" spans="1:13" ht="30" customHeight="1">
      <c r="A2334" s="15"/>
      <c r="B2334" s="386" t="s">
        <v>115</v>
      </c>
      <c r="C2334" s="116"/>
      <c r="D2334" s="116"/>
      <c r="E2334" s="116"/>
      <c r="F2334" s="116"/>
      <c r="G2334" s="119"/>
      <c r="H2334" s="947">
        <f>Master!AA64</f>
        <v>0</v>
      </c>
      <c r="I2334" s="945"/>
      <c r="J2334" s="945"/>
      <c r="K2334" s="945"/>
      <c r="L2334" s="946"/>
      <c r="M2334" s="16"/>
    </row>
    <row r="2335" spans="1:13" ht="30" customHeight="1">
      <c r="A2335" s="15"/>
      <c r="B2335" s="386" t="s">
        <v>116</v>
      </c>
      <c r="C2335" s="116"/>
      <c r="D2335" s="116"/>
      <c r="E2335" s="116"/>
      <c r="F2335" s="116"/>
      <c r="G2335" s="119"/>
      <c r="H2335" s="986" t="s">
        <v>28</v>
      </c>
      <c r="I2335" s="987"/>
      <c r="J2335" s="987"/>
      <c r="K2335" s="987"/>
      <c r="L2335" s="988"/>
      <c r="M2335" s="16"/>
    </row>
    <row r="2336" spans="1:13" ht="30" customHeight="1">
      <c r="A2336" s="15"/>
      <c r="B2336" s="386" t="s">
        <v>117</v>
      </c>
      <c r="C2336" s="116"/>
      <c r="D2336" s="116"/>
      <c r="E2336" s="116"/>
      <c r="F2336" s="116"/>
      <c r="G2336" s="119"/>
      <c r="H2336" s="989">
        <v>0</v>
      </c>
      <c r="I2336" s="990"/>
      <c r="J2336" s="990"/>
      <c r="K2336" s="990"/>
      <c r="L2336" s="991"/>
      <c r="M2336" s="16"/>
    </row>
    <row r="2337" spans="1:13" ht="30" customHeight="1">
      <c r="A2337" s="15"/>
      <c r="B2337" s="386" t="s">
        <v>118</v>
      </c>
      <c r="C2337" s="116"/>
      <c r="D2337" s="116"/>
      <c r="E2337" s="116"/>
      <c r="F2337" s="116"/>
      <c r="G2337" s="119"/>
      <c r="H2337" s="986">
        <v>0</v>
      </c>
      <c r="I2337" s="987"/>
      <c r="J2337" s="987"/>
      <c r="K2337" s="987"/>
      <c r="L2337" s="988"/>
      <c r="M2337" s="16"/>
    </row>
    <row r="2338" spans="1:13" ht="30" customHeight="1">
      <c r="A2338" s="15"/>
      <c r="B2338" s="386" t="s">
        <v>119</v>
      </c>
      <c r="C2338" s="116"/>
      <c r="D2338" s="116"/>
      <c r="E2338" s="116"/>
      <c r="F2338" s="116"/>
      <c r="G2338" s="119"/>
      <c r="H2338" s="117"/>
      <c r="I2338" s="118"/>
      <c r="J2338" s="990">
        <f>Master!AK64</f>
        <v>0</v>
      </c>
      <c r="K2338" s="992"/>
      <c r="L2338" s="581" t="s">
        <v>737</v>
      </c>
      <c r="M2338" s="16"/>
    </row>
    <row r="2339" spans="1:13" ht="30" customHeight="1">
      <c r="A2339" s="15"/>
      <c r="B2339" s="386" t="s">
        <v>120</v>
      </c>
      <c r="C2339" s="116"/>
      <c r="D2339" s="465" t="s">
        <v>24</v>
      </c>
      <c r="E2339" s="466">
        <f>Master!AM64</f>
        <v>0</v>
      </c>
      <c r="F2339" s="465" t="s">
        <v>23</v>
      </c>
      <c r="G2339" s="466">
        <f>Master!AL64</f>
        <v>0</v>
      </c>
      <c r="H2339" s="465" t="s">
        <v>25</v>
      </c>
      <c r="I2339" s="466">
        <f>Master!AN64</f>
        <v>0</v>
      </c>
      <c r="J2339" s="465" t="s">
        <v>26</v>
      </c>
      <c r="K2339" s="466">
        <f>Master!AO64</f>
        <v>0</v>
      </c>
      <c r="L2339" s="400">
        <f>Master!AP64</f>
        <v>0</v>
      </c>
      <c r="M2339" s="16"/>
    </row>
    <row r="2340" spans="1:13" ht="30" customHeight="1">
      <c r="A2340" s="15"/>
      <c r="B2340" s="386" t="s">
        <v>121</v>
      </c>
      <c r="C2340" s="116"/>
      <c r="D2340" s="116"/>
      <c r="E2340" s="116"/>
      <c r="F2340" s="116"/>
      <c r="G2340" s="119"/>
      <c r="H2340" s="117"/>
      <c r="I2340" s="118"/>
      <c r="J2340" s="541">
        <f>Master!AR64</f>
        <v>0</v>
      </c>
      <c r="K2340" s="118"/>
      <c r="L2340" s="125"/>
      <c r="M2340" s="16"/>
    </row>
    <row r="2341" spans="1:13">
      <c r="A2341" s="15"/>
      <c r="B2341" s="387" t="s">
        <v>122</v>
      </c>
      <c r="C2341" s="74"/>
      <c r="D2341" s="74"/>
      <c r="E2341" s="74"/>
      <c r="F2341" s="74"/>
      <c r="G2341" s="75"/>
      <c r="H2341" s="76"/>
      <c r="I2341" s="77"/>
      <c r="J2341" s="77"/>
      <c r="K2341" s="77"/>
      <c r="L2341" s="78"/>
      <c r="M2341" s="16"/>
    </row>
    <row r="2342" spans="1:13">
      <c r="A2342" s="15"/>
      <c r="B2342" s="388" t="s">
        <v>123</v>
      </c>
      <c r="C2342" s="79"/>
      <c r="D2342" s="79"/>
      <c r="E2342" s="79"/>
      <c r="F2342" s="79"/>
      <c r="G2342" s="80"/>
      <c r="H2342" s="60"/>
      <c r="I2342" s="19"/>
      <c r="J2342" s="19"/>
      <c r="K2342" s="19"/>
      <c r="L2342" s="81"/>
      <c r="M2342" s="16"/>
    </row>
    <row r="2343" spans="1:13">
      <c r="A2343" s="15"/>
      <c r="B2343" s="15"/>
      <c r="C2343" s="114"/>
      <c r="D2343" s="114"/>
      <c r="E2343" s="114"/>
      <c r="F2343" s="114"/>
      <c r="G2343" s="114"/>
      <c r="H2343" s="114"/>
      <c r="I2343" s="114"/>
      <c r="J2343" s="114"/>
      <c r="K2343" s="114"/>
      <c r="L2343" s="16"/>
      <c r="M2343" s="16"/>
    </row>
    <row r="2344" spans="1:13" ht="15" thickBot="1">
      <c r="A2344" s="27"/>
      <c r="B2344" s="27"/>
      <c r="C2344" s="25"/>
      <c r="D2344" s="25"/>
      <c r="E2344" s="25"/>
      <c r="F2344" s="25"/>
      <c r="G2344" s="25"/>
      <c r="H2344" s="25"/>
      <c r="I2344" s="25"/>
      <c r="J2344" s="25"/>
      <c r="K2344" s="25"/>
      <c r="L2344" s="26"/>
      <c r="M2344" s="26"/>
    </row>
    <row r="2345" spans="1:13">
      <c r="A2345" s="420"/>
      <c r="B2345" s="420"/>
      <c r="C2345" s="420"/>
      <c r="D2345" s="420"/>
      <c r="E2345" s="420"/>
      <c r="F2345" s="420"/>
      <c r="G2345" s="420"/>
      <c r="H2345" s="420"/>
      <c r="I2345" s="420"/>
      <c r="J2345" s="420"/>
      <c r="K2345" s="420"/>
      <c r="L2345" s="420"/>
      <c r="M2345" s="420"/>
    </row>
    <row r="2346" spans="1:13">
      <c r="A2346" s="420"/>
      <c r="B2346" s="420"/>
      <c r="C2346" s="420"/>
      <c r="D2346" s="420"/>
      <c r="E2346" s="420"/>
      <c r="F2346" s="420"/>
      <c r="G2346" s="420"/>
      <c r="H2346" s="420"/>
      <c r="I2346" s="420"/>
      <c r="J2346" s="420"/>
      <c r="K2346" s="420"/>
      <c r="L2346" s="420"/>
      <c r="M2346" s="420"/>
    </row>
    <row r="2347" spans="1:13">
      <c r="A2347" s="420"/>
      <c r="B2347" s="420"/>
      <c r="C2347" s="420"/>
      <c r="D2347" s="420"/>
      <c r="E2347" s="420"/>
      <c r="F2347" s="420"/>
      <c r="G2347" s="420"/>
      <c r="H2347" s="420"/>
      <c r="I2347" s="420"/>
      <c r="J2347" s="420"/>
      <c r="K2347" s="420"/>
      <c r="L2347" s="420"/>
      <c r="M2347" s="420"/>
    </row>
    <row r="2348" spans="1:13">
      <c r="A2348" s="420"/>
      <c r="B2348" s="420"/>
      <c r="C2348" s="420"/>
      <c r="D2348" s="420"/>
      <c r="E2348" s="420"/>
      <c r="F2348" s="420"/>
      <c r="G2348" s="420"/>
      <c r="H2348" s="420"/>
      <c r="I2348" s="420"/>
      <c r="J2348" s="420"/>
      <c r="K2348" s="420"/>
      <c r="L2348" s="420"/>
      <c r="M2348" s="420"/>
    </row>
    <row r="2349" spans="1:13" ht="15" thickBot="1">
      <c r="A2349" s="420"/>
      <c r="B2349" s="420"/>
      <c r="C2349" s="420"/>
      <c r="D2349" s="420"/>
      <c r="E2349" s="420"/>
      <c r="F2349" s="420"/>
      <c r="G2349" s="420"/>
      <c r="H2349" s="420"/>
      <c r="I2349" s="420"/>
      <c r="J2349" s="420"/>
      <c r="K2349" s="420"/>
      <c r="L2349" s="420"/>
      <c r="M2349" s="420"/>
    </row>
    <row r="2350" spans="1:13" ht="32.4">
      <c r="A2350" s="68"/>
      <c r="B2350" s="960" t="s">
        <v>99</v>
      </c>
      <c r="C2350" s="961"/>
      <c r="D2350" s="961"/>
      <c r="E2350" s="961"/>
      <c r="F2350" s="961"/>
      <c r="G2350" s="961"/>
      <c r="H2350" s="961"/>
      <c r="I2350" s="961"/>
      <c r="J2350" s="961"/>
      <c r="K2350" s="961"/>
      <c r="L2350" s="962"/>
      <c r="M2350" s="69"/>
    </row>
    <row r="2351" spans="1:13" ht="23.4">
      <c r="A2351" s="15"/>
      <c r="B2351" s="963" t="s">
        <v>100</v>
      </c>
      <c r="C2351" s="964"/>
      <c r="D2351" s="964"/>
      <c r="E2351" s="964"/>
      <c r="F2351" s="964"/>
      <c r="G2351" s="964"/>
      <c r="H2351" s="964"/>
      <c r="I2351" s="964"/>
      <c r="J2351" s="964"/>
      <c r="K2351" s="964"/>
      <c r="L2351" s="965"/>
      <c r="M2351" s="16"/>
    </row>
    <row r="2352" spans="1:13" ht="15.6">
      <c r="A2352" s="15"/>
      <c r="B2352" s="966" t="s">
        <v>1070</v>
      </c>
      <c r="C2352" s="967"/>
      <c r="D2352" s="967"/>
      <c r="E2352" s="967"/>
      <c r="F2352" s="967"/>
      <c r="G2352" s="967"/>
      <c r="H2352" s="968"/>
      <c r="I2352" s="968"/>
      <c r="J2352" s="968"/>
      <c r="K2352" s="968"/>
      <c r="L2352" s="969"/>
      <c r="M2352" s="16"/>
    </row>
    <row r="2353" spans="1:13">
      <c r="A2353" s="15"/>
      <c r="B2353" s="970" t="s">
        <v>101</v>
      </c>
      <c r="C2353" s="971"/>
      <c r="D2353" s="971"/>
      <c r="E2353" s="971"/>
      <c r="F2353" s="971"/>
      <c r="G2353" s="391"/>
      <c r="H2353" s="974" t="s">
        <v>102</v>
      </c>
      <c r="I2353" s="975"/>
      <c r="J2353" s="975"/>
      <c r="K2353" s="975"/>
      <c r="L2353" s="976"/>
      <c r="M2353" s="16"/>
    </row>
    <row r="2354" spans="1:13">
      <c r="A2354" s="15"/>
      <c r="B2354" s="972"/>
      <c r="C2354" s="973"/>
      <c r="D2354" s="973"/>
      <c r="E2354" s="973"/>
      <c r="F2354" s="973"/>
      <c r="G2354" s="395"/>
      <c r="H2354" s="977"/>
      <c r="I2354" s="978"/>
      <c r="J2354" s="978"/>
      <c r="K2354" s="978"/>
      <c r="L2354" s="979"/>
      <c r="M2354" s="16"/>
    </row>
    <row r="2355" spans="1:13">
      <c r="A2355" s="15"/>
      <c r="B2355" s="382"/>
      <c r="C2355" s="77"/>
      <c r="D2355" s="77"/>
      <c r="E2355" s="77"/>
      <c r="F2355" s="77"/>
      <c r="G2355" s="56"/>
      <c r="H2355" s="76"/>
      <c r="I2355" s="77"/>
      <c r="J2355" s="77"/>
      <c r="K2355" s="77"/>
      <c r="L2355" s="78"/>
      <c r="M2355" s="16"/>
    </row>
    <row r="2356" spans="1:13">
      <c r="A2356" s="15"/>
      <c r="B2356" s="378" t="str">
        <f>Master!F5</f>
        <v>GROTECH LANDSCAPE DEVELOPERS PVT. LTD.</v>
      </c>
      <c r="C2356" s="114"/>
      <c r="D2356" s="114"/>
      <c r="E2356" s="114"/>
      <c r="F2356" s="114"/>
      <c r="G2356" s="379"/>
      <c r="H2356" s="381" t="str">
        <f>Master!AN5</f>
        <v>GROTECH LANDSCAPE DEVELOPERS PVT. LTD.</v>
      </c>
      <c r="I2356" s="114"/>
      <c r="J2356" s="114"/>
      <c r="K2356" s="114"/>
      <c r="L2356" s="16"/>
      <c r="M2356" s="16"/>
    </row>
    <row r="2357" spans="1:13">
      <c r="A2357" s="15"/>
      <c r="B2357" s="15"/>
      <c r="C2357" s="114"/>
      <c r="D2357" s="114"/>
      <c r="E2357" s="114"/>
      <c r="F2357" s="114"/>
      <c r="G2357" s="379"/>
      <c r="H2357" s="380"/>
      <c r="I2357" s="114"/>
      <c r="J2357" s="114"/>
      <c r="K2357" s="114"/>
      <c r="L2357" s="16"/>
      <c r="M2357" s="16"/>
    </row>
    <row r="2358" spans="1:13">
      <c r="A2358" s="15"/>
      <c r="B2358" s="538" t="str">
        <f>Master!F6</f>
        <v>290/E, Khanapur Village, Gandipet Mandal, Ranga Reddy, Hyderabad-500075 T.S.</v>
      </c>
      <c r="C2358" s="114"/>
      <c r="D2358" s="114"/>
      <c r="E2358" s="114"/>
      <c r="F2358" s="114"/>
      <c r="G2358" s="379"/>
      <c r="H2358" s="539" t="str">
        <f>Master!AN6</f>
        <v>290/E, Khanapur Village, Gandipet Mandal, Ranga Reddy, Hyderabad-500075 T.S.</v>
      </c>
      <c r="I2358" s="114"/>
      <c r="J2358" s="114"/>
      <c r="K2358" s="114"/>
      <c r="L2358" s="16"/>
      <c r="M2358" s="16"/>
    </row>
    <row r="2359" spans="1:13">
      <c r="A2359" s="15"/>
      <c r="B2359" s="383"/>
      <c r="C2359" s="19"/>
      <c r="D2359" s="19"/>
      <c r="E2359" s="19"/>
      <c r="F2359" s="19"/>
      <c r="G2359" s="61"/>
      <c r="H2359" s="60"/>
      <c r="I2359" s="19"/>
      <c r="J2359" s="19"/>
      <c r="K2359" s="19"/>
      <c r="L2359" s="81"/>
      <c r="M2359" s="16"/>
    </row>
    <row r="2360" spans="1:13">
      <c r="A2360" s="15"/>
      <c r="B2360" s="389"/>
      <c r="C2360" s="390"/>
      <c r="D2360" s="390"/>
      <c r="E2360" s="390"/>
      <c r="F2360" s="390"/>
      <c r="G2360" s="391"/>
      <c r="H2360" s="396"/>
      <c r="I2360" s="390"/>
      <c r="J2360" s="390" t="s">
        <v>103</v>
      </c>
      <c r="K2360" s="390"/>
      <c r="L2360" s="397"/>
      <c r="M2360" s="16"/>
    </row>
    <row r="2361" spans="1:13">
      <c r="A2361" s="15"/>
      <c r="B2361" s="980" t="s">
        <v>104</v>
      </c>
      <c r="C2361" s="981"/>
      <c r="D2361" s="981"/>
      <c r="E2361" s="981"/>
      <c r="F2361" s="981"/>
      <c r="G2361" s="392"/>
      <c r="H2361" s="982" t="s">
        <v>4</v>
      </c>
      <c r="I2361" s="981"/>
      <c r="J2361" s="981"/>
      <c r="K2361" s="981"/>
      <c r="L2361" s="983"/>
      <c r="M2361" s="16"/>
    </row>
    <row r="2362" spans="1:13">
      <c r="A2362" s="15"/>
      <c r="B2362" s="393"/>
      <c r="C2362" s="394"/>
      <c r="D2362" s="394"/>
      <c r="E2362" s="394"/>
      <c r="F2362" s="394"/>
      <c r="G2362" s="395"/>
      <c r="H2362" s="398"/>
      <c r="I2362" s="394"/>
      <c r="J2362" s="394"/>
      <c r="K2362" s="394"/>
      <c r="L2362" s="399"/>
      <c r="M2362" s="16"/>
    </row>
    <row r="2363" spans="1:13">
      <c r="A2363" s="15"/>
      <c r="B2363" s="382"/>
      <c r="C2363" s="77"/>
      <c r="D2363" s="77"/>
      <c r="E2363" s="77"/>
      <c r="F2363" s="77"/>
      <c r="G2363" s="56"/>
      <c r="H2363" s="74"/>
      <c r="I2363" s="74"/>
      <c r="J2363" s="74"/>
      <c r="K2363" s="74"/>
      <c r="L2363" s="384"/>
      <c r="M2363" s="16"/>
    </row>
    <row r="2364" spans="1:13">
      <c r="A2364" s="15"/>
      <c r="B2364" s="15"/>
      <c r="C2364" s="114"/>
      <c r="D2364" s="114"/>
      <c r="E2364" s="114"/>
      <c r="F2364" s="114"/>
      <c r="G2364" s="379"/>
      <c r="H2364" s="115" t="str">
        <f>Master!AN10</f>
        <v>INDIAN SCHOOL OF BUSINESS</v>
      </c>
      <c r="I2364" s="115"/>
      <c r="J2364" s="115"/>
      <c r="K2364" s="115"/>
      <c r="L2364" s="71"/>
      <c r="M2364" s="16"/>
    </row>
    <row r="2365" spans="1:13">
      <c r="A2365" s="15"/>
      <c r="B2365" s="70" t="str">
        <f>Master!F8</f>
        <v>GARDENING SERVICES&amp;ISB HYDERABAD</v>
      </c>
      <c r="C2365" s="114"/>
      <c r="D2365" s="114"/>
      <c r="E2365" s="114"/>
      <c r="F2365" s="114"/>
      <c r="G2365" s="379"/>
      <c r="H2365" s="115"/>
      <c r="I2365" s="115"/>
      <c r="J2365" s="115"/>
      <c r="K2365" s="115"/>
      <c r="L2365" s="71"/>
      <c r="M2365" s="16"/>
    </row>
    <row r="2366" spans="1:13">
      <c r="A2366" s="15"/>
      <c r="B2366" s="15"/>
      <c r="C2366" s="114"/>
      <c r="D2366" s="114"/>
      <c r="E2366" s="114"/>
      <c r="F2366" s="114"/>
      <c r="G2366" s="379"/>
      <c r="H2366" s="115" t="str">
        <f>Master!AN11</f>
        <v>Opp.Infosys Limited,Gachibowli,Hyderabad</v>
      </c>
      <c r="I2366" s="115"/>
      <c r="J2366" s="115"/>
      <c r="K2366" s="115"/>
      <c r="L2366" s="71"/>
      <c r="M2366" s="16"/>
    </row>
    <row r="2367" spans="1:13">
      <c r="A2367" s="15"/>
      <c r="B2367" s="383"/>
      <c r="C2367" s="19"/>
      <c r="D2367" s="19"/>
      <c r="E2367" s="19"/>
      <c r="F2367" s="19"/>
      <c r="G2367" s="61"/>
      <c r="H2367" s="79"/>
      <c r="I2367" s="79"/>
      <c r="J2367" s="79"/>
      <c r="K2367" s="79"/>
      <c r="L2367" s="385"/>
      <c r="M2367" s="16"/>
    </row>
    <row r="2368" spans="1:13" ht="30" customHeight="1">
      <c r="A2368" s="15"/>
      <c r="B2368" s="948" t="s">
        <v>105</v>
      </c>
      <c r="C2368" s="949"/>
      <c r="D2368" s="949"/>
      <c r="E2368" s="949"/>
      <c r="F2368" s="949"/>
      <c r="G2368" s="949"/>
      <c r="H2368" s="950" t="e">
        <f>Master!#REF!</f>
        <v>#REF!</v>
      </c>
      <c r="I2368" s="951"/>
      <c r="J2368" s="951"/>
      <c r="K2368" s="951"/>
      <c r="L2368" s="952"/>
      <c r="M2368" s="16"/>
    </row>
    <row r="2369" spans="1:13" ht="30" customHeight="1">
      <c r="A2369" s="15"/>
      <c r="B2369" s="948"/>
      <c r="C2369" s="949"/>
      <c r="D2369" s="949"/>
      <c r="E2369" s="949"/>
      <c r="F2369" s="949"/>
      <c r="G2369" s="949"/>
      <c r="H2369" s="950" t="e">
        <f>Master!#REF!</f>
        <v>#REF!</v>
      </c>
      <c r="I2369" s="951"/>
      <c r="J2369" s="951"/>
      <c r="K2369" s="951"/>
      <c r="L2369" s="952"/>
      <c r="M2369" s="16"/>
    </row>
    <row r="2370" spans="1:13" ht="30" customHeight="1">
      <c r="A2370" s="15"/>
      <c r="B2370" s="948"/>
      <c r="C2370" s="949"/>
      <c r="D2370" s="949"/>
      <c r="E2370" s="949"/>
      <c r="F2370" s="949"/>
      <c r="G2370" s="949"/>
      <c r="H2370" s="950" t="e">
        <f>Master!#REF!</f>
        <v>#REF!</v>
      </c>
      <c r="I2370" s="951"/>
      <c r="J2370" s="951"/>
      <c r="K2370" s="951"/>
      <c r="L2370" s="952"/>
      <c r="M2370" s="16"/>
    </row>
    <row r="2371" spans="1:13" ht="30" customHeight="1">
      <c r="A2371" s="15"/>
      <c r="B2371" s="948"/>
      <c r="C2371" s="949"/>
      <c r="D2371" s="949"/>
      <c r="E2371" s="949"/>
      <c r="F2371" s="949"/>
      <c r="G2371" s="949"/>
      <c r="H2371" s="950" t="e">
        <f>Master!#REF!</f>
        <v>#REF!</v>
      </c>
      <c r="I2371" s="951"/>
      <c r="J2371" s="951"/>
      <c r="K2371" s="951"/>
      <c r="L2371" s="952"/>
      <c r="M2371" s="16"/>
    </row>
    <row r="2372" spans="1:13" ht="30" customHeight="1">
      <c r="A2372" s="73"/>
      <c r="B2372" s="948"/>
      <c r="C2372" s="949"/>
      <c r="D2372" s="949"/>
      <c r="E2372" s="949"/>
      <c r="F2372" s="949"/>
      <c r="G2372" s="949"/>
      <c r="H2372" s="989" t="e">
        <f>Master!#REF!</f>
        <v>#REF!</v>
      </c>
      <c r="I2372" s="990"/>
      <c r="J2372" s="990"/>
      <c r="K2372" s="990"/>
      <c r="L2372" s="991"/>
      <c r="M2372" s="16"/>
    </row>
    <row r="2373" spans="1:13" ht="30" customHeight="1">
      <c r="A2373" s="73"/>
      <c r="B2373" s="984" t="s">
        <v>106</v>
      </c>
      <c r="C2373" s="985"/>
      <c r="D2373" s="985"/>
      <c r="E2373" s="985"/>
      <c r="F2373" s="985"/>
      <c r="G2373" s="985"/>
      <c r="H2373" s="947" t="e">
        <f>Master!#REF!</f>
        <v>#REF!</v>
      </c>
      <c r="I2373" s="945"/>
      <c r="J2373" s="945"/>
      <c r="K2373" s="945"/>
      <c r="L2373" s="946"/>
      <c r="M2373" s="16"/>
    </row>
    <row r="2374" spans="1:13" ht="30" customHeight="1">
      <c r="A2374" s="73"/>
      <c r="B2374" s="943" t="s">
        <v>107</v>
      </c>
      <c r="C2374" s="944"/>
      <c r="D2374" s="944"/>
      <c r="E2374" s="944"/>
      <c r="F2374" s="944"/>
      <c r="G2374" s="944"/>
      <c r="H2374" s="947" t="e">
        <f>Master!#REF!</f>
        <v>#REF!</v>
      </c>
      <c r="I2374" s="945"/>
      <c r="J2374" s="945"/>
      <c r="K2374" s="945"/>
      <c r="L2374" s="946"/>
      <c r="M2374" s="16"/>
    </row>
    <row r="2375" spans="1:13" ht="30" customHeight="1">
      <c r="A2375" s="73"/>
      <c r="B2375" s="943" t="s">
        <v>108</v>
      </c>
      <c r="C2375" s="944"/>
      <c r="D2375" s="944"/>
      <c r="E2375" s="944"/>
      <c r="F2375" s="944"/>
      <c r="G2375" s="944"/>
      <c r="H2375" s="957" t="e">
        <f>Master!#REF!</f>
        <v>#REF!</v>
      </c>
      <c r="I2375" s="958"/>
      <c r="J2375" s="958"/>
      <c r="K2375" s="958"/>
      <c r="L2375" s="959"/>
      <c r="M2375" s="16"/>
    </row>
    <row r="2376" spans="1:13" ht="30" customHeight="1">
      <c r="A2376" s="73"/>
      <c r="B2376" s="386" t="s">
        <v>109</v>
      </c>
      <c r="C2376" s="116"/>
      <c r="D2376" s="116"/>
      <c r="E2376" s="116"/>
      <c r="F2376" s="116"/>
      <c r="G2376" s="116"/>
      <c r="H2376" s="947" t="e">
        <f>Master!#REF!</f>
        <v>#REF!</v>
      </c>
      <c r="I2376" s="947"/>
      <c r="J2376" s="947"/>
      <c r="K2376" s="947"/>
      <c r="L2376" s="953"/>
      <c r="M2376" s="16"/>
    </row>
    <row r="2377" spans="1:13" ht="30" customHeight="1">
      <c r="A2377" s="73"/>
      <c r="B2377" s="386" t="s">
        <v>110</v>
      </c>
      <c r="C2377" s="116"/>
      <c r="D2377" s="116"/>
      <c r="E2377" s="116"/>
      <c r="F2377" s="116"/>
      <c r="G2377" s="119"/>
      <c r="H2377" s="947" t="e">
        <f>Master!#REF!</f>
        <v>#REF!</v>
      </c>
      <c r="I2377" s="947"/>
      <c r="J2377" s="947"/>
      <c r="K2377" s="947"/>
      <c r="L2377" s="953"/>
      <c r="M2377" s="16"/>
    </row>
    <row r="2378" spans="1:13" ht="30" customHeight="1">
      <c r="A2378" s="73"/>
      <c r="B2378" s="954" t="s">
        <v>111</v>
      </c>
      <c r="C2378" s="955"/>
      <c r="D2378" s="955"/>
      <c r="E2378" s="955"/>
      <c r="F2378" s="955"/>
      <c r="G2378" s="955"/>
      <c r="H2378" s="950" t="e">
        <f>Master!#REF!</f>
        <v>#REF!</v>
      </c>
      <c r="I2378" s="951"/>
      <c r="J2378" s="951"/>
      <c r="K2378" s="951"/>
      <c r="L2378" s="952"/>
      <c r="M2378" s="16"/>
    </row>
    <row r="2379" spans="1:13" ht="30" customHeight="1">
      <c r="A2379" s="73"/>
      <c r="B2379" s="943" t="s">
        <v>112</v>
      </c>
      <c r="C2379" s="944"/>
      <c r="D2379" s="944"/>
      <c r="E2379" s="944"/>
      <c r="F2379" s="944"/>
      <c r="G2379" s="944"/>
      <c r="H2379" s="956">
        <f>Master!F10</f>
        <v>44652</v>
      </c>
      <c r="I2379" s="945"/>
      <c r="J2379" s="945"/>
      <c r="K2379" s="945"/>
      <c r="L2379" s="946"/>
      <c r="M2379" s="16"/>
    </row>
    <row r="2380" spans="1:13" ht="30" customHeight="1">
      <c r="A2380" s="15"/>
      <c r="B2380" s="943" t="s">
        <v>113</v>
      </c>
      <c r="C2380" s="944"/>
      <c r="D2380" s="944"/>
      <c r="E2380" s="944"/>
      <c r="F2380" s="944"/>
      <c r="G2380" s="944"/>
      <c r="H2380" s="945" t="s">
        <v>114</v>
      </c>
      <c r="I2380" s="945"/>
      <c r="J2380" s="945"/>
      <c r="K2380" s="945"/>
      <c r="L2380" s="946"/>
      <c r="M2380" s="16"/>
    </row>
    <row r="2381" spans="1:13" ht="30" customHeight="1">
      <c r="A2381" s="15"/>
      <c r="B2381" s="386" t="s">
        <v>115</v>
      </c>
      <c r="C2381" s="116"/>
      <c r="D2381" s="116"/>
      <c r="E2381" s="116"/>
      <c r="F2381" s="116"/>
      <c r="G2381" s="119"/>
      <c r="H2381" s="947" t="e">
        <f>Master!#REF!</f>
        <v>#REF!</v>
      </c>
      <c r="I2381" s="945"/>
      <c r="J2381" s="945"/>
      <c r="K2381" s="945"/>
      <c r="L2381" s="946"/>
      <c r="M2381" s="16"/>
    </row>
    <row r="2382" spans="1:13" ht="30" customHeight="1">
      <c r="A2382" s="15"/>
      <c r="B2382" s="386" t="s">
        <v>116</v>
      </c>
      <c r="C2382" s="116"/>
      <c r="D2382" s="116"/>
      <c r="E2382" s="116"/>
      <c r="F2382" s="116"/>
      <c r="G2382" s="119"/>
      <c r="H2382" s="986" t="s">
        <v>28</v>
      </c>
      <c r="I2382" s="987"/>
      <c r="J2382" s="987"/>
      <c r="K2382" s="987"/>
      <c r="L2382" s="988"/>
      <c r="M2382" s="16"/>
    </row>
    <row r="2383" spans="1:13" ht="30" customHeight="1">
      <c r="A2383" s="15"/>
      <c r="B2383" s="386" t="s">
        <v>117</v>
      </c>
      <c r="C2383" s="116"/>
      <c r="D2383" s="116"/>
      <c r="E2383" s="116"/>
      <c r="F2383" s="116"/>
      <c r="G2383" s="119"/>
      <c r="H2383" s="989">
        <v>0</v>
      </c>
      <c r="I2383" s="990"/>
      <c r="J2383" s="990"/>
      <c r="K2383" s="990"/>
      <c r="L2383" s="991"/>
      <c r="M2383" s="16"/>
    </row>
    <row r="2384" spans="1:13" ht="30" customHeight="1">
      <c r="A2384" s="15"/>
      <c r="B2384" s="386" t="s">
        <v>118</v>
      </c>
      <c r="C2384" s="116"/>
      <c r="D2384" s="116"/>
      <c r="E2384" s="116"/>
      <c r="F2384" s="116"/>
      <c r="G2384" s="119"/>
      <c r="H2384" s="986">
        <v>0</v>
      </c>
      <c r="I2384" s="987"/>
      <c r="J2384" s="987"/>
      <c r="K2384" s="987"/>
      <c r="L2384" s="988"/>
      <c r="M2384" s="16"/>
    </row>
    <row r="2385" spans="1:13" ht="30" customHeight="1">
      <c r="A2385" s="15"/>
      <c r="B2385" s="386" t="s">
        <v>119</v>
      </c>
      <c r="C2385" s="116"/>
      <c r="D2385" s="116"/>
      <c r="E2385" s="116"/>
      <c r="F2385" s="116"/>
      <c r="G2385" s="119"/>
      <c r="H2385" s="117"/>
      <c r="I2385" s="118"/>
      <c r="J2385" s="990" t="e">
        <f>Master!#REF!</f>
        <v>#REF!</v>
      </c>
      <c r="K2385" s="992"/>
      <c r="L2385" s="581" t="s">
        <v>737</v>
      </c>
      <c r="M2385" s="16"/>
    </row>
    <row r="2386" spans="1:13" ht="30" customHeight="1">
      <c r="A2386" s="15"/>
      <c r="B2386" s="386" t="s">
        <v>120</v>
      </c>
      <c r="C2386" s="116"/>
      <c r="D2386" s="465" t="s">
        <v>24</v>
      </c>
      <c r="E2386" s="466" t="e">
        <f>Master!#REF!</f>
        <v>#REF!</v>
      </c>
      <c r="F2386" s="465" t="s">
        <v>23</v>
      </c>
      <c r="G2386" s="466" t="e">
        <f>Master!#REF!</f>
        <v>#REF!</v>
      </c>
      <c r="H2386" s="465" t="s">
        <v>25</v>
      </c>
      <c r="I2386" s="466" t="e">
        <f>Master!#REF!</f>
        <v>#REF!</v>
      </c>
      <c r="J2386" s="465" t="s">
        <v>26</v>
      </c>
      <c r="K2386" s="466" t="e">
        <f>Master!#REF!</f>
        <v>#REF!</v>
      </c>
      <c r="L2386" s="400" t="e">
        <f>Master!#REF!</f>
        <v>#REF!</v>
      </c>
      <c r="M2386" s="16"/>
    </row>
    <row r="2387" spans="1:13" ht="30" customHeight="1">
      <c r="A2387" s="15"/>
      <c r="B2387" s="386" t="s">
        <v>121</v>
      </c>
      <c r="C2387" s="116"/>
      <c r="D2387" s="116"/>
      <c r="E2387" s="116"/>
      <c r="F2387" s="116"/>
      <c r="G2387" s="119"/>
      <c r="H2387" s="117"/>
      <c r="I2387" s="118"/>
      <c r="J2387" s="541" t="e">
        <f>Master!#REF!</f>
        <v>#REF!</v>
      </c>
      <c r="K2387" s="118"/>
      <c r="L2387" s="125"/>
      <c r="M2387" s="16"/>
    </row>
    <row r="2388" spans="1:13">
      <c r="A2388" s="15"/>
      <c r="B2388" s="387" t="s">
        <v>122</v>
      </c>
      <c r="C2388" s="74"/>
      <c r="D2388" s="74"/>
      <c r="E2388" s="74"/>
      <c r="F2388" s="74"/>
      <c r="G2388" s="75"/>
      <c r="H2388" s="76"/>
      <c r="I2388" s="77"/>
      <c r="J2388" s="77"/>
      <c r="K2388" s="77"/>
      <c r="L2388" s="78"/>
      <c r="M2388" s="16"/>
    </row>
    <row r="2389" spans="1:13">
      <c r="A2389" s="15"/>
      <c r="B2389" s="388" t="s">
        <v>123</v>
      </c>
      <c r="C2389" s="79"/>
      <c r="D2389" s="79"/>
      <c r="E2389" s="79"/>
      <c r="F2389" s="79"/>
      <c r="G2389" s="80"/>
      <c r="H2389" s="60"/>
      <c r="I2389" s="19"/>
      <c r="J2389" s="19"/>
      <c r="K2389" s="19"/>
      <c r="L2389" s="81"/>
      <c r="M2389" s="16"/>
    </row>
    <row r="2390" spans="1:13">
      <c r="A2390" s="15"/>
      <c r="B2390" s="15"/>
      <c r="C2390" s="114"/>
      <c r="D2390" s="114"/>
      <c r="E2390" s="114"/>
      <c r="F2390" s="114"/>
      <c r="G2390" s="114"/>
      <c r="H2390" s="114"/>
      <c r="I2390" s="114"/>
      <c r="J2390" s="114"/>
      <c r="K2390" s="114"/>
      <c r="L2390" s="16"/>
      <c r="M2390" s="16"/>
    </row>
    <row r="2391" spans="1:13" ht="15" thickBot="1">
      <c r="A2391" s="27"/>
      <c r="B2391" s="27"/>
      <c r="C2391" s="25"/>
      <c r="D2391" s="25"/>
      <c r="E2391" s="25"/>
      <c r="F2391" s="25"/>
      <c r="G2391" s="25"/>
      <c r="H2391" s="25"/>
      <c r="I2391" s="25"/>
      <c r="J2391" s="25"/>
      <c r="K2391" s="25"/>
      <c r="L2391" s="26"/>
      <c r="M2391" s="26"/>
    </row>
    <row r="2392" spans="1:13">
      <c r="A2392" s="420"/>
      <c r="B2392" s="420"/>
      <c r="C2392" s="420"/>
      <c r="D2392" s="420"/>
      <c r="E2392" s="420"/>
      <c r="F2392" s="420"/>
      <c r="G2392" s="420"/>
      <c r="H2392" s="420"/>
      <c r="I2392" s="420"/>
      <c r="J2392" s="420"/>
      <c r="K2392" s="420"/>
      <c r="L2392" s="420"/>
      <c r="M2392" s="420"/>
    </row>
    <row r="2393" spans="1:13">
      <c r="A2393" s="420"/>
      <c r="B2393" s="420"/>
      <c r="C2393" s="420"/>
      <c r="D2393" s="420"/>
      <c r="E2393" s="420"/>
      <c r="F2393" s="420"/>
      <c r="G2393" s="420"/>
      <c r="H2393" s="420"/>
      <c r="I2393" s="420"/>
      <c r="J2393" s="420"/>
      <c r="K2393" s="420"/>
      <c r="L2393" s="420"/>
      <c r="M2393" s="420"/>
    </row>
    <row r="2394" spans="1:13">
      <c r="A2394" s="420"/>
      <c r="B2394" s="420"/>
      <c r="C2394" s="420"/>
      <c r="D2394" s="420"/>
      <c r="E2394" s="420"/>
      <c r="F2394" s="420"/>
      <c r="G2394" s="420"/>
      <c r="H2394" s="420"/>
      <c r="I2394" s="420"/>
      <c r="J2394" s="420"/>
      <c r="K2394" s="420"/>
      <c r="L2394" s="420"/>
      <c r="M2394" s="420"/>
    </row>
    <row r="2395" spans="1:13">
      <c r="A2395" s="420"/>
      <c r="B2395" s="420"/>
      <c r="C2395" s="420"/>
      <c r="D2395" s="420"/>
      <c r="E2395" s="420"/>
      <c r="F2395" s="420"/>
      <c r="G2395" s="420"/>
      <c r="H2395" s="420"/>
      <c r="I2395" s="420"/>
      <c r="J2395" s="420"/>
      <c r="K2395" s="420"/>
      <c r="L2395" s="420"/>
      <c r="M2395" s="420"/>
    </row>
    <row r="2396" spans="1:13" ht="15" thickBot="1">
      <c r="A2396" s="420"/>
      <c r="B2396" s="420"/>
      <c r="C2396" s="420"/>
      <c r="D2396" s="420"/>
      <c r="E2396" s="420"/>
      <c r="F2396" s="420"/>
      <c r="G2396" s="420"/>
      <c r="H2396" s="420"/>
      <c r="I2396" s="420"/>
      <c r="J2396" s="420"/>
      <c r="K2396" s="420"/>
      <c r="L2396" s="420"/>
      <c r="M2396" s="420"/>
    </row>
    <row r="2397" spans="1:13" ht="32.4">
      <c r="A2397" s="68"/>
      <c r="B2397" s="960" t="s">
        <v>99</v>
      </c>
      <c r="C2397" s="961"/>
      <c r="D2397" s="961"/>
      <c r="E2397" s="961"/>
      <c r="F2397" s="961"/>
      <c r="G2397" s="961"/>
      <c r="H2397" s="961"/>
      <c r="I2397" s="961"/>
      <c r="J2397" s="961"/>
      <c r="K2397" s="961"/>
      <c r="L2397" s="962"/>
      <c r="M2397" s="69"/>
    </row>
    <row r="2398" spans="1:13" ht="23.4">
      <c r="A2398" s="15"/>
      <c r="B2398" s="963" t="s">
        <v>100</v>
      </c>
      <c r="C2398" s="964"/>
      <c r="D2398" s="964"/>
      <c r="E2398" s="964"/>
      <c r="F2398" s="964"/>
      <c r="G2398" s="964"/>
      <c r="H2398" s="964"/>
      <c r="I2398" s="964"/>
      <c r="J2398" s="964"/>
      <c r="K2398" s="964"/>
      <c r="L2398" s="965"/>
      <c r="M2398" s="16"/>
    </row>
    <row r="2399" spans="1:13" ht="15.6">
      <c r="A2399" s="15"/>
      <c r="B2399" s="966" t="s">
        <v>1070</v>
      </c>
      <c r="C2399" s="967"/>
      <c r="D2399" s="967"/>
      <c r="E2399" s="967"/>
      <c r="F2399" s="967"/>
      <c r="G2399" s="967"/>
      <c r="H2399" s="968"/>
      <c r="I2399" s="968"/>
      <c r="J2399" s="968"/>
      <c r="K2399" s="968"/>
      <c r="L2399" s="969"/>
      <c r="M2399" s="16"/>
    </row>
    <row r="2400" spans="1:13">
      <c r="A2400" s="15"/>
      <c r="B2400" s="970" t="s">
        <v>101</v>
      </c>
      <c r="C2400" s="971"/>
      <c r="D2400" s="971"/>
      <c r="E2400" s="971"/>
      <c r="F2400" s="971"/>
      <c r="G2400" s="391"/>
      <c r="H2400" s="974" t="s">
        <v>102</v>
      </c>
      <c r="I2400" s="975"/>
      <c r="J2400" s="975"/>
      <c r="K2400" s="975"/>
      <c r="L2400" s="976"/>
      <c r="M2400" s="16"/>
    </row>
    <row r="2401" spans="1:13">
      <c r="A2401" s="15"/>
      <c r="B2401" s="972"/>
      <c r="C2401" s="973"/>
      <c r="D2401" s="973"/>
      <c r="E2401" s="973"/>
      <c r="F2401" s="973"/>
      <c r="G2401" s="395"/>
      <c r="H2401" s="977"/>
      <c r="I2401" s="978"/>
      <c r="J2401" s="978"/>
      <c r="K2401" s="978"/>
      <c r="L2401" s="979"/>
      <c r="M2401" s="16"/>
    </row>
    <row r="2402" spans="1:13">
      <c r="A2402" s="15"/>
      <c r="B2402" s="382"/>
      <c r="C2402" s="77"/>
      <c r="D2402" s="77"/>
      <c r="E2402" s="77"/>
      <c r="F2402" s="77"/>
      <c r="G2402" s="56"/>
      <c r="H2402" s="76"/>
      <c r="I2402" s="77"/>
      <c r="J2402" s="77"/>
      <c r="K2402" s="77"/>
      <c r="L2402" s="78"/>
      <c r="M2402" s="16"/>
    </row>
    <row r="2403" spans="1:13">
      <c r="A2403" s="15"/>
      <c r="B2403" s="378" t="str">
        <f>Master!F5</f>
        <v>GROTECH LANDSCAPE DEVELOPERS PVT. LTD.</v>
      </c>
      <c r="C2403" s="114"/>
      <c r="D2403" s="114"/>
      <c r="E2403" s="114"/>
      <c r="F2403" s="114"/>
      <c r="G2403" s="379"/>
      <c r="H2403" s="381" t="str">
        <f>Master!AN5</f>
        <v>GROTECH LANDSCAPE DEVELOPERS PVT. LTD.</v>
      </c>
      <c r="I2403" s="114"/>
      <c r="J2403" s="114"/>
      <c r="K2403" s="114"/>
      <c r="L2403" s="16"/>
      <c r="M2403" s="16"/>
    </row>
    <row r="2404" spans="1:13">
      <c r="A2404" s="15"/>
      <c r="B2404" s="15"/>
      <c r="C2404" s="114"/>
      <c r="D2404" s="114"/>
      <c r="E2404" s="114"/>
      <c r="F2404" s="114"/>
      <c r="G2404" s="379"/>
      <c r="H2404" s="380"/>
      <c r="I2404" s="114"/>
      <c r="J2404" s="114"/>
      <c r="K2404" s="114"/>
      <c r="L2404" s="16"/>
      <c r="M2404" s="16"/>
    </row>
    <row r="2405" spans="1:13">
      <c r="A2405" s="15"/>
      <c r="B2405" s="538" t="str">
        <f>Master!F6</f>
        <v>290/E, Khanapur Village, Gandipet Mandal, Ranga Reddy, Hyderabad-500075 T.S.</v>
      </c>
      <c r="C2405" s="114"/>
      <c r="D2405" s="114"/>
      <c r="E2405" s="114"/>
      <c r="F2405" s="114"/>
      <c r="G2405" s="379"/>
      <c r="H2405" s="539" t="str">
        <f>Master!AN6</f>
        <v>290/E, Khanapur Village, Gandipet Mandal, Ranga Reddy, Hyderabad-500075 T.S.</v>
      </c>
      <c r="I2405" s="114"/>
      <c r="J2405" s="114"/>
      <c r="K2405" s="114"/>
      <c r="L2405" s="16"/>
      <c r="M2405" s="16"/>
    </row>
    <row r="2406" spans="1:13">
      <c r="A2406" s="15"/>
      <c r="B2406" s="383"/>
      <c r="C2406" s="19"/>
      <c r="D2406" s="19"/>
      <c r="E2406" s="19"/>
      <c r="F2406" s="19"/>
      <c r="G2406" s="61"/>
      <c r="H2406" s="60"/>
      <c r="I2406" s="19"/>
      <c r="J2406" s="19"/>
      <c r="K2406" s="19"/>
      <c r="L2406" s="81"/>
      <c r="M2406" s="16"/>
    </row>
    <row r="2407" spans="1:13">
      <c r="A2407" s="15"/>
      <c r="B2407" s="389"/>
      <c r="C2407" s="390"/>
      <c r="D2407" s="390"/>
      <c r="E2407" s="390"/>
      <c r="F2407" s="390"/>
      <c r="G2407" s="391"/>
      <c r="H2407" s="396"/>
      <c r="I2407" s="390"/>
      <c r="J2407" s="390" t="s">
        <v>103</v>
      </c>
      <c r="K2407" s="390"/>
      <c r="L2407" s="397"/>
      <c r="M2407" s="16"/>
    </row>
    <row r="2408" spans="1:13">
      <c r="A2408" s="15"/>
      <c r="B2408" s="980" t="s">
        <v>104</v>
      </c>
      <c r="C2408" s="981"/>
      <c r="D2408" s="981"/>
      <c r="E2408" s="981"/>
      <c r="F2408" s="981"/>
      <c r="G2408" s="392"/>
      <c r="H2408" s="982" t="s">
        <v>4</v>
      </c>
      <c r="I2408" s="981"/>
      <c r="J2408" s="981"/>
      <c r="K2408" s="981"/>
      <c r="L2408" s="983"/>
      <c r="M2408" s="16"/>
    </row>
    <row r="2409" spans="1:13">
      <c r="A2409" s="15"/>
      <c r="B2409" s="393"/>
      <c r="C2409" s="394"/>
      <c r="D2409" s="394"/>
      <c r="E2409" s="394"/>
      <c r="F2409" s="394"/>
      <c r="G2409" s="395"/>
      <c r="H2409" s="398"/>
      <c r="I2409" s="394"/>
      <c r="J2409" s="394"/>
      <c r="K2409" s="394"/>
      <c r="L2409" s="399"/>
      <c r="M2409" s="16"/>
    </row>
    <row r="2410" spans="1:13">
      <c r="A2410" s="15"/>
      <c r="B2410" s="382"/>
      <c r="C2410" s="77"/>
      <c r="D2410" s="77"/>
      <c r="E2410" s="77"/>
      <c r="F2410" s="77"/>
      <c r="G2410" s="56"/>
      <c r="H2410" s="74"/>
      <c r="I2410" s="74"/>
      <c r="J2410" s="74"/>
      <c r="K2410" s="74"/>
      <c r="L2410" s="384"/>
      <c r="M2410" s="16"/>
    </row>
    <row r="2411" spans="1:13">
      <c r="A2411" s="15"/>
      <c r="B2411" s="15"/>
      <c r="C2411" s="114"/>
      <c r="D2411" s="114"/>
      <c r="E2411" s="114"/>
      <c r="F2411" s="114"/>
      <c r="G2411" s="379"/>
      <c r="H2411" s="115" t="str">
        <f>Master!AN10</f>
        <v>INDIAN SCHOOL OF BUSINESS</v>
      </c>
      <c r="I2411" s="115"/>
      <c r="J2411" s="115"/>
      <c r="K2411" s="115"/>
      <c r="L2411" s="71"/>
      <c r="M2411" s="16"/>
    </row>
    <row r="2412" spans="1:13">
      <c r="A2412" s="15"/>
      <c r="B2412" s="70" t="str">
        <f>Master!F8</f>
        <v>GARDENING SERVICES&amp;ISB HYDERABAD</v>
      </c>
      <c r="C2412" s="114"/>
      <c r="D2412" s="114"/>
      <c r="E2412" s="114"/>
      <c r="F2412" s="114"/>
      <c r="G2412" s="379"/>
      <c r="H2412" s="115"/>
      <c r="I2412" s="115"/>
      <c r="J2412" s="115"/>
      <c r="K2412" s="115"/>
      <c r="L2412" s="71"/>
      <c r="M2412" s="16"/>
    </row>
    <row r="2413" spans="1:13">
      <c r="A2413" s="15"/>
      <c r="B2413" s="15"/>
      <c r="C2413" s="114"/>
      <c r="D2413" s="114"/>
      <c r="E2413" s="114"/>
      <c r="F2413" s="114"/>
      <c r="G2413" s="379"/>
      <c r="H2413" s="115" t="str">
        <f>Master!AN11</f>
        <v>Opp.Infosys Limited,Gachibowli,Hyderabad</v>
      </c>
      <c r="I2413" s="115"/>
      <c r="J2413" s="115"/>
      <c r="K2413" s="115"/>
      <c r="L2413" s="71"/>
      <c r="M2413" s="16"/>
    </row>
    <row r="2414" spans="1:13">
      <c r="A2414" s="15"/>
      <c r="B2414" s="383"/>
      <c r="C2414" s="19"/>
      <c r="D2414" s="19"/>
      <c r="E2414" s="19"/>
      <c r="F2414" s="19"/>
      <c r="G2414" s="61"/>
      <c r="H2414" s="79"/>
      <c r="I2414" s="79"/>
      <c r="J2414" s="79"/>
      <c r="K2414" s="79"/>
      <c r="L2414" s="385"/>
      <c r="M2414" s="16"/>
    </row>
    <row r="2415" spans="1:13" ht="30" customHeight="1">
      <c r="A2415" s="15"/>
      <c r="B2415" s="948" t="s">
        <v>105</v>
      </c>
      <c r="C2415" s="949"/>
      <c r="D2415" s="949"/>
      <c r="E2415" s="949"/>
      <c r="F2415" s="949"/>
      <c r="G2415" s="949"/>
      <c r="H2415" s="950" t="e">
        <f>Master!#REF!</f>
        <v>#REF!</v>
      </c>
      <c r="I2415" s="951"/>
      <c r="J2415" s="951"/>
      <c r="K2415" s="951"/>
      <c r="L2415" s="952"/>
      <c r="M2415" s="16"/>
    </row>
    <row r="2416" spans="1:13" ht="30" customHeight="1">
      <c r="A2416" s="15"/>
      <c r="B2416" s="948"/>
      <c r="C2416" s="949"/>
      <c r="D2416" s="949"/>
      <c r="E2416" s="949"/>
      <c r="F2416" s="949"/>
      <c r="G2416" s="949"/>
      <c r="H2416" s="950" t="e">
        <f>Master!#REF!</f>
        <v>#REF!</v>
      </c>
      <c r="I2416" s="951"/>
      <c r="J2416" s="951"/>
      <c r="K2416" s="951"/>
      <c r="L2416" s="952"/>
      <c r="M2416" s="16"/>
    </row>
    <row r="2417" spans="1:13" ht="30" customHeight="1">
      <c r="A2417" s="15"/>
      <c r="B2417" s="948"/>
      <c r="C2417" s="949"/>
      <c r="D2417" s="949"/>
      <c r="E2417" s="949"/>
      <c r="F2417" s="949"/>
      <c r="G2417" s="949"/>
      <c r="H2417" s="950" t="e">
        <f>Master!#REF!</f>
        <v>#REF!</v>
      </c>
      <c r="I2417" s="951"/>
      <c r="J2417" s="951"/>
      <c r="K2417" s="951"/>
      <c r="L2417" s="952"/>
      <c r="M2417" s="16"/>
    </row>
    <row r="2418" spans="1:13" ht="30" customHeight="1">
      <c r="A2418" s="15"/>
      <c r="B2418" s="948"/>
      <c r="C2418" s="949"/>
      <c r="D2418" s="949"/>
      <c r="E2418" s="949"/>
      <c r="F2418" s="949"/>
      <c r="G2418" s="949"/>
      <c r="H2418" s="950" t="e">
        <f>Master!#REF!</f>
        <v>#REF!</v>
      </c>
      <c r="I2418" s="951"/>
      <c r="J2418" s="951"/>
      <c r="K2418" s="951"/>
      <c r="L2418" s="952"/>
      <c r="M2418" s="16"/>
    </row>
    <row r="2419" spans="1:13" ht="30" customHeight="1">
      <c r="A2419" s="73"/>
      <c r="B2419" s="948"/>
      <c r="C2419" s="949"/>
      <c r="D2419" s="949"/>
      <c r="E2419" s="949"/>
      <c r="F2419" s="949"/>
      <c r="G2419" s="949"/>
      <c r="H2419" s="989" t="e">
        <f>Master!#REF!</f>
        <v>#REF!</v>
      </c>
      <c r="I2419" s="990"/>
      <c r="J2419" s="990"/>
      <c r="K2419" s="990"/>
      <c r="L2419" s="991"/>
      <c r="M2419" s="16"/>
    </row>
    <row r="2420" spans="1:13" ht="30" customHeight="1">
      <c r="A2420" s="73"/>
      <c r="B2420" s="984" t="s">
        <v>106</v>
      </c>
      <c r="C2420" s="985"/>
      <c r="D2420" s="985"/>
      <c r="E2420" s="985"/>
      <c r="F2420" s="985"/>
      <c r="G2420" s="985"/>
      <c r="H2420" s="947" t="e">
        <f>Master!#REF!</f>
        <v>#REF!</v>
      </c>
      <c r="I2420" s="945"/>
      <c r="J2420" s="945"/>
      <c r="K2420" s="945"/>
      <c r="L2420" s="946"/>
      <c r="M2420" s="16"/>
    </row>
    <row r="2421" spans="1:13" ht="30" customHeight="1">
      <c r="A2421" s="73"/>
      <c r="B2421" s="943" t="s">
        <v>107</v>
      </c>
      <c r="C2421" s="944"/>
      <c r="D2421" s="944"/>
      <c r="E2421" s="944"/>
      <c r="F2421" s="944"/>
      <c r="G2421" s="944"/>
      <c r="H2421" s="947" t="e">
        <f>Master!#REF!</f>
        <v>#REF!</v>
      </c>
      <c r="I2421" s="945"/>
      <c r="J2421" s="945"/>
      <c r="K2421" s="945"/>
      <c r="L2421" s="946"/>
      <c r="M2421" s="16"/>
    </row>
    <row r="2422" spans="1:13" ht="30" customHeight="1">
      <c r="A2422" s="73"/>
      <c r="B2422" s="943" t="s">
        <v>108</v>
      </c>
      <c r="C2422" s="944"/>
      <c r="D2422" s="944"/>
      <c r="E2422" s="944"/>
      <c r="F2422" s="944"/>
      <c r="G2422" s="944"/>
      <c r="H2422" s="957" t="e">
        <f>Master!#REF!</f>
        <v>#REF!</v>
      </c>
      <c r="I2422" s="958"/>
      <c r="J2422" s="958"/>
      <c r="K2422" s="958"/>
      <c r="L2422" s="959"/>
      <c r="M2422" s="16"/>
    </row>
    <row r="2423" spans="1:13" ht="30" customHeight="1">
      <c r="A2423" s="73"/>
      <c r="B2423" s="386" t="s">
        <v>109</v>
      </c>
      <c r="C2423" s="116"/>
      <c r="D2423" s="116"/>
      <c r="E2423" s="116"/>
      <c r="F2423" s="116"/>
      <c r="G2423" s="116"/>
      <c r="H2423" s="947" t="e">
        <f>Master!#REF!</f>
        <v>#REF!</v>
      </c>
      <c r="I2423" s="947"/>
      <c r="J2423" s="947"/>
      <c r="K2423" s="947"/>
      <c r="L2423" s="953"/>
      <c r="M2423" s="16"/>
    </row>
    <row r="2424" spans="1:13" ht="30" customHeight="1">
      <c r="A2424" s="73"/>
      <c r="B2424" s="386" t="s">
        <v>110</v>
      </c>
      <c r="C2424" s="116"/>
      <c r="D2424" s="116"/>
      <c r="E2424" s="116"/>
      <c r="F2424" s="116"/>
      <c r="G2424" s="119"/>
      <c r="H2424" s="947" t="e">
        <f>Master!#REF!</f>
        <v>#REF!</v>
      </c>
      <c r="I2424" s="947"/>
      <c r="J2424" s="947"/>
      <c r="K2424" s="947"/>
      <c r="L2424" s="953"/>
      <c r="M2424" s="16"/>
    </row>
    <row r="2425" spans="1:13" ht="30" customHeight="1">
      <c r="A2425" s="73"/>
      <c r="B2425" s="954" t="s">
        <v>111</v>
      </c>
      <c r="C2425" s="955"/>
      <c r="D2425" s="955"/>
      <c r="E2425" s="955"/>
      <c r="F2425" s="955"/>
      <c r="G2425" s="955"/>
      <c r="H2425" s="950" t="e">
        <f>Master!#REF!</f>
        <v>#REF!</v>
      </c>
      <c r="I2425" s="951"/>
      <c r="J2425" s="951"/>
      <c r="K2425" s="951"/>
      <c r="L2425" s="952"/>
      <c r="M2425" s="16"/>
    </row>
    <row r="2426" spans="1:13" ht="30" customHeight="1">
      <c r="A2426" s="73"/>
      <c r="B2426" s="943" t="s">
        <v>112</v>
      </c>
      <c r="C2426" s="944"/>
      <c r="D2426" s="944"/>
      <c r="E2426" s="944"/>
      <c r="F2426" s="944"/>
      <c r="G2426" s="944"/>
      <c r="H2426" s="956">
        <f>Master!F10</f>
        <v>44652</v>
      </c>
      <c r="I2426" s="945"/>
      <c r="J2426" s="945"/>
      <c r="K2426" s="945"/>
      <c r="L2426" s="946"/>
      <c r="M2426" s="16"/>
    </row>
    <row r="2427" spans="1:13" ht="30" customHeight="1">
      <c r="A2427" s="15"/>
      <c r="B2427" s="943" t="s">
        <v>113</v>
      </c>
      <c r="C2427" s="944"/>
      <c r="D2427" s="944"/>
      <c r="E2427" s="944"/>
      <c r="F2427" s="944"/>
      <c r="G2427" s="944"/>
      <c r="H2427" s="945" t="s">
        <v>114</v>
      </c>
      <c r="I2427" s="945"/>
      <c r="J2427" s="945"/>
      <c r="K2427" s="945"/>
      <c r="L2427" s="946"/>
      <c r="M2427" s="16"/>
    </row>
    <row r="2428" spans="1:13" ht="30" customHeight="1">
      <c r="A2428" s="15"/>
      <c r="B2428" s="386" t="s">
        <v>115</v>
      </c>
      <c r="C2428" s="116"/>
      <c r="D2428" s="116"/>
      <c r="E2428" s="116"/>
      <c r="F2428" s="116"/>
      <c r="G2428" s="119"/>
      <c r="H2428" s="947" t="e">
        <f>Master!#REF!</f>
        <v>#REF!</v>
      </c>
      <c r="I2428" s="945"/>
      <c r="J2428" s="945"/>
      <c r="K2428" s="945"/>
      <c r="L2428" s="946"/>
      <c r="M2428" s="16"/>
    </row>
    <row r="2429" spans="1:13" ht="30" customHeight="1">
      <c r="A2429" s="15"/>
      <c r="B2429" s="386" t="s">
        <v>116</v>
      </c>
      <c r="C2429" s="116"/>
      <c r="D2429" s="116"/>
      <c r="E2429" s="116"/>
      <c r="F2429" s="116"/>
      <c r="G2429" s="119"/>
      <c r="H2429" s="986" t="s">
        <v>28</v>
      </c>
      <c r="I2429" s="987"/>
      <c r="J2429" s="987"/>
      <c r="K2429" s="987"/>
      <c r="L2429" s="988"/>
      <c r="M2429" s="16"/>
    </row>
    <row r="2430" spans="1:13" ht="30" customHeight="1">
      <c r="A2430" s="15"/>
      <c r="B2430" s="386" t="s">
        <v>117</v>
      </c>
      <c r="C2430" s="116"/>
      <c r="D2430" s="116"/>
      <c r="E2430" s="116"/>
      <c r="F2430" s="116"/>
      <c r="G2430" s="119"/>
      <c r="H2430" s="989">
        <v>0</v>
      </c>
      <c r="I2430" s="990"/>
      <c r="J2430" s="990"/>
      <c r="K2430" s="990"/>
      <c r="L2430" s="991"/>
      <c r="M2430" s="16"/>
    </row>
    <row r="2431" spans="1:13" ht="30" customHeight="1">
      <c r="A2431" s="15"/>
      <c r="B2431" s="386" t="s">
        <v>118</v>
      </c>
      <c r="C2431" s="116"/>
      <c r="D2431" s="116"/>
      <c r="E2431" s="116"/>
      <c r="F2431" s="116"/>
      <c r="G2431" s="119"/>
      <c r="H2431" s="986">
        <v>0</v>
      </c>
      <c r="I2431" s="987"/>
      <c r="J2431" s="987"/>
      <c r="K2431" s="987"/>
      <c r="L2431" s="988"/>
      <c r="M2431" s="16"/>
    </row>
    <row r="2432" spans="1:13" ht="30" customHeight="1">
      <c r="A2432" s="15"/>
      <c r="B2432" s="386" t="s">
        <v>119</v>
      </c>
      <c r="C2432" s="116"/>
      <c r="D2432" s="116"/>
      <c r="E2432" s="116"/>
      <c r="F2432" s="116"/>
      <c r="G2432" s="119"/>
      <c r="H2432" s="117"/>
      <c r="I2432" s="118"/>
      <c r="J2432" s="990" t="e">
        <f>Master!#REF!</f>
        <v>#REF!</v>
      </c>
      <c r="K2432" s="992"/>
      <c r="L2432" s="581" t="s">
        <v>737</v>
      </c>
      <c r="M2432" s="16"/>
    </row>
    <row r="2433" spans="1:13" ht="30" customHeight="1">
      <c r="A2433" s="15"/>
      <c r="B2433" s="386" t="s">
        <v>120</v>
      </c>
      <c r="C2433" s="116"/>
      <c r="D2433" s="465" t="s">
        <v>24</v>
      </c>
      <c r="E2433" s="466" t="e">
        <f>Master!#REF!</f>
        <v>#REF!</v>
      </c>
      <c r="F2433" s="465" t="s">
        <v>23</v>
      </c>
      <c r="G2433" s="466" t="e">
        <f>Master!#REF!</f>
        <v>#REF!</v>
      </c>
      <c r="H2433" s="465" t="s">
        <v>25</v>
      </c>
      <c r="I2433" s="466" t="e">
        <f>Master!#REF!</f>
        <v>#REF!</v>
      </c>
      <c r="J2433" s="465" t="s">
        <v>26</v>
      </c>
      <c r="K2433" s="466" t="e">
        <f>Master!#REF!</f>
        <v>#REF!</v>
      </c>
      <c r="L2433" s="400" t="e">
        <f>Master!#REF!</f>
        <v>#REF!</v>
      </c>
      <c r="M2433" s="16"/>
    </row>
    <row r="2434" spans="1:13" ht="30" customHeight="1">
      <c r="A2434" s="15"/>
      <c r="B2434" s="386" t="s">
        <v>121</v>
      </c>
      <c r="C2434" s="116"/>
      <c r="D2434" s="116"/>
      <c r="E2434" s="116"/>
      <c r="F2434" s="116"/>
      <c r="G2434" s="119"/>
      <c r="H2434" s="117"/>
      <c r="I2434" s="118"/>
      <c r="J2434" s="541" t="e">
        <f>Master!#REF!</f>
        <v>#REF!</v>
      </c>
      <c r="K2434" s="118"/>
      <c r="L2434" s="125"/>
      <c r="M2434" s="16"/>
    </row>
    <row r="2435" spans="1:13">
      <c r="A2435" s="15"/>
      <c r="B2435" s="387" t="s">
        <v>122</v>
      </c>
      <c r="C2435" s="74"/>
      <c r="D2435" s="74"/>
      <c r="E2435" s="74"/>
      <c r="F2435" s="74"/>
      <c r="G2435" s="75"/>
      <c r="H2435" s="76"/>
      <c r="I2435" s="77"/>
      <c r="J2435" s="77"/>
      <c r="K2435" s="77"/>
      <c r="L2435" s="78"/>
      <c r="M2435" s="16"/>
    </row>
    <row r="2436" spans="1:13">
      <c r="A2436" s="15"/>
      <c r="B2436" s="388" t="s">
        <v>123</v>
      </c>
      <c r="C2436" s="79"/>
      <c r="D2436" s="79"/>
      <c r="E2436" s="79"/>
      <c r="F2436" s="79"/>
      <c r="G2436" s="80"/>
      <c r="H2436" s="60"/>
      <c r="I2436" s="19"/>
      <c r="J2436" s="19"/>
      <c r="K2436" s="19"/>
      <c r="L2436" s="81"/>
      <c r="M2436" s="16"/>
    </row>
    <row r="2437" spans="1:13">
      <c r="A2437" s="15"/>
      <c r="B2437" s="15"/>
      <c r="C2437" s="114"/>
      <c r="D2437" s="114"/>
      <c r="E2437" s="114"/>
      <c r="F2437" s="114"/>
      <c r="G2437" s="114"/>
      <c r="H2437" s="114"/>
      <c r="I2437" s="114"/>
      <c r="J2437" s="114"/>
      <c r="K2437" s="114"/>
      <c r="L2437" s="16"/>
      <c r="M2437" s="16"/>
    </row>
    <row r="2438" spans="1:13" ht="15" thickBot="1">
      <c r="A2438" s="27"/>
      <c r="B2438" s="27"/>
      <c r="C2438" s="25"/>
      <c r="D2438" s="25"/>
      <c r="E2438" s="25"/>
      <c r="F2438" s="25"/>
      <c r="G2438" s="25"/>
      <c r="H2438" s="25"/>
      <c r="I2438" s="25"/>
      <c r="J2438" s="25"/>
      <c r="K2438" s="25"/>
      <c r="L2438" s="26"/>
      <c r="M2438" s="26"/>
    </row>
    <row r="2439" spans="1:13">
      <c r="A2439" s="420"/>
      <c r="B2439" s="420"/>
      <c r="C2439" s="420"/>
      <c r="D2439" s="420"/>
      <c r="E2439" s="420"/>
      <c r="F2439" s="420"/>
      <c r="G2439" s="420"/>
      <c r="H2439" s="420"/>
      <c r="I2439" s="420"/>
      <c r="J2439" s="420"/>
      <c r="K2439" s="420"/>
      <c r="L2439" s="420"/>
      <c r="M2439" s="420"/>
    </row>
    <row r="2440" spans="1:13">
      <c r="A2440" s="420"/>
      <c r="B2440" s="420"/>
      <c r="C2440" s="420"/>
      <c r="D2440" s="420"/>
      <c r="E2440" s="420"/>
      <c r="F2440" s="420"/>
      <c r="G2440" s="420"/>
      <c r="H2440" s="420"/>
      <c r="I2440" s="420"/>
      <c r="J2440" s="420"/>
      <c r="K2440" s="420"/>
      <c r="L2440" s="420"/>
      <c r="M2440" s="420"/>
    </row>
    <row r="2441" spans="1:13">
      <c r="A2441" s="420"/>
      <c r="B2441" s="420"/>
      <c r="C2441" s="420"/>
      <c r="D2441" s="420"/>
      <c r="E2441" s="420"/>
      <c r="F2441" s="420"/>
      <c r="G2441" s="420"/>
      <c r="H2441" s="420"/>
      <c r="I2441" s="420"/>
      <c r="J2441" s="420"/>
      <c r="K2441" s="420"/>
      <c r="L2441" s="420"/>
      <c r="M2441" s="420"/>
    </row>
    <row r="2442" spans="1:13">
      <c r="A2442" s="420"/>
      <c r="B2442" s="420"/>
      <c r="C2442" s="420"/>
      <c r="D2442" s="420"/>
      <c r="E2442" s="420"/>
      <c r="F2442" s="420"/>
      <c r="G2442" s="420"/>
      <c r="H2442" s="420"/>
      <c r="I2442" s="420"/>
      <c r="J2442" s="420"/>
      <c r="K2442" s="420"/>
      <c r="L2442" s="420"/>
      <c r="M2442" s="420"/>
    </row>
    <row r="2443" spans="1:13">
      <c r="A2443" s="420"/>
      <c r="B2443" s="420"/>
      <c r="C2443" s="420"/>
      <c r="D2443" s="420"/>
      <c r="E2443" s="420"/>
      <c r="F2443" s="420"/>
      <c r="G2443" s="420"/>
      <c r="H2443" s="420"/>
      <c r="I2443" s="420"/>
      <c r="J2443" s="420"/>
      <c r="K2443" s="420"/>
      <c r="L2443" s="420"/>
      <c r="M2443" s="420"/>
    </row>
  </sheetData>
  <mergeCells count="1868">
    <mergeCell ref="H124:L124"/>
    <mergeCell ref="H125:L125"/>
    <mergeCell ref="H126:L126"/>
    <mergeCell ref="J127:K127"/>
    <mergeCell ref="H173:L173"/>
    <mergeCell ref="H174:L174"/>
    <mergeCell ref="H175:L175"/>
    <mergeCell ref="J176:K176"/>
    <mergeCell ref="H220:L220"/>
    <mergeCell ref="H221:L221"/>
    <mergeCell ref="H222:L222"/>
    <mergeCell ref="J223:K223"/>
    <mergeCell ref="H267:L267"/>
    <mergeCell ref="H268:L268"/>
    <mergeCell ref="H269:L269"/>
    <mergeCell ref="J270:K270"/>
    <mergeCell ref="H314:L314"/>
    <mergeCell ref="B190:L190"/>
    <mergeCell ref="B191:F192"/>
    <mergeCell ref="H191:L192"/>
    <mergeCell ref="B199:F199"/>
    <mergeCell ref="H199:L199"/>
    <mergeCell ref="B171:G171"/>
    <mergeCell ref="H171:L171"/>
    <mergeCell ref="H172:L172"/>
    <mergeCell ref="B188:L188"/>
    <mergeCell ref="B189:L189"/>
    <mergeCell ref="H167:L167"/>
    <mergeCell ref="H168:L168"/>
    <mergeCell ref="B169:G169"/>
    <mergeCell ref="H169:L169"/>
    <mergeCell ref="B170:G170"/>
    <mergeCell ref="B2427:G2427"/>
    <mergeCell ref="H2427:L2427"/>
    <mergeCell ref="H2428:L2428"/>
    <mergeCell ref="H2424:L2424"/>
    <mergeCell ref="B2425:G2425"/>
    <mergeCell ref="H2425:L2425"/>
    <mergeCell ref="B2426:G2426"/>
    <mergeCell ref="H2426:L2426"/>
    <mergeCell ref="B2421:G2421"/>
    <mergeCell ref="H2421:L2421"/>
    <mergeCell ref="B2422:G2422"/>
    <mergeCell ref="H2422:L2422"/>
    <mergeCell ref="H2423:L2423"/>
    <mergeCell ref="H2429:L2429"/>
    <mergeCell ref="H2430:L2430"/>
    <mergeCell ref="H2431:L2431"/>
    <mergeCell ref="J2432:K2432"/>
    <mergeCell ref="B2418:G2418"/>
    <mergeCell ref="H2418:L2418"/>
    <mergeCell ref="B2419:G2419"/>
    <mergeCell ref="H2419:L2419"/>
    <mergeCell ref="B2420:G2420"/>
    <mergeCell ref="H2420:L2420"/>
    <mergeCell ref="B2415:G2415"/>
    <mergeCell ref="H2415:L2415"/>
    <mergeCell ref="B2416:G2416"/>
    <mergeCell ref="H2416:L2416"/>
    <mergeCell ref="B2417:G2417"/>
    <mergeCell ref="H2417:L2417"/>
    <mergeCell ref="B2399:L2399"/>
    <mergeCell ref="B2400:F2401"/>
    <mergeCell ref="H2400:L2401"/>
    <mergeCell ref="B2408:F2408"/>
    <mergeCell ref="H2408:L2408"/>
    <mergeCell ref="B2380:G2380"/>
    <mergeCell ref="H2380:L2380"/>
    <mergeCell ref="H2381:L2381"/>
    <mergeCell ref="B2397:L2397"/>
    <mergeCell ref="B2398:L2398"/>
    <mergeCell ref="H2377:L2377"/>
    <mergeCell ref="B2378:G2378"/>
    <mergeCell ref="H2378:L2378"/>
    <mergeCell ref="B2379:G2379"/>
    <mergeCell ref="H2379:L2379"/>
    <mergeCell ref="B2374:G2374"/>
    <mergeCell ref="H2374:L2374"/>
    <mergeCell ref="B2375:G2375"/>
    <mergeCell ref="H2375:L2375"/>
    <mergeCell ref="H2376:L2376"/>
    <mergeCell ref="B2371:G2371"/>
    <mergeCell ref="H2371:L2371"/>
    <mergeCell ref="B2372:G2372"/>
    <mergeCell ref="H2372:L2372"/>
    <mergeCell ref="B2373:G2373"/>
    <mergeCell ref="H2373:L2373"/>
    <mergeCell ref="H2382:L2382"/>
    <mergeCell ref="H2383:L2383"/>
    <mergeCell ref="H2384:L2384"/>
    <mergeCell ref="J2385:K2385"/>
    <mergeCell ref="B2368:G2368"/>
    <mergeCell ref="H2368:L2368"/>
    <mergeCell ref="B2369:G2369"/>
    <mergeCell ref="H2369:L2369"/>
    <mergeCell ref="B2370:G2370"/>
    <mergeCell ref="H2370:L2370"/>
    <mergeCell ref="B2352:L2352"/>
    <mergeCell ref="B2353:F2354"/>
    <mergeCell ref="H2353:L2354"/>
    <mergeCell ref="B2361:F2361"/>
    <mergeCell ref="H2361:L2361"/>
    <mergeCell ref="B2333:G2333"/>
    <mergeCell ref="H2333:L2333"/>
    <mergeCell ref="H2334:L2334"/>
    <mergeCell ref="B2350:L2350"/>
    <mergeCell ref="B2351:L2351"/>
    <mergeCell ref="H2330:L2330"/>
    <mergeCell ref="B2331:G2331"/>
    <mergeCell ref="H2331:L2331"/>
    <mergeCell ref="B2332:G2332"/>
    <mergeCell ref="H2332:L2332"/>
    <mergeCell ref="H2335:L2335"/>
    <mergeCell ref="H2336:L2336"/>
    <mergeCell ref="H2337:L2337"/>
    <mergeCell ref="J2338:K2338"/>
    <mergeCell ref="B2327:G2327"/>
    <mergeCell ref="H2327:L2327"/>
    <mergeCell ref="B2328:G2328"/>
    <mergeCell ref="H2328:L2328"/>
    <mergeCell ref="H2329:L2329"/>
    <mergeCell ref="B2324:G2324"/>
    <mergeCell ref="H2324:L2324"/>
    <mergeCell ref="B2325:G2325"/>
    <mergeCell ref="H2325:L2325"/>
    <mergeCell ref="B2326:G2326"/>
    <mergeCell ref="H2326:L2326"/>
    <mergeCell ref="B2321:G2321"/>
    <mergeCell ref="H2321:L2321"/>
    <mergeCell ref="B2322:G2322"/>
    <mergeCell ref="H2322:L2322"/>
    <mergeCell ref="B2323:G2323"/>
    <mergeCell ref="H2323:L2323"/>
    <mergeCell ref="B2305:L2305"/>
    <mergeCell ref="B2306:F2307"/>
    <mergeCell ref="H2306:L2307"/>
    <mergeCell ref="B2314:F2314"/>
    <mergeCell ref="H2314:L2314"/>
    <mergeCell ref="B2286:G2286"/>
    <mergeCell ref="H2286:L2286"/>
    <mergeCell ref="H2287:L2287"/>
    <mergeCell ref="B2303:L2303"/>
    <mergeCell ref="B2304:L2304"/>
    <mergeCell ref="H2283:L2283"/>
    <mergeCell ref="B2284:G2284"/>
    <mergeCell ref="H2284:L2284"/>
    <mergeCell ref="B2285:G2285"/>
    <mergeCell ref="H2285:L2285"/>
    <mergeCell ref="B2280:G2280"/>
    <mergeCell ref="H2280:L2280"/>
    <mergeCell ref="B2281:G2281"/>
    <mergeCell ref="H2281:L2281"/>
    <mergeCell ref="H2282:L2282"/>
    <mergeCell ref="H2288:L2288"/>
    <mergeCell ref="H2289:L2289"/>
    <mergeCell ref="H2290:L2290"/>
    <mergeCell ref="J2291:K2291"/>
    <mergeCell ref="B2277:G2277"/>
    <mergeCell ref="H2277:L2277"/>
    <mergeCell ref="B2278:G2278"/>
    <mergeCell ref="H2278:L2278"/>
    <mergeCell ref="B2279:G2279"/>
    <mergeCell ref="H2279:L2279"/>
    <mergeCell ref="B2274:G2274"/>
    <mergeCell ref="H2274:L2274"/>
    <mergeCell ref="B2275:G2275"/>
    <mergeCell ref="H2275:L2275"/>
    <mergeCell ref="B2276:G2276"/>
    <mergeCell ref="H2276:L2276"/>
    <mergeCell ref="B2258:L2258"/>
    <mergeCell ref="B2259:F2260"/>
    <mergeCell ref="H2259:L2260"/>
    <mergeCell ref="B2267:F2267"/>
    <mergeCell ref="H2267:L2267"/>
    <mergeCell ref="B2239:G2239"/>
    <mergeCell ref="H2239:L2239"/>
    <mergeCell ref="H2240:L2240"/>
    <mergeCell ref="B2256:L2256"/>
    <mergeCell ref="B2257:L2257"/>
    <mergeCell ref="H2236:L2236"/>
    <mergeCell ref="B2237:G2237"/>
    <mergeCell ref="H2237:L2237"/>
    <mergeCell ref="B2238:G2238"/>
    <mergeCell ref="H2238:L2238"/>
    <mergeCell ref="B2233:G2233"/>
    <mergeCell ref="H2233:L2233"/>
    <mergeCell ref="B2234:G2234"/>
    <mergeCell ref="H2234:L2234"/>
    <mergeCell ref="H2235:L2235"/>
    <mergeCell ref="B2230:G2230"/>
    <mergeCell ref="H2230:L2230"/>
    <mergeCell ref="B2231:G2231"/>
    <mergeCell ref="H2231:L2231"/>
    <mergeCell ref="B2232:G2232"/>
    <mergeCell ref="H2232:L2232"/>
    <mergeCell ref="H2241:L2241"/>
    <mergeCell ref="H2242:L2242"/>
    <mergeCell ref="H2243:L2243"/>
    <mergeCell ref="J2244:K2244"/>
    <mergeCell ref="B2227:G2227"/>
    <mergeCell ref="H2227:L2227"/>
    <mergeCell ref="B2228:G2228"/>
    <mergeCell ref="H2228:L2228"/>
    <mergeCell ref="B2229:G2229"/>
    <mergeCell ref="H2229:L2229"/>
    <mergeCell ref="B2211:L2211"/>
    <mergeCell ref="B2212:F2213"/>
    <mergeCell ref="H2212:L2213"/>
    <mergeCell ref="B2220:F2220"/>
    <mergeCell ref="H2220:L2220"/>
    <mergeCell ref="B2192:G2192"/>
    <mergeCell ref="H2192:L2192"/>
    <mergeCell ref="H2193:L2193"/>
    <mergeCell ref="B2209:L2209"/>
    <mergeCell ref="B2210:L2210"/>
    <mergeCell ref="H2189:L2189"/>
    <mergeCell ref="B2190:G2190"/>
    <mergeCell ref="H2190:L2190"/>
    <mergeCell ref="B2191:G2191"/>
    <mergeCell ref="H2191:L2191"/>
    <mergeCell ref="H2194:L2194"/>
    <mergeCell ref="H2195:L2195"/>
    <mergeCell ref="H2196:L2196"/>
    <mergeCell ref="J2197:K2197"/>
    <mergeCell ref="B2186:G2186"/>
    <mergeCell ref="H2186:L2186"/>
    <mergeCell ref="B2187:G2187"/>
    <mergeCell ref="H2187:L2187"/>
    <mergeCell ref="H2188:L2188"/>
    <mergeCell ref="B2183:G2183"/>
    <mergeCell ref="H2183:L2183"/>
    <mergeCell ref="B2184:G2184"/>
    <mergeCell ref="H2184:L2184"/>
    <mergeCell ref="B2185:G2185"/>
    <mergeCell ref="H2185:L2185"/>
    <mergeCell ref="B2180:G2180"/>
    <mergeCell ref="H2180:L2180"/>
    <mergeCell ref="B2181:G2181"/>
    <mergeCell ref="H2181:L2181"/>
    <mergeCell ref="B2182:G2182"/>
    <mergeCell ref="H2182:L2182"/>
    <mergeCell ref="B2164:L2164"/>
    <mergeCell ref="B2165:F2166"/>
    <mergeCell ref="H2165:L2166"/>
    <mergeCell ref="B2173:F2173"/>
    <mergeCell ref="H2173:L2173"/>
    <mergeCell ref="B2145:G2145"/>
    <mergeCell ref="H2145:L2145"/>
    <mergeCell ref="H2146:L2146"/>
    <mergeCell ref="B2162:L2162"/>
    <mergeCell ref="B2163:L2163"/>
    <mergeCell ref="H2142:L2142"/>
    <mergeCell ref="B2143:G2143"/>
    <mergeCell ref="H2143:L2143"/>
    <mergeCell ref="B2144:G2144"/>
    <mergeCell ref="H2144:L2144"/>
    <mergeCell ref="B2139:G2139"/>
    <mergeCell ref="H2139:L2139"/>
    <mergeCell ref="B2140:G2140"/>
    <mergeCell ref="H2140:L2140"/>
    <mergeCell ref="H2141:L2141"/>
    <mergeCell ref="H2147:L2147"/>
    <mergeCell ref="H2148:L2148"/>
    <mergeCell ref="H2149:L2149"/>
    <mergeCell ref="J2150:K2150"/>
    <mergeCell ref="B2136:G2136"/>
    <mergeCell ref="H2136:L2136"/>
    <mergeCell ref="B2137:G2137"/>
    <mergeCell ref="H2137:L2137"/>
    <mergeCell ref="B2138:G2138"/>
    <mergeCell ref="H2138:L2138"/>
    <mergeCell ref="B2133:G2133"/>
    <mergeCell ref="H2133:L2133"/>
    <mergeCell ref="B2134:G2134"/>
    <mergeCell ref="H2134:L2134"/>
    <mergeCell ref="B2135:G2135"/>
    <mergeCell ref="H2135:L2135"/>
    <mergeCell ref="B2117:L2117"/>
    <mergeCell ref="B2118:F2119"/>
    <mergeCell ref="H2118:L2119"/>
    <mergeCell ref="B2126:F2126"/>
    <mergeCell ref="H2126:L2126"/>
    <mergeCell ref="B2098:G2098"/>
    <mergeCell ref="H2098:L2098"/>
    <mergeCell ref="H2099:L2099"/>
    <mergeCell ref="B2115:L2115"/>
    <mergeCell ref="B2116:L2116"/>
    <mergeCell ref="H2095:L2095"/>
    <mergeCell ref="B2096:G2096"/>
    <mergeCell ref="H2096:L2096"/>
    <mergeCell ref="B2097:G2097"/>
    <mergeCell ref="H2097:L2097"/>
    <mergeCell ref="B2092:G2092"/>
    <mergeCell ref="H2092:L2092"/>
    <mergeCell ref="B2093:G2093"/>
    <mergeCell ref="H2093:L2093"/>
    <mergeCell ref="H2094:L2094"/>
    <mergeCell ref="B2089:G2089"/>
    <mergeCell ref="H2089:L2089"/>
    <mergeCell ref="B2090:G2090"/>
    <mergeCell ref="H2090:L2090"/>
    <mergeCell ref="B2091:G2091"/>
    <mergeCell ref="H2091:L2091"/>
    <mergeCell ref="H2101:L2101"/>
    <mergeCell ref="H2102:L2102"/>
    <mergeCell ref="H2100:L2100"/>
    <mergeCell ref="B2086:G2086"/>
    <mergeCell ref="H2086:L2086"/>
    <mergeCell ref="B2087:G2087"/>
    <mergeCell ref="H2087:L2087"/>
    <mergeCell ref="B2088:G2088"/>
    <mergeCell ref="H2088:L2088"/>
    <mergeCell ref="B2070:L2070"/>
    <mergeCell ref="B2071:F2072"/>
    <mergeCell ref="H2071:L2072"/>
    <mergeCell ref="B2079:F2079"/>
    <mergeCell ref="H2079:L2079"/>
    <mergeCell ref="B2051:G2051"/>
    <mergeCell ref="H2051:L2051"/>
    <mergeCell ref="H2052:L2052"/>
    <mergeCell ref="B2068:L2068"/>
    <mergeCell ref="B2069:L2069"/>
    <mergeCell ref="H2048:L2048"/>
    <mergeCell ref="B2049:G2049"/>
    <mergeCell ref="H2049:L2049"/>
    <mergeCell ref="B2050:G2050"/>
    <mergeCell ref="H2050:L2050"/>
    <mergeCell ref="H2053:L2053"/>
    <mergeCell ref="H2054:L2054"/>
    <mergeCell ref="H2055:L2055"/>
    <mergeCell ref="J2056:K2056"/>
    <mergeCell ref="B2045:G2045"/>
    <mergeCell ref="H2045:L2045"/>
    <mergeCell ref="B2046:G2046"/>
    <mergeCell ref="H2046:L2046"/>
    <mergeCell ref="H2047:L2047"/>
    <mergeCell ref="B2042:G2042"/>
    <mergeCell ref="H2042:L2042"/>
    <mergeCell ref="B2043:G2043"/>
    <mergeCell ref="H2043:L2043"/>
    <mergeCell ref="B2044:G2044"/>
    <mergeCell ref="H2044:L2044"/>
    <mergeCell ref="B2039:G2039"/>
    <mergeCell ref="H2039:L2039"/>
    <mergeCell ref="B2040:G2040"/>
    <mergeCell ref="H2040:L2040"/>
    <mergeCell ref="B2041:G2041"/>
    <mergeCell ref="H2041:L2041"/>
    <mergeCell ref="B2023:L2023"/>
    <mergeCell ref="B2024:F2025"/>
    <mergeCell ref="H2024:L2025"/>
    <mergeCell ref="B2032:F2032"/>
    <mergeCell ref="H2032:L2032"/>
    <mergeCell ref="B2004:G2004"/>
    <mergeCell ref="H2004:L2004"/>
    <mergeCell ref="H2005:L2005"/>
    <mergeCell ref="B2021:L2021"/>
    <mergeCell ref="B2022:L2022"/>
    <mergeCell ref="H2001:L2001"/>
    <mergeCell ref="B2002:G2002"/>
    <mergeCell ref="H2002:L2002"/>
    <mergeCell ref="B2003:G2003"/>
    <mergeCell ref="H2003:L2003"/>
    <mergeCell ref="B1998:G1998"/>
    <mergeCell ref="H1998:L1998"/>
    <mergeCell ref="B1999:G1999"/>
    <mergeCell ref="H1999:L1999"/>
    <mergeCell ref="H2000:L2000"/>
    <mergeCell ref="H2006:L2006"/>
    <mergeCell ref="H2007:L2007"/>
    <mergeCell ref="H2008:L2008"/>
    <mergeCell ref="J2009:K2009"/>
    <mergeCell ref="B1995:G1995"/>
    <mergeCell ref="H1995:L1995"/>
    <mergeCell ref="B1996:G1996"/>
    <mergeCell ref="H1996:L1996"/>
    <mergeCell ref="B1997:G1997"/>
    <mergeCell ref="H1997:L1997"/>
    <mergeCell ref="B1992:G1992"/>
    <mergeCell ref="H1992:L1992"/>
    <mergeCell ref="B1993:G1993"/>
    <mergeCell ref="H1993:L1993"/>
    <mergeCell ref="B1994:G1994"/>
    <mergeCell ref="H1994:L1994"/>
    <mergeCell ref="B1976:L1976"/>
    <mergeCell ref="B1977:F1978"/>
    <mergeCell ref="H1977:L1978"/>
    <mergeCell ref="B1985:F1985"/>
    <mergeCell ref="H1985:L1985"/>
    <mergeCell ref="B1957:G1957"/>
    <mergeCell ref="H1957:L1957"/>
    <mergeCell ref="H1958:L1958"/>
    <mergeCell ref="B1974:L1974"/>
    <mergeCell ref="B1975:L1975"/>
    <mergeCell ref="H1954:L1954"/>
    <mergeCell ref="B1955:G1955"/>
    <mergeCell ref="H1955:L1955"/>
    <mergeCell ref="B1956:G1956"/>
    <mergeCell ref="H1956:L1956"/>
    <mergeCell ref="B1951:G1951"/>
    <mergeCell ref="H1951:L1951"/>
    <mergeCell ref="B1952:G1952"/>
    <mergeCell ref="H1952:L1952"/>
    <mergeCell ref="H1953:L1953"/>
    <mergeCell ref="B1948:G1948"/>
    <mergeCell ref="H1948:L1948"/>
    <mergeCell ref="B1949:G1949"/>
    <mergeCell ref="H1949:L1949"/>
    <mergeCell ref="B1950:G1950"/>
    <mergeCell ref="H1950:L1950"/>
    <mergeCell ref="H1959:L1959"/>
    <mergeCell ref="H1960:L1960"/>
    <mergeCell ref="H1961:L1961"/>
    <mergeCell ref="J1962:K1962"/>
    <mergeCell ref="B1945:G1945"/>
    <mergeCell ref="H1945:L1945"/>
    <mergeCell ref="B1946:G1946"/>
    <mergeCell ref="H1946:L1946"/>
    <mergeCell ref="B1947:G1947"/>
    <mergeCell ref="H1947:L1947"/>
    <mergeCell ref="B1929:L1929"/>
    <mergeCell ref="B1930:F1931"/>
    <mergeCell ref="H1930:L1931"/>
    <mergeCell ref="B1938:F1938"/>
    <mergeCell ref="H1938:L1938"/>
    <mergeCell ref="B1910:G1910"/>
    <mergeCell ref="H1910:L1910"/>
    <mergeCell ref="H1911:L1911"/>
    <mergeCell ref="B1927:L1927"/>
    <mergeCell ref="B1928:L1928"/>
    <mergeCell ref="H1907:L1907"/>
    <mergeCell ref="B1908:G1908"/>
    <mergeCell ref="H1908:L1908"/>
    <mergeCell ref="B1909:G1909"/>
    <mergeCell ref="H1909:L1909"/>
    <mergeCell ref="H1912:L1912"/>
    <mergeCell ref="H1913:L1913"/>
    <mergeCell ref="H1914:L1914"/>
    <mergeCell ref="J1915:K1915"/>
    <mergeCell ref="B1904:G1904"/>
    <mergeCell ref="H1904:L1904"/>
    <mergeCell ref="B1905:G1905"/>
    <mergeCell ref="H1905:L1905"/>
    <mergeCell ref="H1906:L1906"/>
    <mergeCell ref="B1901:G1901"/>
    <mergeCell ref="H1901:L1901"/>
    <mergeCell ref="B1902:G1902"/>
    <mergeCell ref="H1902:L1902"/>
    <mergeCell ref="B1903:G1903"/>
    <mergeCell ref="H1903:L1903"/>
    <mergeCell ref="B1898:G1898"/>
    <mergeCell ref="H1898:L1898"/>
    <mergeCell ref="B1899:G1899"/>
    <mergeCell ref="H1899:L1899"/>
    <mergeCell ref="B1900:G1900"/>
    <mergeCell ref="H1900:L1900"/>
    <mergeCell ref="B1882:L1882"/>
    <mergeCell ref="B1883:F1884"/>
    <mergeCell ref="H1883:L1884"/>
    <mergeCell ref="B1891:F1891"/>
    <mergeCell ref="H1891:L1891"/>
    <mergeCell ref="B1863:G1863"/>
    <mergeCell ref="H1863:L1863"/>
    <mergeCell ref="H1864:L1864"/>
    <mergeCell ref="B1880:L1880"/>
    <mergeCell ref="B1881:L1881"/>
    <mergeCell ref="H1860:L1860"/>
    <mergeCell ref="B1861:G1861"/>
    <mergeCell ref="H1861:L1861"/>
    <mergeCell ref="B1862:G1862"/>
    <mergeCell ref="H1862:L1862"/>
    <mergeCell ref="B1857:G1857"/>
    <mergeCell ref="H1857:L1857"/>
    <mergeCell ref="B1858:G1858"/>
    <mergeCell ref="H1858:L1858"/>
    <mergeCell ref="H1859:L1859"/>
    <mergeCell ref="H1865:L1865"/>
    <mergeCell ref="H1866:L1866"/>
    <mergeCell ref="H1867:L1867"/>
    <mergeCell ref="J1868:K1868"/>
    <mergeCell ref="B1854:G1854"/>
    <mergeCell ref="H1854:L1854"/>
    <mergeCell ref="B1855:G1855"/>
    <mergeCell ref="H1855:L1855"/>
    <mergeCell ref="B1856:G1856"/>
    <mergeCell ref="H1856:L1856"/>
    <mergeCell ref="B1851:G1851"/>
    <mergeCell ref="H1851:L1851"/>
    <mergeCell ref="B1852:G1852"/>
    <mergeCell ref="H1852:L1852"/>
    <mergeCell ref="B1853:G1853"/>
    <mergeCell ref="H1853:L1853"/>
    <mergeCell ref="B1835:L1835"/>
    <mergeCell ref="B1836:F1837"/>
    <mergeCell ref="H1836:L1837"/>
    <mergeCell ref="B1844:F1844"/>
    <mergeCell ref="H1844:L1844"/>
    <mergeCell ref="B1816:G1816"/>
    <mergeCell ref="H1816:L1816"/>
    <mergeCell ref="H1817:L1817"/>
    <mergeCell ref="B1833:L1833"/>
    <mergeCell ref="B1834:L1834"/>
    <mergeCell ref="H1813:L1813"/>
    <mergeCell ref="B1814:G1814"/>
    <mergeCell ref="H1814:L1814"/>
    <mergeCell ref="B1815:G1815"/>
    <mergeCell ref="H1815:L1815"/>
    <mergeCell ref="B1810:G1810"/>
    <mergeCell ref="H1810:L1810"/>
    <mergeCell ref="B1811:G1811"/>
    <mergeCell ref="H1811:L1811"/>
    <mergeCell ref="H1812:L1812"/>
    <mergeCell ref="B1807:G1807"/>
    <mergeCell ref="H1807:L1807"/>
    <mergeCell ref="B1808:G1808"/>
    <mergeCell ref="H1808:L1808"/>
    <mergeCell ref="B1809:G1809"/>
    <mergeCell ref="H1809:L1809"/>
    <mergeCell ref="H1818:L1818"/>
    <mergeCell ref="H1819:L1819"/>
    <mergeCell ref="H1820:L1820"/>
    <mergeCell ref="B1804:G1804"/>
    <mergeCell ref="H1804:L1804"/>
    <mergeCell ref="B1805:G1805"/>
    <mergeCell ref="H1805:L1805"/>
    <mergeCell ref="B1806:G1806"/>
    <mergeCell ref="H1806:L1806"/>
    <mergeCell ref="B1788:L1788"/>
    <mergeCell ref="B1789:F1790"/>
    <mergeCell ref="H1789:L1790"/>
    <mergeCell ref="B1797:F1797"/>
    <mergeCell ref="H1797:L1797"/>
    <mergeCell ref="B1769:G1769"/>
    <mergeCell ref="H1769:L1769"/>
    <mergeCell ref="H1770:L1770"/>
    <mergeCell ref="B1786:L1786"/>
    <mergeCell ref="B1787:L1787"/>
    <mergeCell ref="H1766:L1766"/>
    <mergeCell ref="B1767:G1767"/>
    <mergeCell ref="H1767:L1767"/>
    <mergeCell ref="B1768:G1768"/>
    <mergeCell ref="H1768:L1768"/>
    <mergeCell ref="H1771:L1771"/>
    <mergeCell ref="H1772:L1772"/>
    <mergeCell ref="H1773:L1773"/>
    <mergeCell ref="J1774:K1774"/>
    <mergeCell ref="B1763:G1763"/>
    <mergeCell ref="H1763:L1763"/>
    <mergeCell ref="B1764:G1764"/>
    <mergeCell ref="H1764:L1764"/>
    <mergeCell ref="H1765:L1765"/>
    <mergeCell ref="B1760:G1760"/>
    <mergeCell ref="H1760:L1760"/>
    <mergeCell ref="B1761:G1761"/>
    <mergeCell ref="H1761:L1761"/>
    <mergeCell ref="B1762:G1762"/>
    <mergeCell ref="H1762:L1762"/>
    <mergeCell ref="B1757:G1757"/>
    <mergeCell ref="H1757:L1757"/>
    <mergeCell ref="B1758:G1758"/>
    <mergeCell ref="H1758:L1758"/>
    <mergeCell ref="B1759:G1759"/>
    <mergeCell ref="H1759:L1759"/>
    <mergeCell ref="B1741:L1741"/>
    <mergeCell ref="B1742:F1743"/>
    <mergeCell ref="H1742:L1743"/>
    <mergeCell ref="B1750:F1750"/>
    <mergeCell ref="H1750:L1750"/>
    <mergeCell ref="B1722:G1722"/>
    <mergeCell ref="H1722:L1722"/>
    <mergeCell ref="H1723:L1723"/>
    <mergeCell ref="B1739:L1739"/>
    <mergeCell ref="B1740:L1740"/>
    <mergeCell ref="H1719:L1719"/>
    <mergeCell ref="B1720:G1720"/>
    <mergeCell ref="H1720:L1720"/>
    <mergeCell ref="B1721:G1721"/>
    <mergeCell ref="H1721:L1721"/>
    <mergeCell ref="B1716:G1716"/>
    <mergeCell ref="H1716:L1716"/>
    <mergeCell ref="B1717:G1717"/>
    <mergeCell ref="H1717:L1717"/>
    <mergeCell ref="H1718:L1718"/>
    <mergeCell ref="H1724:L1724"/>
    <mergeCell ref="H1725:L1725"/>
    <mergeCell ref="H1726:L1726"/>
    <mergeCell ref="J1727:K1727"/>
    <mergeCell ref="B1713:G1713"/>
    <mergeCell ref="H1713:L1713"/>
    <mergeCell ref="B1714:G1714"/>
    <mergeCell ref="H1714:L1714"/>
    <mergeCell ref="B1715:G1715"/>
    <mergeCell ref="H1715:L1715"/>
    <mergeCell ref="B1710:G1710"/>
    <mergeCell ref="H1710:L1710"/>
    <mergeCell ref="B1711:G1711"/>
    <mergeCell ref="H1711:L1711"/>
    <mergeCell ref="B1712:G1712"/>
    <mergeCell ref="H1712:L1712"/>
    <mergeCell ref="B1694:L1694"/>
    <mergeCell ref="B1695:F1696"/>
    <mergeCell ref="H1695:L1696"/>
    <mergeCell ref="B1703:F1703"/>
    <mergeCell ref="H1703:L1703"/>
    <mergeCell ref="B1675:G1675"/>
    <mergeCell ref="H1675:L1675"/>
    <mergeCell ref="H1676:L1676"/>
    <mergeCell ref="B1692:L1692"/>
    <mergeCell ref="B1693:L1693"/>
    <mergeCell ref="H1672:L1672"/>
    <mergeCell ref="B1673:G1673"/>
    <mergeCell ref="H1673:L1673"/>
    <mergeCell ref="B1674:G1674"/>
    <mergeCell ref="H1674:L1674"/>
    <mergeCell ref="B1669:G1669"/>
    <mergeCell ref="H1669:L1669"/>
    <mergeCell ref="B1670:G1670"/>
    <mergeCell ref="H1670:L1670"/>
    <mergeCell ref="H1671:L1671"/>
    <mergeCell ref="B1666:G1666"/>
    <mergeCell ref="H1666:L1666"/>
    <mergeCell ref="B1667:G1667"/>
    <mergeCell ref="H1667:L1667"/>
    <mergeCell ref="B1668:G1668"/>
    <mergeCell ref="H1668:L1668"/>
    <mergeCell ref="H1677:L1677"/>
    <mergeCell ref="H1678:L1678"/>
    <mergeCell ref="H1679:L1679"/>
    <mergeCell ref="J1680:K1680"/>
    <mergeCell ref="B1663:G1663"/>
    <mergeCell ref="H1663:L1663"/>
    <mergeCell ref="B1664:G1664"/>
    <mergeCell ref="H1664:L1664"/>
    <mergeCell ref="B1665:G1665"/>
    <mergeCell ref="H1665:L1665"/>
    <mergeCell ref="B1647:L1647"/>
    <mergeCell ref="B1648:F1649"/>
    <mergeCell ref="H1648:L1649"/>
    <mergeCell ref="B1656:F1656"/>
    <mergeCell ref="H1656:L1656"/>
    <mergeCell ref="B1628:G1628"/>
    <mergeCell ref="H1628:L1628"/>
    <mergeCell ref="H1629:L1629"/>
    <mergeCell ref="B1645:L1645"/>
    <mergeCell ref="B1646:L1646"/>
    <mergeCell ref="H1625:L1625"/>
    <mergeCell ref="B1626:G1626"/>
    <mergeCell ref="H1626:L1626"/>
    <mergeCell ref="B1627:G1627"/>
    <mergeCell ref="H1627:L1627"/>
    <mergeCell ref="H1630:L1630"/>
    <mergeCell ref="H1631:L1631"/>
    <mergeCell ref="H1632:L1632"/>
    <mergeCell ref="J1633:K1633"/>
    <mergeCell ref="B1622:G1622"/>
    <mergeCell ref="H1622:L1622"/>
    <mergeCell ref="B1623:G1623"/>
    <mergeCell ref="H1623:L1623"/>
    <mergeCell ref="H1624:L1624"/>
    <mergeCell ref="B1619:G1619"/>
    <mergeCell ref="H1619:L1619"/>
    <mergeCell ref="B1620:G1620"/>
    <mergeCell ref="H1620:L1620"/>
    <mergeCell ref="B1621:G1621"/>
    <mergeCell ref="H1621:L1621"/>
    <mergeCell ref="B1616:G1616"/>
    <mergeCell ref="H1616:L1616"/>
    <mergeCell ref="B1617:G1617"/>
    <mergeCell ref="H1617:L1617"/>
    <mergeCell ref="B1618:G1618"/>
    <mergeCell ref="H1618:L1618"/>
    <mergeCell ref="B1600:L1600"/>
    <mergeCell ref="B1601:F1602"/>
    <mergeCell ref="H1601:L1602"/>
    <mergeCell ref="B1609:F1609"/>
    <mergeCell ref="H1609:L1609"/>
    <mergeCell ref="B1581:G1581"/>
    <mergeCell ref="H1581:L1581"/>
    <mergeCell ref="H1582:L1582"/>
    <mergeCell ref="B1598:L1598"/>
    <mergeCell ref="B1599:L1599"/>
    <mergeCell ref="H1578:L1578"/>
    <mergeCell ref="B1579:G1579"/>
    <mergeCell ref="H1579:L1579"/>
    <mergeCell ref="B1580:G1580"/>
    <mergeCell ref="H1580:L1580"/>
    <mergeCell ref="B1575:G1575"/>
    <mergeCell ref="H1575:L1575"/>
    <mergeCell ref="B1576:G1576"/>
    <mergeCell ref="H1576:L1576"/>
    <mergeCell ref="H1577:L1577"/>
    <mergeCell ref="H1583:L1583"/>
    <mergeCell ref="H1584:L1584"/>
    <mergeCell ref="H1585:L1585"/>
    <mergeCell ref="J1586:K1586"/>
    <mergeCell ref="B1572:G1572"/>
    <mergeCell ref="H1572:L1572"/>
    <mergeCell ref="B1573:G1573"/>
    <mergeCell ref="H1573:L1573"/>
    <mergeCell ref="B1574:G1574"/>
    <mergeCell ref="H1574:L1574"/>
    <mergeCell ref="B1569:G1569"/>
    <mergeCell ref="H1569:L1569"/>
    <mergeCell ref="B1570:G1570"/>
    <mergeCell ref="H1570:L1570"/>
    <mergeCell ref="B1571:G1571"/>
    <mergeCell ref="H1571:L1571"/>
    <mergeCell ref="B1553:L1553"/>
    <mergeCell ref="B1554:F1555"/>
    <mergeCell ref="H1554:L1555"/>
    <mergeCell ref="B1562:F1562"/>
    <mergeCell ref="H1562:L1562"/>
    <mergeCell ref="B1534:G1534"/>
    <mergeCell ref="H1534:L1534"/>
    <mergeCell ref="H1535:L1535"/>
    <mergeCell ref="B1551:L1551"/>
    <mergeCell ref="B1552:L1552"/>
    <mergeCell ref="H1531:L1531"/>
    <mergeCell ref="B1532:G1532"/>
    <mergeCell ref="H1532:L1532"/>
    <mergeCell ref="B1533:G1533"/>
    <mergeCell ref="H1533:L1533"/>
    <mergeCell ref="B1528:G1528"/>
    <mergeCell ref="H1528:L1528"/>
    <mergeCell ref="B1529:G1529"/>
    <mergeCell ref="H1529:L1529"/>
    <mergeCell ref="H1530:L1530"/>
    <mergeCell ref="B1525:G1525"/>
    <mergeCell ref="H1525:L1525"/>
    <mergeCell ref="B1526:G1526"/>
    <mergeCell ref="H1526:L1526"/>
    <mergeCell ref="B1527:G1527"/>
    <mergeCell ref="H1527:L1527"/>
    <mergeCell ref="H1536:L1536"/>
    <mergeCell ref="H1537:L1537"/>
    <mergeCell ref="H1538:L1538"/>
    <mergeCell ref="J1539:K1539"/>
    <mergeCell ref="B1522:G1522"/>
    <mergeCell ref="H1522:L1522"/>
    <mergeCell ref="B1523:G1523"/>
    <mergeCell ref="H1523:L1523"/>
    <mergeCell ref="B1524:G1524"/>
    <mergeCell ref="H1524:L1524"/>
    <mergeCell ref="B1506:L1506"/>
    <mergeCell ref="B1507:F1508"/>
    <mergeCell ref="H1507:L1508"/>
    <mergeCell ref="B1515:F1515"/>
    <mergeCell ref="H1515:L1515"/>
    <mergeCell ref="B1487:G1487"/>
    <mergeCell ref="H1487:L1487"/>
    <mergeCell ref="H1488:L1488"/>
    <mergeCell ref="B1504:L1504"/>
    <mergeCell ref="B1505:L1505"/>
    <mergeCell ref="H1484:L1484"/>
    <mergeCell ref="B1485:G1485"/>
    <mergeCell ref="H1485:L1485"/>
    <mergeCell ref="B1486:G1486"/>
    <mergeCell ref="H1486:L1486"/>
    <mergeCell ref="H1489:L1489"/>
    <mergeCell ref="H1490:L1490"/>
    <mergeCell ref="H1491:L1491"/>
    <mergeCell ref="J1492:K1492"/>
    <mergeCell ref="B1481:G1481"/>
    <mergeCell ref="H1481:L1481"/>
    <mergeCell ref="B1482:G1482"/>
    <mergeCell ref="H1482:L1482"/>
    <mergeCell ref="H1483:L1483"/>
    <mergeCell ref="B1478:G1478"/>
    <mergeCell ref="H1478:L1478"/>
    <mergeCell ref="B1479:G1479"/>
    <mergeCell ref="H1479:L1479"/>
    <mergeCell ref="B1480:G1480"/>
    <mergeCell ref="H1480:L1480"/>
    <mergeCell ref="B1475:G1475"/>
    <mergeCell ref="H1475:L1475"/>
    <mergeCell ref="B1476:G1476"/>
    <mergeCell ref="H1476:L1476"/>
    <mergeCell ref="B1477:G1477"/>
    <mergeCell ref="H1477:L1477"/>
    <mergeCell ref="B1459:L1459"/>
    <mergeCell ref="B1460:F1461"/>
    <mergeCell ref="H1460:L1461"/>
    <mergeCell ref="B1468:F1468"/>
    <mergeCell ref="H1468:L1468"/>
    <mergeCell ref="B1440:G1440"/>
    <mergeCell ref="H1440:L1440"/>
    <mergeCell ref="H1441:L1441"/>
    <mergeCell ref="B1457:L1457"/>
    <mergeCell ref="B1458:L1458"/>
    <mergeCell ref="H1437:L1437"/>
    <mergeCell ref="B1438:G1438"/>
    <mergeCell ref="H1438:L1438"/>
    <mergeCell ref="B1439:G1439"/>
    <mergeCell ref="H1439:L1439"/>
    <mergeCell ref="B1434:G1434"/>
    <mergeCell ref="H1434:L1434"/>
    <mergeCell ref="B1435:G1435"/>
    <mergeCell ref="H1435:L1435"/>
    <mergeCell ref="H1436:L1436"/>
    <mergeCell ref="H1442:L1442"/>
    <mergeCell ref="H1443:L1443"/>
    <mergeCell ref="H1444:L1444"/>
    <mergeCell ref="J1445:K1445"/>
    <mergeCell ref="B1431:G1431"/>
    <mergeCell ref="H1431:L1431"/>
    <mergeCell ref="B1432:G1432"/>
    <mergeCell ref="H1432:L1432"/>
    <mergeCell ref="B1433:G1433"/>
    <mergeCell ref="H1433:L1433"/>
    <mergeCell ref="B1428:G1428"/>
    <mergeCell ref="H1428:L1428"/>
    <mergeCell ref="B1429:G1429"/>
    <mergeCell ref="H1429:L1429"/>
    <mergeCell ref="B1430:G1430"/>
    <mergeCell ref="H1430:L1430"/>
    <mergeCell ref="B1412:L1412"/>
    <mergeCell ref="B1413:F1414"/>
    <mergeCell ref="H1413:L1414"/>
    <mergeCell ref="B1421:F1421"/>
    <mergeCell ref="H1421:L1421"/>
    <mergeCell ref="B1393:G1393"/>
    <mergeCell ref="H1393:L1393"/>
    <mergeCell ref="H1394:L1394"/>
    <mergeCell ref="B1410:L1410"/>
    <mergeCell ref="B1411:L1411"/>
    <mergeCell ref="H1390:L1390"/>
    <mergeCell ref="B1391:G1391"/>
    <mergeCell ref="H1391:L1391"/>
    <mergeCell ref="B1392:G1392"/>
    <mergeCell ref="H1392:L1392"/>
    <mergeCell ref="B1387:G1387"/>
    <mergeCell ref="H1387:L1387"/>
    <mergeCell ref="B1388:G1388"/>
    <mergeCell ref="H1388:L1388"/>
    <mergeCell ref="H1389:L1389"/>
    <mergeCell ref="B1384:G1384"/>
    <mergeCell ref="H1384:L1384"/>
    <mergeCell ref="B1385:G1385"/>
    <mergeCell ref="H1385:L1385"/>
    <mergeCell ref="B1386:G1386"/>
    <mergeCell ref="H1386:L1386"/>
    <mergeCell ref="H1395:L1395"/>
    <mergeCell ref="H1396:L1396"/>
    <mergeCell ref="H1397:L1397"/>
    <mergeCell ref="J1398:K1398"/>
    <mergeCell ref="B1381:G1381"/>
    <mergeCell ref="H1381:L1381"/>
    <mergeCell ref="B1382:G1382"/>
    <mergeCell ref="H1382:L1382"/>
    <mergeCell ref="B1383:G1383"/>
    <mergeCell ref="H1383:L1383"/>
    <mergeCell ref="B1365:L1365"/>
    <mergeCell ref="B1366:F1367"/>
    <mergeCell ref="H1366:L1367"/>
    <mergeCell ref="B1374:F1374"/>
    <mergeCell ref="H1374:L1374"/>
    <mergeCell ref="B1346:G1346"/>
    <mergeCell ref="H1346:L1346"/>
    <mergeCell ref="H1347:L1347"/>
    <mergeCell ref="B1363:L1363"/>
    <mergeCell ref="B1364:L1364"/>
    <mergeCell ref="H1343:L1343"/>
    <mergeCell ref="B1344:G1344"/>
    <mergeCell ref="H1344:L1344"/>
    <mergeCell ref="B1345:G1345"/>
    <mergeCell ref="H1345:L1345"/>
    <mergeCell ref="H1348:L1348"/>
    <mergeCell ref="H1349:L1349"/>
    <mergeCell ref="H1350:L1350"/>
    <mergeCell ref="J1351:K1351"/>
    <mergeCell ref="B1340:G1340"/>
    <mergeCell ref="H1340:L1340"/>
    <mergeCell ref="B1341:G1341"/>
    <mergeCell ref="H1341:L1341"/>
    <mergeCell ref="H1342:L1342"/>
    <mergeCell ref="B1337:G1337"/>
    <mergeCell ref="H1337:L1337"/>
    <mergeCell ref="B1338:G1338"/>
    <mergeCell ref="H1338:L1338"/>
    <mergeCell ref="B1339:G1339"/>
    <mergeCell ref="H1339:L1339"/>
    <mergeCell ref="B1334:G1334"/>
    <mergeCell ref="H1334:L1334"/>
    <mergeCell ref="B1335:G1335"/>
    <mergeCell ref="H1335:L1335"/>
    <mergeCell ref="B1336:G1336"/>
    <mergeCell ref="H1336:L1336"/>
    <mergeCell ref="B1318:L1318"/>
    <mergeCell ref="B1319:F1320"/>
    <mergeCell ref="H1319:L1320"/>
    <mergeCell ref="B1327:F1327"/>
    <mergeCell ref="H1327:L1327"/>
    <mergeCell ref="B1299:G1299"/>
    <mergeCell ref="H1299:L1299"/>
    <mergeCell ref="H1300:L1300"/>
    <mergeCell ref="B1316:L1316"/>
    <mergeCell ref="B1317:L1317"/>
    <mergeCell ref="H1296:L1296"/>
    <mergeCell ref="B1297:G1297"/>
    <mergeCell ref="H1297:L1297"/>
    <mergeCell ref="B1298:G1298"/>
    <mergeCell ref="H1298:L1298"/>
    <mergeCell ref="B1293:G1293"/>
    <mergeCell ref="H1293:L1293"/>
    <mergeCell ref="B1294:G1294"/>
    <mergeCell ref="H1294:L1294"/>
    <mergeCell ref="H1295:L1295"/>
    <mergeCell ref="H1301:L1301"/>
    <mergeCell ref="H1302:L1302"/>
    <mergeCell ref="H1303:L1303"/>
    <mergeCell ref="J1304:K1304"/>
    <mergeCell ref="B1290:G1290"/>
    <mergeCell ref="H1290:L1290"/>
    <mergeCell ref="B1291:G1291"/>
    <mergeCell ref="H1291:L1291"/>
    <mergeCell ref="B1292:G1292"/>
    <mergeCell ref="H1292:L1292"/>
    <mergeCell ref="B1287:G1287"/>
    <mergeCell ref="H1287:L1287"/>
    <mergeCell ref="B1288:G1288"/>
    <mergeCell ref="H1288:L1288"/>
    <mergeCell ref="B1289:G1289"/>
    <mergeCell ref="H1289:L1289"/>
    <mergeCell ref="B1271:L1271"/>
    <mergeCell ref="B1272:F1273"/>
    <mergeCell ref="H1272:L1273"/>
    <mergeCell ref="B1280:F1280"/>
    <mergeCell ref="H1280:L1280"/>
    <mergeCell ref="B1252:G1252"/>
    <mergeCell ref="H1252:L1252"/>
    <mergeCell ref="H1253:L1253"/>
    <mergeCell ref="B1269:L1269"/>
    <mergeCell ref="B1270:L1270"/>
    <mergeCell ref="H1249:L1249"/>
    <mergeCell ref="B1250:G1250"/>
    <mergeCell ref="H1250:L1250"/>
    <mergeCell ref="B1251:G1251"/>
    <mergeCell ref="H1251:L1251"/>
    <mergeCell ref="B1246:G1246"/>
    <mergeCell ref="H1246:L1246"/>
    <mergeCell ref="B1247:G1247"/>
    <mergeCell ref="H1247:L1247"/>
    <mergeCell ref="H1248:L1248"/>
    <mergeCell ref="B1243:G1243"/>
    <mergeCell ref="H1243:L1243"/>
    <mergeCell ref="B1244:G1244"/>
    <mergeCell ref="H1244:L1244"/>
    <mergeCell ref="B1245:G1245"/>
    <mergeCell ref="H1245:L1245"/>
    <mergeCell ref="H1254:L1254"/>
    <mergeCell ref="H1255:L1255"/>
    <mergeCell ref="H1256:L1256"/>
    <mergeCell ref="J1257:K1257"/>
    <mergeCell ref="B1240:G1240"/>
    <mergeCell ref="H1240:L1240"/>
    <mergeCell ref="B1241:G1241"/>
    <mergeCell ref="H1241:L1241"/>
    <mergeCell ref="B1242:G1242"/>
    <mergeCell ref="H1242:L1242"/>
    <mergeCell ref="B1224:L1224"/>
    <mergeCell ref="B1225:F1226"/>
    <mergeCell ref="H1225:L1226"/>
    <mergeCell ref="B1233:F1233"/>
    <mergeCell ref="H1233:L1233"/>
    <mergeCell ref="B1205:G1205"/>
    <mergeCell ref="H1205:L1205"/>
    <mergeCell ref="H1206:L1206"/>
    <mergeCell ref="B1222:L1222"/>
    <mergeCell ref="B1223:L1223"/>
    <mergeCell ref="H1202:L1202"/>
    <mergeCell ref="B1203:G1203"/>
    <mergeCell ref="H1203:L1203"/>
    <mergeCell ref="B1204:G1204"/>
    <mergeCell ref="H1204:L1204"/>
    <mergeCell ref="H1207:L1207"/>
    <mergeCell ref="H1208:L1208"/>
    <mergeCell ref="H1209:L1209"/>
    <mergeCell ref="J1210:K1210"/>
    <mergeCell ref="B1199:G1199"/>
    <mergeCell ref="H1199:L1199"/>
    <mergeCell ref="B1200:G1200"/>
    <mergeCell ref="H1200:L1200"/>
    <mergeCell ref="H1201:L1201"/>
    <mergeCell ref="B1196:G1196"/>
    <mergeCell ref="H1196:L1196"/>
    <mergeCell ref="B1197:G1197"/>
    <mergeCell ref="H1197:L1197"/>
    <mergeCell ref="B1198:G1198"/>
    <mergeCell ref="H1198:L1198"/>
    <mergeCell ref="B1193:G1193"/>
    <mergeCell ref="H1193:L1193"/>
    <mergeCell ref="B1194:G1194"/>
    <mergeCell ref="H1194:L1194"/>
    <mergeCell ref="B1195:G1195"/>
    <mergeCell ref="H1195:L1195"/>
    <mergeCell ref="B1177:L1177"/>
    <mergeCell ref="B1178:F1179"/>
    <mergeCell ref="H1178:L1179"/>
    <mergeCell ref="B1186:F1186"/>
    <mergeCell ref="H1186:L1186"/>
    <mergeCell ref="B1158:G1158"/>
    <mergeCell ref="H1158:L1158"/>
    <mergeCell ref="H1159:L1159"/>
    <mergeCell ref="B1175:L1175"/>
    <mergeCell ref="B1176:L1176"/>
    <mergeCell ref="H1155:L1155"/>
    <mergeCell ref="B1156:G1156"/>
    <mergeCell ref="H1156:L1156"/>
    <mergeCell ref="B1157:G1157"/>
    <mergeCell ref="H1157:L1157"/>
    <mergeCell ref="B1152:G1152"/>
    <mergeCell ref="H1152:L1152"/>
    <mergeCell ref="B1153:G1153"/>
    <mergeCell ref="H1153:L1153"/>
    <mergeCell ref="H1154:L1154"/>
    <mergeCell ref="H1160:L1160"/>
    <mergeCell ref="H1161:L1161"/>
    <mergeCell ref="H1162:L1162"/>
    <mergeCell ref="J1163:K1163"/>
    <mergeCell ref="B1149:G1149"/>
    <mergeCell ref="H1149:L1149"/>
    <mergeCell ref="B1150:G1150"/>
    <mergeCell ref="H1150:L1150"/>
    <mergeCell ref="B1151:G1151"/>
    <mergeCell ref="H1151:L1151"/>
    <mergeCell ref="B1146:G1146"/>
    <mergeCell ref="H1146:L1146"/>
    <mergeCell ref="B1147:G1147"/>
    <mergeCell ref="H1147:L1147"/>
    <mergeCell ref="B1148:G1148"/>
    <mergeCell ref="H1148:L1148"/>
    <mergeCell ref="B1130:L1130"/>
    <mergeCell ref="B1131:F1132"/>
    <mergeCell ref="H1131:L1132"/>
    <mergeCell ref="B1139:F1139"/>
    <mergeCell ref="H1139:L1139"/>
    <mergeCell ref="B1111:G1111"/>
    <mergeCell ref="H1111:L1111"/>
    <mergeCell ref="H1112:L1112"/>
    <mergeCell ref="B1128:L1128"/>
    <mergeCell ref="B1129:L1129"/>
    <mergeCell ref="H1108:L1108"/>
    <mergeCell ref="B1109:G1109"/>
    <mergeCell ref="H1109:L1109"/>
    <mergeCell ref="B1110:G1110"/>
    <mergeCell ref="H1110:L1110"/>
    <mergeCell ref="B1105:G1105"/>
    <mergeCell ref="H1105:L1105"/>
    <mergeCell ref="B1106:G1106"/>
    <mergeCell ref="H1106:L1106"/>
    <mergeCell ref="H1107:L1107"/>
    <mergeCell ref="B1102:G1102"/>
    <mergeCell ref="H1102:L1102"/>
    <mergeCell ref="B1103:G1103"/>
    <mergeCell ref="H1103:L1103"/>
    <mergeCell ref="B1104:G1104"/>
    <mergeCell ref="H1104:L1104"/>
    <mergeCell ref="H1113:L1113"/>
    <mergeCell ref="H1114:L1114"/>
    <mergeCell ref="H1115:L1115"/>
    <mergeCell ref="J1116:K1116"/>
    <mergeCell ref="B1099:G1099"/>
    <mergeCell ref="H1099:L1099"/>
    <mergeCell ref="B1100:G1100"/>
    <mergeCell ref="H1100:L1100"/>
    <mergeCell ref="B1101:G1101"/>
    <mergeCell ref="H1101:L1101"/>
    <mergeCell ref="B1083:L1083"/>
    <mergeCell ref="B1084:F1085"/>
    <mergeCell ref="H1084:L1085"/>
    <mergeCell ref="B1092:F1092"/>
    <mergeCell ref="H1092:L1092"/>
    <mergeCell ref="B1064:G1064"/>
    <mergeCell ref="H1064:L1064"/>
    <mergeCell ref="H1065:L1065"/>
    <mergeCell ref="B1081:L1081"/>
    <mergeCell ref="B1082:L1082"/>
    <mergeCell ref="H1061:L1061"/>
    <mergeCell ref="B1062:G1062"/>
    <mergeCell ref="H1062:L1062"/>
    <mergeCell ref="B1063:G1063"/>
    <mergeCell ref="H1063:L1063"/>
    <mergeCell ref="H1066:L1066"/>
    <mergeCell ref="H1067:L1067"/>
    <mergeCell ref="H1068:L1068"/>
    <mergeCell ref="J1069:K1069"/>
    <mergeCell ref="B1058:G1058"/>
    <mergeCell ref="H1058:L1058"/>
    <mergeCell ref="B1059:G1059"/>
    <mergeCell ref="H1059:L1059"/>
    <mergeCell ref="H1060:L1060"/>
    <mergeCell ref="B1055:G1055"/>
    <mergeCell ref="H1055:L1055"/>
    <mergeCell ref="B1056:G1056"/>
    <mergeCell ref="H1056:L1056"/>
    <mergeCell ref="B1057:G1057"/>
    <mergeCell ref="H1057:L1057"/>
    <mergeCell ref="B1052:G1052"/>
    <mergeCell ref="H1052:L1052"/>
    <mergeCell ref="B1053:G1053"/>
    <mergeCell ref="H1053:L1053"/>
    <mergeCell ref="B1054:G1054"/>
    <mergeCell ref="H1054:L1054"/>
    <mergeCell ref="B1036:L1036"/>
    <mergeCell ref="B1037:F1038"/>
    <mergeCell ref="H1037:L1038"/>
    <mergeCell ref="B1045:F1045"/>
    <mergeCell ref="H1045:L1045"/>
    <mergeCell ref="B1017:G1017"/>
    <mergeCell ref="H1017:L1017"/>
    <mergeCell ref="H1018:L1018"/>
    <mergeCell ref="B1034:L1034"/>
    <mergeCell ref="B1035:L1035"/>
    <mergeCell ref="H1014:L1014"/>
    <mergeCell ref="B1015:G1015"/>
    <mergeCell ref="H1015:L1015"/>
    <mergeCell ref="B1016:G1016"/>
    <mergeCell ref="H1016:L1016"/>
    <mergeCell ref="B1011:G1011"/>
    <mergeCell ref="H1011:L1011"/>
    <mergeCell ref="B1012:G1012"/>
    <mergeCell ref="H1012:L1012"/>
    <mergeCell ref="H1013:L1013"/>
    <mergeCell ref="H1019:L1019"/>
    <mergeCell ref="H1020:L1020"/>
    <mergeCell ref="H1021:L1021"/>
    <mergeCell ref="J1022:K1022"/>
    <mergeCell ref="B1008:G1008"/>
    <mergeCell ref="H1008:L1008"/>
    <mergeCell ref="B1009:G1009"/>
    <mergeCell ref="H1009:L1009"/>
    <mergeCell ref="B1010:G1010"/>
    <mergeCell ref="H1010:L1010"/>
    <mergeCell ref="B1005:G1005"/>
    <mergeCell ref="H1005:L1005"/>
    <mergeCell ref="B1006:G1006"/>
    <mergeCell ref="H1006:L1006"/>
    <mergeCell ref="B1007:G1007"/>
    <mergeCell ref="H1007:L1007"/>
    <mergeCell ref="B989:L989"/>
    <mergeCell ref="B990:F991"/>
    <mergeCell ref="H990:L991"/>
    <mergeCell ref="B998:F998"/>
    <mergeCell ref="H998:L998"/>
    <mergeCell ref="B970:G970"/>
    <mergeCell ref="H970:L970"/>
    <mergeCell ref="H971:L971"/>
    <mergeCell ref="B987:L987"/>
    <mergeCell ref="B988:L988"/>
    <mergeCell ref="H967:L967"/>
    <mergeCell ref="B968:G968"/>
    <mergeCell ref="H968:L968"/>
    <mergeCell ref="B969:G969"/>
    <mergeCell ref="H969:L969"/>
    <mergeCell ref="B964:G964"/>
    <mergeCell ref="H964:L964"/>
    <mergeCell ref="B965:G965"/>
    <mergeCell ref="H965:L965"/>
    <mergeCell ref="H966:L966"/>
    <mergeCell ref="B961:G961"/>
    <mergeCell ref="H961:L961"/>
    <mergeCell ref="B962:G962"/>
    <mergeCell ref="H962:L962"/>
    <mergeCell ref="B963:G963"/>
    <mergeCell ref="H963:L963"/>
    <mergeCell ref="H972:L972"/>
    <mergeCell ref="H973:L973"/>
    <mergeCell ref="H974:L974"/>
    <mergeCell ref="J975:K975"/>
    <mergeCell ref="B958:G958"/>
    <mergeCell ref="H958:L958"/>
    <mergeCell ref="B959:G959"/>
    <mergeCell ref="H959:L959"/>
    <mergeCell ref="B960:G960"/>
    <mergeCell ref="H960:L960"/>
    <mergeCell ref="B942:L942"/>
    <mergeCell ref="B943:F944"/>
    <mergeCell ref="H943:L944"/>
    <mergeCell ref="B951:F951"/>
    <mergeCell ref="H951:L951"/>
    <mergeCell ref="B923:G923"/>
    <mergeCell ref="H923:L923"/>
    <mergeCell ref="H924:L924"/>
    <mergeCell ref="B940:L940"/>
    <mergeCell ref="B941:L941"/>
    <mergeCell ref="H920:L920"/>
    <mergeCell ref="B921:G921"/>
    <mergeCell ref="H921:L921"/>
    <mergeCell ref="B922:G922"/>
    <mergeCell ref="H922:L922"/>
    <mergeCell ref="H925:L925"/>
    <mergeCell ref="H926:L926"/>
    <mergeCell ref="H927:L927"/>
    <mergeCell ref="J928:K928"/>
    <mergeCell ref="B917:G917"/>
    <mergeCell ref="H917:L917"/>
    <mergeCell ref="B918:G918"/>
    <mergeCell ref="H918:L918"/>
    <mergeCell ref="H919:L919"/>
    <mergeCell ref="B914:G914"/>
    <mergeCell ref="H914:L914"/>
    <mergeCell ref="B915:G915"/>
    <mergeCell ref="H915:L915"/>
    <mergeCell ref="B916:G916"/>
    <mergeCell ref="H916:L916"/>
    <mergeCell ref="B911:G911"/>
    <mergeCell ref="H911:L911"/>
    <mergeCell ref="B912:G912"/>
    <mergeCell ref="H912:L912"/>
    <mergeCell ref="B913:G913"/>
    <mergeCell ref="H913:L913"/>
    <mergeCell ref="B895:L895"/>
    <mergeCell ref="B896:F897"/>
    <mergeCell ref="H896:L897"/>
    <mergeCell ref="B904:F904"/>
    <mergeCell ref="H904:L904"/>
    <mergeCell ref="B876:G876"/>
    <mergeCell ref="H876:L876"/>
    <mergeCell ref="H877:L877"/>
    <mergeCell ref="B893:L893"/>
    <mergeCell ref="B894:L894"/>
    <mergeCell ref="H873:L873"/>
    <mergeCell ref="B874:G874"/>
    <mergeCell ref="H874:L874"/>
    <mergeCell ref="B875:G875"/>
    <mergeCell ref="H875:L875"/>
    <mergeCell ref="B870:G870"/>
    <mergeCell ref="H870:L870"/>
    <mergeCell ref="B871:G871"/>
    <mergeCell ref="H871:L871"/>
    <mergeCell ref="H872:L872"/>
    <mergeCell ref="H878:L878"/>
    <mergeCell ref="H879:L879"/>
    <mergeCell ref="H880:L880"/>
    <mergeCell ref="J881:K881"/>
    <mergeCell ref="B867:G867"/>
    <mergeCell ref="H867:L867"/>
    <mergeCell ref="B868:G868"/>
    <mergeCell ref="H868:L868"/>
    <mergeCell ref="B869:G869"/>
    <mergeCell ref="H869:L869"/>
    <mergeCell ref="B864:G864"/>
    <mergeCell ref="H864:L864"/>
    <mergeCell ref="B865:G865"/>
    <mergeCell ref="H865:L865"/>
    <mergeCell ref="B866:G866"/>
    <mergeCell ref="H866:L866"/>
    <mergeCell ref="B848:L848"/>
    <mergeCell ref="B849:F850"/>
    <mergeCell ref="H849:L850"/>
    <mergeCell ref="B857:F857"/>
    <mergeCell ref="H857:L857"/>
    <mergeCell ref="B829:G829"/>
    <mergeCell ref="H829:L829"/>
    <mergeCell ref="H830:L830"/>
    <mergeCell ref="B846:L846"/>
    <mergeCell ref="B847:L847"/>
    <mergeCell ref="H826:L826"/>
    <mergeCell ref="B827:G827"/>
    <mergeCell ref="H827:L827"/>
    <mergeCell ref="B828:G828"/>
    <mergeCell ref="H828:L828"/>
    <mergeCell ref="B823:G823"/>
    <mergeCell ref="H823:L823"/>
    <mergeCell ref="B824:G824"/>
    <mergeCell ref="H824:L824"/>
    <mergeCell ref="H825:L825"/>
    <mergeCell ref="B820:G820"/>
    <mergeCell ref="H820:L820"/>
    <mergeCell ref="B821:G821"/>
    <mergeCell ref="H821:L821"/>
    <mergeCell ref="B822:G822"/>
    <mergeCell ref="H822:L822"/>
    <mergeCell ref="H831:L831"/>
    <mergeCell ref="H832:L832"/>
    <mergeCell ref="H833:L833"/>
    <mergeCell ref="J834:K834"/>
    <mergeCell ref="B817:G817"/>
    <mergeCell ref="H817:L817"/>
    <mergeCell ref="B818:G818"/>
    <mergeCell ref="H818:L818"/>
    <mergeCell ref="B819:G819"/>
    <mergeCell ref="H819:L819"/>
    <mergeCell ref="B801:L801"/>
    <mergeCell ref="B802:F803"/>
    <mergeCell ref="H802:L803"/>
    <mergeCell ref="B810:F810"/>
    <mergeCell ref="H810:L810"/>
    <mergeCell ref="B782:G782"/>
    <mergeCell ref="H782:L782"/>
    <mergeCell ref="H783:L783"/>
    <mergeCell ref="B799:L799"/>
    <mergeCell ref="B800:L800"/>
    <mergeCell ref="H779:L779"/>
    <mergeCell ref="B780:G780"/>
    <mergeCell ref="H780:L780"/>
    <mergeCell ref="B781:G781"/>
    <mergeCell ref="H781:L781"/>
    <mergeCell ref="H784:L784"/>
    <mergeCell ref="H785:L785"/>
    <mergeCell ref="H786:L786"/>
    <mergeCell ref="J787:K787"/>
    <mergeCell ref="B776:G776"/>
    <mergeCell ref="H776:L776"/>
    <mergeCell ref="B777:G777"/>
    <mergeCell ref="H777:L777"/>
    <mergeCell ref="H778:L778"/>
    <mergeCell ref="B773:G773"/>
    <mergeCell ref="H773:L773"/>
    <mergeCell ref="B774:G774"/>
    <mergeCell ref="H774:L774"/>
    <mergeCell ref="B775:G775"/>
    <mergeCell ref="H775:L775"/>
    <mergeCell ref="B770:G770"/>
    <mergeCell ref="H770:L770"/>
    <mergeCell ref="B771:G771"/>
    <mergeCell ref="H771:L771"/>
    <mergeCell ref="B772:G772"/>
    <mergeCell ref="H772:L772"/>
    <mergeCell ref="B754:L754"/>
    <mergeCell ref="B755:F756"/>
    <mergeCell ref="H755:L756"/>
    <mergeCell ref="B763:F763"/>
    <mergeCell ref="H763:L763"/>
    <mergeCell ref="B735:G735"/>
    <mergeCell ref="H735:L735"/>
    <mergeCell ref="H736:L736"/>
    <mergeCell ref="B752:L752"/>
    <mergeCell ref="B753:L753"/>
    <mergeCell ref="H732:L732"/>
    <mergeCell ref="B733:G733"/>
    <mergeCell ref="H733:L733"/>
    <mergeCell ref="B734:G734"/>
    <mergeCell ref="H734:L734"/>
    <mergeCell ref="B729:G729"/>
    <mergeCell ref="H729:L729"/>
    <mergeCell ref="B730:G730"/>
    <mergeCell ref="H730:L730"/>
    <mergeCell ref="H731:L731"/>
    <mergeCell ref="H737:L737"/>
    <mergeCell ref="H738:L738"/>
    <mergeCell ref="H739:L739"/>
    <mergeCell ref="J740:K740"/>
    <mergeCell ref="B726:G726"/>
    <mergeCell ref="H726:L726"/>
    <mergeCell ref="B727:G727"/>
    <mergeCell ref="H727:L727"/>
    <mergeCell ref="B728:G728"/>
    <mergeCell ref="H728:L728"/>
    <mergeCell ref="B723:G723"/>
    <mergeCell ref="H723:L723"/>
    <mergeCell ref="B724:G724"/>
    <mergeCell ref="H724:L724"/>
    <mergeCell ref="B725:G725"/>
    <mergeCell ref="H725:L725"/>
    <mergeCell ref="B707:L707"/>
    <mergeCell ref="B708:F709"/>
    <mergeCell ref="H708:L709"/>
    <mergeCell ref="B716:F716"/>
    <mergeCell ref="H716:L716"/>
    <mergeCell ref="B688:G688"/>
    <mergeCell ref="H688:L688"/>
    <mergeCell ref="H689:L689"/>
    <mergeCell ref="B705:L705"/>
    <mergeCell ref="B706:L706"/>
    <mergeCell ref="H685:L685"/>
    <mergeCell ref="B686:G686"/>
    <mergeCell ref="H686:L686"/>
    <mergeCell ref="B687:G687"/>
    <mergeCell ref="H687:L687"/>
    <mergeCell ref="B682:G682"/>
    <mergeCell ref="H682:L682"/>
    <mergeCell ref="B683:G683"/>
    <mergeCell ref="H683:L683"/>
    <mergeCell ref="H684:L684"/>
    <mergeCell ref="B679:G679"/>
    <mergeCell ref="H679:L679"/>
    <mergeCell ref="B680:G680"/>
    <mergeCell ref="H680:L680"/>
    <mergeCell ref="B681:G681"/>
    <mergeCell ref="H681:L681"/>
    <mergeCell ref="H690:L690"/>
    <mergeCell ref="H691:L691"/>
    <mergeCell ref="H692:L692"/>
    <mergeCell ref="J693:K693"/>
    <mergeCell ref="B676:G676"/>
    <mergeCell ref="H676:L676"/>
    <mergeCell ref="B677:G677"/>
    <mergeCell ref="H677:L677"/>
    <mergeCell ref="B678:G678"/>
    <mergeCell ref="H678:L678"/>
    <mergeCell ref="B660:L660"/>
    <mergeCell ref="B661:F662"/>
    <mergeCell ref="H661:L662"/>
    <mergeCell ref="B669:F669"/>
    <mergeCell ref="H669:L669"/>
    <mergeCell ref="B641:G641"/>
    <mergeCell ref="H641:L641"/>
    <mergeCell ref="H642:L642"/>
    <mergeCell ref="B658:L658"/>
    <mergeCell ref="B659:L659"/>
    <mergeCell ref="H638:L638"/>
    <mergeCell ref="B639:G639"/>
    <mergeCell ref="H639:L639"/>
    <mergeCell ref="B640:G640"/>
    <mergeCell ref="H640:L640"/>
    <mergeCell ref="H643:L643"/>
    <mergeCell ref="H644:L644"/>
    <mergeCell ref="H645:L645"/>
    <mergeCell ref="J646:K646"/>
    <mergeCell ref="B635:G635"/>
    <mergeCell ref="H635:L635"/>
    <mergeCell ref="B636:G636"/>
    <mergeCell ref="H636:L636"/>
    <mergeCell ref="H637:L637"/>
    <mergeCell ref="B632:G632"/>
    <mergeCell ref="H632:L632"/>
    <mergeCell ref="B633:G633"/>
    <mergeCell ref="H633:L633"/>
    <mergeCell ref="B634:G634"/>
    <mergeCell ref="H634:L634"/>
    <mergeCell ref="B629:G629"/>
    <mergeCell ref="H629:L629"/>
    <mergeCell ref="B630:G630"/>
    <mergeCell ref="H630:L630"/>
    <mergeCell ref="B631:G631"/>
    <mergeCell ref="H631:L631"/>
    <mergeCell ref="B613:L613"/>
    <mergeCell ref="B614:F615"/>
    <mergeCell ref="H614:L615"/>
    <mergeCell ref="B622:F622"/>
    <mergeCell ref="H622:L622"/>
    <mergeCell ref="B594:G594"/>
    <mergeCell ref="H594:L594"/>
    <mergeCell ref="H595:L595"/>
    <mergeCell ref="B611:L611"/>
    <mergeCell ref="B612:L612"/>
    <mergeCell ref="H591:L591"/>
    <mergeCell ref="B592:G592"/>
    <mergeCell ref="H592:L592"/>
    <mergeCell ref="B593:G593"/>
    <mergeCell ref="H593:L593"/>
    <mergeCell ref="B588:G588"/>
    <mergeCell ref="H588:L588"/>
    <mergeCell ref="B589:G589"/>
    <mergeCell ref="H589:L589"/>
    <mergeCell ref="H590:L590"/>
    <mergeCell ref="H596:L596"/>
    <mergeCell ref="H597:L597"/>
    <mergeCell ref="H598:L598"/>
    <mergeCell ref="J599:K599"/>
    <mergeCell ref="B585:G585"/>
    <mergeCell ref="H585:L585"/>
    <mergeCell ref="B586:G586"/>
    <mergeCell ref="H586:L586"/>
    <mergeCell ref="B587:G587"/>
    <mergeCell ref="H587:L587"/>
    <mergeCell ref="B582:G582"/>
    <mergeCell ref="H582:L582"/>
    <mergeCell ref="B583:G583"/>
    <mergeCell ref="H583:L583"/>
    <mergeCell ref="B584:G584"/>
    <mergeCell ref="H584:L584"/>
    <mergeCell ref="B566:L566"/>
    <mergeCell ref="B567:F568"/>
    <mergeCell ref="H567:L568"/>
    <mergeCell ref="B575:F575"/>
    <mergeCell ref="H575:L575"/>
    <mergeCell ref="B547:G547"/>
    <mergeCell ref="H547:L547"/>
    <mergeCell ref="H548:L548"/>
    <mergeCell ref="B564:L564"/>
    <mergeCell ref="B565:L565"/>
    <mergeCell ref="H544:L544"/>
    <mergeCell ref="B545:G545"/>
    <mergeCell ref="H545:L545"/>
    <mergeCell ref="B546:G546"/>
    <mergeCell ref="H546:L546"/>
    <mergeCell ref="B541:G541"/>
    <mergeCell ref="H541:L541"/>
    <mergeCell ref="B542:G542"/>
    <mergeCell ref="H542:L542"/>
    <mergeCell ref="H543:L543"/>
    <mergeCell ref="B538:G538"/>
    <mergeCell ref="H538:L538"/>
    <mergeCell ref="B539:G539"/>
    <mergeCell ref="H539:L539"/>
    <mergeCell ref="B540:G540"/>
    <mergeCell ref="H540:L540"/>
    <mergeCell ref="H549:L549"/>
    <mergeCell ref="H550:L550"/>
    <mergeCell ref="H551:L551"/>
    <mergeCell ref="J552:K552"/>
    <mergeCell ref="B535:G535"/>
    <mergeCell ref="H535:L535"/>
    <mergeCell ref="B536:G536"/>
    <mergeCell ref="H536:L536"/>
    <mergeCell ref="B537:G537"/>
    <mergeCell ref="H537:L537"/>
    <mergeCell ref="B519:L519"/>
    <mergeCell ref="B520:F521"/>
    <mergeCell ref="H520:L521"/>
    <mergeCell ref="B528:F528"/>
    <mergeCell ref="H528:L528"/>
    <mergeCell ref="B500:G500"/>
    <mergeCell ref="H500:L500"/>
    <mergeCell ref="H501:L501"/>
    <mergeCell ref="B517:L517"/>
    <mergeCell ref="B518:L518"/>
    <mergeCell ref="H497:L497"/>
    <mergeCell ref="B498:G498"/>
    <mergeCell ref="H498:L498"/>
    <mergeCell ref="B499:G499"/>
    <mergeCell ref="H499:L499"/>
    <mergeCell ref="H502:L502"/>
    <mergeCell ref="H503:L503"/>
    <mergeCell ref="H504:L504"/>
    <mergeCell ref="J505:K505"/>
    <mergeCell ref="B494:G494"/>
    <mergeCell ref="H494:L494"/>
    <mergeCell ref="B495:G495"/>
    <mergeCell ref="H495:L495"/>
    <mergeCell ref="H496:L496"/>
    <mergeCell ref="B491:G491"/>
    <mergeCell ref="H491:L491"/>
    <mergeCell ref="B492:G492"/>
    <mergeCell ref="H492:L492"/>
    <mergeCell ref="B493:G493"/>
    <mergeCell ref="H493:L493"/>
    <mergeCell ref="B488:G488"/>
    <mergeCell ref="H488:L488"/>
    <mergeCell ref="B489:G489"/>
    <mergeCell ref="H489:L489"/>
    <mergeCell ref="B490:G490"/>
    <mergeCell ref="H490:L490"/>
    <mergeCell ref="B472:L472"/>
    <mergeCell ref="B473:F474"/>
    <mergeCell ref="H473:L474"/>
    <mergeCell ref="B481:F481"/>
    <mergeCell ref="H481:L481"/>
    <mergeCell ref="B453:G453"/>
    <mergeCell ref="H453:L453"/>
    <mergeCell ref="H454:L454"/>
    <mergeCell ref="B470:L470"/>
    <mergeCell ref="B471:L471"/>
    <mergeCell ref="H450:L450"/>
    <mergeCell ref="B451:G451"/>
    <mergeCell ref="H451:L451"/>
    <mergeCell ref="B452:G452"/>
    <mergeCell ref="H452:L452"/>
    <mergeCell ref="B447:G447"/>
    <mergeCell ref="H447:L447"/>
    <mergeCell ref="B448:G448"/>
    <mergeCell ref="H448:L448"/>
    <mergeCell ref="H449:L449"/>
    <mergeCell ref="H455:L455"/>
    <mergeCell ref="H456:L456"/>
    <mergeCell ref="H457:L457"/>
    <mergeCell ref="J458:K458"/>
    <mergeCell ref="B444:G444"/>
    <mergeCell ref="H444:L444"/>
    <mergeCell ref="B445:G445"/>
    <mergeCell ref="H445:L445"/>
    <mergeCell ref="B446:G446"/>
    <mergeCell ref="H446:L446"/>
    <mergeCell ref="B441:G441"/>
    <mergeCell ref="H441:L441"/>
    <mergeCell ref="B442:G442"/>
    <mergeCell ref="H442:L442"/>
    <mergeCell ref="B443:G443"/>
    <mergeCell ref="H443:L443"/>
    <mergeCell ref="B425:L425"/>
    <mergeCell ref="B426:F427"/>
    <mergeCell ref="H426:L427"/>
    <mergeCell ref="B434:F434"/>
    <mergeCell ref="H434:L434"/>
    <mergeCell ref="B406:G406"/>
    <mergeCell ref="H406:L406"/>
    <mergeCell ref="H407:L407"/>
    <mergeCell ref="B423:L423"/>
    <mergeCell ref="B424:L424"/>
    <mergeCell ref="H403:L403"/>
    <mergeCell ref="B404:G404"/>
    <mergeCell ref="H404:L404"/>
    <mergeCell ref="B405:G405"/>
    <mergeCell ref="H405:L405"/>
    <mergeCell ref="B400:G400"/>
    <mergeCell ref="H400:L400"/>
    <mergeCell ref="B401:G401"/>
    <mergeCell ref="H401:L401"/>
    <mergeCell ref="H402:L402"/>
    <mergeCell ref="B397:G397"/>
    <mergeCell ref="H397:L397"/>
    <mergeCell ref="B398:G398"/>
    <mergeCell ref="H398:L398"/>
    <mergeCell ref="B399:G399"/>
    <mergeCell ref="H399:L399"/>
    <mergeCell ref="H408:L408"/>
    <mergeCell ref="H409:L409"/>
    <mergeCell ref="H410:L410"/>
    <mergeCell ref="J411:K411"/>
    <mergeCell ref="B394:G394"/>
    <mergeCell ref="H394:L394"/>
    <mergeCell ref="B395:G395"/>
    <mergeCell ref="H395:L395"/>
    <mergeCell ref="B396:G396"/>
    <mergeCell ref="H396:L396"/>
    <mergeCell ref="B378:L378"/>
    <mergeCell ref="B379:F380"/>
    <mergeCell ref="H379:L380"/>
    <mergeCell ref="B387:F387"/>
    <mergeCell ref="H387:L387"/>
    <mergeCell ref="B359:G359"/>
    <mergeCell ref="H359:L359"/>
    <mergeCell ref="H360:L360"/>
    <mergeCell ref="B376:L376"/>
    <mergeCell ref="B377:L377"/>
    <mergeCell ref="H356:L356"/>
    <mergeCell ref="B357:G357"/>
    <mergeCell ref="H357:L357"/>
    <mergeCell ref="B358:G358"/>
    <mergeCell ref="H358:L358"/>
    <mergeCell ref="H361:L361"/>
    <mergeCell ref="H362:L362"/>
    <mergeCell ref="H363:L363"/>
    <mergeCell ref="J364:K364"/>
    <mergeCell ref="B353:G353"/>
    <mergeCell ref="H353:L353"/>
    <mergeCell ref="B354:G354"/>
    <mergeCell ref="H354:L354"/>
    <mergeCell ref="H355:L355"/>
    <mergeCell ref="B350:G350"/>
    <mergeCell ref="H350:L350"/>
    <mergeCell ref="B351:G351"/>
    <mergeCell ref="H351:L351"/>
    <mergeCell ref="B352:G352"/>
    <mergeCell ref="H352:L352"/>
    <mergeCell ref="B347:G347"/>
    <mergeCell ref="H347:L347"/>
    <mergeCell ref="B348:G348"/>
    <mergeCell ref="H348:L348"/>
    <mergeCell ref="B349:G349"/>
    <mergeCell ref="H349:L349"/>
    <mergeCell ref="B331:L331"/>
    <mergeCell ref="B332:F333"/>
    <mergeCell ref="H332:L333"/>
    <mergeCell ref="B340:F340"/>
    <mergeCell ref="H340:L340"/>
    <mergeCell ref="B312:G312"/>
    <mergeCell ref="H312:L312"/>
    <mergeCell ref="H313:L313"/>
    <mergeCell ref="B329:L329"/>
    <mergeCell ref="B330:L330"/>
    <mergeCell ref="H309:L309"/>
    <mergeCell ref="B310:G310"/>
    <mergeCell ref="H310:L310"/>
    <mergeCell ref="B311:G311"/>
    <mergeCell ref="H311:L311"/>
    <mergeCell ref="B306:G306"/>
    <mergeCell ref="H306:L306"/>
    <mergeCell ref="B307:G307"/>
    <mergeCell ref="H307:L307"/>
    <mergeCell ref="H308:L308"/>
    <mergeCell ref="H315:L315"/>
    <mergeCell ref="H316:L316"/>
    <mergeCell ref="J317:K317"/>
    <mergeCell ref="B303:G303"/>
    <mergeCell ref="H303:L303"/>
    <mergeCell ref="B304:G304"/>
    <mergeCell ref="H304:L304"/>
    <mergeCell ref="B305:G305"/>
    <mergeCell ref="H305:L305"/>
    <mergeCell ref="B300:G300"/>
    <mergeCell ref="H300:L300"/>
    <mergeCell ref="B301:G301"/>
    <mergeCell ref="H301:L301"/>
    <mergeCell ref="B302:G302"/>
    <mergeCell ref="H302:L302"/>
    <mergeCell ref="B284:L284"/>
    <mergeCell ref="B285:F286"/>
    <mergeCell ref="H285:L286"/>
    <mergeCell ref="B293:F293"/>
    <mergeCell ref="H293:L293"/>
    <mergeCell ref="B265:G265"/>
    <mergeCell ref="H265:L265"/>
    <mergeCell ref="H266:L266"/>
    <mergeCell ref="B282:L282"/>
    <mergeCell ref="B283:L283"/>
    <mergeCell ref="H262:L262"/>
    <mergeCell ref="B263:G263"/>
    <mergeCell ref="H263:L263"/>
    <mergeCell ref="B264:G264"/>
    <mergeCell ref="H264:L264"/>
    <mergeCell ref="B259:G259"/>
    <mergeCell ref="H259:L259"/>
    <mergeCell ref="B260:G260"/>
    <mergeCell ref="H260:L260"/>
    <mergeCell ref="H261:L261"/>
    <mergeCell ref="B256:G256"/>
    <mergeCell ref="H256:L256"/>
    <mergeCell ref="B257:G257"/>
    <mergeCell ref="H257:L257"/>
    <mergeCell ref="B258:G258"/>
    <mergeCell ref="H258:L258"/>
    <mergeCell ref="B253:G253"/>
    <mergeCell ref="H253:L253"/>
    <mergeCell ref="B254:G254"/>
    <mergeCell ref="H254:L254"/>
    <mergeCell ref="B255:G255"/>
    <mergeCell ref="H255:L255"/>
    <mergeCell ref="B237:L237"/>
    <mergeCell ref="B238:F239"/>
    <mergeCell ref="H238:L239"/>
    <mergeCell ref="B246:F246"/>
    <mergeCell ref="H246:L246"/>
    <mergeCell ref="B218:G218"/>
    <mergeCell ref="H218:L218"/>
    <mergeCell ref="H219:L219"/>
    <mergeCell ref="B235:L235"/>
    <mergeCell ref="B236:L236"/>
    <mergeCell ref="H215:L215"/>
    <mergeCell ref="B216:G216"/>
    <mergeCell ref="H216:L216"/>
    <mergeCell ref="B217:G217"/>
    <mergeCell ref="H217:L217"/>
    <mergeCell ref="B212:G212"/>
    <mergeCell ref="H212:L212"/>
    <mergeCell ref="B213:G213"/>
    <mergeCell ref="H213:L213"/>
    <mergeCell ref="H214:L214"/>
    <mergeCell ref="B209:G209"/>
    <mergeCell ref="H209:L209"/>
    <mergeCell ref="B210:G210"/>
    <mergeCell ref="H210:L210"/>
    <mergeCell ref="B211:G211"/>
    <mergeCell ref="H211:L211"/>
    <mergeCell ref="B206:G206"/>
    <mergeCell ref="H206:L206"/>
    <mergeCell ref="B207:G207"/>
    <mergeCell ref="H207:L207"/>
    <mergeCell ref="B208:G208"/>
    <mergeCell ref="H208:L208"/>
    <mergeCell ref="H170:L170"/>
    <mergeCell ref="B164:G164"/>
    <mergeCell ref="H164:L164"/>
    <mergeCell ref="B165:G165"/>
    <mergeCell ref="H165:L165"/>
    <mergeCell ref="B166:G166"/>
    <mergeCell ref="H166:L166"/>
    <mergeCell ref="B161:G161"/>
    <mergeCell ref="H161:L161"/>
    <mergeCell ref="B162:G162"/>
    <mergeCell ref="H162:L162"/>
    <mergeCell ref="B163:G163"/>
    <mergeCell ref="H163:L163"/>
    <mergeCell ref="B152:F152"/>
    <mergeCell ref="H152:L152"/>
    <mergeCell ref="B159:G159"/>
    <mergeCell ref="H159:L159"/>
    <mergeCell ref="B160:G160"/>
    <mergeCell ref="H160:L160"/>
    <mergeCell ref="B141:L141"/>
    <mergeCell ref="B142:L142"/>
    <mergeCell ref="B143:L143"/>
    <mergeCell ref="B144:F145"/>
    <mergeCell ref="H144:L145"/>
    <mergeCell ref="B1:L1"/>
    <mergeCell ref="B2:L2"/>
    <mergeCell ref="B3:L3"/>
    <mergeCell ref="B4:F5"/>
    <mergeCell ref="H4:L5"/>
    <mergeCell ref="B12:F12"/>
    <mergeCell ref="H12:L12"/>
    <mergeCell ref="B31:G31"/>
    <mergeCell ref="H31:L31"/>
    <mergeCell ref="B26:G26"/>
    <mergeCell ref="H26:L26"/>
    <mergeCell ref="B29:G29"/>
    <mergeCell ref="H29:L29"/>
    <mergeCell ref="B30:G30"/>
    <mergeCell ref="H30:L30"/>
    <mergeCell ref="B19:G19"/>
    <mergeCell ref="H19:L19"/>
    <mergeCell ref="B24:G24"/>
    <mergeCell ref="H24:L24"/>
    <mergeCell ref="B25:G25"/>
    <mergeCell ref="H25:L25"/>
    <mergeCell ref="H27:L27"/>
    <mergeCell ref="H28:L28"/>
    <mergeCell ref="H32:L32"/>
    <mergeCell ref="B20:G20"/>
    <mergeCell ref="B21:G21"/>
    <mergeCell ref="B23:G23"/>
    <mergeCell ref="H20:L20"/>
    <mergeCell ref="H21:L21"/>
    <mergeCell ref="H23:L23"/>
    <mergeCell ref="B70:G70"/>
    <mergeCell ref="H70:L70"/>
    <mergeCell ref="H71:L71"/>
    <mergeCell ref="H72:L72"/>
    <mergeCell ref="B66:G66"/>
    <mergeCell ref="H66:L66"/>
    <mergeCell ref="B68:G68"/>
    <mergeCell ref="H68:L68"/>
    <mergeCell ref="B69:G69"/>
    <mergeCell ref="H69:L69"/>
    <mergeCell ref="H33:L33"/>
    <mergeCell ref="H34:L34"/>
    <mergeCell ref="H35:L35"/>
    <mergeCell ref="J36:K36"/>
    <mergeCell ref="B115:G115"/>
    <mergeCell ref="H115:L115"/>
    <mergeCell ref="B73:G73"/>
    <mergeCell ref="H73:L73"/>
    <mergeCell ref="H74:L74"/>
    <mergeCell ref="H75:L75"/>
    <mergeCell ref="H76:L76"/>
    <mergeCell ref="B75:G75"/>
    <mergeCell ref="B74:G74"/>
    <mergeCell ref="B45:L45"/>
    <mergeCell ref="B46:L46"/>
    <mergeCell ref="B47:L47"/>
    <mergeCell ref="H65:L65"/>
    <mergeCell ref="B65:G65"/>
    <mergeCell ref="H64:L64"/>
    <mergeCell ref="B64:G64"/>
    <mergeCell ref="B63:G63"/>
    <mergeCell ref="H63:L63"/>
    <mergeCell ref="B48:F49"/>
    <mergeCell ref="H48:L49"/>
    <mergeCell ref="B56:F56"/>
    <mergeCell ref="H56:L56"/>
    <mergeCell ref="H77:L77"/>
    <mergeCell ref="H78:L78"/>
    <mergeCell ref="H79:L79"/>
    <mergeCell ref="J80:K80"/>
    <mergeCell ref="B122:G122"/>
    <mergeCell ref="H122:L122"/>
    <mergeCell ref="H123:L123"/>
    <mergeCell ref="B22:G22"/>
    <mergeCell ref="H22:L22"/>
    <mergeCell ref="B67:G67"/>
    <mergeCell ref="H67:L67"/>
    <mergeCell ref="H119:L119"/>
    <mergeCell ref="B120:G120"/>
    <mergeCell ref="H120:L120"/>
    <mergeCell ref="B121:G121"/>
    <mergeCell ref="H121:L121"/>
    <mergeCell ref="B116:G116"/>
    <mergeCell ref="H116:L116"/>
    <mergeCell ref="B117:G117"/>
    <mergeCell ref="H117:L117"/>
    <mergeCell ref="B93:L93"/>
    <mergeCell ref="B94:L94"/>
    <mergeCell ref="B95:L95"/>
    <mergeCell ref="B96:F97"/>
    <mergeCell ref="H96:L97"/>
    <mergeCell ref="B104:F104"/>
    <mergeCell ref="H104:L104"/>
    <mergeCell ref="B111:G111"/>
    <mergeCell ref="H111:L111"/>
    <mergeCell ref="B112:G112"/>
    <mergeCell ref="H112:L112"/>
    <mergeCell ref="H118:L118"/>
    <mergeCell ref="B113:G113"/>
    <mergeCell ref="H113:L113"/>
    <mergeCell ref="B114:G114"/>
    <mergeCell ref="H114:L114"/>
  </mergeCells>
  <pageMargins left="0.56999999999999995" right="0.23622047244094499" top="1.04" bottom="1.1000000000000001" header="0.33" footer="1.02"/>
  <pageSetup paperSize="9" scale="67" orientation="portrait" verticalDpi="300" r:id="rId1"/>
</worksheet>
</file>

<file path=xl/worksheets/sheet5.xml><?xml version="1.0" encoding="utf-8"?>
<worksheet xmlns="http://schemas.openxmlformats.org/spreadsheetml/2006/main" xmlns:r="http://schemas.openxmlformats.org/officeDocument/2006/relationships">
  <dimension ref="A1:K47"/>
  <sheetViews>
    <sheetView topLeftCell="A16" workbookViewId="0">
      <selection activeCell="G21" sqref="G21"/>
    </sheetView>
  </sheetViews>
  <sheetFormatPr defaultRowHeight="14.4"/>
  <cols>
    <col min="1" max="1" width="4" customWidth="1"/>
    <col min="3" max="3" width="9.88671875" customWidth="1"/>
    <col min="5" max="5" width="23.6640625" customWidth="1"/>
    <col min="6" max="6" width="8.109375" customWidth="1"/>
    <col min="7" max="7" width="10.6640625" bestFit="1" customWidth="1"/>
    <col min="9" max="9" width="9.44140625" customWidth="1"/>
    <col min="10" max="10" width="34.6640625" customWidth="1"/>
    <col min="11" max="11" width="5" customWidth="1"/>
  </cols>
  <sheetData>
    <row r="1" spans="1:11" ht="15" thickBot="1"/>
    <row r="2" spans="1:11" ht="57.6" customHeight="1">
      <c r="A2" s="68"/>
      <c r="B2" s="1014" t="s">
        <v>182</v>
      </c>
      <c r="C2" s="1015"/>
      <c r="D2" s="1015"/>
      <c r="E2" s="1015"/>
      <c r="F2" s="1015"/>
      <c r="G2" s="1015"/>
      <c r="H2" s="1015"/>
      <c r="I2" s="1015"/>
      <c r="J2" s="1016"/>
      <c r="K2" s="69"/>
    </row>
    <row r="3" spans="1:11" ht="24.6" customHeight="1">
      <c r="A3" s="15"/>
      <c r="B3" s="1017" t="s">
        <v>1072</v>
      </c>
      <c r="C3" s="900"/>
      <c r="D3" s="900"/>
      <c r="E3" s="900"/>
      <c r="F3" s="900"/>
      <c r="G3" s="900"/>
      <c r="H3" s="900"/>
      <c r="I3" s="900"/>
      <c r="J3" s="1018"/>
      <c r="K3" s="16"/>
    </row>
    <row r="4" spans="1:11" ht="36.6" customHeight="1">
      <c r="A4" s="15"/>
      <c r="B4" s="1019" t="s">
        <v>183</v>
      </c>
      <c r="C4" s="1020"/>
      <c r="D4" s="1020"/>
      <c r="E4" s="1020"/>
      <c r="F4" s="1020"/>
      <c r="G4" s="1020"/>
      <c r="H4" s="1020"/>
      <c r="I4" s="1020"/>
      <c r="J4" s="1021"/>
      <c r="K4" s="16"/>
    </row>
    <row r="5" spans="1:11">
      <c r="A5" s="15"/>
      <c r="B5" s="408"/>
      <c r="C5" s="409"/>
      <c r="D5" s="409"/>
      <c r="E5" s="409"/>
      <c r="F5" s="410"/>
      <c r="G5" s="408"/>
      <c r="H5" s="409"/>
      <c r="I5" s="409"/>
      <c r="J5" s="410"/>
      <c r="K5" s="16"/>
    </row>
    <row r="6" spans="1:11">
      <c r="A6" s="15"/>
      <c r="B6" s="1022" t="s">
        <v>160</v>
      </c>
      <c r="C6" s="1023"/>
      <c r="D6" s="1023"/>
      <c r="E6" s="1023"/>
      <c r="F6" s="411"/>
      <c r="G6" s="1024" t="s">
        <v>184</v>
      </c>
      <c r="H6" s="1025"/>
      <c r="I6" s="1025"/>
      <c r="J6" s="1026"/>
      <c r="K6" s="16"/>
    </row>
    <row r="7" spans="1:11">
      <c r="A7" s="15"/>
      <c r="B7" s="76"/>
      <c r="C7" s="77"/>
      <c r="D7" s="77"/>
      <c r="E7" s="77"/>
      <c r="F7" s="222"/>
      <c r="G7" s="76"/>
      <c r="H7" s="77"/>
      <c r="I7" s="77"/>
      <c r="J7" s="56"/>
      <c r="K7" s="16"/>
    </row>
    <row r="8" spans="1:11">
      <c r="A8" s="15"/>
      <c r="B8" s="381" t="str">
        <f>Master!F5</f>
        <v>GROTECH LANDSCAPE DEVELOPERS PVT. LTD.</v>
      </c>
      <c r="C8" s="114"/>
      <c r="D8" s="114"/>
      <c r="E8" s="114"/>
      <c r="F8" s="407"/>
      <c r="G8" s="381" t="str">
        <f>Master!AN5</f>
        <v>GROTECH LANDSCAPE DEVELOPERS PVT. LTD.</v>
      </c>
      <c r="H8" s="114"/>
      <c r="I8" s="114"/>
      <c r="J8" s="379"/>
      <c r="K8" s="16"/>
    </row>
    <row r="9" spans="1:11">
      <c r="A9" s="15"/>
      <c r="B9" s="380"/>
      <c r="C9" s="114"/>
      <c r="D9" s="114"/>
      <c r="E9" s="114"/>
      <c r="F9" s="407"/>
      <c r="G9" s="380"/>
      <c r="H9" s="114"/>
      <c r="I9" s="114"/>
      <c r="J9" s="379"/>
      <c r="K9" s="16"/>
    </row>
    <row r="10" spans="1:11">
      <c r="A10" s="15"/>
      <c r="B10" s="632" t="str">
        <f>Master!F6</f>
        <v>290/E, Khanapur Village, Gandipet Mandal, Ranga Reddy, Hyderabad-500075 T.S.</v>
      </c>
      <c r="C10" s="114"/>
      <c r="D10" s="114"/>
      <c r="E10" s="114"/>
      <c r="F10" s="407"/>
      <c r="G10" s="632" t="str">
        <f>Master!AN6</f>
        <v>290/E, Khanapur Village, Gandipet Mandal, Ranga Reddy, Hyderabad-500075 T.S.</v>
      </c>
      <c r="H10" s="114"/>
      <c r="I10" s="114"/>
      <c r="J10" s="379"/>
      <c r="K10" s="16"/>
    </row>
    <row r="11" spans="1:11">
      <c r="A11" s="15"/>
      <c r="B11" s="380"/>
      <c r="C11" s="114"/>
      <c r="D11" s="114"/>
      <c r="E11" s="114"/>
      <c r="F11" s="407"/>
      <c r="G11" s="380"/>
      <c r="H11" s="114"/>
      <c r="I11" s="114"/>
      <c r="J11" s="379"/>
      <c r="K11" s="16"/>
    </row>
    <row r="12" spans="1:11">
      <c r="A12" s="15"/>
      <c r="B12" s="380"/>
      <c r="C12" s="114"/>
      <c r="D12" s="114"/>
      <c r="E12" s="114"/>
      <c r="F12" s="407"/>
      <c r="G12" s="60"/>
      <c r="H12" s="19"/>
      <c r="I12" s="19"/>
      <c r="J12" s="61"/>
      <c r="K12" s="16"/>
    </row>
    <row r="13" spans="1:11">
      <c r="A13" s="15"/>
      <c r="B13" s="396"/>
      <c r="C13" s="390"/>
      <c r="D13" s="390"/>
      <c r="E13" s="390"/>
      <c r="F13" s="391"/>
      <c r="G13" s="396"/>
      <c r="H13" s="390"/>
      <c r="I13" s="390"/>
      <c r="J13" s="391"/>
      <c r="K13" s="16"/>
    </row>
    <row r="14" spans="1:11">
      <c r="A14" s="15"/>
      <c r="B14" s="1009" t="s">
        <v>185</v>
      </c>
      <c r="C14" s="1010"/>
      <c r="D14" s="1010"/>
      <c r="E14" s="1010"/>
      <c r="F14" s="428"/>
      <c r="G14" s="1011" t="s">
        <v>186</v>
      </c>
      <c r="H14" s="1012"/>
      <c r="I14" s="1012"/>
      <c r="J14" s="1013"/>
      <c r="K14" s="16"/>
    </row>
    <row r="15" spans="1:11">
      <c r="A15" s="15"/>
      <c r="B15" s="76"/>
      <c r="C15" s="77"/>
      <c r="D15" s="77"/>
      <c r="E15" s="77"/>
      <c r="F15" s="222"/>
      <c r="G15" s="76"/>
      <c r="H15" s="77"/>
      <c r="I15" s="77"/>
      <c r="J15" s="56"/>
      <c r="K15" s="16"/>
    </row>
    <row r="16" spans="1:11">
      <c r="A16" s="15"/>
      <c r="B16" s="380"/>
      <c r="C16" s="114"/>
      <c r="D16" s="114"/>
      <c r="E16" s="114"/>
      <c r="F16" s="407"/>
      <c r="G16" s="381" t="str">
        <f>Master!AN10</f>
        <v>INDIAN SCHOOL OF BUSINESS</v>
      </c>
      <c r="H16" s="114"/>
      <c r="I16" s="114"/>
      <c r="J16" s="379"/>
      <c r="K16" s="16"/>
    </row>
    <row r="17" spans="1:11">
      <c r="A17" s="15"/>
      <c r="B17" s="380"/>
      <c r="C17" s="114"/>
      <c r="D17" s="114"/>
      <c r="E17" s="114"/>
      <c r="F17" s="407"/>
      <c r="G17" s="380"/>
      <c r="H17" s="114"/>
      <c r="I17" s="114"/>
      <c r="J17" s="379"/>
      <c r="K17" s="16"/>
    </row>
    <row r="18" spans="1:11">
      <c r="A18" s="15"/>
      <c r="B18" s="380" t="str">
        <f>Master!F8</f>
        <v>GARDENING SERVICES&amp;ISB HYDERABAD</v>
      </c>
      <c r="C18" s="114"/>
      <c r="D18" s="114"/>
      <c r="E18" s="114"/>
      <c r="F18" s="407"/>
      <c r="G18" s="380" t="str">
        <f>Master!AN11</f>
        <v>Opp.Infosys Limited,Gachibowli,Hyderabad</v>
      </c>
      <c r="H18" s="114"/>
      <c r="I18" s="114"/>
      <c r="J18" s="379"/>
      <c r="K18" s="16"/>
    </row>
    <row r="19" spans="1:11">
      <c r="A19" s="15"/>
      <c r="B19" s="380"/>
      <c r="C19" s="114"/>
      <c r="D19" s="114"/>
      <c r="E19" s="114"/>
      <c r="F19" s="407"/>
      <c r="G19" s="380"/>
      <c r="H19" s="114"/>
      <c r="I19" s="114"/>
      <c r="J19" s="379"/>
      <c r="K19" s="16"/>
    </row>
    <row r="20" spans="1:11">
      <c r="A20" s="15"/>
      <c r="B20" s="60"/>
      <c r="C20" s="19"/>
      <c r="D20" s="19"/>
      <c r="E20" s="19"/>
      <c r="F20" s="213"/>
      <c r="G20" s="60"/>
      <c r="H20" s="19"/>
      <c r="I20" s="19"/>
      <c r="J20" s="61"/>
      <c r="K20" s="16"/>
    </row>
    <row r="21" spans="1:11" ht="25.2" customHeight="1">
      <c r="A21" s="15"/>
      <c r="B21" s="1005" t="s">
        <v>187</v>
      </c>
      <c r="C21" s="1006"/>
      <c r="D21" s="1006"/>
      <c r="E21" s="1006"/>
      <c r="F21" s="201"/>
      <c r="G21" s="235" t="str">
        <f>Master!D15</f>
        <v>ARJUN KUMAR</v>
      </c>
      <c r="H21" s="153"/>
      <c r="I21" s="153"/>
      <c r="J21" s="201"/>
      <c r="K21" s="16"/>
    </row>
    <row r="22" spans="1:11" ht="25.2" customHeight="1">
      <c r="A22" s="15"/>
      <c r="B22" s="416"/>
      <c r="C22" s="417"/>
      <c r="D22" s="417"/>
      <c r="E22" s="417"/>
      <c r="F22" s="201"/>
      <c r="G22" s="235" t="str">
        <f>Master!K15</f>
        <v>Village - Dharai</v>
      </c>
      <c r="H22" s="153"/>
      <c r="I22" s="153"/>
      <c r="J22" s="201"/>
      <c r="K22" s="16"/>
    </row>
    <row r="23" spans="1:11" ht="25.2" customHeight="1">
      <c r="A23" s="15"/>
      <c r="B23" s="416"/>
      <c r="C23" s="417"/>
      <c r="D23" s="417"/>
      <c r="E23" s="417"/>
      <c r="F23" s="201"/>
      <c r="G23" s="418" t="str">
        <f>Master!L15</f>
        <v>Amethi</v>
      </c>
      <c r="H23" s="153"/>
      <c r="I23" s="153"/>
      <c r="J23" s="201"/>
      <c r="K23" s="16"/>
    </row>
    <row r="24" spans="1:11" ht="25.2" customHeight="1">
      <c r="A24" s="15"/>
      <c r="B24" s="416"/>
      <c r="C24" s="417"/>
      <c r="D24" s="417"/>
      <c r="E24" s="417"/>
      <c r="F24" s="201"/>
      <c r="G24" s="418" t="str">
        <f>Master!M15</f>
        <v>Uttar pradesh - 229127</v>
      </c>
      <c r="H24" s="153"/>
      <c r="I24" s="153"/>
      <c r="J24" s="201"/>
      <c r="K24" s="16"/>
    </row>
    <row r="25" spans="1:11" ht="25.2" customHeight="1">
      <c r="A25" s="15"/>
      <c r="B25" s="1005" t="s">
        <v>188</v>
      </c>
      <c r="C25" s="1006"/>
      <c r="D25" s="1006"/>
      <c r="E25" s="1006"/>
      <c r="F25" s="201"/>
      <c r="G25" s="419">
        <f>Master!E15</f>
        <v>31413</v>
      </c>
      <c r="H25" s="153"/>
      <c r="I25" s="153"/>
      <c r="J25" s="201"/>
      <c r="K25" s="16"/>
    </row>
    <row r="26" spans="1:11" ht="25.2" customHeight="1">
      <c r="A26" s="15"/>
      <c r="B26" s="1005" t="s">
        <v>189</v>
      </c>
      <c r="C26" s="1006"/>
      <c r="D26" s="1006"/>
      <c r="E26" s="1006"/>
      <c r="F26" s="201"/>
      <c r="G26" s="235"/>
      <c r="H26" s="153"/>
      <c r="I26" s="153"/>
      <c r="J26" s="201"/>
      <c r="K26" s="16"/>
    </row>
    <row r="27" spans="1:11" ht="25.2" customHeight="1">
      <c r="A27" s="15"/>
      <c r="B27" s="416"/>
      <c r="C27" s="417"/>
      <c r="D27" s="417"/>
      <c r="E27" s="417"/>
      <c r="F27" s="201"/>
      <c r="G27" s="235"/>
      <c r="H27" s="153"/>
      <c r="I27" s="153"/>
      <c r="J27" s="201"/>
      <c r="K27" s="16"/>
    </row>
    <row r="28" spans="1:11" ht="25.2" customHeight="1">
      <c r="A28" s="15"/>
      <c r="B28" s="1005" t="s">
        <v>190</v>
      </c>
      <c r="C28" s="1006"/>
      <c r="D28" s="1006"/>
      <c r="E28" s="1006"/>
      <c r="F28" s="201"/>
      <c r="G28" s="235" t="str">
        <f>Master!G15</f>
        <v xml:space="preserve">kallu </v>
      </c>
      <c r="H28" s="153"/>
      <c r="I28" s="153"/>
      <c r="J28" s="201"/>
      <c r="K28" s="16"/>
    </row>
    <row r="29" spans="1:11" ht="15" thickBot="1">
      <c r="A29" s="15"/>
      <c r="B29" s="114"/>
      <c r="C29" s="114"/>
      <c r="D29" s="114"/>
      <c r="E29" s="114"/>
      <c r="F29" s="114"/>
      <c r="G29" s="114"/>
      <c r="H29" s="114"/>
      <c r="I29" s="114"/>
      <c r="J29" s="114"/>
      <c r="K29" s="16"/>
    </row>
    <row r="30" spans="1:11">
      <c r="A30" s="15"/>
      <c r="B30" s="1007" t="s">
        <v>191</v>
      </c>
      <c r="C30" s="1000" t="s">
        <v>192</v>
      </c>
      <c r="D30" s="1000"/>
      <c r="E30" s="1000" t="s">
        <v>193</v>
      </c>
      <c r="F30" s="1000"/>
      <c r="G30" s="1000" t="s">
        <v>194</v>
      </c>
      <c r="H30" s="1000"/>
      <c r="I30" s="1000"/>
      <c r="J30" s="1002" t="s">
        <v>32</v>
      </c>
      <c r="K30" s="16"/>
    </row>
    <row r="31" spans="1:11">
      <c r="A31" s="15"/>
      <c r="B31" s="1008"/>
      <c r="C31" s="1001"/>
      <c r="D31" s="1001"/>
      <c r="E31" s="1001"/>
      <c r="F31" s="1001"/>
      <c r="G31" s="1001"/>
      <c r="H31" s="1001"/>
      <c r="I31" s="1001"/>
      <c r="J31" s="1003"/>
      <c r="K31" s="16"/>
    </row>
    <row r="32" spans="1:11">
      <c r="A32" s="15"/>
      <c r="B32" s="1008"/>
      <c r="C32" s="412" t="s">
        <v>195</v>
      </c>
      <c r="D32" s="412" t="s">
        <v>131</v>
      </c>
      <c r="E32" s="1001"/>
      <c r="F32" s="1001"/>
      <c r="G32" s="1001"/>
      <c r="H32" s="1001"/>
      <c r="I32" s="1001"/>
      <c r="J32" s="1003"/>
      <c r="K32" s="16"/>
    </row>
    <row r="33" spans="1:11" ht="25.2" customHeight="1">
      <c r="A33" s="15"/>
      <c r="B33" s="105">
        <v>1</v>
      </c>
      <c r="C33" s="413">
        <v>2</v>
      </c>
      <c r="D33" s="413">
        <v>3</v>
      </c>
      <c r="E33" s="1004">
        <v>4</v>
      </c>
      <c r="F33" s="1004"/>
      <c r="G33" s="1004">
        <v>5</v>
      </c>
      <c r="H33" s="1004"/>
      <c r="I33" s="1004"/>
      <c r="J33" s="106">
        <v>6</v>
      </c>
      <c r="K33" s="16"/>
    </row>
    <row r="34" spans="1:11" ht="25.2" customHeight="1">
      <c r="A34" s="15"/>
      <c r="B34" s="414">
        <f>Master!C15</f>
        <v>2</v>
      </c>
      <c r="C34" s="415">
        <f>Master!S15</f>
        <v>43850</v>
      </c>
      <c r="D34" s="414" t="str">
        <f>'Workmen Reg'!O12</f>
        <v>31st May 2020</v>
      </c>
      <c r="E34" s="998" t="str">
        <f>Master!J15</f>
        <v>Supervisor</v>
      </c>
      <c r="F34" s="998"/>
      <c r="G34" s="998">
        <f>Master!AC15</f>
        <v>20000</v>
      </c>
      <c r="H34" s="998"/>
      <c r="I34" s="998"/>
      <c r="J34" s="414">
        <f>Master!V15</f>
        <v>0</v>
      </c>
      <c r="K34" s="16"/>
    </row>
    <row r="35" spans="1:11" ht="25.2" customHeight="1">
      <c r="A35" s="15"/>
      <c r="B35" s="413"/>
      <c r="C35" s="413"/>
      <c r="D35" s="413"/>
      <c r="E35" s="998"/>
      <c r="F35" s="998"/>
      <c r="G35" s="998"/>
      <c r="H35" s="998"/>
      <c r="I35" s="998"/>
      <c r="J35" s="413"/>
      <c r="K35" s="16"/>
    </row>
    <row r="36" spans="1:11" ht="25.2" customHeight="1">
      <c r="A36" s="15"/>
      <c r="B36" s="413"/>
      <c r="C36" s="413"/>
      <c r="D36" s="413"/>
      <c r="E36" s="998"/>
      <c r="F36" s="998"/>
      <c r="G36" s="998"/>
      <c r="H36" s="998"/>
      <c r="I36" s="998"/>
      <c r="J36" s="413"/>
      <c r="K36" s="16"/>
    </row>
    <row r="37" spans="1:11" ht="25.2" customHeight="1">
      <c r="A37" s="15"/>
      <c r="B37" s="136"/>
      <c r="C37" s="136"/>
      <c r="D37" s="136"/>
      <c r="E37" s="998"/>
      <c r="F37" s="998"/>
      <c r="G37" s="998"/>
      <c r="H37" s="998"/>
      <c r="I37" s="998"/>
      <c r="J37" s="136"/>
      <c r="K37" s="16"/>
    </row>
    <row r="38" spans="1:11" ht="25.2" customHeight="1">
      <c r="A38" s="15"/>
      <c r="B38" s="136"/>
      <c r="C38" s="136"/>
      <c r="D38" s="136"/>
      <c r="E38" s="998"/>
      <c r="F38" s="998"/>
      <c r="G38" s="998"/>
      <c r="H38" s="998"/>
      <c r="I38" s="998"/>
      <c r="J38" s="136"/>
      <c r="K38" s="16"/>
    </row>
    <row r="39" spans="1:11" ht="25.2" customHeight="1">
      <c r="A39" s="15"/>
      <c r="B39" s="136"/>
      <c r="C39" s="136"/>
      <c r="D39" s="136"/>
      <c r="E39" s="998"/>
      <c r="F39" s="998"/>
      <c r="G39" s="998"/>
      <c r="H39" s="998"/>
      <c r="I39" s="998"/>
      <c r="J39" s="136"/>
      <c r="K39" s="16"/>
    </row>
    <row r="40" spans="1:11" ht="25.2" customHeight="1">
      <c r="A40" s="15"/>
      <c r="B40" s="136"/>
      <c r="C40" s="136"/>
      <c r="D40" s="136"/>
      <c r="E40" s="998"/>
      <c r="F40" s="998"/>
      <c r="G40" s="998"/>
      <c r="H40" s="998"/>
      <c r="I40" s="998"/>
      <c r="J40" s="136"/>
      <c r="K40" s="16"/>
    </row>
    <row r="41" spans="1:11" ht="25.2" customHeight="1">
      <c r="A41" s="15"/>
      <c r="B41" s="136"/>
      <c r="C41" s="136"/>
      <c r="D41" s="136"/>
      <c r="E41" s="998"/>
      <c r="F41" s="998"/>
      <c r="G41" s="998"/>
      <c r="H41" s="998"/>
      <c r="I41" s="998"/>
      <c r="J41" s="136"/>
      <c r="K41" s="16"/>
    </row>
    <row r="42" spans="1:11" ht="25.2" customHeight="1">
      <c r="A42" s="15"/>
      <c r="B42" s="136"/>
      <c r="C42" s="136"/>
      <c r="D42" s="136"/>
      <c r="E42" s="998"/>
      <c r="F42" s="998"/>
      <c r="G42" s="998"/>
      <c r="H42" s="998"/>
      <c r="I42" s="998"/>
      <c r="J42" s="136"/>
      <c r="K42" s="16"/>
    </row>
    <row r="43" spans="1:11" ht="25.2" customHeight="1">
      <c r="A43" s="15"/>
      <c r="B43" s="136"/>
      <c r="C43" s="136"/>
      <c r="D43" s="136"/>
      <c r="E43" s="998"/>
      <c r="F43" s="998"/>
      <c r="G43" s="998"/>
      <c r="H43" s="998"/>
      <c r="I43" s="998"/>
      <c r="J43" s="136"/>
      <c r="K43" s="16"/>
    </row>
    <row r="44" spans="1:11" ht="25.2" customHeight="1">
      <c r="A44" s="15"/>
      <c r="B44" s="136"/>
      <c r="C44" s="136"/>
      <c r="D44" s="136"/>
      <c r="E44" s="998"/>
      <c r="F44" s="998"/>
      <c r="G44" s="998"/>
      <c r="H44" s="998"/>
      <c r="I44" s="998"/>
      <c r="J44" s="136"/>
      <c r="K44" s="16"/>
    </row>
    <row r="45" spans="1:11">
      <c r="A45" s="15"/>
      <c r="B45" s="114"/>
      <c r="C45" s="114"/>
      <c r="D45" s="114"/>
      <c r="E45" s="114"/>
      <c r="F45" s="114"/>
      <c r="G45" s="114"/>
      <c r="H45" s="114"/>
      <c r="I45" s="114"/>
      <c r="J45" s="114"/>
      <c r="K45" s="16"/>
    </row>
    <row r="46" spans="1:11" ht="15" thickBot="1">
      <c r="A46" s="15"/>
      <c r="B46" s="114"/>
      <c r="C46" s="114"/>
      <c r="D46" s="114"/>
      <c r="E46" s="114"/>
      <c r="F46" s="114"/>
      <c r="G46" s="114"/>
      <c r="H46" s="999"/>
      <c r="I46" s="999"/>
      <c r="J46" s="999"/>
      <c r="K46" s="16"/>
    </row>
    <row r="47" spans="1:11" ht="23.4" customHeight="1" thickBot="1">
      <c r="A47" s="27"/>
      <c r="B47" s="25"/>
      <c r="C47" s="25"/>
      <c r="D47" s="25"/>
      <c r="E47" s="25"/>
      <c r="F47" s="25"/>
      <c r="G47" s="25"/>
      <c r="H47" s="429" t="s">
        <v>196</v>
      </c>
      <c r="I47" s="28"/>
      <c r="J47" s="28"/>
      <c r="K47" s="26"/>
    </row>
  </sheetData>
  <mergeCells count="41">
    <mergeCell ref="B14:E14"/>
    <mergeCell ref="G14:J14"/>
    <mergeCell ref="B2:J2"/>
    <mergeCell ref="B3:J3"/>
    <mergeCell ref="B4:J4"/>
    <mergeCell ref="B6:E6"/>
    <mergeCell ref="G6:J6"/>
    <mergeCell ref="B21:E21"/>
    <mergeCell ref="B25:E25"/>
    <mergeCell ref="B26:E26"/>
    <mergeCell ref="B28:E28"/>
    <mergeCell ref="B30:B32"/>
    <mergeCell ref="C30:D31"/>
    <mergeCell ref="E30:F32"/>
    <mergeCell ref="G30:I32"/>
    <mergeCell ref="J30:J32"/>
    <mergeCell ref="E33:F33"/>
    <mergeCell ref="G33:I33"/>
    <mergeCell ref="E37:F37"/>
    <mergeCell ref="G37:I37"/>
    <mergeCell ref="G38:I38"/>
    <mergeCell ref="E39:F39"/>
    <mergeCell ref="G39:I39"/>
    <mergeCell ref="E40:F40"/>
    <mergeCell ref="G40:I40"/>
    <mergeCell ref="E44:F44"/>
    <mergeCell ref="G44:I44"/>
    <mergeCell ref="H46:J46"/>
    <mergeCell ref="E34:F34"/>
    <mergeCell ref="E35:F35"/>
    <mergeCell ref="E36:F36"/>
    <mergeCell ref="G34:I34"/>
    <mergeCell ref="G35:I35"/>
    <mergeCell ref="G36:I36"/>
    <mergeCell ref="E41:F41"/>
    <mergeCell ref="G41:I41"/>
    <mergeCell ref="E42:F42"/>
    <mergeCell ref="G42:I42"/>
    <mergeCell ref="E43:F43"/>
    <mergeCell ref="G43:I43"/>
    <mergeCell ref="E38:F38"/>
  </mergeCells>
  <pageMargins left="0.76" right="0.70866141732283472" top="0.74803149606299213" bottom="0.74803149606299213" header="0.31496062992125984" footer="0.31496062992125984"/>
  <pageSetup scale="67" orientation="portrait" r:id="rId1"/>
</worksheet>
</file>

<file path=xl/worksheets/sheet6.xml><?xml version="1.0" encoding="utf-8"?>
<worksheet xmlns="http://schemas.openxmlformats.org/spreadsheetml/2006/main" xmlns:r="http://schemas.openxmlformats.org/officeDocument/2006/relationships">
  <dimension ref="A1:JL61"/>
  <sheetViews>
    <sheetView view="pageBreakPreview" zoomScaleSheetLayoutView="100" workbookViewId="0">
      <selection activeCell="B10" sqref="B10"/>
    </sheetView>
  </sheetViews>
  <sheetFormatPr defaultRowHeight="15.6"/>
  <cols>
    <col min="1" max="1" width="5.109375" style="7" customWidth="1"/>
    <col min="2" max="2" width="28.33203125" customWidth="1"/>
    <col min="3" max="3" width="23.88671875" customWidth="1"/>
    <col min="4" max="4" width="9.33203125" customWidth="1"/>
    <col min="5" max="6" width="5.109375" customWidth="1"/>
    <col min="7" max="7" width="5.109375" style="1" customWidth="1"/>
    <col min="8" max="35" width="5.109375" customWidth="1"/>
    <col min="36" max="36" width="16.109375" customWidth="1"/>
    <col min="37" max="37" width="9.109375" customWidth="1"/>
    <col min="45" max="45" width="3.6640625" customWidth="1"/>
  </cols>
  <sheetData>
    <row r="1" spans="1:39" ht="47.4" customHeight="1">
      <c r="A1" s="1027" t="s">
        <v>1056</v>
      </c>
      <c r="B1" s="1028"/>
      <c r="C1" s="1028"/>
      <c r="D1" s="1028"/>
      <c r="E1" s="1028"/>
      <c r="F1" s="1028"/>
      <c r="G1" s="1028"/>
      <c r="H1" s="1028"/>
      <c r="I1" s="1028"/>
      <c r="J1" s="1028"/>
      <c r="K1" s="1028"/>
      <c r="L1" s="1028"/>
      <c r="M1" s="1028"/>
      <c r="N1" s="1028"/>
      <c r="O1" s="1028"/>
      <c r="P1" s="1028"/>
      <c r="Q1" s="1028"/>
      <c r="R1" s="1028"/>
      <c r="S1" s="1028"/>
      <c r="T1" s="1028"/>
      <c r="U1" s="1028"/>
      <c r="V1" s="1028"/>
      <c r="W1" s="1028"/>
      <c r="X1" s="1028"/>
      <c r="Y1" s="1028"/>
      <c r="Z1" s="1028"/>
      <c r="AA1" s="1028"/>
      <c r="AB1" s="1028"/>
      <c r="AC1" s="1028"/>
      <c r="AD1" s="1028"/>
      <c r="AE1" s="1028"/>
      <c r="AF1" s="1028"/>
      <c r="AG1" s="1028"/>
      <c r="AH1" s="1028"/>
      <c r="AI1" s="1028"/>
      <c r="AJ1" s="1029"/>
    </row>
    <row r="2" spans="1:39" ht="43.5" customHeight="1">
      <c r="A2" s="911" t="s">
        <v>0</v>
      </c>
      <c r="B2" s="912"/>
      <c r="C2" s="1030"/>
      <c r="D2" s="548" t="str">
        <f>Master!F5</f>
        <v>GROTECH LANDSCAPE DEVELOPERS PVT. LTD.</v>
      </c>
      <c r="E2" s="77"/>
      <c r="F2" s="77"/>
      <c r="G2" s="155"/>
      <c r="H2" s="77"/>
      <c r="I2" s="56"/>
      <c r="J2" s="204" t="s">
        <v>1</v>
      </c>
      <c r="K2" s="205"/>
      <c r="L2" s="205"/>
      <c r="M2" s="205"/>
      <c r="N2" s="205"/>
      <c r="O2" s="205"/>
      <c r="P2" s="205"/>
      <c r="Q2" s="205"/>
      <c r="R2" s="205"/>
      <c r="S2" s="205"/>
      <c r="T2" s="205"/>
      <c r="U2" s="205"/>
      <c r="V2" s="205"/>
      <c r="W2" s="153"/>
      <c r="X2" s="205"/>
      <c r="Y2" s="206"/>
      <c r="Z2" s="221" t="str">
        <f>Master!AN5</f>
        <v>GROTECH LANDSCAPE DEVELOPERS PVT. LTD.</v>
      </c>
      <c r="AA2" s="205"/>
      <c r="AB2" s="205"/>
      <c r="AC2" s="205"/>
      <c r="AD2" s="205"/>
      <c r="AE2" s="205"/>
      <c r="AF2" s="205"/>
      <c r="AG2" s="205"/>
      <c r="AH2" s="205"/>
      <c r="AI2" s="205"/>
      <c r="AJ2" s="212"/>
      <c r="AK2" s="3"/>
      <c r="AL2" s="3"/>
      <c r="AM2" s="3"/>
    </row>
    <row r="3" spans="1:39" ht="20.399999999999999" customHeight="1">
      <c r="A3" s="150"/>
      <c r="B3" s="114"/>
      <c r="C3" s="114"/>
      <c r="D3" s="156" t="str">
        <f>Master!F6</f>
        <v>290/E, Khanapur Village, Gandipet Mandal, Ranga Reddy, Hyderabad-500075 T.S.</v>
      </c>
      <c r="E3" s="153"/>
      <c r="F3" s="153"/>
      <c r="G3" s="154"/>
      <c r="H3" s="153"/>
      <c r="I3" s="153"/>
      <c r="J3" s="19"/>
      <c r="K3" s="202"/>
      <c r="L3" s="202"/>
      <c r="M3" s="202"/>
      <c r="N3" s="202"/>
      <c r="O3" s="202"/>
      <c r="P3" s="202"/>
      <c r="Q3" s="203"/>
      <c r="R3" s="216"/>
      <c r="S3" s="157"/>
      <c r="T3" s="157"/>
      <c r="U3" s="157"/>
      <c r="V3" s="157"/>
      <c r="W3" s="153"/>
      <c r="X3" s="157"/>
      <c r="Y3" s="157"/>
      <c r="Z3" s="217" t="str">
        <f>Master!AN6</f>
        <v>290/E, Khanapur Village, Gandipet Mandal, Ranga Reddy, Hyderabad-500075 T.S.</v>
      </c>
      <c r="AA3" s="157"/>
      <c r="AB3" s="157"/>
      <c r="AC3" s="157"/>
      <c r="AD3" s="157"/>
      <c r="AE3" s="157"/>
      <c r="AF3" s="157"/>
      <c r="AG3" s="157"/>
      <c r="AH3" s="157"/>
      <c r="AI3" s="157"/>
      <c r="AJ3" s="220"/>
      <c r="AK3" s="8"/>
      <c r="AL3" s="8"/>
      <c r="AM3" s="8"/>
    </row>
    <row r="4" spans="1:39">
      <c r="A4" s="911" t="s">
        <v>2</v>
      </c>
      <c r="B4" s="912"/>
      <c r="C4" s="1030"/>
      <c r="D4" s="147" t="str">
        <f>Master!F8</f>
        <v>GARDENING SERVICES&amp;ISB HYDERABAD</v>
      </c>
      <c r="E4" s="153"/>
      <c r="F4" s="153"/>
      <c r="G4" s="154"/>
      <c r="H4" s="153"/>
      <c r="I4" s="153"/>
      <c r="J4" s="153"/>
      <c r="K4" s="157"/>
      <c r="L4" s="157"/>
      <c r="M4" s="157"/>
      <c r="N4" s="157"/>
      <c r="O4" s="157"/>
      <c r="P4" s="157"/>
      <c r="Q4" s="158"/>
      <c r="R4" s="216"/>
      <c r="S4" s="157"/>
      <c r="T4" s="157"/>
      <c r="U4" s="157"/>
      <c r="V4" s="157"/>
      <c r="W4" s="153"/>
      <c r="X4" s="157"/>
      <c r="Y4" s="157"/>
      <c r="Z4" s="218"/>
      <c r="AA4" s="157"/>
      <c r="AB4" s="157"/>
      <c r="AC4" s="157"/>
      <c r="AD4" s="157"/>
      <c r="AE4" s="157"/>
      <c r="AF4" s="157"/>
      <c r="AG4" s="157"/>
      <c r="AH4" s="157"/>
      <c r="AI4" s="157"/>
      <c r="AJ4" s="220"/>
      <c r="AK4" s="9"/>
      <c r="AL4" s="9"/>
      <c r="AM4" s="9"/>
    </row>
    <row r="5" spans="1:39">
      <c r="A5" s="150"/>
      <c r="B5" s="114"/>
      <c r="C5" s="114"/>
      <c r="D5" s="114"/>
      <c r="E5" s="114"/>
      <c r="F5" s="114"/>
      <c r="G5" s="162"/>
      <c r="H5" s="114"/>
      <c r="I5" s="114"/>
      <c r="J5" s="114"/>
      <c r="K5" s="163"/>
      <c r="L5" s="163"/>
      <c r="M5" s="163"/>
      <c r="N5" s="163"/>
      <c r="O5" s="163"/>
      <c r="P5" s="163"/>
      <c r="Q5" s="163"/>
      <c r="R5" s="163"/>
      <c r="S5" s="163"/>
      <c r="T5" s="163"/>
      <c r="U5" s="163"/>
      <c r="V5" s="163"/>
      <c r="W5" s="114"/>
      <c r="X5" s="163"/>
      <c r="Y5" s="163"/>
      <c r="Z5" s="164"/>
      <c r="AA5" s="163"/>
      <c r="AB5" s="163"/>
      <c r="AC5" s="163"/>
      <c r="AD5" s="163"/>
      <c r="AE5" s="163"/>
      <c r="AF5" s="163"/>
      <c r="AG5" s="163"/>
      <c r="AH5" s="163"/>
      <c r="AI5" s="163"/>
      <c r="AJ5" s="132"/>
    </row>
    <row r="6" spans="1:39" ht="15" customHeight="1">
      <c r="A6" s="1039" t="s">
        <v>3</v>
      </c>
      <c r="B6" s="1040"/>
      <c r="C6" s="1041"/>
      <c r="D6" s="1045">
        <f>Master!F10</f>
        <v>44652</v>
      </c>
      <c r="E6" s="76"/>
      <c r="F6" s="77"/>
      <c r="G6" s="155"/>
      <c r="H6" s="77"/>
      <c r="I6" s="56"/>
      <c r="J6" s="1046" t="s">
        <v>4</v>
      </c>
      <c r="K6" s="1040"/>
      <c r="L6" s="1040"/>
      <c r="M6" s="1040"/>
      <c r="N6" s="1040"/>
      <c r="O6" s="1040"/>
      <c r="P6" s="1040"/>
      <c r="Q6" s="1040"/>
      <c r="R6" s="1040"/>
      <c r="S6" s="1040"/>
      <c r="T6" s="1040"/>
      <c r="U6" s="1040"/>
      <c r="V6" s="1040"/>
      <c r="W6" s="1040"/>
      <c r="X6" s="1040"/>
      <c r="Y6" s="1041"/>
      <c r="Z6" s="159" t="str">
        <f>Master!AN10</f>
        <v>INDIAN SCHOOL OF BUSINESS</v>
      </c>
      <c r="AA6" s="160"/>
      <c r="AB6" s="160"/>
      <c r="AC6" s="160"/>
      <c r="AD6" s="160"/>
      <c r="AE6" s="160"/>
      <c r="AF6" s="160"/>
      <c r="AG6" s="160"/>
      <c r="AH6" s="160"/>
      <c r="AI6" s="160"/>
      <c r="AJ6" s="165"/>
      <c r="AK6" s="3"/>
    </row>
    <row r="7" spans="1:39" ht="17.399999999999999" customHeight="1" thickBot="1">
      <c r="A7" s="1042"/>
      <c r="B7" s="1043"/>
      <c r="C7" s="1044"/>
      <c r="D7" s="993"/>
      <c r="E7" s="60"/>
      <c r="F7" s="19"/>
      <c r="G7" s="219"/>
      <c r="H7" s="19"/>
      <c r="I7" s="61"/>
      <c r="J7" s="1047"/>
      <c r="K7" s="1043"/>
      <c r="L7" s="1043"/>
      <c r="M7" s="1043"/>
      <c r="N7" s="1043"/>
      <c r="O7" s="1043"/>
      <c r="P7" s="1043"/>
      <c r="Q7" s="1043"/>
      <c r="R7" s="1043"/>
      <c r="S7" s="1043"/>
      <c r="T7" s="1043"/>
      <c r="U7" s="1043"/>
      <c r="V7" s="1043"/>
      <c r="W7" s="1043"/>
      <c r="X7" s="1043"/>
      <c r="Y7" s="1044"/>
      <c r="Z7" s="161" t="str">
        <f>Master!AN11</f>
        <v>Opp.Infosys Limited,Gachibowli,Hyderabad</v>
      </c>
      <c r="AA7" s="19"/>
      <c r="AB7" s="19"/>
      <c r="AC7" s="19"/>
      <c r="AD7" s="19"/>
      <c r="AE7" s="19"/>
      <c r="AF7" s="19"/>
      <c r="AG7" s="19"/>
      <c r="AH7" s="19"/>
      <c r="AI7" s="19"/>
      <c r="AJ7" s="81"/>
      <c r="AK7" s="8"/>
    </row>
    <row r="8" spans="1:39" s="11" customFormat="1" ht="36.6" customHeight="1">
      <c r="A8" s="1033" t="s">
        <v>5</v>
      </c>
      <c r="B8" s="1035" t="s">
        <v>6</v>
      </c>
      <c r="C8" s="1037" t="s">
        <v>30</v>
      </c>
      <c r="D8" s="1037" t="s">
        <v>31</v>
      </c>
      <c r="E8" s="209"/>
      <c r="F8" s="210"/>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1"/>
      <c r="AJ8" s="207" t="s">
        <v>32</v>
      </c>
    </row>
    <row r="9" spans="1:39" ht="47.25" customHeight="1">
      <c r="A9" s="1034"/>
      <c r="B9" s="1036"/>
      <c r="C9" s="1038"/>
      <c r="D9" s="1038"/>
      <c r="E9" s="124">
        <v>1</v>
      </c>
      <c r="F9" s="124">
        <v>2</v>
      </c>
      <c r="G9" s="124">
        <v>3</v>
      </c>
      <c r="H9" s="124">
        <v>4</v>
      </c>
      <c r="I9" s="124">
        <v>5</v>
      </c>
      <c r="J9" s="124">
        <v>6</v>
      </c>
      <c r="K9" s="124">
        <v>7</v>
      </c>
      <c r="L9" s="124">
        <v>8</v>
      </c>
      <c r="M9" s="124">
        <v>9</v>
      </c>
      <c r="N9" s="124">
        <v>10</v>
      </c>
      <c r="O9" s="124">
        <v>11</v>
      </c>
      <c r="P9" s="124">
        <v>12</v>
      </c>
      <c r="Q9" s="124">
        <v>13</v>
      </c>
      <c r="R9" s="124">
        <v>14</v>
      </c>
      <c r="S9" s="124">
        <v>15</v>
      </c>
      <c r="T9" s="124">
        <v>16</v>
      </c>
      <c r="U9" s="124">
        <v>17</v>
      </c>
      <c r="V9" s="124">
        <v>18</v>
      </c>
      <c r="W9" s="124">
        <v>19</v>
      </c>
      <c r="X9" s="124">
        <v>20</v>
      </c>
      <c r="Y9" s="124">
        <v>21</v>
      </c>
      <c r="Z9" s="124">
        <v>22</v>
      </c>
      <c r="AA9" s="124">
        <v>23</v>
      </c>
      <c r="AB9" s="124">
        <v>24</v>
      </c>
      <c r="AC9" s="123">
        <v>25</v>
      </c>
      <c r="AD9" s="123">
        <v>26</v>
      </c>
      <c r="AE9" s="123">
        <v>27</v>
      </c>
      <c r="AF9" s="124">
        <v>28</v>
      </c>
      <c r="AG9" s="124">
        <v>29</v>
      </c>
      <c r="AH9" s="208">
        <v>30</v>
      </c>
      <c r="AI9" s="208">
        <v>31</v>
      </c>
      <c r="AJ9" s="109"/>
    </row>
    <row r="10" spans="1:39" ht="25.2" customHeight="1">
      <c r="A10" s="138">
        <v>1</v>
      </c>
      <c r="B10" s="545" t="str">
        <f>Master!D15</f>
        <v>ARJUN KUMAR</v>
      </c>
      <c r="C10" s="546" t="str">
        <f>Master!G15</f>
        <v xml:space="preserve">kallu </v>
      </c>
      <c r="D10" s="248" t="str">
        <f>Master!F15</f>
        <v>Male</v>
      </c>
      <c r="E10" s="635" t="s">
        <v>600</v>
      </c>
      <c r="F10" s="635" t="s">
        <v>600</v>
      </c>
      <c r="G10" s="635" t="s">
        <v>600</v>
      </c>
      <c r="H10" s="635" t="s">
        <v>600</v>
      </c>
      <c r="I10" s="633" t="s">
        <v>598</v>
      </c>
      <c r="J10" s="635" t="s">
        <v>600</v>
      </c>
      <c r="K10" s="635" t="s">
        <v>600</v>
      </c>
      <c r="L10" s="635" t="s">
        <v>600</v>
      </c>
      <c r="M10" s="635" t="s">
        <v>600</v>
      </c>
      <c r="N10" s="635" t="s">
        <v>600</v>
      </c>
      <c r="O10" s="635" t="s">
        <v>600</v>
      </c>
      <c r="P10" s="633" t="s">
        <v>598</v>
      </c>
      <c r="Q10" s="635" t="s">
        <v>600</v>
      </c>
      <c r="R10" s="635" t="s">
        <v>600</v>
      </c>
      <c r="S10" s="635" t="s">
        <v>600</v>
      </c>
      <c r="T10" s="635" t="s">
        <v>600</v>
      </c>
      <c r="U10" s="635" t="s">
        <v>600</v>
      </c>
      <c r="V10" s="635" t="s">
        <v>600</v>
      </c>
      <c r="W10" s="633" t="s">
        <v>598</v>
      </c>
      <c r="X10" s="635" t="s">
        <v>600</v>
      </c>
      <c r="Y10" s="635" t="s">
        <v>600</v>
      </c>
      <c r="Z10" s="635" t="s">
        <v>600</v>
      </c>
      <c r="AA10" s="635" t="s">
        <v>600</v>
      </c>
      <c r="AB10" s="635" t="s">
        <v>600</v>
      </c>
      <c r="AC10" s="635" t="s">
        <v>600</v>
      </c>
      <c r="AD10" s="633" t="s">
        <v>598</v>
      </c>
      <c r="AE10" s="635" t="s">
        <v>600</v>
      </c>
      <c r="AF10" s="635" t="s">
        <v>600</v>
      </c>
      <c r="AG10" s="635" t="s">
        <v>600</v>
      </c>
      <c r="AH10" s="635" t="s">
        <v>600</v>
      </c>
      <c r="AI10" s="547"/>
      <c r="AJ10" s="544">
        <f>Master!AA15</f>
        <v>30</v>
      </c>
    </row>
    <row r="11" spans="1:39" ht="25.2" customHeight="1">
      <c r="A11" s="138">
        <v>2</v>
      </c>
      <c r="B11" s="545" t="str">
        <f>Master!D16</f>
        <v>GAJAN SINGH</v>
      </c>
      <c r="C11" s="546" t="str">
        <f>Master!G16</f>
        <v>Chandrapal singh</v>
      </c>
      <c r="D11" s="248" t="str">
        <f>Master!F16</f>
        <v>Male</v>
      </c>
      <c r="E11" s="635" t="s">
        <v>600</v>
      </c>
      <c r="F11" s="635" t="s">
        <v>600</v>
      </c>
      <c r="G11" s="635" t="s">
        <v>600</v>
      </c>
      <c r="H11" s="635" t="s">
        <v>600</v>
      </c>
      <c r="I11" s="633" t="s">
        <v>598</v>
      </c>
      <c r="J11" s="635" t="s">
        <v>600</v>
      </c>
      <c r="K11" s="635" t="s">
        <v>600</v>
      </c>
      <c r="L11" s="635" t="s">
        <v>600</v>
      </c>
      <c r="M11" s="635" t="s">
        <v>600</v>
      </c>
      <c r="N11" s="635" t="s">
        <v>600</v>
      </c>
      <c r="O11" s="635" t="s">
        <v>600</v>
      </c>
      <c r="P11" s="633" t="s">
        <v>598</v>
      </c>
      <c r="Q11" s="635" t="s">
        <v>600</v>
      </c>
      <c r="R11" s="635" t="s">
        <v>600</v>
      </c>
      <c r="S11" s="635" t="s">
        <v>600</v>
      </c>
      <c r="T11" s="635" t="s">
        <v>600</v>
      </c>
      <c r="U11" s="635" t="s">
        <v>600</v>
      </c>
      <c r="V11" s="635" t="s">
        <v>600</v>
      </c>
      <c r="W11" s="633" t="s">
        <v>598</v>
      </c>
      <c r="X11" s="635" t="s">
        <v>600</v>
      </c>
      <c r="Y11" s="635" t="s">
        <v>600</v>
      </c>
      <c r="Z11" s="635" t="s">
        <v>600</v>
      </c>
      <c r="AA11" s="635" t="s">
        <v>600</v>
      </c>
      <c r="AB11" s="635" t="s">
        <v>600</v>
      </c>
      <c r="AC11" s="635" t="s">
        <v>600</v>
      </c>
      <c r="AD11" s="633" t="s">
        <v>598</v>
      </c>
      <c r="AE11" s="635" t="s">
        <v>600</v>
      </c>
      <c r="AF11" s="635" t="s">
        <v>600</v>
      </c>
      <c r="AG11" s="635" t="s">
        <v>600</v>
      </c>
      <c r="AH11" s="635" t="s">
        <v>600</v>
      </c>
      <c r="AI11" s="547"/>
      <c r="AJ11" s="544">
        <f>Master!AA16</f>
        <v>30</v>
      </c>
    </row>
    <row r="12" spans="1:39" ht="25.2" customHeight="1">
      <c r="A12" s="138">
        <v>3</v>
      </c>
      <c r="B12" s="545" t="str">
        <f>Master!D17</f>
        <v>GUDALA RUSHESHWAR SWAMY</v>
      </c>
      <c r="C12" s="546" t="str">
        <f>Master!G17</f>
        <v>GUDALA KRISHANA MURTHY</v>
      </c>
      <c r="D12" s="248" t="str">
        <f>Master!F17</f>
        <v>Male</v>
      </c>
      <c r="E12" s="635" t="s">
        <v>745</v>
      </c>
      <c r="F12" s="635" t="s">
        <v>599</v>
      </c>
      <c r="G12" s="635" t="s">
        <v>745</v>
      </c>
      <c r="H12" s="635" t="s">
        <v>745</v>
      </c>
      <c r="I12" s="636" t="s">
        <v>598</v>
      </c>
      <c r="J12" s="635" t="s">
        <v>745</v>
      </c>
      <c r="K12" s="635" t="s">
        <v>745</v>
      </c>
      <c r="L12" s="635" t="s">
        <v>745</v>
      </c>
      <c r="M12" s="635" t="s">
        <v>745</v>
      </c>
      <c r="N12" s="635" t="s">
        <v>745</v>
      </c>
      <c r="O12" s="635" t="s">
        <v>745</v>
      </c>
      <c r="P12" s="636" t="s">
        <v>598</v>
      </c>
      <c r="Q12" s="635" t="s">
        <v>745</v>
      </c>
      <c r="R12" s="635" t="s">
        <v>745</v>
      </c>
      <c r="S12" s="635" t="s">
        <v>599</v>
      </c>
      <c r="T12" s="635" t="s">
        <v>745</v>
      </c>
      <c r="U12" s="635" t="s">
        <v>745</v>
      </c>
      <c r="V12" s="635" t="s">
        <v>745</v>
      </c>
      <c r="W12" s="636" t="s">
        <v>598</v>
      </c>
      <c r="X12" s="635" t="s">
        <v>745</v>
      </c>
      <c r="Y12" s="635" t="s">
        <v>745</v>
      </c>
      <c r="Z12" s="635" t="s">
        <v>745</v>
      </c>
      <c r="AA12" s="635" t="s">
        <v>599</v>
      </c>
      <c r="AB12" s="635" t="s">
        <v>745</v>
      </c>
      <c r="AC12" s="635" t="s">
        <v>745</v>
      </c>
      <c r="AD12" s="636" t="s">
        <v>598</v>
      </c>
      <c r="AE12" s="635" t="s">
        <v>745</v>
      </c>
      <c r="AF12" s="635" t="s">
        <v>745</v>
      </c>
      <c r="AG12" s="635" t="s">
        <v>745</v>
      </c>
      <c r="AH12" s="635" t="s">
        <v>745</v>
      </c>
      <c r="AI12" s="547"/>
      <c r="AJ12" s="544">
        <f>Master!AA17</f>
        <v>30</v>
      </c>
    </row>
    <row r="13" spans="1:39" ht="25.2" customHeight="1">
      <c r="A13" s="138">
        <v>4</v>
      </c>
      <c r="B13" s="545" t="str">
        <f>Master!D18</f>
        <v xml:space="preserve">KASALA NARSIMLU </v>
      </c>
      <c r="C13" s="546" t="str">
        <f>Master!G18</f>
        <v>KASALA POCHAIAH</v>
      </c>
      <c r="D13" s="248" t="str">
        <f>Master!F18</f>
        <v>Male</v>
      </c>
      <c r="E13" s="635" t="s">
        <v>745</v>
      </c>
      <c r="F13" s="635" t="s">
        <v>599</v>
      </c>
      <c r="G13" s="635" t="s">
        <v>745</v>
      </c>
      <c r="H13" s="635" t="s">
        <v>745</v>
      </c>
      <c r="I13" s="636" t="s">
        <v>598</v>
      </c>
      <c r="J13" s="635" t="s">
        <v>745</v>
      </c>
      <c r="K13" s="635" t="s">
        <v>745</v>
      </c>
      <c r="L13" s="635" t="s">
        <v>745</v>
      </c>
      <c r="M13" s="635" t="s">
        <v>745</v>
      </c>
      <c r="N13" s="635" t="s">
        <v>745</v>
      </c>
      <c r="O13" s="635" t="s">
        <v>745</v>
      </c>
      <c r="P13" s="636" t="s">
        <v>598</v>
      </c>
      <c r="Q13" s="635" t="s">
        <v>745</v>
      </c>
      <c r="R13" s="635" t="s">
        <v>745</v>
      </c>
      <c r="S13" s="635" t="s">
        <v>599</v>
      </c>
      <c r="T13" s="635" t="s">
        <v>745</v>
      </c>
      <c r="U13" s="635" t="s">
        <v>745</v>
      </c>
      <c r="V13" s="635" t="s">
        <v>745</v>
      </c>
      <c r="W13" s="636" t="s">
        <v>598</v>
      </c>
      <c r="X13" s="635" t="s">
        <v>745</v>
      </c>
      <c r="Y13" s="635" t="s">
        <v>745</v>
      </c>
      <c r="Z13" s="635" t="s">
        <v>745</v>
      </c>
      <c r="AA13" s="635" t="s">
        <v>599</v>
      </c>
      <c r="AB13" s="635" t="s">
        <v>745</v>
      </c>
      <c r="AC13" s="635" t="s">
        <v>745</v>
      </c>
      <c r="AD13" s="636" t="s">
        <v>598</v>
      </c>
      <c r="AE13" s="635" t="s">
        <v>745</v>
      </c>
      <c r="AF13" s="635" t="s">
        <v>745</v>
      </c>
      <c r="AG13" s="635" t="s">
        <v>599</v>
      </c>
      <c r="AH13" s="635" t="s">
        <v>745</v>
      </c>
      <c r="AI13" s="542"/>
      <c r="AJ13" s="544">
        <f>Master!AA18</f>
        <v>26</v>
      </c>
    </row>
    <row r="14" spans="1:39" ht="25.2" customHeight="1">
      <c r="A14" s="138">
        <v>5</v>
      </c>
      <c r="B14" s="545" t="str">
        <f>Master!D19</f>
        <v>PITANI SATHYA NARAYANA</v>
      </c>
      <c r="C14" s="546" t="str">
        <f>Master!G19</f>
        <v>P SURYANARAYANA</v>
      </c>
      <c r="D14" s="248" t="str">
        <f>Master!F19</f>
        <v>Male</v>
      </c>
      <c r="E14" s="635" t="s">
        <v>745</v>
      </c>
      <c r="F14" s="635" t="s">
        <v>599</v>
      </c>
      <c r="G14" s="635" t="s">
        <v>745</v>
      </c>
      <c r="H14" s="635" t="s">
        <v>745</v>
      </c>
      <c r="I14" s="636" t="s">
        <v>598</v>
      </c>
      <c r="J14" s="635" t="s">
        <v>745</v>
      </c>
      <c r="K14" s="635" t="s">
        <v>745</v>
      </c>
      <c r="L14" s="635" t="s">
        <v>745</v>
      </c>
      <c r="M14" s="635" t="s">
        <v>745</v>
      </c>
      <c r="N14" s="635" t="s">
        <v>745</v>
      </c>
      <c r="O14" s="635" t="s">
        <v>745</v>
      </c>
      <c r="P14" s="636" t="s">
        <v>598</v>
      </c>
      <c r="Q14" s="635" t="s">
        <v>745</v>
      </c>
      <c r="R14" s="635" t="s">
        <v>745</v>
      </c>
      <c r="S14" s="635" t="s">
        <v>599</v>
      </c>
      <c r="T14" s="635" t="s">
        <v>745</v>
      </c>
      <c r="U14" s="635" t="s">
        <v>745</v>
      </c>
      <c r="V14" s="635" t="s">
        <v>745</v>
      </c>
      <c r="W14" s="636" t="s">
        <v>598</v>
      </c>
      <c r="X14" s="635" t="s">
        <v>745</v>
      </c>
      <c r="Y14" s="635" t="s">
        <v>745</v>
      </c>
      <c r="Z14" s="635" t="s">
        <v>745</v>
      </c>
      <c r="AA14" s="635" t="s">
        <v>599</v>
      </c>
      <c r="AB14" s="635" t="s">
        <v>745</v>
      </c>
      <c r="AC14" s="635" t="s">
        <v>745</v>
      </c>
      <c r="AD14" s="636" t="s">
        <v>598</v>
      </c>
      <c r="AE14" s="635" t="s">
        <v>745</v>
      </c>
      <c r="AF14" s="635" t="s">
        <v>745</v>
      </c>
      <c r="AG14" s="635" t="s">
        <v>599</v>
      </c>
      <c r="AH14" s="635" t="s">
        <v>745</v>
      </c>
      <c r="AI14" s="542"/>
      <c r="AJ14" s="634" t="str">
        <f>Master!AA19</f>
        <v>26</v>
      </c>
    </row>
    <row r="15" spans="1:39" ht="25.2" customHeight="1">
      <c r="A15" s="138">
        <v>6</v>
      </c>
      <c r="B15" s="545" t="str">
        <f>Master!D20</f>
        <v>SANGOLLA ASHOK</v>
      </c>
      <c r="C15" s="546" t="str">
        <f>Master!G20</f>
        <v>SANGOLLA ESWARAIAH</v>
      </c>
      <c r="D15" s="248" t="str">
        <f>Master!F20</f>
        <v>Male</v>
      </c>
      <c r="E15" s="635" t="s">
        <v>745</v>
      </c>
      <c r="F15" s="635" t="s">
        <v>599</v>
      </c>
      <c r="G15" s="635" t="s">
        <v>745</v>
      </c>
      <c r="H15" s="635" t="s">
        <v>745</v>
      </c>
      <c r="I15" s="636" t="s">
        <v>598</v>
      </c>
      <c r="J15" s="635" t="s">
        <v>745</v>
      </c>
      <c r="K15" s="635" t="s">
        <v>745</v>
      </c>
      <c r="L15" s="635" t="s">
        <v>745</v>
      </c>
      <c r="M15" s="635" t="s">
        <v>745</v>
      </c>
      <c r="N15" s="635" t="s">
        <v>745</v>
      </c>
      <c r="O15" s="635" t="s">
        <v>745</v>
      </c>
      <c r="P15" s="636" t="s">
        <v>598</v>
      </c>
      <c r="Q15" s="635" t="s">
        <v>745</v>
      </c>
      <c r="R15" s="635" t="s">
        <v>745</v>
      </c>
      <c r="S15" s="635" t="s">
        <v>599</v>
      </c>
      <c r="T15" s="635" t="s">
        <v>745</v>
      </c>
      <c r="U15" s="635" t="s">
        <v>745</v>
      </c>
      <c r="V15" s="635" t="s">
        <v>745</v>
      </c>
      <c r="W15" s="636" t="s">
        <v>598</v>
      </c>
      <c r="X15" s="635" t="s">
        <v>745</v>
      </c>
      <c r="Y15" s="635" t="s">
        <v>745</v>
      </c>
      <c r="Z15" s="635" t="s">
        <v>745</v>
      </c>
      <c r="AA15" s="635" t="s">
        <v>599</v>
      </c>
      <c r="AB15" s="635" t="s">
        <v>745</v>
      </c>
      <c r="AC15" s="635" t="s">
        <v>745</v>
      </c>
      <c r="AD15" s="636" t="s">
        <v>598</v>
      </c>
      <c r="AE15" s="635" t="s">
        <v>745</v>
      </c>
      <c r="AF15" s="635" t="s">
        <v>745</v>
      </c>
      <c r="AG15" s="635" t="s">
        <v>599</v>
      </c>
      <c r="AH15" s="635" t="s">
        <v>745</v>
      </c>
      <c r="AI15" s="542"/>
      <c r="AJ15" s="544">
        <f>Master!AA20</f>
        <v>26</v>
      </c>
    </row>
    <row r="16" spans="1:39" ht="25.2" customHeight="1">
      <c r="A16" s="138">
        <v>7</v>
      </c>
      <c r="B16" s="545" t="str">
        <f>Master!D21</f>
        <v>ASHOK LINGURAM GAIKWAD</v>
      </c>
      <c r="C16" s="546" t="str">
        <f>Master!G21</f>
        <v>M LINGRAM</v>
      </c>
      <c r="D16" s="248" t="str">
        <f>Master!F21</f>
        <v>Male</v>
      </c>
      <c r="E16" s="635" t="s">
        <v>745</v>
      </c>
      <c r="F16" s="635" t="s">
        <v>599</v>
      </c>
      <c r="G16" s="635" t="s">
        <v>745</v>
      </c>
      <c r="H16" s="635" t="s">
        <v>745</v>
      </c>
      <c r="I16" s="636" t="s">
        <v>598</v>
      </c>
      <c r="J16" s="635" t="s">
        <v>745</v>
      </c>
      <c r="K16" s="635" t="s">
        <v>745</v>
      </c>
      <c r="L16" s="635" t="s">
        <v>745</v>
      </c>
      <c r="M16" s="635" t="s">
        <v>745</v>
      </c>
      <c r="N16" s="635" t="s">
        <v>745</v>
      </c>
      <c r="O16" s="635" t="s">
        <v>745</v>
      </c>
      <c r="P16" s="636" t="s">
        <v>598</v>
      </c>
      <c r="Q16" s="635" t="s">
        <v>745</v>
      </c>
      <c r="R16" s="635" t="s">
        <v>745</v>
      </c>
      <c r="S16" s="635" t="s">
        <v>599</v>
      </c>
      <c r="T16" s="635" t="s">
        <v>745</v>
      </c>
      <c r="U16" s="635" t="s">
        <v>745</v>
      </c>
      <c r="V16" s="635" t="s">
        <v>745</v>
      </c>
      <c r="W16" s="636" t="s">
        <v>598</v>
      </c>
      <c r="X16" s="635" t="s">
        <v>745</v>
      </c>
      <c r="Y16" s="635" t="s">
        <v>745</v>
      </c>
      <c r="Z16" s="635" t="s">
        <v>745</v>
      </c>
      <c r="AA16" s="635" t="s">
        <v>599</v>
      </c>
      <c r="AB16" s="635" t="s">
        <v>745</v>
      </c>
      <c r="AC16" s="635" t="s">
        <v>745</v>
      </c>
      <c r="AD16" s="636" t="s">
        <v>598</v>
      </c>
      <c r="AE16" s="635" t="s">
        <v>745</v>
      </c>
      <c r="AF16" s="635" t="s">
        <v>745</v>
      </c>
      <c r="AG16" s="635" t="s">
        <v>599</v>
      </c>
      <c r="AH16" s="635" t="s">
        <v>745</v>
      </c>
      <c r="AI16" s="542"/>
      <c r="AJ16" s="544">
        <f>Master!AA21</f>
        <v>26</v>
      </c>
    </row>
    <row r="17" spans="1:36" ht="25.2" customHeight="1">
      <c r="A17" s="138">
        <v>8</v>
      </c>
      <c r="B17" s="545" t="str">
        <f>Master!D22</f>
        <v>MADHUKAR KAMTAM</v>
      </c>
      <c r="C17" s="546" t="str">
        <f>Master!G22</f>
        <v>KAMTAM KISHAN</v>
      </c>
      <c r="D17" s="248" t="str">
        <f>Master!F22</f>
        <v>Male</v>
      </c>
      <c r="E17" s="635" t="s">
        <v>745</v>
      </c>
      <c r="F17" s="635" t="s">
        <v>599</v>
      </c>
      <c r="G17" s="635" t="s">
        <v>745</v>
      </c>
      <c r="H17" s="635" t="s">
        <v>745</v>
      </c>
      <c r="I17" s="636" t="s">
        <v>598</v>
      </c>
      <c r="J17" s="635" t="s">
        <v>745</v>
      </c>
      <c r="K17" s="635" t="s">
        <v>745</v>
      </c>
      <c r="L17" s="635" t="s">
        <v>745</v>
      </c>
      <c r="M17" s="635" t="s">
        <v>745</v>
      </c>
      <c r="N17" s="635" t="s">
        <v>745</v>
      </c>
      <c r="O17" s="635" t="s">
        <v>745</v>
      </c>
      <c r="P17" s="636" t="s">
        <v>598</v>
      </c>
      <c r="Q17" s="635" t="s">
        <v>745</v>
      </c>
      <c r="R17" s="635" t="s">
        <v>745</v>
      </c>
      <c r="S17" s="635" t="s">
        <v>599</v>
      </c>
      <c r="T17" s="635" t="s">
        <v>745</v>
      </c>
      <c r="U17" s="635" t="s">
        <v>745</v>
      </c>
      <c r="V17" s="635" t="s">
        <v>745</v>
      </c>
      <c r="W17" s="636" t="s">
        <v>598</v>
      </c>
      <c r="X17" s="635" t="s">
        <v>745</v>
      </c>
      <c r="Y17" s="635" t="s">
        <v>745</v>
      </c>
      <c r="Z17" s="635" t="s">
        <v>745</v>
      </c>
      <c r="AA17" s="635" t="s">
        <v>599</v>
      </c>
      <c r="AB17" s="635" t="s">
        <v>745</v>
      </c>
      <c r="AC17" s="635" t="s">
        <v>745</v>
      </c>
      <c r="AD17" s="636" t="s">
        <v>598</v>
      </c>
      <c r="AE17" s="635" t="s">
        <v>745</v>
      </c>
      <c r="AF17" s="635" t="s">
        <v>745</v>
      </c>
      <c r="AG17" s="635" t="s">
        <v>599</v>
      </c>
      <c r="AH17" s="635" t="s">
        <v>745</v>
      </c>
      <c r="AI17" s="542"/>
      <c r="AJ17" s="544">
        <f>Master!AA22</f>
        <v>26</v>
      </c>
    </row>
    <row r="18" spans="1:36" ht="25.2" customHeight="1">
      <c r="A18" s="138">
        <v>9</v>
      </c>
      <c r="B18" s="545" t="str">
        <f>Master!D23</f>
        <v>Ningolla Raju</v>
      </c>
      <c r="C18" s="546" t="str">
        <f>Master!G23</f>
        <v>ningolla pochaiah</v>
      </c>
      <c r="D18" s="248" t="str">
        <f>Master!F23</f>
        <v>Male</v>
      </c>
      <c r="E18" s="635" t="s">
        <v>745</v>
      </c>
      <c r="F18" s="635" t="s">
        <v>599</v>
      </c>
      <c r="G18" s="635" t="s">
        <v>745</v>
      </c>
      <c r="H18" s="635" t="s">
        <v>745</v>
      </c>
      <c r="I18" s="636" t="s">
        <v>598</v>
      </c>
      <c r="J18" s="635" t="s">
        <v>745</v>
      </c>
      <c r="K18" s="635" t="s">
        <v>745</v>
      </c>
      <c r="L18" s="635" t="s">
        <v>745</v>
      </c>
      <c r="M18" s="635" t="s">
        <v>745</v>
      </c>
      <c r="N18" s="635" t="s">
        <v>745</v>
      </c>
      <c r="O18" s="635" t="s">
        <v>745</v>
      </c>
      <c r="P18" s="636" t="s">
        <v>598</v>
      </c>
      <c r="Q18" s="635" t="s">
        <v>745</v>
      </c>
      <c r="R18" s="635" t="s">
        <v>745</v>
      </c>
      <c r="S18" s="635" t="s">
        <v>599</v>
      </c>
      <c r="T18" s="635" t="s">
        <v>745</v>
      </c>
      <c r="U18" s="635" t="s">
        <v>745</v>
      </c>
      <c r="V18" s="635" t="s">
        <v>745</v>
      </c>
      <c r="W18" s="636" t="s">
        <v>598</v>
      </c>
      <c r="X18" s="635" t="s">
        <v>745</v>
      </c>
      <c r="Y18" s="635" t="s">
        <v>745</v>
      </c>
      <c r="Z18" s="635" t="s">
        <v>745</v>
      </c>
      <c r="AA18" s="635" t="s">
        <v>599</v>
      </c>
      <c r="AB18" s="635" t="s">
        <v>745</v>
      </c>
      <c r="AC18" s="635" t="s">
        <v>745</v>
      </c>
      <c r="AD18" s="636" t="s">
        <v>598</v>
      </c>
      <c r="AE18" s="635" t="s">
        <v>745</v>
      </c>
      <c r="AF18" s="635" t="s">
        <v>745</v>
      </c>
      <c r="AG18" s="635" t="s">
        <v>599</v>
      </c>
      <c r="AH18" s="635" t="s">
        <v>745</v>
      </c>
      <c r="AI18" s="542"/>
      <c r="AJ18" s="544">
        <f>Master!AA23</f>
        <v>26</v>
      </c>
    </row>
    <row r="19" spans="1:36" ht="25.2" customHeight="1">
      <c r="A19" s="138">
        <v>10</v>
      </c>
      <c r="B19" s="545" t="str">
        <f>Master!D24</f>
        <v>Nagani pochaiah</v>
      </c>
      <c r="C19" s="546" t="str">
        <f>Master!G24</f>
        <v>Nagani mallaiah</v>
      </c>
      <c r="D19" s="248" t="str">
        <f>Master!F24</f>
        <v>Male</v>
      </c>
      <c r="E19" s="635" t="s">
        <v>745</v>
      </c>
      <c r="F19" s="635" t="s">
        <v>599</v>
      </c>
      <c r="G19" s="635" t="s">
        <v>745</v>
      </c>
      <c r="H19" s="635" t="s">
        <v>745</v>
      </c>
      <c r="I19" s="636" t="s">
        <v>598</v>
      </c>
      <c r="J19" s="635" t="s">
        <v>745</v>
      </c>
      <c r="K19" s="635" t="s">
        <v>745</v>
      </c>
      <c r="L19" s="635" t="s">
        <v>745</v>
      </c>
      <c r="M19" s="635" t="s">
        <v>745</v>
      </c>
      <c r="N19" s="635" t="s">
        <v>745</v>
      </c>
      <c r="O19" s="635" t="s">
        <v>745</v>
      </c>
      <c r="P19" s="636" t="s">
        <v>598</v>
      </c>
      <c r="Q19" s="635" t="s">
        <v>745</v>
      </c>
      <c r="R19" s="635" t="s">
        <v>745</v>
      </c>
      <c r="S19" s="635" t="s">
        <v>599</v>
      </c>
      <c r="T19" s="635" t="s">
        <v>745</v>
      </c>
      <c r="U19" s="635" t="s">
        <v>745</v>
      </c>
      <c r="V19" s="635" t="s">
        <v>745</v>
      </c>
      <c r="W19" s="636" t="s">
        <v>598</v>
      </c>
      <c r="X19" s="635" t="s">
        <v>745</v>
      </c>
      <c r="Y19" s="635" t="s">
        <v>745</v>
      </c>
      <c r="Z19" s="635" t="s">
        <v>745</v>
      </c>
      <c r="AA19" s="635" t="s">
        <v>599</v>
      </c>
      <c r="AB19" s="635" t="s">
        <v>745</v>
      </c>
      <c r="AC19" s="635" t="s">
        <v>745</v>
      </c>
      <c r="AD19" s="636" t="s">
        <v>598</v>
      </c>
      <c r="AE19" s="635" t="s">
        <v>745</v>
      </c>
      <c r="AF19" s="635" t="s">
        <v>745</v>
      </c>
      <c r="AG19" s="635" t="s">
        <v>599</v>
      </c>
      <c r="AH19" s="635" t="s">
        <v>745</v>
      </c>
      <c r="AI19" s="542"/>
      <c r="AJ19" s="544">
        <f>Master!AA24</f>
        <v>26</v>
      </c>
    </row>
    <row r="20" spans="1:36" ht="25.2" customHeight="1">
      <c r="A20" s="138">
        <v>11</v>
      </c>
      <c r="B20" s="545" t="str">
        <f>Master!D25</f>
        <v>Mutholla Mallesh</v>
      </c>
      <c r="C20" s="546" t="str">
        <f>Master!G25</f>
        <v>Mutholla balaiah</v>
      </c>
      <c r="D20" s="248" t="str">
        <f>Master!F25</f>
        <v>Male</v>
      </c>
      <c r="E20" s="635" t="s">
        <v>745</v>
      </c>
      <c r="F20" s="635" t="s">
        <v>599</v>
      </c>
      <c r="G20" s="635" t="s">
        <v>745</v>
      </c>
      <c r="H20" s="635" t="s">
        <v>745</v>
      </c>
      <c r="I20" s="636" t="s">
        <v>598</v>
      </c>
      <c r="J20" s="635" t="s">
        <v>745</v>
      </c>
      <c r="K20" s="635" t="s">
        <v>745</v>
      </c>
      <c r="L20" s="635" t="s">
        <v>745</v>
      </c>
      <c r="M20" s="635" t="s">
        <v>745</v>
      </c>
      <c r="N20" s="635" t="s">
        <v>745</v>
      </c>
      <c r="O20" s="635" t="s">
        <v>745</v>
      </c>
      <c r="P20" s="636" t="s">
        <v>598</v>
      </c>
      <c r="Q20" s="635" t="s">
        <v>745</v>
      </c>
      <c r="R20" s="635" t="s">
        <v>745</v>
      </c>
      <c r="S20" s="635" t="s">
        <v>599</v>
      </c>
      <c r="T20" s="635" t="s">
        <v>745</v>
      </c>
      <c r="U20" s="635" t="s">
        <v>745</v>
      </c>
      <c r="V20" s="635" t="s">
        <v>745</v>
      </c>
      <c r="W20" s="636" t="s">
        <v>598</v>
      </c>
      <c r="X20" s="635" t="s">
        <v>745</v>
      </c>
      <c r="Y20" s="635" t="s">
        <v>745</v>
      </c>
      <c r="Z20" s="635" t="s">
        <v>745</v>
      </c>
      <c r="AA20" s="635" t="s">
        <v>599</v>
      </c>
      <c r="AB20" s="635" t="s">
        <v>745</v>
      </c>
      <c r="AC20" s="635" t="s">
        <v>745</v>
      </c>
      <c r="AD20" s="636" t="s">
        <v>598</v>
      </c>
      <c r="AE20" s="635" t="s">
        <v>745</v>
      </c>
      <c r="AF20" s="635" t="s">
        <v>745</v>
      </c>
      <c r="AG20" s="635" t="s">
        <v>599</v>
      </c>
      <c r="AH20" s="635" t="s">
        <v>745</v>
      </c>
      <c r="AI20" s="542"/>
      <c r="AJ20" s="544">
        <f>Master!AA25</f>
        <v>26</v>
      </c>
    </row>
    <row r="21" spans="1:36" ht="25.2" customHeight="1">
      <c r="A21" s="138">
        <v>12</v>
      </c>
      <c r="B21" s="545" t="str">
        <f>Master!D26</f>
        <v>ALIJANA JAYARAMI REDDY</v>
      </c>
      <c r="C21" s="546" t="str">
        <f>Master!G26</f>
        <v>ALIJANA OBULU REDDY</v>
      </c>
      <c r="D21" s="248" t="str">
        <f>Master!F26</f>
        <v>Male</v>
      </c>
      <c r="E21" s="635" t="s">
        <v>745</v>
      </c>
      <c r="F21" s="635" t="s">
        <v>599</v>
      </c>
      <c r="G21" s="635" t="s">
        <v>745</v>
      </c>
      <c r="H21" s="635" t="s">
        <v>745</v>
      </c>
      <c r="I21" s="636" t="s">
        <v>598</v>
      </c>
      <c r="J21" s="635" t="s">
        <v>745</v>
      </c>
      <c r="K21" s="635" t="s">
        <v>745</v>
      </c>
      <c r="L21" s="635" t="s">
        <v>745</v>
      </c>
      <c r="M21" s="635" t="s">
        <v>745</v>
      </c>
      <c r="N21" s="635" t="s">
        <v>745</v>
      </c>
      <c r="O21" s="635" t="s">
        <v>745</v>
      </c>
      <c r="P21" s="636" t="s">
        <v>598</v>
      </c>
      <c r="Q21" s="635" t="s">
        <v>745</v>
      </c>
      <c r="R21" s="635" t="s">
        <v>745</v>
      </c>
      <c r="S21" s="635" t="s">
        <v>599</v>
      </c>
      <c r="T21" s="635" t="s">
        <v>745</v>
      </c>
      <c r="U21" s="635" t="s">
        <v>745</v>
      </c>
      <c r="V21" s="635" t="s">
        <v>745</v>
      </c>
      <c r="W21" s="636" t="s">
        <v>598</v>
      </c>
      <c r="X21" s="635" t="s">
        <v>745</v>
      </c>
      <c r="Y21" s="635" t="s">
        <v>745</v>
      </c>
      <c r="Z21" s="635" t="s">
        <v>745</v>
      </c>
      <c r="AA21" s="635" t="s">
        <v>599</v>
      </c>
      <c r="AB21" s="635" t="s">
        <v>745</v>
      </c>
      <c r="AC21" s="635" t="s">
        <v>745</v>
      </c>
      <c r="AD21" s="636" t="s">
        <v>598</v>
      </c>
      <c r="AE21" s="635" t="s">
        <v>745</v>
      </c>
      <c r="AF21" s="635" t="s">
        <v>745</v>
      </c>
      <c r="AG21" s="635" t="s">
        <v>599</v>
      </c>
      <c r="AH21" s="635" t="s">
        <v>745</v>
      </c>
      <c r="AI21" s="296"/>
      <c r="AJ21" s="544">
        <f>Master!AA26</f>
        <v>26</v>
      </c>
    </row>
    <row r="22" spans="1:36" ht="25.2" customHeight="1">
      <c r="A22" s="138">
        <v>13</v>
      </c>
      <c r="B22" s="545" t="str">
        <f>Master!D27</f>
        <v>Kapil</v>
      </c>
      <c r="C22" s="546" t="str">
        <f>Master!G27</f>
        <v>Ganesh lal</v>
      </c>
      <c r="D22" s="248" t="str">
        <f>Master!F27</f>
        <v>Male</v>
      </c>
      <c r="E22" s="637"/>
      <c r="F22" s="638"/>
      <c r="G22" s="637"/>
      <c r="H22" s="637"/>
      <c r="I22" s="637"/>
      <c r="J22" s="637"/>
      <c r="K22" s="637"/>
      <c r="L22" s="637"/>
      <c r="M22" s="637"/>
      <c r="N22" s="637"/>
      <c r="O22" s="637"/>
      <c r="P22" s="637"/>
      <c r="Q22" s="637"/>
      <c r="R22" s="637"/>
      <c r="S22" s="637"/>
      <c r="T22" s="637"/>
      <c r="U22" s="637"/>
      <c r="V22" s="637"/>
      <c r="W22" s="637"/>
      <c r="X22" s="637"/>
      <c r="Y22" s="637"/>
      <c r="Z22" s="637"/>
      <c r="AA22" s="637"/>
      <c r="AB22" s="637"/>
      <c r="AC22" s="637"/>
      <c r="AD22" s="637"/>
      <c r="AE22" s="637"/>
      <c r="AF22" s="637"/>
      <c r="AG22" s="637"/>
      <c r="AH22" s="637"/>
      <c r="AI22" s="542"/>
      <c r="AJ22" s="544">
        <f>Master!AA27</f>
        <v>0</v>
      </c>
    </row>
    <row r="23" spans="1:36" ht="25.2" customHeight="1">
      <c r="A23" s="138">
        <v>14</v>
      </c>
      <c r="B23" s="545" t="str">
        <f>Master!D28</f>
        <v xml:space="preserve">Bablu kumar </v>
      </c>
      <c r="C23" s="546" t="str">
        <f>Master!G28</f>
        <v>Harilal</v>
      </c>
      <c r="D23" s="248" t="str">
        <f>Master!F28</f>
        <v>Male</v>
      </c>
      <c r="E23" s="637"/>
      <c r="F23" s="638"/>
      <c r="G23" s="637"/>
      <c r="H23" s="637"/>
      <c r="I23" s="637"/>
      <c r="J23" s="637"/>
      <c r="K23" s="637"/>
      <c r="L23" s="637"/>
      <c r="M23" s="637"/>
      <c r="N23" s="637"/>
      <c r="O23" s="637"/>
      <c r="P23" s="637"/>
      <c r="Q23" s="637"/>
      <c r="R23" s="637"/>
      <c r="S23" s="637"/>
      <c r="T23" s="637"/>
      <c r="U23" s="637"/>
      <c r="V23" s="637"/>
      <c r="W23" s="637"/>
      <c r="X23" s="637"/>
      <c r="Y23" s="637"/>
      <c r="Z23" s="637"/>
      <c r="AA23" s="637"/>
      <c r="AB23" s="637"/>
      <c r="AC23" s="637"/>
      <c r="AD23" s="637"/>
      <c r="AE23" s="637"/>
      <c r="AF23" s="637"/>
      <c r="AG23" s="637"/>
      <c r="AH23" s="637"/>
      <c r="AI23" s="542"/>
      <c r="AJ23" s="544">
        <f>Master!AA28</f>
        <v>0</v>
      </c>
    </row>
    <row r="24" spans="1:36" ht="25.2" customHeight="1">
      <c r="A24" s="138">
        <v>15</v>
      </c>
      <c r="B24" s="545" t="str">
        <f>Master!D29</f>
        <v>Pradeep kumar</v>
      </c>
      <c r="C24" s="546" t="str">
        <f>Master!G29</f>
        <v>Jagdev</v>
      </c>
      <c r="D24" s="248" t="str">
        <f>Master!F29</f>
        <v>Male</v>
      </c>
      <c r="E24" s="637"/>
      <c r="F24" s="638"/>
      <c r="G24" s="637"/>
      <c r="H24" s="637"/>
      <c r="I24" s="637"/>
      <c r="J24" s="637"/>
      <c r="K24" s="637"/>
      <c r="L24" s="637"/>
      <c r="M24" s="637"/>
      <c r="N24" s="637"/>
      <c r="O24" s="637"/>
      <c r="P24" s="637"/>
      <c r="Q24" s="637"/>
      <c r="R24" s="637"/>
      <c r="S24" s="637"/>
      <c r="T24" s="637"/>
      <c r="U24" s="637"/>
      <c r="V24" s="637"/>
      <c r="W24" s="637"/>
      <c r="X24" s="637"/>
      <c r="Y24" s="637"/>
      <c r="Z24" s="637"/>
      <c r="AA24" s="637"/>
      <c r="AB24" s="637"/>
      <c r="AC24" s="637"/>
      <c r="AD24" s="637"/>
      <c r="AE24" s="637"/>
      <c r="AF24" s="637"/>
      <c r="AG24" s="637"/>
      <c r="AH24" s="637"/>
      <c r="AI24" s="542"/>
      <c r="AJ24" s="544">
        <f>Master!AA29</f>
        <v>0</v>
      </c>
    </row>
    <row r="25" spans="1:36" ht="25.2" customHeight="1">
      <c r="A25" s="138">
        <v>16</v>
      </c>
      <c r="B25" s="545" t="str">
        <f>Master!D30</f>
        <v>SHAIK KULSUM BEE</v>
      </c>
      <c r="C25" s="546" t="str">
        <f>Master!G30</f>
        <v xml:space="preserve">SHAIK LALA </v>
      </c>
      <c r="D25" s="248" t="str">
        <f>Master!F30</f>
        <v>Female</v>
      </c>
      <c r="E25" s="635" t="s">
        <v>745</v>
      </c>
      <c r="F25" s="635" t="s">
        <v>599</v>
      </c>
      <c r="G25" s="635" t="s">
        <v>745</v>
      </c>
      <c r="H25" s="635" t="s">
        <v>745</v>
      </c>
      <c r="I25" s="636" t="s">
        <v>598</v>
      </c>
      <c r="J25" s="635" t="s">
        <v>745</v>
      </c>
      <c r="K25" s="635" t="s">
        <v>745</v>
      </c>
      <c r="L25" s="635" t="s">
        <v>745</v>
      </c>
      <c r="M25" s="635" t="s">
        <v>745</v>
      </c>
      <c r="N25" s="635" t="s">
        <v>745</v>
      </c>
      <c r="O25" s="635" t="s">
        <v>745</v>
      </c>
      <c r="P25" s="636" t="s">
        <v>598</v>
      </c>
      <c r="Q25" s="635" t="s">
        <v>745</v>
      </c>
      <c r="R25" s="635" t="s">
        <v>745</v>
      </c>
      <c r="S25" s="635" t="s">
        <v>599</v>
      </c>
      <c r="T25" s="635" t="s">
        <v>745</v>
      </c>
      <c r="U25" s="635" t="s">
        <v>745</v>
      </c>
      <c r="V25" s="635" t="s">
        <v>745</v>
      </c>
      <c r="W25" s="636" t="s">
        <v>598</v>
      </c>
      <c r="X25" s="635" t="s">
        <v>745</v>
      </c>
      <c r="Y25" s="635" t="s">
        <v>745</v>
      </c>
      <c r="Z25" s="635" t="s">
        <v>745</v>
      </c>
      <c r="AA25" s="635" t="s">
        <v>599</v>
      </c>
      <c r="AB25" s="635" t="s">
        <v>745</v>
      </c>
      <c r="AC25" s="635" t="s">
        <v>745</v>
      </c>
      <c r="AD25" s="636" t="s">
        <v>598</v>
      </c>
      <c r="AE25" s="635" t="s">
        <v>745</v>
      </c>
      <c r="AF25" s="635" t="s">
        <v>745</v>
      </c>
      <c r="AG25" s="635" t="s">
        <v>599</v>
      </c>
      <c r="AH25" s="635" t="s">
        <v>745</v>
      </c>
      <c r="AI25" s="542"/>
      <c r="AJ25" s="544">
        <f>Master!AA30</f>
        <v>26</v>
      </c>
    </row>
    <row r="26" spans="1:36" ht="25.2" customHeight="1">
      <c r="A26" s="138">
        <v>17</v>
      </c>
      <c r="B26" s="545" t="str">
        <f>Master!D31</f>
        <v>S GOWRI</v>
      </c>
      <c r="C26" s="546" t="str">
        <f>Master!G31</f>
        <v>S SURYANARAYANA</v>
      </c>
      <c r="D26" s="248" t="str">
        <f>Master!F31</f>
        <v>Female</v>
      </c>
      <c r="E26" s="635" t="s">
        <v>745</v>
      </c>
      <c r="F26" s="635" t="s">
        <v>599</v>
      </c>
      <c r="G26" s="635" t="s">
        <v>745</v>
      </c>
      <c r="H26" s="635" t="s">
        <v>745</v>
      </c>
      <c r="I26" s="636" t="s">
        <v>598</v>
      </c>
      <c r="J26" s="635" t="s">
        <v>745</v>
      </c>
      <c r="K26" s="635" t="s">
        <v>745</v>
      </c>
      <c r="L26" s="635" t="s">
        <v>745</v>
      </c>
      <c r="M26" s="635" t="s">
        <v>745</v>
      </c>
      <c r="N26" s="635" t="s">
        <v>745</v>
      </c>
      <c r="O26" s="635" t="s">
        <v>745</v>
      </c>
      <c r="P26" s="636" t="s">
        <v>598</v>
      </c>
      <c r="Q26" s="635" t="s">
        <v>745</v>
      </c>
      <c r="R26" s="635" t="s">
        <v>745</v>
      </c>
      <c r="S26" s="635" t="s">
        <v>599</v>
      </c>
      <c r="T26" s="635" t="s">
        <v>745</v>
      </c>
      <c r="U26" s="635" t="s">
        <v>745</v>
      </c>
      <c r="V26" s="635" t="s">
        <v>745</v>
      </c>
      <c r="W26" s="636" t="s">
        <v>598</v>
      </c>
      <c r="X26" s="635" t="s">
        <v>745</v>
      </c>
      <c r="Y26" s="635" t="s">
        <v>745</v>
      </c>
      <c r="Z26" s="635" t="s">
        <v>745</v>
      </c>
      <c r="AA26" s="635" t="s">
        <v>599</v>
      </c>
      <c r="AB26" s="635" t="s">
        <v>745</v>
      </c>
      <c r="AC26" s="635" t="s">
        <v>745</v>
      </c>
      <c r="AD26" s="636" t="s">
        <v>598</v>
      </c>
      <c r="AE26" s="635" t="s">
        <v>745</v>
      </c>
      <c r="AF26" s="635" t="s">
        <v>745</v>
      </c>
      <c r="AG26" s="635" t="s">
        <v>599</v>
      </c>
      <c r="AH26" s="635" t="s">
        <v>745</v>
      </c>
      <c r="AI26" s="542"/>
      <c r="AJ26" s="544">
        <f>Master!AA31</f>
        <v>26</v>
      </c>
    </row>
    <row r="27" spans="1:36" ht="25.2" customHeight="1">
      <c r="A27" s="138">
        <v>18</v>
      </c>
      <c r="B27" s="545" t="str">
        <f>Master!D32</f>
        <v>FARZANA BEGUM</v>
      </c>
      <c r="C27" s="546" t="str">
        <f>Master!G32</f>
        <v>SHAIK MASTAN WALI</v>
      </c>
      <c r="D27" s="248" t="str">
        <f>Master!F32</f>
        <v>Female</v>
      </c>
      <c r="E27" s="635" t="s">
        <v>745</v>
      </c>
      <c r="F27" s="635" t="s">
        <v>599</v>
      </c>
      <c r="G27" s="635" t="s">
        <v>745</v>
      </c>
      <c r="H27" s="635" t="s">
        <v>745</v>
      </c>
      <c r="I27" s="636" t="s">
        <v>598</v>
      </c>
      <c r="J27" s="635" t="s">
        <v>745</v>
      </c>
      <c r="K27" s="635" t="s">
        <v>745</v>
      </c>
      <c r="L27" s="635" t="s">
        <v>745</v>
      </c>
      <c r="M27" s="635" t="s">
        <v>745</v>
      </c>
      <c r="N27" s="635" t="s">
        <v>745</v>
      </c>
      <c r="O27" s="635" t="s">
        <v>745</v>
      </c>
      <c r="P27" s="636" t="s">
        <v>598</v>
      </c>
      <c r="Q27" s="635" t="s">
        <v>745</v>
      </c>
      <c r="R27" s="635" t="s">
        <v>745</v>
      </c>
      <c r="S27" s="635" t="s">
        <v>599</v>
      </c>
      <c r="T27" s="635" t="s">
        <v>745</v>
      </c>
      <c r="U27" s="635" t="s">
        <v>745</v>
      </c>
      <c r="V27" s="635" t="s">
        <v>745</v>
      </c>
      <c r="W27" s="636" t="s">
        <v>598</v>
      </c>
      <c r="X27" s="635" t="s">
        <v>745</v>
      </c>
      <c r="Y27" s="635" t="s">
        <v>745</v>
      </c>
      <c r="Z27" s="635" t="s">
        <v>745</v>
      </c>
      <c r="AA27" s="635" t="s">
        <v>599</v>
      </c>
      <c r="AB27" s="635" t="s">
        <v>745</v>
      </c>
      <c r="AC27" s="635" t="s">
        <v>745</v>
      </c>
      <c r="AD27" s="636" t="s">
        <v>598</v>
      </c>
      <c r="AE27" s="635" t="s">
        <v>745</v>
      </c>
      <c r="AF27" s="635" t="s">
        <v>745</v>
      </c>
      <c r="AG27" s="635" t="s">
        <v>599</v>
      </c>
      <c r="AH27" s="635" t="s">
        <v>745</v>
      </c>
      <c r="AI27" s="542"/>
      <c r="AJ27" s="544">
        <f>Master!AA32</f>
        <v>26</v>
      </c>
    </row>
    <row r="28" spans="1:36" ht="25.2" customHeight="1">
      <c r="A28" s="138">
        <v>19</v>
      </c>
      <c r="B28" s="545" t="str">
        <f>Master!D33</f>
        <v>MANAGALI SUHASINI</v>
      </c>
      <c r="C28" s="546" t="str">
        <f>Master!G33</f>
        <v>MANGALI RAJU</v>
      </c>
      <c r="D28" s="248" t="str">
        <f>Master!F33</f>
        <v>Female</v>
      </c>
      <c r="E28" s="635" t="s">
        <v>745</v>
      </c>
      <c r="F28" s="635" t="s">
        <v>599</v>
      </c>
      <c r="G28" s="635" t="s">
        <v>745</v>
      </c>
      <c r="H28" s="635" t="s">
        <v>745</v>
      </c>
      <c r="I28" s="636" t="s">
        <v>598</v>
      </c>
      <c r="J28" s="635" t="s">
        <v>745</v>
      </c>
      <c r="K28" s="635" t="s">
        <v>745</v>
      </c>
      <c r="L28" s="635" t="s">
        <v>745</v>
      </c>
      <c r="M28" s="635" t="s">
        <v>745</v>
      </c>
      <c r="N28" s="635" t="s">
        <v>745</v>
      </c>
      <c r="O28" s="635" t="s">
        <v>745</v>
      </c>
      <c r="P28" s="636" t="s">
        <v>598</v>
      </c>
      <c r="Q28" s="635" t="s">
        <v>745</v>
      </c>
      <c r="R28" s="635" t="s">
        <v>745</v>
      </c>
      <c r="S28" s="635" t="s">
        <v>599</v>
      </c>
      <c r="T28" s="635" t="s">
        <v>745</v>
      </c>
      <c r="U28" s="635" t="s">
        <v>745</v>
      </c>
      <c r="V28" s="635" t="s">
        <v>745</v>
      </c>
      <c r="W28" s="636" t="s">
        <v>598</v>
      </c>
      <c r="X28" s="635" t="s">
        <v>745</v>
      </c>
      <c r="Y28" s="635" t="s">
        <v>745</v>
      </c>
      <c r="Z28" s="635" t="s">
        <v>745</v>
      </c>
      <c r="AA28" s="635" t="s">
        <v>599</v>
      </c>
      <c r="AB28" s="635" t="s">
        <v>745</v>
      </c>
      <c r="AC28" s="635" t="s">
        <v>745</v>
      </c>
      <c r="AD28" s="636" t="s">
        <v>598</v>
      </c>
      <c r="AE28" s="635" t="s">
        <v>745</v>
      </c>
      <c r="AF28" s="635" t="s">
        <v>745</v>
      </c>
      <c r="AG28" s="635" t="s">
        <v>599</v>
      </c>
      <c r="AH28" s="635" t="s">
        <v>745</v>
      </c>
      <c r="AI28" s="542"/>
      <c r="AJ28" s="544">
        <f>Master!AA33</f>
        <v>26</v>
      </c>
    </row>
    <row r="29" spans="1:36" ht="25.2" customHeight="1">
      <c r="A29" s="138">
        <v>20</v>
      </c>
      <c r="B29" s="545" t="str">
        <f>Master!D34</f>
        <v>KONA SUJATHA</v>
      </c>
      <c r="C29" s="546" t="str">
        <f>Master!G34</f>
        <v>KONA SURYANARAYANA</v>
      </c>
      <c r="D29" s="248" t="str">
        <f>Master!F34</f>
        <v>Female</v>
      </c>
      <c r="E29" s="635" t="s">
        <v>745</v>
      </c>
      <c r="F29" s="635" t="s">
        <v>599</v>
      </c>
      <c r="G29" s="635" t="s">
        <v>745</v>
      </c>
      <c r="H29" s="635" t="s">
        <v>745</v>
      </c>
      <c r="I29" s="636" t="s">
        <v>598</v>
      </c>
      <c r="J29" s="635" t="s">
        <v>745</v>
      </c>
      <c r="K29" s="635" t="s">
        <v>745</v>
      </c>
      <c r="L29" s="635" t="s">
        <v>745</v>
      </c>
      <c r="M29" s="635" t="s">
        <v>745</v>
      </c>
      <c r="N29" s="635" t="s">
        <v>745</v>
      </c>
      <c r="O29" s="635" t="s">
        <v>745</v>
      </c>
      <c r="P29" s="636" t="s">
        <v>598</v>
      </c>
      <c r="Q29" s="635" t="s">
        <v>745</v>
      </c>
      <c r="R29" s="635" t="s">
        <v>745</v>
      </c>
      <c r="S29" s="635" t="s">
        <v>599</v>
      </c>
      <c r="T29" s="635" t="s">
        <v>745</v>
      </c>
      <c r="U29" s="635" t="s">
        <v>745</v>
      </c>
      <c r="V29" s="635" t="s">
        <v>745</v>
      </c>
      <c r="W29" s="636" t="s">
        <v>598</v>
      </c>
      <c r="X29" s="635" t="s">
        <v>745</v>
      </c>
      <c r="Y29" s="635" t="s">
        <v>745</v>
      </c>
      <c r="Z29" s="635" t="s">
        <v>745</v>
      </c>
      <c r="AA29" s="635" t="s">
        <v>599</v>
      </c>
      <c r="AB29" s="635" t="s">
        <v>745</v>
      </c>
      <c r="AC29" s="635" t="s">
        <v>745</v>
      </c>
      <c r="AD29" s="636" t="s">
        <v>598</v>
      </c>
      <c r="AE29" s="635" t="s">
        <v>745</v>
      </c>
      <c r="AF29" s="635" t="s">
        <v>745</v>
      </c>
      <c r="AG29" s="635" t="s">
        <v>599</v>
      </c>
      <c r="AH29" s="635" t="s">
        <v>745</v>
      </c>
      <c r="AI29" s="542"/>
      <c r="AJ29" s="544">
        <f>Master!AA34</f>
        <v>26</v>
      </c>
    </row>
    <row r="30" spans="1:36" ht="25.2" customHeight="1">
      <c r="A30" s="138">
        <v>21</v>
      </c>
      <c r="B30" s="545" t="str">
        <f>Master!D35</f>
        <v>GOLLA UMA</v>
      </c>
      <c r="C30" s="546" t="str">
        <f>Master!G35</f>
        <v>GOLLA ONURU SWAMY</v>
      </c>
      <c r="D30" s="248" t="str">
        <f>Master!F35</f>
        <v>Female</v>
      </c>
      <c r="E30" s="635" t="s">
        <v>745</v>
      </c>
      <c r="F30" s="635" t="s">
        <v>599</v>
      </c>
      <c r="G30" s="635" t="s">
        <v>745</v>
      </c>
      <c r="H30" s="635" t="s">
        <v>745</v>
      </c>
      <c r="I30" s="636" t="s">
        <v>598</v>
      </c>
      <c r="J30" s="635" t="s">
        <v>745</v>
      </c>
      <c r="K30" s="635" t="s">
        <v>745</v>
      </c>
      <c r="L30" s="635" t="s">
        <v>745</v>
      </c>
      <c r="M30" s="635" t="s">
        <v>745</v>
      </c>
      <c r="N30" s="635" t="s">
        <v>745</v>
      </c>
      <c r="O30" s="635" t="s">
        <v>745</v>
      </c>
      <c r="P30" s="636" t="s">
        <v>598</v>
      </c>
      <c r="Q30" s="635" t="s">
        <v>745</v>
      </c>
      <c r="R30" s="635" t="s">
        <v>745</v>
      </c>
      <c r="S30" s="635" t="s">
        <v>599</v>
      </c>
      <c r="T30" s="635" t="s">
        <v>745</v>
      </c>
      <c r="U30" s="635" t="s">
        <v>745</v>
      </c>
      <c r="V30" s="635" t="s">
        <v>745</v>
      </c>
      <c r="W30" s="636" t="s">
        <v>598</v>
      </c>
      <c r="X30" s="635" t="s">
        <v>745</v>
      </c>
      <c r="Y30" s="635" t="s">
        <v>745</v>
      </c>
      <c r="Z30" s="635" t="s">
        <v>745</v>
      </c>
      <c r="AA30" s="635" t="s">
        <v>599</v>
      </c>
      <c r="AB30" s="635" t="s">
        <v>745</v>
      </c>
      <c r="AC30" s="635" t="s">
        <v>745</v>
      </c>
      <c r="AD30" s="636" t="s">
        <v>598</v>
      </c>
      <c r="AE30" s="635" t="s">
        <v>745</v>
      </c>
      <c r="AF30" s="635" t="s">
        <v>745</v>
      </c>
      <c r="AG30" s="635" t="s">
        <v>599</v>
      </c>
      <c r="AH30" s="635" t="s">
        <v>745</v>
      </c>
      <c r="AI30" s="542"/>
      <c r="AJ30" s="544">
        <f>Master!AA35</f>
        <v>26</v>
      </c>
    </row>
    <row r="31" spans="1:36" ht="25.2" customHeight="1">
      <c r="A31" s="138">
        <v>22</v>
      </c>
      <c r="B31" s="545" t="str">
        <f>Master!D36</f>
        <v>SINGARAM BHAGYAMMA</v>
      </c>
      <c r="C31" s="546" t="str">
        <f>Master!G36</f>
        <v>SINGARAM NARSIMULU</v>
      </c>
      <c r="D31" s="248" t="str">
        <f>Master!F36</f>
        <v>Female</v>
      </c>
      <c r="E31" s="635" t="s">
        <v>745</v>
      </c>
      <c r="F31" s="635" t="s">
        <v>599</v>
      </c>
      <c r="G31" s="635" t="s">
        <v>745</v>
      </c>
      <c r="H31" s="635" t="s">
        <v>745</v>
      </c>
      <c r="I31" s="636" t="s">
        <v>598</v>
      </c>
      <c r="J31" s="635" t="s">
        <v>745</v>
      </c>
      <c r="K31" s="635" t="s">
        <v>745</v>
      </c>
      <c r="L31" s="635" t="s">
        <v>745</v>
      </c>
      <c r="M31" s="635" t="s">
        <v>745</v>
      </c>
      <c r="N31" s="635" t="s">
        <v>745</v>
      </c>
      <c r="O31" s="635" t="s">
        <v>745</v>
      </c>
      <c r="P31" s="636" t="s">
        <v>598</v>
      </c>
      <c r="Q31" s="635" t="s">
        <v>745</v>
      </c>
      <c r="R31" s="635" t="s">
        <v>745</v>
      </c>
      <c r="S31" s="635" t="s">
        <v>599</v>
      </c>
      <c r="T31" s="635" t="s">
        <v>745</v>
      </c>
      <c r="U31" s="635" t="s">
        <v>745</v>
      </c>
      <c r="V31" s="635" t="s">
        <v>745</v>
      </c>
      <c r="W31" s="636" t="s">
        <v>598</v>
      </c>
      <c r="X31" s="635" t="s">
        <v>745</v>
      </c>
      <c r="Y31" s="635" t="s">
        <v>745</v>
      </c>
      <c r="Z31" s="635" t="s">
        <v>745</v>
      </c>
      <c r="AA31" s="635" t="s">
        <v>599</v>
      </c>
      <c r="AB31" s="635" t="s">
        <v>745</v>
      </c>
      <c r="AC31" s="635" t="s">
        <v>745</v>
      </c>
      <c r="AD31" s="636" t="s">
        <v>598</v>
      </c>
      <c r="AE31" s="635" t="s">
        <v>745</v>
      </c>
      <c r="AF31" s="635" t="s">
        <v>745</v>
      </c>
      <c r="AG31" s="635" t="s">
        <v>599</v>
      </c>
      <c r="AH31" s="635" t="s">
        <v>745</v>
      </c>
      <c r="AI31" s="542"/>
      <c r="AJ31" s="544">
        <f>Master!AA36</f>
        <v>26</v>
      </c>
    </row>
    <row r="32" spans="1:36" ht="25.2" customHeight="1">
      <c r="A32" s="138">
        <v>23</v>
      </c>
      <c r="B32" s="545" t="str">
        <f>Master!D37</f>
        <v>KODICHERLA INDIRAMMA</v>
      </c>
      <c r="C32" s="546" t="str">
        <f>Master!G37</f>
        <v xml:space="preserve">BABAIAH </v>
      </c>
      <c r="D32" s="248" t="str">
        <f>Master!F37</f>
        <v>Female</v>
      </c>
      <c r="E32" s="635" t="s">
        <v>745</v>
      </c>
      <c r="F32" s="635" t="s">
        <v>599</v>
      </c>
      <c r="G32" s="635" t="s">
        <v>745</v>
      </c>
      <c r="H32" s="635" t="s">
        <v>745</v>
      </c>
      <c r="I32" s="636" t="s">
        <v>598</v>
      </c>
      <c r="J32" s="635" t="s">
        <v>745</v>
      </c>
      <c r="K32" s="635" t="s">
        <v>745</v>
      </c>
      <c r="L32" s="635" t="s">
        <v>745</v>
      </c>
      <c r="M32" s="635" t="s">
        <v>745</v>
      </c>
      <c r="N32" s="635" t="s">
        <v>745</v>
      </c>
      <c r="O32" s="635" t="s">
        <v>745</v>
      </c>
      <c r="P32" s="636" t="s">
        <v>598</v>
      </c>
      <c r="Q32" s="635" t="s">
        <v>745</v>
      </c>
      <c r="R32" s="635" t="s">
        <v>745</v>
      </c>
      <c r="S32" s="635" t="s">
        <v>599</v>
      </c>
      <c r="T32" s="635" t="s">
        <v>745</v>
      </c>
      <c r="U32" s="635" t="s">
        <v>745</v>
      </c>
      <c r="V32" s="635" t="s">
        <v>745</v>
      </c>
      <c r="W32" s="636" t="s">
        <v>598</v>
      </c>
      <c r="X32" s="635" t="s">
        <v>745</v>
      </c>
      <c r="Y32" s="635" t="s">
        <v>745</v>
      </c>
      <c r="Z32" s="635" t="s">
        <v>745</v>
      </c>
      <c r="AA32" s="635" t="s">
        <v>599</v>
      </c>
      <c r="AB32" s="635" t="s">
        <v>745</v>
      </c>
      <c r="AC32" s="635" t="s">
        <v>745</v>
      </c>
      <c r="AD32" s="636" t="s">
        <v>598</v>
      </c>
      <c r="AE32" s="635" t="s">
        <v>745</v>
      </c>
      <c r="AF32" s="635" t="s">
        <v>745</v>
      </c>
      <c r="AG32" s="635" t="s">
        <v>599</v>
      </c>
      <c r="AH32" s="635" t="s">
        <v>745</v>
      </c>
      <c r="AI32" s="542"/>
      <c r="AJ32" s="544">
        <f>Master!AA37</f>
        <v>26</v>
      </c>
    </row>
    <row r="33" spans="1:36" ht="25.2" customHeight="1">
      <c r="A33" s="138">
        <v>24</v>
      </c>
      <c r="B33" s="545" t="str">
        <f>Master!D38</f>
        <v>SANGOLLA LAVANYA</v>
      </c>
      <c r="C33" s="546" t="str">
        <f>Master!G38</f>
        <v>SANGOLLA ASHOK</v>
      </c>
      <c r="D33" s="248" t="str">
        <f>Master!F38</f>
        <v>Female</v>
      </c>
      <c r="E33" s="635" t="s">
        <v>745</v>
      </c>
      <c r="F33" s="635" t="s">
        <v>599</v>
      </c>
      <c r="G33" s="635" t="s">
        <v>745</v>
      </c>
      <c r="H33" s="635" t="s">
        <v>745</v>
      </c>
      <c r="I33" s="636" t="s">
        <v>598</v>
      </c>
      <c r="J33" s="635" t="s">
        <v>745</v>
      </c>
      <c r="K33" s="635" t="s">
        <v>745</v>
      </c>
      <c r="L33" s="635" t="s">
        <v>745</v>
      </c>
      <c r="M33" s="635" t="s">
        <v>745</v>
      </c>
      <c r="N33" s="635" t="s">
        <v>745</v>
      </c>
      <c r="O33" s="635" t="s">
        <v>745</v>
      </c>
      <c r="P33" s="636" t="s">
        <v>598</v>
      </c>
      <c r="Q33" s="635" t="s">
        <v>745</v>
      </c>
      <c r="R33" s="635" t="s">
        <v>745</v>
      </c>
      <c r="S33" s="635" t="s">
        <v>599</v>
      </c>
      <c r="T33" s="635" t="s">
        <v>745</v>
      </c>
      <c r="U33" s="635" t="s">
        <v>745</v>
      </c>
      <c r="V33" s="635" t="s">
        <v>745</v>
      </c>
      <c r="W33" s="636" t="s">
        <v>598</v>
      </c>
      <c r="X33" s="635" t="s">
        <v>745</v>
      </c>
      <c r="Y33" s="635" t="s">
        <v>745</v>
      </c>
      <c r="Z33" s="635" t="s">
        <v>745</v>
      </c>
      <c r="AA33" s="635" t="s">
        <v>599</v>
      </c>
      <c r="AB33" s="635" t="s">
        <v>745</v>
      </c>
      <c r="AC33" s="635" t="s">
        <v>745</v>
      </c>
      <c r="AD33" s="636" t="s">
        <v>598</v>
      </c>
      <c r="AE33" s="635" t="s">
        <v>745</v>
      </c>
      <c r="AF33" s="635" t="s">
        <v>745</v>
      </c>
      <c r="AG33" s="635" t="s">
        <v>599</v>
      </c>
      <c r="AH33" s="635" t="s">
        <v>745</v>
      </c>
      <c r="AI33" s="542"/>
      <c r="AJ33" s="544">
        <f>Master!AA38</f>
        <v>26</v>
      </c>
    </row>
    <row r="34" spans="1:36" ht="25.2" customHeight="1">
      <c r="A34" s="138">
        <v>25</v>
      </c>
      <c r="B34" s="545" t="str">
        <f>Master!D39</f>
        <v>MANGALI LAVANYA</v>
      </c>
      <c r="C34" s="546" t="str">
        <f>Master!G39</f>
        <v>MANGALI PANDU</v>
      </c>
      <c r="D34" s="248" t="str">
        <f>Master!F39</f>
        <v>Female</v>
      </c>
      <c r="E34" s="635" t="s">
        <v>745</v>
      </c>
      <c r="F34" s="635" t="s">
        <v>599</v>
      </c>
      <c r="G34" s="635" t="s">
        <v>745</v>
      </c>
      <c r="H34" s="635" t="s">
        <v>745</v>
      </c>
      <c r="I34" s="636" t="s">
        <v>598</v>
      </c>
      <c r="J34" s="635" t="s">
        <v>745</v>
      </c>
      <c r="K34" s="635" t="s">
        <v>745</v>
      </c>
      <c r="L34" s="635" t="s">
        <v>745</v>
      </c>
      <c r="M34" s="635" t="s">
        <v>745</v>
      </c>
      <c r="N34" s="635" t="s">
        <v>745</v>
      </c>
      <c r="O34" s="635" t="s">
        <v>745</v>
      </c>
      <c r="P34" s="636" t="s">
        <v>598</v>
      </c>
      <c r="Q34" s="635" t="s">
        <v>745</v>
      </c>
      <c r="R34" s="635" t="s">
        <v>745</v>
      </c>
      <c r="S34" s="635" t="s">
        <v>599</v>
      </c>
      <c r="T34" s="635" t="s">
        <v>745</v>
      </c>
      <c r="U34" s="635" t="s">
        <v>745</v>
      </c>
      <c r="V34" s="635" t="s">
        <v>745</v>
      </c>
      <c r="W34" s="636" t="s">
        <v>598</v>
      </c>
      <c r="X34" s="635" t="s">
        <v>745</v>
      </c>
      <c r="Y34" s="635" t="s">
        <v>745</v>
      </c>
      <c r="Z34" s="635" t="s">
        <v>745</v>
      </c>
      <c r="AA34" s="635" t="s">
        <v>599</v>
      </c>
      <c r="AB34" s="635" t="s">
        <v>745</v>
      </c>
      <c r="AC34" s="635" t="s">
        <v>745</v>
      </c>
      <c r="AD34" s="636" t="s">
        <v>598</v>
      </c>
      <c r="AE34" s="635" t="s">
        <v>745</v>
      </c>
      <c r="AF34" s="635" t="s">
        <v>745</v>
      </c>
      <c r="AG34" s="635" t="s">
        <v>599</v>
      </c>
      <c r="AH34" s="635" t="s">
        <v>745</v>
      </c>
      <c r="AI34" s="542"/>
      <c r="AJ34" s="544">
        <f>Master!AA39</f>
        <v>26</v>
      </c>
    </row>
    <row r="35" spans="1:36" ht="25.2" customHeight="1">
      <c r="A35" s="138">
        <v>26</v>
      </c>
      <c r="B35" s="545" t="str">
        <f>Master!D40</f>
        <v>MANGLI CHANDRAMMA</v>
      </c>
      <c r="C35" s="546" t="str">
        <f>Master!G40</f>
        <v>MANGALI VENKATESH</v>
      </c>
      <c r="D35" s="248" t="str">
        <f>Master!F40</f>
        <v>Female</v>
      </c>
      <c r="E35" s="635" t="s">
        <v>745</v>
      </c>
      <c r="F35" s="635" t="s">
        <v>599</v>
      </c>
      <c r="G35" s="635" t="s">
        <v>745</v>
      </c>
      <c r="H35" s="635" t="s">
        <v>745</v>
      </c>
      <c r="I35" s="636" t="s">
        <v>598</v>
      </c>
      <c r="J35" s="635" t="s">
        <v>745</v>
      </c>
      <c r="K35" s="635" t="s">
        <v>745</v>
      </c>
      <c r="L35" s="635" t="s">
        <v>745</v>
      </c>
      <c r="M35" s="635" t="s">
        <v>745</v>
      </c>
      <c r="N35" s="635" t="s">
        <v>745</v>
      </c>
      <c r="O35" s="635" t="s">
        <v>745</v>
      </c>
      <c r="P35" s="636" t="s">
        <v>598</v>
      </c>
      <c r="Q35" s="635" t="s">
        <v>745</v>
      </c>
      <c r="R35" s="635" t="s">
        <v>745</v>
      </c>
      <c r="S35" s="635" t="s">
        <v>599</v>
      </c>
      <c r="T35" s="635" t="s">
        <v>745</v>
      </c>
      <c r="U35" s="635" t="s">
        <v>745</v>
      </c>
      <c r="V35" s="635" t="s">
        <v>745</v>
      </c>
      <c r="W35" s="636" t="s">
        <v>598</v>
      </c>
      <c r="X35" s="635" t="s">
        <v>745</v>
      </c>
      <c r="Y35" s="635" t="s">
        <v>745</v>
      </c>
      <c r="Z35" s="635" t="s">
        <v>745</v>
      </c>
      <c r="AA35" s="635" t="s">
        <v>599</v>
      </c>
      <c r="AB35" s="635" t="s">
        <v>745</v>
      </c>
      <c r="AC35" s="635" t="s">
        <v>745</v>
      </c>
      <c r="AD35" s="636" t="s">
        <v>598</v>
      </c>
      <c r="AE35" s="635" t="s">
        <v>745</v>
      </c>
      <c r="AF35" s="635" t="s">
        <v>745</v>
      </c>
      <c r="AG35" s="635" t="s">
        <v>599</v>
      </c>
      <c r="AH35" s="635" t="s">
        <v>745</v>
      </c>
      <c r="AI35" s="542"/>
      <c r="AJ35" s="544">
        <f>Master!AA40</f>
        <v>26</v>
      </c>
    </row>
    <row r="36" spans="1:36" ht="25.2" customHeight="1">
      <c r="A36" s="138">
        <v>27</v>
      </c>
      <c r="B36" s="545" t="str">
        <f>Master!D41</f>
        <v>DASARI SUVARNA</v>
      </c>
      <c r="C36" s="546" t="str">
        <f>Master!G41</f>
        <v>DASARI RAVINDAR</v>
      </c>
      <c r="D36" s="248" t="str">
        <f>Master!F41</f>
        <v>Female</v>
      </c>
      <c r="E36" s="637"/>
      <c r="F36" s="638"/>
      <c r="G36" s="637"/>
      <c r="H36" s="637"/>
      <c r="I36" s="637"/>
      <c r="J36" s="637"/>
      <c r="K36" s="637"/>
      <c r="L36" s="637"/>
      <c r="M36" s="637"/>
      <c r="N36" s="637"/>
      <c r="O36" s="637"/>
      <c r="P36" s="637"/>
      <c r="Q36" s="637"/>
      <c r="R36" s="637"/>
      <c r="S36" s="637"/>
      <c r="T36" s="637"/>
      <c r="U36" s="637"/>
      <c r="V36" s="637"/>
      <c r="W36" s="637"/>
      <c r="X36" s="637"/>
      <c r="Y36" s="637"/>
      <c r="Z36" s="637"/>
      <c r="AA36" s="637"/>
      <c r="AB36" s="637"/>
      <c r="AC36" s="637"/>
      <c r="AD36" s="637"/>
      <c r="AE36" s="637"/>
      <c r="AF36" s="637"/>
      <c r="AG36" s="637"/>
      <c r="AH36" s="637"/>
      <c r="AI36" s="542"/>
      <c r="AJ36" s="544">
        <f>Master!AA41</f>
        <v>0</v>
      </c>
    </row>
    <row r="37" spans="1:36" ht="25.2" customHeight="1">
      <c r="A37" s="138">
        <v>28</v>
      </c>
      <c r="B37" s="545" t="str">
        <f>Master!D42</f>
        <v>MARATHI CHANDRAKALA</v>
      </c>
      <c r="C37" s="546" t="str">
        <f>Master!G42</f>
        <v>M ASHOKS</v>
      </c>
      <c r="D37" s="248" t="str">
        <f>Master!F42</f>
        <v>Female</v>
      </c>
      <c r="E37" s="635" t="s">
        <v>745</v>
      </c>
      <c r="F37" s="635" t="s">
        <v>599</v>
      </c>
      <c r="G37" s="635" t="s">
        <v>745</v>
      </c>
      <c r="H37" s="635" t="s">
        <v>745</v>
      </c>
      <c r="I37" s="636" t="s">
        <v>598</v>
      </c>
      <c r="J37" s="635" t="s">
        <v>745</v>
      </c>
      <c r="K37" s="635" t="s">
        <v>745</v>
      </c>
      <c r="L37" s="635" t="s">
        <v>745</v>
      </c>
      <c r="M37" s="635" t="s">
        <v>745</v>
      </c>
      <c r="N37" s="635" t="s">
        <v>745</v>
      </c>
      <c r="O37" s="635" t="s">
        <v>745</v>
      </c>
      <c r="P37" s="636" t="s">
        <v>598</v>
      </c>
      <c r="Q37" s="635" t="s">
        <v>745</v>
      </c>
      <c r="R37" s="635" t="s">
        <v>745</v>
      </c>
      <c r="S37" s="635" t="s">
        <v>599</v>
      </c>
      <c r="T37" s="635" t="s">
        <v>745</v>
      </c>
      <c r="U37" s="635" t="s">
        <v>745</v>
      </c>
      <c r="V37" s="635" t="s">
        <v>745</v>
      </c>
      <c r="W37" s="636" t="s">
        <v>598</v>
      </c>
      <c r="X37" s="635" t="s">
        <v>745</v>
      </c>
      <c r="Y37" s="635" t="s">
        <v>745</v>
      </c>
      <c r="Z37" s="635" t="s">
        <v>745</v>
      </c>
      <c r="AA37" s="635" t="s">
        <v>599</v>
      </c>
      <c r="AB37" s="635" t="s">
        <v>745</v>
      </c>
      <c r="AC37" s="635" t="s">
        <v>745</v>
      </c>
      <c r="AD37" s="636" t="s">
        <v>598</v>
      </c>
      <c r="AE37" s="635" t="s">
        <v>745</v>
      </c>
      <c r="AF37" s="635" t="s">
        <v>745</v>
      </c>
      <c r="AG37" s="635" t="s">
        <v>599</v>
      </c>
      <c r="AH37" s="635" t="s">
        <v>745</v>
      </c>
      <c r="AI37" s="542"/>
      <c r="AJ37" s="544">
        <f>Master!AA42</f>
        <v>26</v>
      </c>
    </row>
    <row r="38" spans="1:36" ht="25.2" customHeight="1">
      <c r="A38" s="138">
        <v>29</v>
      </c>
      <c r="B38" s="545" t="str">
        <f>Master!D43</f>
        <v>ANKAGALLA YADAMMA</v>
      </c>
      <c r="C38" s="546" t="str">
        <f>Master!G43</f>
        <v>ANKAGALLA YADAGIRI</v>
      </c>
      <c r="D38" s="248" t="str">
        <f>Master!F43</f>
        <v>Female</v>
      </c>
      <c r="E38" s="635" t="s">
        <v>745</v>
      </c>
      <c r="F38" s="635" t="s">
        <v>599</v>
      </c>
      <c r="G38" s="635" t="s">
        <v>745</v>
      </c>
      <c r="H38" s="635" t="s">
        <v>745</v>
      </c>
      <c r="I38" s="636" t="s">
        <v>598</v>
      </c>
      <c r="J38" s="635" t="s">
        <v>745</v>
      </c>
      <c r="K38" s="635" t="s">
        <v>745</v>
      </c>
      <c r="L38" s="635" t="s">
        <v>745</v>
      </c>
      <c r="M38" s="635" t="s">
        <v>745</v>
      </c>
      <c r="N38" s="635" t="s">
        <v>745</v>
      </c>
      <c r="O38" s="635" t="s">
        <v>745</v>
      </c>
      <c r="P38" s="636" t="s">
        <v>598</v>
      </c>
      <c r="Q38" s="635" t="s">
        <v>745</v>
      </c>
      <c r="R38" s="635" t="s">
        <v>745</v>
      </c>
      <c r="S38" s="635" t="s">
        <v>599</v>
      </c>
      <c r="T38" s="635" t="s">
        <v>745</v>
      </c>
      <c r="U38" s="635" t="s">
        <v>745</v>
      </c>
      <c r="V38" s="635" t="s">
        <v>745</v>
      </c>
      <c r="W38" s="636" t="s">
        <v>598</v>
      </c>
      <c r="X38" s="635" t="s">
        <v>745</v>
      </c>
      <c r="Y38" s="635" t="s">
        <v>745</v>
      </c>
      <c r="Z38" s="635" t="s">
        <v>745</v>
      </c>
      <c r="AA38" s="635" t="s">
        <v>599</v>
      </c>
      <c r="AB38" s="635" t="s">
        <v>745</v>
      </c>
      <c r="AC38" s="635" t="s">
        <v>745</v>
      </c>
      <c r="AD38" s="636" t="s">
        <v>598</v>
      </c>
      <c r="AE38" s="635" t="s">
        <v>745</v>
      </c>
      <c r="AF38" s="635" t="s">
        <v>745</v>
      </c>
      <c r="AG38" s="635" t="s">
        <v>599</v>
      </c>
      <c r="AH38" s="635" t="s">
        <v>745</v>
      </c>
      <c r="AI38" s="542"/>
      <c r="AJ38" s="544">
        <f>Master!AA43</f>
        <v>26</v>
      </c>
    </row>
    <row r="39" spans="1:36" ht="25.2" customHeight="1">
      <c r="A39" s="138">
        <v>30</v>
      </c>
      <c r="B39" s="545" t="str">
        <f>Master!D44</f>
        <v xml:space="preserve">NINGAMMA </v>
      </c>
      <c r="C39" s="546" t="str">
        <f>Master!G44</f>
        <v>RAMANNA</v>
      </c>
      <c r="D39" s="248" t="str">
        <f>Master!F44</f>
        <v>Female</v>
      </c>
      <c r="E39" s="635" t="s">
        <v>745</v>
      </c>
      <c r="F39" s="635" t="s">
        <v>599</v>
      </c>
      <c r="G39" s="635" t="s">
        <v>745</v>
      </c>
      <c r="H39" s="635" t="s">
        <v>745</v>
      </c>
      <c r="I39" s="636" t="s">
        <v>598</v>
      </c>
      <c r="J39" s="635" t="s">
        <v>745</v>
      </c>
      <c r="K39" s="635" t="s">
        <v>745</v>
      </c>
      <c r="L39" s="635" t="s">
        <v>745</v>
      </c>
      <c r="M39" s="635" t="s">
        <v>745</v>
      </c>
      <c r="N39" s="635" t="s">
        <v>745</v>
      </c>
      <c r="O39" s="635" t="s">
        <v>745</v>
      </c>
      <c r="P39" s="636" t="s">
        <v>598</v>
      </c>
      <c r="Q39" s="635" t="s">
        <v>745</v>
      </c>
      <c r="R39" s="635" t="s">
        <v>745</v>
      </c>
      <c r="S39" s="635" t="s">
        <v>599</v>
      </c>
      <c r="T39" s="635" t="s">
        <v>745</v>
      </c>
      <c r="U39" s="635" t="s">
        <v>745</v>
      </c>
      <c r="V39" s="635" t="s">
        <v>745</v>
      </c>
      <c r="W39" s="636" t="s">
        <v>598</v>
      </c>
      <c r="X39" s="635" t="s">
        <v>745</v>
      </c>
      <c r="Y39" s="635" t="s">
        <v>745</v>
      </c>
      <c r="Z39" s="635" t="s">
        <v>745</v>
      </c>
      <c r="AA39" s="635" t="s">
        <v>599</v>
      </c>
      <c r="AB39" s="635" t="s">
        <v>745</v>
      </c>
      <c r="AC39" s="635" t="s">
        <v>745</v>
      </c>
      <c r="AD39" s="636" t="s">
        <v>598</v>
      </c>
      <c r="AE39" s="635" t="s">
        <v>745</v>
      </c>
      <c r="AF39" s="635" t="s">
        <v>745</v>
      </c>
      <c r="AG39" s="635" t="s">
        <v>599</v>
      </c>
      <c r="AH39" s="635" t="s">
        <v>745</v>
      </c>
      <c r="AI39" s="542"/>
      <c r="AJ39" s="544">
        <f>Master!AA44</f>
        <v>26</v>
      </c>
    </row>
    <row r="40" spans="1:36" ht="25.2" customHeight="1">
      <c r="A40" s="138">
        <v>31</v>
      </c>
      <c r="B40" s="545" t="str">
        <f>Master!D45</f>
        <v>V AMBAMMA</v>
      </c>
      <c r="C40" s="546" t="str">
        <f>Master!G45</f>
        <v>V YELLAIAH</v>
      </c>
      <c r="D40" s="248" t="str">
        <f>Master!F45</f>
        <v>Female</v>
      </c>
      <c r="E40" s="635" t="s">
        <v>745</v>
      </c>
      <c r="F40" s="635" t="s">
        <v>599</v>
      </c>
      <c r="G40" s="635" t="s">
        <v>745</v>
      </c>
      <c r="H40" s="635" t="s">
        <v>745</v>
      </c>
      <c r="I40" s="636" t="s">
        <v>598</v>
      </c>
      <c r="J40" s="635" t="s">
        <v>745</v>
      </c>
      <c r="K40" s="635" t="s">
        <v>745</v>
      </c>
      <c r="L40" s="635" t="s">
        <v>745</v>
      </c>
      <c r="M40" s="635" t="s">
        <v>745</v>
      </c>
      <c r="N40" s="635" t="s">
        <v>745</v>
      </c>
      <c r="O40" s="635" t="s">
        <v>745</v>
      </c>
      <c r="P40" s="636" t="s">
        <v>598</v>
      </c>
      <c r="Q40" s="635" t="s">
        <v>745</v>
      </c>
      <c r="R40" s="635" t="s">
        <v>745</v>
      </c>
      <c r="S40" s="635" t="s">
        <v>599</v>
      </c>
      <c r="T40" s="635" t="s">
        <v>745</v>
      </c>
      <c r="U40" s="635" t="s">
        <v>745</v>
      </c>
      <c r="V40" s="635" t="s">
        <v>745</v>
      </c>
      <c r="W40" s="636" t="s">
        <v>598</v>
      </c>
      <c r="X40" s="635" t="s">
        <v>745</v>
      </c>
      <c r="Y40" s="635" t="s">
        <v>745</v>
      </c>
      <c r="Z40" s="635" t="s">
        <v>745</v>
      </c>
      <c r="AA40" s="635" t="s">
        <v>599</v>
      </c>
      <c r="AB40" s="635" t="s">
        <v>745</v>
      </c>
      <c r="AC40" s="635" t="s">
        <v>745</v>
      </c>
      <c r="AD40" s="636" t="s">
        <v>598</v>
      </c>
      <c r="AE40" s="635" t="s">
        <v>745</v>
      </c>
      <c r="AF40" s="635" t="s">
        <v>745</v>
      </c>
      <c r="AG40" s="635" t="s">
        <v>599</v>
      </c>
      <c r="AH40" s="635" t="s">
        <v>745</v>
      </c>
      <c r="AI40" s="542"/>
      <c r="AJ40" s="544">
        <f>Master!AA45</f>
        <v>26</v>
      </c>
    </row>
    <row r="41" spans="1:36" ht="25.2" customHeight="1">
      <c r="A41" s="138">
        <v>32</v>
      </c>
      <c r="B41" s="545" t="str">
        <f>Master!D46</f>
        <v>PALLAPU LAXMI</v>
      </c>
      <c r="C41" s="546" t="str">
        <f>Master!G46</f>
        <v>VENAKAIAH</v>
      </c>
      <c r="D41" s="248" t="str">
        <f>Master!F46</f>
        <v>Female</v>
      </c>
      <c r="E41" s="635" t="s">
        <v>745</v>
      </c>
      <c r="F41" s="635" t="s">
        <v>599</v>
      </c>
      <c r="G41" s="635" t="s">
        <v>745</v>
      </c>
      <c r="H41" s="635" t="s">
        <v>745</v>
      </c>
      <c r="I41" s="636" t="s">
        <v>598</v>
      </c>
      <c r="J41" s="635" t="s">
        <v>745</v>
      </c>
      <c r="K41" s="635" t="s">
        <v>745</v>
      </c>
      <c r="L41" s="635" t="s">
        <v>745</v>
      </c>
      <c r="M41" s="635" t="s">
        <v>745</v>
      </c>
      <c r="N41" s="635" t="s">
        <v>745</v>
      </c>
      <c r="O41" s="635" t="s">
        <v>745</v>
      </c>
      <c r="P41" s="636" t="s">
        <v>598</v>
      </c>
      <c r="Q41" s="635" t="s">
        <v>745</v>
      </c>
      <c r="R41" s="635" t="s">
        <v>745</v>
      </c>
      <c r="S41" s="635" t="s">
        <v>599</v>
      </c>
      <c r="T41" s="635" t="s">
        <v>745</v>
      </c>
      <c r="U41" s="635" t="s">
        <v>745</v>
      </c>
      <c r="V41" s="635" t="s">
        <v>745</v>
      </c>
      <c r="W41" s="636" t="s">
        <v>598</v>
      </c>
      <c r="X41" s="635" t="s">
        <v>745</v>
      </c>
      <c r="Y41" s="635" t="s">
        <v>745</v>
      </c>
      <c r="Z41" s="635" t="s">
        <v>745</v>
      </c>
      <c r="AA41" s="635" t="s">
        <v>599</v>
      </c>
      <c r="AB41" s="635" t="s">
        <v>745</v>
      </c>
      <c r="AC41" s="635" t="s">
        <v>745</v>
      </c>
      <c r="AD41" s="636" t="s">
        <v>598</v>
      </c>
      <c r="AE41" s="635" t="s">
        <v>745</v>
      </c>
      <c r="AF41" s="635" t="s">
        <v>745</v>
      </c>
      <c r="AG41" s="635" t="s">
        <v>599</v>
      </c>
      <c r="AH41" s="635" t="s">
        <v>745</v>
      </c>
      <c r="AI41" s="542"/>
      <c r="AJ41" s="544">
        <f>Master!AA46</f>
        <v>26</v>
      </c>
    </row>
    <row r="42" spans="1:36" ht="25.2" customHeight="1">
      <c r="A42" s="138">
        <v>33</v>
      </c>
      <c r="B42" s="545" t="str">
        <f>Master!D47</f>
        <v>Nagani laxmi</v>
      </c>
      <c r="C42" s="546" t="str">
        <f>Master!G47</f>
        <v>Nagani pochaiah</v>
      </c>
      <c r="D42" s="248" t="str">
        <f>Master!F47</f>
        <v>Female</v>
      </c>
      <c r="E42" s="635" t="s">
        <v>745</v>
      </c>
      <c r="F42" s="635" t="s">
        <v>599</v>
      </c>
      <c r="G42" s="635" t="s">
        <v>745</v>
      </c>
      <c r="H42" s="635" t="s">
        <v>745</v>
      </c>
      <c r="I42" s="636" t="s">
        <v>598</v>
      </c>
      <c r="J42" s="635" t="s">
        <v>745</v>
      </c>
      <c r="K42" s="635" t="s">
        <v>745</v>
      </c>
      <c r="L42" s="635" t="s">
        <v>745</v>
      </c>
      <c r="M42" s="635" t="s">
        <v>745</v>
      </c>
      <c r="N42" s="635" t="s">
        <v>745</v>
      </c>
      <c r="O42" s="635" t="s">
        <v>745</v>
      </c>
      <c r="P42" s="636" t="s">
        <v>598</v>
      </c>
      <c r="Q42" s="635" t="s">
        <v>745</v>
      </c>
      <c r="R42" s="635" t="s">
        <v>745</v>
      </c>
      <c r="S42" s="635" t="s">
        <v>599</v>
      </c>
      <c r="T42" s="635" t="s">
        <v>745</v>
      </c>
      <c r="U42" s="635" t="s">
        <v>745</v>
      </c>
      <c r="V42" s="635" t="s">
        <v>745</v>
      </c>
      <c r="W42" s="636" t="s">
        <v>598</v>
      </c>
      <c r="X42" s="635" t="s">
        <v>745</v>
      </c>
      <c r="Y42" s="635" t="s">
        <v>745</v>
      </c>
      <c r="Z42" s="635" t="s">
        <v>745</v>
      </c>
      <c r="AA42" s="635" t="s">
        <v>599</v>
      </c>
      <c r="AB42" s="635" t="s">
        <v>745</v>
      </c>
      <c r="AC42" s="635" t="s">
        <v>745</v>
      </c>
      <c r="AD42" s="636" t="s">
        <v>598</v>
      </c>
      <c r="AE42" s="635" t="s">
        <v>745</v>
      </c>
      <c r="AF42" s="635" t="s">
        <v>745</v>
      </c>
      <c r="AG42" s="635" t="s">
        <v>599</v>
      </c>
      <c r="AH42" s="635" t="s">
        <v>745</v>
      </c>
      <c r="AI42" s="542"/>
      <c r="AJ42" s="544">
        <f>Master!AA47</f>
        <v>26</v>
      </c>
    </row>
    <row r="43" spans="1:36" ht="25.2" customHeight="1">
      <c r="A43" s="138">
        <v>34</v>
      </c>
      <c r="B43" s="545" t="str">
        <f>Master!D48</f>
        <v>Lingola amrutha</v>
      </c>
      <c r="C43" s="546" t="str">
        <f>Master!G48</f>
        <v>Ningolla swamy</v>
      </c>
      <c r="D43" s="248" t="str">
        <f>Master!F48</f>
        <v>Female</v>
      </c>
      <c r="E43" s="635" t="s">
        <v>745</v>
      </c>
      <c r="F43" s="635" t="s">
        <v>599</v>
      </c>
      <c r="G43" s="635" t="s">
        <v>745</v>
      </c>
      <c r="H43" s="635" t="s">
        <v>745</v>
      </c>
      <c r="I43" s="636" t="s">
        <v>598</v>
      </c>
      <c r="J43" s="635" t="s">
        <v>745</v>
      </c>
      <c r="K43" s="635" t="s">
        <v>745</v>
      </c>
      <c r="L43" s="635" t="s">
        <v>745</v>
      </c>
      <c r="M43" s="635" t="s">
        <v>745</v>
      </c>
      <c r="N43" s="635" t="s">
        <v>745</v>
      </c>
      <c r="O43" s="635" t="s">
        <v>745</v>
      </c>
      <c r="P43" s="636" t="s">
        <v>598</v>
      </c>
      <c r="Q43" s="635" t="s">
        <v>745</v>
      </c>
      <c r="R43" s="635" t="s">
        <v>745</v>
      </c>
      <c r="S43" s="635" t="s">
        <v>599</v>
      </c>
      <c r="T43" s="635" t="s">
        <v>745</v>
      </c>
      <c r="U43" s="635" t="s">
        <v>745</v>
      </c>
      <c r="V43" s="635" t="s">
        <v>745</v>
      </c>
      <c r="W43" s="636" t="s">
        <v>598</v>
      </c>
      <c r="X43" s="635" t="s">
        <v>745</v>
      </c>
      <c r="Y43" s="635" t="s">
        <v>745</v>
      </c>
      <c r="Z43" s="635" t="s">
        <v>745</v>
      </c>
      <c r="AA43" s="635" t="s">
        <v>599</v>
      </c>
      <c r="AB43" s="635" t="s">
        <v>745</v>
      </c>
      <c r="AC43" s="635" t="s">
        <v>745</v>
      </c>
      <c r="AD43" s="636" t="s">
        <v>598</v>
      </c>
      <c r="AE43" s="635" t="s">
        <v>745</v>
      </c>
      <c r="AF43" s="635" t="s">
        <v>745</v>
      </c>
      <c r="AG43" s="635" t="s">
        <v>599</v>
      </c>
      <c r="AH43" s="635" t="s">
        <v>745</v>
      </c>
      <c r="AI43" s="542"/>
      <c r="AJ43" s="544">
        <f>Master!AA48</f>
        <v>26</v>
      </c>
    </row>
    <row r="44" spans="1:36" ht="25.2" customHeight="1">
      <c r="A44" s="138">
        <v>35</v>
      </c>
      <c r="B44" s="545" t="str">
        <f>Master!D49</f>
        <v>Kuduru satyamma</v>
      </c>
      <c r="C44" s="546" t="str">
        <f>Master!G49</f>
        <v xml:space="preserve">NARAYANA </v>
      </c>
      <c r="D44" s="248" t="str">
        <f>Master!F49</f>
        <v>Female</v>
      </c>
      <c r="E44" s="635" t="s">
        <v>745</v>
      </c>
      <c r="F44" s="635" t="s">
        <v>599</v>
      </c>
      <c r="G44" s="635" t="s">
        <v>745</v>
      </c>
      <c r="H44" s="635" t="s">
        <v>745</v>
      </c>
      <c r="I44" s="636" t="s">
        <v>598</v>
      </c>
      <c r="J44" s="635" t="s">
        <v>745</v>
      </c>
      <c r="K44" s="635" t="s">
        <v>745</v>
      </c>
      <c r="L44" s="635" t="s">
        <v>745</v>
      </c>
      <c r="M44" s="635" t="s">
        <v>745</v>
      </c>
      <c r="N44" s="635" t="s">
        <v>745</v>
      </c>
      <c r="O44" s="635" t="s">
        <v>745</v>
      </c>
      <c r="P44" s="636" t="s">
        <v>598</v>
      </c>
      <c r="Q44" s="635" t="s">
        <v>745</v>
      </c>
      <c r="R44" s="635" t="s">
        <v>745</v>
      </c>
      <c r="S44" s="635" t="s">
        <v>599</v>
      </c>
      <c r="T44" s="635" t="s">
        <v>745</v>
      </c>
      <c r="U44" s="635" t="s">
        <v>745</v>
      </c>
      <c r="V44" s="635" t="s">
        <v>745</v>
      </c>
      <c r="W44" s="636" t="s">
        <v>598</v>
      </c>
      <c r="X44" s="635" t="s">
        <v>745</v>
      </c>
      <c r="Y44" s="635" t="s">
        <v>745</v>
      </c>
      <c r="Z44" s="635" t="s">
        <v>745</v>
      </c>
      <c r="AA44" s="635" t="s">
        <v>599</v>
      </c>
      <c r="AB44" s="635" t="s">
        <v>745</v>
      </c>
      <c r="AC44" s="635" t="s">
        <v>745</v>
      </c>
      <c r="AD44" s="636" t="s">
        <v>598</v>
      </c>
      <c r="AE44" s="635" t="s">
        <v>745</v>
      </c>
      <c r="AF44" s="635" t="s">
        <v>745</v>
      </c>
      <c r="AG44" s="635" t="s">
        <v>599</v>
      </c>
      <c r="AH44" s="635" t="s">
        <v>745</v>
      </c>
      <c r="AI44" s="542"/>
      <c r="AJ44" s="544">
        <f>Master!AA49</f>
        <v>26</v>
      </c>
    </row>
    <row r="45" spans="1:36" ht="25.2" customHeight="1">
      <c r="A45" s="138">
        <v>36</v>
      </c>
      <c r="B45" s="545" t="str">
        <f>Master!D50</f>
        <v>Mangali Lakshmi</v>
      </c>
      <c r="C45" s="546" t="str">
        <f>Master!G50</f>
        <v>MANGALI PEDDA</v>
      </c>
      <c r="D45" s="248" t="str">
        <f>Master!F50</f>
        <v>Female</v>
      </c>
      <c r="E45" s="635" t="s">
        <v>745</v>
      </c>
      <c r="F45" s="635" t="s">
        <v>599</v>
      </c>
      <c r="G45" s="635" t="s">
        <v>745</v>
      </c>
      <c r="H45" s="635" t="s">
        <v>745</v>
      </c>
      <c r="I45" s="636" t="s">
        <v>598</v>
      </c>
      <c r="J45" s="635" t="s">
        <v>745</v>
      </c>
      <c r="K45" s="635" t="s">
        <v>745</v>
      </c>
      <c r="L45" s="635" t="s">
        <v>745</v>
      </c>
      <c r="M45" s="635" t="s">
        <v>745</v>
      </c>
      <c r="N45" s="635" t="s">
        <v>745</v>
      </c>
      <c r="O45" s="635" t="s">
        <v>745</v>
      </c>
      <c r="P45" s="636" t="s">
        <v>598</v>
      </c>
      <c r="Q45" s="635" t="s">
        <v>745</v>
      </c>
      <c r="R45" s="635" t="s">
        <v>745</v>
      </c>
      <c r="S45" s="635" t="s">
        <v>599</v>
      </c>
      <c r="T45" s="635" t="s">
        <v>745</v>
      </c>
      <c r="U45" s="635" t="s">
        <v>745</v>
      </c>
      <c r="V45" s="635" t="s">
        <v>745</v>
      </c>
      <c r="W45" s="636" t="s">
        <v>598</v>
      </c>
      <c r="X45" s="635" t="s">
        <v>745</v>
      </c>
      <c r="Y45" s="635" t="s">
        <v>745</v>
      </c>
      <c r="Z45" s="635" t="s">
        <v>745</v>
      </c>
      <c r="AA45" s="635" t="s">
        <v>599</v>
      </c>
      <c r="AB45" s="635" t="s">
        <v>745</v>
      </c>
      <c r="AC45" s="635" t="s">
        <v>745</v>
      </c>
      <c r="AD45" s="636" t="s">
        <v>598</v>
      </c>
      <c r="AE45" s="635" t="s">
        <v>745</v>
      </c>
      <c r="AF45" s="635" t="s">
        <v>745</v>
      </c>
      <c r="AG45" s="635" t="s">
        <v>599</v>
      </c>
      <c r="AH45" s="635" t="s">
        <v>745</v>
      </c>
      <c r="AI45" s="543"/>
      <c r="AJ45" s="544">
        <f>Master!AA50</f>
        <v>26</v>
      </c>
    </row>
    <row r="46" spans="1:36" ht="25.2" customHeight="1">
      <c r="A46" s="138">
        <v>37</v>
      </c>
      <c r="B46" s="545" t="str">
        <f>Master!D51</f>
        <v>Ningolla santhosha</v>
      </c>
      <c r="C46" s="546" t="str">
        <f>Master!G51</f>
        <v>NINGOLLA RAJU</v>
      </c>
      <c r="D46" s="248" t="str">
        <f>Master!F51</f>
        <v>Female</v>
      </c>
      <c r="E46" s="635" t="s">
        <v>745</v>
      </c>
      <c r="F46" s="635" t="s">
        <v>599</v>
      </c>
      <c r="G46" s="635" t="s">
        <v>745</v>
      </c>
      <c r="H46" s="635" t="s">
        <v>745</v>
      </c>
      <c r="I46" s="636" t="s">
        <v>598</v>
      </c>
      <c r="J46" s="635" t="s">
        <v>745</v>
      </c>
      <c r="K46" s="635" t="s">
        <v>745</v>
      </c>
      <c r="L46" s="635" t="s">
        <v>745</v>
      </c>
      <c r="M46" s="635" t="s">
        <v>745</v>
      </c>
      <c r="N46" s="635" t="s">
        <v>745</v>
      </c>
      <c r="O46" s="635" t="s">
        <v>745</v>
      </c>
      <c r="P46" s="636" t="s">
        <v>598</v>
      </c>
      <c r="Q46" s="635" t="s">
        <v>745</v>
      </c>
      <c r="R46" s="635" t="s">
        <v>745</v>
      </c>
      <c r="S46" s="635" t="s">
        <v>599</v>
      </c>
      <c r="T46" s="635" t="s">
        <v>745</v>
      </c>
      <c r="U46" s="635" t="s">
        <v>745</v>
      </c>
      <c r="V46" s="635" t="s">
        <v>745</v>
      </c>
      <c r="W46" s="636" t="s">
        <v>598</v>
      </c>
      <c r="X46" s="635" t="s">
        <v>745</v>
      </c>
      <c r="Y46" s="635" t="s">
        <v>745</v>
      </c>
      <c r="Z46" s="635" t="s">
        <v>745</v>
      </c>
      <c r="AA46" s="635" t="s">
        <v>599</v>
      </c>
      <c r="AB46" s="635" t="s">
        <v>745</v>
      </c>
      <c r="AC46" s="635" t="s">
        <v>745</v>
      </c>
      <c r="AD46" s="636" t="s">
        <v>598</v>
      </c>
      <c r="AE46" s="635" t="s">
        <v>745</v>
      </c>
      <c r="AF46" s="635" t="s">
        <v>745</v>
      </c>
      <c r="AG46" s="635" t="s">
        <v>599</v>
      </c>
      <c r="AH46" s="635" t="s">
        <v>745</v>
      </c>
      <c r="AI46" s="543"/>
      <c r="AJ46" s="544">
        <f>Master!AA51</f>
        <v>26</v>
      </c>
    </row>
    <row r="47" spans="1:36" ht="25.2" customHeight="1">
      <c r="A47" s="138">
        <v>38</v>
      </c>
      <c r="B47" s="545" t="str">
        <f>Master!D52</f>
        <v>Mutholla Suneeta</v>
      </c>
      <c r="C47" s="546" t="str">
        <f>Master!G52</f>
        <v>MUTHOLLA MALLESH</v>
      </c>
      <c r="D47" s="248" t="str">
        <f>Master!F52</f>
        <v>Female</v>
      </c>
      <c r="E47" s="635" t="s">
        <v>745</v>
      </c>
      <c r="F47" s="635" t="s">
        <v>599</v>
      </c>
      <c r="G47" s="635" t="s">
        <v>745</v>
      </c>
      <c r="H47" s="635" t="s">
        <v>745</v>
      </c>
      <c r="I47" s="636" t="s">
        <v>598</v>
      </c>
      <c r="J47" s="635" t="s">
        <v>745</v>
      </c>
      <c r="K47" s="635" t="s">
        <v>745</v>
      </c>
      <c r="L47" s="635" t="s">
        <v>745</v>
      </c>
      <c r="M47" s="635" t="s">
        <v>745</v>
      </c>
      <c r="N47" s="635" t="s">
        <v>745</v>
      </c>
      <c r="O47" s="635" t="s">
        <v>745</v>
      </c>
      <c r="P47" s="636" t="s">
        <v>598</v>
      </c>
      <c r="Q47" s="635" t="s">
        <v>745</v>
      </c>
      <c r="R47" s="635" t="s">
        <v>745</v>
      </c>
      <c r="S47" s="635" t="s">
        <v>599</v>
      </c>
      <c r="T47" s="635" t="s">
        <v>745</v>
      </c>
      <c r="U47" s="635" t="s">
        <v>745</v>
      </c>
      <c r="V47" s="635" t="s">
        <v>745</v>
      </c>
      <c r="W47" s="636" t="s">
        <v>598</v>
      </c>
      <c r="X47" s="635" t="s">
        <v>745</v>
      </c>
      <c r="Y47" s="635" t="s">
        <v>745</v>
      </c>
      <c r="Z47" s="635" t="s">
        <v>745</v>
      </c>
      <c r="AA47" s="635" t="s">
        <v>599</v>
      </c>
      <c r="AB47" s="635" t="s">
        <v>745</v>
      </c>
      <c r="AC47" s="635" t="s">
        <v>745</v>
      </c>
      <c r="AD47" s="636" t="s">
        <v>598</v>
      </c>
      <c r="AE47" s="635" t="s">
        <v>745</v>
      </c>
      <c r="AF47" s="635" t="s">
        <v>745</v>
      </c>
      <c r="AG47" s="635" t="s">
        <v>599</v>
      </c>
      <c r="AH47" s="635" t="s">
        <v>745</v>
      </c>
      <c r="AI47" s="543"/>
      <c r="AJ47" s="544">
        <f>Master!AA52</f>
        <v>26</v>
      </c>
    </row>
    <row r="48" spans="1:36" ht="25.2" customHeight="1">
      <c r="A48" s="138">
        <v>39</v>
      </c>
      <c r="B48" s="545" t="str">
        <f>Master!D53</f>
        <v>Mutholla sushila</v>
      </c>
      <c r="C48" s="546" t="str">
        <f>Master!G53</f>
        <v>MUTHOLLA CHANDRA</v>
      </c>
      <c r="D48" s="248" t="str">
        <f>Master!F53</f>
        <v>Female</v>
      </c>
      <c r="E48" s="635" t="s">
        <v>745</v>
      </c>
      <c r="F48" s="635" t="s">
        <v>599</v>
      </c>
      <c r="G48" s="635" t="s">
        <v>745</v>
      </c>
      <c r="H48" s="635" t="s">
        <v>745</v>
      </c>
      <c r="I48" s="636" t="s">
        <v>598</v>
      </c>
      <c r="J48" s="635" t="s">
        <v>745</v>
      </c>
      <c r="K48" s="635" t="s">
        <v>745</v>
      </c>
      <c r="L48" s="635" t="s">
        <v>745</v>
      </c>
      <c r="M48" s="635" t="s">
        <v>745</v>
      </c>
      <c r="N48" s="635" t="s">
        <v>745</v>
      </c>
      <c r="O48" s="635" t="s">
        <v>745</v>
      </c>
      <c r="P48" s="636" t="s">
        <v>598</v>
      </c>
      <c r="Q48" s="635" t="s">
        <v>745</v>
      </c>
      <c r="R48" s="635" t="s">
        <v>745</v>
      </c>
      <c r="S48" s="635" t="s">
        <v>599</v>
      </c>
      <c r="T48" s="635" t="s">
        <v>745</v>
      </c>
      <c r="U48" s="635" t="s">
        <v>745</v>
      </c>
      <c r="V48" s="635" t="s">
        <v>745</v>
      </c>
      <c r="W48" s="636" t="s">
        <v>598</v>
      </c>
      <c r="X48" s="635" t="s">
        <v>745</v>
      </c>
      <c r="Y48" s="635" t="s">
        <v>745</v>
      </c>
      <c r="Z48" s="635" t="s">
        <v>745</v>
      </c>
      <c r="AA48" s="635" t="s">
        <v>599</v>
      </c>
      <c r="AB48" s="635" t="s">
        <v>745</v>
      </c>
      <c r="AC48" s="635" t="s">
        <v>745</v>
      </c>
      <c r="AD48" s="636" t="s">
        <v>598</v>
      </c>
      <c r="AE48" s="635" t="s">
        <v>745</v>
      </c>
      <c r="AF48" s="635" t="s">
        <v>745</v>
      </c>
      <c r="AG48" s="635" t="s">
        <v>599</v>
      </c>
      <c r="AH48" s="635" t="s">
        <v>745</v>
      </c>
      <c r="AI48" s="543"/>
      <c r="AJ48" s="544">
        <f>Master!AA53</f>
        <v>26</v>
      </c>
    </row>
    <row r="49" spans="1:272" ht="25.2" customHeight="1">
      <c r="A49" s="138">
        <v>40</v>
      </c>
      <c r="B49" s="545" t="str">
        <f>Master!D54</f>
        <v>Kummari kalavathi</v>
      </c>
      <c r="C49" s="546" t="str">
        <f>Master!G54</f>
        <v>KUMARI KRISHNA</v>
      </c>
      <c r="D49" s="248" t="str">
        <f>Master!F54</f>
        <v>Female</v>
      </c>
      <c r="E49" s="635" t="s">
        <v>745</v>
      </c>
      <c r="F49" s="635" t="s">
        <v>599</v>
      </c>
      <c r="G49" s="635" t="s">
        <v>745</v>
      </c>
      <c r="H49" s="635" t="s">
        <v>745</v>
      </c>
      <c r="I49" s="636" t="s">
        <v>598</v>
      </c>
      <c r="J49" s="635" t="s">
        <v>745</v>
      </c>
      <c r="K49" s="635" t="s">
        <v>745</v>
      </c>
      <c r="L49" s="635" t="s">
        <v>745</v>
      </c>
      <c r="M49" s="635" t="s">
        <v>745</v>
      </c>
      <c r="N49" s="635" t="s">
        <v>745</v>
      </c>
      <c r="O49" s="635" t="s">
        <v>745</v>
      </c>
      <c r="P49" s="636" t="s">
        <v>598</v>
      </c>
      <c r="Q49" s="635" t="s">
        <v>745</v>
      </c>
      <c r="R49" s="635" t="s">
        <v>745</v>
      </c>
      <c r="S49" s="635" t="s">
        <v>599</v>
      </c>
      <c r="T49" s="635" t="s">
        <v>745</v>
      </c>
      <c r="U49" s="635" t="s">
        <v>745</v>
      </c>
      <c r="V49" s="635" t="s">
        <v>745</v>
      </c>
      <c r="W49" s="636" t="s">
        <v>598</v>
      </c>
      <c r="X49" s="635" t="s">
        <v>745</v>
      </c>
      <c r="Y49" s="635" t="s">
        <v>745</v>
      </c>
      <c r="Z49" s="635" t="s">
        <v>745</v>
      </c>
      <c r="AA49" s="635" t="s">
        <v>599</v>
      </c>
      <c r="AB49" s="635" t="s">
        <v>745</v>
      </c>
      <c r="AC49" s="635" t="s">
        <v>745</v>
      </c>
      <c r="AD49" s="636" t="s">
        <v>598</v>
      </c>
      <c r="AE49" s="635" t="s">
        <v>745</v>
      </c>
      <c r="AF49" s="635" t="s">
        <v>745</v>
      </c>
      <c r="AG49" s="635" t="s">
        <v>599</v>
      </c>
      <c r="AH49" s="635" t="s">
        <v>745</v>
      </c>
      <c r="AI49" s="543"/>
      <c r="AJ49" s="544">
        <f>Master!AA54</f>
        <v>26</v>
      </c>
    </row>
    <row r="50" spans="1:272" ht="25.2" customHeight="1">
      <c r="A50" s="138">
        <v>41</v>
      </c>
      <c r="B50" s="545" t="str">
        <f>Master!D55</f>
        <v xml:space="preserve">Vadla Naveena </v>
      </c>
      <c r="C50" s="546" t="str">
        <f>Master!G55</f>
        <v>VADLA BHASHKAR</v>
      </c>
      <c r="D50" s="248" t="str">
        <f>Master!F55</f>
        <v>Female</v>
      </c>
      <c r="E50" s="635" t="s">
        <v>745</v>
      </c>
      <c r="F50" s="635" t="s">
        <v>599</v>
      </c>
      <c r="G50" s="635" t="s">
        <v>745</v>
      </c>
      <c r="H50" s="635" t="s">
        <v>745</v>
      </c>
      <c r="I50" s="636" t="s">
        <v>598</v>
      </c>
      <c r="J50" s="635" t="s">
        <v>745</v>
      </c>
      <c r="K50" s="635" t="s">
        <v>745</v>
      </c>
      <c r="L50" s="635" t="s">
        <v>745</v>
      </c>
      <c r="M50" s="635" t="s">
        <v>745</v>
      </c>
      <c r="N50" s="635" t="s">
        <v>745</v>
      </c>
      <c r="O50" s="635" t="s">
        <v>745</v>
      </c>
      <c r="P50" s="636" t="s">
        <v>598</v>
      </c>
      <c r="Q50" s="635" t="s">
        <v>745</v>
      </c>
      <c r="R50" s="635" t="s">
        <v>745</v>
      </c>
      <c r="S50" s="635" t="s">
        <v>599</v>
      </c>
      <c r="T50" s="635" t="s">
        <v>745</v>
      </c>
      <c r="U50" s="635" t="s">
        <v>745</v>
      </c>
      <c r="V50" s="635" t="s">
        <v>745</v>
      </c>
      <c r="W50" s="636" t="s">
        <v>598</v>
      </c>
      <c r="X50" s="635" t="s">
        <v>745</v>
      </c>
      <c r="Y50" s="635" t="s">
        <v>745</v>
      </c>
      <c r="Z50" s="635" t="s">
        <v>745</v>
      </c>
      <c r="AA50" s="635" t="s">
        <v>599</v>
      </c>
      <c r="AB50" s="635" t="s">
        <v>745</v>
      </c>
      <c r="AC50" s="635" t="s">
        <v>745</v>
      </c>
      <c r="AD50" s="636" t="s">
        <v>598</v>
      </c>
      <c r="AE50" s="635" t="s">
        <v>745</v>
      </c>
      <c r="AF50" s="635" t="s">
        <v>745</v>
      </c>
      <c r="AG50" s="635" t="s">
        <v>599</v>
      </c>
      <c r="AH50" s="635" t="s">
        <v>745</v>
      </c>
      <c r="AI50" s="543"/>
      <c r="AJ50" s="544">
        <f>Master!AA55</f>
        <v>26</v>
      </c>
    </row>
    <row r="51" spans="1:272" ht="25.2" customHeight="1">
      <c r="A51" s="138">
        <v>42</v>
      </c>
      <c r="B51" s="545" t="str">
        <f>Master!D56</f>
        <v>Nagani shantamma</v>
      </c>
      <c r="C51" s="546" t="str">
        <f>Master!G56</f>
        <v>NANGANI VEERAIAH</v>
      </c>
      <c r="D51" s="248" t="str">
        <f>Master!F56</f>
        <v>Female</v>
      </c>
      <c r="E51" s="635" t="s">
        <v>745</v>
      </c>
      <c r="F51" s="635" t="s">
        <v>599</v>
      </c>
      <c r="G51" s="635" t="s">
        <v>745</v>
      </c>
      <c r="H51" s="635" t="s">
        <v>745</v>
      </c>
      <c r="I51" s="636" t="s">
        <v>598</v>
      </c>
      <c r="J51" s="635" t="s">
        <v>745</v>
      </c>
      <c r="K51" s="635" t="s">
        <v>745</v>
      </c>
      <c r="L51" s="635" t="s">
        <v>745</v>
      </c>
      <c r="M51" s="635" t="s">
        <v>745</v>
      </c>
      <c r="N51" s="635" t="s">
        <v>745</v>
      </c>
      <c r="O51" s="635" t="s">
        <v>745</v>
      </c>
      <c r="P51" s="636" t="s">
        <v>598</v>
      </c>
      <c r="Q51" s="635" t="s">
        <v>745</v>
      </c>
      <c r="R51" s="635" t="s">
        <v>745</v>
      </c>
      <c r="S51" s="635" t="s">
        <v>599</v>
      </c>
      <c r="T51" s="635" t="s">
        <v>745</v>
      </c>
      <c r="U51" s="635" t="s">
        <v>745</v>
      </c>
      <c r="V51" s="635" t="s">
        <v>745</v>
      </c>
      <c r="W51" s="636" t="s">
        <v>598</v>
      </c>
      <c r="X51" s="635" t="s">
        <v>745</v>
      </c>
      <c r="Y51" s="635" t="s">
        <v>745</v>
      </c>
      <c r="Z51" s="635" t="s">
        <v>745</v>
      </c>
      <c r="AA51" s="635" t="s">
        <v>599</v>
      </c>
      <c r="AB51" s="635" t="s">
        <v>745</v>
      </c>
      <c r="AC51" s="635" t="s">
        <v>745</v>
      </c>
      <c r="AD51" s="636" t="s">
        <v>598</v>
      </c>
      <c r="AE51" s="635" t="s">
        <v>745</v>
      </c>
      <c r="AF51" s="635" t="s">
        <v>745</v>
      </c>
      <c r="AG51" s="635" t="s">
        <v>599</v>
      </c>
      <c r="AH51" s="635" t="s">
        <v>745</v>
      </c>
      <c r="AI51" s="543"/>
      <c r="AJ51" s="544">
        <f>Master!AA56</f>
        <v>26</v>
      </c>
    </row>
    <row r="52" spans="1:272" ht="25.2" customHeight="1">
      <c r="A52" s="138">
        <v>43</v>
      </c>
      <c r="B52" s="545" t="str">
        <f>Master!D57</f>
        <v>Gaddmidi lakshmi</v>
      </c>
      <c r="C52" s="546" t="str">
        <f>Master!G57</f>
        <v>GADDAMIDI RAGHU</v>
      </c>
      <c r="D52" s="248" t="str">
        <f>Master!F57</f>
        <v>Female</v>
      </c>
      <c r="E52" s="635" t="s">
        <v>745</v>
      </c>
      <c r="F52" s="635" t="s">
        <v>599</v>
      </c>
      <c r="G52" s="635" t="s">
        <v>745</v>
      </c>
      <c r="H52" s="635" t="s">
        <v>745</v>
      </c>
      <c r="I52" s="636" t="s">
        <v>598</v>
      </c>
      <c r="J52" s="635" t="s">
        <v>745</v>
      </c>
      <c r="K52" s="635" t="s">
        <v>745</v>
      </c>
      <c r="L52" s="635" t="s">
        <v>745</v>
      </c>
      <c r="M52" s="635" t="s">
        <v>745</v>
      </c>
      <c r="N52" s="635" t="s">
        <v>745</v>
      </c>
      <c r="O52" s="635" t="s">
        <v>745</v>
      </c>
      <c r="P52" s="636" t="s">
        <v>598</v>
      </c>
      <c r="Q52" s="635" t="s">
        <v>745</v>
      </c>
      <c r="R52" s="635" t="s">
        <v>745</v>
      </c>
      <c r="S52" s="635" t="s">
        <v>599</v>
      </c>
      <c r="T52" s="635" t="s">
        <v>745</v>
      </c>
      <c r="U52" s="635" t="s">
        <v>745</v>
      </c>
      <c r="V52" s="635" t="s">
        <v>745</v>
      </c>
      <c r="W52" s="636" t="s">
        <v>598</v>
      </c>
      <c r="X52" s="635" t="s">
        <v>745</v>
      </c>
      <c r="Y52" s="635" t="s">
        <v>745</v>
      </c>
      <c r="Z52" s="635" t="s">
        <v>745</v>
      </c>
      <c r="AA52" s="635" t="s">
        <v>599</v>
      </c>
      <c r="AB52" s="635" t="s">
        <v>745</v>
      </c>
      <c r="AC52" s="635" t="s">
        <v>745</v>
      </c>
      <c r="AD52" s="636" t="s">
        <v>598</v>
      </c>
      <c r="AE52" s="635" t="s">
        <v>745</v>
      </c>
      <c r="AF52" s="635" t="s">
        <v>745</v>
      </c>
      <c r="AG52" s="635" t="s">
        <v>599</v>
      </c>
      <c r="AH52" s="635" t="s">
        <v>745</v>
      </c>
      <c r="AI52" s="543"/>
      <c r="AJ52" s="544">
        <f>Master!AA57</f>
        <v>26</v>
      </c>
    </row>
    <row r="53" spans="1:272" ht="25.2" customHeight="1">
      <c r="A53" s="138">
        <v>44</v>
      </c>
      <c r="B53" s="545" t="str">
        <f>Master!D58</f>
        <v>Gaddamidi raghu</v>
      </c>
      <c r="C53" s="546" t="str">
        <f>Master!G58</f>
        <v>GADDAMIDI BALAIAH</v>
      </c>
      <c r="D53" s="248" t="str">
        <f>Master!F58</f>
        <v>Male</v>
      </c>
      <c r="E53" s="635" t="s">
        <v>745</v>
      </c>
      <c r="F53" s="635" t="s">
        <v>599</v>
      </c>
      <c r="G53" s="635" t="s">
        <v>745</v>
      </c>
      <c r="H53" s="635" t="s">
        <v>745</v>
      </c>
      <c r="I53" s="636" t="s">
        <v>598</v>
      </c>
      <c r="J53" s="635" t="s">
        <v>745</v>
      </c>
      <c r="K53" s="635" t="s">
        <v>745</v>
      </c>
      <c r="L53" s="635" t="s">
        <v>745</v>
      </c>
      <c r="M53" s="635" t="s">
        <v>745</v>
      </c>
      <c r="N53" s="635" t="s">
        <v>745</v>
      </c>
      <c r="O53" s="635" t="s">
        <v>745</v>
      </c>
      <c r="P53" s="636" t="s">
        <v>598</v>
      </c>
      <c r="Q53" s="635" t="s">
        <v>745</v>
      </c>
      <c r="R53" s="635" t="s">
        <v>745</v>
      </c>
      <c r="S53" s="635" t="s">
        <v>599</v>
      </c>
      <c r="T53" s="635" t="s">
        <v>745</v>
      </c>
      <c r="U53" s="635" t="s">
        <v>745</v>
      </c>
      <c r="V53" s="635" t="s">
        <v>745</v>
      </c>
      <c r="W53" s="636" t="s">
        <v>598</v>
      </c>
      <c r="X53" s="635" t="s">
        <v>745</v>
      </c>
      <c r="Y53" s="635" t="s">
        <v>745</v>
      </c>
      <c r="Z53" s="635" t="s">
        <v>745</v>
      </c>
      <c r="AA53" s="635" t="s">
        <v>599</v>
      </c>
      <c r="AB53" s="635" t="s">
        <v>745</v>
      </c>
      <c r="AC53" s="635" t="s">
        <v>745</v>
      </c>
      <c r="AD53" s="636" t="s">
        <v>598</v>
      </c>
      <c r="AE53" s="635" t="s">
        <v>745</v>
      </c>
      <c r="AF53" s="635" t="s">
        <v>745</v>
      </c>
      <c r="AG53" s="635" t="s">
        <v>599</v>
      </c>
      <c r="AH53" s="635" t="s">
        <v>745</v>
      </c>
      <c r="AI53" s="542"/>
      <c r="AJ53" s="544">
        <f>Master!AA58</f>
        <v>26</v>
      </c>
    </row>
    <row r="54" spans="1:272" ht="25.2" customHeight="1">
      <c r="A54" s="138">
        <v>45</v>
      </c>
      <c r="B54" s="545" t="str">
        <f>Master!D59</f>
        <v>Laxman</v>
      </c>
      <c r="C54" s="546" t="str">
        <f>Master!G59</f>
        <v>IRAPPA</v>
      </c>
      <c r="D54" s="248" t="str">
        <f>Master!F59</f>
        <v>Male</v>
      </c>
      <c r="E54" s="635" t="s">
        <v>745</v>
      </c>
      <c r="F54" s="635" t="s">
        <v>599</v>
      </c>
      <c r="G54" s="635" t="s">
        <v>745</v>
      </c>
      <c r="H54" s="635" t="s">
        <v>745</v>
      </c>
      <c r="I54" s="636" t="s">
        <v>598</v>
      </c>
      <c r="J54" s="635" t="s">
        <v>745</v>
      </c>
      <c r="K54" s="635" t="s">
        <v>745</v>
      </c>
      <c r="L54" s="635" t="s">
        <v>745</v>
      </c>
      <c r="M54" s="635" t="s">
        <v>745</v>
      </c>
      <c r="N54" s="635" t="s">
        <v>745</v>
      </c>
      <c r="O54" s="635" t="s">
        <v>745</v>
      </c>
      <c r="P54" s="636" t="s">
        <v>598</v>
      </c>
      <c r="Q54" s="635" t="s">
        <v>745</v>
      </c>
      <c r="R54" s="635" t="s">
        <v>745</v>
      </c>
      <c r="S54" s="635" t="s">
        <v>599</v>
      </c>
      <c r="T54" s="635" t="s">
        <v>745</v>
      </c>
      <c r="U54" s="635" t="s">
        <v>745</v>
      </c>
      <c r="V54" s="635" t="s">
        <v>745</v>
      </c>
      <c r="W54" s="636" t="s">
        <v>598</v>
      </c>
      <c r="X54" s="635" t="s">
        <v>745</v>
      </c>
      <c r="Y54" s="635" t="s">
        <v>745</v>
      </c>
      <c r="Z54" s="635" t="s">
        <v>745</v>
      </c>
      <c r="AA54" s="635" t="s">
        <v>599</v>
      </c>
      <c r="AB54" s="635" t="s">
        <v>745</v>
      </c>
      <c r="AC54" s="635" t="s">
        <v>745</v>
      </c>
      <c r="AD54" s="636" t="s">
        <v>598</v>
      </c>
      <c r="AE54" s="635" t="s">
        <v>745</v>
      </c>
      <c r="AF54" s="635" t="s">
        <v>745</v>
      </c>
      <c r="AG54" s="635" t="s">
        <v>599</v>
      </c>
      <c r="AH54" s="635" t="s">
        <v>745</v>
      </c>
      <c r="AI54" s="296"/>
      <c r="AJ54" s="544">
        <f>Master!AA59</f>
        <v>26</v>
      </c>
    </row>
    <row r="55" spans="1:272" ht="25.2" customHeight="1">
      <c r="A55" s="138">
        <v>46</v>
      </c>
      <c r="B55" s="545" t="str">
        <f>Master!D60</f>
        <v>VADLA JYOTHI</v>
      </c>
      <c r="C55" s="546" t="str">
        <f>Master!G60</f>
        <v>VADLA SHANKAR CHARY</v>
      </c>
      <c r="D55" s="248" t="str">
        <f>Master!F60</f>
        <v>Female</v>
      </c>
      <c r="E55" s="635" t="s">
        <v>745</v>
      </c>
      <c r="F55" s="635" t="s">
        <v>599</v>
      </c>
      <c r="G55" s="635" t="s">
        <v>745</v>
      </c>
      <c r="H55" s="635" t="s">
        <v>745</v>
      </c>
      <c r="I55" s="636" t="s">
        <v>598</v>
      </c>
      <c r="J55" s="635" t="s">
        <v>745</v>
      </c>
      <c r="K55" s="635" t="s">
        <v>745</v>
      </c>
      <c r="L55" s="635" t="s">
        <v>745</v>
      </c>
      <c r="M55" s="635" t="s">
        <v>745</v>
      </c>
      <c r="N55" s="635" t="s">
        <v>745</v>
      </c>
      <c r="O55" s="635" t="s">
        <v>745</v>
      </c>
      <c r="P55" s="636" t="s">
        <v>598</v>
      </c>
      <c r="Q55" s="635" t="s">
        <v>745</v>
      </c>
      <c r="R55" s="635" t="s">
        <v>745</v>
      </c>
      <c r="S55" s="635" t="s">
        <v>599</v>
      </c>
      <c r="T55" s="635" t="s">
        <v>745</v>
      </c>
      <c r="U55" s="635" t="s">
        <v>745</v>
      </c>
      <c r="V55" s="635" t="s">
        <v>745</v>
      </c>
      <c r="W55" s="636" t="s">
        <v>598</v>
      </c>
      <c r="X55" s="635" t="s">
        <v>745</v>
      </c>
      <c r="Y55" s="635" t="s">
        <v>745</v>
      </c>
      <c r="Z55" s="635" t="s">
        <v>745</v>
      </c>
      <c r="AA55" s="635" t="s">
        <v>599</v>
      </c>
      <c r="AB55" s="635" t="s">
        <v>745</v>
      </c>
      <c r="AC55" s="635" t="s">
        <v>745</v>
      </c>
      <c r="AD55" s="636" t="s">
        <v>598</v>
      </c>
      <c r="AE55" s="635" t="s">
        <v>745</v>
      </c>
      <c r="AF55" s="635" t="s">
        <v>745</v>
      </c>
      <c r="AG55" s="635" t="s">
        <v>599</v>
      </c>
      <c r="AH55" s="635" t="s">
        <v>745</v>
      </c>
      <c r="AI55" s="543"/>
      <c r="AJ55" s="544">
        <f>Master!AA60</f>
        <v>26</v>
      </c>
    </row>
    <row r="56" spans="1:272" ht="25.2" customHeight="1">
      <c r="A56" s="138">
        <v>47</v>
      </c>
      <c r="B56" s="545" t="str">
        <f>Master!D61</f>
        <v>Rupesh Chandra Jakhmola</v>
      </c>
      <c r="C56" s="546" t="str">
        <f>Master!G61</f>
        <v>RAJENDRA PRASAD</v>
      </c>
      <c r="D56" s="248" t="str">
        <f>Master!F61</f>
        <v>Male</v>
      </c>
      <c r="E56" s="635" t="s">
        <v>600</v>
      </c>
      <c r="F56" s="635" t="s">
        <v>600</v>
      </c>
      <c r="G56" s="635" t="s">
        <v>600</v>
      </c>
      <c r="H56" s="635" t="s">
        <v>600</v>
      </c>
      <c r="I56" s="633" t="s">
        <v>598</v>
      </c>
      <c r="J56" s="635" t="s">
        <v>600</v>
      </c>
      <c r="K56" s="635" t="s">
        <v>600</v>
      </c>
      <c r="L56" s="635" t="s">
        <v>600</v>
      </c>
      <c r="M56" s="635" t="s">
        <v>600</v>
      </c>
      <c r="N56" s="635" t="s">
        <v>600</v>
      </c>
      <c r="O56" s="635" t="s">
        <v>600</v>
      </c>
      <c r="P56" s="633" t="s">
        <v>598</v>
      </c>
      <c r="Q56" s="635" t="s">
        <v>600</v>
      </c>
      <c r="R56" s="635" t="s">
        <v>600</v>
      </c>
      <c r="S56" s="635" t="s">
        <v>600</v>
      </c>
      <c r="T56" s="635" t="s">
        <v>600</v>
      </c>
      <c r="U56" s="635" t="s">
        <v>600</v>
      </c>
      <c r="V56" s="635" t="s">
        <v>600</v>
      </c>
      <c r="W56" s="633" t="s">
        <v>598</v>
      </c>
      <c r="X56" s="635" t="s">
        <v>600</v>
      </c>
      <c r="Y56" s="635" t="s">
        <v>600</v>
      </c>
      <c r="Z56" s="635" t="s">
        <v>600</v>
      </c>
      <c r="AA56" s="635" t="s">
        <v>600</v>
      </c>
      <c r="AB56" s="635" t="s">
        <v>600</v>
      </c>
      <c r="AC56" s="635" t="s">
        <v>600</v>
      </c>
      <c r="AD56" s="633" t="s">
        <v>598</v>
      </c>
      <c r="AE56" s="635" t="s">
        <v>600</v>
      </c>
      <c r="AF56" s="635" t="s">
        <v>600</v>
      </c>
      <c r="AG56" s="635" t="s">
        <v>600</v>
      </c>
      <c r="AH56" s="635" t="s">
        <v>600</v>
      </c>
      <c r="AI56" s="547"/>
      <c r="AJ56" s="544">
        <f>Master!AA61</f>
        <v>30</v>
      </c>
    </row>
    <row r="57" spans="1:272" ht="25.2" customHeight="1">
      <c r="A57" s="138">
        <v>48</v>
      </c>
      <c r="B57" s="545" t="str">
        <f>Master!D62</f>
        <v>Bakkani Mallaiah</v>
      </c>
      <c r="C57" s="546" t="str">
        <f>Master!G62</f>
        <v>BAKKANI HANMAIH</v>
      </c>
      <c r="D57" s="248" t="str">
        <f>Master!F62</f>
        <v>Male</v>
      </c>
      <c r="E57" s="635" t="s">
        <v>745</v>
      </c>
      <c r="F57" s="635" t="s">
        <v>599</v>
      </c>
      <c r="G57" s="635" t="s">
        <v>745</v>
      </c>
      <c r="H57" s="635" t="s">
        <v>745</v>
      </c>
      <c r="I57" s="636" t="s">
        <v>598</v>
      </c>
      <c r="J57" s="635" t="s">
        <v>745</v>
      </c>
      <c r="K57" s="635" t="s">
        <v>745</v>
      </c>
      <c r="L57" s="635" t="s">
        <v>745</v>
      </c>
      <c r="M57" s="635" t="s">
        <v>745</v>
      </c>
      <c r="N57" s="635" t="s">
        <v>745</v>
      </c>
      <c r="O57" s="635" t="s">
        <v>745</v>
      </c>
      <c r="P57" s="636" t="s">
        <v>598</v>
      </c>
      <c r="Q57" s="635" t="s">
        <v>745</v>
      </c>
      <c r="R57" s="635" t="s">
        <v>745</v>
      </c>
      <c r="S57" s="635" t="s">
        <v>599</v>
      </c>
      <c r="T57" s="635" t="s">
        <v>745</v>
      </c>
      <c r="U57" s="635" t="s">
        <v>745</v>
      </c>
      <c r="V57" s="635" t="s">
        <v>745</v>
      </c>
      <c r="W57" s="636" t="s">
        <v>598</v>
      </c>
      <c r="X57" s="635" t="s">
        <v>745</v>
      </c>
      <c r="Y57" s="635" t="s">
        <v>745</v>
      </c>
      <c r="Z57" s="635" t="s">
        <v>745</v>
      </c>
      <c r="AA57" s="635" t="s">
        <v>599</v>
      </c>
      <c r="AB57" s="635" t="s">
        <v>745</v>
      </c>
      <c r="AC57" s="635" t="s">
        <v>745</v>
      </c>
      <c r="AD57" s="636" t="s">
        <v>598</v>
      </c>
      <c r="AE57" s="635" t="s">
        <v>745</v>
      </c>
      <c r="AF57" s="635" t="s">
        <v>745</v>
      </c>
      <c r="AG57" s="635" t="s">
        <v>599</v>
      </c>
      <c r="AH57" s="635" t="s">
        <v>745</v>
      </c>
      <c r="AI57" s="542"/>
      <c r="AJ57" s="544">
        <f>Master!AA62</f>
        <v>26</v>
      </c>
    </row>
    <row r="58" spans="1:272" ht="25.2" customHeight="1">
      <c r="A58" s="138">
        <v>49</v>
      </c>
      <c r="B58" s="545" t="str">
        <f>Master!D63</f>
        <v>Chakali Narayana</v>
      </c>
      <c r="C58" s="546" t="str">
        <f>Master!G63</f>
        <v>CHAKALI PETAIAH</v>
      </c>
      <c r="D58" s="248" t="str">
        <f>Master!F63</f>
        <v>Male</v>
      </c>
      <c r="E58" s="635" t="s">
        <v>745</v>
      </c>
      <c r="F58" s="635" t="s">
        <v>599</v>
      </c>
      <c r="G58" s="635" t="s">
        <v>745</v>
      </c>
      <c r="H58" s="635" t="s">
        <v>745</v>
      </c>
      <c r="I58" s="636" t="s">
        <v>598</v>
      </c>
      <c r="J58" s="635" t="s">
        <v>745</v>
      </c>
      <c r="K58" s="635" t="s">
        <v>745</v>
      </c>
      <c r="L58" s="635" t="s">
        <v>745</v>
      </c>
      <c r="M58" s="635" t="s">
        <v>745</v>
      </c>
      <c r="N58" s="635" t="s">
        <v>745</v>
      </c>
      <c r="O58" s="635" t="s">
        <v>745</v>
      </c>
      <c r="P58" s="636" t="s">
        <v>598</v>
      </c>
      <c r="Q58" s="635" t="s">
        <v>745</v>
      </c>
      <c r="R58" s="635" t="s">
        <v>745</v>
      </c>
      <c r="S58" s="635" t="s">
        <v>599</v>
      </c>
      <c r="T58" s="635" t="s">
        <v>745</v>
      </c>
      <c r="U58" s="635" t="s">
        <v>745</v>
      </c>
      <c r="V58" s="635" t="s">
        <v>745</v>
      </c>
      <c r="W58" s="636" t="s">
        <v>598</v>
      </c>
      <c r="X58" s="635" t="s">
        <v>745</v>
      </c>
      <c r="Y58" s="635" t="s">
        <v>745</v>
      </c>
      <c r="Z58" s="635" t="s">
        <v>745</v>
      </c>
      <c r="AA58" s="635" t="s">
        <v>599</v>
      </c>
      <c r="AB58" s="635" t="s">
        <v>745</v>
      </c>
      <c r="AC58" s="635" t="s">
        <v>745</v>
      </c>
      <c r="AD58" s="636" t="s">
        <v>598</v>
      </c>
      <c r="AE58" s="635" t="s">
        <v>745</v>
      </c>
      <c r="AF58" s="635" t="s">
        <v>745</v>
      </c>
      <c r="AG58" s="635" t="s">
        <v>599</v>
      </c>
      <c r="AH58" s="635" t="s">
        <v>745</v>
      </c>
      <c r="AI58" s="543"/>
      <c r="AJ58" s="544">
        <f>Master!AA63</f>
        <v>26</v>
      </c>
    </row>
    <row r="59" spans="1:272" ht="25.2" customHeight="1">
      <c r="A59" s="138">
        <v>50</v>
      </c>
      <c r="B59" s="545" t="str">
        <f>Master!D64</f>
        <v>Mutyala Poshavva</v>
      </c>
      <c r="C59" s="546" t="str">
        <f>Master!G64</f>
        <v>MUTYALA BABU</v>
      </c>
      <c r="D59" s="248" t="str">
        <f>Master!F64</f>
        <v>Female</v>
      </c>
      <c r="E59" s="639"/>
      <c r="F59" s="296"/>
      <c r="G59" s="296"/>
      <c r="H59" s="296"/>
      <c r="I59" s="637"/>
      <c r="J59" s="637"/>
      <c r="K59" s="542"/>
      <c r="L59" s="637"/>
      <c r="M59" s="637"/>
      <c r="N59" s="296"/>
      <c r="O59" s="296"/>
      <c r="P59" s="296"/>
      <c r="Q59" s="296"/>
      <c r="R59" s="296"/>
      <c r="S59" s="296"/>
      <c r="T59" s="296"/>
      <c r="U59" s="296"/>
      <c r="V59" s="296"/>
      <c r="W59" s="296"/>
      <c r="X59" s="296"/>
      <c r="Y59" s="296"/>
      <c r="Z59" s="637"/>
      <c r="AA59" s="296"/>
      <c r="AB59" s="296"/>
      <c r="AC59" s="296"/>
      <c r="AD59" s="296"/>
      <c r="AE59" s="296"/>
      <c r="AF59" s="296"/>
      <c r="AG59" s="296"/>
      <c r="AH59" s="296"/>
      <c r="AI59" s="296"/>
      <c r="AJ59" s="544">
        <f>Master!AA64</f>
        <v>0</v>
      </c>
    </row>
    <row r="60" spans="1:272" ht="22.5" customHeight="1">
      <c r="A60" s="166"/>
      <c r="B60" s="167"/>
      <c r="C60" s="113"/>
      <c r="D60" s="168"/>
      <c r="E60" s="114"/>
      <c r="F60" s="169"/>
      <c r="G60" s="170"/>
      <c r="H60" s="168"/>
      <c r="I60" s="171"/>
      <c r="J60" s="171"/>
      <c r="K60" s="172"/>
      <c r="L60" s="168"/>
      <c r="M60" s="168"/>
      <c r="N60" s="168"/>
      <c r="O60" s="168"/>
      <c r="P60" s="168"/>
      <c r="Q60" s="112"/>
      <c r="R60" s="112"/>
      <c r="S60" s="168"/>
      <c r="T60" s="172"/>
      <c r="U60" s="172"/>
      <c r="V60" s="172"/>
      <c r="W60" s="172"/>
      <c r="X60" s="172"/>
      <c r="Y60" s="172"/>
      <c r="Z60" s="172"/>
      <c r="AA60" s="172"/>
      <c r="AB60" s="172"/>
      <c r="AC60" s="172"/>
      <c r="AD60" s="172"/>
      <c r="AE60" s="172"/>
      <c r="AF60" s="172"/>
      <c r="AG60" s="172"/>
      <c r="AH60" s="172"/>
      <c r="AI60" s="172"/>
      <c r="AJ60" s="173"/>
    </row>
    <row r="61" spans="1:272" ht="16.2" thickBot="1">
      <c r="A61" s="174"/>
      <c r="B61" s="1031"/>
      <c r="C61" s="1031"/>
      <c r="D61" s="175"/>
      <c r="E61" s="176"/>
      <c r="F61" s="176"/>
      <c r="G61" s="177"/>
      <c r="H61" s="176"/>
      <c r="I61" s="176"/>
      <c r="J61" s="1031" t="s">
        <v>29</v>
      </c>
      <c r="K61" s="1031"/>
      <c r="L61" s="1031"/>
      <c r="M61" s="1031"/>
      <c r="N61" s="1031"/>
      <c r="O61" s="1031"/>
      <c r="P61" s="1031"/>
      <c r="Q61" s="1031"/>
      <c r="R61" s="1031"/>
      <c r="S61" s="1031"/>
      <c r="T61" s="1031"/>
      <c r="U61" s="1031"/>
      <c r="V61" s="1031"/>
      <c r="W61" s="1031"/>
      <c r="X61" s="1031"/>
      <c r="Y61" s="1031"/>
      <c r="Z61" s="1031"/>
      <c r="AA61" s="1031"/>
      <c r="AB61" s="1031"/>
      <c r="AC61" s="1031"/>
      <c r="AD61" s="1031"/>
      <c r="AE61" s="1031"/>
      <c r="AF61" s="1031"/>
      <c r="AG61" s="1031"/>
      <c r="AH61" s="1031"/>
      <c r="AI61" s="1031"/>
      <c r="AJ61" s="1032"/>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3"/>
      <c r="EL61" s="13"/>
      <c r="EM61" s="13"/>
      <c r="EN61" s="13"/>
      <c r="EO61" s="13"/>
      <c r="EP61" s="13"/>
      <c r="EQ61" s="13"/>
      <c r="ER61" s="13"/>
      <c r="ES61" s="13"/>
      <c r="ET61" s="13"/>
      <c r="EU61" s="13"/>
      <c r="EV61" s="13"/>
      <c r="EW61" s="13"/>
      <c r="EX61" s="13"/>
      <c r="EY61" s="13"/>
      <c r="EZ61" s="13"/>
      <c r="FA61" s="13"/>
      <c r="FB61" s="13"/>
      <c r="FC61" s="13"/>
      <c r="FD61" s="13"/>
      <c r="FE61" s="13"/>
      <c r="FF61" s="13"/>
      <c r="FG61" s="13"/>
      <c r="FH61" s="13"/>
      <c r="FI61" s="13"/>
      <c r="FJ61" s="13"/>
      <c r="FK61" s="13"/>
      <c r="FL61" s="13"/>
      <c r="FM61" s="13"/>
      <c r="FN61" s="13"/>
      <c r="FO61" s="13"/>
      <c r="FP61" s="13"/>
      <c r="FQ61" s="13"/>
      <c r="FR61" s="13"/>
      <c r="FS61" s="13"/>
      <c r="FT61" s="13"/>
      <c r="FU61" s="13"/>
      <c r="FV61" s="13"/>
      <c r="FW61" s="13"/>
      <c r="FX61" s="13"/>
      <c r="FY61" s="13"/>
      <c r="FZ61" s="13"/>
      <c r="GA61" s="13"/>
      <c r="GB61" s="13"/>
      <c r="GC61" s="13"/>
      <c r="GD61" s="13"/>
      <c r="GE61" s="13"/>
      <c r="GF61" s="13"/>
      <c r="GG61" s="13"/>
      <c r="GH61" s="13"/>
      <c r="GI61" s="13"/>
      <c r="GJ61" s="13"/>
      <c r="GK61" s="13"/>
      <c r="GL61" s="13"/>
      <c r="GM61" s="13"/>
      <c r="GN61" s="13"/>
      <c r="GO61" s="13"/>
      <c r="GP61" s="13"/>
      <c r="GQ61" s="13"/>
      <c r="GR61" s="13"/>
      <c r="GS61" s="13"/>
      <c r="GT61" s="13"/>
      <c r="GU61" s="13"/>
      <c r="GV61" s="13"/>
      <c r="GW61" s="13"/>
      <c r="GX61" s="13"/>
      <c r="GY61" s="13"/>
      <c r="GZ61" s="13"/>
      <c r="HA61" s="13"/>
      <c r="HB61" s="13"/>
      <c r="HC61" s="13"/>
      <c r="HD61" s="13"/>
      <c r="HE61" s="13"/>
      <c r="HF61" s="13"/>
      <c r="HG61" s="13"/>
      <c r="HH61" s="13"/>
      <c r="HI61" s="13"/>
      <c r="HJ61" s="13"/>
      <c r="HK61" s="13"/>
      <c r="HL61" s="13"/>
      <c r="HM61" s="13"/>
      <c r="HN61" s="13"/>
      <c r="HO61" s="13"/>
      <c r="HP61" s="13"/>
      <c r="HQ61" s="13"/>
      <c r="HR61" s="13"/>
      <c r="HS61" s="13"/>
      <c r="HT61" s="13"/>
      <c r="HU61" s="13"/>
      <c r="HV61" s="13"/>
      <c r="HW61" s="13"/>
      <c r="HX61" s="13"/>
      <c r="HY61" s="13"/>
      <c r="HZ61" s="13"/>
      <c r="IA61" s="13"/>
      <c r="IB61" s="13"/>
      <c r="IC61" s="13"/>
      <c r="ID61" s="13"/>
      <c r="IE61" s="13"/>
      <c r="IF61" s="13"/>
      <c r="IG61" s="13"/>
      <c r="IH61" s="13"/>
      <c r="II61" s="13"/>
      <c r="IJ61" s="13"/>
      <c r="IK61" s="13"/>
      <c r="IL61" s="13"/>
      <c r="IM61" s="13"/>
      <c r="IN61" s="13"/>
      <c r="IO61" s="13"/>
      <c r="IP61" s="13"/>
      <c r="IQ61" s="13"/>
      <c r="IR61" s="13"/>
      <c r="IS61" s="13"/>
      <c r="IT61" s="13"/>
      <c r="IU61" s="13"/>
      <c r="IV61" s="13"/>
      <c r="IW61" s="13"/>
      <c r="IX61" s="13"/>
      <c r="IY61" s="13"/>
      <c r="IZ61" s="13"/>
      <c r="JA61" s="13"/>
      <c r="JB61" s="13"/>
      <c r="JC61" s="13"/>
      <c r="JD61" s="13"/>
      <c r="JE61" s="13"/>
      <c r="JF61" s="13"/>
      <c r="JG61" s="13"/>
      <c r="JH61" s="13"/>
      <c r="JI61" s="13"/>
      <c r="JJ61" s="13"/>
      <c r="JK61" s="13"/>
      <c r="JL61" s="13"/>
    </row>
  </sheetData>
  <mergeCells count="12">
    <mergeCell ref="A1:AJ1"/>
    <mergeCell ref="A2:C2"/>
    <mergeCell ref="A4:C4"/>
    <mergeCell ref="B61:C61"/>
    <mergeCell ref="J61:AJ61"/>
    <mergeCell ref="A8:A9"/>
    <mergeCell ref="B8:B9"/>
    <mergeCell ref="C8:C9"/>
    <mergeCell ref="D8:D9"/>
    <mergeCell ref="A6:C7"/>
    <mergeCell ref="D6:D7"/>
    <mergeCell ref="J6:Y7"/>
  </mergeCells>
  <printOptions horizontalCentered="1" verticalCentered="1"/>
  <pageMargins left="0.25" right="0.25" top="0" bottom="0.25" header="0" footer="0.25"/>
  <pageSetup paperSize="8" scale="80" orientation="landscape" verticalDpi="300" r:id="rId1"/>
</worksheet>
</file>

<file path=xl/worksheets/sheet7.xml><?xml version="1.0" encoding="utf-8"?>
<worksheet xmlns="http://schemas.openxmlformats.org/spreadsheetml/2006/main" xmlns:r="http://schemas.openxmlformats.org/officeDocument/2006/relationships">
  <dimension ref="A1:P48"/>
  <sheetViews>
    <sheetView workbookViewId="0">
      <selection activeCell="D15" sqref="D15"/>
    </sheetView>
  </sheetViews>
  <sheetFormatPr defaultRowHeight="14.4"/>
  <cols>
    <col min="1" max="1" width="5.44140625" customWidth="1"/>
    <col min="2" max="2" width="12.33203125" customWidth="1"/>
    <col min="6" max="7" width="11.109375" customWidth="1"/>
    <col min="8" max="8" width="11.5546875" customWidth="1"/>
    <col min="12" max="12" width="12.109375" customWidth="1"/>
    <col min="14" max="14" width="11.6640625" customWidth="1"/>
    <col min="15" max="15" width="14.5546875" customWidth="1"/>
    <col min="16" max="16" width="13.6640625" customWidth="1"/>
  </cols>
  <sheetData>
    <row r="1" spans="1:16">
      <c r="A1" s="68"/>
      <c r="B1" s="1052" t="s">
        <v>249</v>
      </c>
      <c r="C1" s="1052"/>
      <c r="D1" s="1052"/>
      <c r="E1" s="1052"/>
      <c r="F1" s="1052"/>
      <c r="G1" s="1052"/>
      <c r="H1" s="1052"/>
      <c r="I1" s="1052"/>
      <c r="J1" s="1052"/>
      <c r="K1" s="1052"/>
      <c r="L1" s="1052"/>
      <c r="M1" s="1052"/>
      <c r="N1" s="1052"/>
      <c r="O1" s="1052"/>
      <c r="P1" s="1053"/>
    </row>
    <row r="2" spans="1:16" ht="25.2" customHeight="1">
      <c r="A2" s="15"/>
      <c r="B2" s="1054"/>
      <c r="C2" s="1054"/>
      <c r="D2" s="1054"/>
      <c r="E2" s="1054"/>
      <c r="F2" s="1054"/>
      <c r="G2" s="1054"/>
      <c r="H2" s="1054"/>
      <c r="I2" s="1054"/>
      <c r="J2" s="1054"/>
      <c r="K2" s="1054"/>
      <c r="L2" s="1054"/>
      <c r="M2" s="1054"/>
      <c r="N2" s="1054"/>
      <c r="O2" s="1054"/>
      <c r="P2" s="1055"/>
    </row>
    <row r="3" spans="1:16" ht="22.95" customHeight="1">
      <c r="A3" s="15"/>
      <c r="B3" s="1056" t="s">
        <v>1073</v>
      </c>
      <c r="C3" s="1056"/>
      <c r="D3" s="1056"/>
      <c r="E3" s="1056"/>
      <c r="F3" s="1056"/>
      <c r="G3" s="1056"/>
      <c r="H3" s="1056"/>
      <c r="I3" s="1056"/>
      <c r="J3" s="1056"/>
      <c r="K3" s="1056"/>
      <c r="L3" s="1056"/>
      <c r="M3" s="1056"/>
      <c r="N3" s="1056"/>
      <c r="O3" s="1056"/>
      <c r="P3" s="1056"/>
    </row>
    <row r="4" spans="1:16" ht="15" customHeight="1">
      <c r="A4" s="15"/>
      <c r="B4" s="32" t="s">
        <v>1085</v>
      </c>
      <c r="C4" s="257"/>
      <c r="D4" s="257"/>
      <c r="F4" s="835" t="str">
        <f>Master!F5</f>
        <v>GROTECH LANDSCAPE DEVELOPERS PVT. LTD.</v>
      </c>
      <c r="H4" s="34"/>
      <c r="I4" s="35" t="s">
        <v>126</v>
      </c>
      <c r="J4" s="63"/>
      <c r="K4" s="826"/>
      <c r="L4" s="337"/>
      <c r="M4" s="337"/>
      <c r="N4" s="337"/>
      <c r="O4" s="337"/>
      <c r="P4" s="83"/>
    </row>
    <row r="5" spans="1:16" ht="15.6">
      <c r="A5" s="15"/>
      <c r="B5" s="32"/>
      <c r="C5" s="257" t="str">
        <f>Master!F6</f>
        <v>290/E, Khanapur Village, Gandipet Mandal, Ranga Reddy, Hyderabad-500075 T.S.</v>
      </c>
      <c r="D5" s="257"/>
      <c r="E5" s="34"/>
      <c r="F5" s="337"/>
      <c r="G5" s="337"/>
      <c r="H5" s="822"/>
      <c r="I5" s="338" t="str">
        <f>Master!D15</f>
        <v>ARJUN KUMAR</v>
      </c>
      <c r="J5" s="827"/>
      <c r="K5" s="828"/>
      <c r="L5" s="337"/>
      <c r="M5" s="337"/>
      <c r="N5" s="337"/>
      <c r="O5" s="337"/>
      <c r="P5" s="83"/>
    </row>
    <row r="6" spans="1:16">
      <c r="A6" s="15"/>
      <c r="B6" s="35"/>
      <c r="C6" s="36"/>
      <c r="D6" s="36"/>
      <c r="E6" s="37"/>
      <c r="F6" s="63"/>
      <c r="G6" s="63"/>
      <c r="H6" s="63"/>
      <c r="I6" s="63"/>
      <c r="J6" s="63"/>
      <c r="K6" s="63"/>
      <c r="L6" s="63"/>
      <c r="M6" s="63"/>
      <c r="N6" s="63"/>
      <c r="O6" s="63"/>
      <c r="P6" s="84"/>
    </row>
    <row r="7" spans="1:16">
      <c r="A7" s="15"/>
      <c r="B7" s="189" t="s">
        <v>127</v>
      </c>
      <c r="C7" s="254"/>
      <c r="D7" s="254"/>
      <c r="E7" s="255"/>
      <c r="F7" s="189"/>
      <c r="G7" s="254"/>
      <c r="H7" s="255"/>
      <c r="I7" s="30"/>
      <c r="J7" s="30"/>
      <c r="K7" s="30"/>
      <c r="L7" s="30"/>
      <c r="M7" s="30"/>
      <c r="N7" s="30"/>
      <c r="O7" s="30"/>
      <c r="P7" s="85"/>
    </row>
    <row r="8" spans="1:16">
      <c r="A8" s="15"/>
      <c r="B8" s="32"/>
      <c r="C8" s="257"/>
      <c r="D8" s="257"/>
      <c r="E8" s="34"/>
      <c r="F8" s="822"/>
      <c r="G8" s="257"/>
      <c r="H8" s="336"/>
      <c r="I8" s="235" t="s">
        <v>128</v>
      </c>
      <c r="J8" s="829"/>
      <c r="K8" s="830"/>
      <c r="L8" s="257"/>
      <c r="M8" s="257"/>
      <c r="N8" s="257"/>
      <c r="O8" s="257"/>
      <c r="P8" s="86"/>
    </row>
    <row r="9" spans="1:16">
      <c r="A9" s="15"/>
      <c r="B9" s="32"/>
      <c r="C9" s="257"/>
      <c r="D9" s="257"/>
      <c r="E9" s="34"/>
      <c r="F9" s="32"/>
      <c r="G9" s="257"/>
      <c r="H9" s="257"/>
      <c r="I9" s="189" t="str">
        <f>Master!G15</f>
        <v xml:space="preserve">kallu </v>
      </c>
      <c r="J9" s="254"/>
      <c r="K9" s="255"/>
      <c r="L9" s="257"/>
      <c r="M9" s="257"/>
      <c r="N9" s="257"/>
      <c r="O9" s="257"/>
      <c r="P9" s="86"/>
    </row>
    <row r="10" spans="1:16">
      <c r="A10" s="15"/>
      <c r="B10" s="35"/>
      <c r="C10" s="36"/>
      <c r="D10" s="36"/>
      <c r="E10" s="37"/>
      <c r="F10" s="822"/>
      <c r="G10" s="36"/>
      <c r="H10" s="82"/>
      <c r="I10" s="235" t="s">
        <v>129</v>
      </c>
      <c r="J10" s="254"/>
      <c r="K10" s="255"/>
      <c r="L10" s="831">
        <f>Master!S15</f>
        <v>43850</v>
      </c>
      <c r="M10" s="36"/>
      <c r="N10" s="36"/>
      <c r="O10" s="257"/>
      <c r="P10" s="86"/>
    </row>
    <row r="11" spans="1:16" ht="25.5" customHeight="1">
      <c r="A11" s="15"/>
      <c r="B11" s="1038" t="s">
        <v>130</v>
      </c>
      <c r="C11" s="1057" t="s">
        <v>1086</v>
      </c>
      <c r="D11" s="1058"/>
      <c r="E11" s="1059"/>
      <c r="F11" s="1038" t="s">
        <v>133</v>
      </c>
      <c r="G11" s="1057" t="s">
        <v>1087</v>
      </c>
      <c r="H11" s="1058"/>
      <c r="I11" s="1059"/>
      <c r="J11" s="1060" t="s">
        <v>135</v>
      </c>
      <c r="K11" s="1057" t="s">
        <v>1088</v>
      </c>
      <c r="L11" s="1058"/>
      <c r="M11" s="1059"/>
      <c r="N11" s="1038" t="s">
        <v>136</v>
      </c>
      <c r="O11" s="1057" t="s">
        <v>1089</v>
      </c>
      <c r="P11" s="1059"/>
    </row>
    <row r="12" spans="1:16" ht="69" customHeight="1">
      <c r="A12" s="15"/>
      <c r="B12" s="1051"/>
      <c r="C12" s="67" t="s">
        <v>1090</v>
      </c>
      <c r="D12" s="67" t="s">
        <v>1091</v>
      </c>
      <c r="E12" s="67" t="s">
        <v>132</v>
      </c>
      <c r="F12" s="1051"/>
      <c r="G12" s="67" t="s">
        <v>1090</v>
      </c>
      <c r="H12" s="67" t="s">
        <v>1091</v>
      </c>
      <c r="I12" s="67" t="s">
        <v>132</v>
      </c>
      <c r="J12" s="1061"/>
      <c r="K12" s="67" t="s">
        <v>1090</v>
      </c>
      <c r="L12" s="67" t="s">
        <v>1091</v>
      </c>
      <c r="M12" s="67" t="s">
        <v>132</v>
      </c>
      <c r="N12" s="1051"/>
      <c r="O12" s="54" t="s">
        <v>1092</v>
      </c>
      <c r="P12" s="54" t="s">
        <v>1093</v>
      </c>
    </row>
    <row r="13" spans="1:16">
      <c r="A13" s="15"/>
      <c r="B13" s="832">
        <v>1</v>
      </c>
      <c r="C13" s="832">
        <v>2</v>
      </c>
      <c r="D13" s="832">
        <v>3</v>
      </c>
      <c r="E13" s="832">
        <v>4</v>
      </c>
      <c r="F13" s="832">
        <v>5</v>
      </c>
      <c r="G13" s="832">
        <v>6</v>
      </c>
      <c r="H13" s="832">
        <v>7</v>
      </c>
      <c r="I13" s="832">
        <v>8</v>
      </c>
      <c r="J13" s="832">
        <v>9</v>
      </c>
      <c r="K13" s="832">
        <v>10</v>
      </c>
      <c r="L13" s="832">
        <v>11</v>
      </c>
      <c r="M13" s="832">
        <v>12</v>
      </c>
      <c r="N13" s="832">
        <v>13</v>
      </c>
      <c r="O13" s="832">
        <v>14</v>
      </c>
      <c r="P13" s="833">
        <v>15</v>
      </c>
    </row>
    <row r="14" spans="1:16" ht="39" customHeight="1">
      <c r="A14" s="15"/>
      <c r="B14" s="1048" t="s">
        <v>1094</v>
      </c>
      <c r="C14" s="1049"/>
      <c r="D14" s="1049"/>
      <c r="E14" s="1049"/>
      <c r="F14" s="1049"/>
      <c r="G14" s="1049"/>
      <c r="H14" s="1049"/>
      <c r="I14" s="1049"/>
      <c r="J14" s="1049"/>
      <c r="K14" s="1049"/>
      <c r="L14" s="1049"/>
      <c r="M14" s="1049"/>
      <c r="N14" s="1049"/>
      <c r="O14" s="1049"/>
      <c r="P14" s="1050"/>
    </row>
    <row r="15" spans="1:16" ht="49.95" customHeight="1">
      <c r="A15" s="15"/>
      <c r="B15" s="820" t="s">
        <v>206</v>
      </c>
      <c r="C15" s="299">
        <v>0</v>
      </c>
      <c r="D15" s="299">
        <v>0</v>
      </c>
      <c r="E15" s="299">
        <v>0</v>
      </c>
      <c r="F15" s="299">
        <v>1</v>
      </c>
      <c r="G15" s="299">
        <v>0</v>
      </c>
      <c r="H15" s="299">
        <v>0</v>
      </c>
      <c r="I15" s="299">
        <v>0</v>
      </c>
      <c r="J15" s="299">
        <v>1</v>
      </c>
      <c r="K15" s="821" t="s">
        <v>138</v>
      </c>
      <c r="L15" s="821" t="s">
        <v>28</v>
      </c>
      <c r="M15" s="821" t="s">
        <v>28</v>
      </c>
      <c r="N15" s="821" t="s">
        <v>28</v>
      </c>
      <c r="O15" s="58"/>
      <c r="P15" s="834"/>
    </row>
    <row r="16" spans="1:16" ht="49.95" customHeight="1">
      <c r="A16" s="15"/>
      <c r="B16" s="820"/>
      <c r="C16" s="299"/>
      <c r="D16" s="299"/>
      <c r="E16" s="299"/>
      <c r="F16" s="299"/>
      <c r="G16" s="299"/>
      <c r="H16" s="299"/>
      <c r="I16" s="299"/>
      <c r="J16" s="299"/>
      <c r="K16" s="821"/>
      <c r="L16" s="821"/>
      <c r="M16" s="821"/>
      <c r="N16" s="821"/>
      <c r="O16" s="58"/>
      <c r="P16" s="834"/>
    </row>
    <row r="17" spans="1:16" ht="49.95" customHeight="1">
      <c r="A17" s="15"/>
      <c r="B17" s="820"/>
      <c r="C17" s="299"/>
      <c r="D17" s="299"/>
      <c r="E17" s="299"/>
      <c r="F17" s="299"/>
      <c r="G17" s="299"/>
      <c r="H17" s="299"/>
      <c r="I17" s="299"/>
      <c r="J17" s="299"/>
      <c r="K17" s="821"/>
      <c r="L17" s="821"/>
      <c r="M17" s="821"/>
      <c r="N17" s="821"/>
      <c r="O17" s="58"/>
      <c r="P17" s="834"/>
    </row>
    <row r="18" spans="1:16" ht="49.95" customHeight="1">
      <c r="A18" s="15"/>
      <c r="B18" s="820"/>
      <c r="C18" s="299"/>
      <c r="D18" s="299"/>
      <c r="E18" s="299"/>
      <c r="F18" s="299"/>
      <c r="G18" s="299"/>
      <c r="H18" s="299"/>
      <c r="I18" s="299"/>
      <c r="J18" s="299"/>
      <c r="K18" s="821"/>
      <c r="L18" s="821"/>
      <c r="M18" s="821"/>
      <c r="N18" s="821"/>
      <c r="O18" s="58"/>
      <c r="P18" s="834"/>
    </row>
    <row r="19" spans="1:16" ht="49.95" customHeight="1">
      <c r="A19" s="15"/>
      <c r="B19" s="820"/>
      <c r="C19" s="299"/>
      <c r="D19" s="299"/>
      <c r="E19" s="299"/>
      <c r="F19" s="299"/>
      <c r="G19" s="299"/>
      <c r="H19" s="299"/>
      <c r="I19" s="299"/>
      <c r="J19" s="299"/>
      <c r="K19" s="821"/>
      <c r="L19" s="821"/>
      <c r="M19" s="821"/>
      <c r="N19" s="821"/>
      <c r="O19" s="58"/>
      <c r="P19" s="834"/>
    </row>
    <row r="20" spans="1:16" ht="49.95" customHeight="1">
      <c r="A20" s="15"/>
      <c r="B20" s="136"/>
      <c r="C20" s="136"/>
      <c r="D20" s="136"/>
      <c r="E20" s="136"/>
      <c r="F20" s="136"/>
      <c r="G20" s="136"/>
      <c r="H20" s="136"/>
      <c r="I20" s="136"/>
      <c r="J20" s="136"/>
      <c r="K20" s="136"/>
      <c r="L20" s="136"/>
      <c r="M20" s="136"/>
      <c r="N20" s="136"/>
      <c r="O20" s="187"/>
      <c r="P20" s="89"/>
    </row>
    <row r="21" spans="1:16" ht="49.95" customHeight="1">
      <c r="A21" s="15"/>
      <c r="B21" s="178"/>
      <c r="C21" s="136"/>
      <c r="D21" s="136"/>
      <c r="E21" s="136"/>
      <c r="F21" s="136"/>
      <c r="G21" s="136"/>
      <c r="H21" s="136"/>
      <c r="I21" s="136"/>
      <c r="J21" s="136"/>
      <c r="K21" s="187"/>
      <c r="L21" s="187"/>
      <c r="M21" s="187"/>
      <c r="N21" s="187"/>
      <c r="O21" s="187"/>
      <c r="P21" s="89"/>
    </row>
    <row r="22" spans="1:16" ht="49.95" customHeight="1">
      <c r="A22" s="15"/>
      <c r="B22" s="178"/>
      <c r="C22" s="136"/>
      <c r="D22" s="136"/>
      <c r="E22" s="136"/>
      <c r="F22" s="136"/>
      <c r="G22" s="136"/>
      <c r="H22" s="136"/>
      <c r="I22" s="136"/>
      <c r="J22" s="136"/>
      <c r="K22" s="136"/>
      <c r="L22" s="136"/>
      <c r="M22" s="136"/>
      <c r="N22" s="136"/>
      <c r="O22" s="187"/>
      <c r="P22" s="89"/>
    </row>
    <row r="23" spans="1:16" ht="41.25" customHeight="1">
      <c r="A23" s="15"/>
      <c r="B23" s="1048" t="s">
        <v>1095</v>
      </c>
      <c r="C23" s="1049"/>
      <c r="D23" s="1049"/>
      <c r="E23" s="1049"/>
      <c r="F23" s="1049"/>
      <c r="G23" s="1049"/>
      <c r="H23" s="1049"/>
      <c r="I23" s="1049"/>
      <c r="J23" s="1049"/>
      <c r="K23" s="1049"/>
      <c r="L23" s="1049"/>
      <c r="M23" s="1049"/>
      <c r="N23" s="1049"/>
      <c r="O23" s="1049"/>
      <c r="P23" s="1050"/>
    </row>
    <row r="24" spans="1:16" ht="49.95" customHeight="1">
      <c r="A24" s="15"/>
      <c r="B24" s="178"/>
      <c r="C24" s="136"/>
      <c r="D24" s="136"/>
      <c r="E24" s="136"/>
      <c r="F24" s="136"/>
      <c r="G24" s="136"/>
      <c r="H24" s="136"/>
      <c r="I24" s="136"/>
      <c r="J24" s="136"/>
      <c r="K24" s="136"/>
      <c r="L24" s="136"/>
      <c r="M24" s="136"/>
      <c r="N24" s="136"/>
      <c r="O24" s="187"/>
      <c r="P24" s="89"/>
    </row>
    <row r="25" spans="1:16" ht="49.95" customHeight="1">
      <c r="A25" s="15"/>
      <c r="B25" s="178"/>
      <c r="C25" s="136"/>
      <c r="D25" s="136"/>
      <c r="E25" s="136"/>
      <c r="F25" s="136"/>
      <c r="G25" s="136"/>
      <c r="H25" s="136"/>
      <c r="I25" s="136"/>
      <c r="J25" s="136"/>
      <c r="K25" s="187"/>
      <c r="L25" s="187"/>
      <c r="M25" s="187"/>
      <c r="N25" s="187"/>
      <c r="O25" s="187"/>
      <c r="P25" s="89"/>
    </row>
    <row r="26" spans="1:16" ht="49.95" customHeight="1">
      <c r="A26" s="15"/>
      <c r="B26" s="187"/>
      <c r="C26" s="187"/>
      <c r="D26" s="187"/>
      <c r="E26" s="187"/>
      <c r="F26" s="187"/>
      <c r="G26" s="187"/>
      <c r="H26" s="187"/>
      <c r="I26" s="187"/>
      <c r="J26" s="187"/>
      <c r="K26" s="187"/>
      <c r="L26" s="187"/>
      <c r="M26" s="187"/>
      <c r="N26" s="187"/>
      <c r="O26" s="187"/>
      <c r="P26" s="89"/>
    </row>
    <row r="27" spans="1:16" ht="40.5" customHeight="1">
      <c r="A27" s="15"/>
      <c r="B27" s="1048" t="s">
        <v>1096</v>
      </c>
      <c r="C27" s="1049"/>
      <c r="D27" s="1049"/>
      <c r="E27" s="1049"/>
      <c r="F27" s="1049"/>
      <c r="G27" s="1049"/>
      <c r="H27" s="1049"/>
      <c r="I27" s="1049"/>
      <c r="J27" s="1049"/>
      <c r="K27" s="1049"/>
      <c r="L27" s="1049"/>
      <c r="M27" s="1049"/>
      <c r="N27" s="1049"/>
      <c r="O27" s="1049"/>
      <c r="P27" s="1050"/>
    </row>
    <row r="28" spans="1:16" ht="49.95" customHeight="1">
      <c r="A28" s="15"/>
      <c r="B28" s="187"/>
      <c r="C28" s="187"/>
      <c r="D28" s="187"/>
      <c r="E28" s="187"/>
      <c r="F28" s="187"/>
      <c r="G28" s="187"/>
      <c r="H28" s="187"/>
      <c r="I28" s="187"/>
      <c r="J28" s="187"/>
      <c r="K28" s="187"/>
      <c r="L28" s="187"/>
      <c r="M28" s="187"/>
      <c r="N28" s="187"/>
      <c r="O28" s="187"/>
      <c r="P28" s="89"/>
    </row>
    <row r="29" spans="1:16" ht="49.95" customHeight="1">
      <c r="A29" s="15"/>
      <c r="B29" s="187"/>
      <c r="C29" s="187"/>
      <c r="D29" s="187"/>
      <c r="E29" s="187"/>
      <c r="F29" s="187"/>
      <c r="G29" s="187"/>
      <c r="H29" s="187"/>
      <c r="I29" s="187"/>
      <c r="J29" s="187"/>
      <c r="K29" s="187"/>
      <c r="L29" s="187"/>
      <c r="M29" s="187"/>
      <c r="N29" s="187"/>
      <c r="O29" s="187"/>
      <c r="P29" s="89"/>
    </row>
    <row r="30" spans="1:16" ht="49.95" customHeight="1">
      <c r="A30" s="15"/>
      <c r="B30" s="187"/>
      <c r="C30" s="187"/>
      <c r="D30" s="187"/>
      <c r="E30" s="187"/>
      <c r="F30" s="187"/>
      <c r="G30" s="187"/>
      <c r="H30" s="187"/>
      <c r="I30" s="187"/>
      <c r="J30" s="187"/>
      <c r="K30" s="187"/>
      <c r="L30" s="187"/>
      <c r="M30" s="187"/>
      <c r="N30" s="187"/>
      <c r="O30" s="187"/>
      <c r="P30" s="89"/>
    </row>
    <row r="31" spans="1:16" ht="49.95" customHeight="1">
      <c r="A31" s="15"/>
      <c r="B31" s="187"/>
      <c r="C31" s="187"/>
      <c r="D31" s="187"/>
      <c r="E31" s="187"/>
      <c r="F31" s="187"/>
      <c r="G31" s="187"/>
      <c r="H31" s="187"/>
      <c r="I31" s="187"/>
      <c r="J31" s="187"/>
      <c r="K31" s="187"/>
      <c r="L31" s="187"/>
      <c r="M31" s="187"/>
      <c r="N31" s="187"/>
      <c r="O31" s="187"/>
      <c r="P31" s="89"/>
    </row>
    <row r="32" spans="1:16">
      <c r="A32" s="15"/>
      <c r="B32" s="822"/>
      <c r="C32" s="822"/>
      <c r="D32" s="822"/>
      <c r="E32" s="822"/>
      <c r="F32" s="822"/>
      <c r="G32" s="822"/>
      <c r="H32" s="822"/>
      <c r="I32" s="822"/>
      <c r="J32" s="822"/>
      <c r="K32" s="822"/>
      <c r="L32" s="822"/>
      <c r="M32" s="822"/>
      <c r="N32" s="822"/>
      <c r="O32" s="822"/>
      <c r="P32" s="16"/>
    </row>
    <row r="33" spans="1:16">
      <c r="A33" s="15"/>
      <c r="B33" s="822"/>
      <c r="C33" s="822"/>
      <c r="D33" s="822"/>
      <c r="E33" s="822"/>
      <c r="F33" s="822"/>
      <c r="G33" s="822"/>
      <c r="H33" s="822"/>
      <c r="I33" s="822"/>
      <c r="J33" s="822"/>
      <c r="K33" s="822"/>
      <c r="L33" s="822"/>
      <c r="M33" s="822"/>
      <c r="N33" s="822"/>
      <c r="O33" s="822"/>
      <c r="P33" s="16"/>
    </row>
    <row r="34" spans="1:16">
      <c r="A34" s="15"/>
      <c r="B34" s="822"/>
      <c r="C34" s="822"/>
      <c r="D34" s="822"/>
      <c r="E34" s="822"/>
      <c r="F34" s="822"/>
      <c r="G34" s="822"/>
      <c r="H34" s="822"/>
      <c r="I34" s="822"/>
      <c r="J34" s="822"/>
      <c r="K34" s="822"/>
      <c r="L34" s="822"/>
      <c r="M34" s="822"/>
      <c r="N34" s="822"/>
      <c r="O34" s="822"/>
      <c r="P34" s="16"/>
    </row>
    <row r="35" spans="1:16" ht="15" thickBot="1">
      <c r="A35" s="27"/>
      <c r="B35" s="25"/>
      <c r="C35" s="25"/>
      <c r="D35" s="25"/>
      <c r="E35" s="25"/>
      <c r="F35" s="25"/>
      <c r="G35" s="25"/>
      <c r="H35" s="25"/>
      <c r="I35" s="25"/>
      <c r="J35" s="25"/>
      <c r="K35" s="25"/>
      <c r="L35" s="25"/>
      <c r="M35" s="25"/>
      <c r="N35" s="25"/>
      <c r="O35" s="25"/>
      <c r="P35" s="26"/>
    </row>
    <row r="36" spans="1:16">
      <c r="A36" s="822"/>
      <c r="B36" s="822"/>
      <c r="C36" s="822"/>
      <c r="D36" s="822"/>
      <c r="E36" s="822"/>
      <c r="F36" s="822"/>
      <c r="G36" s="822"/>
      <c r="H36" s="822"/>
      <c r="I36" s="822"/>
      <c r="J36" s="822"/>
      <c r="K36" s="822"/>
      <c r="L36" s="822"/>
      <c r="M36" s="822"/>
      <c r="N36" s="822"/>
      <c r="O36" s="822"/>
      <c r="P36" s="822"/>
    </row>
    <row r="37" spans="1:16">
      <c r="A37" s="822"/>
      <c r="B37" s="822"/>
      <c r="C37" s="822"/>
      <c r="D37" s="822"/>
      <c r="E37" s="822"/>
      <c r="F37" s="822"/>
      <c r="G37" s="822"/>
      <c r="H37" s="822"/>
      <c r="I37" s="822"/>
      <c r="J37" s="822"/>
      <c r="K37" s="822"/>
      <c r="L37" s="822"/>
      <c r="M37" s="822"/>
      <c r="N37" s="822"/>
      <c r="O37" s="822"/>
      <c r="P37" s="822"/>
    </row>
    <row r="38" spans="1:16">
      <c r="A38" s="822"/>
      <c r="B38" s="822"/>
      <c r="C38" s="822"/>
      <c r="D38" s="822"/>
      <c r="E38" s="822"/>
      <c r="F38" s="822"/>
      <c r="G38" s="822"/>
      <c r="H38" s="822"/>
      <c r="I38" s="822"/>
      <c r="J38" s="822"/>
      <c r="K38" s="822"/>
      <c r="L38" s="822"/>
      <c r="M38" s="822"/>
      <c r="N38" s="822"/>
      <c r="O38" s="822"/>
      <c r="P38" s="822"/>
    </row>
    <row r="39" spans="1:16">
      <c r="A39" s="822"/>
      <c r="B39" s="822"/>
      <c r="C39" s="822"/>
      <c r="D39" s="822"/>
      <c r="E39" s="822"/>
      <c r="F39" s="822"/>
      <c r="G39" s="822"/>
      <c r="H39" s="822"/>
      <c r="I39" s="822"/>
      <c r="J39" s="822"/>
      <c r="K39" s="822"/>
      <c r="L39" s="822"/>
      <c r="M39" s="822"/>
      <c r="N39" s="822"/>
      <c r="O39" s="822"/>
      <c r="P39" s="822"/>
    </row>
    <row r="40" spans="1:16">
      <c r="A40" s="822"/>
      <c r="B40" s="822"/>
      <c r="C40" s="822"/>
      <c r="D40" s="822"/>
      <c r="E40" s="822"/>
      <c r="F40" s="822"/>
      <c r="G40" s="822"/>
      <c r="H40" s="822"/>
      <c r="I40" s="822"/>
      <c r="J40" s="822"/>
      <c r="K40" s="822"/>
      <c r="L40" s="822"/>
      <c r="M40" s="822"/>
      <c r="N40" s="822"/>
      <c r="O40" s="822"/>
      <c r="P40" s="822"/>
    </row>
    <row r="41" spans="1:16">
      <c r="A41" s="822"/>
      <c r="B41" s="822"/>
      <c r="C41" s="822"/>
      <c r="D41" s="822"/>
      <c r="E41" s="822"/>
      <c r="F41" s="822"/>
      <c r="G41" s="822"/>
      <c r="H41" s="822"/>
      <c r="I41" s="822"/>
      <c r="J41" s="822"/>
      <c r="K41" s="822"/>
      <c r="L41" s="822"/>
      <c r="M41" s="822"/>
      <c r="N41" s="822"/>
      <c r="O41" s="822"/>
      <c r="P41" s="822"/>
    </row>
    <row r="42" spans="1:16">
      <c r="A42" s="822"/>
      <c r="B42" s="822"/>
      <c r="C42" s="822"/>
      <c r="D42" s="822"/>
      <c r="E42" s="822"/>
      <c r="F42" s="822"/>
      <c r="G42" s="822"/>
      <c r="H42" s="822"/>
      <c r="I42" s="822"/>
      <c r="J42" s="822"/>
      <c r="K42" s="822"/>
      <c r="L42" s="822"/>
      <c r="M42" s="822"/>
      <c r="N42" s="822"/>
      <c r="O42" s="822"/>
      <c r="P42" s="822"/>
    </row>
    <row r="43" spans="1:16">
      <c r="A43" s="822"/>
      <c r="B43" s="822"/>
      <c r="C43" s="822"/>
      <c r="D43" s="822"/>
      <c r="E43" s="822"/>
      <c r="F43" s="822"/>
      <c r="G43" s="822"/>
      <c r="H43" s="822"/>
      <c r="I43" s="822"/>
      <c r="J43" s="822"/>
      <c r="K43" s="822"/>
      <c r="L43" s="822"/>
      <c r="M43" s="822"/>
      <c r="N43" s="822"/>
      <c r="O43" s="822"/>
      <c r="P43" s="822"/>
    </row>
    <row r="44" spans="1:16">
      <c r="A44" s="822"/>
      <c r="B44" s="822"/>
      <c r="C44" s="822"/>
      <c r="D44" s="822"/>
      <c r="E44" s="822"/>
      <c r="F44" s="822"/>
      <c r="G44" s="822"/>
      <c r="H44" s="822"/>
      <c r="I44" s="822"/>
      <c r="J44" s="822"/>
      <c r="K44" s="822"/>
      <c r="L44" s="822"/>
      <c r="M44" s="822"/>
      <c r="N44" s="822"/>
      <c r="O44" s="822"/>
      <c r="P44" s="822"/>
    </row>
    <row r="45" spans="1:16">
      <c r="A45" s="822"/>
      <c r="B45" s="822"/>
      <c r="C45" s="822"/>
      <c r="D45" s="822"/>
      <c r="E45" s="822"/>
      <c r="F45" s="822"/>
      <c r="G45" s="822"/>
      <c r="H45" s="822"/>
      <c r="I45" s="822"/>
      <c r="J45" s="822"/>
      <c r="K45" s="822"/>
      <c r="L45" s="822"/>
      <c r="M45" s="822"/>
      <c r="N45" s="822"/>
      <c r="O45" s="822"/>
      <c r="P45" s="822"/>
    </row>
    <row r="46" spans="1:16">
      <c r="A46" s="822"/>
      <c r="B46" s="822"/>
      <c r="C46" s="822"/>
      <c r="D46" s="822"/>
      <c r="E46" s="822"/>
      <c r="F46" s="822"/>
      <c r="G46" s="822"/>
      <c r="H46" s="822"/>
      <c r="I46" s="822"/>
      <c r="J46" s="822"/>
      <c r="K46" s="822"/>
      <c r="L46" s="822"/>
      <c r="M46" s="822"/>
      <c r="N46" s="822"/>
      <c r="O46" s="822"/>
      <c r="P46" s="822"/>
    </row>
    <row r="47" spans="1:16">
      <c r="A47" s="822"/>
      <c r="B47" s="822"/>
      <c r="C47" s="822"/>
      <c r="D47" s="822"/>
      <c r="E47" s="822"/>
      <c r="F47" s="822"/>
      <c r="G47" s="822"/>
      <c r="H47" s="822"/>
      <c r="I47" s="822"/>
      <c r="J47" s="822"/>
      <c r="K47" s="822"/>
      <c r="L47" s="822"/>
      <c r="M47" s="822"/>
      <c r="N47" s="822"/>
      <c r="O47" s="822"/>
      <c r="P47" s="822"/>
    </row>
    <row r="48" spans="1:16">
      <c r="A48" s="822"/>
      <c r="B48" s="822"/>
      <c r="C48" s="822"/>
      <c r="D48" s="822"/>
      <c r="E48" s="822"/>
      <c r="F48" s="822"/>
      <c r="G48" s="822"/>
      <c r="H48" s="822"/>
      <c r="I48" s="822"/>
      <c r="J48" s="822"/>
      <c r="K48" s="822"/>
      <c r="L48" s="822"/>
      <c r="M48" s="822"/>
      <c r="N48" s="822"/>
      <c r="O48" s="822"/>
      <c r="P48" s="822"/>
    </row>
  </sheetData>
  <protectedRanges>
    <protectedRange password="CA4D" sqref="E5:E6 B4:D6" name="Range1_2"/>
    <protectedRange password="CA4D" sqref="J4:P6 I5 H4:I4 F5:G6 H6:I6" name="Range1_4"/>
    <protectedRange password="CA4D" sqref="F9 I8 J7:P10 H7:I7 G7:G10 F7 H9:I10" name="Range1_5"/>
    <protectedRange password="CA4D" sqref="B7:E10" name="Range1_6"/>
  </protectedRanges>
  <mergeCells count="13">
    <mergeCell ref="B14:P14"/>
    <mergeCell ref="B23:P23"/>
    <mergeCell ref="B27:P27"/>
    <mergeCell ref="B11:B12"/>
    <mergeCell ref="B1:P2"/>
    <mergeCell ref="B3:P3"/>
    <mergeCell ref="C11:E11"/>
    <mergeCell ref="F11:F12"/>
    <mergeCell ref="G11:I11"/>
    <mergeCell ref="J11:J12"/>
    <mergeCell ref="K11:M11"/>
    <mergeCell ref="N11:N12"/>
    <mergeCell ref="O11:P11"/>
  </mergeCells>
  <pageMargins left="0.7" right="0.7" top="0.75" bottom="0.75" header="0.3" footer="0.3"/>
  <pageSetup scale="55" orientation="portrait" horizontalDpi="300" verticalDpi="300" r:id="rId1"/>
</worksheet>
</file>

<file path=xl/worksheets/sheet8.xml><?xml version="1.0" encoding="utf-8"?>
<worksheet xmlns="http://schemas.openxmlformats.org/spreadsheetml/2006/main" xmlns:r="http://schemas.openxmlformats.org/officeDocument/2006/relationships">
  <dimension ref="A1:JC64"/>
  <sheetViews>
    <sheetView view="pageBreakPreview" topLeftCell="A43" zoomScaleSheetLayoutView="100" workbookViewId="0">
      <selection activeCell="D25" sqref="D25"/>
    </sheetView>
  </sheetViews>
  <sheetFormatPr defaultRowHeight="15.6"/>
  <cols>
    <col min="1" max="1" width="9.6640625" style="7" customWidth="1"/>
    <col min="2" max="2" width="30.44140625" customWidth="1"/>
    <col min="3" max="3" width="11.5546875" customWidth="1"/>
    <col min="4" max="4" width="19.6640625" customWidth="1"/>
    <col min="5" max="5" width="8.33203125" customWidth="1"/>
    <col min="6" max="6" width="13" customWidth="1"/>
    <col min="7" max="7" width="11" style="1" customWidth="1"/>
    <col min="8" max="8" width="10.44140625" customWidth="1"/>
    <col min="9" max="9" width="11" customWidth="1"/>
    <col min="10" max="10" width="9.33203125" customWidth="1"/>
    <col min="11" max="11" width="10.109375" customWidth="1"/>
    <col min="12" max="12" width="8.6640625" customWidth="1"/>
    <col min="13" max="13" width="9.33203125" customWidth="1"/>
    <col min="14" max="14" width="17.44140625" customWidth="1"/>
    <col min="15" max="15" width="12.6640625" customWidth="1"/>
    <col min="16" max="16" width="7.5546875" style="7" customWidth="1"/>
    <col min="17" max="17" width="9.109375" style="7" customWidth="1"/>
    <col min="18" max="18" width="7.33203125" style="7" customWidth="1"/>
    <col min="19" max="19" width="8.6640625" style="7" customWidth="1"/>
    <col min="20" max="20" width="10.33203125" style="7" customWidth="1"/>
    <col min="21" max="21" width="12" style="7" customWidth="1"/>
    <col min="22" max="22" width="11.109375" customWidth="1"/>
    <col min="23" max="23" width="11.5546875" bestFit="1" customWidth="1"/>
    <col min="24" max="24" width="13.44140625" customWidth="1"/>
    <col min="25" max="25" width="21" customWidth="1"/>
    <col min="26" max="26" width="14.109375" customWidth="1"/>
  </cols>
  <sheetData>
    <row r="1" spans="1:30" ht="47.4" customHeight="1">
      <c r="A1" s="1076" t="s">
        <v>1074</v>
      </c>
      <c r="B1" s="961"/>
      <c r="C1" s="961"/>
      <c r="D1" s="961"/>
      <c r="E1" s="961"/>
      <c r="F1" s="961"/>
      <c r="G1" s="961"/>
      <c r="H1" s="961"/>
      <c r="I1" s="961"/>
      <c r="J1" s="961"/>
      <c r="K1" s="961"/>
      <c r="L1" s="961"/>
      <c r="M1" s="961"/>
      <c r="N1" s="961"/>
      <c r="O1" s="961"/>
      <c r="P1" s="961"/>
      <c r="Q1" s="961"/>
      <c r="R1" s="961"/>
      <c r="S1" s="961"/>
      <c r="T1" s="961"/>
      <c r="U1" s="961"/>
      <c r="V1" s="961"/>
      <c r="W1" s="961"/>
      <c r="X1" s="961"/>
      <c r="Y1" s="961"/>
      <c r="Z1" s="962"/>
    </row>
    <row r="2" spans="1:30">
      <c r="A2" s="195"/>
      <c r="B2" s="114"/>
      <c r="C2" s="114"/>
      <c r="D2" s="114"/>
      <c r="E2" s="114"/>
      <c r="F2" s="114"/>
      <c r="G2" s="162"/>
      <c r="H2" s="114"/>
      <c r="I2" s="114"/>
      <c r="J2" s="114"/>
      <c r="K2" s="114"/>
      <c r="L2" s="114"/>
      <c r="M2" s="114"/>
      <c r="N2" s="114"/>
      <c r="O2" s="114"/>
      <c r="P2" s="325"/>
      <c r="Q2" s="325"/>
      <c r="R2" s="325"/>
      <c r="S2" s="325"/>
      <c r="T2" s="325"/>
      <c r="U2" s="325"/>
      <c r="V2" s="114"/>
      <c r="W2" s="114"/>
      <c r="X2" s="114"/>
      <c r="Y2" s="114"/>
      <c r="Z2" s="16"/>
    </row>
    <row r="3" spans="1:30" ht="41.4" customHeight="1">
      <c r="A3" s="911" t="s">
        <v>0</v>
      </c>
      <c r="B3" s="912"/>
      <c r="C3" s="1030"/>
      <c r="D3" s="221" t="str">
        <f>Master!F5</f>
        <v>GROTECH LANDSCAPE DEVELOPERS PVT. LTD.</v>
      </c>
      <c r="E3" s="153"/>
      <c r="F3" s="153"/>
      <c r="G3" s="154"/>
      <c r="H3" s="201"/>
      <c r="I3" s="235"/>
      <c r="J3" s="153"/>
      <c r="K3" s="153"/>
      <c r="L3" s="153"/>
      <c r="M3" s="153"/>
      <c r="N3" s="201"/>
      <c r="O3" s="598" t="s">
        <v>1</v>
      </c>
      <c r="P3" s="205"/>
      <c r="Q3" s="205"/>
      <c r="R3" s="205"/>
      <c r="S3" s="205"/>
      <c r="T3" s="583"/>
      <c r="U3" s="146" t="str">
        <f>Master!AN5</f>
        <v>GROTECH LANDSCAPE DEVELOPERS PVT. LTD.</v>
      </c>
      <c r="V3" s="74"/>
      <c r="W3" s="74"/>
      <c r="X3" s="74"/>
      <c r="Y3" s="74"/>
      <c r="Z3" s="384"/>
      <c r="AA3" s="3"/>
      <c r="AB3" s="3"/>
      <c r="AC3" s="3"/>
      <c r="AD3" s="3"/>
    </row>
    <row r="4" spans="1:30" ht="20.399999999999999" customHeight="1">
      <c r="A4" s="226"/>
      <c r="B4" s="153"/>
      <c r="C4" s="201"/>
      <c r="D4" s="596" t="str">
        <f>Master!F6</f>
        <v>290/E, Khanapur Village, Gandipet Mandal, Ranga Reddy, Hyderabad-500075 T.S.</v>
      </c>
      <c r="E4" s="153"/>
      <c r="F4" s="153"/>
      <c r="G4" s="154"/>
      <c r="H4" s="201"/>
      <c r="I4" s="235"/>
      <c r="J4" s="153"/>
      <c r="K4" s="584"/>
      <c r="L4" s="584"/>
      <c r="M4" s="584"/>
      <c r="N4" s="585"/>
      <c r="O4" s="216"/>
      <c r="P4" s="583"/>
      <c r="Q4" s="583"/>
      <c r="R4" s="583"/>
      <c r="S4" s="153"/>
      <c r="T4" s="583"/>
      <c r="U4" s="597" t="str">
        <f>Master!AN6</f>
        <v>290/E, Khanapur Village, Gandipet Mandal, Ranga Reddy, Hyderabad-500075 T.S.</v>
      </c>
      <c r="V4" s="401"/>
      <c r="W4" s="401"/>
      <c r="X4" s="401"/>
      <c r="Y4" s="401"/>
      <c r="Z4" s="403"/>
      <c r="AA4" s="8"/>
      <c r="AB4" s="8"/>
      <c r="AC4" s="8"/>
      <c r="AD4" s="8"/>
    </row>
    <row r="5" spans="1:30">
      <c r="A5" s="911" t="s">
        <v>2</v>
      </c>
      <c r="B5" s="912"/>
      <c r="C5" s="1030"/>
      <c r="D5" s="147" t="str">
        <f>Master!F8</f>
        <v>GARDENING SERVICES&amp;ISB HYDERABAD</v>
      </c>
      <c r="E5" s="153"/>
      <c r="F5" s="153"/>
      <c r="G5" s="154"/>
      <c r="H5" s="201"/>
      <c r="I5" s="235"/>
      <c r="J5" s="153"/>
      <c r="K5" s="584"/>
      <c r="L5" s="584"/>
      <c r="M5" s="584"/>
      <c r="N5" s="585"/>
      <c r="O5" s="216"/>
      <c r="P5" s="583"/>
      <c r="Q5" s="583"/>
      <c r="R5" s="218"/>
      <c r="S5" s="218"/>
      <c r="T5" s="218"/>
      <c r="U5" s="223"/>
      <c r="V5" s="218"/>
      <c r="W5" s="218"/>
      <c r="X5" s="218"/>
      <c r="Y5" s="218"/>
      <c r="Z5" s="404"/>
      <c r="AA5" s="9"/>
      <c r="AB5" s="9"/>
      <c r="AC5" s="9"/>
      <c r="AD5" s="9"/>
    </row>
    <row r="6" spans="1:30">
      <c r="A6" s="150"/>
      <c r="B6" s="114"/>
      <c r="C6" s="114"/>
      <c r="D6" s="114"/>
      <c r="E6" s="114"/>
      <c r="F6" s="114"/>
      <c r="G6" s="162"/>
      <c r="H6" s="114"/>
      <c r="I6" s="114"/>
      <c r="J6" s="114"/>
      <c r="K6" s="586"/>
      <c r="L6" s="586"/>
      <c r="M6" s="586"/>
      <c r="N6" s="586"/>
      <c r="O6" s="586"/>
      <c r="P6" s="325"/>
      <c r="Q6" s="325"/>
      <c r="R6" s="1077"/>
      <c r="S6" s="1077"/>
      <c r="T6" s="1077"/>
      <c r="U6" s="1077"/>
      <c r="V6" s="1077"/>
      <c r="W6" s="1077"/>
      <c r="X6" s="1077"/>
      <c r="Y6" s="1077"/>
      <c r="Z6" s="1078"/>
    </row>
    <row r="7" spans="1:30" ht="15" customHeight="1">
      <c r="A7" s="1079" t="s">
        <v>3</v>
      </c>
      <c r="B7" s="1080"/>
      <c r="C7" s="1081"/>
      <c r="D7" s="1085">
        <f>Master!F10</f>
        <v>44652</v>
      </c>
      <c r="E7" s="1086"/>
      <c r="F7" s="1086"/>
      <c r="G7" s="1086"/>
      <c r="H7" s="1087"/>
      <c r="I7" s="76"/>
      <c r="J7" s="77"/>
      <c r="K7" s="214"/>
      <c r="L7" s="214"/>
      <c r="M7" s="214"/>
      <c r="N7" s="215"/>
      <c r="O7" s="599" t="s">
        <v>4</v>
      </c>
      <c r="P7" s="444"/>
      <c r="Q7" s="444"/>
      <c r="R7" s="444"/>
      <c r="S7" s="444"/>
      <c r="T7" s="600"/>
      <c r="U7" s="159" t="str">
        <f>Master!AN10</f>
        <v>INDIAN SCHOOL OF BUSINESS</v>
      </c>
      <c r="V7" s="74"/>
      <c r="W7" s="74"/>
      <c r="X7" s="74"/>
      <c r="Y7" s="402"/>
      <c r="Z7" s="405"/>
      <c r="AA7" s="3"/>
      <c r="AB7" s="3"/>
    </row>
    <row r="8" spans="1:30" ht="17.399999999999999" customHeight="1">
      <c r="A8" s="1082"/>
      <c r="B8" s="1083"/>
      <c r="C8" s="1084"/>
      <c r="D8" s="1088"/>
      <c r="E8" s="1089"/>
      <c r="F8" s="1089"/>
      <c r="G8" s="1089"/>
      <c r="H8" s="1090"/>
      <c r="I8" s="60"/>
      <c r="J8" s="19"/>
      <c r="K8" s="19"/>
      <c r="L8" s="19"/>
      <c r="M8" s="19"/>
      <c r="N8" s="61"/>
      <c r="O8" s="601"/>
      <c r="P8" s="602"/>
      <c r="Q8" s="602"/>
      <c r="R8" s="602"/>
      <c r="S8" s="602"/>
      <c r="T8" s="603"/>
      <c r="U8" s="161" t="str">
        <f>Master!AN11</f>
        <v>Opp.Infosys Limited,Gachibowli,Hyderabad</v>
      </c>
      <c r="V8" s="224"/>
      <c r="W8" s="224"/>
      <c r="X8" s="224"/>
      <c r="Y8" s="224"/>
      <c r="Z8" s="406"/>
      <c r="AA8" s="8"/>
      <c r="AB8" s="8"/>
    </row>
    <row r="9" spans="1:30" ht="16.2" thickBot="1">
      <c r="A9" s="195"/>
      <c r="B9" s="114"/>
      <c r="C9" s="114"/>
      <c r="D9" s="114"/>
      <c r="E9" s="114"/>
      <c r="F9" s="114"/>
      <c r="G9" s="162"/>
      <c r="H9" s="114"/>
      <c r="I9" s="114"/>
      <c r="J9" s="114"/>
      <c r="K9" s="114"/>
      <c r="L9" s="114"/>
      <c r="M9" s="114"/>
      <c r="N9" s="114"/>
      <c r="O9" s="114"/>
      <c r="P9" s="325"/>
      <c r="Q9" s="325"/>
      <c r="R9" s="325"/>
      <c r="S9" s="325"/>
      <c r="T9" s="325"/>
      <c r="U9" s="325"/>
      <c r="V9" s="114"/>
      <c r="W9" s="114"/>
      <c r="X9" s="114"/>
      <c r="Y9" s="114"/>
      <c r="Z9" s="16"/>
    </row>
    <row r="10" spans="1:30" s="11" customFormat="1" ht="47.25" customHeight="1">
      <c r="A10" s="1073" t="s">
        <v>5</v>
      </c>
      <c r="B10" s="1065" t="s">
        <v>6</v>
      </c>
      <c r="C10" s="1065" t="s">
        <v>7</v>
      </c>
      <c r="D10" s="1065" t="s">
        <v>8</v>
      </c>
      <c r="E10" s="1065" t="s">
        <v>9</v>
      </c>
      <c r="F10" s="1065" t="s">
        <v>10</v>
      </c>
      <c r="G10" s="1063" t="s">
        <v>180</v>
      </c>
      <c r="H10" s="1065" t="s">
        <v>11</v>
      </c>
      <c r="I10" s="1065" t="s">
        <v>12</v>
      </c>
      <c r="J10" s="1065" t="s">
        <v>13</v>
      </c>
      <c r="K10" s="1070" t="s">
        <v>743</v>
      </c>
      <c r="L10" s="1071"/>
      <c r="M10" s="1071"/>
      <c r="N10" s="1072"/>
      <c r="O10" s="1065" t="s">
        <v>16</v>
      </c>
      <c r="P10" s="1067" t="s">
        <v>17</v>
      </c>
      <c r="Q10" s="1068"/>
      <c r="R10" s="1068"/>
      <c r="S10" s="1068"/>
      <c r="T10" s="1068"/>
      <c r="U10" s="1069"/>
      <c r="V10" s="1065" t="s">
        <v>18</v>
      </c>
      <c r="W10" s="1065" t="s">
        <v>19</v>
      </c>
      <c r="X10" s="1065" t="s">
        <v>20</v>
      </c>
      <c r="Y10" s="1065" t="s">
        <v>21</v>
      </c>
      <c r="Z10" s="1062" t="s">
        <v>22</v>
      </c>
    </row>
    <row r="11" spans="1:30" ht="31.2" customHeight="1">
      <c r="A11" s="1074"/>
      <c r="B11" s="1075"/>
      <c r="C11" s="1066"/>
      <c r="D11" s="1066"/>
      <c r="E11" s="1066"/>
      <c r="F11" s="1066"/>
      <c r="G11" s="1064"/>
      <c r="H11" s="1066"/>
      <c r="I11" s="1066"/>
      <c r="J11" s="1066"/>
      <c r="K11" s="447" t="s">
        <v>14</v>
      </c>
      <c r="L11" s="447" t="s">
        <v>685</v>
      </c>
      <c r="M11" s="447" t="s">
        <v>573</v>
      </c>
      <c r="N11" s="447" t="s">
        <v>15</v>
      </c>
      <c r="O11" s="1066"/>
      <c r="P11" s="227" t="s">
        <v>23</v>
      </c>
      <c r="Q11" s="227" t="s">
        <v>24</v>
      </c>
      <c r="R11" s="227" t="s">
        <v>25</v>
      </c>
      <c r="S11" s="227" t="s">
        <v>26</v>
      </c>
      <c r="T11" s="228" t="s">
        <v>686</v>
      </c>
      <c r="U11" s="228" t="s">
        <v>27</v>
      </c>
      <c r="V11" s="1066"/>
      <c r="W11" s="1066"/>
      <c r="X11" s="1066"/>
      <c r="Y11" s="1066"/>
      <c r="Z11" s="903"/>
    </row>
    <row r="12" spans="1:30" ht="27.45" customHeight="1">
      <c r="A12" s="590">
        <v>1</v>
      </c>
      <c r="B12" s="151" t="str">
        <f>Master!D15</f>
        <v>ARJUN KUMAR</v>
      </c>
      <c r="C12" s="229">
        <f>Master!C15</f>
        <v>2</v>
      </c>
      <c r="D12" s="152" t="str">
        <f>Master!J15</f>
        <v>Supervisor</v>
      </c>
      <c r="E12" s="230">
        <f>Master!AA15</f>
        <v>30</v>
      </c>
      <c r="F12" s="231" t="s">
        <v>28</v>
      </c>
      <c r="G12" s="140">
        <f>Master!AC15</f>
        <v>20000</v>
      </c>
      <c r="H12" s="225">
        <f>Master!AD15</f>
        <v>20000</v>
      </c>
      <c r="I12" s="143">
        <f>Master!AE15</f>
        <v>0</v>
      </c>
      <c r="J12" s="143">
        <f>Master!AB15</f>
        <v>0</v>
      </c>
      <c r="K12" s="144">
        <f>Master!AG15</f>
        <v>0</v>
      </c>
      <c r="L12" s="144">
        <f>Master!AH15</f>
        <v>0</v>
      </c>
      <c r="M12" s="144">
        <f>Master!AI15</f>
        <v>0</v>
      </c>
      <c r="N12" s="144">
        <f>Master!AJ15</f>
        <v>0</v>
      </c>
      <c r="O12" s="144">
        <f>H12+I12+J12+K12+L12+M12+N12</f>
        <v>20000</v>
      </c>
      <c r="P12" s="225">
        <f>Master!AL15</f>
        <v>150</v>
      </c>
      <c r="Q12" s="144">
        <f>Master!AM15</f>
        <v>0</v>
      </c>
      <c r="R12" s="144">
        <f>Master!AN15</f>
        <v>150</v>
      </c>
      <c r="S12" s="144">
        <f>Master!AO15</f>
        <v>0</v>
      </c>
      <c r="T12" s="144">
        <f>Master!AP15</f>
        <v>0</v>
      </c>
      <c r="U12" s="144">
        <f>Master!AQ15</f>
        <v>300</v>
      </c>
      <c r="V12" s="144">
        <f>O12-U12</f>
        <v>19700</v>
      </c>
      <c r="W12" s="137" t="str">
        <f>Master!AS15</f>
        <v>7th May 2020</v>
      </c>
      <c r="X12" s="137" t="str">
        <f>Master!AT15</f>
        <v>KKBK0000205</v>
      </c>
      <c r="Y12" s="232">
        <f>Master!AU15</f>
        <v>6912137285</v>
      </c>
      <c r="Z12" s="591"/>
    </row>
    <row r="13" spans="1:30" ht="27.45" customHeight="1">
      <c r="A13" s="590">
        <v>2</v>
      </c>
      <c r="B13" s="151" t="str">
        <f>Master!D16</f>
        <v>GAJAN SINGH</v>
      </c>
      <c r="C13" s="229">
        <f>Master!C16</f>
        <v>3</v>
      </c>
      <c r="D13" s="152" t="str">
        <f>Master!J16</f>
        <v>Supervisor</v>
      </c>
      <c r="E13" s="230">
        <f>Master!AA16</f>
        <v>30</v>
      </c>
      <c r="F13" s="231" t="s">
        <v>28</v>
      </c>
      <c r="G13" s="140">
        <f>Master!AC16</f>
        <v>14900</v>
      </c>
      <c r="H13" s="225">
        <f>Master!AD16</f>
        <v>11900</v>
      </c>
      <c r="I13" s="143">
        <f>Master!AE16</f>
        <v>0</v>
      </c>
      <c r="J13" s="143">
        <f>Master!AB16</f>
        <v>0</v>
      </c>
      <c r="K13" s="144">
        <f>Master!AG16</f>
        <v>0</v>
      </c>
      <c r="L13" s="144">
        <f>Master!AH16</f>
        <v>0</v>
      </c>
      <c r="M13" s="144">
        <f>Master!AI16</f>
        <v>0</v>
      </c>
      <c r="N13" s="144">
        <f>Master!AJ16</f>
        <v>3000</v>
      </c>
      <c r="O13" s="144">
        <f t="shared" ref="O13:O61" si="0">H13+I13+J13+K13+L13+M13+N13</f>
        <v>14900</v>
      </c>
      <c r="P13" s="225">
        <f>Master!AL16</f>
        <v>112</v>
      </c>
      <c r="Q13" s="144">
        <f>Master!AM16</f>
        <v>1788</v>
      </c>
      <c r="R13" s="144">
        <f>Master!AN16</f>
        <v>0</v>
      </c>
      <c r="S13" s="144">
        <f>Master!AO16</f>
        <v>0</v>
      </c>
      <c r="T13" s="144">
        <f>Master!AP16</f>
        <v>0</v>
      </c>
      <c r="U13" s="144">
        <f>Master!AQ16</f>
        <v>1900</v>
      </c>
      <c r="V13" s="144">
        <f t="shared" ref="V13:V61" si="1">O13-U13</f>
        <v>13000</v>
      </c>
      <c r="W13" s="137" t="str">
        <f>Master!AS16</f>
        <v>7th May 2020</v>
      </c>
      <c r="X13" s="137" t="str">
        <f>Master!AT16</f>
        <v>KKBK0000205</v>
      </c>
      <c r="Y13" s="232">
        <f>Master!AU16</f>
        <v>7513074030</v>
      </c>
      <c r="Z13" s="591"/>
    </row>
    <row r="14" spans="1:30" ht="27.45" customHeight="1">
      <c r="A14" s="590">
        <v>3</v>
      </c>
      <c r="B14" s="151" t="str">
        <f>Master!D17</f>
        <v>GUDALA RUSHESHWAR SWAMY</v>
      </c>
      <c r="C14" s="229">
        <f>Master!C17</f>
        <v>4</v>
      </c>
      <c r="D14" s="152" t="str">
        <f>Master!J17</f>
        <v>Supervisor</v>
      </c>
      <c r="E14" s="230">
        <f>Master!AA17</f>
        <v>30</v>
      </c>
      <c r="F14" s="231" t="s">
        <v>28</v>
      </c>
      <c r="G14" s="140">
        <f>Master!AC17</f>
        <v>17918</v>
      </c>
      <c r="H14" s="225">
        <f>Master!AD17</f>
        <v>11802</v>
      </c>
      <c r="I14" s="143">
        <f>Master!AE17</f>
        <v>0</v>
      </c>
      <c r="J14" s="143">
        <f>Master!AB17</f>
        <v>0</v>
      </c>
      <c r="K14" s="144">
        <f>Master!AG17</f>
        <v>4721</v>
      </c>
      <c r="L14" s="144">
        <f>Master!AH17</f>
        <v>0</v>
      </c>
      <c r="M14" s="144">
        <f>Master!AI17</f>
        <v>0</v>
      </c>
      <c r="N14" s="144">
        <f>Master!AJ17</f>
        <v>1395</v>
      </c>
      <c r="O14" s="144">
        <f t="shared" si="0"/>
        <v>17918</v>
      </c>
      <c r="P14" s="225">
        <f>Master!AL17</f>
        <v>135</v>
      </c>
      <c r="Q14" s="144">
        <f>Master!AM17</f>
        <v>1584</v>
      </c>
      <c r="R14" s="144">
        <f>Master!AN17</f>
        <v>150</v>
      </c>
      <c r="S14" s="144">
        <f>Master!AO17</f>
        <v>0</v>
      </c>
      <c r="T14" s="144">
        <f>Master!AP17</f>
        <v>0</v>
      </c>
      <c r="U14" s="144">
        <f>Master!AQ17</f>
        <v>1869</v>
      </c>
      <c r="V14" s="144">
        <f t="shared" si="1"/>
        <v>16049</v>
      </c>
      <c r="W14" s="137" t="str">
        <f>Master!AS17</f>
        <v>7th May 2020</v>
      </c>
      <c r="X14" s="137" t="str">
        <f>Master!AT17</f>
        <v>KKBK0007476</v>
      </c>
      <c r="Y14" s="232">
        <f>Master!AU17</f>
        <v>1912391941</v>
      </c>
      <c r="Z14" s="591"/>
    </row>
    <row r="15" spans="1:30" ht="27.45" customHeight="1">
      <c r="A15" s="590">
        <v>4</v>
      </c>
      <c r="B15" s="151" t="str">
        <f>Master!D18</f>
        <v xml:space="preserve">KASALA NARSIMLU </v>
      </c>
      <c r="C15" s="229">
        <f>Master!C18</f>
        <v>6</v>
      </c>
      <c r="D15" s="152" t="str">
        <f>Master!J18</f>
        <v>Semi Skilled Gardner</v>
      </c>
      <c r="E15" s="230">
        <f>Master!AA18</f>
        <v>26</v>
      </c>
      <c r="F15" s="231" t="s">
        <v>28</v>
      </c>
      <c r="G15" s="140">
        <f>Master!AC18</f>
        <v>13753</v>
      </c>
      <c r="H15" s="225">
        <f>Master!AD18</f>
        <v>3844</v>
      </c>
      <c r="I15" s="143">
        <f>Master!AE18</f>
        <v>4931.333333333333</v>
      </c>
      <c r="J15" s="143">
        <f>Master!AB18</f>
        <v>0</v>
      </c>
      <c r="K15" s="144">
        <f>Master!AG18</f>
        <v>0</v>
      </c>
      <c r="L15" s="144">
        <f>Master!AH18</f>
        <v>730.6</v>
      </c>
      <c r="M15" s="144">
        <f>Master!AI18</f>
        <v>425.53333333333336</v>
      </c>
      <c r="N15" s="144">
        <f>Master!AJ18</f>
        <v>1988.1333333333334</v>
      </c>
      <c r="O15" s="144">
        <f t="shared" si="0"/>
        <v>11919.599999999999</v>
      </c>
      <c r="P15" s="225">
        <f>Master!AL18</f>
        <v>90</v>
      </c>
      <c r="Q15" s="144">
        <f>Master!AM18</f>
        <v>1430</v>
      </c>
      <c r="R15" s="144">
        <f>Master!AN18</f>
        <v>0</v>
      </c>
      <c r="S15" s="144">
        <f>Master!AO18</f>
        <v>0</v>
      </c>
      <c r="T15" s="144">
        <f>Master!AP18</f>
        <v>0</v>
      </c>
      <c r="U15" s="144">
        <f>Master!AQ18</f>
        <v>1520</v>
      </c>
      <c r="V15" s="144">
        <f t="shared" si="1"/>
        <v>10399.599999999999</v>
      </c>
      <c r="W15" s="137" t="str">
        <f>Master!AS18</f>
        <v>7th May 2020</v>
      </c>
      <c r="X15" s="137" t="str">
        <f>Master!AT18</f>
        <v>ICIC0000202</v>
      </c>
      <c r="Y15" s="232">
        <f>Master!AU18</f>
        <v>20201585355</v>
      </c>
      <c r="Z15" s="592"/>
    </row>
    <row r="16" spans="1:30" ht="27.45" customHeight="1">
      <c r="A16" s="590">
        <v>5</v>
      </c>
      <c r="B16" s="151" t="str">
        <f>Master!D19</f>
        <v>PITANI SATHYA NARAYANA</v>
      </c>
      <c r="C16" s="229">
        <f>Master!C19</f>
        <v>7</v>
      </c>
      <c r="D16" s="152" t="str">
        <f>Master!J19</f>
        <v>Semi Skilled Gardner</v>
      </c>
      <c r="E16" s="230" t="str">
        <f>Master!AA19</f>
        <v>26</v>
      </c>
      <c r="F16" s="231" t="s">
        <v>28</v>
      </c>
      <c r="G16" s="140">
        <f>Master!AC19</f>
        <v>11459</v>
      </c>
      <c r="H16" s="225">
        <f>Master!AD19</f>
        <v>3844</v>
      </c>
      <c r="I16" s="143">
        <f>Master!AE19</f>
        <v>4931.333333333333</v>
      </c>
      <c r="J16" s="143">
        <f>Master!AB19</f>
        <v>0</v>
      </c>
      <c r="K16" s="144">
        <f>Master!AG19</f>
        <v>0</v>
      </c>
      <c r="L16" s="144">
        <f>Master!AH19</f>
        <v>730.6</v>
      </c>
      <c r="M16" s="144">
        <f>Master!AI19</f>
        <v>425.53333333333336</v>
      </c>
      <c r="N16" s="144">
        <f>Master!AJ19</f>
        <v>0</v>
      </c>
      <c r="O16" s="144">
        <f t="shared" si="0"/>
        <v>9931.4666666666653</v>
      </c>
      <c r="P16" s="225">
        <f>Master!AL19</f>
        <v>75</v>
      </c>
      <c r="Q16" s="144">
        <f>Master!AM19</f>
        <v>1192</v>
      </c>
      <c r="R16" s="144">
        <f>Master!AN19</f>
        <v>0</v>
      </c>
      <c r="S16" s="144">
        <f>Master!AO19</f>
        <v>0</v>
      </c>
      <c r="T16" s="144">
        <f>Master!AP19</f>
        <v>0</v>
      </c>
      <c r="U16" s="144">
        <f>Master!AQ19</f>
        <v>1267</v>
      </c>
      <c r="V16" s="144">
        <f t="shared" si="1"/>
        <v>8664.4666666666653</v>
      </c>
      <c r="W16" s="137" t="str">
        <f>Master!AS19</f>
        <v>7th May 2020</v>
      </c>
      <c r="X16" s="137" t="str">
        <f>Master!AT19</f>
        <v>ANDB0001414</v>
      </c>
      <c r="Y16" s="232">
        <f>Master!AU19</f>
        <v>141410100131316</v>
      </c>
      <c r="Z16" s="591"/>
    </row>
    <row r="17" spans="1:26" ht="27.45" customHeight="1">
      <c r="A17" s="590">
        <v>6</v>
      </c>
      <c r="B17" s="151" t="str">
        <f>Master!D20</f>
        <v>SANGOLLA ASHOK</v>
      </c>
      <c r="C17" s="229">
        <f>Master!C20</f>
        <v>8</v>
      </c>
      <c r="D17" s="152" t="str">
        <f>Master!J20</f>
        <v>Semi Skilled Gardner</v>
      </c>
      <c r="E17" s="230">
        <f>Master!AA20</f>
        <v>26</v>
      </c>
      <c r="F17" s="231" t="s">
        <v>28</v>
      </c>
      <c r="G17" s="140">
        <f>Master!AC20</f>
        <v>11459</v>
      </c>
      <c r="H17" s="225">
        <f>Master!AD20</f>
        <v>3844</v>
      </c>
      <c r="I17" s="143">
        <f>Master!AE20</f>
        <v>4931.333333333333</v>
      </c>
      <c r="J17" s="143">
        <f>Master!AB20</f>
        <v>0</v>
      </c>
      <c r="K17" s="144">
        <f>Master!AG20</f>
        <v>0</v>
      </c>
      <c r="L17" s="144">
        <f>Master!AH20</f>
        <v>730.6</v>
      </c>
      <c r="M17" s="144">
        <f>Master!AI20</f>
        <v>425.53333333333336</v>
      </c>
      <c r="N17" s="144">
        <f>Master!AJ20</f>
        <v>0</v>
      </c>
      <c r="O17" s="144">
        <f t="shared" si="0"/>
        <v>9931.4666666666653</v>
      </c>
      <c r="P17" s="225">
        <f>Master!AL20</f>
        <v>75</v>
      </c>
      <c r="Q17" s="144">
        <f>Master!AM20</f>
        <v>1192</v>
      </c>
      <c r="R17" s="144">
        <f>Master!AN20</f>
        <v>0</v>
      </c>
      <c r="S17" s="144">
        <f>Master!AO20</f>
        <v>0</v>
      </c>
      <c r="T17" s="144">
        <f>Master!AP20</f>
        <v>0</v>
      </c>
      <c r="U17" s="144">
        <f>Master!AQ20</f>
        <v>1267</v>
      </c>
      <c r="V17" s="144">
        <f t="shared" si="1"/>
        <v>8664.4666666666653</v>
      </c>
      <c r="W17" s="137" t="str">
        <f>Master!AS20</f>
        <v>7th May 2020</v>
      </c>
      <c r="X17" s="137" t="str">
        <f>Master!AT20</f>
        <v>SBIN0020106</v>
      </c>
      <c r="Y17" s="232">
        <f>Master!AU20</f>
        <v>62135175705</v>
      </c>
      <c r="Z17" s="591"/>
    </row>
    <row r="18" spans="1:26" ht="27.45" customHeight="1">
      <c r="A18" s="590">
        <v>7</v>
      </c>
      <c r="B18" s="151" t="str">
        <f>Master!D21</f>
        <v>ASHOK LINGURAM GAIKWAD</v>
      </c>
      <c r="C18" s="229">
        <f>Master!C21</f>
        <v>9</v>
      </c>
      <c r="D18" s="152" t="str">
        <f>Master!J21</f>
        <v>Semi Skilled Gardner</v>
      </c>
      <c r="E18" s="230">
        <f>Master!AA21</f>
        <v>26</v>
      </c>
      <c r="F18" s="231" t="s">
        <v>28</v>
      </c>
      <c r="G18" s="140">
        <f>Master!AC21</f>
        <v>11459</v>
      </c>
      <c r="H18" s="225">
        <f>Master!AD21</f>
        <v>3844</v>
      </c>
      <c r="I18" s="143">
        <f>Master!AE21</f>
        <v>4931.333333333333</v>
      </c>
      <c r="J18" s="143">
        <f>Master!AB21</f>
        <v>0</v>
      </c>
      <c r="K18" s="144">
        <f>Master!AG21</f>
        <v>0</v>
      </c>
      <c r="L18" s="144">
        <f>Master!AH21</f>
        <v>730.6</v>
      </c>
      <c r="M18" s="144">
        <f>Master!AI21</f>
        <v>425.53333333333336</v>
      </c>
      <c r="N18" s="144">
        <f>Master!AJ21</f>
        <v>0</v>
      </c>
      <c r="O18" s="144">
        <f t="shared" si="0"/>
        <v>9931.4666666666653</v>
      </c>
      <c r="P18" s="225">
        <f>Master!AL21</f>
        <v>75</v>
      </c>
      <c r="Q18" s="144">
        <f>Master!AM21</f>
        <v>1192</v>
      </c>
      <c r="R18" s="144">
        <f>Master!AN21</f>
        <v>0</v>
      </c>
      <c r="S18" s="144">
        <f>Master!AO21</f>
        <v>0</v>
      </c>
      <c r="T18" s="144">
        <f>Master!AP21</f>
        <v>0</v>
      </c>
      <c r="U18" s="144">
        <f>Master!AQ21</f>
        <v>1267</v>
      </c>
      <c r="V18" s="144">
        <f t="shared" si="1"/>
        <v>8664.4666666666653</v>
      </c>
      <c r="W18" s="137" t="str">
        <f>Master!AS21</f>
        <v>7th May 2020</v>
      </c>
      <c r="X18" s="137" t="str">
        <f>Master!AT21</f>
        <v>SBIN0014234</v>
      </c>
      <c r="Y18" s="232">
        <f>Master!AU21</f>
        <v>35398345250</v>
      </c>
      <c r="Z18" s="591"/>
    </row>
    <row r="19" spans="1:26" ht="27.45" customHeight="1">
      <c r="A19" s="590">
        <v>8</v>
      </c>
      <c r="B19" s="151" t="str">
        <f>Master!D22</f>
        <v>MADHUKAR KAMTAM</v>
      </c>
      <c r="C19" s="229">
        <f>Master!C22</f>
        <v>10</v>
      </c>
      <c r="D19" s="152" t="str">
        <f>Master!J22</f>
        <v>Semi Skilled Gardner</v>
      </c>
      <c r="E19" s="230">
        <f>Master!AA22</f>
        <v>26</v>
      </c>
      <c r="F19" s="231" t="s">
        <v>28</v>
      </c>
      <c r="G19" s="140">
        <f>Master!AC22</f>
        <v>11459</v>
      </c>
      <c r="H19" s="225">
        <f>Master!AD22</f>
        <v>3844</v>
      </c>
      <c r="I19" s="143">
        <f>Master!AE22</f>
        <v>4931.333333333333</v>
      </c>
      <c r="J19" s="143">
        <f>Master!AB22</f>
        <v>0</v>
      </c>
      <c r="K19" s="144">
        <f>Master!AG22</f>
        <v>0</v>
      </c>
      <c r="L19" s="144">
        <f>Master!AH22</f>
        <v>730.6</v>
      </c>
      <c r="M19" s="144">
        <f>Master!AI22</f>
        <v>425.53333333333336</v>
      </c>
      <c r="N19" s="144">
        <f>Master!AJ22</f>
        <v>0</v>
      </c>
      <c r="O19" s="144">
        <f t="shared" si="0"/>
        <v>9931.4666666666653</v>
      </c>
      <c r="P19" s="225">
        <f>Master!AL22</f>
        <v>75</v>
      </c>
      <c r="Q19" s="144">
        <f>Master!AM22</f>
        <v>1192</v>
      </c>
      <c r="R19" s="144">
        <f>Master!AN22</f>
        <v>0</v>
      </c>
      <c r="S19" s="144">
        <f>Master!AO22</f>
        <v>0</v>
      </c>
      <c r="T19" s="144">
        <f>Master!AP22</f>
        <v>0</v>
      </c>
      <c r="U19" s="144">
        <f>Master!AQ22</f>
        <v>1267</v>
      </c>
      <c r="V19" s="144">
        <f t="shared" si="1"/>
        <v>8664.4666666666653</v>
      </c>
      <c r="W19" s="137" t="str">
        <f>Master!AS22</f>
        <v>7th May 2020</v>
      </c>
      <c r="X19" s="137" t="str">
        <f>Master!AT22</f>
        <v>IDIB000N116</v>
      </c>
      <c r="Y19" s="232">
        <f>Master!AU22</f>
        <v>923249324</v>
      </c>
      <c r="Z19" s="591"/>
    </row>
    <row r="20" spans="1:26" ht="27.45" customHeight="1">
      <c r="A20" s="590">
        <v>9</v>
      </c>
      <c r="B20" s="151" t="str">
        <f>Master!D23</f>
        <v>Ningolla Raju</v>
      </c>
      <c r="C20" s="229">
        <f>Master!C23</f>
        <v>12</v>
      </c>
      <c r="D20" s="152" t="str">
        <f>Master!J23</f>
        <v>Semi Skilled Gardner</v>
      </c>
      <c r="E20" s="230">
        <f>Master!AA23</f>
        <v>26</v>
      </c>
      <c r="F20" s="231" t="s">
        <v>28</v>
      </c>
      <c r="G20" s="140">
        <f>Master!AC23</f>
        <v>11459</v>
      </c>
      <c r="H20" s="225">
        <f>Master!AD23</f>
        <v>3844</v>
      </c>
      <c r="I20" s="143">
        <f>Master!AE23</f>
        <v>4931.333333333333</v>
      </c>
      <c r="J20" s="143">
        <f>Master!AB23</f>
        <v>0</v>
      </c>
      <c r="K20" s="144">
        <f>Master!AG23</f>
        <v>0</v>
      </c>
      <c r="L20" s="144">
        <f>Master!AH23</f>
        <v>730.6</v>
      </c>
      <c r="M20" s="144">
        <f>Master!AI23</f>
        <v>425.53333333333336</v>
      </c>
      <c r="N20" s="144">
        <f>Master!AJ23</f>
        <v>0</v>
      </c>
      <c r="O20" s="144">
        <f t="shared" si="0"/>
        <v>9931.4666666666653</v>
      </c>
      <c r="P20" s="225">
        <f>Master!AL23</f>
        <v>75</v>
      </c>
      <c r="Q20" s="144">
        <f>Master!AM23</f>
        <v>1192</v>
      </c>
      <c r="R20" s="144">
        <f>Master!AN23</f>
        <v>0</v>
      </c>
      <c r="S20" s="144">
        <f>Master!AO23</f>
        <v>0</v>
      </c>
      <c r="T20" s="144">
        <f>Master!AP23</f>
        <v>0</v>
      </c>
      <c r="U20" s="144">
        <f>Master!AQ23</f>
        <v>1267</v>
      </c>
      <c r="V20" s="144">
        <f t="shared" si="1"/>
        <v>8664.4666666666653</v>
      </c>
      <c r="W20" s="137" t="str">
        <f>Master!AS23</f>
        <v>7th May 2020</v>
      </c>
      <c r="X20" s="137" t="str">
        <f>Master!AT23</f>
        <v>BKID0008614</v>
      </c>
      <c r="Y20" s="232">
        <f>Master!AU23</f>
        <v>861410110009223</v>
      </c>
      <c r="Z20" s="591"/>
    </row>
    <row r="21" spans="1:26" ht="27.45" customHeight="1">
      <c r="A21" s="590">
        <v>10</v>
      </c>
      <c r="B21" s="151" t="str">
        <f>Master!D24</f>
        <v>Nagani pochaiah</v>
      </c>
      <c r="C21" s="229">
        <f>Master!C24</f>
        <v>13</v>
      </c>
      <c r="D21" s="152" t="str">
        <f>Master!J24</f>
        <v>Semi Skilled Gardner</v>
      </c>
      <c r="E21" s="230">
        <f>Master!AA24</f>
        <v>26</v>
      </c>
      <c r="F21" s="231" t="s">
        <v>28</v>
      </c>
      <c r="G21" s="140">
        <f>Master!AC24</f>
        <v>11459</v>
      </c>
      <c r="H21" s="225">
        <f>Master!AD24</f>
        <v>3844</v>
      </c>
      <c r="I21" s="143">
        <f>Master!AE24</f>
        <v>4931.333333333333</v>
      </c>
      <c r="J21" s="143">
        <f>Master!AB24</f>
        <v>0</v>
      </c>
      <c r="K21" s="144">
        <f>Master!AG24</f>
        <v>0</v>
      </c>
      <c r="L21" s="144">
        <f>Master!AH24</f>
        <v>730.6</v>
      </c>
      <c r="M21" s="144">
        <f>Master!AI24</f>
        <v>425.53333333333336</v>
      </c>
      <c r="N21" s="144">
        <f>Master!AJ24</f>
        <v>0</v>
      </c>
      <c r="O21" s="144">
        <f t="shared" si="0"/>
        <v>9931.4666666666653</v>
      </c>
      <c r="P21" s="225">
        <f>Master!AL24</f>
        <v>75</v>
      </c>
      <c r="Q21" s="144">
        <f>Master!AM24</f>
        <v>1192</v>
      </c>
      <c r="R21" s="144">
        <f>Master!AN24</f>
        <v>0</v>
      </c>
      <c r="S21" s="144">
        <f>Master!AO24</f>
        <v>0</v>
      </c>
      <c r="T21" s="144">
        <f>Master!AP24</f>
        <v>0</v>
      </c>
      <c r="U21" s="144">
        <f>Master!AQ24</f>
        <v>1267</v>
      </c>
      <c r="V21" s="144">
        <f t="shared" si="1"/>
        <v>8664.4666666666653</v>
      </c>
      <c r="W21" s="137" t="str">
        <f>Master!AS24</f>
        <v>7th May 2020</v>
      </c>
      <c r="X21" s="137" t="str">
        <f>Master!AT24</f>
        <v>SBIN0014234</v>
      </c>
      <c r="Y21" s="232">
        <f>Master!AU24</f>
        <v>38228069327</v>
      </c>
      <c r="Z21" s="591"/>
    </row>
    <row r="22" spans="1:26" ht="27.45" customHeight="1">
      <c r="A22" s="590">
        <v>11</v>
      </c>
      <c r="B22" s="151" t="str">
        <f>Master!D25</f>
        <v>Mutholla Mallesh</v>
      </c>
      <c r="C22" s="229">
        <f>Master!C25</f>
        <v>14</v>
      </c>
      <c r="D22" s="152" t="str">
        <f>Master!J25</f>
        <v>Semi Skilled Gardner</v>
      </c>
      <c r="E22" s="230">
        <f>Master!AA25</f>
        <v>26</v>
      </c>
      <c r="F22" s="231" t="s">
        <v>28</v>
      </c>
      <c r="G22" s="140">
        <f>Master!AC25</f>
        <v>11459</v>
      </c>
      <c r="H22" s="225">
        <f>Master!AD25</f>
        <v>3844</v>
      </c>
      <c r="I22" s="143">
        <f>Master!AE25</f>
        <v>4931.333333333333</v>
      </c>
      <c r="J22" s="143">
        <f>Master!AB25</f>
        <v>0</v>
      </c>
      <c r="K22" s="144">
        <f>Master!AG25</f>
        <v>0</v>
      </c>
      <c r="L22" s="144">
        <f>Master!AH25</f>
        <v>730.6</v>
      </c>
      <c r="M22" s="144">
        <f>Master!AI25</f>
        <v>425.53333333333336</v>
      </c>
      <c r="N22" s="144">
        <f>Master!AJ25</f>
        <v>0</v>
      </c>
      <c r="O22" s="144">
        <f t="shared" si="0"/>
        <v>9931.4666666666653</v>
      </c>
      <c r="P22" s="225">
        <f>Master!AL25</f>
        <v>75</v>
      </c>
      <c r="Q22" s="144">
        <f>Master!AM25</f>
        <v>1192</v>
      </c>
      <c r="R22" s="144">
        <f>Master!AN25</f>
        <v>0</v>
      </c>
      <c r="S22" s="144">
        <f>Master!AO25</f>
        <v>0</v>
      </c>
      <c r="T22" s="144">
        <f>Master!AP25</f>
        <v>0</v>
      </c>
      <c r="U22" s="144">
        <f>Master!AQ25</f>
        <v>1267</v>
      </c>
      <c r="V22" s="144">
        <f t="shared" si="1"/>
        <v>8664.4666666666653</v>
      </c>
      <c r="W22" s="137" t="str">
        <f>Master!AS25</f>
        <v>7th May 2020</v>
      </c>
      <c r="X22" s="137" t="str">
        <f>Master!AT25</f>
        <v>SBIN0014234</v>
      </c>
      <c r="Y22" s="232">
        <f>Master!AU25</f>
        <v>20176301430</v>
      </c>
      <c r="Z22" s="593"/>
    </row>
    <row r="23" spans="1:26" ht="27.45" customHeight="1">
      <c r="A23" s="590">
        <v>12</v>
      </c>
      <c r="B23" s="151" t="str">
        <f>Master!D26</f>
        <v>ALIJANA JAYARAMI REDDY</v>
      </c>
      <c r="C23" s="229">
        <f>Master!C26</f>
        <v>15</v>
      </c>
      <c r="D23" s="152" t="str">
        <f>Master!J26</f>
        <v>Semi Skilled Gardner</v>
      </c>
      <c r="E23" s="230">
        <f>Master!AA26</f>
        <v>26</v>
      </c>
      <c r="F23" s="231" t="s">
        <v>28</v>
      </c>
      <c r="G23" s="140">
        <f>Master!AC26</f>
        <v>11459</v>
      </c>
      <c r="H23" s="225">
        <f>Master!AD26</f>
        <v>3844</v>
      </c>
      <c r="I23" s="143">
        <f>Master!AE26</f>
        <v>4931.333333333333</v>
      </c>
      <c r="J23" s="143">
        <f>Master!AB26</f>
        <v>0</v>
      </c>
      <c r="K23" s="144">
        <f>Master!AG26</f>
        <v>0</v>
      </c>
      <c r="L23" s="144">
        <f>Master!AH26</f>
        <v>730.6</v>
      </c>
      <c r="M23" s="144">
        <f>Master!AI26</f>
        <v>425.53333333333336</v>
      </c>
      <c r="N23" s="144">
        <f>Master!AJ26</f>
        <v>0</v>
      </c>
      <c r="O23" s="144">
        <f t="shared" si="0"/>
        <v>9931.4666666666653</v>
      </c>
      <c r="P23" s="225">
        <f>Master!AL26</f>
        <v>75</v>
      </c>
      <c r="Q23" s="144">
        <f>Master!AM26</f>
        <v>1192</v>
      </c>
      <c r="R23" s="144">
        <f>Master!AN26</f>
        <v>0</v>
      </c>
      <c r="S23" s="144">
        <f>Master!AO26</f>
        <v>0</v>
      </c>
      <c r="T23" s="144">
        <f>Master!AP26</f>
        <v>0</v>
      </c>
      <c r="U23" s="144">
        <f>Master!AQ26</f>
        <v>1267</v>
      </c>
      <c r="V23" s="144">
        <f t="shared" si="1"/>
        <v>8664.4666666666653</v>
      </c>
      <c r="W23" s="137" t="str">
        <f>Master!AS26</f>
        <v>7th May 2020</v>
      </c>
      <c r="X23" s="137" t="str">
        <f>Master!AT26</f>
        <v>SBIN0008495</v>
      </c>
      <c r="Y23" s="232">
        <f>Master!AU26</f>
        <v>33412525880</v>
      </c>
      <c r="Z23" s="594"/>
    </row>
    <row r="24" spans="1:26" ht="27.45" customHeight="1">
      <c r="A24" s="590">
        <v>13</v>
      </c>
      <c r="B24" s="151" t="str">
        <f>Master!D27</f>
        <v>Kapil</v>
      </c>
      <c r="C24" s="229">
        <f>Master!C27</f>
        <v>16</v>
      </c>
      <c r="D24" s="152" t="str">
        <f>Master!J27</f>
        <v>Semi Skilled Gardner</v>
      </c>
      <c r="E24" s="230">
        <f>Master!AA27</f>
        <v>0</v>
      </c>
      <c r="F24" s="231" t="s">
        <v>28</v>
      </c>
      <c r="G24" s="140">
        <f>Master!AC27</f>
        <v>11459</v>
      </c>
      <c r="H24" s="225">
        <f>Master!AD27</f>
        <v>0</v>
      </c>
      <c r="I24" s="143">
        <f>Master!AE27</f>
        <v>0</v>
      </c>
      <c r="J24" s="143">
        <f>Master!AB27</f>
        <v>0</v>
      </c>
      <c r="K24" s="144">
        <f>Master!AG27</f>
        <v>0</v>
      </c>
      <c r="L24" s="144">
        <f>Master!AH27</f>
        <v>0</v>
      </c>
      <c r="M24" s="144">
        <f>Master!AI27</f>
        <v>0</v>
      </c>
      <c r="N24" s="144">
        <f>Master!AJ27</f>
        <v>0</v>
      </c>
      <c r="O24" s="144">
        <f t="shared" si="0"/>
        <v>0</v>
      </c>
      <c r="P24" s="225">
        <f>Master!AL27</f>
        <v>0</v>
      </c>
      <c r="Q24" s="144">
        <f>Master!AM27</f>
        <v>0</v>
      </c>
      <c r="R24" s="144">
        <f>Master!AN27</f>
        <v>0</v>
      </c>
      <c r="S24" s="144">
        <f>Master!AO27</f>
        <v>0</v>
      </c>
      <c r="T24" s="144">
        <f>Master!AP27</f>
        <v>0</v>
      </c>
      <c r="U24" s="144">
        <f>Master!AQ27</f>
        <v>0</v>
      </c>
      <c r="V24" s="144">
        <f t="shared" si="1"/>
        <v>0</v>
      </c>
      <c r="W24" s="137" t="str">
        <f>Master!AS27</f>
        <v>7th May 2020</v>
      </c>
      <c r="X24" s="137" t="str">
        <f>Master!AT27</f>
        <v>KKBK0007466</v>
      </c>
      <c r="Y24" s="232">
        <f>Master!AU27</f>
        <v>8512913818</v>
      </c>
      <c r="Z24" s="595"/>
    </row>
    <row r="25" spans="1:26" ht="27.45" customHeight="1">
      <c r="A25" s="590">
        <v>14</v>
      </c>
      <c r="B25" s="151" t="str">
        <f>Master!D28</f>
        <v xml:space="preserve">Bablu kumar </v>
      </c>
      <c r="C25" s="229">
        <f>Master!C28</f>
        <v>17</v>
      </c>
      <c r="D25" s="152" t="str">
        <f>Master!J28</f>
        <v>Semi Skilled Gardner</v>
      </c>
      <c r="E25" s="230">
        <f>Master!AA28</f>
        <v>0</v>
      </c>
      <c r="F25" s="231" t="s">
        <v>28</v>
      </c>
      <c r="G25" s="140">
        <f>Master!AC28</f>
        <v>11459</v>
      </c>
      <c r="H25" s="225">
        <f>Master!AD28</f>
        <v>0</v>
      </c>
      <c r="I25" s="143">
        <f>Master!AE28</f>
        <v>0</v>
      </c>
      <c r="J25" s="143">
        <f>Master!AB28</f>
        <v>0</v>
      </c>
      <c r="K25" s="144">
        <f>Master!AG28</f>
        <v>0</v>
      </c>
      <c r="L25" s="144">
        <f>Master!AH28</f>
        <v>0</v>
      </c>
      <c r="M25" s="144">
        <f>Master!AI28</f>
        <v>0</v>
      </c>
      <c r="N25" s="144">
        <f>Master!AJ28</f>
        <v>0</v>
      </c>
      <c r="O25" s="144">
        <f t="shared" si="0"/>
        <v>0</v>
      </c>
      <c r="P25" s="225">
        <f>Master!AL28</f>
        <v>0</v>
      </c>
      <c r="Q25" s="144">
        <f>Master!AM28</f>
        <v>0</v>
      </c>
      <c r="R25" s="144">
        <f>Master!AN28</f>
        <v>0</v>
      </c>
      <c r="S25" s="144">
        <f>Master!AO28</f>
        <v>0</v>
      </c>
      <c r="T25" s="144">
        <f>Master!AP28</f>
        <v>0</v>
      </c>
      <c r="U25" s="144">
        <f>Master!AQ28</f>
        <v>0</v>
      </c>
      <c r="V25" s="144">
        <f t="shared" si="1"/>
        <v>0</v>
      </c>
      <c r="W25" s="137" t="str">
        <f>Master!AS28</f>
        <v>7th May 2020</v>
      </c>
      <c r="X25" s="137" t="str">
        <f>Master!AT28</f>
        <v>KKBK0007466</v>
      </c>
      <c r="Y25" s="232">
        <f>Master!AU28</f>
        <v>8512913542</v>
      </c>
      <c r="Z25" s="595"/>
    </row>
    <row r="26" spans="1:26" ht="27.45" customHeight="1">
      <c r="A26" s="590">
        <v>15</v>
      </c>
      <c r="B26" s="151" t="str">
        <f>Master!D29</f>
        <v>Pradeep kumar</v>
      </c>
      <c r="C26" s="229">
        <f>Master!C29</f>
        <v>18</v>
      </c>
      <c r="D26" s="152" t="str">
        <f>Master!J29</f>
        <v>Semi Skilled Gardner</v>
      </c>
      <c r="E26" s="230">
        <f>Master!AA29</f>
        <v>0</v>
      </c>
      <c r="F26" s="231" t="s">
        <v>28</v>
      </c>
      <c r="G26" s="140">
        <f>Master!AC29</f>
        <v>11459</v>
      </c>
      <c r="H26" s="225">
        <f>Master!AD29</f>
        <v>0</v>
      </c>
      <c r="I26" s="143">
        <f>Master!AE29</f>
        <v>0</v>
      </c>
      <c r="J26" s="143">
        <f>Master!AB29</f>
        <v>0</v>
      </c>
      <c r="K26" s="144">
        <f>Master!AG29</f>
        <v>0</v>
      </c>
      <c r="L26" s="144">
        <f>Master!AH29</f>
        <v>0</v>
      </c>
      <c r="M26" s="144">
        <f>Master!AI29</f>
        <v>0</v>
      </c>
      <c r="N26" s="144">
        <f>Master!AJ29</f>
        <v>0</v>
      </c>
      <c r="O26" s="144">
        <f t="shared" si="0"/>
        <v>0</v>
      </c>
      <c r="P26" s="225">
        <f>Master!AL29</f>
        <v>0</v>
      </c>
      <c r="Q26" s="144">
        <f>Master!AM29</f>
        <v>0</v>
      </c>
      <c r="R26" s="144">
        <f>Master!AN29</f>
        <v>0</v>
      </c>
      <c r="S26" s="144">
        <f>Master!AO29</f>
        <v>0</v>
      </c>
      <c r="T26" s="144">
        <f>Master!AP29</f>
        <v>0</v>
      </c>
      <c r="U26" s="144">
        <f>Master!AQ29</f>
        <v>0</v>
      </c>
      <c r="V26" s="144">
        <f t="shared" si="1"/>
        <v>0</v>
      </c>
      <c r="W26" s="137" t="str">
        <f>Master!AS29</f>
        <v>7th May 2020</v>
      </c>
      <c r="X26" s="137" t="str">
        <f>Master!AT29</f>
        <v>KKBK0007466</v>
      </c>
      <c r="Y26" s="232">
        <f>Master!AU29</f>
        <v>8512913528</v>
      </c>
      <c r="Z26" s="595"/>
    </row>
    <row r="27" spans="1:26" ht="27.45" customHeight="1">
      <c r="A27" s="590">
        <v>16</v>
      </c>
      <c r="B27" s="151" t="str">
        <f>Master!D30</f>
        <v>SHAIK KULSUM BEE</v>
      </c>
      <c r="C27" s="229">
        <f>Master!C30</f>
        <v>19</v>
      </c>
      <c r="D27" s="152" t="str">
        <f>Master!J30</f>
        <v>Unskilled Gardner</v>
      </c>
      <c r="E27" s="230">
        <f>Master!AA30</f>
        <v>26</v>
      </c>
      <c r="F27" s="231" t="s">
        <v>28</v>
      </c>
      <c r="G27" s="140">
        <f>Master!AC30</f>
        <v>10627</v>
      </c>
      <c r="H27" s="225">
        <f>Master!AD30</f>
        <v>3207</v>
      </c>
      <c r="I27" s="143">
        <f>Master!AE30</f>
        <v>4931.333333333333</v>
      </c>
      <c r="J27" s="143">
        <f>Master!AB30</f>
        <v>0</v>
      </c>
      <c r="K27" s="144">
        <f>Master!AG30</f>
        <v>0</v>
      </c>
      <c r="L27" s="144">
        <f>Master!AH30</f>
        <v>677.73333333333335</v>
      </c>
      <c r="M27" s="144">
        <f>Master!AI30</f>
        <v>394.33333333333331</v>
      </c>
      <c r="N27" s="144">
        <f>Master!AJ30</f>
        <v>0</v>
      </c>
      <c r="O27" s="144">
        <f t="shared" si="0"/>
        <v>9210.4</v>
      </c>
      <c r="P27" s="225">
        <f>Master!AL30</f>
        <v>70</v>
      </c>
      <c r="Q27" s="144">
        <f>Master!AM30</f>
        <v>1105</v>
      </c>
      <c r="R27" s="144">
        <f>Master!AN30</f>
        <v>0</v>
      </c>
      <c r="S27" s="144">
        <f>Master!AO30</f>
        <v>0</v>
      </c>
      <c r="T27" s="144">
        <f>Master!AP30</f>
        <v>0</v>
      </c>
      <c r="U27" s="144">
        <f>Master!AQ30</f>
        <v>1175</v>
      </c>
      <c r="V27" s="144">
        <f t="shared" si="1"/>
        <v>8035.4</v>
      </c>
      <c r="W27" s="137" t="str">
        <f>Master!AS30</f>
        <v>7th May 2020</v>
      </c>
      <c r="X27" s="137" t="str">
        <f>Master!AT30</f>
        <v>SBIN0005916</v>
      </c>
      <c r="Y27" s="232">
        <f>Master!AU30</f>
        <v>30144397282</v>
      </c>
      <c r="Z27" s="595"/>
    </row>
    <row r="28" spans="1:26" ht="27.45" customHeight="1">
      <c r="A28" s="590">
        <v>17</v>
      </c>
      <c r="B28" s="151" t="str">
        <f>Master!D31</f>
        <v>S GOWRI</v>
      </c>
      <c r="C28" s="229">
        <f>Master!C31</f>
        <v>20</v>
      </c>
      <c r="D28" s="152" t="str">
        <f>Master!J31</f>
        <v>Unskilled Gardner</v>
      </c>
      <c r="E28" s="230">
        <f>Master!AA31</f>
        <v>26</v>
      </c>
      <c r="F28" s="231" t="s">
        <v>28</v>
      </c>
      <c r="G28" s="140">
        <f>Master!AC31</f>
        <v>10627</v>
      </c>
      <c r="H28" s="225">
        <f>Master!AD31</f>
        <v>3207</v>
      </c>
      <c r="I28" s="143">
        <f>Master!AE31</f>
        <v>4931.333333333333</v>
      </c>
      <c r="J28" s="143">
        <f>Master!AB31</f>
        <v>0</v>
      </c>
      <c r="K28" s="144">
        <f>Master!AG31</f>
        <v>0</v>
      </c>
      <c r="L28" s="144">
        <f>Master!AH31</f>
        <v>677.73333333333335</v>
      </c>
      <c r="M28" s="144">
        <f>Master!AI31</f>
        <v>394.33333333333331</v>
      </c>
      <c r="N28" s="144">
        <f>Master!AJ31</f>
        <v>0</v>
      </c>
      <c r="O28" s="144">
        <f t="shared" si="0"/>
        <v>9210.4</v>
      </c>
      <c r="P28" s="225">
        <f>Master!AL31</f>
        <v>70</v>
      </c>
      <c r="Q28" s="144">
        <f>Master!AM31</f>
        <v>1105</v>
      </c>
      <c r="R28" s="144">
        <f>Master!AN31</f>
        <v>0</v>
      </c>
      <c r="S28" s="144">
        <f>Master!AO31</f>
        <v>0</v>
      </c>
      <c r="T28" s="144">
        <f>Master!AP31</f>
        <v>0</v>
      </c>
      <c r="U28" s="144">
        <f>Master!AQ31</f>
        <v>1175</v>
      </c>
      <c r="V28" s="144">
        <f t="shared" si="1"/>
        <v>8035.4</v>
      </c>
      <c r="W28" s="137" t="str">
        <f>Master!AS31</f>
        <v>7th May 2020</v>
      </c>
      <c r="X28" s="137" t="str">
        <f>Master!AT31</f>
        <v>SBIN0000957</v>
      </c>
      <c r="Y28" s="232">
        <f>Master!AU31</f>
        <v>35855410947</v>
      </c>
      <c r="Z28" s="595"/>
    </row>
    <row r="29" spans="1:26" ht="27.45" customHeight="1">
      <c r="A29" s="590">
        <v>18</v>
      </c>
      <c r="B29" s="151" t="str">
        <f>Master!D32</f>
        <v>FARZANA BEGUM</v>
      </c>
      <c r="C29" s="229">
        <f>Master!C32</f>
        <v>21</v>
      </c>
      <c r="D29" s="152" t="str">
        <f>Master!J32</f>
        <v>Unskilled Gardner</v>
      </c>
      <c r="E29" s="230">
        <f>Master!AA32</f>
        <v>26</v>
      </c>
      <c r="F29" s="231" t="s">
        <v>28</v>
      </c>
      <c r="G29" s="140">
        <f>Master!AC32</f>
        <v>10627</v>
      </c>
      <c r="H29" s="225">
        <f>Master!AD32</f>
        <v>3207</v>
      </c>
      <c r="I29" s="143">
        <f>Master!AE32</f>
        <v>4931.333333333333</v>
      </c>
      <c r="J29" s="143">
        <f>Master!AB32</f>
        <v>0</v>
      </c>
      <c r="K29" s="144">
        <f>Master!AG32</f>
        <v>0</v>
      </c>
      <c r="L29" s="144">
        <f>Master!AH32</f>
        <v>677.73333333333335</v>
      </c>
      <c r="M29" s="144">
        <f>Master!AI32</f>
        <v>394.33333333333331</v>
      </c>
      <c r="N29" s="144">
        <f>Master!AJ32</f>
        <v>0</v>
      </c>
      <c r="O29" s="144">
        <f t="shared" si="0"/>
        <v>9210.4</v>
      </c>
      <c r="P29" s="225">
        <f>Master!AL32</f>
        <v>70</v>
      </c>
      <c r="Q29" s="144">
        <f>Master!AM32</f>
        <v>1105</v>
      </c>
      <c r="R29" s="144">
        <f>Master!AN32</f>
        <v>0</v>
      </c>
      <c r="S29" s="144">
        <f>Master!AO32</f>
        <v>0</v>
      </c>
      <c r="T29" s="144">
        <f>Master!AP32</f>
        <v>0</v>
      </c>
      <c r="U29" s="144">
        <f>Master!AQ32</f>
        <v>1175</v>
      </c>
      <c r="V29" s="144">
        <f t="shared" si="1"/>
        <v>8035.4</v>
      </c>
      <c r="W29" s="137" t="str">
        <f>Master!AS32</f>
        <v>7th May 2020</v>
      </c>
      <c r="X29" s="137" t="str">
        <f>Master!AT32</f>
        <v>ANDB0001306</v>
      </c>
      <c r="Y29" s="232">
        <f>Master!AU32</f>
        <v>130610100075445</v>
      </c>
      <c r="Z29" s="595"/>
    </row>
    <row r="30" spans="1:26" ht="27.45" customHeight="1">
      <c r="A30" s="590">
        <v>19</v>
      </c>
      <c r="B30" s="151" t="str">
        <f>Master!D33</f>
        <v>MANAGALI SUHASINI</v>
      </c>
      <c r="C30" s="229">
        <f>Master!C33</f>
        <v>22</v>
      </c>
      <c r="D30" s="152" t="str">
        <f>Master!J33</f>
        <v>Unskilled Gardner</v>
      </c>
      <c r="E30" s="230">
        <f>Master!AA33</f>
        <v>26</v>
      </c>
      <c r="F30" s="231" t="s">
        <v>28</v>
      </c>
      <c r="G30" s="140">
        <f>Master!AC33</f>
        <v>10627</v>
      </c>
      <c r="H30" s="225">
        <f>Master!AD33</f>
        <v>3207</v>
      </c>
      <c r="I30" s="143">
        <f>Master!AE33</f>
        <v>4931.333333333333</v>
      </c>
      <c r="J30" s="143">
        <f>Master!AB33</f>
        <v>0</v>
      </c>
      <c r="K30" s="144">
        <f>Master!AG33</f>
        <v>0</v>
      </c>
      <c r="L30" s="144">
        <f>Master!AH33</f>
        <v>677.73333333333335</v>
      </c>
      <c r="M30" s="144">
        <f>Master!AI33</f>
        <v>394.33333333333331</v>
      </c>
      <c r="N30" s="144">
        <f>Master!AJ33</f>
        <v>0</v>
      </c>
      <c r="O30" s="144">
        <f t="shared" si="0"/>
        <v>9210.4</v>
      </c>
      <c r="P30" s="225">
        <f>Master!AL33</f>
        <v>70</v>
      </c>
      <c r="Q30" s="144">
        <f>Master!AM33</f>
        <v>1105</v>
      </c>
      <c r="R30" s="144">
        <f>Master!AN33</f>
        <v>0</v>
      </c>
      <c r="S30" s="144">
        <f>Master!AO33</f>
        <v>0</v>
      </c>
      <c r="T30" s="144">
        <f>Master!AP33</f>
        <v>0</v>
      </c>
      <c r="U30" s="144">
        <f>Master!AQ33</f>
        <v>1175</v>
      </c>
      <c r="V30" s="144">
        <f t="shared" si="1"/>
        <v>8035.4</v>
      </c>
      <c r="W30" s="137" t="str">
        <f>Master!AS33</f>
        <v>7th May 2020</v>
      </c>
      <c r="X30" s="137" t="str">
        <f>Master!AT33</f>
        <v>APGV0008110</v>
      </c>
      <c r="Y30" s="232">
        <f>Master!AU33</f>
        <v>73138780593</v>
      </c>
      <c r="Z30" s="595"/>
    </row>
    <row r="31" spans="1:26" ht="27.45" customHeight="1">
      <c r="A31" s="590">
        <v>20</v>
      </c>
      <c r="B31" s="151" t="str">
        <f>Master!D34</f>
        <v>KONA SUJATHA</v>
      </c>
      <c r="C31" s="229">
        <f>Master!C34</f>
        <v>23</v>
      </c>
      <c r="D31" s="152" t="str">
        <f>Master!J34</f>
        <v>Unskilled Gardner</v>
      </c>
      <c r="E31" s="230">
        <f>Master!AA34</f>
        <v>26</v>
      </c>
      <c r="F31" s="231" t="s">
        <v>28</v>
      </c>
      <c r="G31" s="140">
        <f>Master!AC34</f>
        <v>10627</v>
      </c>
      <c r="H31" s="225">
        <f>Master!AD34</f>
        <v>3207</v>
      </c>
      <c r="I31" s="143">
        <f>Master!AE34</f>
        <v>4931.333333333333</v>
      </c>
      <c r="J31" s="143">
        <f>Master!AB34</f>
        <v>0</v>
      </c>
      <c r="K31" s="144">
        <f>Master!AG34</f>
        <v>0</v>
      </c>
      <c r="L31" s="144">
        <f>Master!AH34</f>
        <v>677.73333333333335</v>
      </c>
      <c r="M31" s="144">
        <f>Master!AI34</f>
        <v>394.33333333333331</v>
      </c>
      <c r="N31" s="144">
        <f>Master!AJ34</f>
        <v>0</v>
      </c>
      <c r="O31" s="144">
        <f t="shared" si="0"/>
        <v>9210.4</v>
      </c>
      <c r="P31" s="225">
        <f>Master!AL34</f>
        <v>70</v>
      </c>
      <c r="Q31" s="144">
        <f>Master!AM34</f>
        <v>1105</v>
      </c>
      <c r="R31" s="144">
        <f>Master!AN34</f>
        <v>0</v>
      </c>
      <c r="S31" s="144">
        <f>Master!AO34</f>
        <v>0</v>
      </c>
      <c r="T31" s="144">
        <f>Master!AP34</f>
        <v>0</v>
      </c>
      <c r="U31" s="144">
        <f>Master!AQ34</f>
        <v>1175</v>
      </c>
      <c r="V31" s="144">
        <f t="shared" si="1"/>
        <v>8035.4</v>
      </c>
      <c r="W31" s="137" t="str">
        <f>Master!AS34</f>
        <v>7th May 2020</v>
      </c>
      <c r="X31" s="137" t="str">
        <f>Master!AT34</f>
        <v>SBIN0000957</v>
      </c>
      <c r="Y31" s="232">
        <f>Master!AU34</f>
        <v>30534600258</v>
      </c>
      <c r="Z31" s="595"/>
    </row>
    <row r="32" spans="1:26" ht="27.45" customHeight="1">
      <c r="A32" s="590">
        <v>21</v>
      </c>
      <c r="B32" s="151" t="str">
        <f>Master!D35</f>
        <v>GOLLA UMA</v>
      </c>
      <c r="C32" s="229">
        <f>Master!C35</f>
        <v>24</v>
      </c>
      <c r="D32" s="152" t="str">
        <f>Master!J35</f>
        <v>Unskilled Gardner</v>
      </c>
      <c r="E32" s="230">
        <f>Master!AA35</f>
        <v>26</v>
      </c>
      <c r="F32" s="231" t="s">
        <v>28</v>
      </c>
      <c r="G32" s="140">
        <f>Master!AC35</f>
        <v>10627</v>
      </c>
      <c r="H32" s="225">
        <f>Master!AD35</f>
        <v>3207</v>
      </c>
      <c r="I32" s="143">
        <f>Master!AE35</f>
        <v>4931.333333333333</v>
      </c>
      <c r="J32" s="143">
        <f>Master!AB35</f>
        <v>0</v>
      </c>
      <c r="K32" s="144">
        <f>Master!AG35</f>
        <v>0</v>
      </c>
      <c r="L32" s="144">
        <f>Master!AH35</f>
        <v>677.73333333333335</v>
      </c>
      <c r="M32" s="144">
        <f>Master!AI35</f>
        <v>394.33333333333331</v>
      </c>
      <c r="N32" s="144">
        <f>Master!AJ35</f>
        <v>0</v>
      </c>
      <c r="O32" s="144">
        <f t="shared" si="0"/>
        <v>9210.4</v>
      </c>
      <c r="P32" s="225">
        <f>Master!AL35</f>
        <v>70</v>
      </c>
      <c r="Q32" s="144">
        <f>Master!AM35</f>
        <v>1105</v>
      </c>
      <c r="R32" s="144">
        <f>Master!AN35</f>
        <v>0</v>
      </c>
      <c r="S32" s="144">
        <f>Master!AO35</f>
        <v>0</v>
      </c>
      <c r="T32" s="144">
        <f>Master!AP35</f>
        <v>0</v>
      </c>
      <c r="U32" s="144">
        <f>Master!AQ35</f>
        <v>1175</v>
      </c>
      <c r="V32" s="144">
        <f t="shared" si="1"/>
        <v>8035.4</v>
      </c>
      <c r="W32" s="137" t="str">
        <f>Master!AS35</f>
        <v>7th May 2020</v>
      </c>
      <c r="X32" s="137" t="str">
        <f>Master!AT35</f>
        <v>SBIN0000957</v>
      </c>
      <c r="Y32" s="232">
        <f>Master!AU35</f>
        <v>11107141688</v>
      </c>
      <c r="Z32" s="595"/>
    </row>
    <row r="33" spans="1:26" ht="27.45" customHeight="1">
      <c r="A33" s="590">
        <v>22</v>
      </c>
      <c r="B33" s="151" t="str">
        <f>Master!D36</f>
        <v>SINGARAM BHAGYAMMA</v>
      </c>
      <c r="C33" s="229">
        <f>Master!C36</f>
        <v>25</v>
      </c>
      <c r="D33" s="152" t="str">
        <f>Master!J36</f>
        <v>Unskilled Gardner</v>
      </c>
      <c r="E33" s="230">
        <f>Master!AA36</f>
        <v>26</v>
      </c>
      <c r="F33" s="231" t="s">
        <v>28</v>
      </c>
      <c r="G33" s="140">
        <f>Master!AC36</f>
        <v>10627</v>
      </c>
      <c r="H33" s="225">
        <f>Master!AD36</f>
        <v>3207</v>
      </c>
      <c r="I33" s="143">
        <f>Master!AE36</f>
        <v>4931.333333333333</v>
      </c>
      <c r="J33" s="143">
        <f>Master!AB36</f>
        <v>0</v>
      </c>
      <c r="K33" s="144">
        <f>Master!AG36</f>
        <v>0</v>
      </c>
      <c r="L33" s="144">
        <f>Master!AH36</f>
        <v>677.73333333333335</v>
      </c>
      <c r="M33" s="144">
        <f>Master!AI36</f>
        <v>394.33333333333331</v>
      </c>
      <c r="N33" s="144">
        <f>Master!AJ36</f>
        <v>0</v>
      </c>
      <c r="O33" s="144">
        <f t="shared" si="0"/>
        <v>9210.4</v>
      </c>
      <c r="P33" s="225">
        <f>Master!AL36</f>
        <v>70</v>
      </c>
      <c r="Q33" s="144">
        <f>Master!AM36</f>
        <v>1105</v>
      </c>
      <c r="R33" s="144">
        <f>Master!AN36</f>
        <v>0</v>
      </c>
      <c r="S33" s="144">
        <f>Master!AO36</f>
        <v>0</v>
      </c>
      <c r="T33" s="144">
        <f>Master!AP36</f>
        <v>0</v>
      </c>
      <c r="U33" s="144">
        <f>Master!AQ36</f>
        <v>1175</v>
      </c>
      <c r="V33" s="144">
        <f t="shared" si="1"/>
        <v>8035.4</v>
      </c>
      <c r="W33" s="137" t="str">
        <f>Master!AS36</f>
        <v>7th May 2020</v>
      </c>
      <c r="X33" s="137" t="str">
        <f>Master!AT36</f>
        <v>SBIN0014234</v>
      </c>
      <c r="Y33" s="232">
        <f>Master!AU36</f>
        <v>36363257786</v>
      </c>
      <c r="Z33" s="595"/>
    </row>
    <row r="34" spans="1:26" ht="27.45" customHeight="1">
      <c r="A34" s="590">
        <v>23</v>
      </c>
      <c r="B34" s="151" t="str">
        <f>Master!D37</f>
        <v>KODICHERLA INDIRAMMA</v>
      </c>
      <c r="C34" s="229">
        <f>Master!C37</f>
        <v>27</v>
      </c>
      <c r="D34" s="152" t="str">
        <f>Master!J37</f>
        <v>Unskilled Gardner</v>
      </c>
      <c r="E34" s="230">
        <f>Master!AA37</f>
        <v>26</v>
      </c>
      <c r="F34" s="231" t="s">
        <v>28</v>
      </c>
      <c r="G34" s="140">
        <f>Master!AC37</f>
        <v>10627</v>
      </c>
      <c r="H34" s="225">
        <f>Master!AD37</f>
        <v>3207</v>
      </c>
      <c r="I34" s="143">
        <f>Master!AE37</f>
        <v>4931.333333333333</v>
      </c>
      <c r="J34" s="143">
        <f>Master!AB37</f>
        <v>0</v>
      </c>
      <c r="K34" s="144">
        <f>Master!AG37</f>
        <v>0</v>
      </c>
      <c r="L34" s="144">
        <f>Master!AH37</f>
        <v>677.73333333333335</v>
      </c>
      <c r="M34" s="144">
        <f>Master!AI37</f>
        <v>394.33333333333331</v>
      </c>
      <c r="N34" s="144">
        <f>Master!AJ37</f>
        <v>0</v>
      </c>
      <c r="O34" s="144">
        <f t="shared" si="0"/>
        <v>9210.4</v>
      </c>
      <c r="P34" s="225">
        <f>Master!AL37</f>
        <v>70</v>
      </c>
      <c r="Q34" s="144">
        <f>Master!AM37</f>
        <v>1105</v>
      </c>
      <c r="R34" s="144">
        <f>Master!AN37</f>
        <v>0</v>
      </c>
      <c r="S34" s="144">
        <f>Master!AO37</f>
        <v>0</v>
      </c>
      <c r="T34" s="144">
        <f>Master!AP37</f>
        <v>0</v>
      </c>
      <c r="U34" s="144">
        <f>Master!AQ37</f>
        <v>1175</v>
      </c>
      <c r="V34" s="144">
        <f t="shared" si="1"/>
        <v>8035.4</v>
      </c>
      <c r="W34" s="137" t="str">
        <f>Master!AS37</f>
        <v>7th May 2020</v>
      </c>
      <c r="X34" s="137" t="str">
        <f>Master!AT37</f>
        <v>SBIN0005916</v>
      </c>
      <c r="Y34" s="232">
        <f>Master!AU37</f>
        <v>30181587428</v>
      </c>
      <c r="Z34" s="595"/>
    </row>
    <row r="35" spans="1:26" ht="27.45" customHeight="1">
      <c r="A35" s="590">
        <v>24</v>
      </c>
      <c r="B35" s="151" t="str">
        <f>Master!D38</f>
        <v>SANGOLLA LAVANYA</v>
      </c>
      <c r="C35" s="229">
        <f>Master!C38</f>
        <v>28</v>
      </c>
      <c r="D35" s="152" t="str">
        <f>Master!J38</f>
        <v>Unskilled Gardner</v>
      </c>
      <c r="E35" s="230">
        <f>Master!AA38</f>
        <v>26</v>
      </c>
      <c r="F35" s="231" t="s">
        <v>28</v>
      </c>
      <c r="G35" s="140">
        <f>Master!AC38</f>
        <v>10627</v>
      </c>
      <c r="H35" s="225">
        <f>Master!AD38</f>
        <v>3207</v>
      </c>
      <c r="I35" s="143">
        <f>Master!AE38</f>
        <v>4931.333333333333</v>
      </c>
      <c r="J35" s="143">
        <f>Master!AB38</f>
        <v>0</v>
      </c>
      <c r="K35" s="144">
        <f>Master!AG38</f>
        <v>0</v>
      </c>
      <c r="L35" s="144">
        <f>Master!AH38</f>
        <v>677.73333333333335</v>
      </c>
      <c r="M35" s="144">
        <f>Master!AI38</f>
        <v>394.33333333333331</v>
      </c>
      <c r="N35" s="144">
        <f>Master!AJ38</f>
        <v>0</v>
      </c>
      <c r="O35" s="144">
        <f t="shared" si="0"/>
        <v>9210.4</v>
      </c>
      <c r="P35" s="225">
        <f>Master!AL38</f>
        <v>70</v>
      </c>
      <c r="Q35" s="144">
        <f>Master!AM38</f>
        <v>1105</v>
      </c>
      <c r="R35" s="144">
        <f>Master!AN38</f>
        <v>0</v>
      </c>
      <c r="S35" s="144">
        <f>Master!AO38</f>
        <v>0</v>
      </c>
      <c r="T35" s="144">
        <f>Master!AP38</f>
        <v>0</v>
      </c>
      <c r="U35" s="144">
        <f>Master!AQ38</f>
        <v>1175</v>
      </c>
      <c r="V35" s="144">
        <f t="shared" si="1"/>
        <v>8035.4</v>
      </c>
      <c r="W35" s="137" t="str">
        <f>Master!AS38</f>
        <v>7th May 2020</v>
      </c>
      <c r="X35" s="137" t="str">
        <f>Master!AT38</f>
        <v>SBIN0014234</v>
      </c>
      <c r="Y35" s="232">
        <f>Master!AU38</f>
        <v>36071152580</v>
      </c>
      <c r="Z35" s="595"/>
    </row>
    <row r="36" spans="1:26" ht="27.45" customHeight="1">
      <c r="A36" s="590">
        <v>25</v>
      </c>
      <c r="B36" s="151" t="str">
        <f>Master!D39</f>
        <v>MANGALI LAVANYA</v>
      </c>
      <c r="C36" s="229">
        <f>Master!C39</f>
        <v>29</v>
      </c>
      <c r="D36" s="152" t="str">
        <f>Master!J39</f>
        <v>Unskilled Gardner</v>
      </c>
      <c r="E36" s="230">
        <f>Master!AA39</f>
        <v>26</v>
      </c>
      <c r="F36" s="231" t="s">
        <v>28</v>
      </c>
      <c r="G36" s="140">
        <f>Master!AC39</f>
        <v>10627</v>
      </c>
      <c r="H36" s="225">
        <f>Master!AD39</f>
        <v>3207</v>
      </c>
      <c r="I36" s="143">
        <f>Master!AE39</f>
        <v>4931.333333333333</v>
      </c>
      <c r="J36" s="143">
        <f>Master!AB39</f>
        <v>0</v>
      </c>
      <c r="K36" s="144">
        <f>Master!AG39</f>
        <v>0</v>
      </c>
      <c r="L36" s="144">
        <f>Master!AH39</f>
        <v>677.73333333333335</v>
      </c>
      <c r="M36" s="144">
        <f>Master!AI39</f>
        <v>394.33333333333331</v>
      </c>
      <c r="N36" s="144">
        <f>Master!AJ39</f>
        <v>0</v>
      </c>
      <c r="O36" s="144">
        <f t="shared" si="0"/>
        <v>9210.4</v>
      </c>
      <c r="P36" s="225">
        <f>Master!AL39</f>
        <v>70</v>
      </c>
      <c r="Q36" s="144">
        <f>Master!AM39</f>
        <v>1105</v>
      </c>
      <c r="R36" s="144">
        <f>Master!AN39</f>
        <v>0</v>
      </c>
      <c r="S36" s="144">
        <f>Master!AO39</f>
        <v>0</v>
      </c>
      <c r="T36" s="144">
        <f>Master!AP39</f>
        <v>0</v>
      </c>
      <c r="U36" s="144">
        <f>Master!AQ39</f>
        <v>1175</v>
      </c>
      <c r="V36" s="144">
        <f t="shared" si="1"/>
        <v>8035.4</v>
      </c>
      <c r="W36" s="137" t="str">
        <f>Master!AS39</f>
        <v>7th May 2020</v>
      </c>
      <c r="X36" s="137" t="str">
        <f>Master!AT39</f>
        <v>SBIN0014234</v>
      </c>
      <c r="Y36" s="232">
        <f>Master!AU39</f>
        <v>36071152502</v>
      </c>
      <c r="Z36" s="595"/>
    </row>
    <row r="37" spans="1:26" ht="27.45" customHeight="1">
      <c r="A37" s="590">
        <v>26</v>
      </c>
      <c r="B37" s="151" t="str">
        <f>Master!D40</f>
        <v>MANGLI CHANDRAMMA</v>
      </c>
      <c r="C37" s="229">
        <f>Master!C40</f>
        <v>30</v>
      </c>
      <c r="D37" s="152" t="str">
        <f>Master!J40</f>
        <v>Unskilled Gardner</v>
      </c>
      <c r="E37" s="230">
        <f>Master!AA40</f>
        <v>26</v>
      </c>
      <c r="F37" s="231" t="s">
        <v>28</v>
      </c>
      <c r="G37" s="140">
        <f>Master!AC40</f>
        <v>10627</v>
      </c>
      <c r="H37" s="225">
        <f>Master!AD40</f>
        <v>3207</v>
      </c>
      <c r="I37" s="143">
        <f>Master!AE40</f>
        <v>4931.333333333333</v>
      </c>
      <c r="J37" s="143">
        <f>Master!AB40</f>
        <v>0</v>
      </c>
      <c r="K37" s="144">
        <f>Master!AG40</f>
        <v>0</v>
      </c>
      <c r="L37" s="144">
        <f>Master!AH40</f>
        <v>677.73333333333335</v>
      </c>
      <c r="M37" s="144">
        <f>Master!AI40</f>
        <v>394.33333333333331</v>
      </c>
      <c r="N37" s="144">
        <f>Master!AJ40</f>
        <v>0</v>
      </c>
      <c r="O37" s="144">
        <f t="shared" si="0"/>
        <v>9210.4</v>
      </c>
      <c r="P37" s="225">
        <f>Master!AL40</f>
        <v>70</v>
      </c>
      <c r="Q37" s="144">
        <f>Master!AM40</f>
        <v>1105</v>
      </c>
      <c r="R37" s="144">
        <f>Master!AN40</f>
        <v>0</v>
      </c>
      <c r="S37" s="144">
        <f>Master!AO40</f>
        <v>0</v>
      </c>
      <c r="T37" s="144">
        <f>Master!AP40</f>
        <v>0</v>
      </c>
      <c r="U37" s="144">
        <f>Master!AQ40</f>
        <v>1175</v>
      </c>
      <c r="V37" s="144">
        <f t="shared" si="1"/>
        <v>8035.4</v>
      </c>
      <c r="W37" s="137" t="str">
        <f>Master!AS40</f>
        <v>7th May 2020</v>
      </c>
      <c r="X37" s="137" t="str">
        <f>Master!AT40</f>
        <v>APGV0008110</v>
      </c>
      <c r="Y37" s="232">
        <f>Master!AU40</f>
        <v>73100389136</v>
      </c>
      <c r="Z37" s="595"/>
    </row>
    <row r="38" spans="1:26" ht="27.45" customHeight="1">
      <c r="A38" s="590">
        <v>27</v>
      </c>
      <c r="B38" s="151" t="str">
        <f>Master!D41</f>
        <v>DASARI SUVARNA</v>
      </c>
      <c r="C38" s="229">
        <f>Master!C41</f>
        <v>31</v>
      </c>
      <c r="D38" s="152" t="str">
        <f>Master!J41</f>
        <v>Unskilled Gardner</v>
      </c>
      <c r="E38" s="230">
        <f>Master!AA41</f>
        <v>0</v>
      </c>
      <c r="F38" s="231" t="s">
        <v>28</v>
      </c>
      <c r="G38" s="140">
        <f>Master!AC41</f>
        <v>10627</v>
      </c>
      <c r="H38" s="225">
        <f>Master!AD41</f>
        <v>0</v>
      </c>
      <c r="I38" s="143">
        <f>Master!AE41</f>
        <v>0</v>
      </c>
      <c r="J38" s="143">
        <f>Master!AB41</f>
        <v>0</v>
      </c>
      <c r="K38" s="144">
        <f>Master!AG41</f>
        <v>0</v>
      </c>
      <c r="L38" s="144">
        <f>Master!AH41</f>
        <v>0</v>
      </c>
      <c r="M38" s="144">
        <f>Master!AI41</f>
        <v>0</v>
      </c>
      <c r="N38" s="144">
        <f>Master!AJ41</f>
        <v>0</v>
      </c>
      <c r="O38" s="144">
        <f t="shared" si="0"/>
        <v>0</v>
      </c>
      <c r="P38" s="225">
        <f>Master!AL41</f>
        <v>0</v>
      </c>
      <c r="Q38" s="144">
        <f>Master!AM41</f>
        <v>0</v>
      </c>
      <c r="R38" s="144">
        <f>Master!AN41</f>
        <v>0</v>
      </c>
      <c r="S38" s="144">
        <f>Master!AO41</f>
        <v>0</v>
      </c>
      <c r="T38" s="144">
        <f>Master!AP41</f>
        <v>0</v>
      </c>
      <c r="U38" s="144">
        <f>Master!AQ41</f>
        <v>0</v>
      </c>
      <c r="V38" s="144">
        <f t="shared" si="1"/>
        <v>0</v>
      </c>
      <c r="W38" s="137" t="str">
        <f>Master!AS41</f>
        <v>7th May 2020</v>
      </c>
      <c r="X38" s="137" t="str">
        <f>Master!AT41</f>
        <v>ANDB0001414</v>
      </c>
      <c r="Y38" s="232">
        <f>Master!AU41</f>
        <v>141410100016831</v>
      </c>
      <c r="Z38" s="595"/>
    </row>
    <row r="39" spans="1:26" ht="27.45" customHeight="1">
      <c r="A39" s="590">
        <v>28</v>
      </c>
      <c r="B39" s="151" t="str">
        <f>Master!D42</f>
        <v>MARATHI CHANDRAKALA</v>
      </c>
      <c r="C39" s="229">
        <f>Master!C42</f>
        <v>32</v>
      </c>
      <c r="D39" s="152" t="str">
        <f>Master!J42</f>
        <v>Unskilled Gardner</v>
      </c>
      <c r="E39" s="230">
        <f>Master!AA42</f>
        <v>26</v>
      </c>
      <c r="F39" s="231" t="s">
        <v>28</v>
      </c>
      <c r="G39" s="140">
        <f>Master!AC42</f>
        <v>10627</v>
      </c>
      <c r="H39" s="225">
        <f>Master!AD42</f>
        <v>3207</v>
      </c>
      <c r="I39" s="143">
        <f>Master!AE42</f>
        <v>4931.333333333333</v>
      </c>
      <c r="J39" s="143">
        <f>Master!AB42</f>
        <v>0</v>
      </c>
      <c r="K39" s="144">
        <f>Master!AG42</f>
        <v>0</v>
      </c>
      <c r="L39" s="144">
        <f>Master!AH42</f>
        <v>677.73333333333335</v>
      </c>
      <c r="M39" s="144">
        <f>Master!AI42</f>
        <v>394.33333333333331</v>
      </c>
      <c r="N39" s="144">
        <f>Master!AJ42</f>
        <v>0</v>
      </c>
      <c r="O39" s="144">
        <f t="shared" si="0"/>
        <v>9210.4</v>
      </c>
      <c r="P39" s="225">
        <f>Master!AL42</f>
        <v>70</v>
      </c>
      <c r="Q39" s="144">
        <f>Master!AM42</f>
        <v>1105</v>
      </c>
      <c r="R39" s="144">
        <f>Master!AN42</f>
        <v>0</v>
      </c>
      <c r="S39" s="144">
        <f>Master!AO42</f>
        <v>0</v>
      </c>
      <c r="T39" s="144">
        <f>Master!AP42</f>
        <v>0</v>
      </c>
      <c r="U39" s="144">
        <f>Master!AQ42</f>
        <v>1175</v>
      </c>
      <c r="V39" s="144">
        <f t="shared" si="1"/>
        <v>8035.4</v>
      </c>
      <c r="W39" s="137" t="str">
        <f>Master!AS42</f>
        <v>7th May 2020</v>
      </c>
      <c r="X39" s="137" t="str">
        <f>Master!AT42</f>
        <v>SBIN0014234</v>
      </c>
      <c r="Y39" s="232">
        <f>Master!AU42</f>
        <v>36363257797</v>
      </c>
      <c r="Z39" s="595"/>
    </row>
    <row r="40" spans="1:26" ht="27.45" customHeight="1">
      <c r="A40" s="590">
        <v>29</v>
      </c>
      <c r="B40" s="151" t="str">
        <f>Master!D43</f>
        <v>ANKAGALLA YADAMMA</v>
      </c>
      <c r="C40" s="229">
        <f>Master!C43</f>
        <v>33</v>
      </c>
      <c r="D40" s="152" t="str">
        <f>Master!J43</f>
        <v>Unskilled Gardner</v>
      </c>
      <c r="E40" s="230">
        <f>Master!AA43</f>
        <v>26</v>
      </c>
      <c r="F40" s="231" t="s">
        <v>28</v>
      </c>
      <c r="G40" s="140">
        <f>Master!AC43</f>
        <v>10627</v>
      </c>
      <c r="H40" s="225">
        <f>Master!AD43</f>
        <v>3207</v>
      </c>
      <c r="I40" s="143">
        <f>Master!AE43</f>
        <v>4931.333333333333</v>
      </c>
      <c r="J40" s="143">
        <f>Master!AB43</f>
        <v>0</v>
      </c>
      <c r="K40" s="144">
        <f>Master!AG43</f>
        <v>0</v>
      </c>
      <c r="L40" s="144">
        <f>Master!AH43</f>
        <v>677.73333333333335</v>
      </c>
      <c r="M40" s="144">
        <f>Master!AI43</f>
        <v>394.33333333333331</v>
      </c>
      <c r="N40" s="144">
        <f>Master!AJ43</f>
        <v>0</v>
      </c>
      <c r="O40" s="144">
        <f t="shared" si="0"/>
        <v>9210.4</v>
      </c>
      <c r="P40" s="225">
        <f>Master!AL43</f>
        <v>70</v>
      </c>
      <c r="Q40" s="144">
        <f>Master!AM43</f>
        <v>1105</v>
      </c>
      <c r="R40" s="144">
        <f>Master!AN43</f>
        <v>0</v>
      </c>
      <c r="S40" s="144">
        <f>Master!AO43</f>
        <v>0</v>
      </c>
      <c r="T40" s="144">
        <f>Master!AP43</f>
        <v>0</v>
      </c>
      <c r="U40" s="144">
        <f>Master!AQ43</f>
        <v>1175</v>
      </c>
      <c r="V40" s="144">
        <f t="shared" si="1"/>
        <v>8035.4</v>
      </c>
      <c r="W40" s="137" t="str">
        <f>Master!AS43</f>
        <v>7th May 2020</v>
      </c>
      <c r="X40" s="137" t="str">
        <f>Master!AT43</f>
        <v>SBIN0014234</v>
      </c>
      <c r="Y40" s="232">
        <f>Master!AU43</f>
        <v>20176302412</v>
      </c>
      <c r="Z40" s="595"/>
    </row>
    <row r="41" spans="1:26" ht="27.45" customHeight="1">
      <c r="A41" s="590">
        <v>30</v>
      </c>
      <c r="B41" s="151" t="str">
        <f>Master!D44</f>
        <v xml:space="preserve">NINGAMMA </v>
      </c>
      <c r="C41" s="229">
        <f>Master!C44</f>
        <v>34</v>
      </c>
      <c r="D41" s="152" t="str">
        <f>Master!J44</f>
        <v>Unskilled Gardner</v>
      </c>
      <c r="E41" s="230">
        <f>Master!AA44</f>
        <v>26</v>
      </c>
      <c r="F41" s="231" t="s">
        <v>28</v>
      </c>
      <c r="G41" s="140">
        <f>Master!AC44</f>
        <v>10627</v>
      </c>
      <c r="H41" s="225">
        <f>Master!AD44</f>
        <v>3207</v>
      </c>
      <c r="I41" s="143">
        <f>Master!AE44</f>
        <v>4931.333333333333</v>
      </c>
      <c r="J41" s="143">
        <f>Master!AB44</f>
        <v>0</v>
      </c>
      <c r="K41" s="144">
        <f>Master!AG44</f>
        <v>0</v>
      </c>
      <c r="L41" s="144">
        <f>Master!AH44</f>
        <v>677.73333333333335</v>
      </c>
      <c r="M41" s="144">
        <f>Master!AI44</f>
        <v>394.33333333333331</v>
      </c>
      <c r="N41" s="144">
        <f>Master!AJ44</f>
        <v>0</v>
      </c>
      <c r="O41" s="144">
        <f t="shared" si="0"/>
        <v>9210.4</v>
      </c>
      <c r="P41" s="225">
        <f>Master!AL44</f>
        <v>70</v>
      </c>
      <c r="Q41" s="144">
        <f>Master!AM44</f>
        <v>1105</v>
      </c>
      <c r="R41" s="144">
        <f>Master!AN44</f>
        <v>0</v>
      </c>
      <c r="S41" s="144">
        <f>Master!AO44</f>
        <v>0</v>
      </c>
      <c r="T41" s="144">
        <f>Master!AP44</f>
        <v>0</v>
      </c>
      <c r="U41" s="144">
        <f>Master!AQ44</f>
        <v>1175</v>
      </c>
      <c r="V41" s="144">
        <f t="shared" si="1"/>
        <v>8035.4</v>
      </c>
      <c r="W41" s="137" t="str">
        <f>Master!AS44</f>
        <v>7th May 2020</v>
      </c>
      <c r="X41" s="137" t="str">
        <f>Master!AT44</f>
        <v>FDRL0001605</v>
      </c>
      <c r="Y41" s="232">
        <f>Master!AU44</f>
        <v>16050100039723</v>
      </c>
      <c r="Z41" s="595"/>
    </row>
    <row r="42" spans="1:26" ht="27.45" customHeight="1">
      <c r="A42" s="590">
        <v>31</v>
      </c>
      <c r="B42" s="151" t="str">
        <f>Master!D45</f>
        <v>V AMBAMMA</v>
      </c>
      <c r="C42" s="229">
        <f>Master!C45</f>
        <v>35</v>
      </c>
      <c r="D42" s="152" t="str">
        <f>Master!J45</f>
        <v>Unskilled Gardner</v>
      </c>
      <c r="E42" s="230">
        <f>Master!AA45</f>
        <v>26</v>
      </c>
      <c r="F42" s="231" t="s">
        <v>28</v>
      </c>
      <c r="G42" s="140">
        <f>Master!AC45</f>
        <v>10627</v>
      </c>
      <c r="H42" s="225">
        <f>Master!AD45</f>
        <v>3207</v>
      </c>
      <c r="I42" s="143">
        <f>Master!AE45</f>
        <v>4931.333333333333</v>
      </c>
      <c r="J42" s="143">
        <f>Master!AB45</f>
        <v>0</v>
      </c>
      <c r="K42" s="144">
        <f>Master!AG45</f>
        <v>0</v>
      </c>
      <c r="L42" s="144">
        <f>Master!AH45</f>
        <v>677.73333333333335</v>
      </c>
      <c r="M42" s="144">
        <f>Master!AI45</f>
        <v>394.33333333333331</v>
      </c>
      <c r="N42" s="144">
        <f>Master!AJ45</f>
        <v>0</v>
      </c>
      <c r="O42" s="144">
        <f t="shared" si="0"/>
        <v>9210.4</v>
      </c>
      <c r="P42" s="225">
        <f>Master!AL45</f>
        <v>70</v>
      </c>
      <c r="Q42" s="144">
        <f>Master!AM45</f>
        <v>1105</v>
      </c>
      <c r="R42" s="144">
        <f>Master!AN45</f>
        <v>0</v>
      </c>
      <c r="S42" s="144">
        <f>Master!AO45</f>
        <v>0</v>
      </c>
      <c r="T42" s="144">
        <f>Master!AP45</f>
        <v>0</v>
      </c>
      <c r="U42" s="144">
        <f>Master!AQ45</f>
        <v>1175</v>
      </c>
      <c r="V42" s="144">
        <f t="shared" si="1"/>
        <v>8035.4</v>
      </c>
      <c r="W42" s="137" t="str">
        <f>Master!AS45</f>
        <v>7th May 2020</v>
      </c>
      <c r="X42" s="137" t="str">
        <f>Master!AT45</f>
        <v>ICIC0001111</v>
      </c>
      <c r="Y42" s="232">
        <f>Master!AU45</f>
        <v>111101515392</v>
      </c>
      <c r="Z42" s="595"/>
    </row>
    <row r="43" spans="1:26" ht="27.45" customHeight="1">
      <c r="A43" s="590">
        <v>32</v>
      </c>
      <c r="B43" s="151" t="str">
        <f>Master!D46</f>
        <v>PALLAPU LAXMI</v>
      </c>
      <c r="C43" s="229">
        <f>Master!C46</f>
        <v>36</v>
      </c>
      <c r="D43" s="152" t="str">
        <f>Master!J46</f>
        <v>Unskilled Gardner</v>
      </c>
      <c r="E43" s="230">
        <f>Master!AA46</f>
        <v>26</v>
      </c>
      <c r="F43" s="231" t="s">
        <v>28</v>
      </c>
      <c r="G43" s="140">
        <f>Master!AC46</f>
        <v>10627</v>
      </c>
      <c r="H43" s="225">
        <f>Master!AD46</f>
        <v>3207</v>
      </c>
      <c r="I43" s="143">
        <f>Master!AE46</f>
        <v>4931.333333333333</v>
      </c>
      <c r="J43" s="143">
        <f>Master!AB46</f>
        <v>0</v>
      </c>
      <c r="K43" s="144">
        <f>Master!AG46</f>
        <v>0</v>
      </c>
      <c r="L43" s="144">
        <f>Master!AH46</f>
        <v>677.73333333333335</v>
      </c>
      <c r="M43" s="144">
        <f>Master!AI46</f>
        <v>394.33333333333331</v>
      </c>
      <c r="N43" s="144">
        <f>Master!AJ46</f>
        <v>0</v>
      </c>
      <c r="O43" s="144">
        <f t="shared" si="0"/>
        <v>9210.4</v>
      </c>
      <c r="P43" s="225">
        <f>Master!AL46</f>
        <v>70</v>
      </c>
      <c r="Q43" s="144">
        <f>Master!AM46</f>
        <v>1105</v>
      </c>
      <c r="R43" s="144">
        <f>Master!AN46</f>
        <v>0</v>
      </c>
      <c r="S43" s="144">
        <f>Master!AO46</f>
        <v>0</v>
      </c>
      <c r="T43" s="144">
        <f>Master!AP46</f>
        <v>0</v>
      </c>
      <c r="U43" s="144">
        <f>Master!AQ46</f>
        <v>1175</v>
      </c>
      <c r="V43" s="144">
        <f t="shared" si="1"/>
        <v>8035.4</v>
      </c>
      <c r="W43" s="137" t="str">
        <f>Master!AS46</f>
        <v>7th May 2020</v>
      </c>
      <c r="X43" s="137" t="str">
        <f>Master!AT46</f>
        <v>APGV0008163</v>
      </c>
      <c r="Y43" s="232" t="str">
        <f>Master!AU46</f>
        <v>7310404993-5</v>
      </c>
      <c r="Z43" s="595"/>
    </row>
    <row r="44" spans="1:26" ht="27.45" customHeight="1">
      <c r="A44" s="590">
        <v>33</v>
      </c>
      <c r="B44" s="151" t="str">
        <f>Master!D47</f>
        <v>Nagani laxmi</v>
      </c>
      <c r="C44" s="229">
        <f>Master!C47</f>
        <v>37</v>
      </c>
      <c r="D44" s="152" t="str">
        <f>Master!J47</f>
        <v>Unskilled Gardner</v>
      </c>
      <c r="E44" s="230">
        <f>Master!AA47</f>
        <v>26</v>
      </c>
      <c r="F44" s="231" t="s">
        <v>28</v>
      </c>
      <c r="G44" s="140">
        <f>Master!AC47</f>
        <v>10627</v>
      </c>
      <c r="H44" s="225">
        <f>Master!AD47</f>
        <v>3207</v>
      </c>
      <c r="I44" s="143">
        <f>Master!AE47</f>
        <v>4931.333333333333</v>
      </c>
      <c r="J44" s="143">
        <f>Master!AB47</f>
        <v>0</v>
      </c>
      <c r="K44" s="144">
        <f>Master!AG47</f>
        <v>0</v>
      </c>
      <c r="L44" s="144">
        <f>Master!AH47</f>
        <v>677.73333333333335</v>
      </c>
      <c r="M44" s="144">
        <f>Master!AI47</f>
        <v>394.33333333333331</v>
      </c>
      <c r="N44" s="144">
        <f>Master!AJ47</f>
        <v>0</v>
      </c>
      <c r="O44" s="144">
        <f t="shared" si="0"/>
        <v>9210.4</v>
      </c>
      <c r="P44" s="225">
        <f>Master!AL47</f>
        <v>70</v>
      </c>
      <c r="Q44" s="144">
        <f>Master!AM47</f>
        <v>1105</v>
      </c>
      <c r="R44" s="144">
        <f>Master!AN47</f>
        <v>0</v>
      </c>
      <c r="S44" s="144">
        <f>Master!AO47</f>
        <v>0</v>
      </c>
      <c r="T44" s="144">
        <f>Master!AP47</f>
        <v>0</v>
      </c>
      <c r="U44" s="144">
        <f>Master!AQ47</f>
        <v>1175</v>
      </c>
      <c r="V44" s="144">
        <f t="shared" si="1"/>
        <v>8035.4</v>
      </c>
      <c r="W44" s="137" t="str">
        <f>Master!AS47</f>
        <v>7th May 2020</v>
      </c>
      <c r="X44" s="137" t="str">
        <f>Master!AT47</f>
        <v>SBIN0014234</v>
      </c>
      <c r="Y44" s="232">
        <f>Master!AU47</f>
        <v>38228068404</v>
      </c>
      <c r="Z44" s="595"/>
    </row>
    <row r="45" spans="1:26" ht="27.45" customHeight="1">
      <c r="A45" s="590">
        <v>34</v>
      </c>
      <c r="B45" s="151" t="str">
        <f>Master!D48</f>
        <v>Lingola amrutha</v>
      </c>
      <c r="C45" s="229">
        <f>Master!C48</f>
        <v>38</v>
      </c>
      <c r="D45" s="152" t="str">
        <f>Master!J48</f>
        <v>Unskilled Gardner</v>
      </c>
      <c r="E45" s="230">
        <f>Master!AA48</f>
        <v>26</v>
      </c>
      <c r="F45" s="231" t="s">
        <v>28</v>
      </c>
      <c r="G45" s="140">
        <f>Master!AC48</f>
        <v>10627</v>
      </c>
      <c r="H45" s="225">
        <f>Master!AD48</f>
        <v>3207</v>
      </c>
      <c r="I45" s="143">
        <f>Master!AE48</f>
        <v>4931.333333333333</v>
      </c>
      <c r="J45" s="143">
        <f>Master!AB48</f>
        <v>0</v>
      </c>
      <c r="K45" s="144">
        <f>Master!AG48</f>
        <v>0</v>
      </c>
      <c r="L45" s="144">
        <f>Master!AH48</f>
        <v>677.73333333333335</v>
      </c>
      <c r="M45" s="144">
        <f>Master!AI48</f>
        <v>394.33333333333331</v>
      </c>
      <c r="N45" s="144">
        <f>Master!AJ48</f>
        <v>0</v>
      </c>
      <c r="O45" s="144">
        <f t="shared" si="0"/>
        <v>9210.4</v>
      </c>
      <c r="P45" s="225">
        <f>Master!AL48</f>
        <v>70</v>
      </c>
      <c r="Q45" s="144">
        <f>Master!AM48</f>
        <v>1105</v>
      </c>
      <c r="R45" s="144">
        <f>Master!AN48</f>
        <v>0</v>
      </c>
      <c r="S45" s="144">
        <f>Master!AO48</f>
        <v>0</v>
      </c>
      <c r="T45" s="144">
        <f>Master!AP48</f>
        <v>0</v>
      </c>
      <c r="U45" s="144">
        <f>Master!AQ48</f>
        <v>1175</v>
      </c>
      <c r="V45" s="144">
        <f t="shared" si="1"/>
        <v>8035.4</v>
      </c>
      <c r="W45" s="137" t="str">
        <f>Master!AS48</f>
        <v>7th May 2020</v>
      </c>
      <c r="X45" s="137" t="str">
        <f>Master!AT48</f>
        <v>SBIN0014234</v>
      </c>
      <c r="Y45" s="232">
        <f>Master!AU48</f>
        <v>31891992373</v>
      </c>
      <c r="Z45" s="595"/>
    </row>
    <row r="46" spans="1:26" ht="27.45" customHeight="1">
      <c r="A46" s="590">
        <v>35</v>
      </c>
      <c r="B46" s="151" t="str">
        <f>Master!D49</f>
        <v>Kuduru satyamma</v>
      </c>
      <c r="C46" s="229">
        <f>Master!C49</f>
        <v>39</v>
      </c>
      <c r="D46" s="152" t="str">
        <f>Master!J49</f>
        <v>Unskilled Gardner</v>
      </c>
      <c r="E46" s="230">
        <f>Master!AA49</f>
        <v>26</v>
      </c>
      <c r="F46" s="231" t="s">
        <v>28</v>
      </c>
      <c r="G46" s="140">
        <f>Master!AC49</f>
        <v>10627</v>
      </c>
      <c r="H46" s="225">
        <f>Master!AD49</f>
        <v>3207</v>
      </c>
      <c r="I46" s="143">
        <f>Master!AE49</f>
        <v>4931.333333333333</v>
      </c>
      <c r="J46" s="143">
        <f>Master!AB49</f>
        <v>0</v>
      </c>
      <c r="K46" s="144">
        <f>Master!AG49</f>
        <v>0</v>
      </c>
      <c r="L46" s="144">
        <f>Master!AH49</f>
        <v>677.73333333333335</v>
      </c>
      <c r="M46" s="144">
        <f>Master!AI49</f>
        <v>394.33333333333331</v>
      </c>
      <c r="N46" s="144">
        <f>Master!AJ49</f>
        <v>0</v>
      </c>
      <c r="O46" s="144">
        <f t="shared" si="0"/>
        <v>9210.4</v>
      </c>
      <c r="P46" s="225">
        <f>Master!AL49</f>
        <v>70</v>
      </c>
      <c r="Q46" s="144">
        <f>Master!AM49</f>
        <v>1105</v>
      </c>
      <c r="R46" s="144">
        <f>Master!AN49</f>
        <v>0</v>
      </c>
      <c r="S46" s="144">
        <f>Master!AO49</f>
        <v>0</v>
      </c>
      <c r="T46" s="144">
        <f>Master!AP49</f>
        <v>0</v>
      </c>
      <c r="U46" s="144">
        <f>Master!AQ49</f>
        <v>1175</v>
      </c>
      <c r="V46" s="144">
        <f t="shared" si="1"/>
        <v>8035.4</v>
      </c>
      <c r="W46" s="137" t="str">
        <f>Master!AS49</f>
        <v>7th May 2020</v>
      </c>
      <c r="X46" s="137" t="str">
        <f>Master!AT49</f>
        <v>SBIN0016375</v>
      </c>
      <c r="Y46" s="232">
        <f>Master!AU49</f>
        <v>62409123202</v>
      </c>
      <c r="Z46" s="595"/>
    </row>
    <row r="47" spans="1:26" ht="27.45" customHeight="1">
      <c r="A47" s="590">
        <v>36</v>
      </c>
      <c r="B47" s="151" t="str">
        <f>Master!D50</f>
        <v>Mangali Lakshmi</v>
      </c>
      <c r="C47" s="229">
        <f>Master!C50</f>
        <v>40</v>
      </c>
      <c r="D47" s="152" t="str">
        <f>Master!J50</f>
        <v>Unskilled Gardner</v>
      </c>
      <c r="E47" s="230">
        <f>Master!AA50</f>
        <v>26</v>
      </c>
      <c r="F47" s="231" t="s">
        <v>28</v>
      </c>
      <c r="G47" s="140">
        <f>Master!AC50</f>
        <v>10627</v>
      </c>
      <c r="H47" s="225">
        <f>Master!AD50</f>
        <v>3207</v>
      </c>
      <c r="I47" s="143">
        <f>Master!AE50</f>
        <v>4931.333333333333</v>
      </c>
      <c r="J47" s="143">
        <f>Master!AB50</f>
        <v>0</v>
      </c>
      <c r="K47" s="144">
        <f>Master!AG50</f>
        <v>0</v>
      </c>
      <c r="L47" s="144">
        <f>Master!AH50</f>
        <v>677.73333333333335</v>
      </c>
      <c r="M47" s="144">
        <f>Master!AI50</f>
        <v>394.33333333333331</v>
      </c>
      <c r="N47" s="144">
        <f>Master!AJ50</f>
        <v>0</v>
      </c>
      <c r="O47" s="144">
        <f t="shared" si="0"/>
        <v>9210.4</v>
      </c>
      <c r="P47" s="225">
        <f>Master!AL50</f>
        <v>70</v>
      </c>
      <c r="Q47" s="144">
        <f>Master!AM50</f>
        <v>1105</v>
      </c>
      <c r="R47" s="144">
        <f>Master!AN50</f>
        <v>0</v>
      </c>
      <c r="S47" s="144">
        <f>Master!AO50</f>
        <v>0</v>
      </c>
      <c r="T47" s="144">
        <f>Master!AP50</f>
        <v>0</v>
      </c>
      <c r="U47" s="144">
        <f>Master!AQ50</f>
        <v>1175</v>
      </c>
      <c r="V47" s="144">
        <f t="shared" si="1"/>
        <v>8035.4</v>
      </c>
      <c r="W47" s="137" t="str">
        <f>Master!AS50</f>
        <v>7th May 2020</v>
      </c>
      <c r="X47" s="137" t="str">
        <f>Master!AT50</f>
        <v>APGV0008110</v>
      </c>
      <c r="Y47" s="232">
        <f>Master!AU50</f>
        <v>73158532002</v>
      </c>
      <c r="Z47" s="595"/>
    </row>
    <row r="48" spans="1:26" ht="27.45" customHeight="1">
      <c r="A48" s="590">
        <v>37</v>
      </c>
      <c r="B48" s="151" t="str">
        <f>Master!D51</f>
        <v>Ningolla santhosha</v>
      </c>
      <c r="C48" s="229">
        <f>Master!C51</f>
        <v>41</v>
      </c>
      <c r="D48" s="152" t="str">
        <f>Master!J51</f>
        <v>Unskilled Gardner</v>
      </c>
      <c r="E48" s="230">
        <f>Master!AA51</f>
        <v>26</v>
      </c>
      <c r="F48" s="231" t="s">
        <v>28</v>
      </c>
      <c r="G48" s="140">
        <f>Master!AC51</f>
        <v>10627</v>
      </c>
      <c r="H48" s="225">
        <f>Master!AD51</f>
        <v>3207</v>
      </c>
      <c r="I48" s="143">
        <f>Master!AE51</f>
        <v>4931.333333333333</v>
      </c>
      <c r="J48" s="143">
        <f>Master!AB51</f>
        <v>0</v>
      </c>
      <c r="K48" s="144">
        <f>Master!AG51</f>
        <v>0</v>
      </c>
      <c r="L48" s="144">
        <f>Master!AH51</f>
        <v>677.73333333333335</v>
      </c>
      <c r="M48" s="144">
        <f>Master!AI51</f>
        <v>394.33333333333331</v>
      </c>
      <c r="N48" s="144">
        <f>Master!AJ51</f>
        <v>0</v>
      </c>
      <c r="O48" s="144">
        <f t="shared" si="0"/>
        <v>9210.4</v>
      </c>
      <c r="P48" s="225">
        <f>Master!AL51</f>
        <v>70</v>
      </c>
      <c r="Q48" s="144">
        <f>Master!AM51</f>
        <v>1105</v>
      </c>
      <c r="R48" s="144">
        <f>Master!AN51</f>
        <v>0</v>
      </c>
      <c r="S48" s="144">
        <f>Master!AO51</f>
        <v>0</v>
      </c>
      <c r="T48" s="144">
        <f>Master!AP51</f>
        <v>0</v>
      </c>
      <c r="U48" s="144">
        <f>Master!AQ51</f>
        <v>1175</v>
      </c>
      <c r="V48" s="144">
        <f t="shared" si="1"/>
        <v>8035.4</v>
      </c>
      <c r="W48" s="137" t="str">
        <f>Master!AS51</f>
        <v>7th May 2020</v>
      </c>
      <c r="X48" s="137" t="str">
        <f>Master!AT51</f>
        <v>TSAB0017030</v>
      </c>
      <c r="Y48" s="232">
        <f>Master!AU51</f>
        <v>173022010000748</v>
      </c>
      <c r="Z48" s="595"/>
    </row>
    <row r="49" spans="1:263" ht="27.45" customHeight="1">
      <c r="A49" s="590">
        <v>38</v>
      </c>
      <c r="B49" s="151" t="str">
        <f>Master!D52</f>
        <v>Mutholla Suneeta</v>
      </c>
      <c r="C49" s="229">
        <f>Master!C52</f>
        <v>42</v>
      </c>
      <c r="D49" s="152" t="str">
        <f>Master!J52</f>
        <v>Unskilled Gardner</v>
      </c>
      <c r="E49" s="230">
        <f>Master!AA52</f>
        <v>26</v>
      </c>
      <c r="F49" s="231" t="s">
        <v>28</v>
      </c>
      <c r="G49" s="140">
        <f>Master!AC52</f>
        <v>10627</v>
      </c>
      <c r="H49" s="225">
        <f>Master!AD52</f>
        <v>3207</v>
      </c>
      <c r="I49" s="143">
        <f>Master!AE52</f>
        <v>4931.333333333333</v>
      </c>
      <c r="J49" s="143">
        <f>Master!AB52</f>
        <v>0</v>
      </c>
      <c r="K49" s="144">
        <f>Master!AG52</f>
        <v>0</v>
      </c>
      <c r="L49" s="144">
        <f>Master!AH52</f>
        <v>677.73333333333335</v>
      </c>
      <c r="M49" s="144">
        <f>Master!AI52</f>
        <v>394.33333333333331</v>
      </c>
      <c r="N49" s="144">
        <f>Master!AJ52</f>
        <v>0</v>
      </c>
      <c r="O49" s="144">
        <f t="shared" si="0"/>
        <v>9210.4</v>
      </c>
      <c r="P49" s="225">
        <f>Master!AL52</f>
        <v>70</v>
      </c>
      <c r="Q49" s="144">
        <f>Master!AM52</f>
        <v>1105</v>
      </c>
      <c r="R49" s="144">
        <f>Master!AN52</f>
        <v>0</v>
      </c>
      <c r="S49" s="144">
        <f>Master!AO52</f>
        <v>0</v>
      </c>
      <c r="T49" s="144">
        <f>Master!AP52</f>
        <v>0</v>
      </c>
      <c r="U49" s="144">
        <f>Master!AQ52</f>
        <v>1175</v>
      </c>
      <c r="V49" s="144">
        <f t="shared" si="1"/>
        <v>8035.4</v>
      </c>
      <c r="W49" s="137" t="str">
        <f>Master!AS52</f>
        <v>7th May 2020</v>
      </c>
      <c r="X49" s="137" t="str">
        <f>Master!AT52</f>
        <v>SBIN0014234</v>
      </c>
      <c r="Y49" s="232">
        <f>Master!AU52</f>
        <v>20163798424</v>
      </c>
      <c r="Z49" s="595"/>
    </row>
    <row r="50" spans="1:263" ht="27.45" customHeight="1">
      <c r="A50" s="590">
        <v>39</v>
      </c>
      <c r="B50" s="151" t="str">
        <f>Master!D53</f>
        <v>Mutholla sushila</v>
      </c>
      <c r="C50" s="229">
        <f>Master!C53</f>
        <v>43</v>
      </c>
      <c r="D50" s="152" t="str">
        <f>Master!J53</f>
        <v>Unskilled Gardner</v>
      </c>
      <c r="E50" s="230">
        <f>Master!AA53</f>
        <v>26</v>
      </c>
      <c r="F50" s="231" t="s">
        <v>28</v>
      </c>
      <c r="G50" s="140">
        <f>Master!AC53</f>
        <v>10627</v>
      </c>
      <c r="H50" s="225">
        <f>Master!AD53</f>
        <v>3207</v>
      </c>
      <c r="I50" s="143">
        <f>Master!AE53</f>
        <v>4931.333333333333</v>
      </c>
      <c r="J50" s="143">
        <f>Master!AB53</f>
        <v>0</v>
      </c>
      <c r="K50" s="144">
        <f>Master!AG53</f>
        <v>0</v>
      </c>
      <c r="L50" s="144">
        <f>Master!AH53</f>
        <v>677.73333333333335</v>
      </c>
      <c r="M50" s="144">
        <f>Master!AI53</f>
        <v>394.33333333333331</v>
      </c>
      <c r="N50" s="144">
        <f>Master!AJ53</f>
        <v>0</v>
      </c>
      <c r="O50" s="144">
        <f t="shared" si="0"/>
        <v>9210.4</v>
      </c>
      <c r="P50" s="225">
        <f>Master!AL53</f>
        <v>70</v>
      </c>
      <c r="Q50" s="144">
        <f>Master!AM53</f>
        <v>1105</v>
      </c>
      <c r="R50" s="144">
        <f>Master!AN53</f>
        <v>0</v>
      </c>
      <c r="S50" s="144">
        <f>Master!AO53</f>
        <v>0</v>
      </c>
      <c r="T50" s="144">
        <f>Master!AP53</f>
        <v>0</v>
      </c>
      <c r="U50" s="144">
        <f>Master!AQ53</f>
        <v>1175</v>
      </c>
      <c r="V50" s="144">
        <f t="shared" si="1"/>
        <v>8035.4</v>
      </c>
      <c r="W50" s="137" t="str">
        <f>Master!AS53</f>
        <v>7th May 2020</v>
      </c>
      <c r="X50" s="137" t="str">
        <f>Master!AT53</f>
        <v>SBIN0014234</v>
      </c>
      <c r="Y50" s="232">
        <f>Master!AU53</f>
        <v>33177853645</v>
      </c>
      <c r="Z50" s="595"/>
    </row>
    <row r="51" spans="1:263" ht="27.45" customHeight="1">
      <c r="A51" s="590">
        <v>40</v>
      </c>
      <c r="B51" s="151" t="str">
        <f>Master!D54</f>
        <v>Kummari kalavathi</v>
      </c>
      <c r="C51" s="229">
        <f>Master!C54</f>
        <v>44</v>
      </c>
      <c r="D51" s="152" t="str">
        <f>Master!J54</f>
        <v>Unskilled Gardner</v>
      </c>
      <c r="E51" s="230">
        <f>Master!AA54</f>
        <v>26</v>
      </c>
      <c r="F51" s="231" t="s">
        <v>28</v>
      </c>
      <c r="G51" s="140">
        <f>Master!AC54</f>
        <v>10627</v>
      </c>
      <c r="H51" s="225">
        <f>Master!AD54</f>
        <v>3207</v>
      </c>
      <c r="I51" s="143">
        <f>Master!AE54</f>
        <v>4931.333333333333</v>
      </c>
      <c r="J51" s="143">
        <f>Master!AB54</f>
        <v>0</v>
      </c>
      <c r="K51" s="144">
        <f>Master!AG54</f>
        <v>0</v>
      </c>
      <c r="L51" s="144">
        <f>Master!AH54</f>
        <v>677.73333333333335</v>
      </c>
      <c r="M51" s="144">
        <f>Master!AI54</f>
        <v>394.33333333333331</v>
      </c>
      <c r="N51" s="144">
        <f>Master!AJ54</f>
        <v>0</v>
      </c>
      <c r="O51" s="144">
        <f t="shared" si="0"/>
        <v>9210.4</v>
      </c>
      <c r="P51" s="225">
        <f>Master!AL54</f>
        <v>70</v>
      </c>
      <c r="Q51" s="144">
        <f>Master!AM54</f>
        <v>1105</v>
      </c>
      <c r="R51" s="144">
        <f>Master!AN54</f>
        <v>0</v>
      </c>
      <c r="S51" s="144">
        <f>Master!AO54</f>
        <v>0</v>
      </c>
      <c r="T51" s="144">
        <f>Master!AP54</f>
        <v>0</v>
      </c>
      <c r="U51" s="144">
        <f>Master!AQ54</f>
        <v>1175</v>
      </c>
      <c r="V51" s="144">
        <f t="shared" si="1"/>
        <v>8035.4</v>
      </c>
      <c r="W51" s="137" t="str">
        <f>Master!AS54</f>
        <v>7th May 2020</v>
      </c>
      <c r="X51" s="137" t="str">
        <f>Master!AT54</f>
        <v>SBIN0014234</v>
      </c>
      <c r="Y51" s="232">
        <f>Master!AU54</f>
        <v>33415863098</v>
      </c>
      <c r="Z51" s="595"/>
    </row>
    <row r="52" spans="1:263" ht="27.45" customHeight="1">
      <c r="A52" s="590">
        <v>41</v>
      </c>
      <c r="B52" s="151" t="str">
        <f>Master!D55</f>
        <v xml:space="preserve">Vadla Naveena </v>
      </c>
      <c r="C52" s="229">
        <f>Master!C55</f>
        <v>45</v>
      </c>
      <c r="D52" s="152" t="str">
        <f>Master!J55</f>
        <v>Unskilled Gardner</v>
      </c>
      <c r="E52" s="230">
        <f>Master!AA55</f>
        <v>26</v>
      </c>
      <c r="F52" s="231" t="s">
        <v>28</v>
      </c>
      <c r="G52" s="140">
        <f>Master!AC55</f>
        <v>10627</v>
      </c>
      <c r="H52" s="225">
        <f>Master!AD55</f>
        <v>3207</v>
      </c>
      <c r="I52" s="143">
        <f>Master!AE55</f>
        <v>4931.333333333333</v>
      </c>
      <c r="J52" s="143">
        <f>Master!AB55</f>
        <v>0</v>
      </c>
      <c r="K52" s="144">
        <f>Master!AG55</f>
        <v>0</v>
      </c>
      <c r="L52" s="144">
        <f>Master!AH55</f>
        <v>677.73333333333335</v>
      </c>
      <c r="M52" s="144">
        <f>Master!AI55</f>
        <v>394.33333333333331</v>
      </c>
      <c r="N52" s="144">
        <f>Master!AJ55</f>
        <v>0</v>
      </c>
      <c r="O52" s="144">
        <f t="shared" si="0"/>
        <v>9210.4</v>
      </c>
      <c r="P52" s="225">
        <f>Master!AL55</f>
        <v>70</v>
      </c>
      <c r="Q52" s="144">
        <f>Master!AM55</f>
        <v>1105</v>
      </c>
      <c r="R52" s="144">
        <f>Master!AN55</f>
        <v>0</v>
      </c>
      <c r="S52" s="144">
        <f>Master!AO55</f>
        <v>0</v>
      </c>
      <c r="T52" s="144">
        <f>Master!AP55</f>
        <v>0</v>
      </c>
      <c r="U52" s="144">
        <f>Master!AQ55</f>
        <v>1175</v>
      </c>
      <c r="V52" s="144">
        <f t="shared" si="1"/>
        <v>8035.4</v>
      </c>
      <c r="W52" s="137" t="str">
        <f>Master!AS55</f>
        <v>7th May 2020</v>
      </c>
      <c r="X52" s="137" t="str">
        <f>Master!AT55</f>
        <v>APGV0008110</v>
      </c>
      <c r="Y52" s="232">
        <f>Master!AU55</f>
        <v>73097866350</v>
      </c>
      <c r="Z52" s="595"/>
    </row>
    <row r="53" spans="1:263" ht="27.45" customHeight="1">
      <c r="A53" s="590">
        <v>42</v>
      </c>
      <c r="B53" s="151" t="str">
        <f>Master!D56</f>
        <v>Nagani shantamma</v>
      </c>
      <c r="C53" s="229">
        <f>Master!C56</f>
        <v>46</v>
      </c>
      <c r="D53" s="152" t="str">
        <f>Master!J56</f>
        <v>Unskilled Gardner</v>
      </c>
      <c r="E53" s="230">
        <f>Master!AA56</f>
        <v>26</v>
      </c>
      <c r="F53" s="231" t="s">
        <v>28</v>
      </c>
      <c r="G53" s="140">
        <f>Master!AC56</f>
        <v>10627</v>
      </c>
      <c r="H53" s="225">
        <f>Master!AD56</f>
        <v>3207</v>
      </c>
      <c r="I53" s="143">
        <f>Master!AE56</f>
        <v>4931.333333333333</v>
      </c>
      <c r="J53" s="143">
        <f>Master!AB56</f>
        <v>0</v>
      </c>
      <c r="K53" s="144">
        <f>Master!AG56</f>
        <v>0</v>
      </c>
      <c r="L53" s="144">
        <f>Master!AH56</f>
        <v>677.73333333333335</v>
      </c>
      <c r="M53" s="144">
        <f>Master!AI56</f>
        <v>394.33333333333331</v>
      </c>
      <c r="N53" s="144">
        <f>Master!AJ56</f>
        <v>0</v>
      </c>
      <c r="O53" s="144">
        <f t="shared" si="0"/>
        <v>9210.4</v>
      </c>
      <c r="P53" s="225">
        <f>Master!AL56</f>
        <v>70</v>
      </c>
      <c r="Q53" s="144">
        <f>Master!AM56</f>
        <v>1105</v>
      </c>
      <c r="R53" s="144">
        <f>Master!AN56</f>
        <v>0</v>
      </c>
      <c r="S53" s="144">
        <f>Master!AO56</f>
        <v>0</v>
      </c>
      <c r="T53" s="144">
        <f>Master!AP56</f>
        <v>0</v>
      </c>
      <c r="U53" s="144">
        <f>Master!AQ56</f>
        <v>1175</v>
      </c>
      <c r="V53" s="144">
        <f t="shared" si="1"/>
        <v>8035.4</v>
      </c>
      <c r="W53" s="137" t="str">
        <f>Master!AS56</f>
        <v>7th May 2020</v>
      </c>
      <c r="X53" s="137" t="str">
        <f>Master!AT56</f>
        <v>SBIN0014234</v>
      </c>
      <c r="Y53" s="232">
        <f>Master!AU56</f>
        <v>33400593738</v>
      </c>
      <c r="Z53" s="595"/>
    </row>
    <row r="54" spans="1:263" ht="27.45" customHeight="1">
      <c r="A54" s="590">
        <v>43</v>
      </c>
      <c r="B54" s="151" t="str">
        <f>Master!D57</f>
        <v>Gaddmidi lakshmi</v>
      </c>
      <c r="C54" s="229">
        <f>Master!C57</f>
        <v>47</v>
      </c>
      <c r="D54" s="152" t="str">
        <f>Master!J57</f>
        <v>Unskilled Gardner</v>
      </c>
      <c r="E54" s="230">
        <f>Master!AA57</f>
        <v>26</v>
      </c>
      <c r="F54" s="231" t="s">
        <v>28</v>
      </c>
      <c r="G54" s="140">
        <f>Master!AC57</f>
        <v>10627</v>
      </c>
      <c r="H54" s="225">
        <f>Master!AD57</f>
        <v>3207</v>
      </c>
      <c r="I54" s="143">
        <f>Master!AE57</f>
        <v>4931.333333333333</v>
      </c>
      <c r="J54" s="143">
        <f>Master!AB57</f>
        <v>0</v>
      </c>
      <c r="K54" s="144">
        <f>Master!AG57</f>
        <v>0</v>
      </c>
      <c r="L54" s="144">
        <f>Master!AH57</f>
        <v>677.73333333333335</v>
      </c>
      <c r="M54" s="144">
        <f>Master!AI57</f>
        <v>394.33333333333331</v>
      </c>
      <c r="N54" s="144">
        <f>Master!AJ57</f>
        <v>0</v>
      </c>
      <c r="O54" s="144">
        <f t="shared" si="0"/>
        <v>9210.4</v>
      </c>
      <c r="P54" s="225">
        <f>Master!AL57</f>
        <v>70</v>
      </c>
      <c r="Q54" s="144">
        <f>Master!AM57</f>
        <v>1105</v>
      </c>
      <c r="R54" s="144">
        <f>Master!AN57</f>
        <v>0</v>
      </c>
      <c r="S54" s="144">
        <f>Master!AO57</f>
        <v>0</v>
      </c>
      <c r="T54" s="144">
        <f>Master!AP57</f>
        <v>0</v>
      </c>
      <c r="U54" s="144">
        <f>Master!AQ57</f>
        <v>1175</v>
      </c>
      <c r="V54" s="144">
        <f t="shared" si="1"/>
        <v>8035.4</v>
      </c>
      <c r="W54" s="137" t="str">
        <f>Master!AS57</f>
        <v>7th May 2020</v>
      </c>
      <c r="X54" s="137" t="str">
        <f>Master!AT57</f>
        <v>SBIN0014234</v>
      </c>
      <c r="Y54" s="232">
        <f>Master!AU57</f>
        <v>35101295296</v>
      </c>
      <c r="Z54" s="595"/>
    </row>
    <row r="55" spans="1:263" ht="27.45" customHeight="1">
      <c r="A55" s="590">
        <v>44</v>
      </c>
      <c r="B55" s="151" t="str">
        <f>Master!D58</f>
        <v>Gaddamidi raghu</v>
      </c>
      <c r="C55" s="229">
        <f>Master!C58</f>
        <v>49</v>
      </c>
      <c r="D55" s="152" t="str">
        <f>Master!J58</f>
        <v>Semi Skilled Gardner</v>
      </c>
      <c r="E55" s="230">
        <f>Master!AA58</f>
        <v>26</v>
      </c>
      <c r="F55" s="231" t="s">
        <v>28</v>
      </c>
      <c r="G55" s="140">
        <f>Master!AC58</f>
        <v>11459</v>
      </c>
      <c r="H55" s="225">
        <f>Master!AD58</f>
        <v>3844</v>
      </c>
      <c r="I55" s="143">
        <f>Master!AE58</f>
        <v>4931.333333333333</v>
      </c>
      <c r="J55" s="143">
        <f>Master!AB58</f>
        <v>0</v>
      </c>
      <c r="K55" s="144">
        <f>Master!AG58</f>
        <v>0</v>
      </c>
      <c r="L55" s="144">
        <f>Master!AH58</f>
        <v>730.6</v>
      </c>
      <c r="M55" s="144">
        <f>Master!AI58</f>
        <v>425.53333333333336</v>
      </c>
      <c r="N55" s="144">
        <f>Master!AJ58</f>
        <v>0</v>
      </c>
      <c r="O55" s="144">
        <f t="shared" si="0"/>
        <v>9931.4666666666653</v>
      </c>
      <c r="P55" s="225">
        <f>Master!AL58</f>
        <v>75</v>
      </c>
      <c r="Q55" s="144">
        <f>Master!AM58</f>
        <v>1192</v>
      </c>
      <c r="R55" s="144">
        <f>Master!AN58</f>
        <v>0</v>
      </c>
      <c r="S55" s="144">
        <f>Master!AO58</f>
        <v>0</v>
      </c>
      <c r="T55" s="144">
        <f>Master!AP58</f>
        <v>0</v>
      </c>
      <c r="U55" s="144">
        <f>Master!AQ58</f>
        <v>1267</v>
      </c>
      <c r="V55" s="144">
        <f t="shared" si="1"/>
        <v>8664.4666666666653</v>
      </c>
      <c r="W55" s="137" t="str">
        <f>Master!AS58</f>
        <v>7th May 2020</v>
      </c>
      <c r="X55" s="137" t="str">
        <f>Master!AT58</f>
        <v>SBIN0014234</v>
      </c>
      <c r="Y55" s="232">
        <f>Master!AU58</f>
        <v>35200839277</v>
      </c>
      <c r="Z55" s="595"/>
    </row>
    <row r="56" spans="1:263" ht="27.45" customHeight="1">
      <c r="A56" s="590">
        <v>45</v>
      </c>
      <c r="B56" s="151" t="str">
        <f>Master!D59</f>
        <v>Laxman</v>
      </c>
      <c r="C56" s="229">
        <f>Master!C59</f>
        <v>50</v>
      </c>
      <c r="D56" s="152" t="str">
        <f>Master!J59</f>
        <v>Semi Skilled Gardner</v>
      </c>
      <c r="E56" s="230">
        <f>Master!AA59</f>
        <v>26</v>
      </c>
      <c r="F56" s="231" t="s">
        <v>28</v>
      </c>
      <c r="G56" s="140">
        <f>Master!AC59</f>
        <v>11459</v>
      </c>
      <c r="H56" s="225">
        <f>Master!AD59</f>
        <v>3844</v>
      </c>
      <c r="I56" s="143">
        <f>Master!AE59</f>
        <v>4931.333333333333</v>
      </c>
      <c r="J56" s="143">
        <f>Master!AB59</f>
        <v>0</v>
      </c>
      <c r="K56" s="144">
        <f>Master!AG59</f>
        <v>0</v>
      </c>
      <c r="L56" s="144">
        <f>Master!AH59</f>
        <v>730.6</v>
      </c>
      <c r="M56" s="144">
        <f>Master!AI59</f>
        <v>425.53333333333336</v>
      </c>
      <c r="N56" s="144">
        <f>Master!AJ59</f>
        <v>0</v>
      </c>
      <c r="O56" s="144">
        <f t="shared" si="0"/>
        <v>9931.4666666666653</v>
      </c>
      <c r="P56" s="225">
        <f>Master!AL59</f>
        <v>75</v>
      </c>
      <c r="Q56" s="144">
        <f>Master!AM59</f>
        <v>1192</v>
      </c>
      <c r="R56" s="144">
        <f>Master!AN59</f>
        <v>0</v>
      </c>
      <c r="S56" s="144">
        <f>Master!AO59</f>
        <v>0</v>
      </c>
      <c r="T56" s="144">
        <f>Master!AP59</f>
        <v>0</v>
      </c>
      <c r="U56" s="144">
        <f>Master!AQ59</f>
        <v>1267</v>
      </c>
      <c r="V56" s="144">
        <f t="shared" si="1"/>
        <v>8664.4666666666653</v>
      </c>
      <c r="W56" s="137" t="str">
        <f>Master!AS59</f>
        <v>7th May 2020</v>
      </c>
      <c r="X56" s="137" t="str">
        <f>Master!AT59</f>
        <v>CNRB0003868</v>
      </c>
      <c r="Y56" s="232">
        <f>Master!AU59</f>
        <v>3868101008111</v>
      </c>
      <c r="Z56" s="595"/>
    </row>
    <row r="57" spans="1:263" ht="27.45" customHeight="1">
      <c r="A57" s="590">
        <v>46</v>
      </c>
      <c r="B57" s="151" t="str">
        <f>Master!D60</f>
        <v>VADLA JYOTHI</v>
      </c>
      <c r="C57" s="229">
        <f>Master!C60</f>
        <v>51</v>
      </c>
      <c r="D57" s="152" t="str">
        <f>Master!J60</f>
        <v>Unskilled Gardner</v>
      </c>
      <c r="E57" s="230">
        <f>Master!AA60</f>
        <v>26</v>
      </c>
      <c r="F57" s="231" t="s">
        <v>28</v>
      </c>
      <c r="G57" s="140">
        <f>Master!AC60</f>
        <v>10627</v>
      </c>
      <c r="H57" s="225">
        <f>Master!AD60</f>
        <v>3207</v>
      </c>
      <c r="I57" s="143">
        <f>Master!AE60</f>
        <v>4931.333333333333</v>
      </c>
      <c r="J57" s="143">
        <f>Master!AB60</f>
        <v>0</v>
      </c>
      <c r="K57" s="144">
        <f>Master!AG60</f>
        <v>0</v>
      </c>
      <c r="L57" s="144">
        <f>Master!AH60</f>
        <v>677.73333333333335</v>
      </c>
      <c r="M57" s="144">
        <f>Master!AI60</f>
        <v>394.33333333333331</v>
      </c>
      <c r="N57" s="144">
        <f>Master!AJ60</f>
        <v>0</v>
      </c>
      <c r="O57" s="144">
        <f t="shared" si="0"/>
        <v>9210.4</v>
      </c>
      <c r="P57" s="225">
        <f>Master!AL60</f>
        <v>70</v>
      </c>
      <c r="Q57" s="144">
        <f>Master!AM60</f>
        <v>1105</v>
      </c>
      <c r="R57" s="144">
        <f>Master!AN60</f>
        <v>0</v>
      </c>
      <c r="S57" s="144">
        <f>Master!AO60</f>
        <v>0</v>
      </c>
      <c r="T57" s="144">
        <f>Master!AP60</f>
        <v>0</v>
      </c>
      <c r="U57" s="144">
        <f>Master!AQ60</f>
        <v>1175</v>
      </c>
      <c r="V57" s="144">
        <f t="shared" si="1"/>
        <v>8035.4</v>
      </c>
      <c r="W57" s="137" t="str">
        <f>Master!AS60</f>
        <v>7th May 2020</v>
      </c>
      <c r="X57" s="137" t="str">
        <f>Master!AT60</f>
        <v>IBKL0000888</v>
      </c>
      <c r="Y57" s="232" t="str">
        <f>Master!AU60</f>
        <v>0888104000048675'</v>
      </c>
      <c r="Z57" s="595"/>
    </row>
    <row r="58" spans="1:263" ht="27.45" customHeight="1">
      <c r="A58" s="590">
        <v>47</v>
      </c>
      <c r="B58" s="151" t="str">
        <f>Master!D61</f>
        <v>Rupesh Chandra Jakhmola</v>
      </c>
      <c r="C58" s="229">
        <f>Master!C61</f>
        <v>52</v>
      </c>
      <c r="D58" s="152" t="str">
        <f>Master!J61</f>
        <v>Manager</v>
      </c>
      <c r="E58" s="230">
        <f>Master!AA61</f>
        <v>30</v>
      </c>
      <c r="F58" s="231" t="s">
        <v>28</v>
      </c>
      <c r="G58" s="140">
        <f>Master!AC61</f>
        <v>27800</v>
      </c>
      <c r="H58" s="225">
        <f>Master!AD61</f>
        <v>23000</v>
      </c>
      <c r="I58" s="143">
        <f>Master!AE61</f>
        <v>0</v>
      </c>
      <c r="J58" s="143">
        <f>Master!AB61</f>
        <v>0</v>
      </c>
      <c r="K58" s="144">
        <f>Master!AG61</f>
        <v>0</v>
      </c>
      <c r="L58" s="144">
        <f>Master!AH61</f>
        <v>0</v>
      </c>
      <c r="M58" s="144">
        <f>Master!AI61</f>
        <v>0</v>
      </c>
      <c r="N58" s="144">
        <f>Master!AJ61</f>
        <v>4800</v>
      </c>
      <c r="O58" s="144">
        <f t="shared" si="0"/>
        <v>27800</v>
      </c>
      <c r="P58" s="225">
        <f>Master!AL61</f>
        <v>0</v>
      </c>
      <c r="Q58" s="144">
        <f>Master!AM61</f>
        <v>1800</v>
      </c>
      <c r="R58" s="144">
        <f>Master!AN61</f>
        <v>200</v>
      </c>
      <c r="S58" s="144">
        <f>Master!AO61</f>
        <v>0</v>
      </c>
      <c r="T58" s="144">
        <f>Master!AP61</f>
        <v>0</v>
      </c>
      <c r="U58" s="144">
        <f>Master!AQ61</f>
        <v>2000</v>
      </c>
      <c r="V58" s="144">
        <f t="shared" si="1"/>
        <v>25800</v>
      </c>
      <c r="W58" s="137" t="str">
        <f>Master!AS61</f>
        <v>7th May 2020</v>
      </c>
      <c r="X58" s="137" t="str">
        <f>Master!AT61</f>
        <v>IDFB0021001</v>
      </c>
      <c r="Y58" s="232">
        <f>Master!AU61</f>
        <v>10024839331</v>
      </c>
      <c r="Z58" s="595"/>
    </row>
    <row r="59" spans="1:263" ht="27.45" customHeight="1">
      <c r="A59" s="590">
        <v>48</v>
      </c>
      <c r="B59" s="151" t="str">
        <f>Master!D62</f>
        <v>Bakkani Mallaiah</v>
      </c>
      <c r="C59" s="229">
        <f>Master!C62</f>
        <v>53</v>
      </c>
      <c r="D59" s="152" t="str">
        <f>Master!J62</f>
        <v>Semi Skilled Gardner</v>
      </c>
      <c r="E59" s="230">
        <f>Master!AA62</f>
        <v>26</v>
      </c>
      <c r="F59" s="231" t="s">
        <v>28</v>
      </c>
      <c r="G59" s="140">
        <f>Master!AC62</f>
        <v>13753</v>
      </c>
      <c r="H59" s="225">
        <f>Master!AD62</f>
        <v>3844</v>
      </c>
      <c r="I59" s="143">
        <f>Master!AE62</f>
        <v>4931.333333333333</v>
      </c>
      <c r="J59" s="143">
        <f>Master!AB62</f>
        <v>0</v>
      </c>
      <c r="K59" s="144">
        <f>Master!AG62</f>
        <v>0</v>
      </c>
      <c r="L59" s="144">
        <f>Master!AH62</f>
        <v>730.6</v>
      </c>
      <c r="M59" s="144">
        <f>Master!AI62</f>
        <v>425.53333333333336</v>
      </c>
      <c r="N59" s="144">
        <f>Master!AJ62</f>
        <v>1988.1333333333334</v>
      </c>
      <c r="O59" s="144">
        <f t="shared" si="0"/>
        <v>11919.599999999999</v>
      </c>
      <c r="P59" s="225">
        <f>Master!AL62</f>
        <v>90</v>
      </c>
      <c r="Q59" s="144">
        <f>Master!AM62</f>
        <v>1430</v>
      </c>
      <c r="R59" s="144">
        <f>Master!AN62</f>
        <v>0</v>
      </c>
      <c r="S59" s="144">
        <f>Master!AO62</f>
        <v>0</v>
      </c>
      <c r="T59" s="144">
        <f>Master!AP62</f>
        <v>0</v>
      </c>
      <c r="U59" s="144">
        <f>Master!AQ62</f>
        <v>1520</v>
      </c>
      <c r="V59" s="144">
        <f t="shared" si="1"/>
        <v>10399.599999999999</v>
      </c>
      <c r="W59" s="137" t="str">
        <f>Master!AS62</f>
        <v>7th May 2020</v>
      </c>
      <c r="X59" s="137" t="str">
        <f>Master!AT62</f>
        <v>SBIN0020092</v>
      </c>
      <c r="Y59" s="232">
        <f>Master!AU62</f>
        <v>62325068437</v>
      </c>
      <c r="Z59" s="595"/>
    </row>
    <row r="60" spans="1:263" ht="27.45" customHeight="1">
      <c r="A60" s="590">
        <v>49</v>
      </c>
      <c r="B60" s="151" t="str">
        <f>Master!D63</f>
        <v>Chakali Narayana</v>
      </c>
      <c r="C60" s="229">
        <f>Master!C63</f>
        <v>54</v>
      </c>
      <c r="D60" s="152" t="str">
        <f>Master!J63</f>
        <v>Semi Skilled Gardner</v>
      </c>
      <c r="E60" s="230">
        <f>Master!AA63</f>
        <v>26</v>
      </c>
      <c r="F60" s="231" t="s">
        <v>28</v>
      </c>
      <c r="G60" s="140">
        <f>Master!AC63</f>
        <v>11459</v>
      </c>
      <c r="H60" s="225">
        <f>Master!AD63</f>
        <v>3844</v>
      </c>
      <c r="I60" s="143">
        <f>Master!AE63</f>
        <v>4931.333333333333</v>
      </c>
      <c r="J60" s="143">
        <f>Master!AB63</f>
        <v>0</v>
      </c>
      <c r="K60" s="144">
        <f>Master!AG63</f>
        <v>0</v>
      </c>
      <c r="L60" s="144">
        <f>Master!AH63</f>
        <v>730.6</v>
      </c>
      <c r="M60" s="144">
        <f>Master!AI63</f>
        <v>425.53333333333336</v>
      </c>
      <c r="N60" s="144">
        <f>Master!AJ63</f>
        <v>0</v>
      </c>
      <c r="O60" s="144">
        <f t="shared" si="0"/>
        <v>9931.4666666666653</v>
      </c>
      <c r="P60" s="225">
        <f>Master!AL63</f>
        <v>75</v>
      </c>
      <c r="Q60" s="144">
        <f>Master!AM63</f>
        <v>1192</v>
      </c>
      <c r="R60" s="144">
        <f>Master!AN63</f>
        <v>0</v>
      </c>
      <c r="S60" s="144">
        <f>Master!AO63</f>
        <v>0</v>
      </c>
      <c r="T60" s="144">
        <f>Master!AP63</f>
        <v>0</v>
      </c>
      <c r="U60" s="144">
        <f>Master!AQ63</f>
        <v>1267</v>
      </c>
      <c r="V60" s="144">
        <f t="shared" si="1"/>
        <v>8664.4666666666653</v>
      </c>
      <c r="W60" s="137" t="str">
        <f>Master!AS63</f>
        <v>7th May 2020</v>
      </c>
      <c r="X60" s="137" t="str">
        <f>Master!AT63</f>
        <v>SBINORRAPGB</v>
      </c>
      <c r="Y60" s="232">
        <f>Master!AU63</f>
        <v>73067905502</v>
      </c>
      <c r="Z60" s="595"/>
    </row>
    <row r="61" spans="1:263" ht="27.45" customHeight="1">
      <c r="A61" s="590">
        <v>50</v>
      </c>
      <c r="B61" s="151" t="str">
        <f>Master!D64</f>
        <v>Mutyala Poshavva</v>
      </c>
      <c r="C61" s="229">
        <f>Master!C64</f>
        <v>55</v>
      </c>
      <c r="D61" s="152" t="str">
        <f>Master!J64</f>
        <v>Unskilled Gardner</v>
      </c>
      <c r="E61" s="230">
        <f>Master!AA64</f>
        <v>0</v>
      </c>
      <c r="F61" s="231" t="s">
        <v>28</v>
      </c>
      <c r="G61" s="140">
        <f>Master!AC64</f>
        <v>10627</v>
      </c>
      <c r="H61" s="225">
        <f>Master!AD64</f>
        <v>0</v>
      </c>
      <c r="I61" s="143">
        <f>Master!AE64</f>
        <v>0</v>
      </c>
      <c r="J61" s="143">
        <f>Master!AB64</f>
        <v>0</v>
      </c>
      <c r="K61" s="144">
        <f>Master!AG64</f>
        <v>0</v>
      </c>
      <c r="L61" s="144">
        <f>Master!AH64</f>
        <v>0</v>
      </c>
      <c r="M61" s="144">
        <f>Master!AI64</f>
        <v>0</v>
      </c>
      <c r="N61" s="144">
        <f>Master!AJ64</f>
        <v>0</v>
      </c>
      <c r="O61" s="144">
        <f t="shared" si="0"/>
        <v>0</v>
      </c>
      <c r="P61" s="225">
        <f>Master!AL64</f>
        <v>0</v>
      </c>
      <c r="Q61" s="144">
        <f>Master!AM64</f>
        <v>0</v>
      </c>
      <c r="R61" s="144">
        <f>Master!AN64</f>
        <v>0</v>
      </c>
      <c r="S61" s="144">
        <f>Master!AO64</f>
        <v>0</v>
      </c>
      <c r="T61" s="144">
        <f>Master!AP64</f>
        <v>0</v>
      </c>
      <c r="U61" s="144">
        <f>Master!AQ64</f>
        <v>0</v>
      </c>
      <c r="V61" s="144">
        <f t="shared" si="1"/>
        <v>0</v>
      </c>
      <c r="W61" s="137" t="str">
        <f>Master!AS64</f>
        <v>7th May 2020</v>
      </c>
      <c r="X61" s="137" t="str">
        <f>Master!AT64</f>
        <v>Bank Cheque</v>
      </c>
      <c r="Y61" s="232" t="str">
        <f>Master!AU64</f>
        <v>Bank Cheque</v>
      </c>
      <c r="Z61" s="595"/>
    </row>
    <row r="62" spans="1:263" ht="22.5" customHeight="1">
      <c r="A62" s="166"/>
      <c r="B62" s="167"/>
      <c r="C62" s="113"/>
      <c r="D62" s="168"/>
      <c r="E62" s="114"/>
      <c r="F62" s="169"/>
      <c r="G62" s="560">
        <f t="shared" ref="G62:V62" si="2">SUM(G12:G61)</f>
        <v>587360</v>
      </c>
      <c r="H62" s="560">
        <f t="shared" si="2"/>
        <v>206470</v>
      </c>
      <c r="I62" s="560">
        <f t="shared" si="2"/>
        <v>202184.66666666674</v>
      </c>
      <c r="J62" s="560">
        <f t="shared" si="2"/>
        <v>0</v>
      </c>
      <c r="K62" s="560">
        <f t="shared" si="2"/>
        <v>4721</v>
      </c>
      <c r="L62" s="560">
        <f t="shared" si="2"/>
        <v>28474.333333333336</v>
      </c>
      <c r="M62" s="560">
        <f t="shared" si="2"/>
        <v>16573.266666666674</v>
      </c>
      <c r="N62" s="560">
        <f t="shared" si="2"/>
        <v>13171.266666666666</v>
      </c>
      <c r="O62" s="560">
        <f t="shared" si="2"/>
        <v>471594.53333333362</v>
      </c>
      <c r="P62" s="560">
        <f t="shared" si="2"/>
        <v>3362</v>
      </c>
      <c r="Q62" s="560">
        <f t="shared" si="2"/>
        <v>52084</v>
      </c>
      <c r="R62" s="560">
        <f t="shared" si="2"/>
        <v>500</v>
      </c>
      <c r="S62" s="560">
        <f t="shared" si="2"/>
        <v>0</v>
      </c>
      <c r="T62" s="560">
        <f t="shared" si="2"/>
        <v>0</v>
      </c>
      <c r="U62" s="560">
        <f t="shared" si="2"/>
        <v>55946</v>
      </c>
      <c r="V62" s="560">
        <f t="shared" si="2"/>
        <v>415648.53333333344</v>
      </c>
      <c r="W62" s="170"/>
      <c r="X62" s="170"/>
      <c r="Y62" s="170"/>
      <c r="Z62" s="233"/>
    </row>
    <row r="63" spans="1:263" ht="22.5" customHeight="1">
      <c r="A63" s="166"/>
      <c r="B63" s="167"/>
      <c r="C63" s="113"/>
      <c r="D63" s="168"/>
      <c r="E63" s="114"/>
      <c r="F63" s="169"/>
      <c r="G63" s="170"/>
      <c r="H63" s="170"/>
      <c r="I63" s="170"/>
      <c r="J63" s="170"/>
      <c r="K63" s="170"/>
      <c r="L63" s="170"/>
      <c r="M63" s="170"/>
      <c r="N63" s="170"/>
      <c r="O63" s="170"/>
      <c r="P63" s="170"/>
      <c r="Q63" s="170"/>
      <c r="R63" s="170"/>
      <c r="S63" s="170"/>
      <c r="T63" s="170"/>
      <c r="U63" s="170"/>
      <c r="V63" s="170"/>
      <c r="W63" s="170"/>
      <c r="X63" s="170"/>
      <c r="Y63" s="170"/>
      <c r="Z63" s="233"/>
    </row>
    <row r="64" spans="1:263" ht="13.2" customHeight="1" thickBot="1">
      <c r="A64" s="174"/>
      <c r="B64" s="1031"/>
      <c r="C64" s="1031"/>
      <c r="D64" s="175"/>
      <c r="E64" s="176"/>
      <c r="F64" s="176"/>
      <c r="G64" s="177"/>
      <c r="H64" s="176"/>
      <c r="I64" s="176"/>
      <c r="J64" s="1031" t="s">
        <v>29</v>
      </c>
      <c r="K64" s="1031"/>
      <c r="L64" s="1031"/>
      <c r="M64" s="1031"/>
      <c r="N64" s="1031"/>
      <c r="O64" s="1031"/>
      <c r="P64" s="1031"/>
      <c r="Q64" s="1031"/>
      <c r="R64" s="1031"/>
      <c r="S64" s="1031"/>
      <c r="T64" s="1031"/>
      <c r="U64" s="1031"/>
      <c r="V64" s="1031"/>
      <c r="W64" s="1031"/>
      <c r="X64" s="1031"/>
      <c r="Y64" s="1031"/>
      <c r="Z64" s="234"/>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c r="DZ64" s="13"/>
      <c r="EA64" s="13"/>
      <c r="EB64" s="13"/>
      <c r="EC64" s="13"/>
      <c r="ED64" s="13"/>
      <c r="EE64" s="13"/>
      <c r="EF64" s="13"/>
      <c r="EG64" s="13"/>
      <c r="EH64" s="13"/>
      <c r="EI64" s="13"/>
      <c r="EJ64" s="13"/>
      <c r="EK64" s="13"/>
      <c r="EL64" s="13"/>
      <c r="EM64" s="13"/>
      <c r="EN64" s="13"/>
      <c r="EO64" s="13"/>
      <c r="EP64" s="13"/>
      <c r="EQ64" s="13"/>
      <c r="ER64" s="13"/>
      <c r="ES64" s="13"/>
      <c r="ET64" s="13"/>
      <c r="EU64" s="13"/>
      <c r="EV64" s="13"/>
      <c r="EW64" s="13"/>
      <c r="EX64" s="13"/>
      <c r="EY64" s="13"/>
      <c r="EZ64" s="13"/>
      <c r="FA64" s="13"/>
      <c r="FB64" s="13"/>
      <c r="FC64" s="13"/>
      <c r="FD64" s="13"/>
      <c r="FE64" s="13"/>
      <c r="FF64" s="13"/>
      <c r="FG64" s="13"/>
      <c r="FH64" s="13"/>
      <c r="FI64" s="13"/>
      <c r="FJ64" s="13"/>
      <c r="FK64" s="13"/>
      <c r="FL64" s="13"/>
      <c r="FM64" s="13"/>
      <c r="FN64" s="13"/>
      <c r="FO64" s="13"/>
      <c r="FP64" s="13"/>
      <c r="FQ64" s="13"/>
      <c r="FR64" s="13"/>
      <c r="FS64" s="13"/>
      <c r="FT64" s="13"/>
      <c r="FU64" s="13"/>
      <c r="FV64" s="13"/>
      <c r="FW64" s="13"/>
      <c r="FX64" s="13"/>
      <c r="FY64" s="13"/>
      <c r="FZ64" s="13"/>
      <c r="GA64" s="13"/>
      <c r="GB64" s="13"/>
      <c r="GC64" s="13"/>
      <c r="GD64" s="13"/>
      <c r="GE64" s="13"/>
      <c r="GF64" s="13"/>
      <c r="GG64" s="13"/>
      <c r="GH64" s="13"/>
      <c r="GI64" s="13"/>
      <c r="GJ64" s="13"/>
      <c r="GK64" s="13"/>
      <c r="GL64" s="13"/>
      <c r="GM64" s="13"/>
      <c r="GN64" s="13"/>
      <c r="GO64" s="13"/>
      <c r="GP64" s="13"/>
      <c r="GQ64" s="13"/>
      <c r="GR64" s="13"/>
      <c r="GS64" s="13"/>
      <c r="GT64" s="13"/>
      <c r="GU64" s="13"/>
      <c r="GV64" s="13"/>
      <c r="GW64" s="13"/>
      <c r="GX64" s="13"/>
      <c r="GY64" s="13"/>
      <c r="GZ64" s="13"/>
      <c r="HA64" s="13"/>
      <c r="HB64" s="13"/>
      <c r="HC64" s="13"/>
      <c r="HD64" s="13"/>
      <c r="HE64" s="13"/>
      <c r="HF64" s="13"/>
      <c r="HG64" s="13"/>
      <c r="HH64" s="13"/>
      <c r="HI64" s="13"/>
      <c r="HJ64" s="13"/>
      <c r="HK64" s="13"/>
      <c r="HL64" s="13"/>
      <c r="HM64" s="13"/>
      <c r="HN64" s="13"/>
      <c r="HO64" s="13"/>
      <c r="HP64" s="13"/>
      <c r="HQ64" s="13"/>
      <c r="HR64" s="13"/>
      <c r="HS64" s="13"/>
      <c r="HT64" s="13"/>
      <c r="HU64" s="13"/>
      <c r="HV64" s="13"/>
      <c r="HW64" s="13"/>
      <c r="HX64" s="13"/>
      <c r="HY64" s="13"/>
      <c r="HZ64" s="13"/>
      <c r="IA64" s="13"/>
      <c r="IB64" s="13"/>
      <c r="IC64" s="13"/>
      <c r="ID64" s="13"/>
      <c r="IE64" s="13"/>
      <c r="IF64" s="13"/>
      <c r="IG64" s="13"/>
      <c r="IH64" s="13"/>
      <c r="II64" s="13"/>
      <c r="IJ64" s="13"/>
      <c r="IK64" s="13"/>
      <c r="IL64" s="13"/>
      <c r="IM64" s="13"/>
      <c r="IN64" s="13"/>
      <c r="IO64" s="13"/>
      <c r="IP64" s="13"/>
      <c r="IQ64" s="13"/>
      <c r="IR64" s="13"/>
      <c r="IS64" s="13"/>
      <c r="IT64" s="13"/>
      <c r="IU64" s="13"/>
      <c r="IV64" s="13"/>
      <c r="IW64" s="13"/>
      <c r="IX64" s="13"/>
      <c r="IY64" s="13"/>
      <c r="IZ64" s="13"/>
      <c r="JA64" s="13"/>
      <c r="JB64" s="13"/>
      <c r="JC64" s="13"/>
    </row>
  </sheetData>
  <mergeCells count="26">
    <mergeCell ref="A1:Z1"/>
    <mergeCell ref="A3:C3"/>
    <mergeCell ref="A5:C5"/>
    <mergeCell ref="R6:Z6"/>
    <mergeCell ref="A7:C8"/>
    <mergeCell ref="D7:H8"/>
    <mergeCell ref="A10:A11"/>
    <mergeCell ref="B10:B11"/>
    <mergeCell ref="C10:C11"/>
    <mergeCell ref="D10:D11"/>
    <mergeCell ref="E10:E11"/>
    <mergeCell ref="J64:Y64"/>
    <mergeCell ref="B64:C64"/>
    <mergeCell ref="Z10:Z11"/>
    <mergeCell ref="G10:G11"/>
    <mergeCell ref="H10:H11"/>
    <mergeCell ref="I10:I11"/>
    <mergeCell ref="J10:J11"/>
    <mergeCell ref="F10:F11"/>
    <mergeCell ref="P10:U10"/>
    <mergeCell ref="V10:V11"/>
    <mergeCell ref="W10:W11"/>
    <mergeCell ref="Y10:Y11"/>
    <mergeCell ref="K10:N10"/>
    <mergeCell ref="O10:O11"/>
    <mergeCell ref="X10:X11"/>
  </mergeCells>
  <printOptions horizontalCentered="1" verticalCentered="1"/>
  <pageMargins left="0.23622047244094499" right="0.23622047244094499" top="0.5" bottom="2.5" header="0.5" footer="2.5"/>
  <pageSetup paperSize="8" scale="60" orientation="landscape" verticalDpi="300" r:id="rId1"/>
</worksheet>
</file>

<file path=xl/worksheets/sheet9.xml><?xml version="1.0" encoding="utf-8"?>
<worksheet xmlns="http://schemas.openxmlformats.org/spreadsheetml/2006/main" xmlns:r="http://schemas.openxmlformats.org/officeDocument/2006/relationships">
  <dimension ref="A1:S2224"/>
  <sheetViews>
    <sheetView view="pageBreakPreview" zoomScaleSheetLayoutView="100" workbookViewId="0">
      <selection activeCell="G28" sqref="G28"/>
    </sheetView>
  </sheetViews>
  <sheetFormatPr defaultRowHeight="14.4"/>
  <cols>
    <col min="9" max="9" width="12.33203125" customWidth="1"/>
    <col min="19" max="19" width="13" customWidth="1"/>
  </cols>
  <sheetData>
    <row r="1" spans="1:19" ht="15" thickBot="1"/>
    <row r="2" spans="1:19" ht="24.6">
      <c r="A2" s="1091" t="s">
        <v>39</v>
      </c>
      <c r="B2" s="1092"/>
      <c r="C2" s="1092"/>
      <c r="D2" s="1092"/>
      <c r="E2" s="1092"/>
      <c r="F2" s="1092"/>
      <c r="G2" s="1092"/>
      <c r="H2" s="1092"/>
      <c r="I2" s="1093"/>
      <c r="K2" s="1091" t="s">
        <v>39</v>
      </c>
      <c r="L2" s="1092"/>
      <c r="M2" s="1092"/>
      <c r="N2" s="1092"/>
      <c r="O2" s="1092"/>
      <c r="P2" s="1092"/>
      <c r="Q2" s="1092"/>
      <c r="R2" s="1092"/>
      <c r="S2" s="1093"/>
    </row>
    <row r="3" spans="1:19">
      <c r="A3" s="1094" t="s">
        <v>1075</v>
      </c>
      <c r="B3" s="1095"/>
      <c r="C3" s="1095"/>
      <c r="D3" s="1095"/>
      <c r="E3" s="1095"/>
      <c r="F3" s="1095"/>
      <c r="G3" s="1095"/>
      <c r="H3" s="1095"/>
      <c r="I3" s="1096"/>
      <c r="K3" s="1094" t="str">
        <f>A3</f>
        <v>[Vide rule 78 (1) (b) of the Contract Labour (Regulation and Abolition) Central and A.P.{T.S.}Rules, 1971]</v>
      </c>
      <c r="L3" s="1095"/>
      <c r="M3" s="1095"/>
      <c r="N3" s="1095"/>
      <c r="O3" s="1095"/>
      <c r="P3" s="1095"/>
      <c r="Q3" s="1095"/>
      <c r="R3" s="1095"/>
      <c r="S3" s="1096"/>
    </row>
    <row r="4" spans="1:19">
      <c r="A4" s="15"/>
      <c r="B4" s="114"/>
      <c r="C4" s="114"/>
      <c r="D4" s="114"/>
      <c r="E4" s="114"/>
      <c r="F4" s="114"/>
      <c r="G4" s="114"/>
      <c r="H4" s="114"/>
      <c r="I4" s="16"/>
      <c r="K4" s="15"/>
      <c r="L4" s="114"/>
      <c r="M4" s="114"/>
      <c r="N4" s="114"/>
      <c r="O4" s="114"/>
      <c r="P4" s="114"/>
      <c r="Q4" s="114"/>
      <c r="R4" s="114"/>
      <c r="S4" s="16"/>
    </row>
    <row r="5" spans="1:19">
      <c r="A5" s="17" t="s">
        <v>40</v>
      </c>
      <c r="B5" s="120"/>
      <c r="C5" s="120"/>
      <c r="D5" s="121" t="str">
        <f>Master!F5</f>
        <v>GROTECH LANDSCAPE DEVELOPERS PVT. LTD.</v>
      </c>
      <c r="E5" s="114"/>
      <c r="F5" s="114"/>
      <c r="G5" s="114"/>
      <c r="H5" s="114"/>
      <c r="I5" s="16"/>
      <c r="K5" s="17" t="s">
        <v>40</v>
      </c>
      <c r="L5" s="120"/>
      <c r="M5" s="120"/>
      <c r="N5" s="121" t="str">
        <f>D5</f>
        <v>GROTECH LANDSCAPE DEVELOPERS PVT. LTD.</v>
      </c>
      <c r="O5" s="114"/>
      <c r="P5" s="114"/>
      <c r="Q5" s="114"/>
      <c r="R5" s="114"/>
      <c r="S5" s="16"/>
    </row>
    <row r="6" spans="1:19">
      <c r="A6" s="17"/>
      <c r="B6" s="120" t="str">
        <f>Master!F6</f>
        <v>290/E, Khanapur Village, Gandipet Mandal, Ranga Reddy, Hyderabad-500075 T.S.</v>
      </c>
      <c r="C6" s="120"/>
      <c r="D6" s="114"/>
      <c r="E6" s="114"/>
      <c r="F6" s="114"/>
      <c r="G6" s="114"/>
      <c r="H6" s="114"/>
      <c r="I6" s="16"/>
      <c r="K6" s="17"/>
      <c r="L6" s="120" t="str">
        <f>B6</f>
        <v>290/E, Khanapur Village, Gandipet Mandal, Ranga Reddy, Hyderabad-500075 T.S.</v>
      </c>
      <c r="M6" s="120"/>
      <c r="N6" s="114"/>
      <c r="O6" s="114"/>
      <c r="P6" s="114"/>
      <c r="Q6" s="114"/>
      <c r="R6" s="114"/>
      <c r="S6" s="16"/>
    </row>
    <row r="7" spans="1:19">
      <c r="A7" s="17"/>
      <c r="B7" s="120"/>
      <c r="C7" s="120"/>
      <c r="D7" s="120"/>
      <c r="E7" s="120"/>
      <c r="F7" s="114"/>
      <c r="G7" s="114"/>
      <c r="H7" s="114"/>
      <c r="I7" s="16"/>
      <c r="K7" s="17"/>
      <c r="L7" s="120"/>
      <c r="M7" s="120"/>
      <c r="N7" s="120"/>
      <c r="O7" s="120"/>
      <c r="P7" s="114"/>
      <c r="Q7" s="114"/>
      <c r="R7" s="114"/>
      <c r="S7" s="16"/>
    </row>
    <row r="8" spans="1:19">
      <c r="A8" s="1097" t="s">
        <v>41</v>
      </c>
      <c r="B8" s="1098"/>
      <c r="C8" s="1098"/>
      <c r="D8" s="1098"/>
      <c r="E8" s="120"/>
      <c r="F8" s="114"/>
      <c r="G8" s="114"/>
      <c r="H8" s="114"/>
      <c r="I8" s="16"/>
      <c r="K8" s="1097" t="s">
        <v>41</v>
      </c>
      <c r="L8" s="1098"/>
      <c r="M8" s="1098"/>
      <c r="N8" s="1098"/>
      <c r="O8" s="120"/>
      <c r="P8" s="114"/>
      <c r="Q8" s="114"/>
      <c r="R8" s="114"/>
      <c r="S8" s="16"/>
    </row>
    <row r="9" spans="1:19">
      <c r="A9" s="1097"/>
      <c r="B9" s="1098"/>
      <c r="C9" s="1098"/>
      <c r="D9" s="1098"/>
      <c r="E9" s="128" t="str">
        <f>Master!D15</f>
        <v>ARJUN KUMAR</v>
      </c>
      <c r="F9" s="19"/>
      <c r="G9" s="19"/>
      <c r="H9" s="19" t="str">
        <f>Master!G15</f>
        <v xml:space="preserve">kallu </v>
      </c>
      <c r="I9" s="16"/>
      <c r="K9" s="1097"/>
      <c r="L9" s="1098"/>
      <c r="M9" s="1098"/>
      <c r="N9" s="1098"/>
      <c r="O9" s="18" t="str">
        <f>E9</f>
        <v>ARJUN KUMAR</v>
      </c>
      <c r="P9" s="19"/>
      <c r="Q9" s="19"/>
      <c r="R9" s="19" t="str">
        <f>H9</f>
        <v xml:space="preserve">kallu </v>
      </c>
      <c r="S9" s="16"/>
    </row>
    <row r="10" spans="1:19">
      <c r="A10" s="17"/>
      <c r="B10" s="120"/>
      <c r="C10" s="120"/>
      <c r="D10" s="120"/>
      <c r="E10" s="120"/>
      <c r="F10" s="114"/>
      <c r="G10" s="114"/>
      <c r="H10" s="114"/>
      <c r="I10" s="16"/>
      <c r="K10" s="17"/>
      <c r="L10" s="120"/>
      <c r="M10" s="120"/>
      <c r="N10" s="120"/>
      <c r="O10" s="120"/>
      <c r="P10" s="114"/>
      <c r="Q10" s="114"/>
      <c r="R10" s="114"/>
      <c r="S10" s="16"/>
    </row>
    <row r="11" spans="1:19">
      <c r="A11" s="1101" t="s">
        <v>42</v>
      </c>
      <c r="B11" s="1099"/>
      <c r="C11" s="1099"/>
      <c r="D11" s="1099"/>
      <c r="E11" s="24" t="str">
        <f>Master!F8</f>
        <v>GARDENING SERVICES&amp;ISB HYDERABAD</v>
      </c>
      <c r="F11" s="19"/>
      <c r="G11" s="19"/>
      <c r="H11" s="19"/>
      <c r="I11" s="16"/>
      <c r="K11" s="1101" t="s">
        <v>42</v>
      </c>
      <c r="L11" s="1099"/>
      <c r="M11" s="1099"/>
      <c r="N11" s="1099"/>
      <c r="O11" s="24" t="str">
        <f>E11</f>
        <v>GARDENING SERVICES&amp;ISB HYDERABAD</v>
      </c>
      <c r="P11" s="19"/>
      <c r="Q11" s="19"/>
      <c r="R11" s="19"/>
      <c r="S11" s="16"/>
    </row>
    <row r="12" spans="1:19">
      <c r="A12" s="17"/>
      <c r="B12" s="120"/>
      <c r="C12" s="120"/>
      <c r="D12" s="120"/>
      <c r="E12" s="120"/>
      <c r="F12" s="114"/>
      <c r="G12" s="114"/>
      <c r="H12" s="114"/>
      <c r="I12" s="16"/>
      <c r="K12" s="17"/>
      <c r="L12" s="120"/>
      <c r="M12" s="120"/>
      <c r="N12" s="120"/>
      <c r="O12" s="120"/>
      <c r="P12" s="114"/>
      <c r="Q12" s="114"/>
      <c r="R12" s="114"/>
      <c r="S12" s="16"/>
    </row>
    <row r="13" spans="1:19">
      <c r="A13" s="1101" t="s">
        <v>43</v>
      </c>
      <c r="B13" s="1099"/>
      <c r="C13" s="1099"/>
      <c r="D13" s="1099"/>
      <c r="E13" s="20">
        <f>Master!F10</f>
        <v>44652</v>
      </c>
      <c r="F13" s="19"/>
      <c r="G13" s="19"/>
      <c r="H13" s="19"/>
      <c r="I13" s="16"/>
      <c r="K13" s="1101" t="s">
        <v>43</v>
      </c>
      <c r="L13" s="1099"/>
      <c r="M13" s="1099"/>
      <c r="N13" s="1099"/>
      <c r="O13" s="20">
        <f>E13</f>
        <v>44652</v>
      </c>
      <c r="P13" s="19"/>
      <c r="Q13" s="19"/>
      <c r="R13" s="19"/>
      <c r="S13" s="16"/>
    </row>
    <row r="14" spans="1:19">
      <c r="A14" s="17"/>
      <c r="B14" s="120"/>
      <c r="C14" s="120"/>
      <c r="D14" s="120"/>
      <c r="E14" s="120"/>
      <c r="F14" s="114"/>
      <c r="G14" s="114"/>
      <c r="H14" s="114"/>
      <c r="I14" s="16"/>
      <c r="K14" s="17"/>
      <c r="L14" s="120"/>
      <c r="M14" s="120"/>
      <c r="N14" s="120"/>
      <c r="O14" s="120"/>
      <c r="P14" s="114"/>
      <c r="Q14" s="114"/>
      <c r="R14" s="114"/>
      <c r="S14" s="16"/>
    </row>
    <row r="15" spans="1:19">
      <c r="A15" s="21">
        <v>1</v>
      </c>
      <c r="B15" s="1099" t="s">
        <v>44</v>
      </c>
      <c r="C15" s="1099"/>
      <c r="D15" s="1099"/>
      <c r="E15" s="22">
        <f>Master!AA15</f>
        <v>30</v>
      </c>
      <c r="F15" s="19"/>
      <c r="G15" s="19"/>
      <c r="H15" s="19"/>
      <c r="I15" s="16"/>
      <c r="K15" s="21">
        <v>1</v>
      </c>
      <c r="L15" s="1099" t="s">
        <v>44</v>
      </c>
      <c r="M15" s="1099"/>
      <c r="N15" s="1099"/>
      <c r="O15" s="22">
        <f>E15</f>
        <v>30</v>
      </c>
      <c r="P15" s="19"/>
      <c r="Q15" s="19"/>
      <c r="R15" s="19"/>
      <c r="S15" s="16"/>
    </row>
    <row r="16" spans="1:19">
      <c r="A16" s="21"/>
      <c r="B16" s="120"/>
      <c r="C16" s="120"/>
      <c r="D16" s="120"/>
      <c r="E16" s="120"/>
      <c r="F16" s="114"/>
      <c r="G16" s="114"/>
      <c r="H16" s="114"/>
      <c r="I16" s="16"/>
      <c r="K16" s="21"/>
      <c r="L16" s="120"/>
      <c r="M16" s="120"/>
      <c r="N16" s="120"/>
      <c r="O16" s="120"/>
      <c r="P16" s="114"/>
      <c r="Q16" s="114"/>
      <c r="R16" s="114"/>
      <c r="S16" s="16"/>
    </row>
    <row r="17" spans="1:19">
      <c r="A17" s="21">
        <v>2</v>
      </c>
      <c r="B17" s="1098" t="s">
        <v>45</v>
      </c>
      <c r="C17" s="1098"/>
      <c r="D17" s="1098"/>
      <c r="E17" s="120"/>
      <c r="F17" s="114"/>
      <c r="G17" s="114"/>
      <c r="H17" s="114"/>
      <c r="I17" s="16"/>
      <c r="K17" s="21">
        <v>2</v>
      </c>
      <c r="L17" s="1098" t="s">
        <v>45</v>
      </c>
      <c r="M17" s="1098"/>
      <c r="N17" s="1098"/>
      <c r="O17" s="120"/>
      <c r="P17" s="114"/>
      <c r="Q17" s="114"/>
      <c r="R17" s="114"/>
      <c r="S17" s="16"/>
    </row>
    <row r="18" spans="1:19">
      <c r="A18" s="21"/>
      <c r="B18" s="1098"/>
      <c r="C18" s="1098"/>
      <c r="D18" s="1098"/>
      <c r="E18" s="23" t="s">
        <v>28</v>
      </c>
      <c r="F18" s="19"/>
      <c r="G18" s="19"/>
      <c r="H18" s="19"/>
      <c r="I18" s="16"/>
      <c r="K18" s="21"/>
      <c r="L18" s="1098"/>
      <c r="M18" s="1098"/>
      <c r="N18" s="1098"/>
      <c r="O18" s="23" t="s">
        <v>28</v>
      </c>
      <c r="P18" s="19"/>
      <c r="Q18" s="19"/>
      <c r="R18" s="19"/>
      <c r="S18" s="16"/>
    </row>
    <row r="19" spans="1:19">
      <c r="A19" s="21"/>
      <c r="B19" s="120"/>
      <c r="C19" s="120"/>
      <c r="D19" s="120"/>
      <c r="E19" s="120"/>
      <c r="F19" s="114"/>
      <c r="G19" s="114"/>
      <c r="H19" s="114"/>
      <c r="I19" s="16"/>
      <c r="K19" s="21"/>
      <c r="L19" s="120"/>
      <c r="M19" s="120"/>
      <c r="N19" s="120"/>
      <c r="O19" s="120"/>
      <c r="P19" s="114"/>
      <c r="Q19" s="114"/>
      <c r="R19" s="114"/>
      <c r="S19" s="16"/>
    </row>
    <row r="20" spans="1:19">
      <c r="A20" s="21">
        <v>3</v>
      </c>
      <c r="B20" s="1099" t="s">
        <v>46</v>
      </c>
      <c r="C20" s="1099"/>
      <c r="D20" s="1099"/>
      <c r="E20" s="23" t="s">
        <v>28</v>
      </c>
      <c r="F20" s="19"/>
      <c r="G20" s="19"/>
      <c r="H20" s="19"/>
      <c r="I20" s="16"/>
      <c r="K20" s="21">
        <v>3</v>
      </c>
      <c r="L20" s="1099" t="s">
        <v>46</v>
      </c>
      <c r="M20" s="1099"/>
      <c r="N20" s="1099"/>
      <c r="O20" s="18" t="str">
        <f>E20</f>
        <v>N/A</v>
      </c>
      <c r="P20" s="19"/>
      <c r="Q20" s="19"/>
      <c r="R20" s="19"/>
      <c r="S20" s="16"/>
    </row>
    <row r="21" spans="1:19">
      <c r="A21" s="21"/>
      <c r="B21" s="120"/>
      <c r="C21" s="120"/>
      <c r="D21" s="120"/>
      <c r="E21" s="120"/>
      <c r="F21" s="114"/>
      <c r="G21" s="114"/>
      <c r="H21" s="114"/>
      <c r="I21" s="16"/>
      <c r="K21" s="21"/>
      <c r="L21" s="120"/>
      <c r="M21" s="120"/>
      <c r="N21" s="120"/>
      <c r="O21" s="120"/>
      <c r="P21" s="114"/>
      <c r="Q21" s="114"/>
      <c r="R21" s="114"/>
      <c r="S21" s="16"/>
    </row>
    <row r="22" spans="1:19">
      <c r="A22" s="21">
        <v>4</v>
      </c>
      <c r="B22" s="1099" t="s">
        <v>47</v>
      </c>
      <c r="C22" s="1099"/>
      <c r="D22" s="1099"/>
      <c r="E22" s="23" t="s">
        <v>48</v>
      </c>
      <c r="F22" s="19"/>
      <c r="G22" s="19"/>
      <c r="H22" s="19"/>
      <c r="I22" s="16"/>
      <c r="K22" s="21">
        <v>4</v>
      </c>
      <c r="L22" s="1099" t="s">
        <v>47</v>
      </c>
      <c r="M22" s="1099"/>
      <c r="N22" s="1099"/>
      <c r="O22" s="23" t="s">
        <v>48</v>
      </c>
      <c r="P22" s="19"/>
      <c r="Q22" s="19"/>
      <c r="R22" s="19"/>
      <c r="S22" s="16"/>
    </row>
    <row r="23" spans="1:19">
      <c r="A23" s="21"/>
      <c r="B23" s="120"/>
      <c r="C23" s="120"/>
      <c r="D23" s="120"/>
      <c r="E23" s="120"/>
      <c r="F23" s="114"/>
      <c r="G23" s="114"/>
      <c r="H23" s="114"/>
      <c r="I23" s="16"/>
      <c r="K23" s="21"/>
      <c r="L23" s="120"/>
      <c r="M23" s="120"/>
      <c r="N23" s="120"/>
      <c r="O23" s="120"/>
      <c r="P23" s="114"/>
      <c r="Q23" s="114"/>
      <c r="R23" s="114"/>
      <c r="S23" s="16"/>
    </row>
    <row r="24" spans="1:19">
      <c r="A24" s="21">
        <v>5</v>
      </c>
      <c r="B24" s="1099" t="s">
        <v>49</v>
      </c>
      <c r="C24" s="1099"/>
      <c r="D24" s="1099"/>
      <c r="E24" s="24">
        <f>Master!AK15</f>
        <v>20000</v>
      </c>
      <c r="F24" s="19"/>
      <c r="G24" s="19"/>
      <c r="H24" s="19"/>
      <c r="I24" s="16"/>
      <c r="K24" s="21">
        <v>5</v>
      </c>
      <c r="L24" s="1099" t="s">
        <v>49</v>
      </c>
      <c r="M24" s="1099"/>
      <c r="N24" s="1099"/>
      <c r="O24" s="24">
        <f>E24</f>
        <v>20000</v>
      </c>
      <c r="P24" s="19"/>
      <c r="Q24" s="19"/>
      <c r="R24" s="19"/>
      <c r="S24" s="16"/>
    </row>
    <row r="25" spans="1:19">
      <c r="A25" s="21"/>
      <c r="B25" s="120"/>
      <c r="C25" s="120"/>
      <c r="D25" s="238" t="s">
        <v>50</v>
      </c>
      <c r="E25" s="238" t="s">
        <v>23</v>
      </c>
      <c r="F25" s="136" t="s">
        <v>25</v>
      </c>
      <c r="G25" s="238" t="s">
        <v>26</v>
      </c>
      <c r="H25" s="238" t="s">
        <v>202</v>
      </c>
      <c r="I25" s="126" t="s">
        <v>51</v>
      </c>
      <c r="K25" s="21"/>
      <c r="L25" s="120"/>
      <c r="M25" s="120"/>
      <c r="N25" s="238" t="s">
        <v>50</v>
      </c>
      <c r="O25" s="238" t="s">
        <v>23</v>
      </c>
      <c r="P25" s="136" t="s">
        <v>25</v>
      </c>
      <c r="Q25" s="238" t="s">
        <v>26</v>
      </c>
      <c r="R25" s="238" t="str">
        <f>H25</f>
        <v>ADV</v>
      </c>
      <c r="S25" s="126" t="s">
        <v>51</v>
      </c>
    </row>
    <row r="26" spans="1:19">
      <c r="A26" s="21">
        <v>6</v>
      </c>
      <c r="B26" s="324" t="s">
        <v>52</v>
      </c>
      <c r="C26" s="324"/>
      <c r="D26" s="335">
        <f>Master!AM15</f>
        <v>0</v>
      </c>
      <c r="E26" s="335">
        <f>Master!AL15</f>
        <v>150</v>
      </c>
      <c r="F26" s="180">
        <f>Master!AN15</f>
        <v>150</v>
      </c>
      <c r="G26" s="180">
        <f>Master!AO15</f>
        <v>0</v>
      </c>
      <c r="H26" s="180">
        <f>Master!AP15</f>
        <v>0</v>
      </c>
      <c r="I26" s="127">
        <f>D26+E26+F26+G26+H26</f>
        <v>300</v>
      </c>
      <c r="K26" s="21">
        <v>6</v>
      </c>
      <c r="L26" s="324" t="s">
        <v>52</v>
      </c>
      <c r="M26" s="324"/>
      <c r="N26" s="335">
        <f>D26</f>
        <v>0</v>
      </c>
      <c r="O26" s="335">
        <f>E26</f>
        <v>150</v>
      </c>
      <c r="P26" s="180">
        <f>F26</f>
        <v>150</v>
      </c>
      <c r="Q26" s="180">
        <f>G26</f>
        <v>0</v>
      </c>
      <c r="R26" s="180">
        <f>H26</f>
        <v>0</v>
      </c>
      <c r="S26" s="127">
        <f>N26+O26+R26</f>
        <v>150</v>
      </c>
    </row>
    <row r="27" spans="1:19">
      <c r="A27" s="21"/>
      <c r="B27" s="120"/>
      <c r="C27" s="120"/>
      <c r="D27" s="120"/>
      <c r="E27" s="120"/>
      <c r="F27" s="114"/>
      <c r="G27" s="114"/>
      <c r="H27" s="114"/>
      <c r="I27" s="16"/>
      <c r="K27" s="21"/>
      <c r="L27" s="120"/>
      <c r="M27" s="120"/>
      <c r="N27" s="120"/>
      <c r="O27" s="120"/>
      <c r="P27" s="114"/>
      <c r="Q27" s="114"/>
      <c r="R27" s="114"/>
      <c r="S27" s="16"/>
    </row>
    <row r="28" spans="1:19">
      <c r="A28" s="21">
        <v>7</v>
      </c>
      <c r="B28" s="1099" t="s">
        <v>53</v>
      </c>
      <c r="C28" s="1099"/>
      <c r="D28" s="1099"/>
      <c r="E28" s="24">
        <f>E24-I26</f>
        <v>19700</v>
      </c>
      <c r="F28" s="19"/>
      <c r="G28" s="19"/>
      <c r="H28" s="19"/>
      <c r="I28" s="16"/>
      <c r="K28" s="21">
        <v>7</v>
      </c>
      <c r="L28" s="1099" t="s">
        <v>53</v>
      </c>
      <c r="M28" s="1099"/>
      <c r="N28" s="1099"/>
      <c r="O28" s="24">
        <f>E28</f>
        <v>19700</v>
      </c>
      <c r="P28" s="19"/>
      <c r="Q28" s="19"/>
      <c r="R28" s="19"/>
      <c r="S28" s="16"/>
    </row>
    <row r="29" spans="1:19">
      <c r="A29" s="15"/>
      <c r="B29" s="114"/>
      <c r="C29" s="114"/>
      <c r="D29" s="114"/>
      <c r="E29" s="114"/>
      <c r="F29" s="114"/>
      <c r="G29" s="114"/>
      <c r="H29" s="114"/>
      <c r="I29" s="16"/>
      <c r="K29" s="15"/>
      <c r="L29" s="114"/>
      <c r="M29" s="114"/>
      <c r="N29" s="114"/>
      <c r="O29" s="114"/>
      <c r="P29" s="114"/>
      <c r="Q29" s="114"/>
      <c r="R29" s="114"/>
      <c r="S29" s="16"/>
    </row>
    <row r="30" spans="1:19">
      <c r="A30" s="15"/>
      <c r="B30" s="114"/>
      <c r="C30" s="114"/>
      <c r="D30" s="114"/>
      <c r="E30" s="114"/>
      <c r="F30" s="114"/>
      <c r="G30" s="114"/>
      <c r="H30" s="114"/>
      <c r="I30" s="16"/>
      <c r="K30" s="15"/>
      <c r="L30" s="114"/>
      <c r="M30" s="114"/>
      <c r="N30" s="114"/>
      <c r="O30" s="114"/>
      <c r="P30" s="114"/>
      <c r="Q30" s="114"/>
      <c r="R30" s="114"/>
      <c r="S30" s="16"/>
    </row>
    <row r="31" spans="1:19" ht="15" thickBot="1">
      <c r="A31" s="15"/>
      <c r="B31" s="114"/>
      <c r="C31" s="114"/>
      <c r="D31" s="114"/>
      <c r="E31" s="114"/>
      <c r="F31" s="25"/>
      <c r="G31" s="25"/>
      <c r="H31" s="25"/>
      <c r="I31" s="26"/>
      <c r="K31" s="15"/>
      <c r="L31" s="114"/>
      <c r="M31" s="114"/>
      <c r="N31" s="114"/>
      <c r="O31" s="114"/>
      <c r="P31" s="25"/>
      <c r="Q31" s="25"/>
      <c r="R31" s="25"/>
      <c r="S31" s="26"/>
    </row>
    <row r="32" spans="1:19" ht="15" thickBot="1">
      <c r="A32" s="27"/>
      <c r="B32" s="25"/>
      <c r="C32" s="25"/>
      <c r="D32" s="25"/>
      <c r="E32" s="999" t="s">
        <v>54</v>
      </c>
      <c r="F32" s="999"/>
      <c r="G32" s="999"/>
      <c r="H32" s="999"/>
      <c r="I32" s="1100"/>
      <c r="K32" s="27"/>
      <c r="L32" s="25"/>
      <c r="M32" s="25"/>
      <c r="N32" s="25"/>
      <c r="O32" s="28" t="s">
        <v>54</v>
      </c>
      <c r="P32" s="25"/>
      <c r="Q32" s="28"/>
      <c r="R32" s="28"/>
      <c r="S32" s="29"/>
    </row>
    <row r="33" spans="1:19">
      <c r="A33" s="114"/>
      <c r="B33" s="114"/>
      <c r="C33" s="114"/>
      <c r="D33" s="114"/>
      <c r="E33" s="325"/>
      <c r="F33" s="325"/>
      <c r="G33" s="325"/>
      <c r="H33" s="325"/>
      <c r="I33" s="325"/>
      <c r="K33" s="114"/>
      <c r="L33" s="114"/>
      <c r="M33" s="114"/>
      <c r="N33" s="114"/>
      <c r="O33" s="114"/>
      <c r="P33" s="114"/>
      <c r="Q33" s="114"/>
      <c r="R33" s="114"/>
      <c r="S33" s="114"/>
    </row>
    <row r="34" spans="1:19">
      <c r="A34" s="114"/>
      <c r="B34" s="114"/>
      <c r="C34" s="114"/>
      <c r="D34" s="114"/>
      <c r="E34" s="325"/>
      <c r="F34" s="325"/>
      <c r="G34" s="325"/>
      <c r="H34" s="325"/>
      <c r="I34" s="325"/>
      <c r="K34" s="114"/>
      <c r="L34" s="114"/>
      <c r="M34" s="114"/>
      <c r="N34" s="114"/>
      <c r="O34" s="114"/>
      <c r="P34" s="114"/>
      <c r="Q34" s="114"/>
      <c r="R34" s="114"/>
      <c r="S34" s="114"/>
    </row>
    <row r="35" spans="1:19">
      <c r="A35" s="114"/>
      <c r="B35" s="114"/>
      <c r="C35" s="114"/>
      <c r="D35" s="114"/>
      <c r="E35" s="325"/>
      <c r="F35" s="325"/>
      <c r="G35" s="325"/>
      <c r="H35" s="325"/>
      <c r="I35" s="325"/>
      <c r="K35" s="114"/>
      <c r="L35" s="114"/>
      <c r="M35" s="114"/>
      <c r="N35" s="114"/>
      <c r="O35" s="114"/>
      <c r="P35" s="114"/>
      <c r="Q35" s="114"/>
      <c r="R35" s="114"/>
      <c r="S35" s="114"/>
    </row>
    <row r="36" spans="1:19">
      <c r="A36" s="114"/>
      <c r="B36" s="114"/>
      <c r="C36" s="114"/>
      <c r="D36" s="114"/>
      <c r="E36" s="325"/>
      <c r="F36" s="325"/>
      <c r="G36" s="325"/>
      <c r="H36" s="325"/>
      <c r="I36" s="325"/>
      <c r="K36" s="114"/>
      <c r="L36" s="114"/>
      <c r="M36" s="114"/>
      <c r="N36" s="114"/>
      <c r="O36" s="114"/>
      <c r="P36" s="114"/>
      <c r="Q36" s="114"/>
      <c r="R36" s="114"/>
      <c r="S36" s="114"/>
    </row>
    <row r="37" spans="1:19">
      <c r="A37" s="114"/>
      <c r="B37" s="114"/>
      <c r="C37" s="114"/>
      <c r="D37" s="114"/>
      <c r="E37" s="325"/>
      <c r="F37" s="325"/>
      <c r="G37" s="325"/>
      <c r="H37" s="325"/>
      <c r="I37" s="325"/>
      <c r="K37" s="114"/>
      <c r="L37" s="114"/>
      <c r="M37" s="114"/>
      <c r="N37" s="114"/>
      <c r="O37" s="114"/>
      <c r="P37" s="114"/>
      <c r="Q37" s="114"/>
      <c r="R37" s="114"/>
      <c r="S37" s="114"/>
    </row>
    <row r="38" spans="1:19">
      <c r="A38" s="114"/>
      <c r="B38" s="114"/>
      <c r="C38" s="114"/>
      <c r="D38" s="114"/>
      <c r="E38" s="325"/>
      <c r="F38" s="325"/>
      <c r="G38" s="325"/>
      <c r="H38" s="325"/>
      <c r="I38" s="325"/>
      <c r="K38" s="114"/>
      <c r="L38" s="114"/>
      <c r="M38" s="114"/>
      <c r="N38" s="114"/>
      <c r="O38" s="114"/>
      <c r="P38" s="114"/>
      <c r="Q38" s="114"/>
      <c r="R38" s="114"/>
      <c r="S38" s="114"/>
    </row>
    <row r="39" spans="1:19">
      <c r="A39" s="114"/>
      <c r="B39" s="114"/>
      <c r="C39" s="114"/>
      <c r="D39" s="114"/>
      <c r="E39" s="325"/>
      <c r="F39" s="325"/>
      <c r="G39" s="325"/>
      <c r="H39" s="325"/>
      <c r="I39" s="325"/>
      <c r="K39" s="114"/>
      <c r="L39" s="114"/>
      <c r="M39" s="114"/>
      <c r="N39" s="114"/>
      <c r="O39" s="114"/>
      <c r="P39" s="114"/>
      <c r="Q39" s="114"/>
      <c r="R39" s="114"/>
      <c r="S39" s="114"/>
    </row>
    <row r="40" spans="1:19">
      <c r="A40" s="114"/>
      <c r="B40" s="114"/>
      <c r="C40" s="114"/>
      <c r="D40" s="114"/>
      <c r="E40" s="325"/>
      <c r="F40" s="325"/>
      <c r="G40" s="325"/>
      <c r="H40" s="325"/>
      <c r="I40" s="325"/>
      <c r="K40" s="114"/>
      <c r="L40" s="114"/>
      <c r="M40" s="114"/>
      <c r="N40" s="114"/>
      <c r="O40" s="114"/>
      <c r="P40" s="114"/>
      <c r="Q40" s="114"/>
      <c r="R40" s="114"/>
      <c r="S40" s="114"/>
    </row>
    <row r="41" spans="1:19">
      <c r="A41" s="114"/>
      <c r="B41" s="114"/>
      <c r="C41" s="114"/>
      <c r="D41" s="114"/>
      <c r="E41" s="325"/>
      <c r="F41" s="325"/>
      <c r="G41" s="325"/>
      <c r="H41" s="325"/>
      <c r="I41" s="325"/>
      <c r="K41" s="114"/>
      <c r="L41" s="114"/>
      <c r="M41" s="114"/>
      <c r="N41" s="114"/>
      <c r="O41" s="114"/>
      <c r="P41" s="114"/>
      <c r="Q41" s="114"/>
      <c r="R41" s="114"/>
      <c r="S41" s="114"/>
    </row>
    <row r="42" spans="1:19">
      <c r="A42" s="114"/>
      <c r="B42" s="114"/>
      <c r="C42" s="114"/>
      <c r="D42" s="114"/>
      <c r="E42" s="325"/>
      <c r="F42" s="325"/>
      <c r="G42" s="325"/>
      <c r="H42" s="325"/>
      <c r="I42" s="325"/>
      <c r="K42" s="114"/>
      <c r="L42" s="114"/>
      <c r="M42" s="114"/>
      <c r="N42" s="114"/>
      <c r="O42" s="114"/>
      <c r="P42" s="114"/>
      <c r="Q42" s="114"/>
      <c r="R42" s="114"/>
      <c r="S42" s="114"/>
    </row>
    <row r="43" spans="1:19" ht="15" thickBot="1"/>
    <row r="44" spans="1:19" ht="24.6">
      <c r="A44" s="1091" t="s">
        <v>39</v>
      </c>
      <c r="B44" s="1092"/>
      <c r="C44" s="1092"/>
      <c r="D44" s="1092"/>
      <c r="E44" s="1092"/>
      <c r="F44" s="1092"/>
      <c r="G44" s="1092"/>
      <c r="H44" s="1092"/>
      <c r="I44" s="1093"/>
      <c r="K44" s="1091" t="s">
        <v>39</v>
      </c>
      <c r="L44" s="1092"/>
      <c r="M44" s="1092"/>
      <c r="N44" s="1092"/>
      <c r="O44" s="1092"/>
      <c r="P44" s="1092"/>
      <c r="Q44" s="1092"/>
      <c r="R44" s="1092"/>
      <c r="S44" s="1093"/>
    </row>
    <row r="45" spans="1:19">
      <c r="A45" s="1094" t="s">
        <v>1075</v>
      </c>
      <c r="B45" s="1095"/>
      <c r="C45" s="1095"/>
      <c r="D45" s="1095"/>
      <c r="E45" s="1095"/>
      <c r="F45" s="1095"/>
      <c r="G45" s="1095"/>
      <c r="H45" s="1095"/>
      <c r="I45" s="1096"/>
      <c r="K45" s="1094" t="str">
        <f>A45</f>
        <v>[Vide rule 78 (1) (b) of the Contract Labour (Regulation and Abolition) Central and A.P.{T.S.}Rules, 1971]</v>
      </c>
      <c r="L45" s="1095"/>
      <c r="M45" s="1095"/>
      <c r="N45" s="1095"/>
      <c r="O45" s="1095"/>
      <c r="P45" s="1095"/>
      <c r="Q45" s="1095"/>
      <c r="R45" s="1095"/>
      <c r="S45" s="1096"/>
    </row>
    <row r="46" spans="1:19">
      <c r="A46" s="15"/>
      <c r="B46" s="114"/>
      <c r="C46" s="114"/>
      <c r="D46" s="114"/>
      <c r="E46" s="114"/>
      <c r="F46" s="114"/>
      <c r="G46" s="114"/>
      <c r="H46" s="114"/>
      <c r="I46" s="16"/>
      <c r="K46" s="15"/>
      <c r="L46" s="114"/>
      <c r="M46" s="114"/>
      <c r="N46" s="114"/>
      <c r="O46" s="114"/>
      <c r="P46" s="114"/>
      <c r="Q46" s="114"/>
      <c r="R46" s="114"/>
      <c r="S46" s="16"/>
    </row>
    <row r="47" spans="1:19">
      <c r="A47" s="17" t="s">
        <v>40</v>
      </c>
      <c r="B47" s="120"/>
      <c r="C47" s="120"/>
      <c r="D47" s="121" t="str">
        <f>Master!F5</f>
        <v>GROTECH LANDSCAPE DEVELOPERS PVT. LTD.</v>
      </c>
      <c r="E47" s="114"/>
      <c r="F47" s="114"/>
      <c r="G47" s="114"/>
      <c r="H47" s="114"/>
      <c r="I47" s="16"/>
      <c r="K47" s="17" t="s">
        <v>40</v>
      </c>
      <c r="L47" s="120"/>
      <c r="M47" s="120"/>
      <c r="N47" s="121" t="str">
        <f>D47</f>
        <v>GROTECH LANDSCAPE DEVELOPERS PVT. LTD.</v>
      </c>
      <c r="O47" s="114"/>
      <c r="P47" s="114"/>
      <c r="Q47" s="114"/>
      <c r="R47" s="114"/>
      <c r="S47" s="16"/>
    </row>
    <row r="48" spans="1:19">
      <c r="A48" s="17"/>
      <c r="B48" s="120" t="str">
        <f>Master!F6</f>
        <v>290/E, Khanapur Village, Gandipet Mandal, Ranga Reddy, Hyderabad-500075 T.S.</v>
      </c>
      <c r="C48" s="120"/>
      <c r="D48" s="114"/>
      <c r="E48" s="114"/>
      <c r="F48" s="114"/>
      <c r="G48" s="114"/>
      <c r="H48" s="114"/>
      <c r="I48" s="16"/>
      <c r="K48" s="17"/>
      <c r="L48" s="120" t="str">
        <f>B48</f>
        <v>290/E, Khanapur Village, Gandipet Mandal, Ranga Reddy, Hyderabad-500075 T.S.</v>
      </c>
      <c r="M48" s="120"/>
      <c r="N48" s="114"/>
      <c r="O48" s="114"/>
      <c r="P48" s="114"/>
      <c r="Q48" s="114"/>
      <c r="R48" s="114"/>
      <c r="S48" s="16"/>
    </row>
    <row r="49" spans="1:19">
      <c r="A49" s="17"/>
      <c r="B49" s="120"/>
      <c r="C49" s="120"/>
      <c r="D49" s="120"/>
      <c r="E49" s="120"/>
      <c r="F49" s="114"/>
      <c r="G49" s="114"/>
      <c r="H49" s="114"/>
      <c r="I49" s="16"/>
      <c r="K49" s="17"/>
      <c r="L49" s="120"/>
      <c r="M49" s="120"/>
      <c r="N49" s="120"/>
      <c r="O49" s="120"/>
      <c r="P49" s="114"/>
      <c r="Q49" s="114"/>
      <c r="R49" s="114"/>
      <c r="S49" s="16"/>
    </row>
    <row r="50" spans="1:19">
      <c r="A50" s="1097" t="s">
        <v>41</v>
      </c>
      <c r="B50" s="1098"/>
      <c r="C50" s="1098"/>
      <c r="D50" s="1098"/>
      <c r="E50" s="120"/>
      <c r="F50" s="114"/>
      <c r="G50" s="114"/>
      <c r="H50" s="114"/>
      <c r="I50" s="16"/>
      <c r="K50" s="1097" t="s">
        <v>41</v>
      </c>
      <c r="L50" s="1098"/>
      <c r="M50" s="1098"/>
      <c r="N50" s="1098"/>
      <c r="O50" s="120"/>
      <c r="P50" s="114"/>
      <c r="Q50" s="114"/>
      <c r="R50" s="114"/>
      <c r="S50" s="16"/>
    </row>
    <row r="51" spans="1:19">
      <c r="A51" s="1097"/>
      <c r="B51" s="1098"/>
      <c r="C51" s="1098"/>
      <c r="D51" s="1098"/>
      <c r="E51" s="128" t="str">
        <f>Master!D16</f>
        <v>GAJAN SINGH</v>
      </c>
      <c r="F51" s="19"/>
      <c r="G51" s="19"/>
      <c r="H51" s="19" t="str">
        <f>Master!G16</f>
        <v>Chandrapal singh</v>
      </c>
      <c r="I51" s="16"/>
      <c r="K51" s="1097"/>
      <c r="L51" s="1098"/>
      <c r="M51" s="1098"/>
      <c r="N51" s="1098"/>
      <c r="O51" s="18" t="str">
        <f>E51</f>
        <v>GAJAN SINGH</v>
      </c>
      <c r="P51" s="19"/>
      <c r="Q51" s="19"/>
      <c r="R51" s="19" t="str">
        <f>H51</f>
        <v>Chandrapal singh</v>
      </c>
      <c r="S51" s="16"/>
    </row>
    <row r="52" spans="1:19">
      <c r="A52" s="17"/>
      <c r="B52" s="120"/>
      <c r="C52" s="120"/>
      <c r="D52" s="120"/>
      <c r="E52" s="120"/>
      <c r="F52" s="114"/>
      <c r="G52" s="114"/>
      <c r="H52" s="114"/>
      <c r="I52" s="16"/>
      <c r="K52" s="17"/>
      <c r="L52" s="120"/>
      <c r="M52" s="120"/>
      <c r="N52" s="120"/>
      <c r="O52" s="120"/>
      <c r="P52" s="114"/>
      <c r="Q52" s="114"/>
      <c r="R52" s="114"/>
      <c r="S52" s="16"/>
    </row>
    <row r="53" spans="1:19">
      <c r="A53" s="1101" t="s">
        <v>42</v>
      </c>
      <c r="B53" s="1099"/>
      <c r="C53" s="1099"/>
      <c r="D53" s="1099"/>
      <c r="E53" s="24" t="str">
        <f>Master!F8</f>
        <v>GARDENING SERVICES&amp;ISB HYDERABAD</v>
      </c>
      <c r="F53" s="19"/>
      <c r="G53" s="19"/>
      <c r="H53" s="19"/>
      <c r="I53" s="16"/>
      <c r="K53" s="1101" t="s">
        <v>42</v>
      </c>
      <c r="L53" s="1099"/>
      <c r="M53" s="1099"/>
      <c r="N53" s="1099"/>
      <c r="O53" s="24" t="str">
        <f>E53</f>
        <v>GARDENING SERVICES&amp;ISB HYDERABAD</v>
      </c>
      <c r="P53" s="19"/>
      <c r="Q53" s="19"/>
      <c r="R53" s="19"/>
      <c r="S53" s="16"/>
    </row>
    <row r="54" spans="1:19">
      <c r="A54" s="17"/>
      <c r="B54" s="120"/>
      <c r="C54" s="120"/>
      <c r="D54" s="120"/>
      <c r="E54" s="120"/>
      <c r="F54" s="114"/>
      <c r="G54" s="114"/>
      <c r="H54" s="114"/>
      <c r="I54" s="16"/>
      <c r="K54" s="17"/>
      <c r="L54" s="120"/>
      <c r="M54" s="120"/>
      <c r="N54" s="120"/>
      <c r="O54" s="120"/>
      <c r="P54" s="114"/>
      <c r="Q54" s="114"/>
      <c r="R54" s="114"/>
      <c r="S54" s="16"/>
    </row>
    <row r="55" spans="1:19">
      <c r="A55" s="1101" t="s">
        <v>43</v>
      </c>
      <c r="B55" s="1099"/>
      <c r="C55" s="1099"/>
      <c r="D55" s="1099"/>
      <c r="E55" s="20">
        <f>Master!F10</f>
        <v>44652</v>
      </c>
      <c r="F55" s="19"/>
      <c r="G55" s="19"/>
      <c r="H55" s="19"/>
      <c r="I55" s="16"/>
      <c r="K55" s="1101" t="s">
        <v>43</v>
      </c>
      <c r="L55" s="1099"/>
      <c r="M55" s="1099"/>
      <c r="N55" s="1099"/>
      <c r="O55" s="20">
        <f>E55</f>
        <v>44652</v>
      </c>
      <c r="P55" s="19"/>
      <c r="Q55" s="19"/>
      <c r="R55" s="19"/>
      <c r="S55" s="16"/>
    </row>
    <row r="56" spans="1:19">
      <c r="A56" s="17"/>
      <c r="B56" s="120"/>
      <c r="C56" s="120"/>
      <c r="D56" s="120"/>
      <c r="E56" s="120"/>
      <c r="F56" s="114"/>
      <c r="G56" s="114"/>
      <c r="H56" s="114"/>
      <c r="I56" s="16"/>
      <c r="K56" s="17"/>
      <c r="L56" s="120"/>
      <c r="M56" s="120"/>
      <c r="N56" s="120"/>
      <c r="O56" s="120"/>
      <c r="P56" s="114"/>
      <c r="Q56" s="114"/>
      <c r="R56" s="114"/>
      <c r="S56" s="16"/>
    </row>
    <row r="57" spans="1:19">
      <c r="A57" s="21">
        <v>1</v>
      </c>
      <c r="B57" s="1099" t="s">
        <v>44</v>
      </c>
      <c r="C57" s="1099"/>
      <c r="D57" s="1099"/>
      <c r="E57" s="22">
        <f>Master!AA16</f>
        <v>30</v>
      </c>
      <c r="F57" s="19"/>
      <c r="G57" s="19"/>
      <c r="H57" s="19"/>
      <c r="I57" s="16"/>
      <c r="K57" s="21">
        <v>1</v>
      </c>
      <c r="L57" s="1099" t="s">
        <v>44</v>
      </c>
      <c r="M57" s="1099"/>
      <c r="N57" s="1099"/>
      <c r="O57" s="22">
        <f>E57</f>
        <v>30</v>
      </c>
      <c r="P57" s="19"/>
      <c r="Q57" s="19"/>
      <c r="R57" s="19"/>
      <c r="S57" s="16"/>
    </row>
    <row r="58" spans="1:19">
      <c r="A58" s="21"/>
      <c r="B58" s="120"/>
      <c r="C58" s="120"/>
      <c r="D58" s="120"/>
      <c r="E58" s="120"/>
      <c r="F58" s="114"/>
      <c r="G58" s="114"/>
      <c r="H58" s="114"/>
      <c r="I58" s="16"/>
      <c r="K58" s="21"/>
      <c r="L58" s="120"/>
      <c r="M58" s="120"/>
      <c r="N58" s="120"/>
      <c r="O58" s="120"/>
      <c r="P58" s="114"/>
      <c r="Q58" s="114"/>
      <c r="R58" s="114"/>
      <c r="S58" s="16"/>
    </row>
    <row r="59" spans="1:19">
      <c r="A59" s="21">
        <v>2</v>
      </c>
      <c r="B59" s="1098" t="s">
        <v>45</v>
      </c>
      <c r="C59" s="1098"/>
      <c r="D59" s="1098"/>
      <c r="E59" s="120"/>
      <c r="F59" s="114"/>
      <c r="G59" s="114"/>
      <c r="H59" s="114"/>
      <c r="I59" s="16"/>
      <c r="K59" s="21">
        <v>2</v>
      </c>
      <c r="L59" s="1098" t="s">
        <v>45</v>
      </c>
      <c r="M59" s="1098"/>
      <c r="N59" s="1098"/>
      <c r="O59" s="120"/>
      <c r="P59" s="114"/>
      <c r="Q59" s="114"/>
      <c r="R59" s="114"/>
      <c r="S59" s="16"/>
    </row>
    <row r="60" spans="1:19">
      <c r="A60" s="21"/>
      <c r="B60" s="1098"/>
      <c r="C60" s="1098"/>
      <c r="D60" s="1098"/>
      <c r="E60" s="23" t="s">
        <v>28</v>
      </c>
      <c r="F60" s="19"/>
      <c r="G60" s="19"/>
      <c r="H60" s="19"/>
      <c r="I60" s="16"/>
      <c r="K60" s="21"/>
      <c r="L60" s="1098"/>
      <c r="M60" s="1098"/>
      <c r="N60" s="1098"/>
      <c r="O60" s="23" t="s">
        <v>28</v>
      </c>
      <c r="P60" s="19"/>
      <c r="Q60" s="19"/>
      <c r="R60" s="19"/>
      <c r="S60" s="16"/>
    </row>
    <row r="61" spans="1:19">
      <c r="A61" s="21"/>
      <c r="B61" s="120"/>
      <c r="C61" s="120"/>
      <c r="D61" s="120"/>
      <c r="E61" s="120"/>
      <c r="F61" s="114"/>
      <c r="G61" s="114"/>
      <c r="H61" s="114"/>
      <c r="I61" s="16"/>
      <c r="K61" s="21"/>
      <c r="L61" s="120"/>
      <c r="M61" s="120"/>
      <c r="N61" s="120"/>
      <c r="O61" s="120"/>
      <c r="P61" s="114"/>
      <c r="Q61" s="114"/>
      <c r="R61" s="114"/>
      <c r="S61" s="16"/>
    </row>
    <row r="62" spans="1:19">
      <c r="A62" s="21">
        <v>3</v>
      </c>
      <c r="B62" s="1099" t="s">
        <v>46</v>
      </c>
      <c r="C62" s="1099"/>
      <c r="D62" s="1099"/>
      <c r="E62" s="23" t="s">
        <v>28</v>
      </c>
      <c r="F62" s="19"/>
      <c r="G62" s="19"/>
      <c r="H62" s="19"/>
      <c r="I62" s="16"/>
      <c r="K62" s="21">
        <v>3</v>
      </c>
      <c r="L62" s="1099" t="s">
        <v>46</v>
      </c>
      <c r="M62" s="1099"/>
      <c r="N62" s="1099"/>
      <c r="O62" s="18" t="str">
        <f>E62</f>
        <v>N/A</v>
      </c>
      <c r="P62" s="19"/>
      <c r="Q62" s="19"/>
      <c r="R62" s="19"/>
      <c r="S62" s="16"/>
    </row>
    <row r="63" spans="1:19">
      <c r="A63" s="21"/>
      <c r="B63" s="120"/>
      <c r="C63" s="120"/>
      <c r="D63" s="120"/>
      <c r="E63" s="120"/>
      <c r="F63" s="114"/>
      <c r="G63" s="114"/>
      <c r="H63" s="114"/>
      <c r="I63" s="16"/>
      <c r="K63" s="21"/>
      <c r="L63" s="120"/>
      <c r="M63" s="120"/>
      <c r="N63" s="120"/>
      <c r="O63" s="120"/>
      <c r="P63" s="114"/>
      <c r="Q63" s="114"/>
      <c r="R63" s="114"/>
      <c r="S63" s="16"/>
    </row>
    <row r="64" spans="1:19">
      <c r="A64" s="21">
        <v>4</v>
      </c>
      <c r="B64" s="1099" t="s">
        <v>47</v>
      </c>
      <c r="C64" s="1099"/>
      <c r="D64" s="1099"/>
      <c r="E64" s="23" t="s">
        <v>48</v>
      </c>
      <c r="F64" s="19"/>
      <c r="G64" s="19"/>
      <c r="H64" s="19"/>
      <c r="I64" s="16"/>
      <c r="K64" s="21">
        <v>4</v>
      </c>
      <c r="L64" s="1099" t="s">
        <v>47</v>
      </c>
      <c r="M64" s="1099"/>
      <c r="N64" s="1099"/>
      <c r="O64" s="23" t="s">
        <v>48</v>
      </c>
      <c r="P64" s="19"/>
      <c r="Q64" s="19"/>
      <c r="R64" s="19"/>
      <c r="S64" s="16"/>
    </row>
    <row r="65" spans="1:19">
      <c r="A65" s="21"/>
      <c r="B65" s="120"/>
      <c r="C65" s="120"/>
      <c r="D65" s="120"/>
      <c r="E65" s="120"/>
      <c r="F65" s="114"/>
      <c r="G65" s="114"/>
      <c r="H65" s="114"/>
      <c r="I65" s="16"/>
      <c r="K65" s="21"/>
      <c r="L65" s="120"/>
      <c r="M65" s="120"/>
      <c r="N65" s="120"/>
      <c r="O65" s="120"/>
      <c r="P65" s="114"/>
      <c r="Q65" s="114"/>
      <c r="R65" s="114"/>
      <c r="S65" s="16"/>
    </row>
    <row r="66" spans="1:19">
      <c r="A66" s="21">
        <v>5</v>
      </c>
      <c r="B66" s="1099" t="s">
        <v>49</v>
      </c>
      <c r="C66" s="1099"/>
      <c r="D66" s="1099"/>
      <c r="E66" s="24">
        <f>Master!AK16</f>
        <v>14900</v>
      </c>
      <c r="F66" s="19"/>
      <c r="G66" s="19"/>
      <c r="H66" s="19"/>
      <c r="I66" s="16"/>
      <c r="K66" s="21">
        <v>5</v>
      </c>
      <c r="L66" s="1099" t="s">
        <v>49</v>
      </c>
      <c r="M66" s="1099"/>
      <c r="N66" s="1099"/>
      <c r="O66" s="24">
        <f>E66</f>
        <v>14900</v>
      </c>
      <c r="P66" s="19"/>
      <c r="Q66" s="19"/>
      <c r="R66" s="19"/>
      <c r="S66" s="16"/>
    </row>
    <row r="67" spans="1:19">
      <c r="A67" s="21"/>
      <c r="B67" s="120"/>
      <c r="C67" s="120"/>
      <c r="D67" s="238" t="s">
        <v>50</v>
      </c>
      <c r="E67" s="238" t="s">
        <v>23</v>
      </c>
      <c r="F67" s="136" t="s">
        <v>25</v>
      </c>
      <c r="G67" s="238" t="s">
        <v>26</v>
      </c>
      <c r="H67" s="238" t="s">
        <v>202</v>
      </c>
      <c r="I67" s="126" t="s">
        <v>51</v>
      </c>
      <c r="K67" s="21"/>
      <c r="L67" s="120"/>
      <c r="M67" s="120"/>
      <c r="N67" s="238" t="s">
        <v>50</v>
      </c>
      <c r="O67" s="238" t="s">
        <v>23</v>
      </c>
      <c r="P67" s="136" t="s">
        <v>25</v>
      </c>
      <c r="Q67" s="238" t="s">
        <v>26</v>
      </c>
      <c r="R67" s="238" t="str">
        <f>H67</f>
        <v>ADV</v>
      </c>
      <c r="S67" s="126" t="s">
        <v>51</v>
      </c>
    </row>
    <row r="68" spans="1:19">
      <c r="A68" s="21">
        <v>6</v>
      </c>
      <c r="B68" s="377" t="s">
        <v>52</v>
      </c>
      <c r="C68" s="377"/>
      <c r="D68" s="335">
        <f>Master!AM16</f>
        <v>1788</v>
      </c>
      <c r="E68" s="335">
        <f>Master!AL16</f>
        <v>112</v>
      </c>
      <c r="F68" s="180">
        <f>Master!AN16</f>
        <v>0</v>
      </c>
      <c r="G68" s="180">
        <f>Master!AO16</f>
        <v>0</v>
      </c>
      <c r="H68" s="180">
        <f>Master!AP16</f>
        <v>0</v>
      </c>
      <c r="I68" s="127">
        <f>D68+E68+F68+G68+H68</f>
        <v>1900</v>
      </c>
      <c r="K68" s="21">
        <v>6</v>
      </c>
      <c r="L68" s="377" t="s">
        <v>52</v>
      </c>
      <c r="M68" s="377"/>
      <c r="N68" s="335">
        <f>D68</f>
        <v>1788</v>
      </c>
      <c r="O68" s="335">
        <f>E68</f>
        <v>112</v>
      </c>
      <c r="P68" s="180">
        <f>F68</f>
        <v>0</v>
      </c>
      <c r="Q68" s="180">
        <f>G68</f>
        <v>0</v>
      </c>
      <c r="R68" s="180">
        <f>H68</f>
        <v>0</v>
      </c>
      <c r="S68" s="127">
        <f>N68+O68+R68</f>
        <v>1900</v>
      </c>
    </row>
    <row r="69" spans="1:19">
      <c r="A69" s="21"/>
      <c r="B69" s="120"/>
      <c r="C69" s="120"/>
      <c r="D69" s="120"/>
      <c r="E69" s="120"/>
      <c r="F69" s="114"/>
      <c r="G69" s="114"/>
      <c r="H69" s="114"/>
      <c r="I69" s="16"/>
      <c r="K69" s="21"/>
      <c r="L69" s="120"/>
      <c r="M69" s="120"/>
      <c r="N69" s="120"/>
      <c r="O69" s="120"/>
      <c r="P69" s="114"/>
      <c r="Q69" s="114"/>
      <c r="R69" s="114"/>
      <c r="S69" s="16"/>
    </row>
    <row r="70" spans="1:19">
      <c r="A70" s="21">
        <v>7</v>
      </c>
      <c r="B70" s="1099" t="s">
        <v>53</v>
      </c>
      <c r="C70" s="1099"/>
      <c r="D70" s="1099"/>
      <c r="E70" s="24">
        <f>E66-I68</f>
        <v>13000</v>
      </c>
      <c r="F70" s="19"/>
      <c r="G70" s="19"/>
      <c r="H70" s="19"/>
      <c r="I70" s="16"/>
      <c r="K70" s="21">
        <v>7</v>
      </c>
      <c r="L70" s="1099" t="s">
        <v>53</v>
      </c>
      <c r="M70" s="1099"/>
      <c r="N70" s="1099"/>
      <c r="O70" s="24">
        <f>E70</f>
        <v>13000</v>
      </c>
      <c r="P70" s="19"/>
      <c r="Q70" s="19"/>
      <c r="R70" s="19"/>
      <c r="S70" s="16"/>
    </row>
    <row r="71" spans="1:19">
      <c r="A71" s="15"/>
      <c r="B71" s="114"/>
      <c r="C71" s="114"/>
      <c r="D71" s="114"/>
      <c r="E71" s="114"/>
      <c r="F71" s="114"/>
      <c r="G71" s="114"/>
      <c r="H71" s="114"/>
      <c r="I71" s="16"/>
      <c r="K71" s="15"/>
      <c r="L71" s="114"/>
      <c r="M71" s="114"/>
      <c r="N71" s="114"/>
      <c r="O71" s="114"/>
      <c r="P71" s="114"/>
      <c r="Q71" s="114"/>
      <c r="R71" s="114"/>
      <c r="S71" s="16"/>
    </row>
    <row r="72" spans="1:19">
      <c r="A72" s="15"/>
      <c r="B72" s="114"/>
      <c r="C72" s="114"/>
      <c r="D72" s="114"/>
      <c r="E72" s="114"/>
      <c r="F72" s="114"/>
      <c r="G72" s="114"/>
      <c r="H72" s="114"/>
      <c r="I72" s="16"/>
      <c r="K72" s="15"/>
      <c r="L72" s="114"/>
      <c r="M72" s="114"/>
      <c r="N72" s="114"/>
      <c r="O72" s="114"/>
      <c r="P72" s="114"/>
      <c r="Q72" s="114"/>
      <c r="R72" s="114"/>
      <c r="S72" s="16"/>
    </row>
    <row r="73" spans="1:19" ht="15" thickBot="1">
      <c r="A73" s="15"/>
      <c r="B73" s="114"/>
      <c r="C73" s="114"/>
      <c r="D73" s="114"/>
      <c r="E73" s="114"/>
      <c r="F73" s="25"/>
      <c r="G73" s="25"/>
      <c r="H73" s="25"/>
      <c r="I73" s="26"/>
      <c r="K73" s="15"/>
      <c r="L73" s="114"/>
      <c r="M73" s="114"/>
      <c r="N73" s="114"/>
      <c r="O73" s="114"/>
      <c r="P73" s="25"/>
      <c r="Q73" s="25"/>
      <c r="R73" s="25"/>
      <c r="S73" s="26"/>
    </row>
    <row r="74" spans="1:19" ht="15" thickBot="1">
      <c r="A74" s="27"/>
      <c r="B74" s="25"/>
      <c r="C74" s="25"/>
      <c r="D74" s="25"/>
      <c r="E74" s="999" t="s">
        <v>54</v>
      </c>
      <c r="F74" s="999"/>
      <c r="G74" s="999"/>
      <c r="H74" s="999"/>
      <c r="I74" s="1100"/>
      <c r="K74" s="27"/>
      <c r="L74" s="25"/>
      <c r="M74" s="25"/>
      <c r="N74" s="25"/>
      <c r="O74" s="28" t="s">
        <v>54</v>
      </c>
      <c r="P74" s="25"/>
      <c r="Q74" s="28"/>
      <c r="R74" s="28"/>
      <c r="S74" s="29"/>
    </row>
    <row r="75" spans="1:19">
      <c r="A75" s="114"/>
      <c r="B75" s="114"/>
      <c r="C75" s="114"/>
      <c r="D75" s="114"/>
      <c r="E75" s="325"/>
      <c r="F75" s="325"/>
      <c r="G75" s="325"/>
      <c r="H75" s="325"/>
      <c r="I75" s="325"/>
      <c r="K75" s="114"/>
      <c r="L75" s="114"/>
      <c r="M75" s="114"/>
      <c r="N75" s="114"/>
      <c r="O75" s="114"/>
      <c r="P75" s="114"/>
      <c r="Q75" s="114"/>
      <c r="R75" s="114"/>
      <c r="S75" s="114"/>
    </row>
    <row r="76" spans="1:19">
      <c r="A76" s="114"/>
      <c r="B76" s="114"/>
      <c r="C76" s="114"/>
      <c r="D76" s="114"/>
      <c r="E76" s="325"/>
      <c r="F76" s="325"/>
      <c r="G76" s="325"/>
      <c r="H76" s="325"/>
      <c r="I76" s="325"/>
      <c r="K76" s="114"/>
      <c r="L76" s="114"/>
      <c r="M76" s="114"/>
      <c r="N76" s="114"/>
      <c r="O76" s="114"/>
      <c r="P76" s="114"/>
      <c r="Q76" s="114"/>
      <c r="R76" s="114"/>
      <c r="S76" s="114"/>
    </row>
    <row r="77" spans="1:19">
      <c r="A77" s="114"/>
      <c r="B77" s="114"/>
      <c r="C77" s="114"/>
      <c r="D77" s="114"/>
      <c r="E77" s="325"/>
      <c r="F77" s="325"/>
      <c r="G77" s="325"/>
      <c r="H77" s="325"/>
      <c r="I77" s="325"/>
      <c r="K77" s="114"/>
      <c r="L77" s="114"/>
      <c r="M77" s="114"/>
      <c r="N77" s="114"/>
      <c r="O77" s="114"/>
      <c r="P77" s="114"/>
      <c r="Q77" s="114"/>
      <c r="R77" s="114"/>
      <c r="S77" s="114"/>
    </row>
    <row r="78" spans="1:19">
      <c r="A78" s="114"/>
      <c r="B78" s="114"/>
      <c r="C78" s="114"/>
      <c r="D78" s="114"/>
      <c r="E78" s="325"/>
      <c r="F78" s="325"/>
      <c r="G78" s="325"/>
      <c r="H78" s="325"/>
      <c r="I78" s="325"/>
      <c r="K78" s="114"/>
      <c r="L78" s="114"/>
      <c r="M78" s="114"/>
      <c r="N78" s="114"/>
      <c r="O78" s="114"/>
      <c r="P78" s="114"/>
      <c r="Q78" s="114"/>
      <c r="R78" s="114"/>
      <c r="S78" s="114"/>
    </row>
    <row r="79" spans="1:19">
      <c r="A79" s="114"/>
      <c r="B79" s="114"/>
      <c r="C79" s="114"/>
      <c r="D79" s="114"/>
      <c r="E79" s="325"/>
      <c r="F79" s="325"/>
      <c r="G79" s="325"/>
      <c r="H79" s="325"/>
      <c r="I79" s="325"/>
      <c r="K79" s="114"/>
      <c r="L79" s="114"/>
      <c r="M79" s="114"/>
      <c r="N79" s="114"/>
      <c r="O79" s="114"/>
      <c r="P79" s="114"/>
      <c r="Q79" s="114"/>
      <c r="R79" s="114"/>
      <c r="S79" s="114"/>
    </row>
    <row r="80" spans="1:19">
      <c r="A80" s="114"/>
      <c r="B80" s="114"/>
      <c r="C80" s="114"/>
      <c r="D80" s="114"/>
      <c r="E80" s="325"/>
      <c r="F80" s="325"/>
      <c r="G80" s="325"/>
      <c r="H80" s="325"/>
      <c r="I80" s="325"/>
      <c r="K80" s="114"/>
      <c r="L80" s="114"/>
      <c r="M80" s="114"/>
      <c r="N80" s="114"/>
      <c r="O80" s="114"/>
      <c r="P80" s="114"/>
      <c r="Q80" s="114"/>
      <c r="R80" s="114"/>
      <c r="S80" s="114"/>
    </row>
    <row r="81" spans="1:19">
      <c r="A81" s="114"/>
      <c r="B81" s="114"/>
      <c r="C81" s="114"/>
      <c r="D81" s="114"/>
      <c r="E81" s="325"/>
      <c r="F81" s="325"/>
      <c r="G81" s="325"/>
      <c r="H81" s="325"/>
      <c r="I81" s="325"/>
      <c r="K81" s="114"/>
      <c r="L81" s="114"/>
      <c r="M81" s="114"/>
      <c r="N81" s="114"/>
      <c r="O81" s="114"/>
      <c r="P81" s="114"/>
      <c r="Q81" s="114"/>
      <c r="R81" s="114"/>
      <c r="S81" s="114"/>
    </row>
    <row r="82" spans="1:19">
      <c r="A82" s="114"/>
      <c r="B82" s="114"/>
      <c r="C82" s="114"/>
      <c r="D82" s="114"/>
      <c r="E82" s="325"/>
      <c r="F82" s="325"/>
      <c r="G82" s="325"/>
      <c r="H82" s="325"/>
      <c r="I82" s="325"/>
      <c r="K82" s="114"/>
      <c r="L82" s="114"/>
      <c r="M82" s="114"/>
      <c r="N82" s="114"/>
      <c r="O82" s="114"/>
      <c r="P82" s="114"/>
      <c r="Q82" s="114"/>
      <c r="R82" s="114"/>
      <c r="S82" s="114"/>
    </row>
    <row r="83" spans="1:19">
      <c r="A83" s="114"/>
      <c r="B83" s="114"/>
      <c r="C83" s="114"/>
      <c r="D83" s="114"/>
      <c r="E83" s="325"/>
      <c r="F83" s="325"/>
      <c r="G83" s="325"/>
      <c r="H83" s="325"/>
      <c r="I83" s="325"/>
      <c r="K83" s="114"/>
      <c r="L83" s="114"/>
      <c r="M83" s="114"/>
      <c r="N83" s="114"/>
      <c r="O83" s="114"/>
      <c r="P83" s="114"/>
      <c r="Q83" s="114"/>
      <c r="R83" s="114"/>
      <c r="S83" s="114"/>
    </row>
    <row r="84" spans="1:19">
      <c r="A84" s="114"/>
      <c r="B84" s="114"/>
      <c r="C84" s="114"/>
      <c r="D84" s="114"/>
      <c r="E84" s="325"/>
      <c r="F84" s="325"/>
      <c r="G84" s="325"/>
      <c r="H84" s="325"/>
      <c r="I84" s="325"/>
      <c r="K84" s="114"/>
      <c r="L84" s="114"/>
      <c r="M84" s="114"/>
      <c r="N84" s="114"/>
      <c r="O84" s="114"/>
      <c r="P84" s="114"/>
      <c r="Q84" s="114"/>
      <c r="R84" s="114"/>
      <c r="S84" s="114"/>
    </row>
    <row r="85" spans="1:19">
      <c r="A85" s="114"/>
      <c r="B85" s="114"/>
      <c r="C85" s="114"/>
      <c r="D85" s="114"/>
      <c r="E85" s="325"/>
      <c r="F85" s="325"/>
      <c r="G85" s="325"/>
      <c r="H85" s="325"/>
      <c r="I85" s="325"/>
      <c r="K85" s="114"/>
      <c r="L85" s="114"/>
      <c r="M85" s="114"/>
      <c r="N85" s="114"/>
      <c r="O85" s="114"/>
      <c r="P85" s="114"/>
      <c r="Q85" s="114"/>
      <c r="R85" s="114"/>
      <c r="S85" s="114"/>
    </row>
    <row r="86" spans="1:19" ht="15" thickBot="1"/>
    <row r="87" spans="1:19" ht="24.6">
      <c r="A87" s="1091" t="s">
        <v>39</v>
      </c>
      <c r="B87" s="1092"/>
      <c r="C87" s="1092"/>
      <c r="D87" s="1092"/>
      <c r="E87" s="1092"/>
      <c r="F87" s="1092"/>
      <c r="G87" s="1092"/>
      <c r="H87" s="1092"/>
      <c r="I87" s="1093"/>
      <c r="K87" s="1091" t="s">
        <v>39</v>
      </c>
      <c r="L87" s="1092"/>
      <c r="M87" s="1092"/>
      <c r="N87" s="1092"/>
      <c r="O87" s="1092"/>
      <c r="P87" s="1092"/>
      <c r="Q87" s="1092"/>
      <c r="R87" s="1092"/>
      <c r="S87" s="1093"/>
    </row>
    <row r="88" spans="1:19">
      <c r="A88" s="1094" t="s">
        <v>1075</v>
      </c>
      <c r="B88" s="1095"/>
      <c r="C88" s="1095"/>
      <c r="D88" s="1095"/>
      <c r="E88" s="1095"/>
      <c r="F88" s="1095"/>
      <c r="G88" s="1095"/>
      <c r="H88" s="1095"/>
      <c r="I88" s="1096"/>
      <c r="K88" s="1094" t="str">
        <f>A88</f>
        <v>[Vide rule 78 (1) (b) of the Contract Labour (Regulation and Abolition) Central and A.P.{T.S.}Rules, 1971]</v>
      </c>
      <c r="L88" s="1095"/>
      <c r="M88" s="1095"/>
      <c r="N88" s="1095"/>
      <c r="O88" s="1095"/>
      <c r="P88" s="1095"/>
      <c r="Q88" s="1095"/>
      <c r="R88" s="1095"/>
      <c r="S88" s="1096"/>
    </row>
    <row r="89" spans="1:19">
      <c r="A89" s="15"/>
      <c r="B89" s="114"/>
      <c r="C89" s="114"/>
      <c r="D89" s="114"/>
      <c r="E89" s="114"/>
      <c r="F89" s="114"/>
      <c r="G89" s="114"/>
      <c r="H89" s="114"/>
      <c r="I89" s="16"/>
      <c r="K89" s="15"/>
      <c r="L89" s="114"/>
      <c r="M89" s="114"/>
      <c r="N89" s="114"/>
      <c r="O89" s="114"/>
      <c r="P89" s="114"/>
      <c r="Q89" s="114"/>
      <c r="R89" s="114"/>
      <c r="S89" s="16"/>
    </row>
    <row r="90" spans="1:19">
      <c r="A90" s="17" t="s">
        <v>40</v>
      </c>
      <c r="B90" s="120"/>
      <c r="C90" s="120"/>
      <c r="D90" s="121" t="str">
        <f>Master!F5</f>
        <v>GROTECH LANDSCAPE DEVELOPERS PVT. LTD.</v>
      </c>
      <c r="E90" s="114"/>
      <c r="F90" s="114"/>
      <c r="G90" s="114"/>
      <c r="H90" s="114"/>
      <c r="I90" s="16"/>
      <c r="K90" s="17" t="s">
        <v>40</v>
      </c>
      <c r="L90" s="120"/>
      <c r="M90" s="120"/>
      <c r="N90" s="121" t="str">
        <f>D90</f>
        <v>GROTECH LANDSCAPE DEVELOPERS PVT. LTD.</v>
      </c>
      <c r="O90" s="114"/>
      <c r="P90" s="114"/>
      <c r="Q90" s="114"/>
      <c r="R90" s="114"/>
      <c r="S90" s="16"/>
    </row>
    <row r="91" spans="1:19">
      <c r="A91" s="17"/>
      <c r="B91" s="120" t="str">
        <f>Master!F6</f>
        <v>290/E, Khanapur Village, Gandipet Mandal, Ranga Reddy, Hyderabad-500075 T.S.</v>
      </c>
      <c r="C91" s="120"/>
      <c r="D91" s="114"/>
      <c r="E91" s="114"/>
      <c r="F91" s="114"/>
      <c r="G91" s="114"/>
      <c r="H91" s="114"/>
      <c r="I91" s="16"/>
      <c r="K91" s="17"/>
      <c r="L91" s="120" t="str">
        <f>B91</f>
        <v>290/E, Khanapur Village, Gandipet Mandal, Ranga Reddy, Hyderabad-500075 T.S.</v>
      </c>
      <c r="M91" s="120"/>
      <c r="N91" s="114"/>
      <c r="O91" s="114"/>
      <c r="P91" s="114"/>
      <c r="Q91" s="114"/>
      <c r="R91" s="114"/>
      <c r="S91" s="16"/>
    </row>
    <row r="92" spans="1:19">
      <c r="A92" s="17"/>
      <c r="B92" s="120"/>
      <c r="C92" s="120"/>
      <c r="D92" s="120"/>
      <c r="E92" s="120"/>
      <c r="F92" s="114"/>
      <c r="G92" s="114"/>
      <c r="H92" s="114"/>
      <c r="I92" s="16"/>
      <c r="K92" s="17"/>
      <c r="L92" s="120"/>
      <c r="M92" s="120"/>
      <c r="N92" s="120"/>
      <c r="O92" s="120"/>
      <c r="P92" s="114"/>
      <c r="Q92" s="114"/>
      <c r="R92" s="114"/>
      <c r="S92" s="16"/>
    </row>
    <row r="93" spans="1:19">
      <c r="A93" s="1097" t="s">
        <v>41</v>
      </c>
      <c r="B93" s="1098"/>
      <c r="C93" s="1098"/>
      <c r="D93" s="1098"/>
      <c r="E93" s="120"/>
      <c r="F93" s="114"/>
      <c r="G93" s="114"/>
      <c r="H93" s="114"/>
      <c r="I93" s="16"/>
      <c r="K93" s="1097" t="s">
        <v>41</v>
      </c>
      <c r="L93" s="1098"/>
      <c r="M93" s="1098"/>
      <c r="N93" s="1098"/>
      <c r="O93" s="120"/>
      <c r="P93" s="114"/>
      <c r="Q93" s="114"/>
      <c r="R93" s="114"/>
      <c r="S93" s="16"/>
    </row>
    <row r="94" spans="1:19">
      <c r="A94" s="1097"/>
      <c r="B94" s="1098"/>
      <c r="C94" s="1098"/>
      <c r="D94" s="1098"/>
      <c r="E94" s="628" t="str">
        <f>Master!D17</f>
        <v>GUDALA RUSHESHWAR SWAMY</v>
      </c>
      <c r="F94" s="19"/>
      <c r="G94" s="19"/>
      <c r="H94" s="629" t="str">
        <f>Master!G17</f>
        <v>GUDALA KRISHANA MURTHY</v>
      </c>
      <c r="I94" s="16"/>
      <c r="K94" s="1097"/>
      <c r="L94" s="1098"/>
      <c r="M94" s="1098"/>
      <c r="N94" s="1098"/>
      <c r="O94" s="630" t="str">
        <f>E94</f>
        <v>GUDALA RUSHESHWAR SWAMY</v>
      </c>
      <c r="P94" s="19"/>
      <c r="Q94" s="19"/>
      <c r="R94" s="629" t="str">
        <f>H94</f>
        <v>GUDALA KRISHANA MURTHY</v>
      </c>
      <c r="S94" s="16"/>
    </row>
    <row r="95" spans="1:19">
      <c r="A95" s="17"/>
      <c r="B95" s="120"/>
      <c r="C95" s="120"/>
      <c r="D95" s="120"/>
      <c r="E95" s="120"/>
      <c r="F95" s="114"/>
      <c r="G95" s="114"/>
      <c r="H95" s="114"/>
      <c r="I95" s="16"/>
      <c r="K95" s="17"/>
      <c r="L95" s="120"/>
      <c r="M95" s="120"/>
      <c r="N95" s="120"/>
      <c r="O95" s="120"/>
      <c r="P95" s="114"/>
      <c r="Q95" s="114"/>
      <c r="R95" s="114"/>
      <c r="S95" s="16"/>
    </row>
    <row r="96" spans="1:19">
      <c r="A96" s="1101" t="s">
        <v>42</v>
      </c>
      <c r="B96" s="1099"/>
      <c r="C96" s="1099"/>
      <c r="D96" s="1099"/>
      <c r="E96" s="24" t="str">
        <f>Master!F8</f>
        <v>GARDENING SERVICES&amp;ISB HYDERABAD</v>
      </c>
      <c r="F96" s="19"/>
      <c r="G96" s="19"/>
      <c r="H96" s="19"/>
      <c r="I96" s="16"/>
      <c r="K96" s="1101" t="s">
        <v>42</v>
      </c>
      <c r="L96" s="1099"/>
      <c r="M96" s="1099"/>
      <c r="N96" s="1099"/>
      <c r="O96" s="24" t="str">
        <f>E96</f>
        <v>GARDENING SERVICES&amp;ISB HYDERABAD</v>
      </c>
      <c r="P96" s="19"/>
      <c r="Q96" s="19"/>
      <c r="R96" s="19"/>
      <c r="S96" s="16"/>
    </row>
    <row r="97" spans="1:19">
      <c r="A97" s="17"/>
      <c r="B97" s="120"/>
      <c r="C97" s="120"/>
      <c r="D97" s="120"/>
      <c r="E97" s="120"/>
      <c r="F97" s="114"/>
      <c r="G97" s="114"/>
      <c r="H97" s="114"/>
      <c r="I97" s="16"/>
      <c r="K97" s="17"/>
      <c r="L97" s="120"/>
      <c r="M97" s="120"/>
      <c r="N97" s="120"/>
      <c r="O97" s="120"/>
      <c r="P97" s="114"/>
      <c r="Q97" s="114"/>
      <c r="R97" s="114"/>
      <c r="S97" s="16"/>
    </row>
    <row r="98" spans="1:19">
      <c r="A98" s="1101" t="s">
        <v>43</v>
      </c>
      <c r="B98" s="1099"/>
      <c r="C98" s="1099"/>
      <c r="D98" s="1099"/>
      <c r="E98" s="20">
        <f>Master!F10</f>
        <v>44652</v>
      </c>
      <c r="F98" s="19"/>
      <c r="G98" s="19"/>
      <c r="H98" s="19"/>
      <c r="I98" s="16"/>
      <c r="K98" s="1101" t="s">
        <v>43</v>
      </c>
      <c r="L98" s="1099"/>
      <c r="M98" s="1099"/>
      <c r="N98" s="1099"/>
      <c r="O98" s="20">
        <f>E98</f>
        <v>44652</v>
      </c>
      <c r="P98" s="19"/>
      <c r="Q98" s="19"/>
      <c r="R98" s="19"/>
      <c r="S98" s="16"/>
    </row>
    <row r="99" spans="1:19">
      <c r="A99" s="17"/>
      <c r="B99" s="120"/>
      <c r="C99" s="120"/>
      <c r="D99" s="120"/>
      <c r="E99" s="120"/>
      <c r="F99" s="114"/>
      <c r="G99" s="114"/>
      <c r="H99" s="114"/>
      <c r="I99" s="16"/>
      <c r="K99" s="17"/>
      <c r="L99" s="120"/>
      <c r="M99" s="120"/>
      <c r="N99" s="120"/>
      <c r="O99" s="120"/>
      <c r="P99" s="114"/>
      <c r="Q99" s="114"/>
      <c r="R99" s="114"/>
      <c r="S99" s="16"/>
    </row>
    <row r="100" spans="1:19">
      <c r="A100" s="21">
        <v>1</v>
      </c>
      <c r="B100" s="1099" t="s">
        <v>44</v>
      </c>
      <c r="C100" s="1099"/>
      <c r="D100" s="1099"/>
      <c r="E100" s="22">
        <f>Master!AA17</f>
        <v>30</v>
      </c>
      <c r="F100" s="19"/>
      <c r="G100" s="19"/>
      <c r="H100" s="19"/>
      <c r="I100" s="16"/>
      <c r="K100" s="21">
        <v>1</v>
      </c>
      <c r="L100" s="1099" t="s">
        <v>44</v>
      </c>
      <c r="M100" s="1099"/>
      <c r="N100" s="1099"/>
      <c r="O100" s="22">
        <f>E100</f>
        <v>30</v>
      </c>
      <c r="P100" s="19"/>
      <c r="Q100" s="19"/>
      <c r="R100" s="19"/>
      <c r="S100" s="16"/>
    </row>
    <row r="101" spans="1:19">
      <c r="A101" s="21"/>
      <c r="B101" s="120"/>
      <c r="C101" s="120"/>
      <c r="D101" s="120"/>
      <c r="E101" s="120"/>
      <c r="F101" s="114"/>
      <c r="G101" s="114"/>
      <c r="H101" s="114"/>
      <c r="I101" s="16"/>
      <c r="K101" s="21"/>
      <c r="L101" s="120"/>
      <c r="M101" s="120"/>
      <c r="N101" s="120"/>
      <c r="O101" s="120"/>
      <c r="P101" s="114"/>
      <c r="Q101" s="114"/>
      <c r="R101" s="114"/>
      <c r="S101" s="16"/>
    </row>
    <row r="102" spans="1:19">
      <c r="A102" s="21">
        <v>2</v>
      </c>
      <c r="B102" s="1098" t="s">
        <v>45</v>
      </c>
      <c r="C102" s="1098"/>
      <c r="D102" s="1098"/>
      <c r="E102" s="120"/>
      <c r="F102" s="114"/>
      <c r="G102" s="114"/>
      <c r="H102" s="114"/>
      <c r="I102" s="16"/>
      <c r="K102" s="21">
        <v>2</v>
      </c>
      <c r="L102" s="1098" t="s">
        <v>45</v>
      </c>
      <c r="M102" s="1098"/>
      <c r="N102" s="1098"/>
      <c r="O102" s="120"/>
      <c r="P102" s="114"/>
      <c r="Q102" s="114"/>
      <c r="R102" s="114"/>
      <c r="S102" s="16"/>
    </row>
    <row r="103" spans="1:19">
      <c r="A103" s="21"/>
      <c r="B103" s="1098"/>
      <c r="C103" s="1098"/>
      <c r="D103" s="1098"/>
      <c r="E103" s="23" t="s">
        <v>28</v>
      </c>
      <c r="F103" s="19"/>
      <c r="G103" s="19"/>
      <c r="H103" s="19"/>
      <c r="I103" s="16"/>
      <c r="K103" s="21"/>
      <c r="L103" s="1098"/>
      <c r="M103" s="1098"/>
      <c r="N103" s="1098"/>
      <c r="O103" s="23" t="s">
        <v>28</v>
      </c>
      <c r="P103" s="19"/>
      <c r="Q103" s="19"/>
      <c r="R103" s="19"/>
      <c r="S103" s="16"/>
    </row>
    <row r="104" spans="1:19">
      <c r="A104" s="21"/>
      <c r="B104" s="120"/>
      <c r="C104" s="120"/>
      <c r="D104" s="120"/>
      <c r="E104" s="120"/>
      <c r="F104" s="114"/>
      <c r="G104" s="114"/>
      <c r="H104" s="114"/>
      <c r="I104" s="16"/>
      <c r="K104" s="21"/>
      <c r="L104" s="120"/>
      <c r="M104" s="120"/>
      <c r="N104" s="120"/>
      <c r="O104" s="120"/>
      <c r="P104" s="114"/>
      <c r="Q104" s="114"/>
      <c r="R104" s="114"/>
      <c r="S104" s="16"/>
    </row>
    <row r="105" spans="1:19">
      <c r="A105" s="21">
        <v>3</v>
      </c>
      <c r="B105" s="1099" t="s">
        <v>46</v>
      </c>
      <c r="C105" s="1099"/>
      <c r="D105" s="1099"/>
      <c r="E105" s="23" t="s">
        <v>28</v>
      </c>
      <c r="F105" s="19"/>
      <c r="G105" s="19"/>
      <c r="H105" s="19"/>
      <c r="I105" s="16"/>
      <c r="K105" s="21">
        <v>3</v>
      </c>
      <c r="L105" s="1099" t="s">
        <v>46</v>
      </c>
      <c r="M105" s="1099"/>
      <c r="N105" s="1099"/>
      <c r="O105" s="18" t="str">
        <f>E105</f>
        <v>N/A</v>
      </c>
      <c r="P105" s="19"/>
      <c r="Q105" s="19"/>
      <c r="R105" s="19"/>
      <c r="S105" s="16"/>
    </row>
    <row r="106" spans="1:19">
      <c r="A106" s="21"/>
      <c r="B106" s="120"/>
      <c r="C106" s="120"/>
      <c r="D106" s="120"/>
      <c r="E106" s="120"/>
      <c r="F106" s="114"/>
      <c r="G106" s="114"/>
      <c r="H106" s="114"/>
      <c r="I106" s="16"/>
      <c r="K106" s="21"/>
      <c r="L106" s="120"/>
      <c r="M106" s="120"/>
      <c r="N106" s="120"/>
      <c r="O106" s="120"/>
      <c r="P106" s="114"/>
      <c r="Q106" s="114"/>
      <c r="R106" s="114"/>
      <c r="S106" s="16"/>
    </row>
    <row r="107" spans="1:19">
      <c r="A107" s="21">
        <v>4</v>
      </c>
      <c r="B107" s="1099" t="s">
        <v>47</v>
      </c>
      <c r="C107" s="1099"/>
      <c r="D107" s="1099"/>
      <c r="E107" s="23" t="s">
        <v>48</v>
      </c>
      <c r="F107" s="19"/>
      <c r="G107" s="19"/>
      <c r="H107" s="19"/>
      <c r="I107" s="16"/>
      <c r="K107" s="21">
        <v>4</v>
      </c>
      <c r="L107" s="1099" t="s">
        <v>47</v>
      </c>
      <c r="M107" s="1099"/>
      <c r="N107" s="1099"/>
      <c r="O107" s="23" t="s">
        <v>48</v>
      </c>
      <c r="P107" s="19"/>
      <c r="Q107" s="19"/>
      <c r="R107" s="19"/>
      <c r="S107" s="16"/>
    </row>
    <row r="108" spans="1:19">
      <c r="A108" s="21"/>
      <c r="B108" s="120"/>
      <c r="C108" s="120"/>
      <c r="D108" s="120"/>
      <c r="E108" s="120"/>
      <c r="F108" s="114"/>
      <c r="G108" s="114"/>
      <c r="H108" s="114"/>
      <c r="I108" s="16"/>
      <c r="K108" s="21"/>
      <c r="L108" s="120"/>
      <c r="M108" s="120"/>
      <c r="N108" s="120"/>
      <c r="O108" s="120"/>
      <c r="P108" s="114"/>
      <c r="Q108" s="114"/>
      <c r="R108" s="114"/>
      <c r="S108" s="16"/>
    </row>
    <row r="109" spans="1:19">
      <c r="A109" s="21">
        <v>5</v>
      </c>
      <c r="B109" s="1099" t="s">
        <v>49</v>
      </c>
      <c r="C109" s="1099"/>
      <c r="D109" s="1099"/>
      <c r="E109" s="24">
        <f>Master!AK17</f>
        <v>17918</v>
      </c>
      <c r="F109" s="19"/>
      <c r="G109" s="19"/>
      <c r="H109" s="19"/>
      <c r="I109" s="16"/>
      <c r="K109" s="21">
        <v>5</v>
      </c>
      <c r="L109" s="1099" t="s">
        <v>49</v>
      </c>
      <c r="M109" s="1099"/>
      <c r="N109" s="1099"/>
      <c r="O109" s="24">
        <f>E109</f>
        <v>17918</v>
      </c>
      <c r="P109" s="19"/>
      <c r="Q109" s="19"/>
      <c r="R109" s="19"/>
      <c r="S109" s="16"/>
    </row>
    <row r="110" spans="1:19">
      <c r="A110" s="21"/>
      <c r="B110" s="120"/>
      <c r="C110" s="120"/>
      <c r="D110" s="238" t="s">
        <v>50</v>
      </c>
      <c r="E110" s="238" t="s">
        <v>23</v>
      </c>
      <c r="F110" s="136" t="s">
        <v>25</v>
      </c>
      <c r="G110" s="238" t="s">
        <v>26</v>
      </c>
      <c r="H110" s="238" t="s">
        <v>202</v>
      </c>
      <c r="I110" s="126" t="s">
        <v>51</v>
      </c>
      <c r="K110" s="21"/>
      <c r="L110" s="120"/>
      <c r="M110" s="120"/>
      <c r="N110" s="238" t="s">
        <v>50</v>
      </c>
      <c r="O110" s="238" t="s">
        <v>23</v>
      </c>
      <c r="P110" s="136" t="s">
        <v>25</v>
      </c>
      <c r="Q110" s="238" t="s">
        <v>26</v>
      </c>
      <c r="R110" s="238" t="str">
        <f>H110</f>
        <v>ADV</v>
      </c>
      <c r="S110" s="126" t="s">
        <v>51</v>
      </c>
    </row>
    <row r="111" spans="1:19">
      <c r="A111" s="21">
        <v>6</v>
      </c>
      <c r="B111" s="377" t="s">
        <v>52</v>
      </c>
      <c r="C111" s="377"/>
      <c r="D111" s="335">
        <f>Master!AM17</f>
        <v>1584</v>
      </c>
      <c r="E111" s="335">
        <f>Master!AL17</f>
        <v>135</v>
      </c>
      <c r="F111" s="180">
        <f>Master!AN17</f>
        <v>150</v>
      </c>
      <c r="G111" s="180">
        <f>Master!AO17</f>
        <v>0</v>
      </c>
      <c r="H111" s="180">
        <f>Master!AP17</f>
        <v>0</v>
      </c>
      <c r="I111" s="127">
        <f>D111+E111+F111+G111+H111</f>
        <v>1869</v>
      </c>
      <c r="K111" s="21">
        <v>6</v>
      </c>
      <c r="L111" s="377" t="s">
        <v>52</v>
      </c>
      <c r="M111" s="377"/>
      <c r="N111" s="335">
        <f>D111</f>
        <v>1584</v>
      </c>
      <c r="O111" s="335">
        <f>E111</f>
        <v>135</v>
      </c>
      <c r="P111" s="180">
        <f>F111</f>
        <v>150</v>
      </c>
      <c r="Q111" s="180">
        <f>G111</f>
        <v>0</v>
      </c>
      <c r="R111" s="180">
        <f>H111</f>
        <v>0</v>
      </c>
      <c r="S111" s="127">
        <f>N111+O111+R111</f>
        <v>1719</v>
      </c>
    </row>
    <row r="112" spans="1:19">
      <c r="A112" s="21"/>
      <c r="B112" s="120"/>
      <c r="C112" s="120"/>
      <c r="D112" s="120"/>
      <c r="E112" s="120"/>
      <c r="F112" s="114"/>
      <c r="G112" s="114"/>
      <c r="H112" s="114"/>
      <c r="I112" s="16"/>
      <c r="K112" s="21"/>
      <c r="L112" s="120"/>
      <c r="M112" s="120"/>
      <c r="N112" s="120"/>
      <c r="O112" s="120"/>
      <c r="P112" s="114"/>
      <c r="Q112" s="114"/>
      <c r="R112" s="114"/>
      <c r="S112" s="16"/>
    </row>
    <row r="113" spans="1:19">
      <c r="A113" s="21">
        <v>7</v>
      </c>
      <c r="B113" s="1099" t="s">
        <v>53</v>
      </c>
      <c r="C113" s="1099"/>
      <c r="D113" s="1099"/>
      <c r="E113" s="24">
        <f>E109-I111</f>
        <v>16049</v>
      </c>
      <c r="F113" s="19"/>
      <c r="G113" s="19"/>
      <c r="H113" s="19"/>
      <c r="I113" s="16"/>
      <c r="K113" s="21">
        <v>7</v>
      </c>
      <c r="L113" s="1099" t="s">
        <v>53</v>
      </c>
      <c r="M113" s="1099"/>
      <c r="N113" s="1099"/>
      <c r="O113" s="24">
        <f>E113</f>
        <v>16049</v>
      </c>
      <c r="P113" s="19"/>
      <c r="Q113" s="19"/>
      <c r="R113" s="19"/>
      <c r="S113" s="16"/>
    </row>
    <row r="114" spans="1:19">
      <c r="A114" s="15"/>
      <c r="B114" s="114"/>
      <c r="C114" s="114"/>
      <c r="D114" s="114"/>
      <c r="E114" s="114"/>
      <c r="F114" s="114"/>
      <c r="G114" s="114"/>
      <c r="H114" s="114"/>
      <c r="I114" s="16"/>
      <c r="K114" s="15"/>
      <c r="L114" s="114"/>
      <c r="M114" s="114"/>
      <c r="N114" s="114"/>
      <c r="O114" s="114"/>
      <c r="P114" s="114"/>
      <c r="Q114" s="114"/>
      <c r="R114" s="114"/>
      <c r="S114" s="16"/>
    </row>
    <row r="115" spans="1:19">
      <c r="A115" s="15"/>
      <c r="B115" s="114"/>
      <c r="C115" s="114"/>
      <c r="D115" s="114"/>
      <c r="E115" s="114"/>
      <c r="F115" s="114"/>
      <c r="G115" s="114"/>
      <c r="H115" s="114"/>
      <c r="I115" s="16"/>
      <c r="K115" s="15"/>
      <c r="L115" s="114"/>
      <c r="M115" s="114"/>
      <c r="N115" s="114"/>
      <c r="O115" s="114"/>
      <c r="P115" s="114"/>
      <c r="Q115" s="114"/>
      <c r="R115" s="114"/>
      <c r="S115" s="16"/>
    </row>
    <row r="116" spans="1:19" ht="15" thickBot="1">
      <c r="A116" s="15"/>
      <c r="B116" s="114"/>
      <c r="C116" s="114"/>
      <c r="D116" s="114"/>
      <c r="E116" s="114"/>
      <c r="F116" s="25"/>
      <c r="G116" s="25"/>
      <c r="H116" s="25"/>
      <c r="I116" s="26"/>
      <c r="K116" s="15"/>
      <c r="L116" s="114"/>
      <c r="M116" s="114"/>
      <c r="N116" s="114"/>
      <c r="O116" s="114"/>
      <c r="P116" s="25"/>
      <c r="Q116" s="25"/>
      <c r="R116" s="25"/>
      <c r="S116" s="26"/>
    </row>
    <row r="117" spans="1:19" ht="15" thickBot="1">
      <c r="A117" s="27"/>
      <c r="B117" s="25"/>
      <c r="C117" s="25"/>
      <c r="D117" s="25"/>
      <c r="E117" s="999" t="s">
        <v>54</v>
      </c>
      <c r="F117" s="999"/>
      <c r="G117" s="999"/>
      <c r="H117" s="999"/>
      <c r="I117" s="1100"/>
      <c r="K117" s="27"/>
      <c r="L117" s="25"/>
      <c r="M117" s="25"/>
      <c r="N117" s="25"/>
      <c r="O117" s="28" t="s">
        <v>54</v>
      </c>
      <c r="P117" s="25"/>
      <c r="Q117" s="28"/>
      <c r="R117" s="28"/>
      <c r="S117" s="29"/>
    </row>
    <row r="118" spans="1:19">
      <c r="A118" s="114"/>
      <c r="B118" s="114"/>
      <c r="C118" s="114"/>
      <c r="D118" s="114"/>
      <c r="E118" s="325"/>
      <c r="F118" s="325"/>
      <c r="G118" s="325"/>
      <c r="H118" s="325"/>
      <c r="I118" s="325"/>
      <c r="K118" s="114"/>
      <c r="L118" s="114"/>
      <c r="M118" s="114"/>
      <c r="N118" s="114"/>
      <c r="O118" s="114"/>
      <c r="P118" s="114"/>
      <c r="Q118" s="114"/>
      <c r="R118" s="114"/>
      <c r="S118" s="114"/>
    </row>
    <row r="119" spans="1:19">
      <c r="A119" s="114"/>
      <c r="B119" s="114"/>
      <c r="C119" s="114"/>
      <c r="D119" s="114"/>
      <c r="E119" s="325"/>
      <c r="F119" s="325"/>
      <c r="G119" s="325"/>
      <c r="H119" s="325"/>
      <c r="I119" s="325"/>
      <c r="K119" s="114"/>
      <c r="L119" s="114"/>
      <c r="M119" s="114"/>
      <c r="N119" s="114"/>
      <c r="O119" s="114"/>
      <c r="P119" s="114"/>
      <c r="Q119" s="114"/>
      <c r="R119" s="114"/>
      <c r="S119" s="114"/>
    </row>
    <row r="120" spans="1:19">
      <c r="A120" s="114"/>
      <c r="B120" s="114"/>
      <c r="C120" s="114"/>
      <c r="D120" s="114"/>
      <c r="E120" s="325"/>
      <c r="F120" s="325"/>
      <c r="G120" s="325"/>
      <c r="H120" s="325"/>
      <c r="I120" s="325"/>
      <c r="K120" s="114"/>
      <c r="L120" s="114"/>
      <c r="M120" s="114"/>
      <c r="N120" s="114"/>
      <c r="O120" s="114"/>
      <c r="P120" s="114"/>
      <c r="Q120" s="114"/>
      <c r="R120" s="114"/>
      <c r="S120" s="114"/>
    </row>
    <row r="121" spans="1:19">
      <c r="A121" s="114"/>
      <c r="B121" s="114"/>
      <c r="C121" s="114"/>
      <c r="D121" s="114"/>
      <c r="E121" s="325"/>
      <c r="F121" s="325"/>
      <c r="G121" s="325"/>
      <c r="H121" s="325"/>
      <c r="I121" s="325"/>
      <c r="K121" s="114"/>
      <c r="L121" s="114"/>
      <c r="M121" s="114"/>
      <c r="N121" s="114"/>
      <c r="O121" s="114"/>
      <c r="P121" s="114"/>
      <c r="Q121" s="114"/>
      <c r="R121" s="114"/>
      <c r="S121" s="114"/>
    </row>
    <row r="122" spans="1:19">
      <c r="A122" s="114"/>
      <c r="B122" s="114"/>
      <c r="C122" s="114"/>
      <c r="D122" s="114"/>
      <c r="E122" s="325"/>
      <c r="F122" s="325"/>
      <c r="G122" s="325"/>
      <c r="H122" s="325"/>
      <c r="I122" s="325"/>
      <c r="K122" s="114"/>
      <c r="L122" s="114"/>
      <c r="M122" s="114"/>
      <c r="N122" s="114"/>
      <c r="O122" s="114"/>
      <c r="P122" s="114"/>
      <c r="Q122" s="114"/>
      <c r="R122" s="114"/>
      <c r="S122" s="114"/>
    </row>
    <row r="123" spans="1:19">
      <c r="A123" s="114"/>
      <c r="B123" s="114"/>
      <c r="C123" s="114"/>
      <c r="D123" s="114"/>
      <c r="E123" s="325"/>
      <c r="F123" s="325"/>
      <c r="G123" s="325"/>
      <c r="H123" s="325"/>
      <c r="I123" s="325"/>
      <c r="K123" s="114"/>
      <c r="L123" s="114"/>
      <c r="M123" s="114"/>
      <c r="N123" s="114"/>
      <c r="O123" s="114"/>
      <c r="P123" s="114"/>
      <c r="Q123" s="114"/>
      <c r="R123" s="114"/>
      <c r="S123" s="114"/>
    </row>
    <row r="124" spans="1:19">
      <c r="A124" s="114"/>
      <c r="B124" s="114"/>
      <c r="C124" s="114"/>
      <c r="D124" s="114"/>
      <c r="E124" s="325"/>
      <c r="F124" s="325"/>
      <c r="G124" s="325"/>
      <c r="H124" s="325"/>
      <c r="I124" s="325"/>
      <c r="K124" s="114"/>
      <c r="L124" s="114"/>
      <c r="M124" s="114"/>
      <c r="N124" s="114"/>
      <c r="O124" s="114"/>
      <c r="P124" s="114"/>
      <c r="Q124" s="114"/>
      <c r="R124" s="114"/>
      <c r="S124" s="114"/>
    </row>
    <row r="125" spans="1:19">
      <c r="A125" s="114"/>
      <c r="B125" s="114"/>
      <c r="C125" s="114"/>
      <c r="D125" s="114"/>
      <c r="E125" s="325"/>
      <c r="F125" s="325"/>
      <c r="G125" s="325"/>
      <c r="H125" s="325"/>
      <c r="I125" s="325"/>
      <c r="K125" s="114"/>
      <c r="L125" s="114"/>
      <c r="M125" s="114"/>
      <c r="N125" s="114"/>
      <c r="O125" s="114"/>
      <c r="P125" s="114"/>
      <c r="Q125" s="114"/>
      <c r="R125" s="114"/>
      <c r="S125" s="114"/>
    </row>
    <row r="126" spans="1:19">
      <c r="A126" s="114"/>
      <c r="B126" s="114"/>
      <c r="C126" s="114"/>
      <c r="D126" s="114"/>
      <c r="E126" s="325"/>
      <c r="F126" s="325"/>
      <c r="G126" s="325"/>
      <c r="H126" s="325"/>
      <c r="I126" s="325"/>
      <c r="K126" s="114"/>
      <c r="L126" s="114"/>
      <c r="M126" s="114"/>
      <c r="N126" s="114"/>
      <c r="O126" s="114"/>
      <c r="P126" s="114"/>
      <c r="Q126" s="114"/>
      <c r="R126" s="114"/>
      <c r="S126" s="114"/>
    </row>
    <row r="127" spans="1:19">
      <c r="A127" s="114"/>
      <c r="B127" s="114"/>
      <c r="C127" s="114"/>
      <c r="D127" s="114"/>
      <c r="E127" s="325"/>
      <c r="F127" s="325"/>
      <c r="G127" s="325"/>
      <c r="H127" s="325"/>
      <c r="I127" s="325"/>
      <c r="K127" s="114"/>
      <c r="L127" s="114"/>
      <c r="M127" s="114"/>
      <c r="N127" s="114"/>
      <c r="O127" s="114"/>
      <c r="P127" s="114"/>
      <c r="Q127" s="114"/>
      <c r="R127" s="114"/>
      <c r="S127" s="114"/>
    </row>
    <row r="128" spans="1:19">
      <c r="A128" s="114"/>
      <c r="B128" s="114"/>
      <c r="C128" s="114"/>
      <c r="D128" s="114"/>
      <c r="E128" s="325"/>
      <c r="F128" s="325"/>
      <c r="G128" s="325"/>
      <c r="H128" s="325"/>
      <c r="I128" s="325"/>
      <c r="K128" s="114"/>
      <c r="L128" s="114"/>
      <c r="M128" s="114"/>
      <c r="N128" s="114"/>
      <c r="O128" s="114"/>
      <c r="P128" s="114"/>
      <c r="Q128" s="114"/>
      <c r="R128" s="114"/>
      <c r="S128" s="114"/>
    </row>
    <row r="129" spans="1:19" ht="15" thickBot="1"/>
    <row r="130" spans="1:19" ht="24.6">
      <c r="A130" s="1091" t="s">
        <v>39</v>
      </c>
      <c r="B130" s="1092"/>
      <c r="C130" s="1092"/>
      <c r="D130" s="1092"/>
      <c r="E130" s="1092"/>
      <c r="F130" s="1092"/>
      <c r="G130" s="1092"/>
      <c r="H130" s="1092"/>
      <c r="I130" s="1093"/>
      <c r="K130" s="1091" t="s">
        <v>39</v>
      </c>
      <c r="L130" s="1092"/>
      <c r="M130" s="1092"/>
      <c r="N130" s="1092"/>
      <c r="O130" s="1092"/>
      <c r="P130" s="1092"/>
      <c r="Q130" s="1092"/>
      <c r="R130" s="1092"/>
      <c r="S130" s="1093"/>
    </row>
    <row r="131" spans="1:19">
      <c r="A131" s="1094" t="s">
        <v>1075</v>
      </c>
      <c r="B131" s="1095"/>
      <c r="C131" s="1095"/>
      <c r="D131" s="1095"/>
      <c r="E131" s="1095"/>
      <c r="F131" s="1095"/>
      <c r="G131" s="1095"/>
      <c r="H131" s="1095"/>
      <c r="I131" s="1096"/>
      <c r="K131" s="1094" t="str">
        <f>A131</f>
        <v>[Vide rule 78 (1) (b) of the Contract Labour (Regulation and Abolition) Central and A.P.{T.S.}Rules, 1971]</v>
      </c>
      <c r="L131" s="1095"/>
      <c r="M131" s="1095"/>
      <c r="N131" s="1095"/>
      <c r="O131" s="1095"/>
      <c r="P131" s="1095"/>
      <c r="Q131" s="1095"/>
      <c r="R131" s="1095"/>
      <c r="S131" s="1096"/>
    </row>
    <row r="132" spans="1:19">
      <c r="A132" s="15"/>
      <c r="B132" s="114"/>
      <c r="C132" s="114"/>
      <c r="D132" s="114"/>
      <c r="E132" s="114"/>
      <c r="F132" s="114"/>
      <c r="G132" s="114"/>
      <c r="H132" s="114"/>
      <c r="I132" s="16"/>
      <c r="K132" s="15"/>
      <c r="L132" s="114"/>
      <c r="M132" s="114"/>
      <c r="N132" s="114"/>
      <c r="O132" s="114"/>
      <c r="P132" s="114"/>
      <c r="Q132" s="114"/>
      <c r="R132" s="114"/>
      <c r="S132" s="16"/>
    </row>
    <row r="133" spans="1:19">
      <c r="A133" s="17" t="s">
        <v>40</v>
      </c>
      <c r="B133" s="120"/>
      <c r="C133" s="120"/>
      <c r="D133" s="121" t="str">
        <f>Master!F5</f>
        <v>GROTECH LANDSCAPE DEVELOPERS PVT. LTD.</v>
      </c>
      <c r="E133" s="114"/>
      <c r="F133" s="114"/>
      <c r="G133" s="114"/>
      <c r="H133" s="114"/>
      <c r="I133" s="16"/>
      <c r="K133" s="17" t="s">
        <v>40</v>
      </c>
      <c r="L133" s="120"/>
      <c r="M133" s="120"/>
      <c r="N133" s="121" t="str">
        <f>D133</f>
        <v>GROTECH LANDSCAPE DEVELOPERS PVT. LTD.</v>
      </c>
      <c r="O133" s="114"/>
      <c r="P133" s="114"/>
      <c r="Q133" s="114"/>
      <c r="R133" s="114"/>
      <c r="S133" s="16"/>
    </row>
    <row r="134" spans="1:19">
      <c r="A134" s="17"/>
      <c r="B134" s="120" t="str">
        <f>Master!F6</f>
        <v>290/E, Khanapur Village, Gandipet Mandal, Ranga Reddy, Hyderabad-500075 T.S.</v>
      </c>
      <c r="C134" s="120"/>
      <c r="D134" s="114"/>
      <c r="E134" s="114"/>
      <c r="F134" s="114"/>
      <c r="G134" s="114"/>
      <c r="H134" s="114"/>
      <c r="I134" s="16"/>
      <c r="K134" s="17"/>
      <c r="L134" s="120" t="str">
        <f>B134</f>
        <v>290/E, Khanapur Village, Gandipet Mandal, Ranga Reddy, Hyderabad-500075 T.S.</v>
      </c>
      <c r="M134" s="120"/>
      <c r="N134" s="114"/>
      <c r="O134" s="114"/>
      <c r="P134" s="114"/>
      <c r="Q134" s="114"/>
      <c r="R134" s="114"/>
      <c r="S134" s="16"/>
    </row>
    <row r="135" spans="1:19">
      <c r="A135" s="17"/>
      <c r="B135" s="120"/>
      <c r="C135" s="120"/>
      <c r="D135" s="120"/>
      <c r="E135" s="120"/>
      <c r="F135" s="114"/>
      <c r="G135" s="114"/>
      <c r="H135" s="114"/>
      <c r="I135" s="16"/>
      <c r="K135" s="17"/>
      <c r="L135" s="120"/>
      <c r="M135" s="120"/>
      <c r="N135" s="120"/>
      <c r="O135" s="120"/>
      <c r="P135" s="114"/>
      <c r="Q135" s="114"/>
      <c r="R135" s="114"/>
      <c r="S135" s="16"/>
    </row>
    <row r="136" spans="1:19">
      <c r="A136" s="1097" t="s">
        <v>41</v>
      </c>
      <c r="B136" s="1098"/>
      <c r="C136" s="1098"/>
      <c r="D136" s="1098"/>
      <c r="E136" s="120"/>
      <c r="F136" s="114"/>
      <c r="G136" s="114"/>
      <c r="H136" s="114"/>
      <c r="I136" s="16"/>
      <c r="K136" s="1097" t="s">
        <v>41</v>
      </c>
      <c r="L136" s="1098"/>
      <c r="M136" s="1098"/>
      <c r="N136" s="1098"/>
      <c r="O136" s="120"/>
      <c r="P136" s="114"/>
      <c r="Q136" s="114"/>
      <c r="R136" s="114"/>
      <c r="S136" s="16"/>
    </row>
    <row r="137" spans="1:19">
      <c r="A137" s="1097"/>
      <c r="B137" s="1098"/>
      <c r="C137" s="1098"/>
      <c r="D137" s="1098"/>
      <c r="E137" s="128" t="str">
        <f>Master!D18</f>
        <v xml:space="preserve">KASALA NARSIMLU </v>
      </c>
      <c r="F137" s="19"/>
      <c r="G137" s="19"/>
      <c r="H137" s="19" t="str">
        <f>Master!G18</f>
        <v>KASALA POCHAIAH</v>
      </c>
      <c r="I137" s="16"/>
      <c r="K137" s="1097"/>
      <c r="L137" s="1098"/>
      <c r="M137" s="1098"/>
      <c r="N137" s="1098"/>
      <c r="O137" s="18" t="str">
        <f>E137</f>
        <v xml:space="preserve">KASALA NARSIMLU </v>
      </c>
      <c r="P137" s="19"/>
      <c r="Q137" s="19"/>
      <c r="R137" s="19" t="str">
        <f>H137</f>
        <v>KASALA POCHAIAH</v>
      </c>
      <c r="S137" s="16"/>
    </row>
    <row r="138" spans="1:19">
      <c r="A138" s="17"/>
      <c r="B138" s="120"/>
      <c r="C138" s="120"/>
      <c r="D138" s="120"/>
      <c r="E138" s="120"/>
      <c r="F138" s="114"/>
      <c r="G138" s="114"/>
      <c r="H138" s="114"/>
      <c r="I138" s="16"/>
      <c r="K138" s="17"/>
      <c r="L138" s="120"/>
      <c r="M138" s="120"/>
      <c r="N138" s="120"/>
      <c r="O138" s="120"/>
      <c r="P138" s="114"/>
      <c r="Q138" s="114"/>
      <c r="R138" s="114"/>
      <c r="S138" s="16"/>
    </row>
    <row r="139" spans="1:19">
      <c r="A139" s="1101" t="s">
        <v>42</v>
      </c>
      <c r="B139" s="1099"/>
      <c r="C139" s="1099"/>
      <c r="D139" s="1099"/>
      <c r="E139" s="24" t="str">
        <f>Master!F8</f>
        <v>GARDENING SERVICES&amp;ISB HYDERABAD</v>
      </c>
      <c r="F139" s="19"/>
      <c r="G139" s="19"/>
      <c r="H139" s="19"/>
      <c r="I139" s="16"/>
      <c r="K139" s="1101" t="s">
        <v>42</v>
      </c>
      <c r="L139" s="1099"/>
      <c r="M139" s="1099"/>
      <c r="N139" s="1099"/>
      <c r="O139" s="24" t="str">
        <f>E139</f>
        <v>GARDENING SERVICES&amp;ISB HYDERABAD</v>
      </c>
      <c r="P139" s="19"/>
      <c r="Q139" s="19"/>
      <c r="R139" s="19"/>
      <c r="S139" s="16"/>
    </row>
    <row r="140" spans="1:19">
      <c r="A140" s="17"/>
      <c r="B140" s="120"/>
      <c r="C140" s="120"/>
      <c r="D140" s="120"/>
      <c r="E140" s="120"/>
      <c r="F140" s="114"/>
      <c r="G140" s="114"/>
      <c r="H140" s="114"/>
      <c r="I140" s="16"/>
      <c r="K140" s="17"/>
      <c r="L140" s="120"/>
      <c r="M140" s="120"/>
      <c r="N140" s="120"/>
      <c r="O140" s="120"/>
      <c r="P140" s="114"/>
      <c r="Q140" s="114"/>
      <c r="R140" s="114"/>
      <c r="S140" s="16"/>
    </row>
    <row r="141" spans="1:19">
      <c r="A141" s="1101" t="s">
        <v>43</v>
      </c>
      <c r="B141" s="1099"/>
      <c r="C141" s="1099"/>
      <c r="D141" s="1099"/>
      <c r="E141" s="20">
        <f>Master!F10</f>
        <v>44652</v>
      </c>
      <c r="F141" s="19"/>
      <c r="G141" s="19"/>
      <c r="H141" s="19"/>
      <c r="I141" s="16"/>
      <c r="K141" s="1101" t="s">
        <v>43</v>
      </c>
      <c r="L141" s="1099"/>
      <c r="M141" s="1099"/>
      <c r="N141" s="1099"/>
      <c r="O141" s="20">
        <f>E141</f>
        <v>44652</v>
      </c>
      <c r="P141" s="19"/>
      <c r="Q141" s="19"/>
      <c r="R141" s="19"/>
      <c r="S141" s="16"/>
    </row>
    <row r="142" spans="1:19">
      <c r="A142" s="17"/>
      <c r="B142" s="120"/>
      <c r="C142" s="120"/>
      <c r="D142" s="120"/>
      <c r="E142" s="120"/>
      <c r="F142" s="114"/>
      <c r="G142" s="114"/>
      <c r="H142" s="114"/>
      <c r="I142" s="16"/>
      <c r="K142" s="17"/>
      <c r="L142" s="120"/>
      <c r="M142" s="120"/>
      <c r="N142" s="120"/>
      <c r="O142" s="120"/>
      <c r="P142" s="114"/>
      <c r="Q142" s="114"/>
      <c r="R142" s="114"/>
      <c r="S142" s="16"/>
    </row>
    <row r="143" spans="1:19">
      <c r="A143" s="21">
        <v>1</v>
      </c>
      <c r="B143" s="1099" t="s">
        <v>44</v>
      </c>
      <c r="C143" s="1099"/>
      <c r="D143" s="1099"/>
      <c r="E143" s="22">
        <f>Master!AA18</f>
        <v>26</v>
      </c>
      <c r="F143" s="19"/>
      <c r="G143" s="19"/>
      <c r="H143" s="19"/>
      <c r="I143" s="16"/>
      <c r="K143" s="21">
        <v>1</v>
      </c>
      <c r="L143" s="1099" t="s">
        <v>44</v>
      </c>
      <c r="M143" s="1099"/>
      <c r="N143" s="1099"/>
      <c r="O143" s="22">
        <f>E143</f>
        <v>26</v>
      </c>
      <c r="P143" s="19"/>
      <c r="Q143" s="19"/>
      <c r="R143" s="19"/>
      <c r="S143" s="16"/>
    </row>
    <row r="144" spans="1:19">
      <c r="A144" s="21"/>
      <c r="B144" s="120"/>
      <c r="C144" s="120"/>
      <c r="D144" s="120"/>
      <c r="E144" s="120"/>
      <c r="F144" s="114"/>
      <c r="G144" s="114"/>
      <c r="H144" s="114"/>
      <c r="I144" s="16"/>
      <c r="K144" s="21"/>
      <c r="L144" s="120"/>
      <c r="M144" s="120"/>
      <c r="N144" s="120"/>
      <c r="O144" s="120"/>
      <c r="P144" s="114"/>
      <c r="Q144" s="114"/>
      <c r="R144" s="114"/>
      <c r="S144" s="16"/>
    </row>
    <row r="145" spans="1:19">
      <c r="A145" s="21">
        <v>2</v>
      </c>
      <c r="B145" s="1098" t="s">
        <v>45</v>
      </c>
      <c r="C145" s="1098"/>
      <c r="D145" s="1098"/>
      <c r="E145" s="120"/>
      <c r="F145" s="114"/>
      <c r="G145" s="114"/>
      <c r="H145" s="114"/>
      <c r="I145" s="16"/>
      <c r="K145" s="21">
        <v>2</v>
      </c>
      <c r="L145" s="1098" t="s">
        <v>45</v>
      </c>
      <c r="M145" s="1098"/>
      <c r="N145" s="1098"/>
      <c r="O145" s="120"/>
      <c r="P145" s="114"/>
      <c r="Q145" s="114"/>
      <c r="R145" s="114"/>
      <c r="S145" s="16"/>
    </row>
    <row r="146" spans="1:19">
      <c r="A146" s="21"/>
      <c r="B146" s="1098"/>
      <c r="C146" s="1098"/>
      <c r="D146" s="1098"/>
      <c r="E146" s="23" t="s">
        <v>28</v>
      </c>
      <c r="F146" s="19"/>
      <c r="G146" s="19"/>
      <c r="H146" s="19"/>
      <c r="I146" s="16"/>
      <c r="K146" s="21"/>
      <c r="L146" s="1098"/>
      <c r="M146" s="1098"/>
      <c r="N146" s="1098"/>
      <c r="O146" s="23" t="s">
        <v>28</v>
      </c>
      <c r="P146" s="19"/>
      <c r="Q146" s="19"/>
      <c r="R146" s="19"/>
      <c r="S146" s="16"/>
    </row>
    <row r="147" spans="1:19">
      <c r="A147" s="21"/>
      <c r="B147" s="120"/>
      <c r="C147" s="120"/>
      <c r="D147" s="120"/>
      <c r="E147" s="120"/>
      <c r="F147" s="114"/>
      <c r="G147" s="114"/>
      <c r="H147" s="114"/>
      <c r="I147" s="16"/>
      <c r="K147" s="21"/>
      <c r="L147" s="120"/>
      <c r="M147" s="120"/>
      <c r="N147" s="120"/>
      <c r="O147" s="120"/>
      <c r="P147" s="114"/>
      <c r="Q147" s="114"/>
      <c r="R147" s="114"/>
      <c r="S147" s="16"/>
    </row>
    <row r="148" spans="1:19">
      <c r="A148" s="21">
        <v>3</v>
      </c>
      <c r="B148" s="1099" t="s">
        <v>46</v>
      </c>
      <c r="C148" s="1099"/>
      <c r="D148" s="1099"/>
      <c r="E148" s="23" t="s">
        <v>28</v>
      </c>
      <c r="F148" s="19"/>
      <c r="G148" s="19"/>
      <c r="H148" s="19"/>
      <c r="I148" s="16"/>
      <c r="K148" s="21">
        <v>3</v>
      </c>
      <c r="L148" s="1099" t="s">
        <v>46</v>
      </c>
      <c r="M148" s="1099"/>
      <c r="N148" s="1099"/>
      <c r="O148" s="18" t="str">
        <f>E148</f>
        <v>N/A</v>
      </c>
      <c r="P148" s="19"/>
      <c r="Q148" s="19"/>
      <c r="R148" s="19"/>
      <c r="S148" s="16"/>
    </row>
    <row r="149" spans="1:19">
      <c r="A149" s="21"/>
      <c r="B149" s="120"/>
      <c r="C149" s="120"/>
      <c r="D149" s="120"/>
      <c r="E149" s="120"/>
      <c r="F149" s="114"/>
      <c r="G149" s="114"/>
      <c r="H149" s="114"/>
      <c r="I149" s="16"/>
      <c r="K149" s="21"/>
      <c r="L149" s="120"/>
      <c r="M149" s="120"/>
      <c r="N149" s="120"/>
      <c r="O149" s="120"/>
      <c r="P149" s="114"/>
      <c r="Q149" s="114"/>
      <c r="R149" s="114"/>
      <c r="S149" s="16"/>
    </row>
    <row r="150" spans="1:19">
      <c r="A150" s="21">
        <v>4</v>
      </c>
      <c r="B150" s="1099" t="s">
        <v>47</v>
      </c>
      <c r="C150" s="1099"/>
      <c r="D150" s="1099"/>
      <c r="E150" s="23" t="s">
        <v>48</v>
      </c>
      <c r="F150" s="19"/>
      <c r="G150" s="19"/>
      <c r="H150" s="19"/>
      <c r="I150" s="16"/>
      <c r="K150" s="21">
        <v>4</v>
      </c>
      <c r="L150" s="1099" t="s">
        <v>47</v>
      </c>
      <c r="M150" s="1099"/>
      <c r="N150" s="1099"/>
      <c r="O150" s="23" t="s">
        <v>48</v>
      </c>
      <c r="P150" s="19"/>
      <c r="Q150" s="19"/>
      <c r="R150" s="19"/>
      <c r="S150" s="16"/>
    </row>
    <row r="151" spans="1:19">
      <c r="A151" s="21"/>
      <c r="B151" s="120"/>
      <c r="C151" s="120"/>
      <c r="D151" s="120"/>
      <c r="E151" s="120"/>
      <c r="F151" s="114"/>
      <c r="G151" s="114"/>
      <c r="H151" s="114"/>
      <c r="I151" s="16"/>
      <c r="K151" s="21"/>
      <c r="L151" s="120"/>
      <c r="M151" s="120"/>
      <c r="N151" s="120"/>
      <c r="O151" s="120"/>
      <c r="P151" s="114"/>
      <c r="Q151" s="114"/>
      <c r="R151" s="114"/>
      <c r="S151" s="16"/>
    </row>
    <row r="152" spans="1:19">
      <c r="A152" s="21">
        <v>5</v>
      </c>
      <c r="B152" s="1099" t="s">
        <v>49</v>
      </c>
      <c r="C152" s="1099"/>
      <c r="D152" s="1099"/>
      <c r="E152" s="24">
        <f>Master!AK18</f>
        <v>11919.599999999999</v>
      </c>
      <c r="F152" s="19"/>
      <c r="G152" s="19"/>
      <c r="H152" s="19"/>
      <c r="I152" s="16"/>
      <c r="K152" s="21">
        <v>5</v>
      </c>
      <c r="L152" s="1099" t="s">
        <v>49</v>
      </c>
      <c r="M152" s="1099"/>
      <c r="N152" s="1099"/>
      <c r="O152" s="24">
        <f>E152</f>
        <v>11919.599999999999</v>
      </c>
      <c r="P152" s="19"/>
      <c r="Q152" s="19"/>
      <c r="R152" s="19"/>
      <c r="S152" s="16"/>
    </row>
    <row r="153" spans="1:19">
      <c r="A153" s="21"/>
      <c r="B153" s="120"/>
      <c r="C153" s="120"/>
      <c r="D153" s="238" t="s">
        <v>50</v>
      </c>
      <c r="E153" s="238" t="s">
        <v>23</v>
      </c>
      <c r="F153" s="136" t="s">
        <v>25</v>
      </c>
      <c r="G153" s="238" t="s">
        <v>26</v>
      </c>
      <c r="H153" s="238" t="s">
        <v>202</v>
      </c>
      <c r="I153" s="126" t="s">
        <v>51</v>
      </c>
      <c r="K153" s="21"/>
      <c r="L153" s="120"/>
      <c r="M153" s="120"/>
      <c r="N153" s="238" t="s">
        <v>50</v>
      </c>
      <c r="O153" s="238" t="s">
        <v>23</v>
      </c>
      <c r="P153" s="136" t="s">
        <v>25</v>
      </c>
      <c r="Q153" s="238" t="s">
        <v>26</v>
      </c>
      <c r="R153" s="238" t="str">
        <f>H153</f>
        <v>ADV</v>
      </c>
      <c r="S153" s="126" t="s">
        <v>51</v>
      </c>
    </row>
    <row r="154" spans="1:19">
      <c r="A154" s="21">
        <v>6</v>
      </c>
      <c r="B154" s="377" t="s">
        <v>52</v>
      </c>
      <c r="C154" s="377"/>
      <c r="D154" s="335">
        <f>Master!AM18</f>
        <v>1430</v>
      </c>
      <c r="E154" s="335">
        <f>Master!AL18</f>
        <v>90</v>
      </c>
      <c r="F154" s="180">
        <f>Master!AN18</f>
        <v>0</v>
      </c>
      <c r="G154" s="180">
        <f>Master!AO18</f>
        <v>0</v>
      </c>
      <c r="H154" s="180">
        <f>Master!AP18</f>
        <v>0</v>
      </c>
      <c r="I154" s="127">
        <f>D154+E154+F154+G154+H154</f>
        <v>1520</v>
      </c>
      <c r="K154" s="21">
        <v>6</v>
      </c>
      <c r="L154" s="377" t="s">
        <v>52</v>
      </c>
      <c r="M154" s="377"/>
      <c r="N154" s="335">
        <f>D154</f>
        <v>1430</v>
      </c>
      <c r="O154" s="335">
        <f>E154</f>
        <v>90</v>
      </c>
      <c r="P154" s="180">
        <f>F154</f>
        <v>0</v>
      </c>
      <c r="Q154" s="180">
        <f>G154</f>
        <v>0</v>
      </c>
      <c r="R154" s="180">
        <f>H154</f>
        <v>0</v>
      </c>
      <c r="S154" s="127">
        <f>N154+O154+R154</f>
        <v>1520</v>
      </c>
    </row>
    <row r="155" spans="1:19">
      <c r="A155" s="21"/>
      <c r="B155" s="120"/>
      <c r="C155" s="120"/>
      <c r="D155" s="120"/>
      <c r="E155" s="120"/>
      <c r="F155" s="114"/>
      <c r="G155" s="114"/>
      <c r="H155" s="114"/>
      <c r="I155" s="16"/>
      <c r="K155" s="21"/>
      <c r="L155" s="120"/>
      <c r="M155" s="120"/>
      <c r="N155" s="120"/>
      <c r="O155" s="120"/>
      <c r="P155" s="114"/>
      <c r="Q155" s="114"/>
      <c r="R155" s="114"/>
      <c r="S155" s="16"/>
    </row>
    <row r="156" spans="1:19">
      <c r="A156" s="21">
        <v>7</v>
      </c>
      <c r="B156" s="1099" t="s">
        <v>53</v>
      </c>
      <c r="C156" s="1099"/>
      <c r="D156" s="1099"/>
      <c r="E156" s="24">
        <f>E152-I154</f>
        <v>10399.599999999999</v>
      </c>
      <c r="F156" s="19"/>
      <c r="G156" s="19"/>
      <c r="H156" s="19"/>
      <c r="I156" s="16"/>
      <c r="K156" s="21">
        <v>7</v>
      </c>
      <c r="L156" s="1099" t="s">
        <v>53</v>
      </c>
      <c r="M156" s="1099"/>
      <c r="N156" s="1099"/>
      <c r="O156" s="24">
        <f>E156</f>
        <v>10399.599999999999</v>
      </c>
      <c r="P156" s="19"/>
      <c r="Q156" s="19"/>
      <c r="R156" s="19"/>
      <c r="S156" s="16"/>
    </row>
    <row r="157" spans="1:19">
      <c r="A157" s="15"/>
      <c r="B157" s="114"/>
      <c r="C157" s="114"/>
      <c r="D157" s="114"/>
      <c r="E157" s="114"/>
      <c r="F157" s="114"/>
      <c r="G157" s="114"/>
      <c r="H157" s="114"/>
      <c r="I157" s="16"/>
      <c r="K157" s="15"/>
      <c r="L157" s="114"/>
      <c r="M157" s="114"/>
      <c r="N157" s="114"/>
      <c r="O157" s="114"/>
      <c r="P157" s="114"/>
      <c r="Q157" s="114"/>
      <c r="R157" s="114"/>
      <c r="S157" s="16"/>
    </row>
    <row r="158" spans="1:19">
      <c r="A158" s="15"/>
      <c r="B158" s="114"/>
      <c r="C158" s="114"/>
      <c r="D158" s="114"/>
      <c r="E158" s="114"/>
      <c r="F158" s="114"/>
      <c r="G158" s="114"/>
      <c r="H158" s="114"/>
      <c r="I158" s="16"/>
      <c r="K158" s="15"/>
      <c r="L158" s="114"/>
      <c r="M158" s="114"/>
      <c r="N158" s="114"/>
      <c r="O158" s="114"/>
      <c r="P158" s="114"/>
      <c r="Q158" s="114"/>
      <c r="R158" s="114"/>
      <c r="S158" s="16"/>
    </row>
    <row r="159" spans="1:19" ht="15" thickBot="1">
      <c r="A159" s="15"/>
      <c r="B159" s="114"/>
      <c r="C159" s="114"/>
      <c r="D159" s="114"/>
      <c r="E159" s="114"/>
      <c r="F159" s="25"/>
      <c r="G159" s="25"/>
      <c r="H159" s="25"/>
      <c r="I159" s="26"/>
      <c r="K159" s="15"/>
      <c r="L159" s="114"/>
      <c r="M159" s="114"/>
      <c r="N159" s="114"/>
      <c r="O159" s="114"/>
      <c r="P159" s="25"/>
      <c r="Q159" s="25"/>
      <c r="R159" s="25"/>
      <c r="S159" s="26"/>
    </row>
    <row r="160" spans="1:19" ht="15" thickBot="1">
      <c r="A160" s="27"/>
      <c r="B160" s="25"/>
      <c r="C160" s="25"/>
      <c r="D160" s="25"/>
      <c r="E160" s="999" t="s">
        <v>54</v>
      </c>
      <c r="F160" s="999"/>
      <c r="G160" s="999"/>
      <c r="H160" s="999"/>
      <c r="I160" s="1100"/>
      <c r="K160" s="27"/>
      <c r="L160" s="25"/>
      <c r="M160" s="25"/>
      <c r="N160" s="25"/>
      <c r="O160" s="28" t="s">
        <v>54</v>
      </c>
      <c r="P160" s="25"/>
      <c r="Q160" s="28"/>
      <c r="R160" s="28"/>
      <c r="S160" s="29"/>
    </row>
    <row r="161" spans="1:19">
      <c r="A161" s="114"/>
      <c r="B161" s="114"/>
      <c r="C161" s="114"/>
      <c r="D161" s="114"/>
      <c r="E161" s="325"/>
      <c r="F161" s="325"/>
      <c r="G161" s="325"/>
      <c r="H161" s="325"/>
      <c r="I161" s="325"/>
      <c r="K161" s="114"/>
      <c r="L161" s="114"/>
      <c r="M161" s="114"/>
      <c r="N161" s="114"/>
      <c r="O161" s="114"/>
      <c r="P161" s="114"/>
      <c r="Q161" s="114"/>
      <c r="R161" s="114"/>
      <c r="S161" s="114"/>
    </row>
    <row r="162" spans="1:19">
      <c r="A162" s="114"/>
      <c r="B162" s="114"/>
      <c r="C162" s="114"/>
      <c r="D162" s="114"/>
      <c r="E162" s="325"/>
      <c r="F162" s="325"/>
      <c r="G162" s="325"/>
      <c r="H162" s="325"/>
      <c r="I162" s="325"/>
      <c r="K162" s="114"/>
      <c r="L162" s="114"/>
      <c r="M162" s="114"/>
      <c r="N162" s="114"/>
      <c r="O162" s="114"/>
      <c r="P162" s="114"/>
      <c r="Q162" s="114"/>
      <c r="R162" s="114"/>
      <c r="S162" s="114"/>
    </row>
    <row r="163" spans="1:19">
      <c r="A163" s="114"/>
      <c r="B163" s="114"/>
      <c r="C163" s="114"/>
      <c r="D163" s="114"/>
      <c r="E163" s="325"/>
      <c r="F163" s="325"/>
      <c r="G163" s="325"/>
      <c r="H163" s="325"/>
      <c r="I163" s="325"/>
      <c r="K163" s="114"/>
      <c r="L163" s="114"/>
      <c r="M163" s="114"/>
      <c r="N163" s="114"/>
      <c r="O163" s="114"/>
      <c r="P163" s="114"/>
      <c r="Q163" s="114"/>
      <c r="R163" s="114"/>
      <c r="S163" s="114"/>
    </row>
    <row r="164" spans="1:19">
      <c r="A164" s="114"/>
      <c r="B164" s="114"/>
      <c r="C164" s="114"/>
      <c r="D164" s="114"/>
      <c r="E164" s="325"/>
      <c r="F164" s="325"/>
      <c r="G164" s="325"/>
      <c r="H164" s="325"/>
      <c r="I164" s="325"/>
      <c r="K164" s="114"/>
      <c r="L164" s="114"/>
      <c r="M164" s="114"/>
      <c r="N164" s="114"/>
      <c r="O164" s="114"/>
      <c r="P164" s="114"/>
      <c r="Q164" s="114"/>
      <c r="R164" s="114"/>
      <c r="S164" s="114"/>
    </row>
    <row r="165" spans="1:19">
      <c r="A165" s="114"/>
      <c r="B165" s="114"/>
      <c r="C165" s="114"/>
      <c r="D165" s="114"/>
      <c r="E165" s="325"/>
      <c r="F165" s="325"/>
      <c r="G165" s="325"/>
      <c r="H165" s="325"/>
      <c r="I165" s="325"/>
      <c r="K165" s="114"/>
      <c r="L165" s="114"/>
      <c r="M165" s="114"/>
      <c r="N165" s="114"/>
      <c r="O165" s="114"/>
      <c r="P165" s="114"/>
      <c r="Q165" s="114"/>
      <c r="R165" s="114"/>
      <c r="S165" s="114"/>
    </row>
    <row r="166" spans="1:19">
      <c r="A166" s="114"/>
      <c r="B166" s="114"/>
      <c r="C166" s="114"/>
      <c r="D166" s="114"/>
      <c r="E166" s="325"/>
      <c r="F166" s="325"/>
      <c r="G166" s="325"/>
      <c r="H166" s="325"/>
      <c r="I166" s="325"/>
      <c r="K166" s="114"/>
      <c r="L166" s="114"/>
      <c r="M166" s="114"/>
      <c r="N166" s="114"/>
      <c r="O166" s="114"/>
      <c r="P166" s="114"/>
      <c r="Q166" s="114"/>
      <c r="R166" s="114"/>
      <c r="S166" s="114"/>
    </row>
    <row r="167" spans="1:19">
      <c r="A167" s="114"/>
      <c r="B167" s="114"/>
      <c r="C167" s="114"/>
      <c r="D167" s="114"/>
      <c r="E167" s="325"/>
      <c r="F167" s="325"/>
      <c r="G167" s="325"/>
      <c r="H167" s="325"/>
      <c r="I167" s="325"/>
      <c r="K167" s="114"/>
      <c r="L167" s="114"/>
      <c r="M167" s="114"/>
      <c r="N167" s="114"/>
      <c r="O167" s="114"/>
      <c r="P167" s="114"/>
      <c r="Q167" s="114"/>
      <c r="R167" s="114"/>
      <c r="S167" s="114"/>
    </row>
    <row r="168" spans="1:19">
      <c r="A168" s="114"/>
      <c r="B168" s="114"/>
      <c r="C168" s="114"/>
      <c r="D168" s="114"/>
      <c r="E168" s="325"/>
      <c r="F168" s="325"/>
      <c r="G168" s="325"/>
      <c r="H168" s="325"/>
      <c r="I168" s="325"/>
      <c r="K168" s="114"/>
      <c r="L168" s="114"/>
      <c r="M168" s="114"/>
      <c r="N168" s="114"/>
      <c r="O168" s="114"/>
      <c r="P168" s="114"/>
      <c r="Q168" s="114"/>
      <c r="R168" s="114"/>
      <c r="S168" s="114"/>
    </row>
    <row r="169" spans="1:19">
      <c r="A169" s="114"/>
      <c r="B169" s="114"/>
      <c r="C169" s="114"/>
      <c r="D169" s="114"/>
      <c r="E169" s="325"/>
      <c r="F169" s="325"/>
      <c r="G169" s="325"/>
      <c r="H169" s="325"/>
      <c r="I169" s="325"/>
      <c r="K169" s="114"/>
      <c r="L169" s="114"/>
      <c r="M169" s="114"/>
      <c r="N169" s="114"/>
      <c r="O169" s="114"/>
      <c r="P169" s="114"/>
      <c r="Q169" s="114"/>
      <c r="R169" s="114"/>
      <c r="S169" s="114"/>
    </row>
    <row r="170" spans="1:19">
      <c r="A170" s="114"/>
      <c r="B170" s="114"/>
      <c r="C170" s="114"/>
      <c r="D170" s="114"/>
      <c r="E170" s="325"/>
      <c r="F170" s="325"/>
      <c r="G170" s="325"/>
      <c r="H170" s="325"/>
      <c r="I170" s="325"/>
      <c r="K170" s="114"/>
      <c r="L170" s="114"/>
      <c r="M170" s="114"/>
      <c r="N170" s="114"/>
      <c r="O170" s="114"/>
      <c r="P170" s="114"/>
      <c r="Q170" s="114"/>
      <c r="R170" s="114"/>
      <c r="S170" s="114"/>
    </row>
    <row r="171" spans="1:19">
      <c r="A171" s="114"/>
      <c r="B171" s="114"/>
      <c r="C171" s="114"/>
      <c r="D171" s="114"/>
      <c r="E171" s="325"/>
      <c r="F171" s="325"/>
      <c r="G171" s="325"/>
      <c r="H171" s="325"/>
      <c r="I171" s="325"/>
      <c r="K171" s="114"/>
      <c r="L171" s="114"/>
      <c r="M171" s="114"/>
      <c r="N171" s="114"/>
      <c r="O171" s="114"/>
      <c r="P171" s="114"/>
      <c r="Q171" s="114"/>
      <c r="R171" s="114"/>
      <c r="S171" s="114"/>
    </row>
    <row r="172" spans="1:19" ht="15" thickBot="1"/>
    <row r="173" spans="1:19" ht="24.6">
      <c r="A173" s="1091" t="s">
        <v>39</v>
      </c>
      <c r="B173" s="1092"/>
      <c r="C173" s="1092"/>
      <c r="D173" s="1092"/>
      <c r="E173" s="1092"/>
      <c r="F173" s="1092"/>
      <c r="G173" s="1092"/>
      <c r="H173" s="1092"/>
      <c r="I173" s="1093"/>
      <c r="K173" s="1091" t="s">
        <v>39</v>
      </c>
      <c r="L173" s="1092"/>
      <c r="M173" s="1092"/>
      <c r="N173" s="1092"/>
      <c r="O173" s="1092"/>
      <c r="P173" s="1092"/>
      <c r="Q173" s="1092"/>
      <c r="R173" s="1092"/>
      <c r="S173" s="1093"/>
    </row>
    <row r="174" spans="1:19">
      <c r="A174" s="1094" t="s">
        <v>1075</v>
      </c>
      <c r="B174" s="1095"/>
      <c r="C174" s="1095"/>
      <c r="D174" s="1095"/>
      <c r="E174" s="1095"/>
      <c r="F174" s="1095"/>
      <c r="G174" s="1095"/>
      <c r="H174" s="1095"/>
      <c r="I174" s="1096"/>
      <c r="K174" s="1094" t="str">
        <f>A174</f>
        <v>[Vide rule 78 (1) (b) of the Contract Labour (Regulation and Abolition) Central and A.P.{T.S.}Rules, 1971]</v>
      </c>
      <c r="L174" s="1095"/>
      <c r="M174" s="1095"/>
      <c r="N174" s="1095"/>
      <c r="O174" s="1095"/>
      <c r="P174" s="1095"/>
      <c r="Q174" s="1095"/>
      <c r="R174" s="1095"/>
      <c r="S174" s="1096"/>
    </row>
    <row r="175" spans="1:19">
      <c r="A175" s="15"/>
      <c r="B175" s="114"/>
      <c r="C175" s="114"/>
      <c r="D175" s="114"/>
      <c r="E175" s="114"/>
      <c r="F175" s="114"/>
      <c r="G175" s="114"/>
      <c r="H175" s="114"/>
      <c r="I175" s="16"/>
      <c r="K175" s="15"/>
      <c r="L175" s="114"/>
      <c r="M175" s="114"/>
      <c r="N175" s="114"/>
      <c r="O175" s="114"/>
      <c r="P175" s="114"/>
      <c r="Q175" s="114"/>
      <c r="R175" s="114"/>
      <c r="S175" s="16"/>
    </row>
    <row r="176" spans="1:19">
      <c r="A176" s="17" t="s">
        <v>40</v>
      </c>
      <c r="B176" s="120"/>
      <c r="C176" s="120"/>
      <c r="D176" s="121" t="str">
        <f>Master!F5</f>
        <v>GROTECH LANDSCAPE DEVELOPERS PVT. LTD.</v>
      </c>
      <c r="E176" s="114"/>
      <c r="F176" s="114"/>
      <c r="G176" s="114"/>
      <c r="H176" s="114"/>
      <c r="I176" s="16"/>
      <c r="K176" s="17" t="s">
        <v>40</v>
      </c>
      <c r="L176" s="120"/>
      <c r="M176" s="120"/>
      <c r="N176" s="121" t="str">
        <f>D176</f>
        <v>GROTECH LANDSCAPE DEVELOPERS PVT. LTD.</v>
      </c>
      <c r="O176" s="114"/>
      <c r="P176" s="114"/>
      <c r="Q176" s="114"/>
      <c r="R176" s="114"/>
      <c r="S176" s="16"/>
    </row>
    <row r="177" spans="1:19">
      <c r="A177" s="17"/>
      <c r="B177" s="120" t="str">
        <f>Master!F6</f>
        <v>290/E, Khanapur Village, Gandipet Mandal, Ranga Reddy, Hyderabad-500075 T.S.</v>
      </c>
      <c r="C177" s="120"/>
      <c r="D177" s="114"/>
      <c r="E177" s="114"/>
      <c r="F177" s="114"/>
      <c r="G177" s="114"/>
      <c r="H177" s="114"/>
      <c r="I177" s="16"/>
      <c r="K177" s="17"/>
      <c r="L177" s="120" t="str">
        <f>B177</f>
        <v>290/E, Khanapur Village, Gandipet Mandal, Ranga Reddy, Hyderabad-500075 T.S.</v>
      </c>
      <c r="M177" s="120"/>
      <c r="N177" s="114"/>
      <c r="O177" s="114"/>
      <c r="P177" s="114"/>
      <c r="Q177" s="114"/>
      <c r="R177" s="114"/>
      <c r="S177" s="16"/>
    </row>
    <row r="178" spans="1:19">
      <c r="A178" s="17"/>
      <c r="B178" s="120"/>
      <c r="C178" s="120"/>
      <c r="D178" s="120"/>
      <c r="E178" s="120"/>
      <c r="F178" s="114"/>
      <c r="G178" s="114"/>
      <c r="H178" s="114"/>
      <c r="I178" s="16"/>
      <c r="K178" s="17"/>
      <c r="L178" s="120"/>
      <c r="M178" s="120"/>
      <c r="N178" s="120"/>
      <c r="O178" s="120"/>
      <c r="P178" s="114"/>
      <c r="Q178" s="114"/>
      <c r="R178" s="114"/>
      <c r="S178" s="16"/>
    </row>
    <row r="179" spans="1:19">
      <c r="A179" s="1097" t="s">
        <v>41</v>
      </c>
      <c r="B179" s="1098"/>
      <c r="C179" s="1098"/>
      <c r="D179" s="1098"/>
      <c r="E179" s="120"/>
      <c r="F179" s="114"/>
      <c r="G179" s="114"/>
      <c r="H179" s="114"/>
      <c r="I179" s="16"/>
      <c r="K179" s="1097" t="s">
        <v>41</v>
      </c>
      <c r="L179" s="1098"/>
      <c r="M179" s="1098"/>
      <c r="N179" s="1098"/>
      <c r="O179" s="120"/>
      <c r="P179" s="114"/>
      <c r="Q179" s="114"/>
      <c r="R179" s="114"/>
      <c r="S179" s="16"/>
    </row>
    <row r="180" spans="1:19">
      <c r="A180" s="1097"/>
      <c r="B180" s="1098"/>
      <c r="C180" s="1098"/>
      <c r="D180" s="1098"/>
      <c r="E180" s="128" t="str">
        <f>Master!D19</f>
        <v>PITANI SATHYA NARAYANA</v>
      </c>
      <c r="F180" s="19"/>
      <c r="G180" s="19"/>
      <c r="H180" s="19" t="str">
        <f>Master!G19</f>
        <v>P SURYANARAYANA</v>
      </c>
      <c r="I180" s="16"/>
      <c r="K180" s="1097"/>
      <c r="L180" s="1098"/>
      <c r="M180" s="1098"/>
      <c r="N180" s="1098"/>
      <c r="O180" s="18" t="str">
        <f>E180</f>
        <v>PITANI SATHYA NARAYANA</v>
      </c>
      <c r="P180" s="19"/>
      <c r="Q180" s="19"/>
      <c r="R180" s="19" t="str">
        <f>H180</f>
        <v>P SURYANARAYANA</v>
      </c>
      <c r="S180" s="16"/>
    </row>
    <row r="181" spans="1:19">
      <c r="A181" s="17"/>
      <c r="B181" s="120"/>
      <c r="C181" s="120"/>
      <c r="D181" s="120"/>
      <c r="E181" s="120"/>
      <c r="F181" s="114"/>
      <c r="G181" s="114"/>
      <c r="H181" s="114"/>
      <c r="I181" s="16"/>
      <c r="K181" s="17"/>
      <c r="L181" s="120"/>
      <c r="M181" s="120"/>
      <c r="N181" s="120"/>
      <c r="O181" s="120"/>
      <c r="P181" s="114"/>
      <c r="Q181" s="114"/>
      <c r="R181" s="114"/>
      <c r="S181" s="16"/>
    </row>
    <row r="182" spans="1:19">
      <c r="A182" s="1101" t="s">
        <v>42</v>
      </c>
      <c r="B182" s="1099"/>
      <c r="C182" s="1099"/>
      <c r="D182" s="1099"/>
      <c r="E182" s="24" t="str">
        <f>Master!F8</f>
        <v>GARDENING SERVICES&amp;ISB HYDERABAD</v>
      </c>
      <c r="F182" s="19"/>
      <c r="G182" s="19"/>
      <c r="H182" s="19"/>
      <c r="I182" s="16"/>
      <c r="K182" s="1101" t="s">
        <v>42</v>
      </c>
      <c r="L182" s="1099"/>
      <c r="M182" s="1099"/>
      <c r="N182" s="1099"/>
      <c r="O182" s="24" t="str">
        <f>E182</f>
        <v>GARDENING SERVICES&amp;ISB HYDERABAD</v>
      </c>
      <c r="P182" s="19"/>
      <c r="Q182" s="19"/>
      <c r="R182" s="19"/>
      <c r="S182" s="16"/>
    </row>
    <row r="183" spans="1:19">
      <c r="A183" s="17"/>
      <c r="B183" s="120"/>
      <c r="C183" s="120"/>
      <c r="D183" s="120"/>
      <c r="E183" s="120"/>
      <c r="F183" s="114"/>
      <c r="G183" s="114"/>
      <c r="H183" s="114"/>
      <c r="I183" s="16"/>
      <c r="K183" s="17"/>
      <c r="L183" s="120"/>
      <c r="M183" s="120"/>
      <c r="N183" s="120"/>
      <c r="O183" s="120"/>
      <c r="P183" s="114"/>
      <c r="Q183" s="114"/>
      <c r="R183" s="114"/>
      <c r="S183" s="16"/>
    </row>
    <row r="184" spans="1:19">
      <c r="A184" s="1101" t="s">
        <v>43</v>
      </c>
      <c r="B184" s="1099"/>
      <c r="C184" s="1099"/>
      <c r="D184" s="1099"/>
      <c r="E184" s="20">
        <f>Master!F10</f>
        <v>44652</v>
      </c>
      <c r="F184" s="19"/>
      <c r="G184" s="19"/>
      <c r="H184" s="19"/>
      <c r="I184" s="16"/>
      <c r="K184" s="1101" t="s">
        <v>43</v>
      </c>
      <c r="L184" s="1099"/>
      <c r="M184" s="1099"/>
      <c r="N184" s="1099"/>
      <c r="O184" s="20">
        <f>E184</f>
        <v>44652</v>
      </c>
      <c r="P184" s="19"/>
      <c r="Q184" s="19"/>
      <c r="R184" s="19"/>
      <c r="S184" s="16"/>
    </row>
    <row r="185" spans="1:19">
      <c r="A185" s="17"/>
      <c r="B185" s="120"/>
      <c r="C185" s="120"/>
      <c r="D185" s="120"/>
      <c r="E185" s="120"/>
      <c r="F185" s="114"/>
      <c r="G185" s="114"/>
      <c r="H185" s="114"/>
      <c r="I185" s="16"/>
      <c r="K185" s="17"/>
      <c r="L185" s="120"/>
      <c r="M185" s="120"/>
      <c r="N185" s="120"/>
      <c r="O185" s="120"/>
      <c r="P185" s="114"/>
      <c r="Q185" s="114"/>
      <c r="R185" s="114"/>
      <c r="S185" s="16"/>
    </row>
    <row r="186" spans="1:19">
      <c r="A186" s="21">
        <v>1</v>
      </c>
      <c r="B186" s="1099" t="s">
        <v>44</v>
      </c>
      <c r="C186" s="1099"/>
      <c r="D186" s="1099"/>
      <c r="E186" s="22" t="str">
        <f>Master!AA19</f>
        <v>26</v>
      </c>
      <c r="F186" s="19"/>
      <c r="G186" s="19"/>
      <c r="H186" s="19"/>
      <c r="I186" s="16"/>
      <c r="K186" s="21">
        <v>1</v>
      </c>
      <c r="L186" s="1099" t="s">
        <v>44</v>
      </c>
      <c r="M186" s="1099"/>
      <c r="N186" s="1099"/>
      <c r="O186" s="22" t="str">
        <f>E186</f>
        <v>26</v>
      </c>
      <c r="P186" s="19"/>
      <c r="Q186" s="19"/>
      <c r="R186" s="19"/>
      <c r="S186" s="16"/>
    </row>
    <row r="187" spans="1:19">
      <c r="A187" s="21"/>
      <c r="B187" s="120"/>
      <c r="C187" s="120"/>
      <c r="D187" s="120"/>
      <c r="E187" s="120"/>
      <c r="F187" s="114"/>
      <c r="G187" s="114"/>
      <c r="H187" s="114"/>
      <c r="I187" s="16"/>
      <c r="K187" s="21"/>
      <c r="L187" s="120"/>
      <c r="M187" s="120"/>
      <c r="N187" s="120"/>
      <c r="O187" s="120"/>
      <c r="P187" s="114"/>
      <c r="Q187" s="114"/>
      <c r="R187" s="114"/>
      <c r="S187" s="16"/>
    </row>
    <row r="188" spans="1:19">
      <c r="A188" s="21">
        <v>2</v>
      </c>
      <c r="B188" s="1098" t="s">
        <v>45</v>
      </c>
      <c r="C188" s="1098"/>
      <c r="D188" s="1098"/>
      <c r="E188" s="120"/>
      <c r="F188" s="114"/>
      <c r="G188" s="114"/>
      <c r="H188" s="114"/>
      <c r="I188" s="16"/>
      <c r="K188" s="21">
        <v>2</v>
      </c>
      <c r="L188" s="1098" t="s">
        <v>45</v>
      </c>
      <c r="M188" s="1098"/>
      <c r="N188" s="1098"/>
      <c r="O188" s="120"/>
      <c r="P188" s="114"/>
      <c r="Q188" s="114"/>
      <c r="R188" s="114"/>
      <c r="S188" s="16"/>
    </row>
    <row r="189" spans="1:19">
      <c r="A189" s="21"/>
      <c r="B189" s="1098"/>
      <c r="C189" s="1098"/>
      <c r="D189" s="1098"/>
      <c r="E189" s="23" t="s">
        <v>28</v>
      </c>
      <c r="F189" s="19"/>
      <c r="G189" s="19"/>
      <c r="H189" s="19"/>
      <c r="I189" s="16"/>
      <c r="K189" s="21"/>
      <c r="L189" s="1098"/>
      <c r="M189" s="1098"/>
      <c r="N189" s="1098"/>
      <c r="O189" s="23" t="s">
        <v>28</v>
      </c>
      <c r="P189" s="19"/>
      <c r="Q189" s="19"/>
      <c r="R189" s="19"/>
      <c r="S189" s="16"/>
    </row>
    <row r="190" spans="1:19">
      <c r="A190" s="21"/>
      <c r="B190" s="120"/>
      <c r="C190" s="120"/>
      <c r="D190" s="120"/>
      <c r="E190" s="120"/>
      <c r="F190" s="114"/>
      <c r="G190" s="114"/>
      <c r="H190" s="114"/>
      <c r="I190" s="16"/>
      <c r="K190" s="21"/>
      <c r="L190" s="120"/>
      <c r="M190" s="120"/>
      <c r="N190" s="120"/>
      <c r="O190" s="120"/>
      <c r="P190" s="114"/>
      <c r="Q190" s="114"/>
      <c r="R190" s="114"/>
      <c r="S190" s="16"/>
    </row>
    <row r="191" spans="1:19">
      <c r="A191" s="21">
        <v>3</v>
      </c>
      <c r="B191" s="1099" t="s">
        <v>46</v>
      </c>
      <c r="C191" s="1099"/>
      <c r="D191" s="1099"/>
      <c r="E191" s="23" t="s">
        <v>28</v>
      </c>
      <c r="F191" s="19"/>
      <c r="G191" s="19"/>
      <c r="H191" s="19"/>
      <c r="I191" s="16"/>
      <c r="K191" s="21">
        <v>3</v>
      </c>
      <c r="L191" s="1099" t="s">
        <v>46</v>
      </c>
      <c r="M191" s="1099"/>
      <c r="N191" s="1099"/>
      <c r="O191" s="18" t="str">
        <f>E191</f>
        <v>N/A</v>
      </c>
      <c r="P191" s="19"/>
      <c r="Q191" s="19"/>
      <c r="R191" s="19"/>
      <c r="S191" s="16"/>
    </row>
    <row r="192" spans="1:19">
      <c r="A192" s="21"/>
      <c r="B192" s="120"/>
      <c r="C192" s="120"/>
      <c r="D192" s="120"/>
      <c r="E192" s="120"/>
      <c r="F192" s="114"/>
      <c r="G192" s="114"/>
      <c r="H192" s="114"/>
      <c r="I192" s="16"/>
      <c r="K192" s="21"/>
      <c r="L192" s="120"/>
      <c r="M192" s="120"/>
      <c r="N192" s="120"/>
      <c r="O192" s="120"/>
      <c r="P192" s="114"/>
      <c r="Q192" s="114"/>
      <c r="R192" s="114"/>
      <c r="S192" s="16"/>
    </row>
    <row r="193" spans="1:19">
      <c r="A193" s="21">
        <v>4</v>
      </c>
      <c r="B193" s="1099" t="s">
        <v>47</v>
      </c>
      <c r="C193" s="1099"/>
      <c r="D193" s="1099"/>
      <c r="E193" s="23" t="s">
        <v>48</v>
      </c>
      <c r="F193" s="19"/>
      <c r="G193" s="19"/>
      <c r="H193" s="19"/>
      <c r="I193" s="16"/>
      <c r="K193" s="21">
        <v>4</v>
      </c>
      <c r="L193" s="1099" t="s">
        <v>47</v>
      </c>
      <c r="M193" s="1099"/>
      <c r="N193" s="1099"/>
      <c r="O193" s="23" t="s">
        <v>48</v>
      </c>
      <c r="P193" s="19"/>
      <c r="Q193" s="19"/>
      <c r="R193" s="19"/>
      <c r="S193" s="16"/>
    </row>
    <row r="194" spans="1:19">
      <c r="A194" s="21"/>
      <c r="B194" s="120"/>
      <c r="C194" s="120"/>
      <c r="D194" s="120"/>
      <c r="E194" s="120"/>
      <c r="F194" s="114"/>
      <c r="G194" s="114"/>
      <c r="H194" s="114"/>
      <c r="I194" s="16"/>
      <c r="K194" s="21"/>
      <c r="L194" s="120"/>
      <c r="M194" s="120"/>
      <c r="N194" s="120"/>
      <c r="O194" s="120"/>
      <c r="P194" s="114"/>
      <c r="Q194" s="114"/>
      <c r="R194" s="114"/>
      <c r="S194" s="16"/>
    </row>
    <row r="195" spans="1:19">
      <c r="A195" s="21">
        <v>5</v>
      </c>
      <c r="B195" s="1099" t="s">
        <v>49</v>
      </c>
      <c r="C195" s="1099"/>
      <c r="D195" s="1099"/>
      <c r="E195" s="24">
        <f>Master!AK19</f>
        <v>9932.4666666666653</v>
      </c>
      <c r="F195" s="19"/>
      <c r="G195" s="19"/>
      <c r="H195" s="19"/>
      <c r="I195" s="16"/>
      <c r="K195" s="21">
        <v>5</v>
      </c>
      <c r="L195" s="1099" t="s">
        <v>49</v>
      </c>
      <c r="M195" s="1099"/>
      <c r="N195" s="1099"/>
      <c r="O195" s="24">
        <f>E195</f>
        <v>9932.4666666666653</v>
      </c>
      <c r="P195" s="19"/>
      <c r="Q195" s="19"/>
      <c r="R195" s="19"/>
      <c r="S195" s="16"/>
    </row>
    <row r="196" spans="1:19">
      <c r="A196" s="21"/>
      <c r="B196" s="120"/>
      <c r="C196" s="120"/>
      <c r="D196" s="238" t="s">
        <v>50</v>
      </c>
      <c r="E196" s="238" t="s">
        <v>23</v>
      </c>
      <c r="F196" s="136" t="s">
        <v>25</v>
      </c>
      <c r="G196" s="238" t="s">
        <v>26</v>
      </c>
      <c r="H196" s="238" t="s">
        <v>202</v>
      </c>
      <c r="I196" s="126" t="s">
        <v>51</v>
      </c>
      <c r="K196" s="21"/>
      <c r="L196" s="120"/>
      <c r="M196" s="120"/>
      <c r="N196" s="238" t="s">
        <v>50</v>
      </c>
      <c r="O196" s="238" t="s">
        <v>23</v>
      </c>
      <c r="P196" s="136" t="s">
        <v>25</v>
      </c>
      <c r="Q196" s="238" t="s">
        <v>26</v>
      </c>
      <c r="R196" s="238" t="str">
        <f>H196</f>
        <v>ADV</v>
      </c>
      <c r="S196" s="126" t="s">
        <v>51</v>
      </c>
    </row>
    <row r="197" spans="1:19">
      <c r="A197" s="21">
        <v>6</v>
      </c>
      <c r="B197" s="377" t="s">
        <v>52</v>
      </c>
      <c r="C197" s="377"/>
      <c r="D197" s="335">
        <f>Master!AM19</f>
        <v>1192</v>
      </c>
      <c r="E197" s="335">
        <f>Master!AL19</f>
        <v>75</v>
      </c>
      <c r="F197" s="180">
        <f>Master!AN19</f>
        <v>0</v>
      </c>
      <c r="G197" s="180">
        <f>Master!AO19</f>
        <v>0</v>
      </c>
      <c r="H197" s="180">
        <f>Master!AP19</f>
        <v>0</v>
      </c>
      <c r="I197" s="127">
        <f>D197+E197+F197+G197+H197</f>
        <v>1267</v>
      </c>
      <c r="K197" s="21">
        <v>6</v>
      </c>
      <c r="L197" s="377" t="s">
        <v>52</v>
      </c>
      <c r="M197" s="377"/>
      <c r="N197" s="335">
        <f>D197</f>
        <v>1192</v>
      </c>
      <c r="O197" s="335">
        <f>E197</f>
        <v>75</v>
      </c>
      <c r="P197" s="180">
        <f>F197</f>
        <v>0</v>
      </c>
      <c r="Q197" s="180">
        <f>G197</f>
        <v>0</v>
      </c>
      <c r="R197" s="180">
        <f>H197</f>
        <v>0</v>
      </c>
      <c r="S197" s="127">
        <f>N197+O197+R197</f>
        <v>1267</v>
      </c>
    </row>
    <row r="198" spans="1:19">
      <c r="A198" s="21"/>
      <c r="B198" s="120"/>
      <c r="C198" s="120"/>
      <c r="D198" s="120"/>
      <c r="E198" s="120"/>
      <c r="F198" s="114"/>
      <c r="G198" s="114"/>
      <c r="H198" s="114"/>
      <c r="I198" s="16"/>
      <c r="K198" s="21"/>
      <c r="L198" s="120"/>
      <c r="M198" s="120"/>
      <c r="N198" s="120"/>
      <c r="O198" s="120"/>
      <c r="P198" s="114"/>
      <c r="Q198" s="114"/>
      <c r="R198" s="114"/>
      <c r="S198" s="16"/>
    </row>
    <row r="199" spans="1:19">
      <c r="A199" s="21">
        <v>7</v>
      </c>
      <c r="B199" s="1099" t="s">
        <v>53</v>
      </c>
      <c r="C199" s="1099"/>
      <c r="D199" s="1099"/>
      <c r="E199" s="24">
        <f>E195-I197</f>
        <v>8665.4666666666653</v>
      </c>
      <c r="F199" s="19"/>
      <c r="G199" s="19"/>
      <c r="H199" s="19"/>
      <c r="I199" s="16"/>
      <c r="K199" s="21">
        <v>7</v>
      </c>
      <c r="L199" s="1099" t="s">
        <v>53</v>
      </c>
      <c r="M199" s="1099"/>
      <c r="N199" s="1099"/>
      <c r="O199" s="24">
        <f>E199</f>
        <v>8665.4666666666653</v>
      </c>
      <c r="P199" s="19"/>
      <c r="Q199" s="19"/>
      <c r="R199" s="19"/>
      <c r="S199" s="16"/>
    </row>
    <row r="200" spans="1:19">
      <c r="A200" s="15"/>
      <c r="B200" s="114"/>
      <c r="C200" s="114"/>
      <c r="D200" s="114"/>
      <c r="E200" s="114"/>
      <c r="F200" s="114"/>
      <c r="G200" s="114"/>
      <c r="H200" s="114"/>
      <c r="I200" s="16"/>
      <c r="K200" s="15"/>
      <c r="L200" s="114"/>
      <c r="M200" s="114"/>
      <c r="N200" s="114"/>
      <c r="O200" s="114"/>
      <c r="P200" s="114"/>
      <c r="Q200" s="114"/>
      <c r="R200" s="114"/>
      <c r="S200" s="16"/>
    </row>
    <row r="201" spans="1:19">
      <c r="A201" s="15"/>
      <c r="B201" s="114"/>
      <c r="C201" s="114"/>
      <c r="D201" s="114"/>
      <c r="E201" s="114"/>
      <c r="F201" s="114"/>
      <c r="G201" s="114"/>
      <c r="H201" s="114"/>
      <c r="I201" s="16"/>
      <c r="K201" s="15"/>
      <c r="L201" s="114"/>
      <c r="M201" s="114"/>
      <c r="N201" s="114"/>
      <c r="O201" s="114"/>
      <c r="P201" s="114"/>
      <c r="Q201" s="114"/>
      <c r="R201" s="114"/>
      <c r="S201" s="16"/>
    </row>
    <row r="202" spans="1:19" ht="15" thickBot="1">
      <c r="A202" s="15"/>
      <c r="B202" s="114"/>
      <c r="C202" s="114"/>
      <c r="D202" s="114"/>
      <c r="E202" s="114"/>
      <c r="F202" s="25"/>
      <c r="G202" s="25"/>
      <c r="H202" s="25"/>
      <c r="I202" s="26"/>
      <c r="K202" s="15"/>
      <c r="L202" s="114"/>
      <c r="M202" s="114"/>
      <c r="N202" s="114"/>
      <c r="O202" s="114"/>
      <c r="P202" s="25"/>
      <c r="Q202" s="25"/>
      <c r="R202" s="25"/>
      <c r="S202" s="26"/>
    </row>
    <row r="203" spans="1:19" ht="15" thickBot="1">
      <c r="A203" s="27"/>
      <c r="B203" s="25"/>
      <c r="C203" s="25"/>
      <c r="D203" s="25"/>
      <c r="E203" s="999" t="s">
        <v>54</v>
      </c>
      <c r="F203" s="999"/>
      <c r="G203" s="999"/>
      <c r="H203" s="999"/>
      <c r="I203" s="1100"/>
      <c r="K203" s="27"/>
      <c r="L203" s="25"/>
      <c r="M203" s="25"/>
      <c r="N203" s="25"/>
      <c r="O203" s="28" t="s">
        <v>54</v>
      </c>
      <c r="P203" s="25"/>
      <c r="Q203" s="28"/>
      <c r="R203" s="28"/>
      <c r="S203" s="29"/>
    </row>
    <row r="204" spans="1:19">
      <c r="A204" s="114"/>
      <c r="B204" s="114"/>
      <c r="C204" s="114"/>
      <c r="D204" s="114"/>
      <c r="E204" s="325"/>
      <c r="F204" s="325"/>
      <c r="G204" s="325"/>
      <c r="H204" s="325"/>
      <c r="I204" s="325"/>
      <c r="K204" s="114"/>
      <c r="L204" s="114"/>
      <c r="M204" s="114"/>
      <c r="N204" s="114"/>
      <c r="O204" s="114"/>
      <c r="P204" s="114"/>
      <c r="Q204" s="114"/>
      <c r="R204" s="114"/>
      <c r="S204" s="114"/>
    </row>
    <row r="205" spans="1:19">
      <c r="A205" s="114"/>
      <c r="B205" s="114"/>
      <c r="C205" s="114"/>
      <c r="D205" s="114"/>
      <c r="E205" s="325"/>
      <c r="F205" s="325"/>
      <c r="G205" s="325"/>
      <c r="H205" s="325"/>
      <c r="I205" s="325"/>
      <c r="K205" s="114"/>
      <c r="L205" s="114"/>
      <c r="M205" s="114"/>
      <c r="N205" s="114"/>
      <c r="O205" s="114"/>
      <c r="P205" s="114"/>
      <c r="Q205" s="114"/>
      <c r="R205" s="114"/>
      <c r="S205" s="114"/>
    </row>
    <row r="206" spans="1:19">
      <c r="A206" s="114"/>
      <c r="B206" s="114"/>
      <c r="C206" s="114"/>
      <c r="D206" s="114"/>
      <c r="E206" s="325"/>
      <c r="F206" s="325"/>
      <c r="G206" s="325"/>
      <c r="H206" s="325"/>
      <c r="I206" s="325"/>
      <c r="K206" s="114"/>
      <c r="L206" s="114"/>
      <c r="M206" s="114"/>
      <c r="N206" s="114"/>
      <c r="O206" s="114"/>
      <c r="P206" s="114"/>
      <c r="Q206" s="114"/>
      <c r="R206" s="114"/>
      <c r="S206" s="114"/>
    </row>
    <row r="207" spans="1:19">
      <c r="A207" s="114"/>
      <c r="B207" s="114"/>
      <c r="C207" s="114"/>
      <c r="D207" s="114"/>
      <c r="E207" s="325"/>
      <c r="F207" s="325"/>
      <c r="G207" s="325"/>
      <c r="H207" s="325"/>
      <c r="I207" s="325"/>
      <c r="K207" s="114"/>
      <c r="L207" s="114"/>
      <c r="M207" s="114"/>
      <c r="N207" s="114"/>
      <c r="O207" s="114"/>
      <c r="P207" s="114"/>
      <c r="Q207" s="114"/>
      <c r="R207" s="114"/>
      <c r="S207" s="114"/>
    </row>
    <row r="208" spans="1:19">
      <c r="A208" s="114"/>
      <c r="B208" s="114"/>
      <c r="C208" s="114"/>
      <c r="D208" s="114"/>
      <c r="E208" s="325"/>
      <c r="F208" s="325"/>
      <c r="G208" s="325"/>
      <c r="H208" s="325"/>
      <c r="I208" s="325"/>
      <c r="K208" s="114"/>
      <c r="L208" s="114"/>
      <c r="M208" s="114"/>
      <c r="N208" s="114"/>
      <c r="O208" s="114"/>
      <c r="P208" s="114"/>
      <c r="Q208" s="114"/>
      <c r="R208" s="114"/>
      <c r="S208" s="114"/>
    </row>
    <row r="209" spans="1:19">
      <c r="A209" s="114"/>
      <c r="B209" s="114"/>
      <c r="C209" s="114"/>
      <c r="D209" s="114"/>
      <c r="E209" s="325"/>
      <c r="F209" s="325"/>
      <c r="G209" s="325"/>
      <c r="H209" s="325"/>
      <c r="I209" s="325"/>
      <c r="K209" s="114"/>
      <c r="L209" s="114"/>
      <c r="M209" s="114"/>
      <c r="N209" s="114"/>
      <c r="O209" s="114"/>
      <c r="P209" s="114"/>
      <c r="Q209" s="114"/>
      <c r="R209" s="114"/>
      <c r="S209" s="114"/>
    </row>
    <row r="210" spans="1:19">
      <c r="A210" s="114"/>
      <c r="B210" s="114"/>
      <c r="C210" s="114"/>
      <c r="D210" s="114"/>
      <c r="E210" s="325"/>
      <c r="F210" s="325"/>
      <c r="G210" s="325"/>
      <c r="H210" s="325"/>
      <c r="I210" s="325"/>
      <c r="K210" s="114"/>
      <c r="L210" s="114"/>
      <c r="M210" s="114"/>
      <c r="N210" s="114"/>
      <c r="O210" s="114"/>
      <c r="P210" s="114"/>
      <c r="Q210" s="114"/>
      <c r="R210" s="114"/>
      <c r="S210" s="114"/>
    </row>
    <row r="211" spans="1:19">
      <c r="A211" s="114"/>
      <c r="B211" s="114"/>
      <c r="C211" s="114"/>
      <c r="D211" s="114"/>
      <c r="E211" s="325"/>
      <c r="F211" s="325"/>
      <c r="G211" s="325"/>
      <c r="H211" s="325"/>
      <c r="I211" s="325"/>
      <c r="K211" s="114"/>
      <c r="L211" s="114"/>
      <c r="M211" s="114"/>
      <c r="N211" s="114"/>
      <c r="O211" s="114"/>
      <c r="P211" s="114"/>
      <c r="Q211" s="114"/>
      <c r="R211" s="114"/>
      <c r="S211" s="114"/>
    </row>
    <row r="212" spans="1:19">
      <c r="A212" s="114"/>
      <c r="B212" s="114"/>
      <c r="C212" s="114"/>
      <c r="D212" s="114"/>
      <c r="E212" s="325"/>
      <c r="F212" s="325"/>
      <c r="G212" s="325"/>
      <c r="H212" s="325"/>
      <c r="I212" s="325"/>
      <c r="K212" s="114"/>
      <c r="L212" s="114"/>
      <c r="M212" s="114"/>
      <c r="N212" s="114"/>
      <c r="O212" s="114"/>
      <c r="P212" s="114"/>
      <c r="Q212" s="114"/>
      <c r="R212" s="114"/>
      <c r="S212" s="114"/>
    </row>
    <row r="213" spans="1:19">
      <c r="A213" s="114"/>
      <c r="B213" s="114"/>
      <c r="C213" s="114"/>
      <c r="D213" s="114"/>
      <c r="E213" s="325"/>
      <c r="F213" s="325"/>
      <c r="G213" s="325"/>
      <c r="H213" s="325"/>
      <c r="I213" s="325"/>
      <c r="K213" s="114"/>
      <c r="L213" s="114"/>
      <c r="M213" s="114"/>
      <c r="N213" s="114"/>
      <c r="O213" s="114"/>
      <c r="P213" s="114"/>
      <c r="Q213" s="114"/>
      <c r="R213" s="114"/>
      <c r="S213" s="114"/>
    </row>
    <row r="214" spans="1:19">
      <c r="A214" s="114"/>
      <c r="B214" s="114"/>
      <c r="C214" s="114"/>
      <c r="D214" s="114"/>
      <c r="E214" s="325"/>
      <c r="F214" s="325"/>
      <c r="G214" s="325"/>
      <c r="H214" s="325"/>
      <c r="I214" s="325"/>
      <c r="K214" s="114"/>
      <c r="L214" s="114"/>
      <c r="M214" s="114"/>
      <c r="N214" s="114"/>
      <c r="O214" s="114"/>
      <c r="P214" s="114"/>
      <c r="Q214" s="114"/>
      <c r="R214" s="114"/>
      <c r="S214" s="114"/>
    </row>
    <row r="215" spans="1:19" ht="15" thickBot="1"/>
    <row r="216" spans="1:19" ht="24.6">
      <c r="A216" s="1091" t="s">
        <v>39</v>
      </c>
      <c r="B216" s="1092"/>
      <c r="C216" s="1092"/>
      <c r="D216" s="1092"/>
      <c r="E216" s="1092"/>
      <c r="F216" s="1092"/>
      <c r="G216" s="1092"/>
      <c r="H216" s="1092"/>
      <c r="I216" s="1093"/>
      <c r="K216" s="1091" t="s">
        <v>39</v>
      </c>
      <c r="L216" s="1092"/>
      <c r="M216" s="1092"/>
      <c r="N216" s="1092"/>
      <c r="O216" s="1092"/>
      <c r="P216" s="1092"/>
      <c r="Q216" s="1092"/>
      <c r="R216" s="1092"/>
      <c r="S216" s="1093"/>
    </row>
    <row r="217" spans="1:19">
      <c r="A217" s="1094" t="s">
        <v>1075</v>
      </c>
      <c r="B217" s="1095"/>
      <c r="C217" s="1095"/>
      <c r="D217" s="1095"/>
      <c r="E217" s="1095"/>
      <c r="F217" s="1095"/>
      <c r="G217" s="1095"/>
      <c r="H217" s="1095"/>
      <c r="I217" s="1096"/>
      <c r="K217" s="1094" t="str">
        <f>A217</f>
        <v>[Vide rule 78 (1) (b) of the Contract Labour (Regulation and Abolition) Central and A.P.{T.S.}Rules, 1971]</v>
      </c>
      <c r="L217" s="1095"/>
      <c r="M217" s="1095"/>
      <c r="N217" s="1095"/>
      <c r="O217" s="1095"/>
      <c r="P217" s="1095"/>
      <c r="Q217" s="1095"/>
      <c r="R217" s="1095"/>
      <c r="S217" s="1096"/>
    </row>
    <row r="218" spans="1:19">
      <c r="A218" s="15"/>
      <c r="B218" s="114"/>
      <c r="C218" s="114"/>
      <c r="D218" s="114"/>
      <c r="E218" s="114"/>
      <c r="F218" s="114"/>
      <c r="G218" s="114"/>
      <c r="H218" s="114"/>
      <c r="I218" s="16"/>
      <c r="K218" s="15"/>
      <c r="L218" s="114"/>
      <c r="M218" s="114"/>
      <c r="N218" s="114"/>
      <c r="O218" s="114"/>
      <c r="P218" s="114"/>
      <c r="Q218" s="114"/>
      <c r="R218" s="114"/>
      <c r="S218" s="16"/>
    </row>
    <row r="219" spans="1:19">
      <c r="A219" s="17" t="s">
        <v>40</v>
      </c>
      <c r="B219" s="120"/>
      <c r="C219" s="120"/>
      <c r="D219" s="121" t="str">
        <f>Master!F5</f>
        <v>GROTECH LANDSCAPE DEVELOPERS PVT. LTD.</v>
      </c>
      <c r="E219" s="114"/>
      <c r="F219" s="114"/>
      <c r="G219" s="114"/>
      <c r="H219" s="114"/>
      <c r="I219" s="16"/>
      <c r="K219" s="17" t="s">
        <v>40</v>
      </c>
      <c r="L219" s="120"/>
      <c r="M219" s="120"/>
      <c r="N219" s="121" t="str">
        <f>D219</f>
        <v>GROTECH LANDSCAPE DEVELOPERS PVT. LTD.</v>
      </c>
      <c r="O219" s="114"/>
      <c r="P219" s="114"/>
      <c r="Q219" s="114"/>
      <c r="R219" s="114"/>
      <c r="S219" s="16"/>
    </row>
    <row r="220" spans="1:19">
      <c r="A220" s="17"/>
      <c r="B220" s="120" t="str">
        <f>Master!F6</f>
        <v>290/E, Khanapur Village, Gandipet Mandal, Ranga Reddy, Hyderabad-500075 T.S.</v>
      </c>
      <c r="C220" s="120"/>
      <c r="D220" s="114"/>
      <c r="E220" s="114"/>
      <c r="F220" s="114"/>
      <c r="G220" s="114"/>
      <c r="H220" s="114"/>
      <c r="I220" s="16"/>
      <c r="K220" s="17"/>
      <c r="L220" s="120" t="str">
        <f>B220</f>
        <v>290/E, Khanapur Village, Gandipet Mandal, Ranga Reddy, Hyderabad-500075 T.S.</v>
      </c>
      <c r="M220" s="120"/>
      <c r="N220" s="114"/>
      <c r="O220" s="114"/>
      <c r="P220" s="114"/>
      <c r="Q220" s="114"/>
      <c r="R220" s="114"/>
      <c r="S220" s="16"/>
    </row>
    <row r="221" spans="1:19">
      <c r="A221" s="17"/>
      <c r="B221" s="120"/>
      <c r="C221" s="120"/>
      <c r="D221" s="120"/>
      <c r="E221" s="120"/>
      <c r="F221" s="114"/>
      <c r="G221" s="114"/>
      <c r="H221" s="114"/>
      <c r="I221" s="16"/>
      <c r="K221" s="17"/>
      <c r="L221" s="120"/>
      <c r="M221" s="120"/>
      <c r="N221" s="120"/>
      <c r="O221" s="120"/>
      <c r="P221" s="114"/>
      <c r="Q221" s="114"/>
      <c r="R221" s="114"/>
      <c r="S221" s="16"/>
    </row>
    <row r="222" spans="1:19">
      <c r="A222" s="1097" t="s">
        <v>41</v>
      </c>
      <c r="B222" s="1098"/>
      <c r="C222" s="1098"/>
      <c r="D222" s="1098"/>
      <c r="E222" s="120"/>
      <c r="F222" s="114"/>
      <c r="G222" s="114"/>
      <c r="H222" s="114"/>
      <c r="I222" s="16"/>
      <c r="K222" s="1097" t="s">
        <v>41</v>
      </c>
      <c r="L222" s="1098"/>
      <c r="M222" s="1098"/>
      <c r="N222" s="1098"/>
      <c r="O222" s="120"/>
      <c r="P222" s="114"/>
      <c r="Q222" s="114"/>
      <c r="R222" s="114"/>
      <c r="S222" s="16"/>
    </row>
    <row r="223" spans="1:19">
      <c r="A223" s="1097"/>
      <c r="B223" s="1098"/>
      <c r="C223" s="1098"/>
      <c r="D223" s="1098"/>
      <c r="E223" s="128" t="str">
        <f>Master!D20</f>
        <v>SANGOLLA ASHOK</v>
      </c>
      <c r="F223" s="19"/>
      <c r="G223" s="19"/>
      <c r="H223" s="19" t="str">
        <f>Master!G20</f>
        <v>SANGOLLA ESWARAIAH</v>
      </c>
      <c r="I223" s="16"/>
      <c r="K223" s="1097"/>
      <c r="L223" s="1098"/>
      <c r="M223" s="1098"/>
      <c r="N223" s="1098"/>
      <c r="O223" s="18" t="str">
        <f>E223</f>
        <v>SANGOLLA ASHOK</v>
      </c>
      <c r="P223" s="19"/>
      <c r="Q223" s="19"/>
      <c r="R223" s="19" t="str">
        <f>H223</f>
        <v>SANGOLLA ESWARAIAH</v>
      </c>
      <c r="S223" s="16"/>
    </row>
    <row r="224" spans="1:19">
      <c r="A224" s="17"/>
      <c r="B224" s="120"/>
      <c r="C224" s="120"/>
      <c r="D224" s="120"/>
      <c r="E224" s="120"/>
      <c r="F224" s="114"/>
      <c r="G224" s="114"/>
      <c r="H224" s="114"/>
      <c r="I224" s="16"/>
      <c r="K224" s="17"/>
      <c r="L224" s="120"/>
      <c r="M224" s="120"/>
      <c r="N224" s="120"/>
      <c r="O224" s="120"/>
      <c r="P224" s="114"/>
      <c r="Q224" s="114"/>
      <c r="R224" s="114"/>
      <c r="S224" s="16"/>
    </row>
    <row r="225" spans="1:19">
      <c r="A225" s="1101" t="s">
        <v>42</v>
      </c>
      <c r="B225" s="1099"/>
      <c r="C225" s="1099"/>
      <c r="D225" s="1099"/>
      <c r="E225" s="24" t="str">
        <f>Master!F8</f>
        <v>GARDENING SERVICES&amp;ISB HYDERABAD</v>
      </c>
      <c r="F225" s="19"/>
      <c r="G225" s="19"/>
      <c r="H225" s="19"/>
      <c r="I225" s="16"/>
      <c r="K225" s="1101" t="s">
        <v>42</v>
      </c>
      <c r="L225" s="1099"/>
      <c r="M225" s="1099"/>
      <c r="N225" s="1099"/>
      <c r="O225" s="24" t="str">
        <f>E225</f>
        <v>GARDENING SERVICES&amp;ISB HYDERABAD</v>
      </c>
      <c r="P225" s="19"/>
      <c r="Q225" s="19"/>
      <c r="R225" s="19"/>
      <c r="S225" s="16"/>
    </row>
    <row r="226" spans="1:19">
      <c r="A226" s="17"/>
      <c r="B226" s="120"/>
      <c r="C226" s="120"/>
      <c r="D226" s="120"/>
      <c r="E226" s="120"/>
      <c r="F226" s="114"/>
      <c r="G226" s="114"/>
      <c r="H226" s="114"/>
      <c r="I226" s="16"/>
      <c r="K226" s="17"/>
      <c r="L226" s="120"/>
      <c r="M226" s="120"/>
      <c r="N226" s="120"/>
      <c r="O226" s="120"/>
      <c r="P226" s="114"/>
      <c r="Q226" s="114"/>
      <c r="R226" s="114"/>
      <c r="S226" s="16"/>
    </row>
    <row r="227" spans="1:19">
      <c r="A227" s="1101" t="s">
        <v>43</v>
      </c>
      <c r="B227" s="1099"/>
      <c r="C227" s="1099"/>
      <c r="D227" s="1099"/>
      <c r="E227" s="20">
        <f>Master!F10</f>
        <v>44652</v>
      </c>
      <c r="F227" s="19"/>
      <c r="G227" s="19"/>
      <c r="H227" s="19"/>
      <c r="I227" s="16"/>
      <c r="K227" s="1101" t="s">
        <v>43</v>
      </c>
      <c r="L227" s="1099"/>
      <c r="M227" s="1099"/>
      <c r="N227" s="1099"/>
      <c r="O227" s="20">
        <f>E227</f>
        <v>44652</v>
      </c>
      <c r="P227" s="19"/>
      <c r="Q227" s="19"/>
      <c r="R227" s="19"/>
      <c r="S227" s="16"/>
    </row>
    <row r="228" spans="1:19">
      <c r="A228" s="17"/>
      <c r="B228" s="120"/>
      <c r="C228" s="120"/>
      <c r="D228" s="120"/>
      <c r="E228" s="120"/>
      <c r="F228" s="114"/>
      <c r="G228" s="114"/>
      <c r="H228" s="114"/>
      <c r="I228" s="16"/>
      <c r="K228" s="17"/>
      <c r="L228" s="120"/>
      <c r="M228" s="120"/>
      <c r="N228" s="120"/>
      <c r="O228" s="120"/>
      <c r="P228" s="114"/>
      <c r="Q228" s="114"/>
      <c r="R228" s="114"/>
      <c r="S228" s="16"/>
    </row>
    <row r="229" spans="1:19">
      <c r="A229" s="21">
        <v>1</v>
      </c>
      <c r="B229" s="1099" t="s">
        <v>44</v>
      </c>
      <c r="C229" s="1099"/>
      <c r="D229" s="1099"/>
      <c r="E229" s="22">
        <f>Master!AA20</f>
        <v>26</v>
      </c>
      <c r="F229" s="19"/>
      <c r="G229" s="19"/>
      <c r="H229" s="19"/>
      <c r="I229" s="16"/>
      <c r="K229" s="21">
        <v>1</v>
      </c>
      <c r="L229" s="1099" t="s">
        <v>44</v>
      </c>
      <c r="M229" s="1099"/>
      <c r="N229" s="1099"/>
      <c r="O229" s="22">
        <f>E229</f>
        <v>26</v>
      </c>
      <c r="P229" s="19"/>
      <c r="Q229" s="19"/>
      <c r="R229" s="19"/>
      <c r="S229" s="16"/>
    </row>
    <row r="230" spans="1:19">
      <c r="A230" s="21"/>
      <c r="B230" s="120"/>
      <c r="C230" s="120"/>
      <c r="D230" s="120"/>
      <c r="E230" s="120"/>
      <c r="F230" s="114"/>
      <c r="G230" s="114"/>
      <c r="H230" s="114"/>
      <c r="I230" s="16"/>
      <c r="K230" s="21"/>
      <c r="L230" s="120"/>
      <c r="M230" s="120"/>
      <c r="N230" s="120"/>
      <c r="O230" s="120"/>
      <c r="P230" s="114"/>
      <c r="Q230" s="114"/>
      <c r="R230" s="114"/>
      <c r="S230" s="16"/>
    </row>
    <row r="231" spans="1:19">
      <c r="A231" s="21">
        <v>2</v>
      </c>
      <c r="B231" s="1098" t="s">
        <v>45</v>
      </c>
      <c r="C231" s="1098"/>
      <c r="D231" s="1098"/>
      <c r="E231" s="120"/>
      <c r="F231" s="114"/>
      <c r="G231" s="114"/>
      <c r="H231" s="114"/>
      <c r="I231" s="16"/>
      <c r="K231" s="21">
        <v>2</v>
      </c>
      <c r="L231" s="1098" t="s">
        <v>45</v>
      </c>
      <c r="M231" s="1098"/>
      <c r="N231" s="1098"/>
      <c r="O231" s="120"/>
      <c r="P231" s="114"/>
      <c r="Q231" s="114"/>
      <c r="R231" s="114"/>
      <c r="S231" s="16"/>
    </row>
    <row r="232" spans="1:19">
      <c r="A232" s="21"/>
      <c r="B232" s="1098"/>
      <c r="C232" s="1098"/>
      <c r="D232" s="1098"/>
      <c r="E232" s="23" t="s">
        <v>28</v>
      </c>
      <c r="F232" s="19"/>
      <c r="G232" s="19"/>
      <c r="H232" s="19"/>
      <c r="I232" s="16"/>
      <c r="K232" s="21"/>
      <c r="L232" s="1098"/>
      <c r="M232" s="1098"/>
      <c r="N232" s="1098"/>
      <c r="O232" s="23" t="s">
        <v>28</v>
      </c>
      <c r="P232" s="19"/>
      <c r="Q232" s="19"/>
      <c r="R232" s="19"/>
      <c r="S232" s="16"/>
    </row>
    <row r="233" spans="1:19">
      <c r="A233" s="21"/>
      <c r="B233" s="120"/>
      <c r="C233" s="120"/>
      <c r="D233" s="120"/>
      <c r="E233" s="120"/>
      <c r="F233" s="114"/>
      <c r="G233" s="114"/>
      <c r="H233" s="114"/>
      <c r="I233" s="16"/>
      <c r="K233" s="21"/>
      <c r="L233" s="120"/>
      <c r="M233" s="120"/>
      <c r="N233" s="120"/>
      <c r="O233" s="120"/>
      <c r="P233" s="114"/>
      <c r="Q233" s="114"/>
      <c r="R233" s="114"/>
      <c r="S233" s="16"/>
    </row>
    <row r="234" spans="1:19">
      <c r="A234" s="21">
        <v>3</v>
      </c>
      <c r="B234" s="1099" t="s">
        <v>46</v>
      </c>
      <c r="C234" s="1099"/>
      <c r="D234" s="1099"/>
      <c r="E234" s="23" t="s">
        <v>28</v>
      </c>
      <c r="F234" s="19"/>
      <c r="G234" s="19"/>
      <c r="H234" s="19"/>
      <c r="I234" s="16"/>
      <c r="K234" s="21">
        <v>3</v>
      </c>
      <c r="L234" s="1099" t="s">
        <v>46</v>
      </c>
      <c r="M234" s="1099"/>
      <c r="N234" s="1099"/>
      <c r="O234" s="18" t="str">
        <f>E234</f>
        <v>N/A</v>
      </c>
      <c r="P234" s="19"/>
      <c r="Q234" s="19"/>
      <c r="R234" s="19"/>
      <c r="S234" s="16"/>
    </row>
    <row r="235" spans="1:19">
      <c r="A235" s="21"/>
      <c r="B235" s="120"/>
      <c r="C235" s="120"/>
      <c r="D235" s="120"/>
      <c r="E235" s="120"/>
      <c r="F235" s="114"/>
      <c r="G235" s="114"/>
      <c r="H235" s="114"/>
      <c r="I235" s="16"/>
      <c r="K235" s="21"/>
      <c r="L235" s="120"/>
      <c r="M235" s="120"/>
      <c r="N235" s="120"/>
      <c r="O235" s="120"/>
      <c r="P235" s="114"/>
      <c r="Q235" s="114"/>
      <c r="R235" s="114"/>
      <c r="S235" s="16"/>
    </row>
    <row r="236" spans="1:19">
      <c r="A236" s="21">
        <v>4</v>
      </c>
      <c r="B236" s="1099" t="s">
        <v>47</v>
      </c>
      <c r="C236" s="1099"/>
      <c r="D236" s="1099"/>
      <c r="E236" s="23" t="s">
        <v>48</v>
      </c>
      <c r="F236" s="19"/>
      <c r="G236" s="19"/>
      <c r="H236" s="19"/>
      <c r="I236" s="16"/>
      <c r="K236" s="21">
        <v>4</v>
      </c>
      <c r="L236" s="1099" t="s">
        <v>47</v>
      </c>
      <c r="M236" s="1099"/>
      <c r="N236" s="1099"/>
      <c r="O236" s="23" t="s">
        <v>48</v>
      </c>
      <c r="P236" s="19"/>
      <c r="Q236" s="19"/>
      <c r="R236" s="19"/>
      <c r="S236" s="16"/>
    </row>
    <row r="237" spans="1:19">
      <c r="A237" s="21"/>
      <c r="B237" s="120"/>
      <c r="C237" s="120"/>
      <c r="D237" s="120"/>
      <c r="E237" s="120"/>
      <c r="F237" s="114"/>
      <c r="G237" s="114"/>
      <c r="H237" s="114"/>
      <c r="I237" s="16"/>
      <c r="K237" s="21"/>
      <c r="L237" s="120"/>
      <c r="M237" s="120"/>
      <c r="N237" s="120"/>
      <c r="O237" s="120"/>
      <c r="P237" s="114"/>
      <c r="Q237" s="114"/>
      <c r="R237" s="114"/>
      <c r="S237" s="16"/>
    </row>
    <row r="238" spans="1:19">
      <c r="A238" s="21">
        <v>5</v>
      </c>
      <c r="B238" s="1099" t="s">
        <v>49</v>
      </c>
      <c r="C238" s="1099"/>
      <c r="D238" s="1099"/>
      <c r="E238" s="24">
        <f>Master!AK20</f>
        <v>9932.4666666666653</v>
      </c>
      <c r="F238" s="19"/>
      <c r="G238" s="19"/>
      <c r="H238" s="19"/>
      <c r="I238" s="16"/>
      <c r="K238" s="21">
        <v>5</v>
      </c>
      <c r="L238" s="1099" t="s">
        <v>49</v>
      </c>
      <c r="M238" s="1099"/>
      <c r="N238" s="1099"/>
      <c r="O238" s="24">
        <f>E238</f>
        <v>9932.4666666666653</v>
      </c>
      <c r="P238" s="19"/>
      <c r="Q238" s="19"/>
      <c r="R238" s="19"/>
      <c r="S238" s="16"/>
    </row>
    <row r="239" spans="1:19">
      <c r="A239" s="21"/>
      <c r="B239" s="120"/>
      <c r="C239" s="120"/>
      <c r="D239" s="238" t="s">
        <v>50</v>
      </c>
      <c r="E239" s="238" t="s">
        <v>23</v>
      </c>
      <c r="F239" s="136" t="s">
        <v>25</v>
      </c>
      <c r="G239" s="238" t="s">
        <v>26</v>
      </c>
      <c r="H239" s="238" t="s">
        <v>202</v>
      </c>
      <c r="I239" s="126" t="s">
        <v>51</v>
      </c>
      <c r="K239" s="21"/>
      <c r="L239" s="120"/>
      <c r="M239" s="120"/>
      <c r="N239" s="238" t="s">
        <v>50</v>
      </c>
      <c r="O239" s="238" t="s">
        <v>23</v>
      </c>
      <c r="P239" s="136" t="s">
        <v>25</v>
      </c>
      <c r="Q239" s="238" t="s">
        <v>26</v>
      </c>
      <c r="R239" s="238" t="str">
        <f>H239</f>
        <v>ADV</v>
      </c>
      <c r="S239" s="126" t="s">
        <v>51</v>
      </c>
    </row>
    <row r="240" spans="1:19">
      <c r="A240" s="21">
        <v>6</v>
      </c>
      <c r="B240" s="377" t="s">
        <v>52</v>
      </c>
      <c r="C240" s="377"/>
      <c r="D240" s="335">
        <f>Master!AM20</f>
        <v>1192</v>
      </c>
      <c r="E240" s="335">
        <f>Master!AL20</f>
        <v>75</v>
      </c>
      <c r="F240" s="180">
        <f>Master!AN20</f>
        <v>0</v>
      </c>
      <c r="G240" s="180">
        <f>Master!AO20</f>
        <v>0</v>
      </c>
      <c r="H240" s="180">
        <f>Master!AP20</f>
        <v>0</v>
      </c>
      <c r="I240" s="127">
        <f>D240+E240+F240+G240+H240</f>
        <v>1267</v>
      </c>
      <c r="K240" s="21">
        <v>6</v>
      </c>
      <c r="L240" s="377" t="s">
        <v>52</v>
      </c>
      <c r="M240" s="377"/>
      <c r="N240" s="335">
        <f>D240</f>
        <v>1192</v>
      </c>
      <c r="O240" s="335">
        <f>E240</f>
        <v>75</v>
      </c>
      <c r="P240" s="180">
        <f>F240</f>
        <v>0</v>
      </c>
      <c r="Q240" s="180">
        <f>G240</f>
        <v>0</v>
      </c>
      <c r="R240" s="180">
        <f>H240</f>
        <v>0</v>
      </c>
      <c r="S240" s="127">
        <f>N240+O240+R240</f>
        <v>1267</v>
      </c>
    </row>
    <row r="241" spans="1:19">
      <c r="A241" s="21"/>
      <c r="B241" s="120"/>
      <c r="C241" s="120"/>
      <c r="D241" s="120"/>
      <c r="E241" s="120"/>
      <c r="F241" s="114"/>
      <c r="G241" s="114"/>
      <c r="H241" s="114"/>
      <c r="I241" s="16"/>
      <c r="K241" s="21"/>
      <c r="L241" s="120"/>
      <c r="M241" s="120"/>
      <c r="N241" s="120"/>
      <c r="O241" s="120"/>
      <c r="P241" s="114"/>
      <c r="Q241" s="114"/>
      <c r="R241" s="114"/>
      <c r="S241" s="16"/>
    </row>
    <row r="242" spans="1:19">
      <c r="A242" s="21">
        <v>7</v>
      </c>
      <c r="B242" s="1099" t="s">
        <v>53</v>
      </c>
      <c r="C242" s="1099"/>
      <c r="D242" s="1099"/>
      <c r="E242" s="24">
        <f>E238-I240</f>
        <v>8665.4666666666653</v>
      </c>
      <c r="F242" s="19"/>
      <c r="G242" s="19"/>
      <c r="H242" s="19"/>
      <c r="I242" s="16"/>
      <c r="K242" s="21">
        <v>7</v>
      </c>
      <c r="L242" s="1099" t="s">
        <v>53</v>
      </c>
      <c r="M242" s="1099"/>
      <c r="N242" s="1099"/>
      <c r="O242" s="24">
        <f>E242</f>
        <v>8665.4666666666653</v>
      </c>
      <c r="P242" s="19"/>
      <c r="Q242" s="19"/>
      <c r="R242" s="19"/>
      <c r="S242" s="16"/>
    </row>
    <row r="243" spans="1:19">
      <c r="A243" s="15"/>
      <c r="B243" s="114"/>
      <c r="C243" s="114"/>
      <c r="D243" s="114"/>
      <c r="E243" s="114"/>
      <c r="F243" s="114"/>
      <c r="G243" s="114"/>
      <c r="H243" s="114"/>
      <c r="I243" s="16"/>
      <c r="K243" s="15"/>
      <c r="L243" s="114"/>
      <c r="M243" s="114"/>
      <c r="N243" s="114"/>
      <c r="O243" s="114"/>
      <c r="P243" s="114"/>
      <c r="Q243" s="114"/>
      <c r="R243" s="114"/>
      <c r="S243" s="16"/>
    </row>
    <row r="244" spans="1:19">
      <c r="A244" s="15"/>
      <c r="B244" s="114"/>
      <c r="C244" s="114"/>
      <c r="D244" s="114"/>
      <c r="E244" s="114"/>
      <c r="F244" s="114"/>
      <c r="G244" s="114"/>
      <c r="H244" s="114"/>
      <c r="I244" s="16"/>
      <c r="K244" s="15"/>
      <c r="L244" s="114"/>
      <c r="M244" s="114"/>
      <c r="N244" s="114"/>
      <c r="O244" s="114"/>
      <c r="P244" s="114"/>
      <c r="Q244" s="114"/>
      <c r="R244" s="114"/>
      <c r="S244" s="16"/>
    </row>
    <row r="245" spans="1:19" ht="15" thickBot="1">
      <c r="A245" s="15"/>
      <c r="B245" s="114"/>
      <c r="C245" s="114"/>
      <c r="D245" s="114"/>
      <c r="E245" s="114"/>
      <c r="F245" s="25"/>
      <c r="G245" s="25"/>
      <c r="H245" s="25"/>
      <c r="I245" s="26"/>
      <c r="K245" s="15"/>
      <c r="L245" s="114"/>
      <c r="M245" s="114"/>
      <c r="N245" s="114"/>
      <c r="O245" s="114"/>
      <c r="P245" s="25"/>
      <c r="Q245" s="25"/>
      <c r="R245" s="25"/>
      <c r="S245" s="26"/>
    </row>
    <row r="246" spans="1:19" ht="15" thickBot="1">
      <c r="A246" s="27"/>
      <c r="B246" s="25"/>
      <c r="C246" s="25"/>
      <c r="D246" s="25"/>
      <c r="E246" s="999" t="s">
        <v>54</v>
      </c>
      <c r="F246" s="999"/>
      <c r="G246" s="999"/>
      <c r="H246" s="999"/>
      <c r="I246" s="1100"/>
      <c r="K246" s="27"/>
      <c r="L246" s="25"/>
      <c r="M246" s="25"/>
      <c r="N246" s="25"/>
      <c r="O246" s="28" t="s">
        <v>54</v>
      </c>
      <c r="P246" s="25"/>
      <c r="Q246" s="28"/>
      <c r="R246" s="28"/>
      <c r="S246" s="29"/>
    </row>
    <row r="247" spans="1:19">
      <c r="A247" s="114"/>
      <c r="B247" s="114"/>
      <c r="C247" s="114"/>
      <c r="D247" s="114"/>
      <c r="E247" s="325"/>
      <c r="F247" s="325"/>
      <c r="G247" s="325"/>
      <c r="H247" s="325"/>
      <c r="I247" s="325"/>
      <c r="K247" s="114"/>
      <c r="L247" s="114"/>
      <c r="M247" s="114"/>
      <c r="N247" s="114"/>
      <c r="O247" s="114"/>
      <c r="P247" s="114"/>
      <c r="Q247" s="114"/>
      <c r="R247" s="114"/>
      <c r="S247" s="114"/>
    </row>
    <row r="248" spans="1:19">
      <c r="A248" s="114"/>
      <c r="B248" s="114"/>
      <c r="C248" s="114"/>
      <c r="D248" s="114"/>
      <c r="E248" s="325"/>
      <c r="F248" s="325"/>
      <c r="G248" s="325"/>
      <c r="H248" s="325"/>
      <c r="I248" s="325"/>
      <c r="K248" s="114"/>
      <c r="L248" s="114"/>
      <c r="M248" s="114"/>
      <c r="N248" s="114"/>
      <c r="O248" s="114"/>
      <c r="P248" s="114"/>
      <c r="Q248" s="114"/>
      <c r="R248" s="114"/>
      <c r="S248" s="114"/>
    </row>
    <row r="249" spans="1:19">
      <c r="A249" s="114"/>
      <c r="B249" s="114"/>
      <c r="C249" s="114"/>
      <c r="D249" s="114"/>
      <c r="E249" s="325"/>
      <c r="F249" s="325"/>
      <c r="G249" s="325"/>
      <c r="H249" s="325"/>
      <c r="I249" s="325"/>
      <c r="K249" s="114"/>
      <c r="L249" s="114"/>
      <c r="M249" s="114"/>
      <c r="N249" s="114"/>
      <c r="O249" s="114"/>
      <c r="P249" s="114"/>
      <c r="Q249" s="114"/>
      <c r="R249" s="114"/>
      <c r="S249" s="114"/>
    </row>
    <row r="250" spans="1:19">
      <c r="A250" s="114"/>
      <c r="B250" s="114"/>
      <c r="C250" s="114"/>
      <c r="D250" s="114"/>
      <c r="E250" s="325"/>
      <c r="F250" s="325"/>
      <c r="G250" s="325"/>
      <c r="H250" s="325"/>
      <c r="I250" s="325"/>
      <c r="K250" s="114"/>
      <c r="L250" s="114"/>
      <c r="M250" s="114"/>
      <c r="N250" s="114"/>
      <c r="O250" s="114"/>
      <c r="P250" s="114"/>
      <c r="Q250" s="114"/>
      <c r="R250" s="114"/>
      <c r="S250" s="114"/>
    </row>
    <row r="251" spans="1:19">
      <c r="A251" s="114"/>
      <c r="B251" s="114"/>
      <c r="C251" s="114"/>
      <c r="D251" s="114"/>
      <c r="E251" s="325"/>
      <c r="F251" s="325"/>
      <c r="G251" s="325"/>
      <c r="H251" s="325"/>
      <c r="I251" s="325"/>
      <c r="K251" s="114"/>
      <c r="L251" s="114"/>
      <c r="M251" s="114"/>
      <c r="N251" s="114"/>
      <c r="O251" s="114"/>
      <c r="P251" s="114"/>
      <c r="Q251" s="114"/>
      <c r="R251" s="114"/>
      <c r="S251" s="114"/>
    </row>
    <row r="252" spans="1:19">
      <c r="A252" s="114"/>
      <c r="B252" s="114"/>
      <c r="C252" s="114"/>
      <c r="D252" s="114"/>
      <c r="E252" s="325"/>
      <c r="F252" s="325"/>
      <c r="G252" s="325"/>
      <c r="H252" s="325"/>
      <c r="I252" s="325"/>
      <c r="K252" s="114"/>
      <c r="L252" s="114"/>
      <c r="M252" s="114"/>
      <c r="N252" s="114"/>
      <c r="O252" s="114"/>
      <c r="P252" s="114"/>
      <c r="Q252" s="114"/>
      <c r="R252" s="114"/>
      <c r="S252" s="114"/>
    </row>
    <row r="253" spans="1:19">
      <c r="A253" s="114"/>
      <c r="B253" s="114"/>
      <c r="C253" s="114"/>
      <c r="D253" s="114"/>
      <c r="E253" s="325"/>
      <c r="F253" s="325"/>
      <c r="G253" s="325"/>
      <c r="H253" s="325"/>
      <c r="I253" s="325"/>
      <c r="K253" s="114"/>
      <c r="L253" s="114"/>
      <c r="M253" s="114"/>
      <c r="N253" s="114"/>
      <c r="O253" s="114"/>
      <c r="P253" s="114"/>
      <c r="Q253" s="114"/>
      <c r="R253" s="114"/>
      <c r="S253" s="114"/>
    </row>
    <row r="254" spans="1:19">
      <c r="A254" s="114"/>
      <c r="B254" s="114"/>
      <c r="C254" s="114"/>
      <c r="D254" s="114"/>
      <c r="E254" s="325"/>
      <c r="F254" s="325"/>
      <c r="G254" s="325"/>
      <c r="H254" s="325"/>
      <c r="I254" s="325"/>
      <c r="K254" s="114"/>
      <c r="L254" s="114"/>
      <c r="M254" s="114"/>
      <c r="N254" s="114"/>
      <c r="O254" s="114"/>
      <c r="P254" s="114"/>
      <c r="Q254" s="114"/>
      <c r="R254" s="114"/>
      <c r="S254" s="114"/>
    </row>
    <row r="255" spans="1:19">
      <c r="A255" s="114"/>
      <c r="B255" s="114"/>
      <c r="C255" s="114"/>
      <c r="D255" s="114"/>
      <c r="E255" s="325"/>
      <c r="F255" s="325"/>
      <c r="G255" s="325"/>
      <c r="H255" s="325"/>
      <c r="I255" s="325"/>
      <c r="K255" s="114"/>
      <c r="L255" s="114"/>
      <c r="M255" s="114"/>
      <c r="N255" s="114"/>
      <c r="O255" s="114"/>
      <c r="P255" s="114"/>
      <c r="Q255" s="114"/>
      <c r="R255" s="114"/>
      <c r="S255" s="114"/>
    </row>
    <row r="256" spans="1:19">
      <c r="A256" s="114"/>
      <c r="B256" s="114"/>
      <c r="C256" s="114"/>
      <c r="D256" s="114"/>
      <c r="E256" s="325"/>
      <c r="F256" s="325"/>
      <c r="G256" s="325"/>
      <c r="H256" s="325"/>
      <c r="I256" s="325"/>
      <c r="K256" s="114"/>
      <c r="L256" s="114"/>
      <c r="M256" s="114"/>
      <c r="N256" s="114"/>
      <c r="O256" s="114"/>
      <c r="P256" s="114"/>
      <c r="Q256" s="114"/>
      <c r="R256" s="114"/>
      <c r="S256" s="114"/>
    </row>
    <row r="257" spans="1:19">
      <c r="A257" s="114"/>
      <c r="B257" s="114"/>
      <c r="C257" s="114"/>
      <c r="D257" s="114"/>
      <c r="E257" s="325"/>
      <c r="F257" s="325"/>
      <c r="G257" s="325"/>
      <c r="H257" s="325"/>
      <c r="I257" s="325"/>
      <c r="K257" s="114"/>
      <c r="L257" s="114"/>
      <c r="M257" s="114"/>
      <c r="N257" s="114"/>
      <c r="O257" s="114"/>
      <c r="P257" s="114"/>
      <c r="Q257" s="114"/>
      <c r="R257" s="114"/>
      <c r="S257" s="114"/>
    </row>
    <row r="258" spans="1:19" ht="15" thickBot="1"/>
    <row r="259" spans="1:19" ht="24.6">
      <c r="A259" s="1091" t="s">
        <v>39</v>
      </c>
      <c r="B259" s="1092"/>
      <c r="C259" s="1092"/>
      <c r="D259" s="1092"/>
      <c r="E259" s="1092"/>
      <c r="F259" s="1092"/>
      <c r="G259" s="1092"/>
      <c r="H259" s="1092"/>
      <c r="I259" s="1093"/>
      <c r="K259" s="1091" t="s">
        <v>39</v>
      </c>
      <c r="L259" s="1092"/>
      <c r="M259" s="1092"/>
      <c r="N259" s="1092"/>
      <c r="O259" s="1092"/>
      <c r="P259" s="1092"/>
      <c r="Q259" s="1092"/>
      <c r="R259" s="1092"/>
      <c r="S259" s="1093"/>
    </row>
    <row r="260" spans="1:19">
      <c r="A260" s="1094" t="s">
        <v>1075</v>
      </c>
      <c r="B260" s="1095"/>
      <c r="C260" s="1095"/>
      <c r="D260" s="1095"/>
      <c r="E260" s="1095"/>
      <c r="F260" s="1095"/>
      <c r="G260" s="1095"/>
      <c r="H260" s="1095"/>
      <c r="I260" s="1096"/>
      <c r="K260" s="1094" t="str">
        <f>A260</f>
        <v>[Vide rule 78 (1) (b) of the Contract Labour (Regulation and Abolition) Central and A.P.{T.S.}Rules, 1971]</v>
      </c>
      <c r="L260" s="1095"/>
      <c r="M260" s="1095"/>
      <c r="N260" s="1095"/>
      <c r="O260" s="1095"/>
      <c r="P260" s="1095"/>
      <c r="Q260" s="1095"/>
      <c r="R260" s="1095"/>
      <c r="S260" s="1096"/>
    </row>
    <row r="261" spans="1:19">
      <c r="A261" s="15"/>
      <c r="B261" s="114"/>
      <c r="C261" s="114"/>
      <c r="D261" s="114"/>
      <c r="E261" s="114"/>
      <c r="F261" s="114"/>
      <c r="G261" s="114"/>
      <c r="H261" s="114"/>
      <c r="I261" s="16"/>
      <c r="K261" s="15"/>
      <c r="L261" s="114"/>
      <c r="M261" s="114"/>
      <c r="N261" s="114"/>
      <c r="O261" s="114"/>
      <c r="P261" s="114"/>
      <c r="Q261" s="114"/>
      <c r="R261" s="114"/>
      <c r="S261" s="16"/>
    </row>
    <row r="262" spans="1:19">
      <c r="A262" s="17" t="s">
        <v>40</v>
      </c>
      <c r="B262" s="120"/>
      <c r="C262" s="120"/>
      <c r="D262" s="121" t="str">
        <f>Master!F5</f>
        <v>GROTECH LANDSCAPE DEVELOPERS PVT. LTD.</v>
      </c>
      <c r="E262" s="114"/>
      <c r="F262" s="114"/>
      <c r="G262" s="114"/>
      <c r="H262" s="114"/>
      <c r="I262" s="16"/>
      <c r="K262" s="17" t="s">
        <v>40</v>
      </c>
      <c r="L262" s="120"/>
      <c r="M262" s="120"/>
      <c r="N262" s="121" t="str">
        <f>D262</f>
        <v>GROTECH LANDSCAPE DEVELOPERS PVT. LTD.</v>
      </c>
      <c r="O262" s="114"/>
      <c r="P262" s="114"/>
      <c r="Q262" s="114"/>
      <c r="R262" s="114"/>
      <c r="S262" s="16"/>
    </row>
    <row r="263" spans="1:19">
      <c r="A263" s="17"/>
      <c r="B263" s="120" t="str">
        <f>Master!F6</f>
        <v>290/E, Khanapur Village, Gandipet Mandal, Ranga Reddy, Hyderabad-500075 T.S.</v>
      </c>
      <c r="C263" s="120"/>
      <c r="D263" s="114"/>
      <c r="E263" s="114"/>
      <c r="F263" s="114"/>
      <c r="G263" s="114"/>
      <c r="H263" s="114"/>
      <c r="I263" s="16"/>
      <c r="K263" s="17"/>
      <c r="L263" s="120" t="str">
        <f>B263</f>
        <v>290/E, Khanapur Village, Gandipet Mandal, Ranga Reddy, Hyderabad-500075 T.S.</v>
      </c>
      <c r="M263" s="120"/>
      <c r="N263" s="114"/>
      <c r="O263" s="114"/>
      <c r="P263" s="114"/>
      <c r="Q263" s="114"/>
      <c r="R263" s="114"/>
      <c r="S263" s="16"/>
    </row>
    <row r="264" spans="1:19">
      <c r="A264" s="17"/>
      <c r="B264" s="120"/>
      <c r="C264" s="120"/>
      <c r="D264" s="120"/>
      <c r="E264" s="120"/>
      <c r="F264" s="114"/>
      <c r="G264" s="114"/>
      <c r="H264" s="114"/>
      <c r="I264" s="16"/>
      <c r="K264" s="17"/>
      <c r="L264" s="120"/>
      <c r="M264" s="120"/>
      <c r="N264" s="120"/>
      <c r="O264" s="120"/>
      <c r="P264" s="114"/>
      <c r="Q264" s="114"/>
      <c r="R264" s="114"/>
      <c r="S264" s="16"/>
    </row>
    <row r="265" spans="1:19">
      <c r="A265" s="1097" t="s">
        <v>41</v>
      </c>
      <c r="B265" s="1098"/>
      <c r="C265" s="1098"/>
      <c r="D265" s="1098"/>
      <c r="E265" s="120"/>
      <c r="F265" s="114"/>
      <c r="G265" s="114"/>
      <c r="H265" s="114"/>
      <c r="I265" s="16"/>
      <c r="K265" s="1097" t="s">
        <v>41</v>
      </c>
      <c r="L265" s="1098"/>
      <c r="M265" s="1098"/>
      <c r="N265" s="1098"/>
      <c r="O265" s="120"/>
      <c r="P265" s="114"/>
      <c r="Q265" s="114"/>
      <c r="R265" s="114"/>
      <c r="S265" s="16"/>
    </row>
    <row r="266" spans="1:19">
      <c r="A266" s="1097"/>
      <c r="B266" s="1098"/>
      <c r="C266" s="1098"/>
      <c r="D266" s="1098"/>
      <c r="E266" s="128" t="str">
        <f>Master!D21</f>
        <v>ASHOK LINGURAM GAIKWAD</v>
      </c>
      <c r="F266" s="19"/>
      <c r="G266" s="19"/>
      <c r="H266" s="19" t="str">
        <f>Master!G21</f>
        <v>M LINGRAM</v>
      </c>
      <c r="I266" s="16"/>
      <c r="K266" s="1097"/>
      <c r="L266" s="1098"/>
      <c r="M266" s="1098"/>
      <c r="N266" s="1098"/>
      <c r="O266" s="18" t="str">
        <f>E266</f>
        <v>ASHOK LINGURAM GAIKWAD</v>
      </c>
      <c r="P266" s="19"/>
      <c r="Q266" s="19"/>
      <c r="R266" s="19" t="str">
        <f>H266</f>
        <v>M LINGRAM</v>
      </c>
      <c r="S266" s="16"/>
    </row>
    <row r="267" spans="1:19">
      <c r="A267" s="17"/>
      <c r="B267" s="120"/>
      <c r="C267" s="120"/>
      <c r="D267" s="120"/>
      <c r="E267" s="120"/>
      <c r="F267" s="114"/>
      <c r="G267" s="114"/>
      <c r="H267" s="114"/>
      <c r="I267" s="16"/>
      <c r="K267" s="17"/>
      <c r="L267" s="120"/>
      <c r="M267" s="120"/>
      <c r="N267" s="120"/>
      <c r="O267" s="120"/>
      <c r="P267" s="114"/>
      <c r="Q267" s="114"/>
      <c r="R267" s="114"/>
      <c r="S267" s="16"/>
    </row>
    <row r="268" spans="1:19">
      <c r="A268" s="1101" t="s">
        <v>42</v>
      </c>
      <c r="B268" s="1099"/>
      <c r="C268" s="1099"/>
      <c r="D268" s="1099"/>
      <c r="E268" s="24" t="str">
        <f>Master!F8</f>
        <v>GARDENING SERVICES&amp;ISB HYDERABAD</v>
      </c>
      <c r="F268" s="19"/>
      <c r="G268" s="19"/>
      <c r="H268" s="19"/>
      <c r="I268" s="16"/>
      <c r="K268" s="1101" t="s">
        <v>42</v>
      </c>
      <c r="L268" s="1099"/>
      <c r="M268" s="1099"/>
      <c r="N268" s="1099"/>
      <c r="O268" s="24" t="str">
        <f>E268</f>
        <v>GARDENING SERVICES&amp;ISB HYDERABAD</v>
      </c>
      <c r="P268" s="19"/>
      <c r="Q268" s="19"/>
      <c r="R268" s="19"/>
      <c r="S268" s="16"/>
    </row>
    <row r="269" spans="1:19">
      <c r="A269" s="17"/>
      <c r="B269" s="120"/>
      <c r="C269" s="120"/>
      <c r="D269" s="120"/>
      <c r="E269" s="120"/>
      <c r="F269" s="114"/>
      <c r="G269" s="114"/>
      <c r="H269" s="114"/>
      <c r="I269" s="16"/>
      <c r="K269" s="17"/>
      <c r="L269" s="120"/>
      <c r="M269" s="120"/>
      <c r="N269" s="120"/>
      <c r="O269" s="120"/>
      <c r="P269" s="114"/>
      <c r="Q269" s="114"/>
      <c r="R269" s="114"/>
      <c r="S269" s="16"/>
    </row>
    <row r="270" spans="1:19">
      <c r="A270" s="1101" t="s">
        <v>43</v>
      </c>
      <c r="B270" s="1099"/>
      <c r="C270" s="1099"/>
      <c r="D270" s="1099"/>
      <c r="E270" s="20">
        <f>Master!F10</f>
        <v>44652</v>
      </c>
      <c r="F270" s="19"/>
      <c r="G270" s="19"/>
      <c r="H270" s="19"/>
      <c r="I270" s="16"/>
      <c r="K270" s="1101" t="s">
        <v>43</v>
      </c>
      <c r="L270" s="1099"/>
      <c r="M270" s="1099"/>
      <c r="N270" s="1099"/>
      <c r="O270" s="20">
        <f>E270</f>
        <v>44652</v>
      </c>
      <c r="P270" s="19"/>
      <c r="Q270" s="19"/>
      <c r="R270" s="19"/>
      <c r="S270" s="16"/>
    </row>
    <row r="271" spans="1:19">
      <c r="A271" s="17"/>
      <c r="B271" s="120"/>
      <c r="C271" s="120"/>
      <c r="D271" s="120"/>
      <c r="E271" s="120"/>
      <c r="F271" s="114"/>
      <c r="G271" s="114"/>
      <c r="H271" s="114"/>
      <c r="I271" s="16"/>
      <c r="K271" s="17"/>
      <c r="L271" s="120"/>
      <c r="M271" s="120"/>
      <c r="N271" s="120"/>
      <c r="O271" s="120"/>
      <c r="P271" s="114"/>
      <c r="Q271" s="114"/>
      <c r="R271" s="114"/>
      <c r="S271" s="16"/>
    </row>
    <row r="272" spans="1:19">
      <c r="A272" s="21">
        <v>1</v>
      </c>
      <c r="B272" s="1099" t="s">
        <v>44</v>
      </c>
      <c r="C272" s="1099"/>
      <c r="D272" s="1099"/>
      <c r="E272" s="22">
        <f>Master!AA21</f>
        <v>26</v>
      </c>
      <c r="F272" s="19"/>
      <c r="G272" s="19"/>
      <c r="H272" s="19"/>
      <c r="I272" s="16"/>
      <c r="K272" s="21">
        <v>1</v>
      </c>
      <c r="L272" s="1099" t="s">
        <v>44</v>
      </c>
      <c r="M272" s="1099"/>
      <c r="N272" s="1099"/>
      <c r="O272" s="22">
        <f>E272</f>
        <v>26</v>
      </c>
      <c r="P272" s="19"/>
      <c r="Q272" s="19"/>
      <c r="R272" s="19"/>
      <c r="S272" s="16"/>
    </row>
    <row r="273" spans="1:19">
      <c r="A273" s="21"/>
      <c r="B273" s="120"/>
      <c r="C273" s="120"/>
      <c r="D273" s="120"/>
      <c r="E273" s="120"/>
      <c r="F273" s="114"/>
      <c r="G273" s="114"/>
      <c r="H273" s="114"/>
      <c r="I273" s="16"/>
      <c r="K273" s="21"/>
      <c r="L273" s="120"/>
      <c r="M273" s="120"/>
      <c r="N273" s="120"/>
      <c r="O273" s="120"/>
      <c r="P273" s="114"/>
      <c r="Q273" s="114"/>
      <c r="R273" s="114"/>
      <c r="S273" s="16"/>
    </row>
    <row r="274" spans="1:19">
      <c r="A274" s="21">
        <v>2</v>
      </c>
      <c r="B274" s="1098" t="s">
        <v>45</v>
      </c>
      <c r="C274" s="1098"/>
      <c r="D274" s="1098"/>
      <c r="E274" s="120"/>
      <c r="F274" s="114"/>
      <c r="G274" s="114"/>
      <c r="H274" s="114"/>
      <c r="I274" s="16"/>
      <c r="K274" s="21">
        <v>2</v>
      </c>
      <c r="L274" s="1098" t="s">
        <v>45</v>
      </c>
      <c r="M274" s="1098"/>
      <c r="N274" s="1098"/>
      <c r="O274" s="120"/>
      <c r="P274" s="114"/>
      <c r="Q274" s="114"/>
      <c r="R274" s="114"/>
      <c r="S274" s="16"/>
    </row>
    <row r="275" spans="1:19">
      <c r="A275" s="21"/>
      <c r="B275" s="1098"/>
      <c r="C275" s="1098"/>
      <c r="D275" s="1098"/>
      <c r="E275" s="23" t="s">
        <v>28</v>
      </c>
      <c r="F275" s="19"/>
      <c r="G275" s="19"/>
      <c r="H275" s="19"/>
      <c r="I275" s="16"/>
      <c r="K275" s="21"/>
      <c r="L275" s="1098"/>
      <c r="M275" s="1098"/>
      <c r="N275" s="1098"/>
      <c r="O275" s="23" t="s">
        <v>28</v>
      </c>
      <c r="P275" s="19"/>
      <c r="Q275" s="19"/>
      <c r="R275" s="19"/>
      <c r="S275" s="16"/>
    </row>
    <row r="276" spans="1:19">
      <c r="A276" s="21"/>
      <c r="B276" s="120"/>
      <c r="C276" s="120"/>
      <c r="D276" s="120"/>
      <c r="E276" s="120"/>
      <c r="F276" s="114"/>
      <c r="G276" s="114"/>
      <c r="H276" s="114"/>
      <c r="I276" s="16"/>
      <c r="K276" s="21"/>
      <c r="L276" s="120"/>
      <c r="M276" s="120"/>
      <c r="N276" s="120"/>
      <c r="O276" s="120"/>
      <c r="P276" s="114"/>
      <c r="Q276" s="114"/>
      <c r="R276" s="114"/>
      <c r="S276" s="16"/>
    </row>
    <row r="277" spans="1:19">
      <c r="A277" s="21">
        <v>3</v>
      </c>
      <c r="B277" s="1099" t="s">
        <v>46</v>
      </c>
      <c r="C277" s="1099"/>
      <c r="D277" s="1099"/>
      <c r="E277" s="23" t="s">
        <v>28</v>
      </c>
      <c r="F277" s="19"/>
      <c r="G277" s="19"/>
      <c r="H277" s="19"/>
      <c r="I277" s="16"/>
      <c r="K277" s="21">
        <v>3</v>
      </c>
      <c r="L277" s="1099" t="s">
        <v>46</v>
      </c>
      <c r="M277" s="1099"/>
      <c r="N277" s="1099"/>
      <c r="O277" s="18" t="str">
        <f>E277</f>
        <v>N/A</v>
      </c>
      <c r="P277" s="19"/>
      <c r="Q277" s="19"/>
      <c r="R277" s="19"/>
      <c r="S277" s="16"/>
    </row>
    <row r="278" spans="1:19">
      <c r="A278" s="21"/>
      <c r="B278" s="120"/>
      <c r="C278" s="120"/>
      <c r="D278" s="120"/>
      <c r="E278" s="120"/>
      <c r="F278" s="114"/>
      <c r="G278" s="114"/>
      <c r="H278" s="114"/>
      <c r="I278" s="16"/>
      <c r="K278" s="21"/>
      <c r="L278" s="120"/>
      <c r="M278" s="120"/>
      <c r="N278" s="120"/>
      <c r="O278" s="120"/>
      <c r="P278" s="114"/>
      <c r="Q278" s="114"/>
      <c r="R278" s="114"/>
      <c r="S278" s="16"/>
    </row>
    <row r="279" spans="1:19">
      <c r="A279" s="21">
        <v>4</v>
      </c>
      <c r="B279" s="1099" t="s">
        <v>47</v>
      </c>
      <c r="C279" s="1099"/>
      <c r="D279" s="1099"/>
      <c r="E279" s="23" t="s">
        <v>48</v>
      </c>
      <c r="F279" s="19"/>
      <c r="G279" s="19"/>
      <c r="H279" s="19"/>
      <c r="I279" s="16"/>
      <c r="K279" s="21">
        <v>4</v>
      </c>
      <c r="L279" s="1099" t="s">
        <v>47</v>
      </c>
      <c r="M279" s="1099"/>
      <c r="N279" s="1099"/>
      <c r="O279" s="23" t="s">
        <v>48</v>
      </c>
      <c r="P279" s="19"/>
      <c r="Q279" s="19"/>
      <c r="R279" s="19"/>
      <c r="S279" s="16"/>
    </row>
    <row r="280" spans="1:19">
      <c r="A280" s="21"/>
      <c r="B280" s="120"/>
      <c r="C280" s="120"/>
      <c r="D280" s="120"/>
      <c r="E280" s="120"/>
      <c r="F280" s="114"/>
      <c r="G280" s="114"/>
      <c r="H280" s="114"/>
      <c r="I280" s="16"/>
      <c r="K280" s="21"/>
      <c r="L280" s="120"/>
      <c r="M280" s="120"/>
      <c r="N280" s="120"/>
      <c r="O280" s="120"/>
      <c r="P280" s="114"/>
      <c r="Q280" s="114"/>
      <c r="R280" s="114"/>
      <c r="S280" s="16"/>
    </row>
    <row r="281" spans="1:19">
      <c r="A281" s="21">
        <v>5</v>
      </c>
      <c r="B281" s="1099" t="s">
        <v>49</v>
      </c>
      <c r="C281" s="1099"/>
      <c r="D281" s="1099"/>
      <c r="E281" s="24">
        <f>Master!AK21</f>
        <v>9932.4666666666653</v>
      </c>
      <c r="F281" s="19"/>
      <c r="G281" s="19"/>
      <c r="H281" s="19"/>
      <c r="I281" s="16"/>
      <c r="K281" s="21">
        <v>5</v>
      </c>
      <c r="L281" s="1099" t="s">
        <v>49</v>
      </c>
      <c r="M281" s="1099"/>
      <c r="N281" s="1099"/>
      <c r="O281" s="24">
        <f>E281</f>
        <v>9932.4666666666653</v>
      </c>
      <c r="P281" s="19"/>
      <c r="Q281" s="19"/>
      <c r="R281" s="19"/>
      <c r="S281" s="16"/>
    </row>
    <row r="282" spans="1:19">
      <c r="A282" s="21"/>
      <c r="B282" s="120"/>
      <c r="C282" s="120"/>
      <c r="D282" s="238" t="s">
        <v>50</v>
      </c>
      <c r="E282" s="238" t="s">
        <v>23</v>
      </c>
      <c r="F282" s="136" t="s">
        <v>25</v>
      </c>
      <c r="G282" s="238" t="s">
        <v>26</v>
      </c>
      <c r="H282" s="238" t="s">
        <v>202</v>
      </c>
      <c r="I282" s="126" t="s">
        <v>51</v>
      </c>
      <c r="K282" s="21"/>
      <c r="L282" s="120"/>
      <c r="M282" s="120"/>
      <c r="N282" s="238" t="s">
        <v>50</v>
      </c>
      <c r="O282" s="238" t="s">
        <v>23</v>
      </c>
      <c r="P282" s="136" t="s">
        <v>25</v>
      </c>
      <c r="Q282" s="238" t="s">
        <v>26</v>
      </c>
      <c r="R282" s="238" t="str">
        <f>H282</f>
        <v>ADV</v>
      </c>
      <c r="S282" s="126" t="s">
        <v>51</v>
      </c>
    </row>
    <row r="283" spans="1:19">
      <c r="A283" s="21">
        <v>6</v>
      </c>
      <c r="B283" s="377" t="s">
        <v>52</v>
      </c>
      <c r="C283" s="377"/>
      <c r="D283" s="335">
        <f>Master!AM21</f>
        <v>1192</v>
      </c>
      <c r="E283" s="335">
        <f>Master!AL21</f>
        <v>75</v>
      </c>
      <c r="F283" s="180">
        <f>Master!AN21</f>
        <v>0</v>
      </c>
      <c r="G283" s="180">
        <f>Master!AO21</f>
        <v>0</v>
      </c>
      <c r="H283" s="180">
        <f>Master!AP21</f>
        <v>0</v>
      </c>
      <c r="I283" s="127">
        <f>D283+E283+F283+G283+H283</f>
        <v>1267</v>
      </c>
      <c r="K283" s="21">
        <v>6</v>
      </c>
      <c r="L283" s="377" t="s">
        <v>52</v>
      </c>
      <c r="M283" s="377"/>
      <c r="N283" s="335">
        <f>D283</f>
        <v>1192</v>
      </c>
      <c r="O283" s="335">
        <f>E283</f>
        <v>75</v>
      </c>
      <c r="P283" s="180">
        <f>F283</f>
        <v>0</v>
      </c>
      <c r="Q283" s="180">
        <f>G283</f>
        <v>0</v>
      </c>
      <c r="R283" s="180">
        <f>H283</f>
        <v>0</v>
      </c>
      <c r="S283" s="127">
        <f>N283+O283+R283</f>
        <v>1267</v>
      </c>
    </row>
    <row r="284" spans="1:19">
      <c r="A284" s="21"/>
      <c r="B284" s="120"/>
      <c r="C284" s="120"/>
      <c r="D284" s="120"/>
      <c r="E284" s="120"/>
      <c r="F284" s="114"/>
      <c r="G284" s="114"/>
      <c r="H284" s="114"/>
      <c r="I284" s="16"/>
      <c r="K284" s="21"/>
      <c r="L284" s="120"/>
      <c r="M284" s="120"/>
      <c r="N284" s="120"/>
      <c r="O284" s="120"/>
      <c r="P284" s="114"/>
      <c r="Q284" s="114"/>
      <c r="R284" s="114"/>
      <c r="S284" s="16"/>
    </row>
    <row r="285" spans="1:19">
      <c r="A285" s="21">
        <v>7</v>
      </c>
      <c r="B285" s="1099" t="s">
        <v>53</v>
      </c>
      <c r="C285" s="1099"/>
      <c r="D285" s="1099"/>
      <c r="E285" s="24">
        <f>E281-I283</f>
        <v>8665.4666666666653</v>
      </c>
      <c r="F285" s="19"/>
      <c r="G285" s="19"/>
      <c r="H285" s="19"/>
      <c r="I285" s="16"/>
      <c r="K285" s="21">
        <v>7</v>
      </c>
      <c r="L285" s="1099" t="s">
        <v>53</v>
      </c>
      <c r="M285" s="1099"/>
      <c r="N285" s="1099"/>
      <c r="O285" s="24">
        <f>E285</f>
        <v>8665.4666666666653</v>
      </c>
      <c r="P285" s="19"/>
      <c r="Q285" s="19"/>
      <c r="R285" s="19"/>
      <c r="S285" s="16"/>
    </row>
    <row r="286" spans="1:19">
      <c r="A286" s="15"/>
      <c r="B286" s="114"/>
      <c r="C286" s="114"/>
      <c r="D286" s="114"/>
      <c r="E286" s="114"/>
      <c r="F286" s="114"/>
      <c r="G286" s="114"/>
      <c r="H286" s="114"/>
      <c r="I286" s="16"/>
      <c r="K286" s="15"/>
      <c r="L286" s="114"/>
      <c r="M286" s="114"/>
      <c r="N286" s="114"/>
      <c r="O286" s="114"/>
      <c r="P286" s="114"/>
      <c r="Q286" s="114"/>
      <c r="R286" s="114"/>
      <c r="S286" s="16"/>
    </row>
    <row r="287" spans="1:19">
      <c r="A287" s="15"/>
      <c r="B287" s="114"/>
      <c r="C287" s="114"/>
      <c r="D287" s="114"/>
      <c r="E287" s="114"/>
      <c r="F287" s="114"/>
      <c r="G287" s="114"/>
      <c r="H287" s="114"/>
      <c r="I287" s="16"/>
      <c r="K287" s="15"/>
      <c r="L287" s="114"/>
      <c r="M287" s="114"/>
      <c r="N287" s="114"/>
      <c r="O287" s="114"/>
      <c r="P287" s="114"/>
      <c r="Q287" s="114"/>
      <c r="R287" s="114"/>
      <c r="S287" s="16"/>
    </row>
    <row r="288" spans="1:19" ht="15" thickBot="1">
      <c r="A288" s="15"/>
      <c r="B288" s="114"/>
      <c r="C288" s="114"/>
      <c r="D288" s="114"/>
      <c r="E288" s="114"/>
      <c r="F288" s="25"/>
      <c r="G288" s="25"/>
      <c r="H288" s="25"/>
      <c r="I288" s="26"/>
      <c r="K288" s="15"/>
      <c r="L288" s="114"/>
      <c r="M288" s="114"/>
      <c r="N288" s="114"/>
      <c r="O288" s="114"/>
      <c r="P288" s="25"/>
      <c r="Q288" s="25"/>
      <c r="R288" s="25"/>
      <c r="S288" s="26"/>
    </row>
    <row r="289" spans="1:19" ht="15" thickBot="1">
      <c r="A289" s="27"/>
      <c r="B289" s="25"/>
      <c r="C289" s="25"/>
      <c r="D289" s="25"/>
      <c r="E289" s="999" t="s">
        <v>54</v>
      </c>
      <c r="F289" s="999"/>
      <c r="G289" s="999"/>
      <c r="H289" s="999"/>
      <c r="I289" s="1100"/>
      <c r="K289" s="27"/>
      <c r="L289" s="25"/>
      <c r="M289" s="25"/>
      <c r="N289" s="25"/>
      <c r="O289" s="28" t="s">
        <v>54</v>
      </c>
      <c r="P289" s="25"/>
      <c r="Q289" s="28"/>
      <c r="R289" s="28"/>
      <c r="S289" s="29"/>
    </row>
    <row r="290" spans="1:19">
      <c r="A290" s="114"/>
      <c r="B290" s="114"/>
      <c r="C290" s="114"/>
      <c r="D290" s="114"/>
      <c r="E290" s="325"/>
      <c r="F290" s="325"/>
      <c r="G290" s="325"/>
      <c r="H290" s="325"/>
      <c r="I290" s="325"/>
      <c r="K290" s="114"/>
      <c r="L290" s="114"/>
      <c r="M290" s="114"/>
      <c r="N290" s="114"/>
      <c r="O290" s="114"/>
      <c r="P290" s="114"/>
      <c r="Q290" s="114"/>
      <c r="R290" s="114"/>
      <c r="S290" s="114"/>
    </row>
    <row r="291" spans="1:19">
      <c r="A291" s="114"/>
      <c r="B291" s="114"/>
      <c r="C291" s="114"/>
      <c r="D291" s="114"/>
      <c r="E291" s="325"/>
      <c r="F291" s="325"/>
      <c r="G291" s="325"/>
      <c r="H291" s="325"/>
      <c r="I291" s="325"/>
      <c r="K291" s="114"/>
      <c r="L291" s="114"/>
      <c r="M291" s="114"/>
      <c r="N291" s="114"/>
      <c r="O291" s="114"/>
      <c r="P291" s="114"/>
      <c r="Q291" s="114"/>
      <c r="R291" s="114"/>
      <c r="S291" s="114"/>
    </row>
    <row r="292" spans="1:19">
      <c r="A292" s="114"/>
      <c r="B292" s="114"/>
      <c r="C292" s="114"/>
      <c r="D292" s="114"/>
      <c r="E292" s="325"/>
      <c r="F292" s="325"/>
      <c r="G292" s="325"/>
      <c r="H292" s="325"/>
      <c r="I292" s="325"/>
      <c r="K292" s="114"/>
      <c r="L292" s="114"/>
      <c r="M292" s="114"/>
      <c r="N292" s="114"/>
      <c r="O292" s="114"/>
      <c r="P292" s="114"/>
      <c r="Q292" s="114"/>
      <c r="R292" s="114"/>
      <c r="S292" s="114"/>
    </row>
    <row r="293" spans="1:19">
      <c r="A293" s="114"/>
      <c r="B293" s="114"/>
      <c r="C293" s="114"/>
      <c r="D293" s="114"/>
      <c r="E293" s="325"/>
      <c r="F293" s="325"/>
      <c r="G293" s="325"/>
      <c r="H293" s="325"/>
      <c r="I293" s="325"/>
      <c r="K293" s="114"/>
      <c r="L293" s="114"/>
      <c r="M293" s="114"/>
      <c r="N293" s="114"/>
      <c r="O293" s="114"/>
      <c r="P293" s="114"/>
      <c r="Q293" s="114"/>
      <c r="R293" s="114"/>
      <c r="S293" s="114"/>
    </row>
    <row r="294" spans="1:19">
      <c r="A294" s="114"/>
      <c r="B294" s="114"/>
      <c r="C294" s="114"/>
      <c r="D294" s="114"/>
      <c r="E294" s="325"/>
      <c r="F294" s="325"/>
      <c r="G294" s="325"/>
      <c r="H294" s="325"/>
      <c r="I294" s="325"/>
      <c r="K294" s="114"/>
      <c r="L294" s="114"/>
      <c r="M294" s="114"/>
      <c r="N294" s="114"/>
      <c r="O294" s="114"/>
      <c r="P294" s="114"/>
      <c r="Q294" s="114"/>
      <c r="R294" s="114"/>
      <c r="S294" s="114"/>
    </row>
    <row r="295" spans="1:19">
      <c r="A295" s="114"/>
      <c r="B295" s="114"/>
      <c r="C295" s="114"/>
      <c r="D295" s="114"/>
      <c r="E295" s="325"/>
      <c r="F295" s="325"/>
      <c r="G295" s="325"/>
      <c r="H295" s="325"/>
      <c r="I295" s="325"/>
      <c r="K295" s="114"/>
      <c r="L295" s="114"/>
      <c r="M295" s="114"/>
      <c r="N295" s="114"/>
      <c r="O295" s="114"/>
      <c r="P295" s="114"/>
      <c r="Q295" s="114"/>
      <c r="R295" s="114"/>
      <c r="S295" s="114"/>
    </row>
    <row r="296" spans="1:19">
      <c r="A296" s="114"/>
      <c r="B296" s="114"/>
      <c r="C296" s="114"/>
      <c r="D296" s="114"/>
      <c r="E296" s="325"/>
      <c r="F296" s="325"/>
      <c r="G296" s="325"/>
      <c r="H296" s="325"/>
      <c r="I296" s="325"/>
      <c r="K296" s="114"/>
      <c r="L296" s="114"/>
      <c r="M296" s="114"/>
      <c r="N296" s="114"/>
      <c r="O296" s="114"/>
      <c r="P296" s="114"/>
      <c r="Q296" s="114"/>
      <c r="R296" s="114"/>
      <c r="S296" s="114"/>
    </row>
    <row r="297" spans="1:19">
      <c r="A297" s="114"/>
      <c r="B297" s="114"/>
      <c r="C297" s="114"/>
      <c r="D297" s="114"/>
      <c r="E297" s="325"/>
      <c r="F297" s="325"/>
      <c r="G297" s="325"/>
      <c r="H297" s="325"/>
      <c r="I297" s="325"/>
      <c r="K297" s="114"/>
      <c r="L297" s="114"/>
      <c r="M297" s="114"/>
      <c r="N297" s="114"/>
      <c r="O297" s="114"/>
      <c r="P297" s="114"/>
      <c r="Q297" s="114"/>
      <c r="R297" s="114"/>
      <c r="S297" s="114"/>
    </row>
    <row r="298" spans="1:19">
      <c r="A298" s="114"/>
      <c r="B298" s="114"/>
      <c r="C298" s="114"/>
      <c r="D298" s="114"/>
      <c r="E298" s="325"/>
      <c r="F298" s="325"/>
      <c r="G298" s="325"/>
      <c r="H298" s="325"/>
      <c r="I298" s="325"/>
      <c r="K298" s="114"/>
      <c r="L298" s="114"/>
      <c r="M298" s="114"/>
      <c r="N298" s="114"/>
      <c r="O298" s="114"/>
      <c r="P298" s="114"/>
      <c r="Q298" s="114"/>
      <c r="R298" s="114"/>
      <c r="S298" s="114"/>
    </row>
    <row r="299" spans="1:19">
      <c r="A299" s="114"/>
      <c r="B299" s="114"/>
      <c r="C299" s="114"/>
      <c r="D299" s="114"/>
      <c r="E299" s="325"/>
      <c r="F299" s="325"/>
      <c r="G299" s="325"/>
      <c r="H299" s="325"/>
      <c r="I299" s="325"/>
      <c r="K299" s="114"/>
      <c r="L299" s="114"/>
      <c r="M299" s="114"/>
      <c r="N299" s="114"/>
      <c r="O299" s="114"/>
      <c r="P299" s="114"/>
      <c r="Q299" s="114"/>
      <c r="R299" s="114"/>
      <c r="S299" s="114"/>
    </row>
    <row r="300" spans="1:19">
      <c r="A300" s="114"/>
      <c r="B300" s="114"/>
      <c r="C300" s="114"/>
      <c r="D300" s="114"/>
      <c r="E300" s="325"/>
      <c r="F300" s="325"/>
      <c r="G300" s="325"/>
      <c r="H300" s="325"/>
      <c r="I300" s="325"/>
      <c r="K300" s="114"/>
      <c r="L300" s="114"/>
      <c r="M300" s="114"/>
      <c r="N300" s="114"/>
      <c r="O300" s="114"/>
      <c r="P300" s="114"/>
      <c r="Q300" s="114"/>
      <c r="R300" s="114"/>
      <c r="S300" s="114"/>
    </row>
    <row r="301" spans="1:19" ht="15" thickBot="1"/>
    <row r="302" spans="1:19" ht="24.6">
      <c r="A302" s="1091" t="s">
        <v>39</v>
      </c>
      <c r="B302" s="1092"/>
      <c r="C302" s="1092"/>
      <c r="D302" s="1092"/>
      <c r="E302" s="1092"/>
      <c r="F302" s="1092"/>
      <c r="G302" s="1092"/>
      <c r="H302" s="1092"/>
      <c r="I302" s="1093"/>
      <c r="K302" s="1091" t="s">
        <v>39</v>
      </c>
      <c r="L302" s="1092"/>
      <c r="M302" s="1092"/>
      <c r="N302" s="1092"/>
      <c r="O302" s="1092"/>
      <c r="P302" s="1092"/>
      <c r="Q302" s="1092"/>
      <c r="R302" s="1092"/>
      <c r="S302" s="1093"/>
    </row>
    <row r="303" spans="1:19">
      <c r="A303" s="1094" t="s">
        <v>1075</v>
      </c>
      <c r="B303" s="1095"/>
      <c r="C303" s="1095"/>
      <c r="D303" s="1095"/>
      <c r="E303" s="1095"/>
      <c r="F303" s="1095"/>
      <c r="G303" s="1095"/>
      <c r="H303" s="1095"/>
      <c r="I303" s="1096"/>
      <c r="K303" s="1094" t="str">
        <f>A303</f>
        <v>[Vide rule 78 (1) (b) of the Contract Labour (Regulation and Abolition) Central and A.P.{T.S.}Rules, 1971]</v>
      </c>
      <c r="L303" s="1095"/>
      <c r="M303" s="1095"/>
      <c r="N303" s="1095"/>
      <c r="O303" s="1095"/>
      <c r="P303" s="1095"/>
      <c r="Q303" s="1095"/>
      <c r="R303" s="1095"/>
      <c r="S303" s="1096"/>
    </row>
    <row r="304" spans="1:19">
      <c r="A304" s="15"/>
      <c r="B304" s="114"/>
      <c r="C304" s="114"/>
      <c r="D304" s="114"/>
      <c r="E304" s="114"/>
      <c r="F304" s="114"/>
      <c r="G304" s="114"/>
      <c r="H304" s="114"/>
      <c r="I304" s="16"/>
      <c r="K304" s="15"/>
      <c r="L304" s="114"/>
      <c r="M304" s="114"/>
      <c r="N304" s="114"/>
      <c r="O304" s="114"/>
      <c r="P304" s="114"/>
      <c r="Q304" s="114"/>
      <c r="R304" s="114"/>
      <c r="S304" s="16"/>
    </row>
    <row r="305" spans="1:19">
      <c r="A305" s="17" t="s">
        <v>40</v>
      </c>
      <c r="B305" s="120"/>
      <c r="C305" s="120"/>
      <c r="D305" s="121" t="str">
        <f>Master!F5</f>
        <v>GROTECH LANDSCAPE DEVELOPERS PVT. LTD.</v>
      </c>
      <c r="E305" s="114"/>
      <c r="F305" s="114"/>
      <c r="G305" s="114"/>
      <c r="H305" s="114"/>
      <c r="I305" s="16"/>
      <c r="K305" s="17" t="s">
        <v>40</v>
      </c>
      <c r="L305" s="120"/>
      <c r="M305" s="120"/>
      <c r="N305" s="121" t="str">
        <f>D305</f>
        <v>GROTECH LANDSCAPE DEVELOPERS PVT. LTD.</v>
      </c>
      <c r="O305" s="114"/>
      <c r="P305" s="114"/>
      <c r="Q305" s="114"/>
      <c r="R305" s="114"/>
      <c r="S305" s="16"/>
    </row>
    <row r="306" spans="1:19">
      <c r="A306" s="17"/>
      <c r="B306" s="120" t="str">
        <f>Master!F6</f>
        <v>290/E, Khanapur Village, Gandipet Mandal, Ranga Reddy, Hyderabad-500075 T.S.</v>
      </c>
      <c r="C306" s="120"/>
      <c r="D306" s="114"/>
      <c r="E306" s="114"/>
      <c r="F306" s="114"/>
      <c r="G306" s="114"/>
      <c r="H306" s="114"/>
      <c r="I306" s="16"/>
      <c r="K306" s="17"/>
      <c r="L306" s="120" t="str">
        <f>B306</f>
        <v>290/E, Khanapur Village, Gandipet Mandal, Ranga Reddy, Hyderabad-500075 T.S.</v>
      </c>
      <c r="M306" s="120"/>
      <c r="N306" s="114"/>
      <c r="O306" s="114"/>
      <c r="P306" s="114"/>
      <c r="Q306" s="114"/>
      <c r="R306" s="114"/>
      <c r="S306" s="16"/>
    </row>
    <row r="307" spans="1:19">
      <c r="A307" s="17"/>
      <c r="B307" s="120"/>
      <c r="C307" s="120"/>
      <c r="D307" s="120"/>
      <c r="E307" s="120"/>
      <c r="F307" s="114"/>
      <c r="G307" s="114"/>
      <c r="H307" s="114"/>
      <c r="I307" s="16"/>
      <c r="K307" s="17"/>
      <c r="L307" s="120"/>
      <c r="M307" s="120"/>
      <c r="N307" s="120"/>
      <c r="O307" s="120"/>
      <c r="P307" s="114"/>
      <c r="Q307" s="114"/>
      <c r="R307" s="114"/>
      <c r="S307" s="16"/>
    </row>
    <row r="308" spans="1:19">
      <c r="A308" s="1097" t="s">
        <v>41</v>
      </c>
      <c r="B308" s="1098"/>
      <c r="C308" s="1098"/>
      <c r="D308" s="1098"/>
      <c r="E308" s="120"/>
      <c r="F308" s="114"/>
      <c r="G308" s="114"/>
      <c r="H308" s="114"/>
      <c r="I308" s="16"/>
      <c r="K308" s="1097" t="s">
        <v>41</v>
      </c>
      <c r="L308" s="1098"/>
      <c r="M308" s="1098"/>
      <c r="N308" s="1098"/>
      <c r="O308" s="120"/>
      <c r="P308" s="114"/>
      <c r="Q308" s="114"/>
      <c r="R308" s="114"/>
      <c r="S308" s="16"/>
    </row>
    <row r="309" spans="1:19">
      <c r="A309" s="1097"/>
      <c r="B309" s="1098"/>
      <c r="C309" s="1098"/>
      <c r="D309" s="1098"/>
      <c r="E309" s="128" t="str">
        <f>Master!D22</f>
        <v>MADHUKAR KAMTAM</v>
      </c>
      <c r="F309" s="19"/>
      <c r="G309" s="19"/>
      <c r="H309" s="19" t="str">
        <f>Master!G22</f>
        <v>KAMTAM KISHAN</v>
      </c>
      <c r="I309" s="16"/>
      <c r="K309" s="1097"/>
      <c r="L309" s="1098"/>
      <c r="M309" s="1098"/>
      <c r="N309" s="1098"/>
      <c r="O309" s="18" t="str">
        <f>E309</f>
        <v>MADHUKAR KAMTAM</v>
      </c>
      <c r="P309" s="19"/>
      <c r="Q309" s="19"/>
      <c r="R309" s="19" t="str">
        <f>H309</f>
        <v>KAMTAM KISHAN</v>
      </c>
      <c r="S309" s="16"/>
    </row>
    <row r="310" spans="1:19">
      <c r="A310" s="17"/>
      <c r="B310" s="120"/>
      <c r="C310" s="120"/>
      <c r="D310" s="120"/>
      <c r="E310" s="120"/>
      <c r="F310" s="114"/>
      <c r="G310" s="114"/>
      <c r="H310" s="114"/>
      <c r="I310" s="16"/>
      <c r="K310" s="17"/>
      <c r="L310" s="120"/>
      <c r="M310" s="120"/>
      <c r="N310" s="120"/>
      <c r="O310" s="120"/>
      <c r="P310" s="114"/>
      <c r="Q310" s="114"/>
      <c r="R310" s="114"/>
      <c r="S310" s="16"/>
    </row>
    <row r="311" spans="1:19">
      <c r="A311" s="1101" t="s">
        <v>42</v>
      </c>
      <c r="B311" s="1099"/>
      <c r="C311" s="1099"/>
      <c r="D311" s="1099"/>
      <c r="E311" s="24" t="str">
        <f>Master!F8</f>
        <v>GARDENING SERVICES&amp;ISB HYDERABAD</v>
      </c>
      <c r="F311" s="19"/>
      <c r="G311" s="19"/>
      <c r="H311" s="19"/>
      <c r="I311" s="16"/>
      <c r="K311" s="1101" t="s">
        <v>42</v>
      </c>
      <c r="L311" s="1099"/>
      <c r="M311" s="1099"/>
      <c r="N311" s="1099"/>
      <c r="O311" s="24" t="str">
        <f>E311</f>
        <v>GARDENING SERVICES&amp;ISB HYDERABAD</v>
      </c>
      <c r="P311" s="19"/>
      <c r="Q311" s="19"/>
      <c r="R311" s="19"/>
      <c r="S311" s="16"/>
    </row>
    <row r="312" spans="1:19">
      <c r="A312" s="17"/>
      <c r="B312" s="120"/>
      <c r="C312" s="120"/>
      <c r="D312" s="120"/>
      <c r="E312" s="120"/>
      <c r="F312" s="114"/>
      <c r="G312" s="114"/>
      <c r="H312" s="114"/>
      <c r="I312" s="16"/>
      <c r="K312" s="17"/>
      <c r="L312" s="120"/>
      <c r="M312" s="120"/>
      <c r="N312" s="120"/>
      <c r="O312" s="120"/>
      <c r="P312" s="114"/>
      <c r="Q312" s="114"/>
      <c r="R312" s="114"/>
      <c r="S312" s="16"/>
    </row>
    <row r="313" spans="1:19">
      <c r="A313" s="1101" t="s">
        <v>43</v>
      </c>
      <c r="B313" s="1099"/>
      <c r="C313" s="1099"/>
      <c r="D313" s="1099"/>
      <c r="E313" s="20">
        <f>Master!F10</f>
        <v>44652</v>
      </c>
      <c r="F313" s="19"/>
      <c r="G313" s="19"/>
      <c r="H313" s="19"/>
      <c r="I313" s="16"/>
      <c r="K313" s="1101" t="s">
        <v>43</v>
      </c>
      <c r="L313" s="1099"/>
      <c r="M313" s="1099"/>
      <c r="N313" s="1099"/>
      <c r="O313" s="20">
        <f>E313</f>
        <v>44652</v>
      </c>
      <c r="P313" s="19"/>
      <c r="Q313" s="19"/>
      <c r="R313" s="19"/>
      <c r="S313" s="16"/>
    </row>
    <row r="314" spans="1:19">
      <c r="A314" s="17"/>
      <c r="B314" s="120"/>
      <c r="C314" s="120"/>
      <c r="D314" s="120"/>
      <c r="E314" s="120"/>
      <c r="F314" s="114"/>
      <c r="G314" s="114"/>
      <c r="H314" s="114"/>
      <c r="I314" s="16"/>
      <c r="K314" s="17"/>
      <c r="L314" s="120"/>
      <c r="M314" s="120"/>
      <c r="N314" s="120"/>
      <c r="O314" s="120"/>
      <c r="P314" s="114"/>
      <c r="Q314" s="114"/>
      <c r="R314" s="114"/>
      <c r="S314" s="16"/>
    </row>
    <row r="315" spans="1:19">
      <c r="A315" s="21">
        <v>1</v>
      </c>
      <c r="B315" s="1099" t="s">
        <v>44</v>
      </c>
      <c r="C315" s="1099"/>
      <c r="D315" s="1099"/>
      <c r="E315" s="22">
        <f>Master!AA22</f>
        <v>26</v>
      </c>
      <c r="F315" s="19"/>
      <c r="G315" s="19"/>
      <c r="H315" s="19"/>
      <c r="I315" s="16"/>
      <c r="K315" s="21">
        <v>1</v>
      </c>
      <c r="L315" s="1099" t="s">
        <v>44</v>
      </c>
      <c r="M315" s="1099"/>
      <c r="N315" s="1099"/>
      <c r="O315" s="22">
        <f>E315</f>
        <v>26</v>
      </c>
      <c r="P315" s="19"/>
      <c r="Q315" s="19"/>
      <c r="R315" s="19"/>
      <c r="S315" s="16"/>
    </row>
    <row r="316" spans="1:19">
      <c r="A316" s="21"/>
      <c r="B316" s="120"/>
      <c r="C316" s="120"/>
      <c r="D316" s="120"/>
      <c r="E316" s="120"/>
      <c r="F316" s="114"/>
      <c r="G316" s="114"/>
      <c r="H316" s="114"/>
      <c r="I316" s="16"/>
      <c r="K316" s="21"/>
      <c r="L316" s="120"/>
      <c r="M316" s="120"/>
      <c r="N316" s="120"/>
      <c r="O316" s="120"/>
      <c r="P316" s="114"/>
      <c r="Q316" s="114"/>
      <c r="R316" s="114"/>
      <c r="S316" s="16"/>
    </row>
    <row r="317" spans="1:19">
      <c r="A317" s="21">
        <v>2</v>
      </c>
      <c r="B317" s="1098" t="s">
        <v>45</v>
      </c>
      <c r="C317" s="1098"/>
      <c r="D317" s="1098"/>
      <c r="E317" s="120"/>
      <c r="F317" s="114"/>
      <c r="G317" s="114"/>
      <c r="H317" s="114"/>
      <c r="I317" s="16"/>
      <c r="K317" s="21">
        <v>2</v>
      </c>
      <c r="L317" s="1098" t="s">
        <v>45</v>
      </c>
      <c r="M317" s="1098"/>
      <c r="N317" s="1098"/>
      <c r="O317" s="120"/>
      <c r="P317" s="114"/>
      <c r="Q317" s="114"/>
      <c r="R317" s="114"/>
      <c r="S317" s="16"/>
    </row>
    <row r="318" spans="1:19">
      <c r="A318" s="21"/>
      <c r="B318" s="1098"/>
      <c r="C318" s="1098"/>
      <c r="D318" s="1098"/>
      <c r="E318" s="23" t="s">
        <v>28</v>
      </c>
      <c r="F318" s="19"/>
      <c r="G318" s="19"/>
      <c r="H318" s="19"/>
      <c r="I318" s="16"/>
      <c r="K318" s="21"/>
      <c r="L318" s="1098"/>
      <c r="M318" s="1098"/>
      <c r="N318" s="1098"/>
      <c r="O318" s="23" t="s">
        <v>28</v>
      </c>
      <c r="P318" s="19"/>
      <c r="Q318" s="19"/>
      <c r="R318" s="19"/>
      <c r="S318" s="16"/>
    </row>
    <row r="319" spans="1:19">
      <c r="A319" s="21"/>
      <c r="B319" s="120"/>
      <c r="C319" s="120"/>
      <c r="D319" s="120"/>
      <c r="E319" s="120"/>
      <c r="F319" s="114"/>
      <c r="G319" s="114"/>
      <c r="H319" s="114"/>
      <c r="I319" s="16"/>
      <c r="K319" s="21"/>
      <c r="L319" s="120"/>
      <c r="M319" s="120"/>
      <c r="N319" s="120"/>
      <c r="O319" s="120"/>
      <c r="P319" s="114"/>
      <c r="Q319" s="114"/>
      <c r="R319" s="114"/>
      <c r="S319" s="16"/>
    </row>
    <row r="320" spans="1:19">
      <c r="A320" s="21">
        <v>3</v>
      </c>
      <c r="B320" s="1099" t="s">
        <v>46</v>
      </c>
      <c r="C320" s="1099"/>
      <c r="D320" s="1099"/>
      <c r="E320" s="23" t="s">
        <v>28</v>
      </c>
      <c r="F320" s="19"/>
      <c r="G320" s="19"/>
      <c r="H320" s="19"/>
      <c r="I320" s="16"/>
      <c r="K320" s="21">
        <v>3</v>
      </c>
      <c r="L320" s="1099" t="s">
        <v>46</v>
      </c>
      <c r="M320" s="1099"/>
      <c r="N320" s="1099"/>
      <c r="O320" s="18" t="str">
        <f>E320</f>
        <v>N/A</v>
      </c>
      <c r="P320" s="19"/>
      <c r="Q320" s="19"/>
      <c r="R320" s="19"/>
      <c r="S320" s="16"/>
    </row>
    <row r="321" spans="1:19">
      <c r="A321" s="21"/>
      <c r="B321" s="120"/>
      <c r="C321" s="120"/>
      <c r="D321" s="120"/>
      <c r="E321" s="120"/>
      <c r="F321" s="114"/>
      <c r="G321" s="114"/>
      <c r="H321" s="114"/>
      <c r="I321" s="16"/>
      <c r="K321" s="21"/>
      <c r="L321" s="120"/>
      <c r="M321" s="120"/>
      <c r="N321" s="120"/>
      <c r="O321" s="120"/>
      <c r="P321" s="114"/>
      <c r="Q321" s="114"/>
      <c r="R321" s="114"/>
      <c r="S321" s="16"/>
    </row>
    <row r="322" spans="1:19">
      <c r="A322" s="21">
        <v>4</v>
      </c>
      <c r="B322" s="1099" t="s">
        <v>47</v>
      </c>
      <c r="C322" s="1099"/>
      <c r="D322" s="1099"/>
      <c r="E322" s="23" t="s">
        <v>48</v>
      </c>
      <c r="F322" s="19"/>
      <c r="G322" s="19"/>
      <c r="H322" s="19"/>
      <c r="I322" s="16"/>
      <c r="K322" s="21">
        <v>4</v>
      </c>
      <c r="L322" s="1099" t="s">
        <v>47</v>
      </c>
      <c r="M322" s="1099"/>
      <c r="N322" s="1099"/>
      <c r="O322" s="23" t="s">
        <v>48</v>
      </c>
      <c r="P322" s="19"/>
      <c r="Q322" s="19"/>
      <c r="R322" s="19"/>
      <c r="S322" s="16"/>
    </row>
    <row r="323" spans="1:19">
      <c r="A323" s="21"/>
      <c r="B323" s="120"/>
      <c r="C323" s="120"/>
      <c r="D323" s="120"/>
      <c r="E323" s="120"/>
      <c r="F323" s="114"/>
      <c r="G323" s="114"/>
      <c r="H323" s="114"/>
      <c r="I323" s="16"/>
      <c r="K323" s="21"/>
      <c r="L323" s="120"/>
      <c r="M323" s="120"/>
      <c r="N323" s="120"/>
      <c r="O323" s="120"/>
      <c r="P323" s="114"/>
      <c r="Q323" s="114"/>
      <c r="R323" s="114"/>
      <c r="S323" s="16"/>
    </row>
    <row r="324" spans="1:19">
      <c r="A324" s="21">
        <v>5</v>
      </c>
      <c r="B324" s="1099" t="s">
        <v>49</v>
      </c>
      <c r="C324" s="1099"/>
      <c r="D324" s="1099"/>
      <c r="E324" s="24">
        <f>Master!AK22</f>
        <v>9932.4666666666653</v>
      </c>
      <c r="F324" s="19"/>
      <c r="G324" s="19"/>
      <c r="H324" s="19"/>
      <c r="I324" s="16"/>
      <c r="K324" s="21">
        <v>5</v>
      </c>
      <c r="L324" s="1099" t="s">
        <v>49</v>
      </c>
      <c r="M324" s="1099"/>
      <c r="N324" s="1099"/>
      <c r="O324" s="24">
        <f>E324</f>
        <v>9932.4666666666653</v>
      </c>
      <c r="P324" s="19"/>
      <c r="Q324" s="19"/>
      <c r="R324" s="19"/>
      <c r="S324" s="16"/>
    </row>
    <row r="325" spans="1:19">
      <c r="A325" s="21"/>
      <c r="B325" s="120"/>
      <c r="C325" s="120"/>
      <c r="D325" s="238" t="s">
        <v>50</v>
      </c>
      <c r="E325" s="238" t="s">
        <v>23</v>
      </c>
      <c r="F325" s="136" t="s">
        <v>25</v>
      </c>
      <c r="G325" s="238" t="s">
        <v>26</v>
      </c>
      <c r="H325" s="238" t="s">
        <v>202</v>
      </c>
      <c r="I325" s="126" t="s">
        <v>51</v>
      </c>
      <c r="K325" s="21"/>
      <c r="L325" s="120"/>
      <c r="M325" s="120"/>
      <c r="N325" s="238" t="s">
        <v>50</v>
      </c>
      <c r="O325" s="238" t="s">
        <v>23</v>
      </c>
      <c r="P325" s="136" t="s">
        <v>25</v>
      </c>
      <c r="Q325" s="238" t="s">
        <v>26</v>
      </c>
      <c r="R325" s="238" t="str">
        <f>H325</f>
        <v>ADV</v>
      </c>
      <c r="S325" s="126" t="s">
        <v>51</v>
      </c>
    </row>
    <row r="326" spans="1:19">
      <c r="A326" s="21">
        <v>6</v>
      </c>
      <c r="B326" s="377" t="s">
        <v>52</v>
      </c>
      <c r="C326" s="377"/>
      <c r="D326" s="335">
        <f>Master!AM22</f>
        <v>1192</v>
      </c>
      <c r="E326" s="335">
        <f>Master!AL22</f>
        <v>75</v>
      </c>
      <c r="F326" s="180">
        <f>Master!AN22</f>
        <v>0</v>
      </c>
      <c r="G326" s="180">
        <f>Master!AO22</f>
        <v>0</v>
      </c>
      <c r="H326" s="180">
        <f>Master!AP22</f>
        <v>0</v>
      </c>
      <c r="I326" s="127">
        <f>D326+E326+F326+G326+H326</f>
        <v>1267</v>
      </c>
      <c r="K326" s="21">
        <v>6</v>
      </c>
      <c r="L326" s="377" t="s">
        <v>52</v>
      </c>
      <c r="M326" s="377"/>
      <c r="N326" s="335">
        <f>D326</f>
        <v>1192</v>
      </c>
      <c r="O326" s="335">
        <f>E326</f>
        <v>75</v>
      </c>
      <c r="P326" s="180">
        <f>F326</f>
        <v>0</v>
      </c>
      <c r="Q326" s="180">
        <f>G326</f>
        <v>0</v>
      </c>
      <c r="R326" s="180">
        <f>H326</f>
        <v>0</v>
      </c>
      <c r="S326" s="127">
        <f>N326+O326+R326</f>
        <v>1267</v>
      </c>
    </row>
    <row r="327" spans="1:19">
      <c r="A327" s="21"/>
      <c r="B327" s="120"/>
      <c r="C327" s="120"/>
      <c r="D327" s="120"/>
      <c r="E327" s="120"/>
      <c r="F327" s="114"/>
      <c r="G327" s="114"/>
      <c r="H327" s="114"/>
      <c r="I327" s="16"/>
      <c r="K327" s="21"/>
      <c r="L327" s="120"/>
      <c r="M327" s="120"/>
      <c r="N327" s="120"/>
      <c r="O327" s="120"/>
      <c r="P327" s="114"/>
      <c r="Q327" s="114"/>
      <c r="R327" s="114"/>
      <c r="S327" s="16"/>
    </row>
    <row r="328" spans="1:19">
      <c r="A328" s="21">
        <v>7</v>
      </c>
      <c r="B328" s="1099" t="s">
        <v>53</v>
      </c>
      <c r="C328" s="1099"/>
      <c r="D328" s="1099"/>
      <c r="E328" s="24">
        <f>E324-I326</f>
        <v>8665.4666666666653</v>
      </c>
      <c r="F328" s="19"/>
      <c r="G328" s="19"/>
      <c r="H328" s="19"/>
      <c r="I328" s="16"/>
      <c r="K328" s="21">
        <v>7</v>
      </c>
      <c r="L328" s="1099" t="s">
        <v>53</v>
      </c>
      <c r="M328" s="1099"/>
      <c r="N328" s="1099"/>
      <c r="O328" s="24">
        <f>E328</f>
        <v>8665.4666666666653</v>
      </c>
      <c r="P328" s="19"/>
      <c r="Q328" s="19"/>
      <c r="R328" s="19"/>
      <c r="S328" s="16"/>
    </row>
    <row r="329" spans="1:19">
      <c r="A329" s="15"/>
      <c r="B329" s="114"/>
      <c r="C329" s="114"/>
      <c r="D329" s="114"/>
      <c r="E329" s="114"/>
      <c r="F329" s="114"/>
      <c r="G329" s="114"/>
      <c r="H329" s="114"/>
      <c r="I329" s="16"/>
      <c r="K329" s="15"/>
      <c r="L329" s="114"/>
      <c r="M329" s="114"/>
      <c r="N329" s="114"/>
      <c r="O329" s="114"/>
      <c r="P329" s="114"/>
      <c r="Q329" s="114"/>
      <c r="R329" s="114"/>
      <c r="S329" s="16"/>
    </row>
    <row r="330" spans="1:19">
      <c r="A330" s="15"/>
      <c r="B330" s="114"/>
      <c r="C330" s="114"/>
      <c r="D330" s="114"/>
      <c r="E330" s="114"/>
      <c r="F330" s="114"/>
      <c r="G330" s="114"/>
      <c r="H330" s="114"/>
      <c r="I330" s="16"/>
      <c r="K330" s="15"/>
      <c r="L330" s="114"/>
      <c r="M330" s="114"/>
      <c r="N330" s="114"/>
      <c r="O330" s="114"/>
      <c r="P330" s="114"/>
      <c r="Q330" s="114"/>
      <c r="R330" s="114"/>
      <c r="S330" s="16"/>
    </row>
    <row r="331" spans="1:19" ht="15" thickBot="1">
      <c r="A331" s="15"/>
      <c r="B331" s="114"/>
      <c r="C331" s="114"/>
      <c r="D331" s="114"/>
      <c r="E331" s="114"/>
      <c r="F331" s="25"/>
      <c r="G331" s="25"/>
      <c r="H331" s="25"/>
      <c r="I331" s="26"/>
      <c r="K331" s="15"/>
      <c r="L331" s="114"/>
      <c r="M331" s="114"/>
      <c r="N331" s="114"/>
      <c r="O331" s="114"/>
      <c r="P331" s="25"/>
      <c r="Q331" s="25"/>
      <c r="R331" s="25"/>
      <c r="S331" s="26"/>
    </row>
    <row r="332" spans="1:19" ht="15" thickBot="1">
      <c r="A332" s="27"/>
      <c r="B332" s="25"/>
      <c r="C332" s="25"/>
      <c r="D332" s="25"/>
      <c r="E332" s="999" t="s">
        <v>54</v>
      </c>
      <c r="F332" s="999"/>
      <c r="G332" s="999"/>
      <c r="H332" s="999"/>
      <c r="I332" s="1100"/>
      <c r="K332" s="27"/>
      <c r="L332" s="25"/>
      <c r="M332" s="25"/>
      <c r="N332" s="25"/>
      <c r="O332" s="28" t="s">
        <v>54</v>
      </c>
      <c r="P332" s="25"/>
      <c r="Q332" s="28"/>
      <c r="R332" s="28"/>
      <c r="S332" s="29"/>
    </row>
    <row r="333" spans="1:19">
      <c r="A333" s="114"/>
      <c r="B333" s="114"/>
      <c r="C333" s="114"/>
      <c r="D333" s="114"/>
      <c r="E333" s="325"/>
      <c r="F333" s="325"/>
      <c r="G333" s="325"/>
      <c r="H333" s="325"/>
      <c r="I333" s="325"/>
      <c r="K333" s="114"/>
      <c r="L333" s="114"/>
      <c r="M333" s="114"/>
      <c r="N333" s="114"/>
      <c r="O333" s="114"/>
      <c r="P333" s="114"/>
      <c r="Q333" s="114"/>
      <c r="R333" s="114"/>
      <c r="S333" s="114"/>
    </row>
    <row r="334" spans="1:19">
      <c r="A334" s="114"/>
      <c r="B334" s="114"/>
      <c r="C334" s="114"/>
      <c r="D334" s="114"/>
      <c r="E334" s="325"/>
      <c r="F334" s="325"/>
      <c r="G334" s="325"/>
      <c r="H334" s="325"/>
      <c r="I334" s="325"/>
      <c r="K334" s="114"/>
      <c r="L334" s="114"/>
      <c r="M334" s="114"/>
      <c r="N334" s="114"/>
      <c r="O334" s="114"/>
      <c r="P334" s="114"/>
      <c r="Q334" s="114"/>
      <c r="R334" s="114"/>
      <c r="S334" s="114"/>
    </row>
    <row r="335" spans="1:19">
      <c r="A335" s="114"/>
      <c r="B335" s="114"/>
      <c r="C335" s="114"/>
      <c r="D335" s="114"/>
      <c r="E335" s="325"/>
      <c r="F335" s="325"/>
      <c r="G335" s="325"/>
      <c r="H335" s="325"/>
      <c r="I335" s="325"/>
      <c r="K335" s="114"/>
      <c r="L335" s="114"/>
      <c r="M335" s="114"/>
      <c r="N335" s="114"/>
      <c r="O335" s="114"/>
      <c r="P335" s="114"/>
      <c r="Q335" s="114"/>
      <c r="R335" s="114"/>
      <c r="S335" s="114"/>
    </row>
    <row r="336" spans="1:19">
      <c r="A336" s="114"/>
      <c r="B336" s="114"/>
      <c r="C336" s="114"/>
      <c r="D336" s="114"/>
      <c r="E336" s="325"/>
      <c r="F336" s="325"/>
      <c r="G336" s="325"/>
      <c r="H336" s="325"/>
      <c r="I336" s="325"/>
      <c r="K336" s="114"/>
      <c r="L336" s="114"/>
      <c r="M336" s="114"/>
      <c r="N336" s="114"/>
      <c r="O336" s="114"/>
      <c r="P336" s="114"/>
      <c r="Q336" s="114"/>
      <c r="R336" s="114"/>
      <c r="S336" s="114"/>
    </row>
    <row r="337" spans="1:19">
      <c r="A337" s="114"/>
      <c r="B337" s="114"/>
      <c r="C337" s="114"/>
      <c r="D337" s="114"/>
      <c r="E337" s="325"/>
      <c r="F337" s="325"/>
      <c r="G337" s="325"/>
      <c r="H337" s="325"/>
      <c r="I337" s="325"/>
      <c r="K337" s="114"/>
      <c r="L337" s="114"/>
      <c r="M337" s="114"/>
      <c r="N337" s="114"/>
      <c r="O337" s="114"/>
      <c r="P337" s="114"/>
      <c r="Q337" s="114"/>
      <c r="R337" s="114"/>
      <c r="S337" s="114"/>
    </row>
    <row r="338" spans="1:19">
      <c r="A338" s="114"/>
      <c r="B338" s="114"/>
      <c r="C338" s="114"/>
      <c r="D338" s="114"/>
      <c r="E338" s="325"/>
      <c r="F338" s="325"/>
      <c r="G338" s="325"/>
      <c r="H338" s="325"/>
      <c r="I338" s="325"/>
      <c r="K338" s="114"/>
      <c r="L338" s="114"/>
      <c r="M338" s="114"/>
      <c r="N338" s="114"/>
      <c r="O338" s="114"/>
      <c r="P338" s="114"/>
      <c r="Q338" s="114"/>
      <c r="R338" s="114"/>
      <c r="S338" s="114"/>
    </row>
    <row r="339" spans="1:19">
      <c r="A339" s="114"/>
      <c r="B339" s="114"/>
      <c r="C339" s="114"/>
      <c r="D339" s="114"/>
      <c r="E339" s="325"/>
      <c r="F339" s="325"/>
      <c r="G339" s="325"/>
      <c r="H339" s="325"/>
      <c r="I339" s="325"/>
      <c r="K339" s="114"/>
      <c r="L339" s="114"/>
      <c r="M339" s="114"/>
      <c r="N339" s="114"/>
      <c r="O339" s="114"/>
      <c r="P339" s="114"/>
      <c r="Q339" s="114"/>
      <c r="R339" s="114"/>
      <c r="S339" s="114"/>
    </row>
    <row r="340" spans="1:19">
      <c r="A340" s="114"/>
      <c r="B340" s="114"/>
      <c r="C340" s="114"/>
      <c r="D340" s="114"/>
      <c r="E340" s="325"/>
      <c r="F340" s="325"/>
      <c r="G340" s="325"/>
      <c r="H340" s="325"/>
      <c r="I340" s="325"/>
      <c r="K340" s="114"/>
      <c r="L340" s="114"/>
      <c r="M340" s="114"/>
      <c r="N340" s="114"/>
      <c r="O340" s="114"/>
      <c r="P340" s="114"/>
      <c r="Q340" s="114"/>
      <c r="R340" s="114"/>
      <c r="S340" s="114"/>
    </row>
    <row r="341" spans="1:19">
      <c r="A341" s="114"/>
      <c r="B341" s="114"/>
      <c r="C341" s="114"/>
      <c r="D341" s="114"/>
      <c r="E341" s="325"/>
      <c r="F341" s="325"/>
      <c r="G341" s="325"/>
      <c r="H341" s="325"/>
      <c r="I341" s="325"/>
      <c r="K341" s="114"/>
      <c r="L341" s="114"/>
      <c r="M341" s="114"/>
      <c r="N341" s="114"/>
      <c r="O341" s="114"/>
      <c r="P341" s="114"/>
      <c r="Q341" s="114"/>
      <c r="R341" s="114"/>
      <c r="S341" s="114"/>
    </row>
    <row r="342" spans="1:19">
      <c r="A342" s="114"/>
      <c r="B342" s="114"/>
      <c r="C342" s="114"/>
      <c r="D342" s="114"/>
      <c r="E342" s="325"/>
      <c r="F342" s="325"/>
      <c r="G342" s="325"/>
      <c r="H342" s="325"/>
      <c r="I342" s="325"/>
      <c r="K342" s="114"/>
      <c r="L342" s="114"/>
      <c r="M342" s="114"/>
      <c r="N342" s="114"/>
      <c r="O342" s="114"/>
      <c r="P342" s="114"/>
      <c r="Q342" s="114"/>
      <c r="R342" s="114"/>
      <c r="S342" s="114"/>
    </row>
    <row r="343" spans="1:19">
      <c r="A343" s="114"/>
      <c r="B343" s="114"/>
      <c r="C343" s="114"/>
      <c r="D343" s="114"/>
      <c r="E343" s="325"/>
      <c r="F343" s="325"/>
      <c r="G343" s="325"/>
      <c r="H343" s="325"/>
      <c r="I343" s="325"/>
      <c r="K343" s="114"/>
      <c r="L343" s="114"/>
      <c r="M343" s="114"/>
      <c r="N343" s="114"/>
      <c r="O343" s="114"/>
      <c r="P343" s="114"/>
      <c r="Q343" s="114"/>
      <c r="R343" s="114"/>
      <c r="S343" s="114"/>
    </row>
    <row r="344" spans="1:19" ht="15" thickBot="1"/>
    <row r="345" spans="1:19" ht="24.6">
      <c r="A345" s="1091" t="s">
        <v>39</v>
      </c>
      <c r="B345" s="1092"/>
      <c r="C345" s="1092"/>
      <c r="D345" s="1092"/>
      <c r="E345" s="1092"/>
      <c r="F345" s="1092"/>
      <c r="G345" s="1092"/>
      <c r="H345" s="1092"/>
      <c r="I345" s="1093"/>
      <c r="K345" s="1091" t="s">
        <v>39</v>
      </c>
      <c r="L345" s="1092"/>
      <c r="M345" s="1092"/>
      <c r="N345" s="1092"/>
      <c r="O345" s="1092"/>
      <c r="P345" s="1092"/>
      <c r="Q345" s="1092"/>
      <c r="R345" s="1092"/>
      <c r="S345" s="1093"/>
    </row>
    <row r="346" spans="1:19">
      <c r="A346" s="1094" t="s">
        <v>1075</v>
      </c>
      <c r="B346" s="1095"/>
      <c r="C346" s="1095"/>
      <c r="D346" s="1095"/>
      <c r="E346" s="1095"/>
      <c r="F346" s="1095"/>
      <c r="G346" s="1095"/>
      <c r="H346" s="1095"/>
      <c r="I346" s="1096"/>
      <c r="K346" s="1094" t="str">
        <f>A346</f>
        <v>[Vide rule 78 (1) (b) of the Contract Labour (Regulation and Abolition) Central and A.P.{T.S.}Rules, 1971]</v>
      </c>
      <c r="L346" s="1095"/>
      <c r="M346" s="1095"/>
      <c r="N346" s="1095"/>
      <c r="O346" s="1095"/>
      <c r="P346" s="1095"/>
      <c r="Q346" s="1095"/>
      <c r="R346" s="1095"/>
      <c r="S346" s="1096"/>
    </row>
    <row r="347" spans="1:19">
      <c r="A347" s="15"/>
      <c r="B347" s="114"/>
      <c r="C347" s="114"/>
      <c r="D347" s="114"/>
      <c r="E347" s="114"/>
      <c r="F347" s="114"/>
      <c r="G347" s="114"/>
      <c r="H347" s="114"/>
      <c r="I347" s="16"/>
      <c r="K347" s="15"/>
      <c r="L347" s="114"/>
      <c r="M347" s="114"/>
      <c r="N347" s="114"/>
      <c r="O347" s="114"/>
      <c r="P347" s="114"/>
      <c r="Q347" s="114"/>
      <c r="R347" s="114"/>
      <c r="S347" s="16"/>
    </row>
    <row r="348" spans="1:19">
      <c r="A348" s="17" t="s">
        <v>40</v>
      </c>
      <c r="B348" s="120"/>
      <c r="C348" s="120"/>
      <c r="D348" s="121" t="str">
        <f>Master!F5</f>
        <v>GROTECH LANDSCAPE DEVELOPERS PVT. LTD.</v>
      </c>
      <c r="E348" s="114"/>
      <c r="F348" s="114"/>
      <c r="G348" s="114"/>
      <c r="H348" s="114"/>
      <c r="I348" s="16"/>
      <c r="K348" s="17" t="s">
        <v>40</v>
      </c>
      <c r="L348" s="120"/>
      <c r="M348" s="120"/>
      <c r="N348" s="121" t="str">
        <f>D348</f>
        <v>GROTECH LANDSCAPE DEVELOPERS PVT. LTD.</v>
      </c>
      <c r="O348" s="114"/>
      <c r="P348" s="114"/>
      <c r="Q348" s="114"/>
      <c r="R348" s="114"/>
      <c r="S348" s="16"/>
    </row>
    <row r="349" spans="1:19">
      <c r="A349" s="17"/>
      <c r="B349" s="120" t="str">
        <f>Master!F6</f>
        <v>290/E, Khanapur Village, Gandipet Mandal, Ranga Reddy, Hyderabad-500075 T.S.</v>
      </c>
      <c r="C349" s="120"/>
      <c r="D349" s="114"/>
      <c r="E349" s="114"/>
      <c r="F349" s="114"/>
      <c r="G349" s="114"/>
      <c r="H349" s="114"/>
      <c r="I349" s="16"/>
      <c r="K349" s="17"/>
      <c r="L349" s="120" t="str">
        <f>B349</f>
        <v>290/E, Khanapur Village, Gandipet Mandal, Ranga Reddy, Hyderabad-500075 T.S.</v>
      </c>
      <c r="M349" s="120"/>
      <c r="N349" s="114"/>
      <c r="O349" s="114"/>
      <c r="P349" s="114"/>
      <c r="Q349" s="114"/>
      <c r="R349" s="114"/>
      <c r="S349" s="16"/>
    </row>
    <row r="350" spans="1:19">
      <c r="A350" s="17"/>
      <c r="B350" s="120"/>
      <c r="C350" s="120"/>
      <c r="D350" s="120"/>
      <c r="E350" s="120"/>
      <c r="F350" s="114"/>
      <c r="G350" s="114"/>
      <c r="H350" s="114"/>
      <c r="I350" s="16"/>
      <c r="K350" s="17"/>
      <c r="L350" s="120"/>
      <c r="M350" s="120"/>
      <c r="N350" s="120"/>
      <c r="O350" s="120"/>
      <c r="P350" s="114"/>
      <c r="Q350" s="114"/>
      <c r="R350" s="114"/>
      <c r="S350" s="16"/>
    </row>
    <row r="351" spans="1:19">
      <c r="A351" s="1097" t="s">
        <v>41</v>
      </c>
      <c r="B351" s="1098"/>
      <c r="C351" s="1098"/>
      <c r="D351" s="1098"/>
      <c r="E351" s="120"/>
      <c r="F351" s="114"/>
      <c r="G351" s="114"/>
      <c r="H351" s="114"/>
      <c r="I351" s="16"/>
      <c r="K351" s="1097" t="s">
        <v>41</v>
      </c>
      <c r="L351" s="1098"/>
      <c r="M351" s="1098"/>
      <c r="N351" s="1098"/>
      <c r="O351" s="120"/>
      <c r="P351" s="114"/>
      <c r="Q351" s="114"/>
      <c r="R351" s="114"/>
      <c r="S351" s="16"/>
    </row>
    <row r="352" spans="1:19">
      <c r="A352" s="1097"/>
      <c r="B352" s="1098"/>
      <c r="C352" s="1098"/>
      <c r="D352" s="1098"/>
      <c r="E352" s="128" t="str">
        <f>Master!D23</f>
        <v>Ningolla Raju</v>
      </c>
      <c r="F352" s="19"/>
      <c r="G352" s="19"/>
      <c r="H352" s="19" t="str">
        <f>Master!G23</f>
        <v>ningolla pochaiah</v>
      </c>
      <c r="I352" s="16"/>
      <c r="K352" s="1097"/>
      <c r="L352" s="1098"/>
      <c r="M352" s="1098"/>
      <c r="N352" s="1098"/>
      <c r="O352" s="18" t="str">
        <f>E352</f>
        <v>Ningolla Raju</v>
      </c>
      <c r="P352" s="19"/>
      <c r="Q352" s="19"/>
      <c r="R352" s="19" t="str">
        <f>H352</f>
        <v>ningolla pochaiah</v>
      </c>
      <c r="S352" s="16"/>
    </row>
    <row r="353" spans="1:19">
      <c r="A353" s="17"/>
      <c r="B353" s="120"/>
      <c r="C353" s="120"/>
      <c r="D353" s="120"/>
      <c r="E353" s="120"/>
      <c r="F353" s="114"/>
      <c r="G353" s="114"/>
      <c r="H353" s="114"/>
      <c r="I353" s="16"/>
      <c r="K353" s="17"/>
      <c r="L353" s="120"/>
      <c r="M353" s="120"/>
      <c r="N353" s="120"/>
      <c r="O353" s="120"/>
      <c r="P353" s="114"/>
      <c r="Q353" s="114"/>
      <c r="R353" s="114"/>
      <c r="S353" s="16"/>
    </row>
    <row r="354" spans="1:19">
      <c r="A354" s="1101" t="s">
        <v>42</v>
      </c>
      <c r="B354" s="1099"/>
      <c r="C354" s="1099"/>
      <c r="D354" s="1099"/>
      <c r="E354" s="24" t="str">
        <f>Master!F8</f>
        <v>GARDENING SERVICES&amp;ISB HYDERABAD</v>
      </c>
      <c r="F354" s="19"/>
      <c r="G354" s="19"/>
      <c r="H354" s="19"/>
      <c r="I354" s="16"/>
      <c r="K354" s="1101" t="s">
        <v>42</v>
      </c>
      <c r="L354" s="1099"/>
      <c r="M354" s="1099"/>
      <c r="N354" s="1099"/>
      <c r="O354" s="24" t="str">
        <f>E354</f>
        <v>GARDENING SERVICES&amp;ISB HYDERABAD</v>
      </c>
      <c r="P354" s="19"/>
      <c r="Q354" s="19"/>
      <c r="R354" s="19"/>
      <c r="S354" s="16"/>
    </row>
    <row r="355" spans="1:19">
      <c r="A355" s="17"/>
      <c r="B355" s="120"/>
      <c r="C355" s="120"/>
      <c r="D355" s="120"/>
      <c r="E355" s="120"/>
      <c r="F355" s="114"/>
      <c r="G355" s="114"/>
      <c r="H355" s="114"/>
      <c r="I355" s="16"/>
      <c r="K355" s="17"/>
      <c r="L355" s="120"/>
      <c r="M355" s="120"/>
      <c r="N355" s="120"/>
      <c r="O355" s="120"/>
      <c r="P355" s="114"/>
      <c r="Q355" s="114"/>
      <c r="R355" s="114"/>
      <c r="S355" s="16"/>
    </row>
    <row r="356" spans="1:19">
      <c r="A356" s="1101" t="s">
        <v>43</v>
      </c>
      <c r="B356" s="1099"/>
      <c r="C356" s="1099"/>
      <c r="D356" s="1099"/>
      <c r="E356" s="20">
        <f>Master!F10</f>
        <v>44652</v>
      </c>
      <c r="F356" s="19"/>
      <c r="G356" s="19"/>
      <c r="H356" s="19"/>
      <c r="I356" s="16"/>
      <c r="K356" s="1101" t="s">
        <v>43</v>
      </c>
      <c r="L356" s="1099"/>
      <c r="M356" s="1099"/>
      <c r="N356" s="1099"/>
      <c r="O356" s="20">
        <f>E356</f>
        <v>44652</v>
      </c>
      <c r="P356" s="19"/>
      <c r="Q356" s="19"/>
      <c r="R356" s="19"/>
      <c r="S356" s="16"/>
    </row>
    <row r="357" spans="1:19">
      <c r="A357" s="17"/>
      <c r="B357" s="120"/>
      <c r="C357" s="120"/>
      <c r="D357" s="120"/>
      <c r="E357" s="120"/>
      <c r="F357" s="114"/>
      <c r="G357" s="114"/>
      <c r="H357" s="114"/>
      <c r="I357" s="16"/>
      <c r="K357" s="17"/>
      <c r="L357" s="120"/>
      <c r="M357" s="120"/>
      <c r="N357" s="120"/>
      <c r="O357" s="120"/>
      <c r="P357" s="114"/>
      <c r="Q357" s="114"/>
      <c r="R357" s="114"/>
      <c r="S357" s="16"/>
    </row>
    <row r="358" spans="1:19">
      <c r="A358" s="21">
        <v>1</v>
      </c>
      <c r="B358" s="1099" t="s">
        <v>44</v>
      </c>
      <c r="C358" s="1099"/>
      <c r="D358" s="1099"/>
      <c r="E358" s="22">
        <f>Master!AA23</f>
        <v>26</v>
      </c>
      <c r="F358" s="19"/>
      <c r="G358" s="19"/>
      <c r="H358" s="19"/>
      <c r="I358" s="16"/>
      <c r="K358" s="21">
        <v>1</v>
      </c>
      <c r="L358" s="1099" t="s">
        <v>44</v>
      </c>
      <c r="M358" s="1099"/>
      <c r="N358" s="1099"/>
      <c r="O358" s="22">
        <f>E358</f>
        <v>26</v>
      </c>
      <c r="P358" s="19"/>
      <c r="Q358" s="19"/>
      <c r="R358" s="19"/>
      <c r="S358" s="16"/>
    </row>
    <row r="359" spans="1:19">
      <c r="A359" s="21"/>
      <c r="B359" s="120"/>
      <c r="C359" s="120"/>
      <c r="D359" s="120"/>
      <c r="E359" s="120"/>
      <c r="F359" s="114"/>
      <c r="G359" s="114"/>
      <c r="H359" s="114"/>
      <c r="I359" s="16"/>
      <c r="K359" s="21"/>
      <c r="L359" s="120"/>
      <c r="M359" s="120"/>
      <c r="N359" s="120"/>
      <c r="O359" s="120"/>
      <c r="P359" s="114"/>
      <c r="Q359" s="114"/>
      <c r="R359" s="114"/>
      <c r="S359" s="16"/>
    </row>
    <row r="360" spans="1:19">
      <c r="A360" s="21">
        <v>2</v>
      </c>
      <c r="B360" s="1098" t="s">
        <v>45</v>
      </c>
      <c r="C360" s="1098"/>
      <c r="D360" s="1098"/>
      <c r="E360" s="120"/>
      <c r="F360" s="114"/>
      <c r="G360" s="114"/>
      <c r="H360" s="114"/>
      <c r="I360" s="16"/>
      <c r="K360" s="21">
        <v>2</v>
      </c>
      <c r="L360" s="1098" t="s">
        <v>45</v>
      </c>
      <c r="M360" s="1098"/>
      <c r="N360" s="1098"/>
      <c r="O360" s="120"/>
      <c r="P360" s="114"/>
      <c r="Q360" s="114"/>
      <c r="R360" s="114"/>
      <c r="S360" s="16"/>
    </row>
    <row r="361" spans="1:19">
      <c r="A361" s="21"/>
      <c r="B361" s="1098"/>
      <c r="C361" s="1098"/>
      <c r="D361" s="1098"/>
      <c r="E361" s="23" t="s">
        <v>28</v>
      </c>
      <c r="F361" s="19"/>
      <c r="G361" s="19"/>
      <c r="H361" s="19"/>
      <c r="I361" s="16"/>
      <c r="K361" s="21"/>
      <c r="L361" s="1098"/>
      <c r="M361" s="1098"/>
      <c r="N361" s="1098"/>
      <c r="O361" s="23" t="s">
        <v>28</v>
      </c>
      <c r="P361" s="19"/>
      <c r="Q361" s="19"/>
      <c r="R361" s="19"/>
      <c r="S361" s="16"/>
    </row>
    <row r="362" spans="1:19">
      <c r="A362" s="21"/>
      <c r="B362" s="120"/>
      <c r="C362" s="120"/>
      <c r="D362" s="120"/>
      <c r="E362" s="120"/>
      <c r="F362" s="114"/>
      <c r="G362" s="114"/>
      <c r="H362" s="114"/>
      <c r="I362" s="16"/>
      <c r="K362" s="21"/>
      <c r="L362" s="120"/>
      <c r="M362" s="120"/>
      <c r="N362" s="120"/>
      <c r="O362" s="120"/>
      <c r="P362" s="114"/>
      <c r="Q362" s="114"/>
      <c r="R362" s="114"/>
      <c r="S362" s="16"/>
    </row>
    <row r="363" spans="1:19">
      <c r="A363" s="21">
        <v>3</v>
      </c>
      <c r="B363" s="1099" t="s">
        <v>46</v>
      </c>
      <c r="C363" s="1099"/>
      <c r="D363" s="1099"/>
      <c r="E363" s="23" t="s">
        <v>28</v>
      </c>
      <c r="F363" s="19"/>
      <c r="G363" s="19"/>
      <c r="H363" s="19"/>
      <c r="I363" s="16"/>
      <c r="K363" s="21">
        <v>3</v>
      </c>
      <c r="L363" s="1099" t="s">
        <v>46</v>
      </c>
      <c r="M363" s="1099"/>
      <c r="N363" s="1099"/>
      <c r="O363" s="18" t="str">
        <f>E363</f>
        <v>N/A</v>
      </c>
      <c r="P363" s="19"/>
      <c r="Q363" s="19"/>
      <c r="R363" s="19"/>
      <c r="S363" s="16"/>
    </row>
    <row r="364" spans="1:19">
      <c r="A364" s="21"/>
      <c r="B364" s="120"/>
      <c r="C364" s="120"/>
      <c r="D364" s="120"/>
      <c r="E364" s="120"/>
      <c r="F364" s="114"/>
      <c r="G364" s="114"/>
      <c r="H364" s="114"/>
      <c r="I364" s="16"/>
      <c r="K364" s="21"/>
      <c r="L364" s="120"/>
      <c r="M364" s="120"/>
      <c r="N364" s="120"/>
      <c r="O364" s="120"/>
      <c r="P364" s="114"/>
      <c r="Q364" s="114"/>
      <c r="R364" s="114"/>
      <c r="S364" s="16"/>
    </row>
    <row r="365" spans="1:19">
      <c r="A365" s="21">
        <v>4</v>
      </c>
      <c r="B365" s="1099" t="s">
        <v>47</v>
      </c>
      <c r="C365" s="1099"/>
      <c r="D365" s="1099"/>
      <c r="E365" s="23" t="s">
        <v>48</v>
      </c>
      <c r="F365" s="19"/>
      <c r="G365" s="19"/>
      <c r="H365" s="19"/>
      <c r="I365" s="16"/>
      <c r="K365" s="21">
        <v>4</v>
      </c>
      <c r="L365" s="1099" t="s">
        <v>47</v>
      </c>
      <c r="M365" s="1099"/>
      <c r="N365" s="1099"/>
      <c r="O365" s="23" t="s">
        <v>48</v>
      </c>
      <c r="P365" s="19"/>
      <c r="Q365" s="19"/>
      <c r="R365" s="19"/>
      <c r="S365" s="16"/>
    </row>
    <row r="366" spans="1:19">
      <c r="A366" s="21"/>
      <c r="B366" s="120"/>
      <c r="C366" s="120"/>
      <c r="D366" s="120"/>
      <c r="E366" s="120"/>
      <c r="F366" s="114"/>
      <c r="G366" s="114"/>
      <c r="H366" s="114"/>
      <c r="I366" s="16"/>
      <c r="K366" s="21"/>
      <c r="L366" s="120"/>
      <c r="M366" s="120"/>
      <c r="N366" s="120"/>
      <c r="O366" s="120"/>
      <c r="P366" s="114"/>
      <c r="Q366" s="114"/>
      <c r="R366" s="114"/>
      <c r="S366" s="16"/>
    </row>
    <row r="367" spans="1:19">
      <c r="A367" s="21">
        <v>5</v>
      </c>
      <c r="B367" s="1099" t="s">
        <v>49</v>
      </c>
      <c r="C367" s="1099"/>
      <c r="D367" s="1099"/>
      <c r="E367" s="24">
        <f>Master!AK23</f>
        <v>9932.4666666666653</v>
      </c>
      <c r="F367" s="19"/>
      <c r="G367" s="19"/>
      <c r="H367" s="19"/>
      <c r="I367" s="16"/>
      <c r="K367" s="21">
        <v>5</v>
      </c>
      <c r="L367" s="1099" t="s">
        <v>49</v>
      </c>
      <c r="M367" s="1099"/>
      <c r="N367" s="1099"/>
      <c r="O367" s="24">
        <f>E367</f>
        <v>9932.4666666666653</v>
      </c>
      <c r="P367" s="19"/>
      <c r="Q367" s="19"/>
      <c r="R367" s="19"/>
      <c r="S367" s="16"/>
    </row>
    <row r="368" spans="1:19">
      <c r="A368" s="21"/>
      <c r="B368" s="120"/>
      <c r="C368" s="120"/>
      <c r="D368" s="238" t="s">
        <v>50</v>
      </c>
      <c r="E368" s="238" t="s">
        <v>23</v>
      </c>
      <c r="F368" s="136" t="s">
        <v>25</v>
      </c>
      <c r="G368" s="238" t="s">
        <v>26</v>
      </c>
      <c r="H368" s="238" t="s">
        <v>202</v>
      </c>
      <c r="I368" s="126" t="s">
        <v>51</v>
      </c>
      <c r="K368" s="21"/>
      <c r="L368" s="120"/>
      <c r="M368" s="120"/>
      <c r="N368" s="238" t="s">
        <v>50</v>
      </c>
      <c r="O368" s="238" t="s">
        <v>23</v>
      </c>
      <c r="P368" s="136" t="s">
        <v>25</v>
      </c>
      <c r="Q368" s="238" t="s">
        <v>26</v>
      </c>
      <c r="R368" s="238" t="str">
        <f>H368</f>
        <v>ADV</v>
      </c>
      <c r="S368" s="126" t="s">
        <v>51</v>
      </c>
    </row>
    <row r="369" spans="1:19">
      <c r="A369" s="21">
        <v>6</v>
      </c>
      <c r="B369" s="377" t="s">
        <v>52</v>
      </c>
      <c r="C369" s="377"/>
      <c r="D369" s="335">
        <f>Master!AM23</f>
        <v>1192</v>
      </c>
      <c r="E369" s="335">
        <f>Master!AL23</f>
        <v>75</v>
      </c>
      <c r="F369" s="180">
        <f>Master!AN23</f>
        <v>0</v>
      </c>
      <c r="G369" s="180">
        <f>Master!AO23</f>
        <v>0</v>
      </c>
      <c r="H369" s="180">
        <f>Master!AP23</f>
        <v>0</v>
      </c>
      <c r="I369" s="127">
        <f>D369+E369+F369+G369+H369</f>
        <v>1267</v>
      </c>
      <c r="K369" s="21">
        <v>6</v>
      </c>
      <c r="L369" s="377" t="s">
        <v>52</v>
      </c>
      <c r="M369" s="377"/>
      <c r="N369" s="335">
        <f>D369</f>
        <v>1192</v>
      </c>
      <c r="O369" s="335">
        <f>E369</f>
        <v>75</v>
      </c>
      <c r="P369" s="180">
        <f>F369</f>
        <v>0</v>
      </c>
      <c r="Q369" s="180">
        <f>G369</f>
        <v>0</v>
      </c>
      <c r="R369" s="180">
        <f>H369</f>
        <v>0</v>
      </c>
      <c r="S369" s="127">
        <f>N369+O369+R369</f>
        <v>1267</v>
      </c>
    </row>
    <row r="370" spans="1:19">
      <c r="A370" s="21"/>
      <c r="B370" s="120"/>
      <c r="C370" s="120"/>
      <c r="D370" s="120"/>
      <c r="E370" s="120"/>
      <c r="F370" s="114"/>
      <c r="G370" s="114"/>
      <c r="H370" s="114"/>
      <c r="I370" s="16"/>
      <c r="K370" s="21"/>
      <c r="L370" s="120"/>
      <c r="M370" s="120"/>
      <c r="N370" s="120"/>
      <c r="O370" s="120"/>
      <c r="P370" s="114"/>
      <c r="Q370" s="114"/>
      <c r="R370" s="114"/>
      <c r="S370" s="16"/>
    </row>
    <row r="371" spans="1:19">
      <c r="A371" s="21">
        <v>7</v>
      </c>
      <c r="B371" s="1099" t="s">
        <v>53</v>
      </c>
      <c r="C371" s="1099"/>
      <c r="D371" s="1099"/>
      <c r="E371" s="24">
        <f>E367-I369</f>
        <v>8665.4666666666653</v>
      </c>
      <c r="F371" s="19"/>
      <c r="G371" s="19"/>
      <c r="H371" s="19"/>
      <c r="I371" s="16"/>
      <c r="K371" s="21">
        <v>7</v>
      </c>
      <c r="L371" s="1099" t="s">
        <v>53</v>
      </c>
      <c r="M371" s="1099"/>
      <c r="N371" s="1099"/>
      <c r="O371" s="24">
        <f>E371</f>
        <v>8665.4666666666653</v>
      </c>
      <c r="P371" s="19"/>
      <c r="Q371" s="19"/>
      <c r="R371" s="19"/>
      <c r="S371" s="16"/>
    </row>
    <row r="372" spans="1:19">
      <c r="A372" s="15"/>
      <c r="B372" s="114"/>
      <c r="C372" s="114"/>
      <c r="D372" s="114"/>
      <c r="E372" s="114"/>
      <c r="F372" s="114"/>
      <c r="G372" s="114"/>
      <c r="H372" s="114"/>
      <c r="I372" s="16"/>
      <c r="K372" s="15"/>
      <c r="L372" s="114"/>
      <c r="M372" s="114"/>
      <c r="N372" s="114"/>
      <c r="O372" s="114"/>
      <c r="P372" s="114"/>
      <c r="Q372" s="114"/>
      <c r="R372" s="114"/>
      <c r="S372" s="16"/>
    </row>
    <row r="373" spans="1:19">
      <c r="A373" s="15"/>
      <c r="B373" s="114"/>
      <c r="C373" s="114"/>
      <c r="D373" s="114"/>
      <c r="E373" s="114"/>
      <c r="F373" s="114"/>
      <c r="G373" s="114"/>
      <c r="H373" s="114"/>
      <c r="I373" s="16"/>
      <c r="K373" s="15"/>
      <c r="L373" s="114"/>
      <c r="M373" s="114"/>
      <c r="N373" s="114"/>
      <c r="O373" s="114"/>
      <c r="P373" s="114"/>
      <c r="Q373" s="114"/>
      <c r="R373" s="114"/>
      <c r="S373" s="16"/>
    </row>
    <row r="374" spans="1:19" ht="15" thickBot="1">
      <c r="A374" s="15"/>
      <c r="B374" s="114"/>
      <c r="C374" s="114"/>
      <c r="D374" s="114"/>
      <c r="E374" s="114"/>
      <c r="F374" s="25"/>
      <c r="G374" s="25"/>
      <c r="H374" s="25"/>
      <c r="I374" s="26"/>
      <c r="K374" s="15"/>
      <c r="L374" s="114"/>
      <c r="M374" s="114"/>
      <c r="N374" s="114"/>
      <c r="O374" s="114"/>
      <c r="P374" s="25"/>
      <c r="Q374" s="25"/>
      <c r="R374" s="25"/>
      <c r="S374" s="26"/>
    </row>
    <row r="375" spans="1:19" ht="15" thickBot="1">
      <c r="A375" s="27"/>
      <c r="B375" s="25"/>
      <c r="C375" s="25"/>
      <c r="D375" s="25"/>
      <c r="E375" s="999" t="s">
        <v>54</v>
      </c>
      <c r="F375" s="999"/>
      <c r="G375" s="999"/>
      <c r="H375" s="999"/>
      <c r="I375" s="1100"/>
      <c r="K375" s="27"/>
      <c r="L375" s="25"/>
      <c r="M375" s="25"/>
      <c r="N375" s="25"/>
      <c r="O375" s="28" t="s">
        <v>54</v>
      </c>
      <c r="P375" s="25"/>
      <c r="Q375" s="28"/>
      <c r="R375" s="28"/>
      <c r="S375" s="29"/>
    </row>
    <row r="376" spans="1:19">
      <c r="A376" s="114"/>
      <c r="B376" s="114"/>
      <c r="C376" s="114"/>
      <c r="D376" s="114"/>
      <c r="E376" s="325"/>
      <c r="F376" s="325"/>
      <c r="G376" s="325"/>
      <c r="H376" s="325"/>
      <c r="I376" s="325"/>
      <c r="K376" s="114"/>
      <c r="L376" s="114"/>
      <c r="M376" s="114"/>
      <c r="N376" s="114"/>
      <c r="O376" s="114"/>
      <c r="P376" s="114"/>
      <c r="Q376" s="114"/>
      <c r="R376" s="114"/>
      <c r="S376" s="114"/>
    </row>
    <row r="377" spans="1:19">
      <c r="A377" s="114"/>
      <c r="B377" s="114"/>
      <c r="C377" s="114"/>
      <c r="D377" s="114"/>
      <c r="E377" s="325"/>
      <c r="F377" s="325"/>
      <c r="G377" s="325"/>
      <c r="H377" s="325"/>
      <c r="I377" s="325"/>
      <c r="K377" s="114"/>
      <c r="L377" s="114"/>
      <c r="M377" s="114"/>
      <c r="N377" s="114"/>
      <c r="O377" s="114"/>
      <c r="P377" s="114"/>
      <c r="Q377" s="114"/>
      <c r="R377" s="114"/>
      <c r="S377" s="114"/>
    </row>
    <row r="378" spans="1:19">
      <c r="A378" s="114"/>
      <c r="B378" s="114"/>
      <c r="C378" s="114"/>
      <c r="D378" s="114"/>
      <c r="E378" s="325"/>
      <c r="F378" s="325"/>
      <c r="G378" s="325"/>
      <c r="H378" s="325"/>
      <c r="I378" s="325"/>
      <c r="K378" s="114"/>
      <c r="L378" s="114"/>
      <c r="M378" s="114"/>
      <c r="N378" s="114"/>
      <c r="O378" s="114"/>
      <c r="P378" s="114"/>
      <c r="Q378" s="114"/>
      <c r="R378" s="114"/>
      <c r="S378" s="114"/>
    </row>
    <row r="379" spans="1:19">
      <c r="A379" s="114"/>
      <c r="B379" s="114"/>
      <c r="C379" s="114"/>
      <c r="D379" s="114"/>
      <c r="E379" s="325"/>
      <c r="F379" s="325"/>
      <c r="G379" s="325"/>
      <c r="H379" s="325"/>
      <c r="I379" s="325"/>
      <c r="K379" s="114"/>
      <c r="L379" s="114"/>
      <c r="M379" s="114"/>
      <c r="N379" s="114"/>
      <c r="O379" s="114"/>
      <c r="P379" s="114"/>
      <c r="Q379" s="114"/>
      <c r="R379" s="114"/>
      <c r="S379" s="114"/>
    </row>
    <row r="380" spans="1:19">
      <c r="A380" s="114"/>
      <c r="B380" s="114"/>
      <c r="C380" s="114"/>
      <c r="D380" s="114"/>
      <c r="E380" s="325"/>
      <c r="F380" s="325"/>
      <c r="G380" s="325"/>
      <c r="H380" s="325"/>
      <c r="I380" s="325"/>
      <c r="K380" s="114"/>
      <c r="L380" s="114"/>
      <c r="M380" s="114"/>
      <c r="N380" s="114"/>
      <c r="O380" s="114"/>
      <c r="P380" s="114"/>
      <c r="Q380" s="114"/>
      <c r="R380" s="114"/>
      <c r="S380" s="114"/>
    </row>
    <row r="381" spans="1:19">
      <c r="A381" s="114"/>
      <c r="B381" s="114"/>
      <c r="C381" s="114"/>
      <c r="D381" s="114"/>
      <c r="E381" s="325"/>
      <c r="F381" s="325"/>
      <c r="G381" s="325"/>
      <c r="H381" s="325"/>
      <c r="I381" s="325"/>
      <c r="K381" s="114"/>
      <c r="L381" s="114"/>
      <c r="M381" s="114"/>
      <c r="N381" s="114"/>
      <c r="O381" s="114"/>
      <c r="P381" s="114"/>
      <c r="Q381" s="114"/>
      <c r="R381" s="114"/>
      <c r="S381" s="114"/>
    </row>
    <row r="382" spans="1:19">
      <c r="A382" s="114"/>
      <c r="B382" s="114"/>
      <c r="C382" s="114"/>
      <c r="D382" s="114"/>
      <c r="E382" s="325"/>
      <c r="F382" s="325"/>
      <c r="G382" s="325"/>
      <c r="H382" s="325"/>
      <c r="I382" s="325"/>
      <c r="K382" s="114"/>
      <c r="L382" s="114"/>
      <c r="M382" s="114"/>
      <c r="N382" s="114"/>
      <c r="O382" s="114"/>
      <c r="P382" s="114"/>
      <c r="Q382" s="114"/>
      <c r="R382" s="114"/>
      <c r="S382" s="114"/>
    </row>
    <row r="383" spans="1:19">
      <c r="A383" s="114"/>
      <c r="B383" s="114"/>
      <c r="C383" s="114"/>
      <c r="D383" s="114"/>
      <c r="E383" s="325"/>
      <c r="F383" s="325"/>
      <c r="G383" s="325"/>
      <c r="H383" s="325"/>
      <c r="I383" s="325"/>
      <c r="K383" s="114"/>
      <c r="L383" s="114"/>
      <c r="M383" s="114"/>
      <c r="N383" s="114"/>
      <c r="O383" s="114"/>
      <c r="P383" s="114"/>
      <c r="Q383" s="114"/>
      <c r="R383" s="114"/>
      <c r="S383" s="114"/>
    </row>
    <row r="384" spans="1:19">
      <c r="A384" s="114"/>
      <c r="B384" s="114"/>
      <c r="C384" s="114"/>
      <c r="D384" s="114"/>
      <c r="E384" s="325"/>
      <c r="F384" s="325"/>
      <c r="G384" s="325"/>
      <c r="H384" s="325"/>
      <c r="I384" s="325"/>
      <c r="K384" s="114"/>
      <c r="L384" s="114"/>
      <c r="M384" s="114"/>
      <c r="N384" s="114"/>
      <c r="O384" s="114"/>
      <c r="P384" s="114"/>
      <c r="Q384" s="114"/>
      <c r="R384" s="114"/>
      <c r="S384" s="114"/>
    </row>
    <row r="385" spans="1:19">
      <c r="A385" s="114"/>
      <c r="B385" s="114"/>
      <c r="C385" s="114"/>
      <c r="D385" s="114"/>
      <c r="E385" s="325"/>
      <c r="F385" s="325"/>
      <c r="G385" s="325"/>
      <c r="H385" s="325"/>
      <c r="I385" s="325"/>
      <c r="K385" s="114"/>
      <c r="L385" s="114"/>
      <c r="M385" s="114"/>
      <c r="N385" s="114"/>
      <c r="O385" s="114"/>
      <c r="P385" s="114"/>
      <c r="Q385" s="114"/>
      <c r="R385" s="114"/>
      <c r="S385" s="114"/>
    </row>
    <row r="386" spans="1:19">
      <c r="A386" s="114"/>
      <c r="B386" s="114"/>
      <c r="C386" s="114"/>
      <c r="D386" s="114"/>
      <c r="E386" s="325"/>
      <c r="F386" s="325"/>
      <c r="G386" s="325"/>
      <c r="H386" s="325"/>
      <c r="I386" s="325"/>
      <c r="K386" s="114"/>
      <c r="L386" s="114"/>
      <c r="M386" s="114"/>
      <c r="N386" s="114"/>
      <c r="O386" s="114"/>
      <c r="P386" s="114"/>
      <c r="Q386" s="114"/>
      <c r="R386" s="114"/>
      <c r="S386" s="114"/>
    </row>
    <row r="387" spans="1:19" ht="15" thickBot="1"/>
    <row r="388" spans="1:19" ht="24.6">
      <c r="A388" s="1091" t="s">
        <v>39</v>
      </c>
      <c r="B388" s="1092"/>
      <c r="C388" s="1092"/>
      <c r="D388" s="1092"/>
      <c r="E388" s="1092"/>
      <c r="F388" s="1092"/>
      <c r="G388" s="1092"/>
      <c r="H388" s="1092"/>
      <c r="I388" s="1093"/>
      <c r="K388" s="1091" t="s">
        <v>39</v>
      </c>
      <c r="L388" s="1092"/>
      <c r="M388" s="1092"/>
      <c r="N388" s="1092"/>
      <c r="O388" s="1092"/>
      <c r="P388" s="1092"/>
      <c r="Q388" s="1092"/>
      <c r="R388" s="1092"/>
      <c r="S388" s="1093"/>
    </row>
    <row r="389" spans="1:19">
      <c r="A389" s="1094" t="s">
        <v>1075</v>
      </c>
      <c r="B389" s="1095"/>
      <c r="C389" s="1095"/>
      <c r="D389" s="1095"/>
      <c r="E389" s="1095"/>
      <c r="F389" s="1095"/>
      <c r="G389" s="1095"/>
      <c r="H389" s="1095"/>
      <c r="I389" s="1096"/>
      <c r="K389" s="1094" t="str">
        <f>A389</f>
        <v>[Vide rule 78 (1) (b) of the Contract Labour (Regulation and Abolition) Central and A.P.{T.S.}Rules, 1971]</v>
      </c>
      <c r="L389" s="1095"/>
      <c r="M389" s="1095"/>
      <c r="N389" s="1095"/>
      <c r="O389" s="1095"/>
      <c r="P389" s="1095"/>
      <c r="Q389" s="1095"/>
      <c r="R389" s="1095"/>
      <c r="S389" s="1096"/>
    </row>
    <row r="390" spans="1:19">
      <c r="A390" s="15"/>
      <c r="B390" s="114"/>
      <c r="C390" s="114"/>
      <c r="D390" s="114"/>
      <c r="E390" s="114"/>
      <c r="F390" s="114"/>
      <c r="G390" s="114"/>
      <c r="H390" s="114"/>
      <c r="I390" s="16"/>
      <c r="K390" s="15"/>
      <c r="L390" s="114"/>
      <c r="M390" s="114"/>
      <c r="N390" s="114"/>
      <c r="O390" s="114"/>
      <c r="P390" s="114"/>
      <c r="Q390" s="114"/>
      <c r="R390" s="114"/>
      <c r="S390" s="16"/>
    </row>
    <row r="391" spans="1:19">
      <c r="A391" s="17" t="s">
        <v>40</v>
      </c>
      <c r="B391" s="120"/>
      <c r="C391" s="120"/>
      <c r="D391" s="121" t="str">
        <f>Master!F5</f>
        <v>GROTECH LANDSCAPE DEVELOPERS PVT. LTD.</v>
      </c>
      <c r="E391" s="114"/>
      <c r="F391" s="114"/>
      <c r="G391" s="114"/>
      <c r="H391" s="114"/>
      <c r="I391" s="16"/>
      <c r="K391" s="17" t="s">
        <v>40</v>
      </c>
      <c r="L391" s="120"/>
      <c r="M391" s="120"/>
      <c r="N391" s="121" t="str">
        <f>D391</f>
        <v>GROTECH LANDSCAPE DEVELOPERS PVT. LTD.</v>
      </c>
      <c r="O391" s="114"/>
      <c r="P391" s="114"/>
      <c r="Q391" s="114"/>
      <c r="R391" s="114"/>
      <c r="S391" s="16"/>
    </row>
    <row r="392" spans="1:19">
      <c r="A392" s="17"/>
      <c r="B392" s="120" t="str">
        <f>Master!F6</f>
        <v>290/E, Khanapur Village, Gandipet Mandal, Ranga Reddy, Hyderabad-500075 T.S.</v>
      </c>
      <c r="C392" s="120"/>
      <c r="D392" s="114"/>
      <c r="E392" s="114"/>
      <c r="F392" s="114"/>
      <c r="G392" s="114"/>
      <c r="H392" s="114"/>
      <c r="I392" s="16"/>
      <c r="K392" s="17"/>
      <c r="L392" s="120" t="str">
        <f>B392</f>
        <v>290/E, Khanapur Village, Gandipet Mandal, Ranga Reddy, Hyderabad-500075 T.S.</v>
      </c>
      <c r="M392" s="120"/>
      <c r="N392" s="114"/>
      <c r="O392" s="114"/>
      <c r="P392" s="114"/>
      <c r="Q392" s="114"/>
      <c r="R392" s="114"/>
      <c r="S392" s="16"/>
    </row>
    <row r="393" spans="1:19">
      <c r="A393" s="17"/>
      <c r="B393" s="120"/>
      <c r="C393" s="120"/>
      <c r="D393" s="120"/>
      <c r="E393" s="120"/>
      <c r="F393" s="114"/>
      <c r="G393" s="114"/>
      <c r="H393" s="114"/>
      <c r="I393" s="16"/>
      <c r="K393" s="17"/>
      <c r="L393" s="120"/>
      <c r="M393" s="120"/>
      <c r="N393" s="120"/>
      <c r="O393" s="120"/>
      <c r="P393" s="114"/>
      <c r="Q393" s="114"/>
      <c r="R393" s="114"/>
      <c r="S393" s="16"/>
    </row>
    <row r="394" spans="1:19">
      <c r="A394" s="1097" t="s">
        <v>41</v>
      </c>
      <c r="B394" s="1098"/>
      <c r="C394" s="1098"/>
      <c r="D394" s="1098"/>
      <c r="E394" s="120"/>
      <c r="F394" s="114"/>
      <c r="G394" s="114"/>
      <c r="H394" s="114"/>
      <c r="I394" s="16"/>
      <c r="K394" s="1097" t="s">
        <v>41</v>
      </c>
      <c r="L394" s="1098"/>
      <c r="M394" s="1098"/>
      <c r="N394" s="1098"/>
      <c r="O394" s="120"/>
      <c r="P394" s="114"/>
      <c r="Q394" s="114"/>
      <c r="R394" s="114"/>
      <c r="S394" s="16"/>
    </row>
    <row r="395" spans="1:19">
      <c r="A395" s="1097"/>
      <c r="B395" s="1098"/>
      <c r="C395" s="1098"/>
      <c r="D395" s="1098"/>
      <c r="E395" s="128" t="str">
        <f>Master!D24</f>
        <v>Nagani pochaiah</v>
      </c>
      <c r="F395" s="19"/>
      <c r="G395" s="19"/>
      <c r="H395" s="19" t="str">
        <f>Master!G24</f>
        <v>Nagani mallaiah</v>
      </c>
      <c r="I395" s="16"/>
      <c r="K395" s="1097"/>
      <c r="L395" s="1098"/>
      <c r="M395" s="1098"/>
      <c r="N395" s="1098"/>
      <c r="O395" s="18" t="str">
        <f>E395</f>
        <v>Nagani pochaiah</v>
      </c>
      <c r="P395" s="19"/>
      <c r="Q395" s="19"/>
      <c r="R395" s="19" t="str">
        <f>H395</f>
        <v>Nagani mallaiah</v>
      </c>
      <c r="S395" s="16"/>
    </row>
    <row r="396" spans="1:19">
      <c r="A396" s="17"/>
      <c r="B396" s="120"/>
      <c r="C396" s="120"/>
      <c r="D396" s="120"/>
      <c r="E396" s="120"/>
      <c r="F396" s="114"/>
      <c r="G396" s="114"/>
      <c r="H396" s="114"/>
      <c r="I396" s="16"/>
      <c r="K396" s="17"/>
      <c r="L396" s="120"/>
      <c r="M396" s="120"/>
      <c r="N396" s="120"/>
      <c r="O396" s="120"/>
      <c r="P396" s="114"/>
      <c r="Q396" s="114"/>
      <c r="R396" s="114"/>
      <c r="S396" s="16"/>
    </row>
    <row r="397" spans="1:19">
      <c r="A397" s="1101" t="s">
        <v>42</v>
      </c>
      <c r="B397" s="1099"/>
      <c r="C397" s="1099"/>
      <c r="D397" s="1099"/>
      <c r="E397" s="24" t="str">
        <f>Master!F8</f>
        <v>GARDENING SERVICES&amp;ISB HYDERABAD</v>
      </c>
      <c r="F397" s="19"/>
      <c r="G397" s="19"/>
      <c r="H397" s="19"/>
      <c r="I397" s="16"/>
      <c r="K397" s="1101" t="s">
        <v>42</v>
      </c>
      <c r="L397" s="1099"/>
      <c r="M397" s="1099"/>
      <c r="N397" s="1099"/>
      <c r="O397" s="24" t="str">
        <f>E397</f>
        <v>GARDENING SERVICES&amp;ISB HYDERABAD</v>
      </c>
      <c r="P397" s="19"/>
      <c r="Q397" s="19"/>
      <c r="R397" s="19"/>
      <c r="S397" s="16"/>
    </row>
    <row r="398" spans="1:19">
      <c r="A398" s="17"/>
      <c r="B398" s="120"/>
      <c r="C398" s="120"/>
      <c r="D398" s="120"/>
      <c r="E398" s="120"/>
      <c r="F398" s="114"/>
      <c r="G398" s="114"/>
      <c r="H398" s="114"/>
      <c r="I398" s="16"/>
      <c r="K398" s="17"/>
      <c r="L398" s="120"/>
      <c r="M398" s="120"/>
      <c r="N398" s="120"/>
      <c r="O398" s="120"/>
      <c r="P398" s="114"/>
      <c r="Q398" s="114"/>
      <c r="R398" s="114"/>
      <c r="S398" s="16"/>
    </row>
    <row r="399" spans="1:19">
      <c r="A399" s="1101" t="s">
        <v>43</v>
      </c>
      <c r="B399" s="1099"/>
      <c r="C399" s="1099"/>
      <c r="D399" s="1099"/>
      <c r="E399" s="20">
        <f>Master!F10</f>
        <v>44652</v>
      </c>
      <c r="F399" s="19"/>
      <c r="G399" s="19"/>
      <c r="H399" s="19"/>
      <c r="I399" s="16"/>
      <c r="K399" s="1101" t="s">
        <v>43</v>
      </c>
      <c r="L399" s="1099"/>
      <c r="M399" s="1099"/>
      <c r="N399" s="1099"/>
      <c r="O399" s="20">
        <f>E399</f>
        <v>44652</v>
      </c>
      <c r="P399" s="19"/>
      <c r="Q399" s="19"/>
      <c r="R399" s="19"/>
      <c r="S399" s="16"/>
    </row>
    <row r="400" spans="1:19">
      <c r="A400" s="17"/>
      <c r="B400" s="120"/>
      <c r="C400" s="120"/>
      <c r="D400" s="120"/>
      <c r="E400" s="120"/>
      <c r="F400" s="114"/>
      <c r="G400" s="114"/>
      <c r="H400" s="114"/>
      <c r="I400" s="16"/>
      <c r="K400" s="17"/>
      <c r="L400" s="120"/>
      <c r="M400" s="120"/>
      <c r="N400" s="120"/>
      <c r="O400" s="120"/>
      <c r="P400" s="114"/>
      <c r="Q400" s="114"/>
      <c r="R400" s="114"/>
      <c r="S400" s="16"/>
    </row>
    <row r="401" spans="1:19">
      <c r="A401" s="21">
        <v>1</v>
      </c>
      <c r="B401" s="1099" t="s">
        <v>44</v>
      </c>
      <c r="C401" s="1099"/>
      <c r="D401" s="1099"/>
      <c r="E401" s="22">
        <f>Master!AA24</f>
        <v>26</v>
      </c>
      <c r="F401" s="19"/>
      <c r="G401" s="19"/>
      <c r="H401" s="19"/>
      <c r="I401" s="16"/>
      <c r="K401" s="21">
        <v>1</v>
      </c>
      <c r="L401" s="1099" t="s">
        <v>44</v>
      </c>
      <c r="M401" s="1099"/>
      <c r="N401" s="1099"/>
      <c r="O401" s="22">
        <f>E401</f>
        <v>26</v>
      </c>
      <c r="P401" s="19"/>
      <c r="Q401" s="19"/>
      <c r="R401" s="19"/>
      <c r="S401" s="16"/>
    </row>
    <row r="402" spans="1:19">
      <c r="A402" s="21"/>
      <c r="B402" s="120"/>
      <c r="C402" s="120"/>
      <c r="D402" s="120"/>
      <c r="E402" s="120"/>
      <c r="F402" s="114"/>
      <c r="G402" s="114"/>
      <c r="H402" s="114"/>
      <c r="I402" s="16"/>
      <c r="K402" s="21"/>
      <c r="L402" s="120"/>
      <c r="M402" s="120"/>
      <c r="N402" s="120"/>
      <c r="O402" s="120"/>
      <c r="P402" s="114"/>
      <c r="Q402" s="114"/>
      <c r="R402" s="114"/>
      <c r="S402" s="16"/>
    </row>
    <row r="403" spans="1:19">
      <c r="A403" s="21">
        <v>2</v>
      </c>
      <c r="B403" s="1098" t="s">
        <v>45</v>
      </c>
      <c r="C403" s="1098"/>
      <c r="D403" s="1098"/>
      <c r="E403" s="120"/>
      <c r="F403" s="114"/>
      <c r="G403" s="114"/>
      <c r="H403" s="114"/>
      <c r="I403" s="16"/>
      <c r="K403" s="21">
        <v>2</v>
      </c>
      <c r="L403" s="1098" t="s">
        <v>45</v>
      </c>
      <c r="M403" s="1098"/>
      <c r="N403" s="1098"/>
      <c r="O403" s="120"/>
      <c r="P403" s="114"/>
      <c r="Q403" s="114"/>
      <c r="R403" s="114"/>
      <c r="S403" s="16"/>
    </row>
    <row r="404" spans="1:19">
      <c r="A404" s="21"/>
      <c r="B404" s="1098"/>
      <c r="C404" s="1098"/>
      <c r="D404" s="1098"/>
      <c r="E404" s="23" t="s">
        <v>28</v>
      </c>
      <c r="F404" s="19"/>
      <c r="G404" s="19"/>
      <c r="H404" s="19"/>
      <c r="I404" s="16"/>
      <c r="K404" s="21"/>
      <c r="L404" s="1098"/>
      <c r="M404" s="1098"/>
      <c r="N404" s="1098"/>
      <c r="O404" s="23" t="s">
        <v>28</v>
      </c>
      <c r="P404" s="19"/>
      <c r="Q404" s="19"/>
      <c r="R404" s="19"/>
      <c r="S404" s="16"/>
    </row>
    <row r="405" spans="1:19">
      <c r="A405" s="21"/>
      <c r="B405" s="120"/>
      <c r="C405" s="120"/>
      <c r="D405" s="120"/>
      <c r="E405" s="120"/>
      <c r="F405" s="114"/>
      <c r="G405" s="114"/>
      <c r="H405" s="114"/>
      <c r="I405" s="16"/>
      <c r="K405" s="21"/>
      <c r="L405" s="120"/>
      <c r="M405" s="120"/>
      <c r="N405" s="120"/>
      <c r="O405" s="120"/>
      <c r="P405" s="114"/>
      <c r="Q405" s="114"/>
      <c r="R405" s="114"/>
      <c r="S405" s="16"/>
    </row>
    <row r="406" spans="1:19">
      <c r="A406" s="21">
        <v>3</v>
      </c>
      <c r="B406" s="1099" t="s">
        <v>46</v>
      </c>
      <c r="C406" s="1099"/>
      <c r="D406" s="1099"/>
      <c r="E406" s="23" t="s">
        <v>28</v>
      </c>
      <c r="F406" s="19"/>
      <c r="G406" s="19"/>
      <c r="H406" s="19"/>
      <c r="I406" s="16"/>
      <c r="K406" s="21">
        <v>3</v>
      </c>
      <c r="L406" s="1099" t="s">
        <v>46</v>
      </c>
      <c r="M406" s="1099"/>
      <c r="N406" s="1099"/>
      <c r="O406" s="18" t="str">
        <f>E406</f>
        <v>N/A</v>
      </c>
      <c r="P406" s="19"/>
      <c r="Q406" s="19"/>
      <c r="R406" s="19"/>
      <c r="S406" s="16"/>
    </row>
    <row r="407" spans="1:19">
      <c r="A407" s="21"/>
      <c r="B407" s="120"/>
      <c r="C407" s="120"/>
      <c r="D407" s="120"/>
      <c r="E407" s="120"/>
      <c r="F407" s="114"/>
      <c r="G407" s="114"/>
      <c r="H407" s="114"/>
      <c r="I407" s="16"/>
      <c r="K407" s="21"/>
      <c r="L407" s="120"/>
      <c r="M407" s="120"/>
      <c r="N407" s="120"/>
      <c r="O407" s="120"/>
      <c r="P407" s="114"/>
      <c r="Q407" s="114"/>
      <c r="R407" s="114"/>
      <c r="S407" s="16"/>
    </row>
    <row r="408" spans="1:19">
      <c r="A408" s="21">
        <v>4</v>
      </c>
      <c r="B408" s="1099" t="s">
        <v>47</v>
      </c>
      <c r="C408" s="1099"/>
      <c r="D408" s="1099"/>
      <c r="E408" s="23" t="s">
        <v>48</v>
      </c>
      <c r="F408" s="19"/>
      <c r="G408" s="19"/>
      <c r="H408" s="19"/>
      <c r="I408" s="16"/>
      <c r="K408" s="21">
        <v>4</v>
      </c>
      <c r="L408" s="1099" t="s">
        <v>47</v>
      </c>
      <c r="M408" s="1099"/>
      <c r="N408" s="1099"/>
      <c r="O408" s="23" t="s">
        <v>48</v>
      </c>
      <c r="P408" s="19"/>
      <c r="Q408" s="19"/>
      <c r="R408" s="19"/>
      <c r="S408" s="16"/>
    </row>
    <row r="409" spans="1:19">
      <c r="A409" s="21"/>
      <c r="B409" s="120"/>
      <c r="C409" s="120"/>
      <c r="D409" s="120"/>
      <c r="E409" s="120"/>
      <c r="F409" s="114"/>
      <c r="G409" s="114"/>
      <c r="H409" s="114"/>
      <c r="I409" s="16"/>
      <c r="K409" s="21"/>
      <c r="L409" s="120"/>
      <c r="M409" s="120"/>
      <c r="N409" s="120"/>
      <c r="O409" s="120"/>
      <c r="P409" s="114"/>
      <c r="Q409" s="114"/>
      <c r="R409" s="114"/>
      <c r="S409" s="16"/>
    </row>
    <row r="410" spans="1:19">
      <c r="A410" s="21">
        <v>5</v>
      </c>
      <c r="B410" s="1099" t="s">
        <v>49</v>
      </c>
      <c r="C410" s="1099"/>
      <c r="D410" s="1099"/>
      <c r="E410" s="24">
        <f>Master!AK24</f>
        <v>9932.4666666666653</v>
      </c>
      <c r="F410" s="19"/>
      <c r="G410" s="19"/>
      <c r="H410" s="19"/>
      <c r="I410" s="16"/>
      <c r="K410" s="21">
        <v>5</v>
      </c>
      <c r="L410" s="1099" t="s">
        <v>49</v>
      </c>
      <c r="M410" s="1099"/>
      <c r="N410" s="1099"/>
      <c r="O410" s="24">
        <f>E410</f>
        <v>9932.4666666666653</v>
      </c>
      <c r="P410" s="19"/>
      <c r="Q410" s="19"/>
      <c r="R410" s="19"/>
      <c r="S410" s="16"/>
    </row>
    <row r="411" spans="1:19">
      <c r="A411" s="21"/>
      <c r="B411" s="120"/>
      <c r="C411" s="120"/>
      <c r="D411" s="238" t="s">
        <v>50</v>
      </c>
      <c r="E411" s="238" t="s">
        <v>23</v>
      </c>
      <c r="F411" s="136" t="s">
        <v>25</v>
      </c>
      <c r="G411" s="238" t="s">
        <v>26</v>
      </c>
      <c r="H411" s="238" t="s">
        <v>202</v>
      </c>
      <c r="I411" s="126" t="s">
        <v>51</v>
      </c>
      <c r="K411" s="21"/>
      <c r="L411" s="120"/>
      <c r="M411" s="120"/>
      <c r="N411" s="238" t="s">
        <v>50</v>
      </c>
      <c r="O411" s="238" t="s">
        <v>23</v>
      </c>
      <c r="P411" s="136" t="s">
        <v>25</v>
      </c>
      <c r="Q411" s="238" t="s">
        <v>26</v>
      </c>
      <c r="R411" s="238" t="str">
        <f>H411</f>
        <v>ADV</v>
      </c>
      <c r="S411" s="126" t="s">
        <v>51</v>
      </c>
    </row>
    <row r="412" spans="1:19">
      <c r="A412" s="21">
        <v>6</v>
      </c>
      <c r="B412" s="377" t="s">
        <v>52</v>
      </c>
      <c r="C412" s="377"/>
      <c r="D412" s="335">
        <f>Master!AM24</f>
        <v>1192</v>
      </c>
      <c r="E412" s="335">
        <f>Master!AL24</f>
        <v>75</v>
      </c>
      <c r="F412" s="180">
        <f>Master!AN24</f>
        <v>0</v>
      </c>
      <c r="G412" s="180">
        <f>Master!AO24</f>
        <v>0</v>
      </c>
      <c r="H412" s="180">
        <f>Master!AP24</f>
        <v>0</v>
      </c>
      <c r="I412" s="127">
        <f>D412+E412+F412+G412+H412</f>
        <v>1267</v>
      </c>
      <c r="K412" s="21">
        <v>6</v>
      </c>
      <c r="L412" s="377" t="s">
        <v>52</v>
      </c>
      <c r="M412" s="377"/>
      <c r="N412" s="335">
        <f>D412</f>
        <v>1192</v>
      </c>
      <c r="O412" s="335">
        <f>E412</f>
        <v>75</v>
      </c>
      <c r="P412" s="180">
        <f>F412</f>
        <v>0</v>
      </c>
      <c r="Q412" s="180">
        <f>G412</f>
        <v>0</v>
      </c>
      <c r="R412" s="180">
        <f>H412</f>
        <v>0</v>
      </c>
      <c r="S412" s="127">
        <f>N412+O412+R412</f>
        <v>1267</v>
      </c>
    </row>
    <row r="413" spans="1:19">
      <c r="A413" s="21"/>
      <c r="B413" s="120"/>
      <c r="C413" s="120"/>
      <c r="D413" s="120"/>
      <c r="E413" s="120"/>
      <c r="F413" s="114"/>
      <c r="G413" s="114"/>
      <c r="H413" s="114"/>
      <c r="I413" s="16"/>
      <c r="K413" s="21"/>
      <c r="L413" s="120"/>
      <c r="M413" s="120"/>
      <c r="N413" s="120"/>
      <c r="O413" s="120"/>
      <c r="P413" s="114"/>
      <c r="Q413" s="114"/>
      <c r="R413" s="114"/>
      <c r="S413" s="16"/>
    </row>
    <row r="414" spans="1:19">
      <c r="A414" s="21">
        <v>7</v>
      </c>
      <c r="B414" s="1099" t="s">
        <v>53</v>
      </c>
      <c r="C414" s="1099"/>
      <c r="D414" s="1099"/>
      <c r="E414" s="24">
        <f>E410-I412</f>
        <v>8665.4666666666653</v>
      </c>
      <c r="F414" s="19"/>
      <c r="G414" s="19"/>
      <c r="H414" s="19"/>
      <c r="I414" s="16"/>
      <c r="K414" s="21">
        <v>7</v>
      </c>
      <c r="L414" s="1099" t="s">
        <v>53</v>
      </c>
      <c r="M414" s="1099"/>
      <c r="N414" s="1099"/>
      <c r="O414" s="24">
        <f>E414</f>
        <v>8665.4666666666653</v>
      </c>
      <c r="P414" s="19"/>
      <c r="Q414" s="19"/>
      <c r="R414" s="19"/>
      <c r="S414" s="16"/>
    </row>
    <row r="415" spans="1:19">
      <c r="A415" s="15"/>
      <c r="B415" s="114"/>
      <c r="C415" s="114"/>
      <c r="D415" s="114"/>
      <c r="E415" s="114"/>
      <c r="F415" s="114"/>
      <c r="G415" s="114"/>
      <c r="H415" s="114"/>
      <c r="I415" s="16"/>
      <c r="K415" s="15"/>
      <c r="L415" s="114"/>
      <c r="M415" s="114"/>
      <c r="N415" s="114"/>
      <c r="O415" s="114"/>
      <c r="P415" s="114"/>
      <c r="Q415" s="114"/>
      <c r="R415" s="114"/>
      <c r="S415" s="16"/>
    </row>
    <row r="416" spans="1:19">
      <c r="A416" s="15"/>
      <c r="B416" s="114"/>
      <c r="C416" s="114"/>
      <c r="D416" s="114"/>
      <c r="E416" s="114"/>
      <c r="F416" s="114"/>
      <c r="G416" s="114"/>
      <c r="H416" s="114"/>
      <c r="I416" s="16"/>
      <c r="K416" s="15"/>
      <c r="L416" s="114"/>
      <c r="M416" s="114"/>
      <c r="N416" s="114"/>
      <c r="O416" s="114"/>
      <c r="P416" s="114"/>
      <c r="Q416" s="114"/>
      <c r="R416" s="114"/>
      <c r="S416" s="16"/>
    </row>
    <row r="417" spans="1:19" ht="15" thickBot="1">
      <c r="A417" s="15"/>
      <c r="B417" s="114"/>
      <c r="C417" s="114"/>
      <c r="D417" s="114"/>
      <c r="E417" s="114"/>
      <c r="F417" s="25"/>
      <c r="G417" s="25"/>
      <c r="H417" s="25"/>
      <c r="I417" s="26"/>
      <c r="K417" s="15"/>
      <c r="L417" s="114"/>
      <c r="M417" s="114"/>
      <c r="N417" s="114"/>
      <c r="O417" s="114"/>
      <c r="P417" s="25"/>
      <c r="Q417" s="25"/>
      <c r="R417" s="25"/>
      <c r="S417" s="26"/>
    </row>
    <row r="418" spans="1:19" ht="15" thickBot="1">
      <c r="A418" s="27"/>
      <c r="B418" s="25"/>
      <c r="C418" s="25"/>
      <c r="D418" s="25"/>
      <c r="E418" s="999" t="s">
        <v>54</v>
      </c>
      <c r="F418" s="999"/>
      <c r="G418" s="999"/>
      <c r="H418" s="999"/>
      <c r="I418" s="1100"/>
      <c r="K418" s="27"/>
      <c r="L418" s="25"/>
      <c r="M418" s="25"/>
      <c r="N418" s="25"/>
      <c r="O418" s="28" t="s">
        <v>54</v>
      </c>
      <c r="P418" s="25"/>
      <c r="Q418" s="28"/>
      <c r="R418" s="28"/>
      <c r="S418" s="29"/>
    </row>
    <row r="419" spans="1:19">
      <c r="A419" s="114"/>
      <c r="B419" s="114"/>
      <c r="C419" s="114"/>
      <c r="D419" s="114"/>
      <c r="E419" s="325"/>
      <c r="F419" s="325"/>
      <c r="G419" s="325"/>
      <c r="H419" s="325"/>
      <c r="I419" s="325"/>
      <c r="K419" s="114"/>
      <c r="L419" s="114"/>
      <c r="M419" s="114"/>
      <c r="N419" s="114"/>
      <c r="O419" s="114"/>
      <c r="P419" s="114"/>
      <c r="Q419" s="114"/>
      <c r="R419" s="114"/>
      <c r="S419" s="114"/>
    </row>
    <row r="420" spans="1:19">
      <c r="A420" s="114"/>
      <c r="B420" s="114"/>
      <c r="C420" s="114"/>
      <c r="D420" s="114"/>
      <c r="E420" s="325"/>
      <c r="F420" s="325"/>
      <c r="G420" s="325"/>
      <c r="H420" s="325"/>
      <c r="I420" s="325"/>
      <c r="K420" s="114"/>
      <c r="L420" s="114"/>
      <c r="M420" s="114"/>
      <c r="N420" s="114"/>
      <c r="O420" s="114"/>
      <c r="P420" s="114"/>
      <c r="Q420" s="114"/>
      <c r="R420" s="114"/>
      <c r="S420" s="114"/>
    </row>
    <row r="421" spans="1:19">
      <c r="A421" s="114"/>
      <c r="B421" s="114"/>
      <c r="C421" s="114"/>
      <c r="D421" s="114"/>
      <c r="E421" s="325"/>
      <c r="F421" s="325"/>
      <c r="G421" s="325"/>
      <c r="H421" s="325"/>
      <c r="I421" s="325"/>
      <c r="K421" s="114"/>
      <c r="L421" s="114"/>
      <c r="M421" s="114"/>
      <c r="N421" s="114"/>
      <c r="O421" s="114"/>
      <c r="P421" s="114"/>
      <c r="Q421" s="114"/>
      <c r="R421" s="114"/>
      <c r="S421" s="114"/>
    </row>
    <row r="422" spans="1:19">
      <c r="A422" s="114"/>
      <c r="B422" s="114"/>
      <c r="C422" s="114"/>
      <c r="D422" s="114"/>
      <c r="E422" s="325"/>
      <c r="F422" s="325"/>
      <c r="G422" s="325"/>
      <c r="H422" s="325"/>
      <c r="I422" s="325"/>
      <c r="K422" s="114"/>
      <c r="L422" s="114"/>
      <c r="M422" s="114"/>
      <c r="N422" s="114"/>
      <c r="O422" s="114"/>
      <c r="P422" s="114"/>
      <c r="Q422" s="114"/>
      <c r="R422" s="114"/>
      <c r="S422" s="114"/>
    </row>
    <row r="423" spans="1:19">
      <c r="A423" s="114"/>
      <c r="B423" s="114"/>
      <c r="C423" s="114"/>
      <c r="D423" s="114"/>
      <c r="E423" s="325"/>
      <c r="F423" s="325"/>
      <c r="G423" s="325"/>
      <c r="H423" s="325"/>
      <c r="I423" s="325"/>
      <c r="K423" s="114"/>
      <c r="L423" s="114"/>
      <c r="M423" s="114"/>
      <c r="N423" s="114"/>
      <c r="O423" s="114"/>
      <c r="P423" s="114"/>
      <c r="Q423" s="114"/>
      <c r="R423" s="114"/>
      <c r="S423" s="114"/>
    </row>
    <row r="424" spans="1:19">
      <c r="A424" s="114"/>
      <c r="B424" s="114"/>
      <c r="C424" s="114"/>
      <c r="D424" s="114"/>
      <c r="E424" s="325"/>
      <c r="F424" s="325"/>
      <c r="G424" s="325"/>
      <c r="H424" s="325"/>
      <c r="I424" s="325"/>
      <c r="K424" s="114"/>
      <c r="L424" s="114"/>
      <c r="M424" s="114"/>
      <c r="N424" s="114"/>
      <c r="O424" s="114"/>
      <c r="P424" s="114"/>
      <c r="Q424" s="114"/>
      <c r="R424" s="114"/>
      <c r="S424" s="114"/>
    </row>
    <row r="425" spans="1:19">
      <c r="A425" s="114"/>
      <c r="B425" s="114"/>
      <c r="C425" s="114"/>
      <c r="D425" s="114"/>
      <c r="E425" s="325"/>
      <c r="F425" s="325"/>
      <c r="G425" s="325"/>
      <c r="H425" s="325"/>
      <c r="I425" s="325"/>
      <c r="K425" s="114"/>
      <c r="L425" s="114"/>
      <c r="M425" s="114"/>
      <c r="N425" s="114"/>
      <c r="O425" s="114"/>
      <c r="P425" s="114"/>
      <c r="Q425" s="114"/>
      <c r="R425" s="114"/>
      <c r="S425" s="114"/>
    </row>
    <row r="426" spans="1:19">
      <c r="A426" s="114"/>
      <c r="B426" s="114"/>
      <c r="C426" s="114"/>
      <c r="D426" s="114"/>
      <c r="E426" s="325"/>
      <c r="F426" s="325"/>
      <c r="G426" s="325"/>
      <c r="H426" s="325"/>
      <c r="I426" s="325"/>
      <c r="K426" s="114"/>
      <c r="L426" s="114"/>
      <c r="M426" s="114"/>
      <c r="N426" s="114"/>
      <c r="O426" s="114"/>
      <c r="P426" s="114"/>
      <c r="Q426" s="114"/>
      <c r="R426" s="114"/>
      <c r="S426" s="114"/>
    </row>
    <row r="427" spans="1:19">
      <c r="A427" s="114"/>
      <c r="B427" s="114"/>
      <c r="C427" s="114"/>
      <c r="D427" s="114"/>
      <c r="E427" s="325"/>
      <c r="F427" s="325"/>
      <c r="G427" s="325"/>
      <c r="H427" s="325"/>
      <c r="I427" s="325"/>
      <c r="K427" s="114"/>
      <c r="L427" s="114"/>
      <c r="M427" s="114"/>
      <c r="N427" s="114"/>
      <c r="O427" s="114"/>
      <c r="P427" s="114"/>
      <c r="Q427" s="114"/>
      <c r="R427" s="114"/>
      <c r="S427" s="114"/>
    </row>
    <row r="428" spans="1:19">
      <c r="A428" s="114"/>
      <c r="B428" s="114"/>
      <c r="C428" s="114"/>
      <c r="D428" s="114"/>
      <c r="E428" s="325"/>
      <c r="F428" s="325"/>
      <c r="G428" s="325"/>
      <c r="H428" s="325"/>
      <c r="I428" s="325"/>
      <c r="K428" s="114"/>
      <c r="L428" s="114"/>
      <c r="M428" s="114"/>
      <c r="N428" s="114"/>
      <c r="O428" s="114"/>
      <c r="P428" s="114"/>
      <c r="Q428" s="114"/>
      <c r="R428" s="114"/>
      <c r="S428" s="114"/>
    </row>
    <row r="429" spans="1:19">
      <c r="A429" s="114"/>
      <c r="B429" s="114"/>
      <c r="C429" s="114"/>
      <c r="D429" s="114"/>
      <c r="E429" s="325"/>
      <c r="F429" s="325"/>
      <c r="G429" s="325"/>
      <c r="H429" s="325"/>
      <c r="I429" s="325"/>
      <c r="K429" s="114"/>
      <c r="L429" s="114"/>
      <c r="M429" s="114"/>
      <c r="N429" s="114"/>
      <c r="O429" s="114"/>
      <c r="P429" s="114"/>
      <c r="Q429" s="114"/>
      <c r="R429" s="114"/>
      <c r="S429" s="114"/>
    </row>
    <row r="430" spans="1:19" ht="15" thickBot="1"/>
    <row r="431" spans="1:19" ht="24.6">
      <c r="A431" s="1091" t="s">
        <v>39</v>
      </c>
      <c r="B431" s="1092"/>
      <c r="C431" s="1092"/>
      <c r="D431" s="1092"/>
      <c r="E431" s="1092"/>
      <c r="F431" s="1092"/>
      <c r="G431" s="1092"/>
      <c r="H431" s="1092"/>
      <c r="I431" s="1093"/>
      <c r="K431" s="1091" t="s">
        <v>39</v>
      </c>
      <c r="L431" s="1092"/>
      <c r="M431" s="1092"/>
      <c r="N431" s="1092"/>
      <c r="O431" s="1092"/>
      <c r="P431" s="1092"/>
      <c r="Q431" s="1092"/>
      <c r="R431" s="1092"/>
      <c r="S431" s="1093"/>
    </row>
    <row r="432" spans="1:19">
      <c r="A432" s="1094" t="s">
        <v>1075</v>
      </c>
      <c r="B432" s="1095"/>
      <c r="C432" s="1095"/>
      <c r="D432" s="1095"/>
      <c r="E432" s="1095"/>
      <c r="F432" s="1095"/>
      <c r="G432" s="1095"/>
      <c r="H432" s="1095"/>
      <c r="I432" s="1096"/>
      <c r="K432" s="1094" t="str">
        <f>A432</f>
        <v>[Vide rule 78 (1) (b) of the Contract Labour (Regulation and Abolition) Central and A.P.{T.S.}Rules, 1971]</v>
      </c>
      <c r="L432" s="1095"/>
      <c r="M432" s="1095"/>
      <c r="N432" s="1095"/>
      <c r="O432" s="1095"/>
      <c r="P432" s="1095"/>
      <c r="Q432" s="1095"/>
      <c r="R432" s="1095"/>
      <c r="S432" s="1096"/>
    </row>
    <row r="433" spans="1:19">
      <c r="A433" s="15"/>
      <c r="B433" s="114"/>
      <c r="C433" s="114"/>
      <c r="D433" s="114"/>
      <c r="E433" s="114"/>
      <c r="F433" s="114"/>
      <c r="G433" s="114"/>
      <c r="H433" s="114"/>
      <c r="I433" s="16"/>
      <c r="K433" s="15"/>
      <c r="L433" s="114"/>
      <c r="M433" s="114"/>
      <c r="N433" s="114"/>
      <c r="O433" s="114"/>
      <c r="P433" s="114"/>
      <c r="Q433" s="114"/>
      <c r="R433" s="114"/>
      <c r="S433" s="16"/>
    </row>
    <row r="434" spans="1:19">
      <c r="A434" s="17" t="s">
        <v>40</v>
      </c>
      <c r="B434" s="120"/>
      <c r="C434" s="120"/>
      <c r="D434" s="121" t="str">
        <f>Master!F5</f>
        <v>GROTECH LANDSCAPE DEVELOPERS PVT. LTD.</v>
      </c>
      <c r="E434" s="114"/>
      <c r="F434" s="114"/>
      <c r="G434" s="114"/>
      <c r="H434" s="114"/>
      <c r="I434" s="16"/>
      <c r="K434" s="17" t="s">
        <v>40</v>
      </c>
      <c r="L434" s="120"/>
      <c r="M434" s="120"/>
      <c r="N434" s="121" t="str">
        <f>D434</f>
        <v>GROTECH LANDSCAPE DEVELOPERS PVT. LTD.</v>
      </c>
      <c r="O434" s="114"/>
      <c r="P434" s="114"/>
      <c r="Q434" s="114"/>
      <c r="R434" s="114"/>
      <c r="S434" s="16"/>
    </row>
    <row r="435" spans="1:19">
      <c r="A435" s="17"/>
      <c r="B435" s="120" t="str">
        <f>Master!F6</f>
        <v>290/E, Khanapur Village, Gandipet Mandal, Ranga Reddy, Hyderabad-500075 T.S.</v>
      </c>
      <c r="C435" s="120"/>
      <c r="D435" s="114"/>
      <c r="E435" s="114"/>
      <c r="F435" s="114"/>
      <c r="G435" s="114"/>
      <c r="H435" s="114"/>
      <c r="I435" s="16"/>
      <c r="K435" s="17"/>
      <c r="L435" s="120" t="str">
        <f>B435</f>
        <v>290/E, Khanapur Village, Gandipet Mandal, Ranga Reddy, Hyderabad-500075 T.S.</v>
      </c>
      <c r="M435" s="120"/>
      <c r="N435" s="114"/>
      <c r="O435" s="114"/>
      <c r="P435" s="114"/>
      <c r="Q435" s="114"/>
      <c r="R435" s="114"/>
      <c r="S435" s="16"/>
    </row>
    <row r="436" spans="1:19">
      <c r="A436" s="17"/>
      <c r="B436" s="120"/>
      <c r="C436" s="120"/>
      <c r="D436" s="120"/>
      <c r="E436" s="120"/>
      <c r="F436" s="114"/>
      <c r="G436" s="114"/>
      <c r="H436" s="114"/>
      <c r="I436" s="16"/>
      <c r="K436" s="17"/>
      <c r="L436" s="120"/>
      <c r="M436" s="120"/>
      <c r="N436" s="120"/>
      <c r="O436" s="120"/>
      <c r="P436" s="114"/>
      <c r="Q436" s="114"/>
      <c r="R436" s="114"/>
      <c r="S436" s="16"/>
    </row>
    <row r="437" spans="1:19">
      <c r="A437" s="1097" t="s">
        <v>41</v>
      </c>
      <c r="B437" s="1098"/>
      <c r="C437" s="1098"/>
      <c r="D437" s="1098"/>
      <c r="E437" s="120"/>
      <c r="F437" s="114"/>
      <c r="G437" s="114"/>
      <c r="H437" s="114"/>
      <c r="I437" s="16"/>
      <c r="K437" s="1097" t="s">
        <v>41</v>
      </c>
      <c r="L437" s="1098"/>
      <c r="M437" s="1098"/>
      <c r="N437" s="1098"/>
      <c r="O437" s="120"/>
      <c r="P437" s="114"/>
      <c r="Q437" s="114"/>
      <c r="R437" s="114"/>
      <c r="S437" s="16"/>
    </row>
    <row r="438" spans="1:19">
      <c r="A438" s="1097"/>
      <c r="B438" s="1098"/>
      <c r="C438" s="1098"/>
      <c r="D438" s="1098"/>
      <c r="E438" s="128" t="str">
        <f>Master!D25</f>
        <v>Mutholla Mallesh</v>
      </c>
      <c r="F438" s="19"/>
      <c r="G438" s="19"/>
      <c r="H438" s="19" t="str">
        <f>Master!G25</f>
        <v>Mutholla balaiah</v>
      </c>
      <c r="I438" s="16"/>
      <c r="K438" s="1097"/>
      <c r="L438" s="1098"/>
      <c r="M438" s="1098"/>
      <c r="N438" s="1098"/>
      <c r="O438" s="18" t="str">
        <f>E438</f>
        <v>Mutholla Mallesh</v>
      </c>
      <c r="P438" s="19"/>
      <c r="Q438" s="19"/>
      <c r="R438" s="19" t="str">
        <f>H438</f>
        <v>Mutholla balaiah</v>
      </c>
      <c r="S438" s="16"/>
    </row>
    <row r="439" spans="1:19">
      <c r="A439" s="17"/>
      <c r="B439" s="120"/>
      <c r="C439" s="120"/>
      <c r="D439" s="120"/>
      <c r="E439" s="120"/>
      <c r="F439" s="114"/>
      <c r="G439" s="114"/>
      <c r="H439" s="114"/>
      <c r="I439" s="16"/>
      <c r="K439" s="17"/>
      <c r="L439" s="120"/>
      <c r="M439" s="120"/>
      <c r="N439" s="120"/>
      <c r="O439" s="120"/>
      <c r="P439" s="114"/>
      <c r="Q439" s="114"/>
      <c r="R439" s="114"/>
      <c r="S439" s="16"/>
    </row>
    <row r="440" spans="1:19">
      <c r="A440" s="1101" t="s">
        <v>42</v>
      </c>
      <c r="B440" s="1099"/>
      <c r="C440" s="1099"/>
      <c r="D440" s="1099"/>
      <c r="E440" s="24" t="str">
        <f>Master!F8</f>
        <v>GARDENING SERVICES&amp;ISB HYDERABAD</v>
      </c>
      <c r="F440" s="19"/>
      <c r="G440" s="19"/>
      <c r="H440" s="19"/>
      <c r="I440" s="16"/>
      <c r="K440" s="1101" t="s">
        <v>42</v>
      </c>
      <c r="L440" s="1099"/>
      <c r="M440" s="1099"/>
      <c r="N440" s="1099"/>
      <c r="O440" s="24" t="str">
        <f>E440</f>
        <v>GARDENING SERVICES&amp;ISB HYDERABAD</v>
      </c>
      <c r="P440" s="19"/>
      <c r="Q440" s="19"/>
      <c r="R440" s="19"/>
      <c r="S440" s="16"/>
    </row>
    <row r="441" spans="1:19">
      <c r="A441" s="17"/>
      <c r="B441" s="120"/>
      <c r="C441" s="120"/>
      <c r="D441" s="120"/>
      <c r="E441" s="120"/>
      <c r="F441" s="114"/>
      <c r="G441" s="114"/>
      <c r="H441" s="114"/>
      <c r="I441" s="16"/>
      <c r="K441" s="17"/>
      <c r="L441" s="120"/>
      <c r="M441" s="120"/>
      <c r="N441" s="120"/>
      <c r="O441" s="120"/>
      <c r="P441" s="114"/>
      <c r="Q441" s="114"/>
      <c r="R441" s="114"/>
      <c r="S441" s="16"/>
    </row>
    <row r="442" spans="1:19">
      <c r="A442" s="1101" t="s">
        <v>43</v>
      </c>
      <c r="B442" s="1099"/>
      <c r="C442" s="1099"/>
      <c r="D442" s="1099"/>
      <c r="E442" s="20">
        <f>Master!F10</f>
        <v>44652</v>
      </c>
      <c r="F442" s="19"/>
      <c r="G442" s="19"/>
      <c r="H442" s="19"/>
      <c r="I442" s="16"/>
      <c r="K442" s="1101" t="s">
        <v>43</v>
      </c>
      <c r="L442" s="1099"/>
      <c r="M442" s="1099"/>
      <c r="N442" s="1099"/>
      <c r="O442" s="20">
        <f>E442</f>
        <v>44652</v>
      </c>
      <c r="P442" s="19"/>
      <c r="Q442" s="19"/>
      <c r="R442" s="19"/>
      <c r="S442" s="16"/>
    </row>
    <row r="443" spans="1:19">
      <c r="A443" s="17"/>
      <c r="B443" s="120"/>
      <c r="C443" s="120"/>
      <c r="D443" s="120"/>
      <c r="E443" s="120"/>
      <c r="F443" s="114"/>
      <c r="G443" s="114"/>
      <c r="H443" s="114"/>
      <c r="I443" s="16"/>
      <c r="K443" s="17"/>
      <c r="L443" s="120"/>
      <c r="M443" s="120"/>
      <c r="N443" s="120"/>
      <c r="O443" s="120"/>
      <c r="P443" s="114"/>
      <c r="Q443" s="114"/>
      <c r="R443" s="114"/>
      <c r="S443" s="16"/>
    </row>
    <row r="444" spans="1:19">
      <c r="A444" s="21">
        <v>1</v>
      </c>
      <c r="B444" s="1099" t="s">
        <v>44</v>
      </c>
      <c r="C444" s="1099"/>
      <c r="D444" s="1099"/>
      <c r="E444" s="22">
        <f>Master!AA25</f>
        <v>26</v>
      </c>
      <c r="F444" s="19"/>
      <c r="G444" s="19"/>
      <c r="H444" s="19"/>
      <c r="I444" s="16"/>
      <c r="K444" s="21">
        <v>1</v>
      </c>
      <c r="L444" s="1099" t="s">
        <v>44</v>
      </c>
      <c r="M444" s="1099"/>
      <c r="N444" s="1099"/>
      <c r="O444" s="22">
        <f>E444</f>
        <v>26</v>
      </c>
      <c r="P444" s="19"/>
      <c r="Q444" s="19"/>
      <c r="R444" s="19"/>
      <c r="S444" s="16"/>
    </row>
    <row r="445" spans="1:19">
      <c r="A445" s="21"/>
      <c r="B445" s="120"/>
      <c r="C445" s="120"/>
      <c r="D445" s="120"/>
      <c r="E445" s="120"/>
      <c r="F445" s="114"/>
      <c r="G445" s="114"/>
      <c r="H445" s="114"/>
      <c r="I445" s="16"/>
      <c r="K445" s="21"/>
      <c r="L445" s="120"/>
      <c r="M445" s="120"/>
      <c r="N445" s="120"/>
      <c r="O445" s="120"/>
      <c r="P445" s="114"/>
      <c r="Q445" s="114"/>
      <c r="R445" s="114"/>
      <c r="S445" s="16"/>
    </row>
    <row r="446" spans="1:19">
      <c r="A446" s="21">
        <v>2</v>
      </c>
      <c r="B446" s="1098" t="s">
        <v>45</v>
      </c>
      <c r="C446" s="1098"/>
      <c r="D446" s="1098"/>
      <c r="E446" s="120"/>
      <c r="F446" s="114"/>
      <c r="G446" s="114"/>
      <c r="H446" s="114"/>
      <c r="I446" s="16"/>
      <c r="K446" s="21">
        <v>2</v>
      </c>
      <c r="L446" s="1098" t="s">
        <v>45</v>
      </c>
      <c r="M446" s="1098"/>
      <c r="N446" s="1098"/>
      <c r="O446" s="120"/>
      <c r="P446" s="114"/>
      <c r="Q446" s="114"/>
      <c r="R446" s="114"/>
      <c r="S446" s="16"/>
    </row>
    <row r="447" spans="1:19">
      <c r="A447" s="21"/>
      <c r="B447" s="1098"/>
      <c r="C447" s="1098"/>
      <c r="D447" s="1098"/>
      <c r="E447" s="23" t="s">
        <v>28</v>
      </c>
      <c r="F447" s="19"/>
      <c r="G447" s="19"/>
      <c r="H447" s="19"/>
      <c r="I447" s="16"/>
      <c r="K447" s="21"/>
      <c r="L447" s="1098"/>
      <c r="M447" s="1098"/>
      <c r="N447" s="1098"/>
      <c r="O447" s="23" t="s">
        <v>28</v>
      </c>
      <c r="P447" s="19"/>
      <c r="Q447" s="19"/>
      <c r="R447" s="19"/>
      <c r="S447" s="16"/>
    </row>
    <row r="448" spans="1:19">
      <c r="A448" s="21"/>
      <c r="B448" s="120"/>
      <c r="C448" s="120"/>
      <c r="D448" s="120"/>
      <c r="E448" s="120"/>
      <c r="F448" s="114"/>
      <c r="G448" s="114"/>
      <c r="H448" s="114"/>
      <c r="I448" s="16"/>
      <c r="K448" s="21"/>
      <c r="L448" s="120"/>
      <c r="M448" s="120"/>
      <c r="N448" s="120"/>
      <c r="O448" s="120"/>
      <c r="P448" s="114"/>
      <c r="Q448" s="114"/>
      <c r="R448" s="114"/>
      <c r="S448" s="16"/>
    </row>
    <row r="449" spans="1:19">
      <c r="A449" s="21">
        <v>3</v>
      </c>
      <c r="B449" s="1099" t="s">
        <v>46</v>
      </c>
      <c r="C449" s="1099"/>
      <c r="D449" s="1099"/>
      <c r="E449" s="23" t="s">
        <v>28</v>
      </c>
      <c r="F449" s="19"/>
      <c r="G449" s="19"/>
      <c r="H449" s="19"/>
      <c r="I449" s="16"/>
      <c r="K449" s="21">
        <v>3</v>
      </c>
      <c r="L449" s="1099" t="s">
        <v>46</v>
      </c>
      <c r="M449" s="1099"/>
      <c r="N449" s="1099"/>
      <c r="O449" s="18" t="str">
        <f>E449</f>
        <v>N/A</v>
      </c>
      <c r="P449" s="19"/>
      <c r="Q449" s="19"/>
      <c r="R449" s="19"/>
      <c r="S449" s="16"/>
    </row>
    <row r="450" spans="1:19">
      <c r="A450" s="21"/>
      <c r="B450" s="120"/>
      <c r="C450" s="120"/>
      <c r="D450" s="120"/>
      <c r="E450" s="120"/>
      <c r="F450" s="114"/>
      <c r="G450" s="114"/>
      <c r="H450" s="114"/>
      <c r="I450" s="16"/>
      <c r="K450" s="21"/>
      <c r="L450" s="120"/>
      <c r="M450" s="120"/>
      <c r="N450" s="120"/>
      <c r="O450" s="120"/>
      <c r="P450" s="114"/>
      <c r="Q450" s="114"/>
      <c r="R450" s="114"/>
      <c r="S450" s="16"/>
    </row>
    <row r="451" spans="1:19">
      <c r="A451" s="21">
        <v>4</v>
      </c>
      <c r="B451" s="1099" t="s">
        <v>47</v>
      </c>
      <c r="C451" s="1099"/>
      <c r="D451" s="1099"/>
      <c r="E451" s="23" t="s">
        <v>48</v>
      </c>
      <c r="F451" s="19"/>
      <c r="G451" s="19"/>
      <c r="H451" s="19"/>
      <c r="I451" s="16"/>
      <c r="K451" s="21">
        <v>4</v>
      </c>
      <c r="L451" s="1099" t="s">
        <v>47</v>
      </c>
      <c r="M451" s="1099"/>
      <c r="N451" s="1099"/>
      <c r="O451" s="23" t="s">
        <v>48</v>
      </c>
      <c r="P451" s="19"/>
      <c r="Q451" s="19"/>
      <c r="R451" s="19"/>
      <c r="S451" s="16"/>
    </row>
    <row r="452" spans="1:19">
      <c r="A452" s="21"/>
      <c r="B452" s="120"/>
      <c r="C452" s="120"/>
      <c r="D452" s="120"/>
      <c r="E452" s="120"/>
      <c r="F452" s="114"/>
      <c r="G452" s="114"/>
      <c r="H452" s="114"/>
      <c r="I452" s="16"/>
      <c r="K452" s="21"/>
      <c r="L452" s="120"/>
      <c r="M452" s="120"/>
      <c r="N452" s="120"/>
      <c r="O452" s="120"/>
      <c r="P452" s="114"/>
      <c r="Q452" s="114"/>
      <c r="R452" s="114"/>
      <c r="S452" s="16"/>
    </row>
    <row r="453" spans="1:19">
      <c r="A453" s="21">
        <v>5</v>
      </c>
      <c r="B453" s="1099" t="s">
        <v>49</v>
      </c>
      <c r="C453" s="1099"/>
      <c r="D453" s="1099"/>
      <c r="E453" s="24">
        <f>Master!AK25</f>
        <v>9932.4666666666653</v>
      </c>
      <c r="F453" s="19"/>
      <c r="G453" s="19"/>
      <c r="H453" s="19"/>
      <c r="I453" s="16"/>
      <c r="K453" s="21">
        <v>5</v>
      </c>
      <c r="L453" s="1099" t="s">
        <v>49</v>
      </c>
      <c r="M453" s="1099"/>
      <c r="N453" s="1099"/>
      <c r="O453" s="24">
        <f>E453</f>
        <v>9932.4666666666653</v>
      </c>
      <c r="P453" s="19"/>
      <c r="Q453" s="19"/>
      <c r="R453" s="19"/>
      <c r="S453" s="16"/>
    </row>
    <row r="454" spans="1:19">
      <c r="A454" s="21"/>
      <c r="B454" s="120"/>
      <c r="C454" s="120"/>
      <c r="D454" s="238" t="s">
        <v>50</v>
      </c>
      <c r="E454" s="238" t="s">
        <v>23</v>
      </c>
      <c r="F454" s="136" t="s">
        <v>25</v>
      </c>
      <c r="G454" s="238" t="s">
        <v>26</v>
      </c>
      <c r="H454" s="238" t="s">
        <v>202</v>
      </c>
      <c r="I454" s="126" t="s">
        <v>51</v>
      </c>
      <c r="K454" s="21"/>
      <c r="L454" s="120"/>
      <c r="M454" s="120"/>
      <c r="N454" s="238" t="s">
        <v>50</v>
      </c>
      <c r="O454" s="238" t="s">
        <v>23</v>
      </c>
      <c r="P454" s="136" t="s">
        <v>25</v>
      </c>
      <c r="Q454" s="238" t="s">
        <v>26</v>
      </c>
      <c r="R454" s="238" t="str">
        <f>H454</f>
        <v>ADV</v>
      </c>
      <c r="S454" s="126" t="s">
        <v>51</v>
      </c>
    </row>
    <row r="455" spans="1:19">
      <c r="A455" s="21">
        <v>6</v>
      </c>
      <c r="B455" s="377" t="s">
        <v>52</v>
      </c>
      <c r="C455" s="377"/>
      <c r="D455" s="335">
        <f>Master!AM25</f>
        <v>1192</v>
      </c>
      <c r="E455" s="335">
        <f>Master!AL25</f>
        <v>75</v>
      </c>
      <c r="F455" s="180">
        <f>Master!AN25</f>
        <v>0</v>
      </c>
      <c r="G455" s="180">
        <f>Master!AO25</f>
        <v>0</v>
      </c>
      <c r="H455" s="180">
        <f>Master!AP25</f>
        <v>0</v>
      </c>
      <c r="I455" s="127">
        <f>D455+E455+F455+G455+H455</f>
        <v>1267</v>
      </c>
      <c r="K455" s="21">
        <v>6</v>
      </c>
      <c r="L455" s="377" t="s">
        <v>52</v>
      </c>
      <c r="M455" s="377"/>
      <c r="N455" s="335">
        <f>D455</f>
        <v>1192</v>
      </c>
      <c r="O455" s="335">
        <f>E455</f>
        <v>75</v>
      </c>
      <c r="P455" s="180">
        <f>F455</f>
        <v>0</v>
      </c>
      <c r="Q455" s="180">
        <f>G455</f>
        <v>0</v>
      </c>
      <c r="R455" s="180">
        <f>H455</f>
        <v>0</v>
      </c>
      <c r="S455" s="127">
        <f>N455+O455+R455</f>
        <v>1267</v>
      </c>
    </row>
    <row r="456" spans="1:19">
      <c r="A456" s="21"/>
      <c r="B456" s="120"/>
      <c r="C456" s="120"/>
      <c r="D456" s="120"/>
      <c r="E456" s="120"/>
      <c r="F456" s="114"/>
      <c r="G456" s="114"/>
      <c r="H456" s="114"/>
      <c r="I456" s="16"/>
      <c r="K456" s="21"/>
      <c r="L456" s="120"/>
      <c r="M456" s="120"/>
      <c r="N456" s="120"/>
      <c r="O456" s="120"/>
      <c r="P456" s="114"/>
      <c r="Q456" s="114"/>
      <c r="R456" s="114"/>
      <c r="S456" s="16"/>
    </row>
    <row r="457" spans="1:19">
      <c r="A457" s="21">
        <v>7</v>
      </c>
      <c r="B457" s="1099" t="s">
        <v>53</v>
      </c>
      <c r="C457" s="1099"/>
      <c r="D457" s="1099"/>
      <c r="E457" s="24">
        <f>E453-I455</f>
        <v>8665.4666666666653</v>
      </c>
      <c r="F457" s="19"/>
      <c r="G457" s="19"/>
      <c r="H457" s="19"/>
      <c r="I457" s="16"/>
      <c r="K457" s="21">
        <v>7</v>
      </c>
      <c r="L457" s="1099" t="s">
        <v>53</v>
      </c>
      <c r="M457" s="1099"/>
      <c r="N457" s="1099"/>
      <c r="O457" s="24">
        <f>E457</f>
        <v>8665.4666666666653</v>
      </c>
      <c r="P457" s="19"/>
      <c r="Q457" s="19"/>
      <c r="R457" s="19"/>
      <c r="S457" s="16"/>
    </row>
    <row r="458" spans="1:19">
      <c r="A458" s="15"/>
      <c r="B458" s="114"/>
      <c r="C458" s="114"/>
      <c r="D458" s="114"/>
      <c r="E458" s="114"/>
      <c r="F458" s="114"/>
      <c r="G458" s="114"/>
      <c r="H458" s="114"/>
      <c r="I458" s="16"/>
      <c r="K458" s="15"/>
      <c r="L458" s="114"/>
      <c r="M458" s="114"/>
      <c r="N458" s="114"/>
      <c r="O458" s="114"/>
      <c r="P458" s="114"/>
      <c r="Q458" s="114"/>
      <c r="R458" s="114"/>
      <c r="S458" s="16"/>
    </row>
    <row r="459" spans="1:19">
      <c r="A459" s="15"/>
      <c r="B459" s="114"/>
      <c r="C459" s="114"/>
      <c r="D459" s="114"/>
      <c r="E459" s="114"/>
      <c r="F459" s="114"/>
      <c r="G459" s="114"/>
      <c r="H459" s="114"/>
      <c r="I459" s="16"/>
      <c r="K459" s="15"/>
      <c r="L459" s="114"/>
      <c r="M459" s="114"/>
      <c r="N459" s="114"/>
      <c r="O459" s="114"/>
      <c r="P459" s="114"/>
      <c r="Q459" s="114"/>
      <c r="R459" s="114"/>
      <c r="S459" s="16"/>
    </row>
    <row r="460" spans="1:19" ht="15" thickBot="1">
      <c r="A460" s="15"/>
      <c r="B460" s="114"/>
      <c r="C460" s="114"/>
      <c r="D460" s="114"/>
      <c r="E460" s="114"/>
      <c r="F460" s="25"/>
      <c r="G460" s="25"/>
      <c r="H460" s="25"/>
      <c r="I460" s="26"/>
      <c r="K460" s="15"/>
      <c r="L460" s="114"/>
      <c r="M460" s="114"/>
      <c r="N460" s="114"/>
      <c r="O460" s="114"/>
      <c r="P460" s="25"/>
      <c r="Q460" s="25"/>
      <c r="R460" s="25"/>
      <c r="S460" s="26"/>
    </row>
    <row r="461" spans="1:19" ht="15" thickBot="1">
      <c r="A461" s="27"/>
      <c r="B461" s="25"/>
      <c r="C461" s="25"/>
      <c r="D461" s="25"/>
      <c r="E461" s="999" t="s">
        <v>54</v>
      </c>
      <c r="F461" s="999"/>
      <c r="G461" s="999"/>
      <c r="H461" s="999"/>
      <c r="I461" s="1100"/>
      <c r="K461" s="27"/>
      <c r="L461" s="25"/>
      <c r="M461" s="25"/>
      <c r="N461" s="25"/>
      <c r="O461" s="28" t="s">
        <v>54</v>
      </c>
      <c r="P461" s="25"/>
      <c r="Q461" s="28"/>
      <c r="R461" s="28"/>
      <c r="S461" s="29"/>
    </row>
    <row r="462" spans="1:19">
      <c r="A462" s="114"/>
      <c r="B462" s="114"/>
      <c r="C462" s="114"/>
      <c r="D462" s="114"/>
      <c r="E462" s="325"/>
      <c r="F462" s="325"/>
      <c r="G462" s="325"/>
      <c r="H462" s="325"/>
      <c r="I462" s="325"/>
      <c r="K462" s="114"/>
      <c r="L462" s="114"/>
      <c r="M462" s="114"/>
      <c r="N462" s="114"/>
      <c r="O462" s="114"/>
      <c r="P462" s="114"/>
      <c r="Q462" s="114"/>
      <c r="R462" s="114"/>
      <c r="S462" s="114"/>
    </row>
    <row r="463" spans="1:19">
      <c r="A463" s="114"/>
      <c r="B463" s="114"/>
      <c r="C463" s="114"/>
      <c r="D463" s="114"/>
      <c r="E463" s="325"/>
      <c r="F463" s="325"/>
      <c r="G463" s="325"/>
      <c r="H463" s="325"/>
      <c r="I463" s="325"/>
      <c r="K463" s="114"/>
      <c r="L463" s="114"/>
      <c r="M463" s="114"/>
      <c r="N463" s="114"/>
      <c r="O463" s="114"/>
      <c r="P463" s="114"/>
      <c r="Q463" s="114"/>
      <c r="R463" s="114"/>
      <c r="S463" s="114"/>
    </row>
    <row r="464" spans="1:19">
      <c r="A464" s="114"/>
      <c r="B464" s="114"/>
      <c r="C464" s="114"/>
      <c r="D464" s="114"/>
      <c r="E464" s="325"/>
      <c r="F464" s="325"/>
      <c r="G464" s="325"/>
      <c r="H464" s="325"/>
      <c r="I464" s="325"/>
      <c r="K464" s="114"/>
      <c r="L464" s="114"/>
      <c r="M464" s="114"/>
      <c r="N464" s="114"/>
      <c r="O464" s="114"/>
      <c r="P464" s="114"/>
      <c r="Q464" s="114"/>
      <c r="R464" s="114"/>
      <c r="S464" s="114"/>
    </row>
    <row r="465" spans="1:19">
      <c r="A465" s="114"/>
      <c r="B465" s="114"/>
      <c r="C465" s="114"/>
      <c r="D465" s="114"/>
      <c r="E465" s="325"/>
      <c r="F465" s="325"/>
      <c r="G465" s="325"/>
      <c r="H465" s="325"/>
      <c r="I465" s="325"/>
      <c r="K465" s="114"/>
      <c r="L465" s="114"/>
      <c r="M465" s="114"/>
      <c r="N465" s="114"/>
      <c r="O465" s="114"/>
      <c r="P465" s="114"/>
      <c r="Q465" s="114"/>
      <c r="R465" s="114"/>
      <c r="S465" s="114"/>
    </row>
    <row r="466" spans="1:19">
      <c r="A466" s="114"/>
      <c r="B466" s="114"/>
      <c r="C466" s="114"/>
      <c r="D466" s="114"/>
      <c r="E466" s="325"/>
      <c r="F466" s="325"/>
      <c r="G466" s="325"/>
      <c r="H466" s="325"/>
      <c r="I466" s="325"/>
      <c r="K466" s="114"/>
      <c r="L466" s="114"/>
      <c r="M466" s="114"/>
      <c r="N466" s="114"/>
      <c r="O466" s="114"/>
      <c r="P466" s="114"/>
      <c r="Q466" s="114"/>
      <c r="R466" s="114"/>
      <c r="S466" s="114"/>
    </row>
    <row r="467" spans="1:19">
      <c r="A467" s="114"/>
      <c r="B467" s="114"/>
      <c r="C467" s="114"/>
      <c r="D467" s="114"/>
      <c r="E467" s="325"/>
      <c r="F467" s="325"/>
      <c r="G467" s="325"/>
      <c r="H467" s="325"/>
      <c r="I467" s="325"/>
      <c r="K467" s="114"/>
      <c r="L467" s="114"/>
      <c r="M467" s="114"/>
      <c r="N467" s="114"/>
      <c r="O467" s="114"/>
      <c r="P467" s="114"/>
      <c r="Q467" s="114"/>
      <c r="R467" s="114"/>
      <c r="S467" s="114"/>
    </row>
    <row r="468" spans="1:19">
      <c r="A468" s="114"/>
      <c r="B468" s="114"/>
      <c r="C468" s="114"/>
      <c r="D468" s="114"/>
      <c r="E468" s="325"/>
      <c r="F468" s="325"/>
      <c r="G468" s="325"/>
      <c r="H468" s="325"/>
      <c r="I468" s="325"/>
      <c r="K468" s="114"/>
      <c r="L468" s="114"/>
      <c r="M468" s="114"/>
      <c r="N468" s="114"/>
      <c r="O468" s="114"/>
      <c r="P468" s="114"/>
      <c r="Q468" s="114"/>
      <c r="R468" s="114"/>
      <c r="S468" s="114"/>
    </row>
    <row r="469" spans="1:19">
      <c r="A469" s="114"/>
      <c r="B469" s="114"/>
      <c r="C469" s="114"/>
      <c r="D469" s="114"/>
      <c r="E469" s="325"/>
      <c r="F469" s="325"/>
      <c r="G469" s="325"/>
      <c r="H469" s="325"/>
      <c r="I469" s="325"/>
      <c r="K469" s="114"/>
      <c r="L469" s="114"/>
      <c r="M469" s="114"/>
      <c r="N469" s="114"/>
      <c r="O469" s="114"/>
      <c r="P469" s="114"/>
      <c r="Q469" s="114"/>
      <c r="R469" s="114"/>
      <c r="S469" s="114"/>
    </row>
    <row r="470" spans="1:19">
      <c r="A470" s="114"/>
      <c r="B470" s="114"/>
      <c r="C470" s="114"/>
      <c r="D470" s="114"/>
      <c r="E470" s="325"/>
      <c r="F470" s="325"/>
      <c r="G470" s="325"/>
      <c r="H470" s="325"/>
      <c r="I470" s="325"/>
      <c r="K470" s="114"/>
      <c r="L470" s="114"/>
      <c r="M470" s="114"/>
      <c r="N470" s="114"/>
      <c r="O470" s="114"/>
      <c r="P470" s="114"/>
      <c r="Q470" s="114"/>
      <c r="R470" s="114"/>
      <c r="S470" s="114"/>
    </row>
    <row r="471" spans="1:19">
      <c r="A471" s="114"/>
      <c r="B471" s="114"/>
      <c r="C471" s="114"/>
      <c r="D471" s="114"/>
      <c r="E471" s="325"/>
      <c r="F471" s="325"/>
      <c r="G471" s="325"/>
      <c r="H471" s="325"/>
      <c r="I471" s="325"/>
      <c r="K471" s="114"/>
      <c r="L471" s="114"/>
      <c r="M471" s="114"/>
      <c r="N471" s="114"/>
      <c r="O471" s="114"/>
      <c r="P471" s="114"/>
      <c r="Q471" s="114"/>
      <c r="R471" s="114"/>
      <c r="S471" s="114"/>
    </row>
    <row r="472" spans="1:19">
      <c r="A472" s="114"/>
      <c r="B472" s="114"/>
      <c r="C472" s="114"/>
      <c r="D472" s="114"/>
      <c r="E472" s="325"/>
      <c r="F472" s="325"/>
      <c r="G472" s="325"/>
      <c r="H472" s="325"/>
      <c r="I472" s="325"/>
      <c r="K472" s="114"/>
      <c r="L472" s="114"/>
      <c r="M472" s="114"/>
      <c r="N472" s="114"/>
      <c r="O472" s="114"/>
      <c r="P472" s="114"/>
      <c r="Q472" s="114"/>
      <c r="R472" s="114"/>
      <c r="S472" s="114"/>
    </row>
    <row r="473" spans="1:19" ht="15" thickBot="1"/>
    <row r="474" spans="1:19" ht="24.6">
      <c r="A474" s="1091" t="s">
        <v>39</v>
      </c>
      <c r="B474" s="1092"/>
      <c r="C474" s="1092"/>
      <c r="D474" s="1092"/>
      <c r="E474" s="1092"/>
      <c r="F474" s="1092"/>
      <c r="G474" s="1092"/>
      <c r="H474" s="1092"/>
      <c r="I474" s="1093"/>
      <c r="K474" s="1091" t="s">
        <v>39</v>
      </c>
      <c r="L474" s="1092"/>
      <c r="M474" s="1092"/>
      <c r="N474" s="1092"/>
      <c r="O474" s="1092"/>
      <c r="P474" s="1092"/>
      <c r="Q474" s="1092"/>
      <c r="R474" s="1092"/>
      <c r="S474" s="1093"/>
    </row>
    <row r="475" spans="1:19">
      <c r="A475" s="1094" t="s">
        <v>1075</v>
      </c>
      <c r="B475" s="1095"/>
      <c r="C475" s="1095"/>
      <c r="D475" s="1095"/>
      <c r="E475" s="1095"/>
      <c r="F475" s="1095"/>
      <c r="G475" s="1095"/>
      <c r="H475" s="1095"/>
      <c r="I475" s="1096"/>
      <c r="K475" s="1094" t="str">
        <f>A475</f>
        <v>[Vide rule 78 (1) (b) of the Contract Labour (Regulation and Abolition) Central and A.P.{T.S.}Rules, 1971]</v>
      </c>
      <c r="L475" s="1095"/>
      <c r="M475" s="1095"/>
      <c r="N475" s="1095"/>
      <c r="O475" s="1095"/>
      <c r="P475" s="1095"/>
      <c r="Q475" s="1095"/>
      <c r="R475" s="1095"/>
      <c r="S475" s="1096"/>
    </row>
    <row r="476" spans="1:19">
      <c r="A476" s="15"/>
      <c r="B476" s="114"/>
      <c r="C476" s="114"/>
      <c r="D476" s="114"/>
      <c r="E476" s="114"/>
      <c r="F476" s="114"/>
      <c r="G476" s="114"/>
      <c r="H476" s="114"/>
      <c r="I476" s="16"/>
      <c r="K476" s="15"/>
      <c r="L476" s="114"/>
      <c r="M476" s="114"/>
      <c r="N476" s="114"/>
      <c r="O476" s="114"/>
      <c r="P476" s="114"/>
      <c r="Q476" s="114"/>
      <c r="R476" s="114"/>
      <c r="S476" s="16"/>
    </row>
    <row r="477" spans="1:19">
      <c r="A477" s="17" t="s">
        <v>40</v>
      </c>
      <c r="B477" s="120"/>
      <c r="C477" s="120"/>
      <c r="D477" s="121" t="str">
        <f>Master!F5</f>
        <v>GROTECH LANDSCAPE DEVELOPERS PVT. LTD.</v>
      </c>
      <c r="E477" s="114"/>
      <c r="F477" s="114"/>
      <c r="G477" s="114"/>
      <c r="H477" s="114"/>
      <c r="I477" s="16"/>
      <c r="K477" s="17" t="s">
        <v>40</v>
      </c>
      <c r="L477" s="120"/>
      <c r="M477" s="120"/>
      <c r="N477" s="121" t="str">
        <f>D477</f>
        <v>GROTECH LANDSCAPE DEVELOPERS PVT. LTD.</v>
      </c>
      <c r="O477" s="114"/>
      <c r="P477" s="114"/>
      <c r="Q477" s="114"/>
      <c r="R477" s="114"/>
      <c r="S477" s="16"/>
    </row>
    <row r="478" spans="1:19">
      <c r="A478" s="17"/>
      <c r="B478" s="120" t="str">
        <f>Master!F6</f>
        <v>290/E, Khanapur Village, Gandipet Mandal, Ranga Reddy, Hyderabad-500075 T.S.</v>
      </c>
      <c r="C478" s="120"/>
      <c r="D478" s="114"/>
      <c r="E478" s="114"/>
      <c r="F478" s="114"/>
      <c r="G478" s="114"/>
      <c r="H478" s="114"/>
      <c r="I478" s="16"/>
      <c r="K478" s="17"/>
      <c r="L478" s="120" t="str">
        <f>B478</f>
        <v>290/E, Khanapur Village, Gandipet Mandal, Ranga Reddy, Hyderabad-500075 T.S.</v>
      </c>
      <c r="M478" s="120"/>
      <c r="N478" s="114"/>
      <c r="O478" s="114"/>
      <c r="P478" s="114"/>
      <c r="Q478" s="114"/>
      <c r="R478" s="114"/>
      <c r="S478" s="16"/>
    </row>
    <row r="479" spans="1:19">
      <c r="A479" s="17"/>
      <c r="B479" s="120"/>
      <c r="C479" s="120"/>
      <c r="D479" s="120"/>
      <c r="E479" s="120"/>
      <c r="F479" s="114"/>
      <c r="G479" s="114"/>
      <c r="H479" s="114"/>
      <c r="I479" s="16"/>
      <c r="K479" s="17"/>
      <c r="L479" s="120"/>
      <c r="M479" s="120"/>
      <c r="N479" s="120"/>
      <c r="O479" s="120"/>
      <c r="P479" s="114"/>
      <c r="Q479" s="114"/>
      <c r="R479" s="114"/>
      <c r="S479" s="16"/>
    </row>
    <row r="480" spans="1:19">
      <c r="A480" s="1097" t="s">
        <v>41</v>
      </c>
      <c r="B480" s="1098"/>
      <c r="C480" s="1098"/>
      <c r="D480" s="1098"/>
      <c r="E480" s="120"/>
      <c r="F480" s="114"/>
      <c r="G480" s="114"/>
      <c r="H480" s="114"/>
      <c r="I480" s="16"/>
      <c r="K480" s="1097" t="s">
        <v>41</v>
      </c>
      <c r="L480" s="1098"/>
      <c r="M480" s="1098"/>
      <c r="N480" s="1098"/>
      <c r="O480" s="120"/>
      <c r="P480" s="114"/>
      <c r="Q480" s="114"/>
      <c r="R480" s="114"/>
      <c r="S480" s="16"/>
    </row>
    <row r="481" spans="1:19">
      <c r="A481" s="1097"/>
      <c r="B481" s="1098"/>
      <c r="C481" s="1098"/>
      <c r="D481" s="1098"/>
      <c r="E481" s="128" t="str">
        <f>Master!D26</f>
        <v>ALIJANA JAYARAMI REDDY</v>
      </c>
      <c r="F481" s="19"/>
      <c r="G481" s="19"/>
      <c r="H481" s="19" t="str">
        <f>Master!G26</f>
        <v>ALIJANA OBULU REDDY</v>
      </c>
      <c r="I481" s="16"/>
      <c r="K481" s="1097"/>
      <c r="L481" s="1098"/>
      <c r="M481" s="1098"/>
      <c r="N481" s="1098"/>
      <c r="O481" s="18" t="str">
        <f>E481</f>
        <v>ALIJANA JAYARAMI REDDY</v>
      </c>
      <c r="P481" s="19"/>
      <c r="Q481" s="19"/>
      <c r="R481" s="19" t="str">
        <f>H481</f>
        <v>ALIJANA OBULU REDDY</v>
      </c>
      <c r="S481" s="16"/>
    </row>
    <row r="482" spans="1:19">
      <c r="A482" s="17"/>
      <c r="B482" s="120"/>
      <c r="C482" s="120"/>
      <c r="D482" s="120"/>
      <c r="E482" s="120"/>
      <c r="F482" s="114"/>
      <c r="G482" s="114"/>
      <c r="H482" s="114"/>
      <c r="I482" s="16"/>
      <c r="K482" s="17"/>
      <c r="L482" s="120"/>
      <c r="M482" s="120"/>
      <c r="N482" s="120"/>
      <c r="O482" s="120"/>
      <c r="P482" s="114"/>
      <c r="Q482" s="114"/>
      <c r="R482" s="114"/>
      <c r="S482" s="16"/>
    </row>
    <row r="483" spans="1:19">
      <c r="A483" s="1101" t="s">
        <v>42</v>
      </c>
      <c r="B483" s="1099"/>
      <c r="C483" s="1099"/>
      <c r="D483" s="1099"/>
      <c r="E483" s="24" t="str">
        <f>Master!F8</f>
        <v>GARDENING SERVICES&amp;ISB HYDERABAD</v>
      </c>
      <c r="F483" s="19"/>
      <c r="G483" s="19"/>
      <c r="H483" s="19"/>
      <c r="I483" s="16"/>
      <c r="K483" s="1101" t="s">
        <v>42</v>
      </c>
      <c r="L483" s="1099"/>
      <c r="M483" s="1099"/>
      <c r="N483" s="1099"/>
      <c r="O483" s="24" t="str">
        <f>E483</f>
        <v>GARDENING SERVICES&amp;ISB HYDERABAD</v>
      </c>
      <c r="P483" s="19"/>
      <c r="Q483" s="19"/>
      <c r="R483" s="19"/>
      <c r="S483" s="16"/>
    </row>
    <row r="484" spans="1:19">
      <c r="A484" s="17"/>
      <c r="B484" s="120"/>
      <c r="C484" s="120"/>
      <c r="D484" s="120"/>
      <c r="E484" s="120"/>
      <c r="F484" s="114"/>
      <c r="G484" s="114"/>
      <c r="H484" s="114"/>
      <c r="I484" s="16"/>
      <c r="K484" s="17"/>
      <c r="L484" s="120"/>
      <c r="M484" s="120"/>
      <c r="N484" s="120"/>
      <c r="O484" s="120"/>
      <c r="P484" s="114"/>
      <c r="Q484" s="114"/>
      <c r="R484" s="114"/>
      <c r="S484" s="16"/>
    </row>
    <row r="485" spans="1:19">
      <c r="A485" s="1101" t="s">
        <v>43</v>
      </c>
      <c r="B485" s="1099"/>
      <c r="C485" s="1099"/>
      <c r="D485" s="1099"/>
      <c r="E485" s="20">
        <f>Master!F10</f>
        <v>44652</v>
      </c>
      <c r="F485" s="19"/>
      <c r="G485" s="19"/>
      <c r="H485" s="19"/>
      <c r="I485" s="16"/>
      <c r="K485" s="1101" t="s">
        <v>43</v>
      </c>
      <c r="L485" s="1099"/>
      <c r="M485" s="1099"/>
      <c r="N485" s="1099"/>
      <c r="O485" s="20">
        <f>E485</f>
        <v>44652</v>
      </c>
      <c r="P485" s="19"/>
      <c r="Q485" s="19"/>
      <c r="R485" s="19"/>
      <c r="S485" s="16"/>
    </row>
    <row r="486" spans="1:19">
      <c r="A486" s="17"/>
      <c r="B486" s="120"/>
      <c r="C486" s="120"/>
      <c r="D486" s="120"/>
      <c r="E486" s="120"/>
      <c r="F486" s="114"/>
      <c r="G486" s="114"/>
      <c r="H486" s="114"/>
      <c r="I486" s="16"/>
      <c r="K486" s="17"/>
      <c r="L486" s="120"/>
      <c r="M486" s="120"/>
      <c r="N486" s="120"/>
      <c r="O486" s="120"/>
      <c r="P486" s="114"/>
      <c r="Q486" s="114"/>
      <c r="R486" s="114"/>
      <c r="S486" s="16"/>
    </row>
    <row r="487" spans="1:19">
      <c r="A487" s="21">
        <v>1</v>
      </c>
      <c r="B487" s="1099" t="s">
        <v>44</v>
      </c>
      <c r="C487" s="1099"/>
      <c r="D487" s="1099"/>
      <c r="E487" s="22">
        <f>Master!AA26</f>
        <v>26</v>
      </c>
      <c r="F487" s="19"/>
      <c r="G487" s="19"/>
      <c r="H487" s="19"/>
      <c r="I487" s="16"/>
      <c r="K487" s="21">
        <v>1</v>
      </c>
      <c r="L487" s="1099" t="s">
        <v>44</v>
      </c>
      <c r="M487" s="1099"/>
      <c r="N487" s="1099"/>
      <c r="O487" s="22">
        <f>E487</f>
        <v>26</v>
      </c>
      <c r="P487" s="19"/>
      <c r="Q487" s="19"/>
      <c r="R487" s="19"/>
      <c r="S487" s="16"/>
    </row>
    <row r="488" spans="1:19">
      <c r="A488" s="21"/>
      <c r="B488" s="120"/>
      <c r="C488" s="120"/>
      <c r="D488" s="120"/>
      <c r="E488" s="120"/>
      <c r="F488" s="114"/>
      <c r="G488" s="114"/>
      <c r="H488" s="114"/>
      <c r="I488" s="16"/>
      <c r="K488" s="21"/>
      <c r="L488" s="120"/>
      <c r="M488" s="120"/>
      <c r="N488" s="120"/>
      <c r="O488" s="120"/>
      <c r="P488" s="114"/>
      <c r="Q488" s="114"/>
      <c r="R488" s="114"/>
      <c r="S488" s="16"/>
    </row>
    <row r="489" spans="1:19">
      <c r="A489" s="21">
        <v>2</v>
      </c>
      <c r="B489" s="1098" t="s">
        <v>45</v>
      </c>
      <c r="C489" s="1098"/>
      <c r="D489" s="1098"/>
      <c r="E489" s="120"/>
      <c r="F489" s="114"/>
      <c r="G489" s="114"/>
      <c r="H489" s="114"/>
      <c r="I489" s="16"/>
      <c r="K489" s="21">
        <v>2</v>
      </c>
      <c r="L489" s="1098" t="s">
        <v>45</v>
      </c>
      <c r="M489" s="1098"/>
      <c r="N489" s="1098"/>
      <c r="O489" s="120"/>
      <c r="P489" s="114"/>
      <c r="Q489" s="114"/>
      <c r="R489" s="114"/>
      <c r="S489" s="16"/>
    </row>
    <row r="490" spans="1:19">
      <c r="A490" s="21"/>
      <c r="B490" s="1098"/>
      <c r="C490" s="1098"/>
      <c r="D490" s="1098"/>
      <c r="E490" s="23" t="s">
        <v>28</v>
      </c>
      <c r="F490" s="19"/>
      <c r="G490" s="19"/>
      <c r="H490" s="19"/>
      <c r="I490" s="16"/>
      <c r="K490" s="21"/>
      <c r="L490" s="1098"/>
      <c r="M490" s="1098"/>
      <c r="N490" s="1098"/>
      <c r="O490" s="23" t="s">
        <v>28</v>
      </c>
      <c r="P490" s="19"/>
      <c r="Q490" s="19"/>
      <c r="R490" s="19"/>
      <c r="S490" s="16"/>
    </row>
    <row r="491" spans="1:19">
      <c r="A491" s="21"/>
      <c r="B491" s="120"/>
      <c r="C491" s="120"/>
      <c r="D491" s="120"/>
      <c r="E491" s="120"/>
      <c r="F491" s="114"/>
      <c r="G491" s="114"/>
      <c r="H491" s="114"/>
      <c r="I491" s="16"/>
      <c r="K491" s="21"/>
      <c r="L491" s="120"/>
      <c r="M491" s="120"/>
      <c r="N491" s="120"/>
      <c r="O491" s="120"/>
      <c r="P491" s="114"/>
      <c r="Q491" s="114"/>
      <c r="R491" s="114"/>
      <c r="S491" s="16"/>
    </row>
    <row r="492" spans="1:19">
      <c r="A492" s="21">
        <v>3</v>
      </c>
      <c r="B492" s="1099" t="s">
        <v>46</v>
      </c>
      <c r="C492" s="1099"/>
      <c r="D492" s="1099"/>
      <c r="E492" s="23" t="s">
        <v>28</v>
      </c>
      <c r="F492" s="19"/>
      <c r="G492" s="19"/>
      <c r="H492" s="19"/>
      <c r="I492" s="16"/>
      <c r="K492" s="21">
        <v>3</v>
      </c>
      <c r="L492" s="1099" t="s">
        <v>46</v>
      </c>
      <c r="M492" s="1099"/>
      <c r="N492" s="1099"/>
      <c r="O492" s="18" t="str">
        <f>E492</f>
        <v>N/A</v>
      </c>
      <c r="P492" s="19"/>
      <c r="Q492" s="19"/>
      <c r="R492" s="19"/>
      <c r="S492" s="16"/>
    </row>
    <row r="493" spans="1:19">
      <c r="A493" s="21"/>
      <c r="B493" s="120"/>
      <c r="C493" s="120"/>
      <c r="D493" s="120"/>
      <c r="E493" s="120"/>
      <c r="F493" s="114"/>
      <c r="G493" s="114"/>
      <c r="H493" s="114"/>
      <c r="I493" s="16"/>
      <c r="K493" s="21"/>
      <c r="L493" s="120"/>
      <c r="M493" s="120"/>
      <c r="N493" s="120"/>
      <c r="O493" s="120"/>
      <c r="P493" s="114"/>
      <c r="Q493" s="114"/>
      <c r="R493" s="114"/>
      <c r="S493" s="16"/>
    </row>
    <row r="494" spans="1:19">
      <c r="A494" s="21">
        <v>4</v>
      </c>
      <c r="B494" s="1099" t="s">
        <v>47</v>
      </c>
      <c r="C494" s="1099"/>
      <c r="D494" s="1099"/>
      <c r="E494" s="23" t="s">
        <v>48</v>
      </c>
      <c r="F494" s="19"/>
      <c r="G494" s="19"/>
      <c r="H494" s="19"/>
      <c r="I494" s="16"/>
      <c r="K494" s="21">
        <v>4</v>
      </c>
      <c r="L494" s="1099" t="s">
        <v>47</v>
      </c>
      <c r="M494" s="1099"/>
      <c r="N494" s="1099"/>
      <c r="O494" s="23" t="s">
        <v>48</v>
      </c>
      <c r="P494" s="19"/>
      <c r="Q494" s="19"/>
      <c r="R494" s="19"/>
      <c r="S494" s="16"/>
    </row>
    <row r="495" spans="1:19">
      <c r="A495" s="21"/>
      <c r="B495" s="120"/>
      <c r="C495" s="120"/>
      <c r="D495" s="120"/>
      <c r="E495" s="120"/>
      <c r="F495" s="114"/>
      <c r="G495" s="114"/>
      <c r="H495" s="114"/>
      <c r="I495" s="16"/>
      <c r="K495" s="21"/>
      <c r="L495" s="120"/>
      <c r="M495" s="120"/>
      <c r="N495" s="120"/>
      <c r="O495" s="120"/>
      <c r="P495" s="114"/>
      <c r="Q495" s="114"/>
      <c r="R495" s="114"/>
      <c r="S495" s="16"/>
    </row>
    <row r="496" spans="1:19">
      <c r="A496" s="21">
        <v>5</v>
      </c>
      <c r="B496" s="1099" t="s">
        <v>49</v>
      </c>
      <c r="C496" s="1099"/>
      <c r="D496" s="1099"/>
      <c r="E496" s="24">
        <f>Master!AK26</f>
        <v>9932.4666666666653</v>
      </c>
      <c r="F496" s="19"/>
      <c r="G496" s="19"/>
      <c r="H496" s="19"/>
      <c r="I496" s="16"/>
      <c r="K496" s="21">
        <v>5</v>
      </c>
      <c r="L496" s="1099" t="s">
        <v>49</v>
      </c>
      <c r="M496" s="1099"/>
      <c r="N496" s="1099"/>
      <c r="O496" s="24">
        <f>E496</f>
        <v>9932.4666666666653</v>
      </c>
      <c r="P496" s="19"/>
      <c r="Q496" s="19"/>
      <c r="R496" s="19"/>
      <c r="S496" s="16"/>
    </row>
    <row r="497" spans="1:19">
      <c r="A497" s="21"/>
      <c r="B497" s="120"/>
      <c r="C497" s="120"/>
      <c r="D497" s="238" t="s">
        <v>50</v>
      </c>
      <c r="E497" s="238" t="s">
        <v>23</v>
      </c>
      <c r="F497" s="136" t="s">
        <v>25</v>
      </c>
      <c r="G497" s="238" t="s">
        <v>26</v>
      </c>
      <c r="H497" s="238" t="s">
        <v>202</v>
      </c>
      <c r="I497" s="126" t="s">
        <v>51</v>
      </c>
      <c r="K497" s="21"/>
      <c r="L497" s="120"/>
      <c r="M497" s="120"/>
      <c r="N497" s="238" t="s">
        <v>50</v>
      </c>
      <c r="O497" s="238" t="s">
        <v>23</v>
      </c>
      <c r="P497" s="136" t="s">
        <v>25</v>
      </c>
      <c r="Q497" s="238" t="s">
        <v>26</v>
      </c>
      <c r="R497" s="238" t="str">
        <f>H497</f>
        <v>ADV</v>
      </c>
      <c r="S497" s="126" t="s">
        <v>51</v>
      </c>
    </row>
    <row r="498" spans="1:19">
      <c r="A498" s="21">
        <v>6</v>
      </c>
      <c r="B498" s="468" t="s">
        <v>52</v>
      </c>
      <c r="C498" s="468"/>
      <c r="D498" s="335">
        <f>Master!AM26</f>
        <v>1192</v>
      </c>
      <c r="E498" s="335">
        <f>Master!AL26</f>
        <v>75</v>
      </c>
      <c r="F498" s="180">
        <f>Master!AN26</f>
        <v>0</v>
      </c>
      <c r="G498" s="180">
        <f>Master!AO26</f>
        <v>0</v>
      </c>
      <c r="H498" s="180">
        <f>Master!AP26</f>
        <v>0</v>
      </c>
      <c r="I498" s="127">
        <f>D498+E498+F498+G498+H498</f>
        <v>1267</v>
      </c>
      <c r="K498" s="21">
        <v>6</v>
      </c>
      <c r="L498" s="468" t="s">
        <v>52</v>
      </c>
      <c r="M498" s="468"/>
      <c r="N498" s="335">
        <f>D498</f>
        <v>1192</v>
      </c>
      <c r="O498" s="335">
        <f>E498</f>
        <v>75</v>
      </c>
      <c r="P498" s="180">
        <f>F498</f>
        <v>0</v>
      </c>
      <c r="Q498" s="180">
        <f>G498</f>
        <v>0</v>
      </c>
      <c r="R498" s="180">
        <f>H498</f>
        <v>0</v>
      </c>
      <c r="S498" s="127">
        <f>N498+O498+R498</f>
        <v>1267</v>
      </c>
    </row>
    <row r="499" spans="1:19">
      <c r="A499" s="21"/>
      <c r="B499" s="120"/>
      <c r="C499" s="120"/>
      <c r="D499" s="120"/>
      <c r="E499" s="120"/>
      <c r="F499" s="114"/>
      <c r="G499" s="114"/>
      <c r="H499" s="114"/>
      <c r="I499" s="16"/>
      <c r="K499" s="21"/>
      <c r="L499" s="120"/>
      <c r="M499" s="120"/>
      <c r="N499" s="120"/>
      <c r="O499" s="120"/>
      <c r="P499" s="114"/>
      <c r="Q499" s="114"/>
      <c r="R499" s="114"/>
      <c r="S499" s="16"/>
    </row>
    <row r="500" spans="1:19">
      <c r="A500" s="21">
        <v>7</v>
      </c>
      <c r="B500" s="1099" t="s">
        <v>53</v>
      </c>
      <c r="C500" s="1099"/>
      <c r="D500" s="1099"/>
      <c r="E500" s="24">
        <f>E496-I498</f>
        <v>8665.4666666666653</v>
      </c>
      <c r="F500" s="19"/>
      <c r="G500" s="19"/>
      <c r="H500" s="19"/>
      <c r="I500" s="16"/>
      <c r="K500" s="21">
        <v>7</v>
      </c>
      <c r="L500" s="1099" t="s">
        <v>53</v>
      </c>
      <c r="M500" s="1099"/>
      <c r="N500" s="1099"/>
      <c r="O500" s="24">
        <f>E500</f>
        <v>8665.4666666666653</v>
      </c>
      <c r="P500" s="19"/>
      <c r="Q500" s="19"/>
      <c r="R500" s="19"/>
      <c r="S500" s="16"/>
    </row>
    <row r="501" spans="1:19">
      <c r="A501" s="15"/>
      <c r="B501" s="114"/>
      <c r="C501" s="114"/>
      <c r="D501" s="114"/>
      <c r="E501" s="114"/>
      <c r="F501" s="114"/>
      <c r="G501" s="114"/>
      <c r="H501" s="114"/>
      <c r="I501" s="16"/>
      <c r="K501" s="15"/>
      <c r="L501" s="114"/>
      <c r="M501" s="114"/>
      <c r="N501" s="114"/>
      <c r="O501" s="114"/>
      <c r="P501" s="114"/>
      <c r="Q501" s="114"/>
      <c r="R501" s="114"/>
      <c r="S501" s="16"/>
    </row>
    <row r="502" spans="1:19">
      <c r="A502" s="15"/>
      <c r="B502" s="114"/>
      <c r="C502" s="114"/>
      <c r="D502" s="114"/>
      <c r="E502" s="114"/>
      <c r="F502" s="114"/>
      <c r="G502" s="114"/>
      <c r="H502" s="114"/>
      <c r="I502" s="16"/>
      <c r="K502" s="15"/>
      <c r="L502" s="114"/>
      <c r="M502" s="114"/>
      <c r="N502" s="114"/>
      <c r="O502" s="114"/>
      <c r="P502" s="114"/>
      <c r="Q502" s="114"/>
      <c r="R502" s="114"/>
      <c r="S502" s="16"/>
    </row>
    <row r="503" spans="1:19" ht="15" thickBot="1">
      <c r="A503" s="15"/>
      <c r="B503" s="114"/>
      <c r="C503" s="114"/>
      <c r="D503" s="114"/>
      <c r="E503" s="114"/>
      <c r="F503" s="25"/>
      <c r="G503" s="25"/>
      <c r="H503" s="25"/>
      <c r="I503" s="26"/>
      <c r="K503" s="15"/>
      <c r="L503" s="114"/>
      <c r="M503" s="114"/>
      <c r="N503" s="114"/>
      <c r="O503" s="114"/>
      <c r="P503" s="25"/>
      <c r="Q503" s="25"/>
      <c r="R503" s="25"/>
      <c r="S503" s="26"/>
    </row>
    <row r="504" spans="1:19" ht="15" thickBot="1">
      <c r="A504" s="27"/>
      <c r="B504" s="25"/>
      <c r="C504" s="25"/>
      <c r="D504" s="25"/>
      <c r="E504" s="999" t="s">
        <v>54</v>
      </c>
      <c r="F504" s="999"/>
      <c r="G504" s="999"/>
      <c r="H504" s="999"/>
      <c r="I504" s="1100"/>
      <c r="K504" s="27"/>
      <c r="L504" s="25"/>
      <c r="M504" s="25"/>
      <c r="N504" s="25"/>
      <c r="O504" s="28" t="s">
        <v>54</v>
      </c>
      <c r="P504" s="25"/>
      <c r="Q504" s="28"/>
      <c r="R504" s="28"/>
      <c r="S504" s="29"/>
    </row>
    <row r="505" spans="1:19">
      <c r="A505" s="114"/>
      <c r="B505" s="114"/>
      <c r="C505" s="114"/>
      <c r="D505" s="114"/>
      <c r="E505" s="325"/>
      <c r="F505" s="325"/>
      <c r="G505" s="325"/>
      <c r="H505" s="325"/>
      <c r="I505" s="325"/>
      <c r="K505" s="114"/>
      <c r="L505" s="114"/>
      <c r="M505" s="114"/>
      <c r="N505" s="114"/>
      <c r="O505" s="114"/>
      <c r="P505" s="114"/>
      <c r="Q505" s="114"/>
      <c r="R505" s="114"/>
      <c r="S505" s="114"/>
    </row>
    <row r="506" spans="1:19">
      <c r="A506" s="114"/>
      <c r="B506" s="114"/>
      <c r="C506" s="114"/>
      <c r="D506" s="114"/>
      <c r="E506" s="325"/>
      <c r="F506" s="325"/>
      <c r="G506" s="325"/>
      <c r="H506" s="325"/>
      <c r="I506" s="325"/>
      <c r="K506" s="114"/>
      <c r="L506" s="114"/>
      <c r="M506" s="114"/>
      <c r="N506" s="114"/>
      <c r="O506" s="114"/>
      <c r="P506" s="114"/>
      <c r="Q506" s="114"/>
      <c r="R506" s="114"/>
      <c r="S506" s="114"/>
    </row>
    <row r="507" spans="1:19">
      <c r="A507" s="114"/>
      <c r="B507" s="114"/>
      <c r="C507" s="114"/>
      <c r="D507" s="114"/>
      <c r="E507" s="325"/>
      <c r="F507" s="325"/>
      <c r="G507" s="325"/>
      <c r="H507" s="325"/>
      <c r="I507" s="325"/>
      <c r="K507" s="114"/>
      <c r="L507" s="114"/>
      <c r="M507" s="114"/>
      <c r="N507" s="114"/>
      <c r="O507" s="114"/>
      <c r="P507" s="114"/>
      <c r="Q507" s="114"/>
      <c r="R507" s="114"/>
      <c r="S507" s="114"/>
    </row>
    <row r="508" spans="1:19">
      <c r="A508" s="114"/>
      <c r="B508" s="114"/>
      <c r="C508" s="114"/>
      <c r="D508" s="114"/>
      <c r="E508" s="325"/>
      <c r="F508" s="325"/>
      <c r="G508" s="325"/>
      <c r="H508" s="325"/>
      <c r="I508" s="325"/>
      <c r="K508" s="114"/>
      <c r="L508" s="114"/>
      <c r="M508" s="114"/>
      <c r="N508" s="114"/>
      <c r="O508" s="114"/>
      <c r="P508" s="114"/>
      <c r="Q508" s="114"/>
      <c r="R508" s="114"/>
      <c r="S508" s="114"/>
    </row>
    <row r="509" spans="1:19">
      <c r="A509" s="114"/>
      <c r="B509" s="114"/>
      <c r="C509" s="114"/>
      <c r="D509" s="114"/>
      <c r="E509" s="325"/>
      <c r="F509" s="325"/>
      <c r="G509" s="325"/>
      <c r="H509" s="325"/>
      <c r="I509" s="325"/>
      <c r="K509" s="114"/>
      <c r="L509" s="114"/>
      <c r="M509" s="114"/>
      <c r="N509" s="114"/>
      <c r="O509" s="114"/>
      <c r="P509" s="114"/>
      <c r="Q509" s="114"/>
      <c r="R509" s="114"/>
      <c r="S509" s="114"/>
    </row>
    <row r="510" spans="1:19">
      <c r="A510" s="114"/>
      <c r="B510" s="114"/>
      <c r="C510" s="114"/>
      <c r="D510" s="114"/>
      <c r="E510" s="325"/>
      <c r="F510" s="325"/>
      <c r="G510" s="325"/>
      <c r="H510" s="325"/>
      <c r="I510" s="325"/>
      <c r="K510" s="114"/>
      <c r="L510" s="114"/>
      <c r="M510" s="114"/>
      <c r="N510" s="114"/>
      <c r="O510" s="114"/>
      <c r="P510" s="114"/>
      <c r="Q510" s="114"/>
      <c r="R510" s="114"/>
      <c r="S510" s="114"/>
    </row>
    <row r="511" spans="1:19">
      <c r="A511" s="114"/>
      <c r="B511" s="114"/>
      <c r="C511" s="114"/>
      <c r="D511" s="114"/>
      <c r="E511" s="325"/>
      <c r="F511" s="325"/>
      <c r="G511" s="325"/>
      <c r="H511" s="325"/>
      <c r="I511" s="325"/>
      <c r="K511" s="114"/>
      <c r="L511" s="114"/>
      <c r="M511" s="114"/>
      <c r="N511" s="114"/>
      <c r="O511" s="114"/>
      <c r="P511" s="114"/>
      <c r="Q511" s="114"/>
      <c r="R511" s="114"/>
      <c r="S511" s="114"/>
    </row>
    <row r="512" spans="1:19">
      <c r="A512" s="114"/>
      <c r="B512" s="114"/>
      <c r="C512" s="114"/>
      <c r="D512" s="114"/>
      <c r="E512" s="325"/>
      <c r="F512" s="325"/>
      <c r="G512" s="325"/>
      <c r="H512" s="325"/>
      <c r="I512" s="325"/>
      <c r="K512" s="114"/>
      <c r="L512" s="114"/>
      <c r="M512" s="114"/>
      <c r="N512" s="114"/>
      <c r="O512" s="114"/>
      <c r="P512" s="114"/>
      <c r="Q512" s="114"/>
      <c r="R512" s="114"/>
      <c r="S512" s="114"/>
    </row>
    <row r="513" spans="1:19">
      <c r="A513" s="114"/>
      <c r="B513" s="114"/>
      <c r="C513" s="114"/>
      <c r="D513" s="114"/>
      <c r="E513" s="325"/>
      <c r="F513" s="325"/>
      <c r="G513" s="325"/>
      <c r="H513" s="325"/>
      <c r="I513" s="325"/>
      <c r="K513" s="114"/>
      <c r="L513" s="114"/>
      <c r="M513" s="114"/>
      <c r="N513" s="114"/>
      <c r="O513" s="114"/>
      <c r="P513" s="114"/>
      <c r="Q513" s="114"/>
      <c r="R513" s="114"/>
      <c r="S513" s="114"/>
    </row>
    <row r="514" spans="1:19">
      <c r="A514" s="114"/>
      <c r="B514" s="114"/>
      <c r="C514" s="114"/>
      <c r="D514" s="114"/>
      <c r="E514" s="325"/>
      <c r="F514" s="325"/>
      <c r="G514" s="325"/>
      <c r="H514" s="325"/>
      <c r="I514" s="325"/>
      <c r="K514" s="114"/>
      <c r="L514" s="114"/>
      <c r="M514" s="114"/>
      <c r="N514" s="114"/>
      <c r="O514" s="114"/>
      <c r="P514" s="114"/>
      <c r="Q514" s="114"/>
      <c r="R514" s="114"/>
      <c r="S514" s="114"/>
    </row>
    <row r="515" spans="1:19">
      <c r="A515" s="114"/>
      <c r="B515" s="114"/>
      <c r="C515" s="114"/>
      <c r="D515" s="114"/>
      <c r="E515" s="325"/>
      <c r="F515" s="325"/>
      <c r="G515" s="325"/>
      <c r="H515" s="325"/>
      <c r="I515" s="325"/>
      <c r="K515" s="114"/>
      <c r="L515" s="114"/>
      <c r="M515" s="114"/>
      <c r="N515" s="114"/>
      <c r="O515" s="114"/>
      <c r="P515" s="114"/>
      <c r="Q515" s="114"/>
      <c r="R515" s="114"/>
      <c r="S515" s="114"/>
    </row>
    <row r="516" spans="1:19" ht="15" thickBot="1">
      <c r="A516" s="114"/>
      <c r="B516" s="114"/>
      <c r="C516" s="114"/>
      <c r="D516" s="114"/>
      <c r="E516" s="325"/>
      <c r="F516" s="325"/>
      <c r="G516" s="325"/>
      <c r="H516" s="325"/>
      <c r="I516" s="325"/>
      <c r="K516" s="114"/>
      <c r="L516" s="114"/>
      <c r="M516" s="114"/>
      <c r="N516" s="114"/>
      <c r="O516" s="114"/>
      <c r="P516" s="114"/>
      <c r="Q516" s="114"/>
      <c r="R516" s="114"/>
      <c r="S516" s="114"/>
    </row>
    <row r="517" spans="1:19" ht="24.6">
      <c r="A517" s="1091" t="s">
        <v>39</v>
      </c>
      <c r="B517" s="1092"/>
      <c r="C517" s="1092"/>
      <c r="D517" s="1092"/>
      <c r="E517" s="1092"/>
      <c r="F517" s="1092"/>
      <c r="G517" s="1092"/>
      <c r="H517" s="1092"/>
      <c r="I517" s="1093"/>
      <c r="K517" s="1091" t="s">
        <v>39</v>
      </c>
      <c r="L517" s="1092"/>
      <c r="M517" s="1092"/>
      <c r="N517" s="1092"/>
      <c r="O517" s="1092"/>
      <c r="P517" s="1092"/>
      <c r="Q517" s="1092"/>
      <c r="R517" s="1092"/>
      <c r="S517" s="1093"/>
    </row>
    <row r="518" spans="1:19">
      <c r="A518" s="1094" t="s">
        <v>1075</v>
      </c>
      <c r="B518" s="1095"/>
      <c r="C518" s="1095"/>
      <c r="D518" s="1095"/>
      <c r="E518" s="1095"/>
      <c r="F518" s="1095"/>
      <c r="G518" s="1095"/>
      <c r="H518" s="1095"/>
      <c r="I518" s="1096"/>
      <c r="K518" s="1094" t="str">
        <f>A518</f>
        <v>[Vide rule 78 (1) (b) of the Contract Labour (Regulation and Abolition) Central and A.P.{T.S.}Rules, 1971]</v>
      </c>
      <c r="L518" s="1095"/>
      <c r="M518" s="1095"/>
      <c r="N518" s="1095"/>
      <c r="O518" s="1095"/>
      <c r="P518" s="1095"/>
      <c r="Q518" s="1095"/>
      <c r="R518" s="1095"/>
      <c r="S518" s="1096"/>
    </row>
    <row r="519" spans="1:19">
      <c r="A519" s="15"/>
      <c r="B519" s="114"/>
      <c r="C519" s="114"/>
      <c r="D519" s="114"/>
      <c r="E519" s="114"/>
      <c r="F519" s="114"/>
      <c r="G519" s="114"/>
      <c r="H519" s="114"/>
      <c r="I519" s="16"/>
      <c r="K519" s="15"/>
      <c r="L519" s="114"/>
      <c r="M519" s="114"/>
      <c r="N519" s="114"/>
      <c r="O519" s="114"/>
      <c r="P519" s="114"/>
      <c r="Q519" s="114"/>
      <c r="R519" s="114"/>
      <c r="S519" s="16"/>
    </row>
    <row r="520" spans="1:19">
      <c r="A520" s="17" t="s">
        <v>40</v>
      </c>
      <c r="B520" s="120"/>
      <c r="C520" s="120"/>
      <c r="D520" s="121" t="str">
        <f>Master!F5</f>
        <v>GROTECH LANDSCAPE DEVELOPERS PVT. LTD.</v>
      </c>
      <c r="E520" s="114"/>
      <c r="F520" s="114"/>
      <c r="G520" s="114"/>
      <c r="H520" s="114"/>
      <c r="I520" s="16"/>
      <c r="K520" s="17" t="s">
        <v>40</v>
      </c>
      <c r="L520" s="120"/>
      <c r="M520" s="120"/>
      <c r="N520" s="121" t="str">
        <f>D520</f>
        <v>GROTECH LANDSCAPE DEVELOPERS PVT. LTD.</v>
      </c>
      <c r="O520" s="114"/>
      <c r="P520" s="114"/>
      <c r="Q520" s="114"/>
      <c r="R520" s="114"/>
      <c r="S520" s="16"/>
    </row>
    <row r="521" spans="1:19">
      <c r="A521" s="17"/>
      <c r="B521" s="120" t="str">
        <f>Master!F6</f>
        <v>290/E, Khanapur Village, Gandipet Mandal, Ranga Reddy, Hyderabad-500075 T.S.</v>
      </c>
      <c r="C521" s="120"/>
      <c r="D521" s="114"/>
      <c r="E521" s="114"/>
      <c r="F521" s="114"/>
      <c r="G521" s="114"/>
      <c r="H521" s="114"/>
      <c r="I521" s="16"/>
      <c r="K521" s="17"/>
      <c r="L521" s="120" t="str">
        <f>B521</f>
        <v>290/E, Khanapur Village, Gandipet Mandal, Ranga Reddy, Hyderabad-500075 T.S.</v>
      </c>
      <c r="M521" s="120"/>
      <c r="N521" s="114"/>
      <c r="O521" s="114"/>
      <c r="P521" s="114"/>
      <c r="Q521" s="114"/>
      <c r="R521" s="114"/>
      <c r="S521" s="16"/>
    </row>
    <row r="522" spans="1:19">
      <c r="A522" s="17"/>
      <c r="B522" s="120"/>
      <c r="C522" s="120"/>
      <c r="D522" s="120"/>
      <c r="E522" s="120"/>
      <c r="F522" s="114"/>
      <c r="G522" s="114"/>
      <c r="H522" s="114"/>
      <c r="I522" s="16"/>
      <c r="K522" s="17"/>
      <c r="L522" s="120"/>
      <c r="M522" s="120"/>
      <c r="N522" s="120"/>
      <c r="O522" s="120"/>
      <c r="P522" s="114"/>
      <c r="Q522" s="114"/>
      <c r="R522" s="114"/>
      <c r="S522" s="16"/>
    </row>
    <row r="523" spans="1:19">
      <c r="A523" s="1097" t="s">
        <v>41</v>
      </c>
      <c r="B523" s="1098"/>
      <c r="C523" s="1098"/>
      <c r="D523" s="1098"/>
      <c r="E523" s="120"/>
      <c r="F523" s="114"/>
      <c r="G523" s="114"/>
      <c r="H523" s="114"/>
      <c r="I523" s="16"/>
      <c r="K523" s="1097" t="s">
        <v>41</v>
      </c>
      <c r="L523" s="1098"/>
      <c r="M523" s="1098"/>
      <c r="N523" s="1098"/>
      <c r="O523" s="120"/>
      <c r="P523" s="114"/>
      <c r="Q523" s="114"/>
      <c r="R523" s="114"/>
      <c r="S523" s="16"/>
    </row>
    <row r="524" spans="1:19">
      <c r="A524" s="1097"/>
      <c r="B524" s="1098"/>
      <c r="C524" s="1098"/>
      <c r="D524" s="1098"/>
      <c r="E524" s="128" t="str">
        <f>Master!D27</f>
        <v>Kapil</v>
      </c>
      <c r="F524" s="19"/>
      <c r="G524" s="19"/>
      <c r="H524" s="19" t="str">
        <f>Master!G27</f>
        <v>Ganesh lal</v>
      </c>
      <c r="I524" s="16"/>
      <c r="K524" s="1097"/>
      <c r="L524" s="1098"/>
      <c r="M524" s="1098"/>
      <c r="N524" s="1098"/>
      <c r="O524" s="18" t="str">
        <f>E524</f>
        <v>Kapil</v>
      </c>
      <c r="P524" s="19"/>
      <c r="Q524" s="19"/>
      <c r="R524" s="19" t="str">
        <f>H524</f>
        <v>Ganesh lal</v>
      </c>
      <c r="S524" s="16"/>
    </row>
    <row r="525" spans="1:19">
      <c r="A525" s="17"/>
      <c r="B525" s="120"/>
      <c r="C525" s="120"/>
      <c r="D525" s="120"/>
      <c r="E525" s="120"/>
      <c r="F525" s="114"/>
      <c r="G525" s="114"/>
      <c r="H525" s="114"/>
      <c r="I525" s="16"/>
      <c r="K525" s="17"/>
      <c r="L525" s="120"/>
      <c r="M525" s="120"/>
      <c r="N525" s="120"/>
      <c r="O525" s="120"/>
      <c r="P525" s="114"/>
      <c r="Q525" s="114"/>
      <c r="R525" s="114"/>
      <c r="S525" s="16"/>
    </row>
    <row r="526" spans="1:19">
      <c r="A526" s="1101" t="s">
        <v>42</v>
      </c>
      <c r="B526" s="1099"/>
      <c r="C526" s="1099"/>
      <c r="D526" s="1099"/>
      <c r="E526" s="24" t="str">
        <f>Master!F8</f>
        <v>GARDENING SERVICES&amp;ISB HYDERABAD</v>
      </c>
      <c r="F526" s="19"/>
      <c r="G526" s="19"/>
      <c r="H526" s="19"/>
      <c r="I526" s="16"/>
      <c r="K526" s="1101" t="s">
        <v>42</v>
      </c>
      <c r="L526" s="1099"/>
      <c r="M526" s="1099"/>
      <c r="N526" s="1099"/>
      <c r="O526" s="24" t="str">
        <f>E526</f>
        <v>GARDENING SERVICES&amp;ISB HYDERABAD</v>
      </c>
      <c r="P526" s="19"/>
      <c r="Q526" s="19"/>
      <c r="R526" s="19"/>
      <c r="S526" s="16"/>
    </row>
    <row r="527" spans="1:19">
      <c r="A527" s="17"/>
      <c r="B527" s="120"/>
      <c r="C527" s="120"/>
      <c r="D527" s="120"/>
      <c r="E527" s="120"/>
      <c r="F527" s="114"/>
      <c r="G527" s="114"/>
      <c r="H527" s="114"/>
      <c r="I527" s="16"/>
      <c r="K527" s="17"/>
      <c r="L527" s="120"/>
      <c r="M527" s="120"/>
      <c r="N527" s="120"/>
      <c r="O527" s="120"/>
      <c r="P527" s="114"/>
      <c r="Q527" s="114"/>
      <c r="R527" s="114"/>
      <c r="S527" s="16"/>
    </row>
    <row r="528" spans="1:19">
      <c r="A528" s="1101" t="s">
        <v>43</v>
      </c>
      <c r="B528" s="1099"/>
      <c r="C528" s="1099"/>
      <c r="D528" s="1099"/>
      <c r="E528" s="20">
        <f>Master!F10</f>
        <v>44652</v>
      </c>
      <c r="F528" s="19"/>
      <c r="G528" s="19"/>
      <c r="H528" s="19"/>
      <c r="I528" s="16"/>
      <c r="K528" s="1101" t="s">
        <v>43</v>
      </c>
      <c r="L528" s="1099"/>
      <c r="M528" s="1099"/>
      <c r="N528" s="1099"/>
      <c r="O528" s="20">
        <f>E528</f>
        <v>44652</v>
      </c>
      <c r="P528" s="19"/>
      <c r="Q528" s="19"/>
      <c r="R528" s="19"/>
      <c r="S528" s="16"/>
    </row>
    <row r="529" spans="1:19">
      <c r="A529" s="17"/>
      <c r="B529" s="120"/>
      <c r="C529" s="120"/>
      <c r="D529" s="120"/>
      <c r="E529" s="120"/>
      <c r="F529" s="114"/>
      <c r="G529" s="114"/>
      <c r="H529" s="114"/>
      <c r="I529" s="16"/>
      <c r="K529" s="17"/>
      <c r="L529" s="120"/>
      <c r="M529" s="120"/>
      <c r="N529" s="120"/>
      <c r="O529" s="120"/>
      <c r="P529" s="114"/>
      <c r="Q529" s="114"/>
      <c r="R529" s="114"/>
      <c r="S529" s="16"/>
    </row>
    <row r="530" spans="1:19">
      <c r="A530" s="21">
        <v>1</v>
      </c>
      <c r="B530" s="1099" t="s">
        <v>44</v>
      </c>
      <c r="C530" s="1099"/>
      <c r="D530" s="1099"/>
      <c r="E530" s="22">
        <f>Master!AA27</f>
        <v>0</v>
      </c>
      <c r="F530" s="19"/>
      <c r="G530" s="19"/>
      <c r="H530" s="19"/>
      <c r="I530" s="16"/>
      <c r="K530" s="21">
        <v>1</v>
      </c>
      <c r="L530" s="1099" t="s">
        <v>44</v>
      </c>
      <c r="M530" s="1099"/>
      <c r="N530" s="1099"/>
      <c r="O530" s="22">
        <f>E530</f>
        <v>0</v>
      </c>
      <c r="P530" s="19"/>
      <c r="Q530" s="19"/>
      <c r="R530" s="19"/>
      <c r="S530" s="16"/>
    </row>
    <row r="531" spans="1:19">
      <c r="A531" s="21"/>
      <c r="B531" s="120"/>
      <c r="C531" s="120"/>
      <c r="D531" s="120"/>
      <c r="E531" s="120"/>
      <c r="F531" s="114"/>
      <c r="G531" s="114"/>
      <c r="H531" s="114"/>
      <c r="I531" s="16"/>
      <c r="K531" s="21"/>
      <c r="L531" s="120"/>
      <c r="M531" s="120"/>
      <c r="N531" s="120"/>
      <c r="O531" s="120"/>
      <c r="P531" s="114"/>
      <c r="Q531" s="114"/>
      <c r="R531" s="114"/>
      <c r="S531" s="16"/>
    </row>
    <row r="532" spans="1:19">
      <c r="A532" s="21">
        <v>2</v>
      </c>
      <c r="B532" s="1098" t="s">
        <v>45</v>
      </c>
      <c r="C532" s="1098"/>
      <c r="D532" s="1098"/>
      <c r="E532" s="120"/>
      <c r="F532" s="114"/>
      <c r="G532" s="114"/>
      <c r="H532" s="114"/>
      <c r="I532" s="16"/>
      <c r="K532" s="21">
        <v>2</v>
      </c>
      <c r="L532" s="1098" t="s">
        <v>45</v>
      </c>
      <c r="M532" s="1098"/>
      <c r="N532" s="1098"/>
      <c r="O532" s="120"/>
      <c r="P532" s="114"/>
      <c r="Q532" s="114"/>
      <c r="R532" s="114"/>
      <c r="S532" s="16"/>
    </row>
    <row r="533" spans="1:19">
      <c r="A533" s="21"/>
      <c r="B533" s="1098"/>
      <c r="C533" s="1098"/>
      <c r="D533" s="1098"/>
      <c r="E533" s="23" t="s">
        <v>28</v>
      </c>
      <c r="F533" s="19"/>
      <c r="G533" s="19"/>
      <c r="H533" s="19"/>
      <c r="I533" s="16"/>
      <c r="K533" s="21"/>
      <c r="L533" s="1098"/>
      <c r="M533" s="1098"/>
      <c r="N533" s="1098"/>
      <c r="O533" s="23" t="s">
        <v>28</v>
      </c>
      <c r="P533" s="19"/>
      <c r="Q533" s="19"/>
      <c r="R533" s="19"/>
      <c r="S533" s="16"/>
    </row>
    <row r="534" spans="1:19">
      <c r="A534" s="21"/>
      <c r="B534" s="120"/>
      <c r="C534" s="120"/>
      <c r="D534" s="120"/>
      <c r="E534" s="120"/>
      <c r="F534" s="114"/>
      <c r="G534" s="114"/>
      <c r="H534" s="114"/>
      <c r="I534" s="16"/>
      <c r="K534" s="21"/>
      <c r="L534" s="120"/>
      <c r="M534" s="120"/>
      <c r="N534" s="120"/>
      <c r="O534" s="120"/>
      <c r="P534" s="114"/>
      <c r="Q534" s="114"/>
      <c r="R534" s="114"/>
      <c r="S534" s="16"/>
    </row>
    <row r="535" spans="1:19">
      <c r="A535" s="21">
        <v>3</v>
      </c>
      <c r="B535" s="1099" t="s">
        <v>46</v>
      </c>
      <c r="C535" s="1099"/>
      <c r="D535" s="1099"/>
      <c r="E535" s="23" t="s">
        <v>28</v>
      </c>
      <c r="F535" s="19"/>
      <c r="G535" s="19"/>
      <c r="H535" s="19"/>
      <c r="I535" s="16"/>
      <c r="K535" s="21">
        <v>3</v>
      </c>
      <c r="L535" s="1099" t="s">
        <v>46</v>
      </c>
      <c r="M535" s="1099"/>
      <c r="N535" s="1099"/>
      <c r="O535" s="18" t="str">
        <f>E535</f>
        <v>N/A</v>
      </c>
      <c r="P535" s="19"/>
      <c r="Q535" s="19"/>
      <c r="R535" s="19"/>
      <c r="S535" s="16"/>
    </row>
    <row r="536" spans="1:19">
      <c r="A536" s="21"/>
      <c r="B536" s="120"/>
      <c r="C536" s="120"/>
      <c r="D536" s="120"/>
      <c r="E536" s="120"/>
      <c r="F536" s="114"/>
      <c r="G536" s="114"/>
      <c r="H536" s="114"/>
      <c r="I536" s="16"/>
      <c r="K536" s="21"/>
      <c r="L536" s="120"/>
      <c r="M536" s="120"/>
      <c r="N536" s="120"/>
      <c r="O536" s="120"/>
      <c r="P536" s="114"/>
      <c r="Q536" s="114"/>
      <c r="R536" s="114"/>
      <c r="S536" s="16"/>
    </row>
    <row r="537" spans="1:19">
      <c r="A537" s="21">
        <v>4</v>
      </c>
      <c r="B537" s="1099" t="s">
        <v>47</v>
      </c>
      <c r="C537" s="1099"/>
      <c r="D537" s="1099"/>
      <c r="E537" s="23" t="s">
        <v>48</v>
      </c>
      <c r="F537" s="19"/>
      <c r="G537" s="19"/>
      <c r="H537" s="19"/>
      <c r="I537" s="16"/>
      <c r="K537" s="21">
        <v>4</v>
      </c>
      <c r="L537" s="1099" t="s">
        <v>47</v>
      </c>
      <c r="M537" s="1099"/>
      <c r="N537" s="1099"/>
      <c r="O537" s="23" t="s">
        <v>48</v>
      </c>
      <c r="P537" s="19"/>
      <c r="Q537" s="19"/>
      <c r="R537" s="19"/>
      <c r="S537" s="16"/>
    </row>
    <row r="538" spans="1:19">
      <c r="A538" s="21"/>
      <c r="B538" s="120"/>
      <c r="C538" s="120"/>
      <c r="D538" s="120"/>
      <c r="E538" s="120"/>
      <c r="F538" s="114"/>
      <c r="G538" s="114"/>
      <c r="H538" s="114"/>
      <c r="I538" s="16"/>
      <c r="K538" s="21"/>
      <c r="L538" s="120"/>
      <c r="M538" s="120"/>
      <c r="N538" s="120"/>
      <c r="O538" s="120"/>
      <c r="P538" s="114"/>
      <c r="Q538" s="114"/>
      <c r="R538" s="114"/>
      <c r="S538" s="16"/>
    </row>
    <row r="539" spans="1:19">
      <c r="A539" s="21">
        <v>5</v>
      </c>
      <c r="B539" s="1099" t="s">
        <v>49</v>
      </c>
      <c r="C539" s="1099"/>
      <c r="D539" s="1099"/>
      <c r="E539" s="24">
        <f>Master!AK27</f>
        <v>0</v>
      </c>
      <c r="F539" s="19"/>
      <c r="G539" s="19"/>
      <c r="H539" s="19"/>
      <c r="I539" s="16"/>
      <c r="K539" s="21">
        <v>5</v>
      </c>
      <c r="L539" s="1099" t="s">
        <v>49</v>
      </c>
      <c r="M539" s="1099"/>
      <c r="N539" s="1099"/>
      <c r="O539" s="24">
        <f>E539</f>
        <v>0</v>
      </c>
      <c r="P539" s="19"/>
      <c r="Q539" s="19"/>
      <c r="R539" s="19"/>
      <c r="S539" s="16"/>
    </row>
    <row r="540" spans="1:19">
      <c r="A540" s="21"/>
      <c r="B540" s="120"/>
      <c r="C540" s="120"/>
      <c r="D540" s="238" t="s">
        <v>50</v>
      </c>
      <c r="E540" s="238" t="s">
        <v>23</v>
      </c>
      <c r="F540" s="136" t="s">
        <v>25</v>
      </c>
      <c r="G540" s="238" t="s">
        <v>26</v>
      </c>
      <c r="H540" s="238" t="s">
        <v>202</v>
      </c>
      <c r="I540" s="126" t="s">
        <v>51</v>
      </c>
      <c r="K540" s="21"/>
      <c r="L540" s="120"/>
      <c r="M540" s="120"/>
      <c r="N540" s="238" t="s">
        <v>50</v>
      </c>
      <c r="O540" s="238" t="s">
        <v>23</v>
      </c>
      <c r="P540" s="136" t="s">
        <v>25</v>
      </c>
      <c r="Q540" s="238" t="s">
        <v>26</v>
      </c>
      <c r="R540" s="238" t="str">
        <f>H540</f>
        <v>ADV</v>
      </c>
      <c r="S540" s="126" t="s">
        <v>51</v>
      </c>
    </row>
    <row r="541" spans="1:19">
      <c r="A541" s="21">
        <v>6</v>
      </c>
      <c r="B541" s="468" t="s">
        <v>52</v>
      </c>
      <c r="C541" s="468"/>
      <c r="D541" s="335">
        <f>Master!AM27</f>
        <v>0</v>
      </c>
      <c r="E541" s="335">
        <f>Master!AL27</f>
        <v>0</v>
      </c>
      <c r="F541" s="180">
        <f>Master!AN27</f>
        <v>0</v>
      </c>
      <c r="G541" s="180">
        <f>Master!AO27</f>
        <v>0</v>
      </c>
      <c r="H541" s="180">
        <f>Master!AP27</f>
        <v>0</v>
      </c>
      <c r="I541" s="127">
        <f>D541+E541+F541+G541+H541</f>
        <v>0</v>
      </c>
      <c r="K541" s="21">
        <v>6</v>
      </c>
      <c r="L541" s="468" t="s">
        <v>52</v>
      </c>
      <c r="M541" s="468"/>
      <c r="N541" s="335">
        <f>D541</f>
        <v>0</v>
      </c>
      <c r="O541" s="335">
        <f>E541</f>
        <v>0</v>
      </c>
      <c r="P541" s="180">
        <f>F541</f>
        <v>0</v>
      </c>
      <c r="Q541" s="180">
        <f>G541</f>
        <v>0</v>
      </c>
      <c r="R541" s="180">
        <f>H541</f>
        <v>0</v>
      </c>
      <c r="S541" s="127">
        <f>N541+O541+R541</f>
        <v>0</v>
      </c>
    </row>
    <row r="542" spans="1:19">
      <c r="A542" s="21"/>
      <c r="B542" s="120"/>
      <c r="C542" s="120"/>
      <c r="D542" s="120"/>
      <c r="E542" s="120"/>
      <c r="F542" s="114"/>
      <c r="G542" s="114"/>
      <c r="H542" s="114"/>
      <c r="I542" s="16"/>
      <c r="K542" s="21"/>
      <c r="L542" s="120"/>
      <c r="M542" s="120"/>
      <c r="N542" s="120"/>
      <c r="O542" s="120"/>
      <c r="P542" s="114"/>
      <c r="Q542" s="114"/>
      <c r="R542" s="114"/>
      <c r="S542" s="16"/>
    </row>
    <row r="543" spans="1:19">
      <c r="A543" s="21">
        <v>7</v>
      </c>
      <c r="B543" s="1099" t="s">
        <v>53</v>
      </c>
      <c r="C543" s="1099"/>
      <c r="D543" s="1099"/>
      <c r="E543" s="24">
        <f>E539-I541+1</f>
        <v>1</v>
      </c>
      <c r="F543" s="19"/>
      <c r="G543" s="19"/>
      <c r="H543" s="19"/>
      <c r="I543" s="16"/>
      <c r="K543" s="21">
        <v>7</v>
      </c>
      <c r="L543" s="1099" t="s">
        <v>53</v>
      </c>
      <c r="M543" s="1099"/>
      <c r="N543" s="1099"/>
      <c r="O543" s="24">
        <f>E543</f>
        <v>1</v>
      </c>
      <c r="P543" s="19"/>
      <c r="Q543" s="19"/>
      <c r="R543" s="19"/>
      <c r="S543" s="16"/>
    </row>
    <row r="544" spans="1:19">
      <c r="A544" s="15"/>
      <c r="B544" s="114"/>
      <c r="C544" s="114"/>
      <c r="D544" s="114"/>
      <c r="E544" s="114"/>
      <c r="F544" s="114"/>
      <c r="G544" s="114"/>
      <c r="H544" s="114"/>
      <c r="I544" s="16"/>
      <c r="K544" s="15"/>
      <c r="L544" s="114"/>
      <c r="M544" s="114"/>
      <c r="N544" s="114"/>
      <c r="O544" s="114"/>
      <c r="P544" s="114"/>
      <c r="Q544" s="114"/>
      <c r="R544" s="114"/>
      <c r="S544" s="16"/>
    </row>
    <row r="545" spans="1:19">
      <c r="A545" s="15"/>
      <c r="B545" s="114"/>
      <c r="C545" s="114"/>
      <c r="D545" s="114"/>
      <c r="E545" s="114"/>
      <c r="F545" s="114"/>
      <c r="G545" s="114"/>
      <c r="H545" s="114"/>
      <c r="I545" s="16"/>
      <c r="K545" s="15"/>
      <c r="L545" s="114"/>
      <c r="M545" s="114"/>
      <c r="N545" s="114"/>
      <c r="O545" s="114"/>
      <c r="P545" s="114"/>
      <c r="Q545" s="114"/>
      <c r="R545" s="114"/>
      <c r="S545" s="16"/>
    </row>
    <row r="546" spans="1:19" ht="15" thickBot="1">
      <c r="A546" s="15"/>
      <c r="B546" s="114"/>
      <c r="C546" s="114"/>
      <c r="D546" s="114"/>
      <c r="E546" s="114"/>
      <c r="F546" s="25"/>
      <c r="G546" s="25"/>
      <c r="H546" s="25"/>
      <c r="I546" s="26"/>
      <c r="K546" s="15"/>
      <c r="L546" s="114"/>
      <c r="M546" s="114"/>
      <c r="N546" s="114"/>
      <c r="O546" s="114"/>
      <c r="P546" s="25"/>
      <c r="Q546" s="25"/>
      <c r="R546" s="25"/>
      <c r="S546" s="26"/>
    </row>
    <row r="547" spans="1:19" ht="15" thickBot="1">
      <c r="A547" s="27"/>
      <c r="B547" s="25"/>
      <c r="C547" s="25"/>
      <c r="D547" s="25"/>
      <c r="E547" s="999" t="s">
        <v>54</v>
      </c>
      <c r="F547" s="999"/>
      <c r="G547" s="999"/>
      <c r="H547" s="999"/>
      <c r="I547" s="1100"/>
      <c r="K547" s="27"/>
      <c r="L547" s="25"/>
      <c r="M547" s="25"/>
      <c r="N547" s="25"/>
      <c r="O547" s="28" t="s">
        <v>54</v>
      </c>
      <c r="P547" s="25"/>
      <c r="Q547" s="28"/>
      <c r="R547" s="28"/>
      <c r="S547" s="29"/>
    </row>
    <row r="559" spans="1:19" ht="14.4" customHeight="1" thickBot="1"/>
    <row r="560" spans="1:19" ht="24.6">
      <c r="A560" s="1091" t="s">
        <v>39</v>
      </c>
      <c r="B560" s="1092"/>
      <c r="C560" s="1092"/>
      <c r="D560" s="1092"/>
      <c r="E560" s="1092"/>
      <c r="F560" s="1092"/>
      <c r="G560" s="1092"/>
      <c r="H560" s="1092"/>
      <c r="I560" s="1093"/>
      <c r="K560" s="1091" t="s">
        <v>39</v>
      </c>
      <c r="L560" s="1092"/>
      <c r="M560" s="1092"/>
      <c r="N560" s="1092"/>
      <c r="O560" s="1092"/>
      <c r="P560" s="1092"/>
      <c r="Q560" s="1092"/>
      <c r="R560" s="1092"/>
      <c r="S560" s="1093"/>
    </row>
    <row r="561" spans="1:19">
      <c r="A561" s="1094" t="s">
        <v>1075</v>
      </c>
      <c r="B561" s="1095"/>
      <c r="C561" s="1095"/>
      <c r="D561" s="1095"/>
      <c r="E561" s="1095"/>
      <c r="F561" s="1095"/>
      <c r="G561" s="1095"/>
      <c r="H561" s="1095"/>
      <c r="I561" s="1096"/>
      <c r="K561" s="1094" t="str">
        <f>A561</f>
        <v>[Vide rule 78 (1) (b) of the Contract Labour (Regulation and Abolition) Central and A.P.{T.S.}Rules, 1971]</v>
      </c>
      <c r="L561" s="1095"/>
      <c r="M561" s="1095"/>
      <c r="N561" s="1095"/>
      <c r="O561" s="1095"/>
      <c r="P561" s="1095"/>
      <c r="Q561" s="1095"/>
      <c r="R561" s="1095"/>
      <c r="S561" s="1096"/>
    </row>
    <row r="562" spans="1:19">
      <c r="A562" s="15"/>
      <c r="B562" s="114"/>
      <c r="C562" s="114"/>
      <c r="D562" s="114"/>
      <c r="E562" s="114"/>
      <c r="F562" s="114"/>
      <c r="G562" s="114"/>
      <c r="H562" s="114"/>
      <c r="I562" s="16"/>
      <c r="K562" s="15"/>
      <c r="L562" s="114"/>
      <c r="M562" s="114"/>
      <c r="N562" s="114"/>
      <c r="O562" s="114"/>
      <c r="P562" s="114"/>
      <c r="Q562" s="114"/>
      <c r="R562" s="114"/>
      <c r="S562" s="16"/>
    </row>
    <row r="563" spans="1:19">
      <c r="A563" s="17" t="s">
        <v>40</v>
      </c>
      <c r="B563" s="120"/>
      <c r="C563" s="120"/>
      <c r="D563" s="121" t="str">
        <f>Master!F5</f>
        <v>GROTECH LANDSCAPE DEVELOPERS PVT. LTD.</v>
      </c>
      <c r="E563" s="114"/>
      <c r="F563" s="114"/>
      <c r="G563" s="114"/>
      <c r="H563" s="114"/>
      <c r="I563" s="16"/>
      <c r="K563" s="17" t="s">
        <v>40</v>
      </c>
      <c r="L563" s="120"/>
      <c r="M563" s="120"/>
      <c r="N563" s="121" t="str">
        <f>D563</f>
        <v>GROTECH LANDSCAPE DEVELOPERS PVT. LTD.</v>
      </c>
      <c r="O563" s="114"/>
      <c r="P563" s="114"/>
      <c r="Q563" s="114"/>
      <c r="R563" s="114"/>
      <c r="S563" s="16"/>
    </row>
    <row r="564" spans="1:19">
      <c r="A564" s="17"/>
      <c r="B564" s="120" t="str">
        <f>Master!F6</f>
        <v>290/E, Khanapur Village, Gandipet Mandal, Ranga Reddy, Hyderabad-500075 T.S.</v>
      </c>
      <c r="C564" s="120"/>
      <c r="D564" s="114"/>
      <c r="E564" s="114"/>
      <c r="F564" s="114"/>
      <c r="G564" s="114"/>
      <c r="H564" s="114"/>
      <c r="I564" s="16"/>
      <c r="K564" s="17"/>
      <c r="L564" s="120" t="str">
        <f>B564</f>
        <v>290/E, Khanapur Village, Gandipet Mandal, Ranga Reddy, Hyderabad-500075 T.S.</v>
      </c>
      <c r="M564" s="120"/>
      <c r="N564" s="114"/>
      <c r="O564" s="114"/>
      <c r="P564" s="114"/>
      <c r="Q564" s="114"/>
      <c r="R564" s="114"/>
      <c r="S564" s="16"/>
    </row>
    <row r="565" spans="1:19">
      <c r="A565" s="17"/>
      <c r="B565" s="120"/>
      <c r="C565" s="120"/>
      <c r="D565" s="120"/>
      <c r="E565" s="120"/>
      <c r="F565" s="114"/>
      <c r="G565" s="114"/>
      <c r="H565" s="114"/>
      <c r="I565" s="16"/>
      <c r="K565" s="17"/>
      <c r="L565" s="120"/>
      <c r="M565" s="120"/>
      <c r="N565" s="120"/>
      <c r="O565" s="120"/>
      <c r="P565" s="114"/>
      <c r="Q565" s="114"/>
      <c r="R565" s="114"/>
      <c r="S565" s="16"/>
    </row>
    <row r="566" spans="1:19">
      <c r="A566" s="1097" t="s">
        <v>41</v>
      </c>
      <c r="B566" s="1098"/>
      <c r="C566" s="1098"/>
      <c r="D566" s="1098"/>
      <c r="E566" s="120"/>
      <c r="F566" s="114"/>
      <c r="G566" s="114"/>
      <c r="H566" s="114"/>
      <c r="I566" s="16"/>
      <c r="K566" s="1097" t="s">
        <v>41</v>
      </c>
      <c r="L566" s="1098"/>
      <c r="M566" s="1098"/>
      <c r="N566" s="1098"/>
      <c r="O566" s="120"/>
      <c r="P566" s="114"/>
      <c r="Q566" s="114"/>
      <c r="R566" s="114"/>
      <c r="S566" s="16"/>
    </row>
    <row r="567" spans="1:19">
      <c r="A567" s="1097"/>
      <c r="B567" s="1098"/>
      <c r="C567" s="1098"/>
      <c r="D567" s="1098"/>
      <c r="E567" s="128" t="str">
        <f>Master!D28</f>
        <v xml:space="preserve">Bablu kumar </v>
      </c>
      <c r="F567" s="19"/>
      <c r="G567" s="19"/>
      <c r="H567" s="19" t="str">
        <f>Master!G28</f>
        <v>Harilal</v>
      </c>
      <c r="I567" s="16"/>
      <c r="K567" s="1097"/>
      <c r="L567" s="1098"/>
      <c r="M567" s="1098"/>
      <c r="N567" s="1098"/>
      <c r="O567" s="18" t="str">
        <f>E567</f>
        <v xml:space="preserve">Bablu kumar </v>
      </c>
      <c r="P567" s="19"/>
      <c r="Q567" s="19"/>
      <c r="R567" s="19" t="str">
        <f>H567</f>
        <v>Harilal</v>
      </c>
      <c r="S567" s="16"/>
    </row>
    <row r="568" spans="1:19" ht="14.4" customHeight="1">
      <c r="A568" s="17"/>
      <c r="B568" s="120"/>
      <c r="C568" s="120"/>
      <c r="D568" s="120"/>
      <c r="E568" s="120"/>
      <c r="F568" s="114"/>
      <c r="G568" s="114"/>
      <c r="H568" s="114"/>
      <c r="I568" s="16"/>
      <c r="K568" s="17"/>
      <c r="L568" s="120"/>
      <c r="M568" s="120"/>
      <c r="N568" s="120"/>
      <c r="O568" s="120"/>
      <c r="P568" s="114"/>
      <c r="Q568" s="114"/>
      <c r="R568" s="114"/>
      <c r="S568" s="16"/>
    </row>
    <row r="569" spans="1:19">
      <c r="A569" s="1101" t="s">
        <v>42</v>
      </c>
      <c r="B569" s="1099"/>
      <c r="C569" s="1099"/>
      <c r="D569" s="1099"/>
      <c r="E569" s="24" t="str">
        <f>Master!F8</f>
        <v>GARDENING SERVICES&amp;ISB HYDERABAD</v>
      </c>
      <c r="F569" s="19"/>
      <c r="G569" s="19"/>
      <c r="H569" s="19"/>
      <c r="I569" s="16"/>
      <c r="K569" s="1101" t="s">
        <v>42</v>
      </c>
      <c r="L569" s="1099"/>
      <c r="M569" s="1099"/>
      <c r="N569" s="1099"/>
      <c r="O569" s="24" t="str">
        <f>E569</f>
        <v>GARDENING SERVICES&amp;ISB HYDERABAD</v>
      </c>
      <c r="P569" s="19"/>
      <c r="Q569" s="19"/>
      <c r="R569" s="19"/>
      <c r="S569" s="16"/>
    </row>
    <row r="570" spans="1:19">
      <c r="A570" s="17"/>
      <c r="B570" s="120"/>
      <c r="C570" s="120"/>
      <c r="D570" s="120"/>
      <c r="E570" s="120"/>
      <c r="F570" s="114"/>
      <c r="G570" s="114"/>
      <c r="H570" s="114"/>
      <c r="I570" s="16"/>
      <c r="K570" s="17"/>
      <c r="L570" s="120"/>
      <c r="M570" s="120"/>
      <c r="N570" s="120"/>
      <c r="O570" s="120"/>
      <c r="P570" s="114"/>
      <c r="Q570" s="114"/>
      <c r="R570" s="114"/>
      <c r="S570" s="16"/>
    </row>
    <row r="571" spans="1:19">
      <c r="A571" s="1101" t="s">
        <v>43</v>
      </c>
      <c r="B571" s="1099"/>
      <c r="C571" s="1099"/>
      <c r="D571" s="1099"/>
      <c r="E571" s="20">
        <f>Master!F10</f>
        <v>44652</v>
      </c>
      <c r="F571" s="19"/>
      <c r="G571" s="19"/>
      <c r="H571" s="19"/>
      <c r="I571" s="16"/>
      <c r="K571" s="1101" t="s">
        <v>43</v>
      </c>
      <c r="L571" s="1099"/>
      <c r="M571" s="1099"/>
      <c r="N571" s="1099"/>
      <c r="O571" s="20">
        <f>E571</f>
        <v>44652</v>
      </c>
      <c r="P571" s="19"/>
      <c r="Q571" s="19"/>
      <c r="R571" s="19"/>
      <c r="S571" s="16"/>
    </row>
    <row r="572" spans="1:19">
      <c r="A572" s="17"/>
      <c r="B572" s="120"/>
      <c r="C572" s="120"/>
      <c r="D572" s="120"/>
      <c r="E572" s="120"/>
      <c r="F572" s="114"/>
      <c r="G572" s="114"/>
      <c r="H572" s="114"/>
      <c r="I572" s="16"/>
      <c r="K572" s="17"/>
      <c r="L572" s="120"/>
      <c r="M572" s="120"/>
      <c r="N572" s="120"/>
      <c r="O572" s="120"/>
      <c r="P572" s="114"/>
      <c r="Q572" s="114"/>
      <c r="R572" s="114"/>
      <c r="S572" s="16"/>
    </row>
    <row r="573" spans="1:19">
      <c r="A573" s="21">
        <v>1</v>
      </c>
      <c r="B573" s="1099" t="s">
        <v>44</v>
      </c>
      <c r="C573" s="1099"/>
      <c r="D573" s="1099"/>
      <c r="E573" s="22">
        <f>Master!AA28</f>
        <v>0</v>
      </c>
      <c r="F573" s="19"/>
      <c r="G573" s="19"/>
      <c r="H573" s="19"/>
      <c r="I573" s="16"/>
      <c r="K573" s="21">
        <v>1</v>
      </c>
      <c r="L573" s="1099" t="s">
        <v>44</v>
      </c>
      <c r="M573" s="1099"/>
      <c r="N573" s="1099"/>
      <c r="O573" s="22">
        <f>E573</f>
        <v>0</v>
      </c>
      <c r="P573" s="19"/>
      <c r="Q573" s="19"/>
      <c r="R573" s="19"/>
      <c r="S573" s="16"/>
    </row>
    <row r="574" spans="1:19">
      <c r="A574" s="21"/>
      <c r="B574" s="120"/>
      <c r="C574" s="120"/>
      <c r="D574" s="120"/>
      <c r="E574" s="120"/>
      <c r="F574" s="114"/>
      <c r="G574" s="114"/>
      <c r="H574" s="114"/>
      <c r="I574" s="16"/>
      <c r="K574" s="21"/>
      <c r="L574" s="120"/>
      <c r="M574" s="120"/>
      <c r="N574" s="120"/>
      <c r="O574" s="120"/>
      <c r="P574" s="114"/>
      <c r="Q574" s="114"/>
      <c r="R574" s="114"/>
      <c r="S574" s="16"/>
    </row>
    <row r="575" spans="1:19">
      <c r="A575" s="21">
        <v>2</v>
      </c>
      <c r="B575" s="1098" t="s">
        <v>45</v>
      </c>
      <c r="C575" s="1098"/>
      <c r="D575" s="1098"/>
      <c r="E575" s="120"/>
      <c r="F575" s="114"/>
      <c r="G575" s="114"/>
      <c r="H575" s="114"/>
      <c r="I575" s="16"/>
      <c r="K575" s="21">
        <v>2</v>
      </c>
      <c r="L575" s="1098" t="s">
        <v>45</v>
      </c>
      <c r="M575" s="1098"/>
      <c r="N575" s="1098"/>
      <c r="O575" s="120"/>
      <c r="P575" s="114"/>
      <c r="Q575" s="114"/>
      <c r="R575" s="114"/>
      <c r="S575" s="16"/>
    </row>
    <row r="576" spans="1:19">
      <c r="A576" s="21"/>
      <c r="B576" s="1098"/>
      <c r="C576" s="1098"/>
      <c r="D576" s="1098"/>
      <c r="E576" s="23" t="s">
        <v>28</v>
      </c>
      <c r="F576" s="19"/>
      <c r="G576" s="19"/>
      <c r="H576" s="19"/>
      <c r="I576" s="16"/>
      <c r="K576" s="21"/>
      <c r="L576" s="1098"/>
      <c r="M576" s="1098"/>
      <c r="N576" s="1098"/>
      <c r="O576" s="23" t="s">
        <v>28</v>
      </c>
      <c r="P576" s="19"/>
      <c r="Q576" s="19"/>
      <c r="R576" s="19"/>
      <c r="S576" s="16"/>
    </row>
    <row r="577" spans="1:19">
      <c r="A577" s="21"/>
      <c r="B577" s="120"/>
      <c r="C577" s="120"/>
      <c r="D577" s="120"/>
      <c r="E577" s="120"/>
      <c r="F577" s="114"/>
      <c r="G577" s="114"/>
      <c r="H577" s="114"/>
      <c r="I577" s="16"/>
      <c r="K577" s="21"/>
      <c r="L577" s="120"/>
      <c r="M577" s="120"/>
      <c r="N577" s="120"/>
      <c r="O577" s="120"/>
      <c r="P577" s="114"/>
      <c r="Q577" s="114"/>
      <c r="R577" s="114"/>
      <c r="S577" s="16"/>
    </row>
    <row r="578" spans="1:19">
      <c r="A578" s="21">
        <v>3</v>
      </c>
      <c r="B578" s="1099" t="s">
        <v>46</v>
      </c>
      <c r="C578" s="1099"/>
      <c r="D578" s="1099"/>
      <c r="E578" s="23" t="s">
        <v>28</v>
      </c>
      <c r="F578" s="19"/>
      <c r="G578" s="19"/>
      <c r="H578" s="19"/>
      <c r="I578" s="16"/>
      <c r="K578" s="21">
        <v>3</v>
      </c>
      <c r="L578" s="1099" t="s">
        <v>46</v>
      </c>
      <c r="M578" s="1099"/>
      <c r="N578" s="1099"/>
      <c r="O578" s="18" t="str">
        <f>E578</f>
        <v>N/A</v>
      </c>
      <c r="P578" s="19"/>
      <c r="Q578" s="19"/>
      <c r="R578" s="19"/>
      <c r="S578" s="16"/>
    </row>
    <row r="579" spans="1:19">
      <c r="A579" s="21"/>
      <c r="B579" s="120"/>
      <c r="C579" s="120"/>
      <c r="D579" s="120"/>
      <c r="E579" s="120"/>
      <c r="F579" s="114"/>
      <c r="G579" s="114"/>
      <c r="H579" s="114"/>
      <c r="I579" s="16"/>
      <c r="K579" s="21"/>
      <c r="L579" s="120"/>
      <c r="M579" s="120"/>
      <c r="N579" s="120"/>
      <c r="O579" s="120"/>
      <c r="P579" s="114"/>
      <c r="Q579" s="114"/>
      <c r="R579" s="114"/>
      <c r="S579" s="16"/>
    </row>
    <row r="580" spans="1:19">
      <c r="A580" s="21">
        <v>4</v>
      </c>
      <c r="B580" s="1099" t="s">
        <v>47</v>
      </c>
      <c r="C580" s="1099"/>
      <c r="D580" s="1099"/>
      <c r="E580" s="23" t="s">
        <v>48</v>
      </c>
      <c r="F580" s="19"/>
      <c r="G580" s="19"/>
      <c r="H580" s="19"/>
      <c r="I580" s="16"/>
      <c r="K580" s="21">
        <v>4</v>
      </c>
      <c r="L580" s="1099" t="s">
        <v>47</v>
      </c>
      <c r="M580" s="1099"/>
      <c r="N580" s="1099"/>
      <c r="O580" s="23" t="s">
        <v>48</v>
      </c>
      <c r="P580" s="19"/>
      <c r="Q580" s="19"/>
      <c r="R580" s="19"/>
      <c r="S580" s="16"/>
    </row>
    <row r="581" spans="1:19">
      <c r="A581" s="21"/>
      <c r="B581" s="120"/>
      <c r="C581" s="120"/>
      <c r="D581" s="120"/>
      <c r="E581" s="120"/>
      <c r="F581" s="114"/>
      <c r="G581" s="114"/>
      <c r="H581" s="114"/>
      <c r="I581" s="16"/>
      <c r="K581" s="21"/>
      <c r="L581" s="120"/>
      <c r="M581" s="120"/>
      <c r="N581" s="120"/>
      <c r="O581" s="120"/>
      <c r="P581" s="114"/>
      <c r="Q581" s="114"/>
      <c r="R581" s="114"/>
      <c r="S581" s="16"/>
    </row>
    <row r="582" spans="1:19">
      <c r="A582" s="21">
        <v>5</v>
      </c>
      <c r="B582" s="1099" t="s">
        <v>49</v>
      </c>
      <c r="C582" s="1099"/>
      <c r="D582" s="1099"/>
      <c r="E582" s="24">
        <f>Master!AK28</f>
        <v>0</v>
      </c>
      <c r="F582" s="19"/>
      <c r="G582" s="19"/>
      <c r="H582" s="19"/>
      <c r="I582" s="16"/>
      <c r="K582" s="21">
        <v>5</v>
      </c>
      <c r="L582" s="1099" t="s">
        <v>49</v>
      </c>
      <c r="M582" s="1099"/>
      <c r="N582" s="1099"/>
      <c r="O582" s="24">
        <f>E582</f>
        <v>0</v>
      </c>
      <c r="P582" s="19"/>
      <c r="Q582" s="19"/>
      <c r="R582" s="19"/>
      <c r="S582" s="16"/>
    </row>
    <row r="583" spans="1:19">
      <c r="A583" s="21"/>
      <c r="B583" s="120"/>
      <c r="C583" s="120"/>
      <c r="D583" s="238" t="s">
        <v>50</v>
      </c>
      <c r="E583" s="238" t="s">
        <v>23</v>
      </c>
      <c r="F583" s="136" t="s">
        <v>25</v>
      </c>
      <c r="G583" s="238" t="s">
        <v>26</v>
      </c>
      <c r="H583" s="238" t="s">
        <v>202</v>
      </c>
      <c r="I583" s="126" t="s">
        <v>51</v>
      </c>
      <c r="K583" s="21"/>
      <c r="L583" s="120"/>
      <c r="M583" s="120"/>
      <c r="N583" s="238" t="s">
        <v>50</v>
      </c>
      <c r="O583" s="238" t="s">
        <v>23</v>
      </c>
      <c r="P583" s="136" t="s">
        <v>25</v>
      </c>
      <c r="Q583" s="238" t="s">
        <v>26</v>
      </c>
      <c r="R583" s="238" t="str">
        <f>H583</f>
        <v>ADV</v>
      </c>
      <c r="S583" s="126" t="s">
        <v>51</v>
      </c>
    </row>
    <row r="584" spans="1:19">
      <c r="A584" s="21">
        <v>6</v>
      </c>
      <c r="B584" s="468" t="s">
        <v>52</v>
      </c>
      <c r="C584" s="468"/>
      <c r="D584" s="335">
        <f>Master!AM28</f>
        <v>0</v>
      </c>
      <c r="E584" s="335">
        <f>Master!AL28</f>
        <v>0</v>
      </c>
      <c r="F584" s="180">
        <f>Master!AN28</f>
        <v>0</v>
      </c>
      <c r="G584" s="180">
        <f>Master!AO28</f>
        <v>0</v>
      </c>
      <c r="H584" s="180">
        <f>Master!AP28</f>
        <v>0</v>
      </c>
      <c r="I584" s="127">
        <f>D584+E584+F584+G584+H584</f>
        <v>0</v>
      </c>
      <c r="K584" s="21">
        <v>6</v>
      </c>
      <c r="L584" s="468" t="s">
        <v>52</v>
      </c>
      <c r="M584" s="468"/>
      <c r="N584" s="335">
        <f>D584</f>
        <v>0</v>
      </c>
      <c r="O584" s="335">
        <f>E584</f>
        <v>0</v>
      </c>
      <c r="P584" s="180">
        <f>F584</f>
        <v>0</v>
      </c>
      <c r="Q584" s="180">
        <f>G584</f>
        <v>0</v>
      </c>
      <c r="R584" s="180">
        <f>H584</f>
        <v>0</v>
      </c>
      <c r="S584" s="127">
        <f>N584+O584+R584</f>
        <v>0</v>
      </c>
    </row>
    <row r="585" spans="1:19">
      <c r="A585" s="21"/>
      <c r="B585" s="120"/>
      <c r="C585" s="120"/>
      <c r="D585" s="120"/>
      <c r="E585" s="120"/>
      <c r="F585" s="114"/>
      <c r="G585" s="114"/>
      <c r="H585" s="114"/>
      <c r="I585" s="16"/>
      <c r="K585" s="21"/>
      <c r="L585" s="120"/>
      <c r="M585" s="120"/>
      <c r="N585" s="120"/>
      <c r="O585" s="120"/>
      <c r="P585" s="114"/>
      <c r="Q585" s="114"/>
      <c r="R585" s="114"/>
      <c r="S585" s="16"/>
    </row>
    <row r="586" spans="1:19">
      <c r="A586" s="21">
        <v>7</v>
      </c>
      <c r="B586" s="1099" t="s">
        <v>53</v>
      </c>
      <c r="C586" s="1099"/>
      <c r="D586" s="1099"/>
      <c r="E586" s="24">
        <f>E582-I584+1</f>
        <v>1</v>
      </c>
      <c r="F586" s="19"/>
      <c r="G586" s="19"/>
      <c r="H586" s="19"/>
      <c r="I586" s="16"/>
      <c r="K586" s="21">
        <v>7</v>
      </c>
      <c r="L586" s="1099" t="s">
        <v>53</v>
      </c>
      <c r="M586" s="1099"/>
      <c r="N586" s="1099"/>
      <c r="O586" s="24">
        <f>E586</f>
        <v>1</v>
      </c>
      <c r="P586" s="19"/>
      <c r="Q586" s="19"/>
      <c r="R586" s="19"/>
      <c r="S586" s="16"/>
    </row>
    <row r="587" spans="1:19">
      <c r="A587" s="15"/>
      <c r="B587" s="114"/>
      <c r="C587" s="114"/>
      <c r="D587" s="114"/>
      <c r="E587" s="114"/>
      <c r="F587" s="114"/>
      <c r="G587" s="114"/>
      <c r="H587" s="114"/>
      <c r="I587" s="16"/>
      <c r="K587" s="15"/>
      <c r="L587" s="114"/>
      <c r="M587" s="114"/>
      <c r="N587" s="114"/>
      <c r="O587" s="114"/>
      <c r="P587" s="114"/>
      <c r="Q587" s="114"/>
      <c r="R587" s="114"/>
      <c r="S587" s="16"/>
    </row>
    <row r="588" spans="1:19">
      <c r="A588" s="15"/>
      <c r="B588" s="114"/>
      <c r="C588" s="114"/>
      <c r="D588" s="114"/>
      <c r="E588" s="114"/>
      <c r="F588" s="114"/>
      <c r="G588" s="114"/>
      <c r="H588" s="114"/>
      <c r="I588" s="16"/>
      <c r="K588" s="15"/>
      <c r="L588" s="114"/>
      <c r="M588" s="114"/>
      <c r="N588" s="114"/>
      <c r="O588" s="114"/>
      <c r="P588" s="114"/>
      <c r="Q588" s="114"/>
      <c r="R588" s="114"/>
      <c r="S588" s="16"/>
    </row>
    <row r="589" spans="1:19" ht="15" thickBot="1">
      <c r="A589" s="15"/>
      <c r="B589" s="114"/>
      <c r="C589" s="114"/>
      <c r="D589" s="114"/>
      <c r="E589" s="114"/>
      <c r="F589" s="25"/>
      <c r="G589" s="25"/>
      <c r="H589" s="25"/>
      <c r="I589" s="26"/>
      <c r="K589" s="15"/>
      <c r="L589" s="114"/>
      <c r="M589" s="114"/>
      <c r="N589" s="114"/>
      <c r="O589" s="114"/>
      <c r="P589" s="25"/>
      <c r="Q589" s="25"/>
      <c r="R589" s="25"/>
      <c r="S589" s="26"/>
    </row>
    <row r="590" spans="1:19" ht="15" thickBot="1">
      <c r="A590" s="27"/>
      <c r="B590" s="25"/>
      <c r="C590" s="25"/>
      <c r="D590" s="25"/>
      <c r="E590" s="999" t="s">
        <v>54</v>
      </c>
      <c r="F590" s="999"/>
      <c r="G590" s="999"/>
      <c r="H590" s="999"/>
      <c r="I590" s="1100"/>
      <c r="K590" s="27"/>
      <c r="L590" s="25"/>
      <c r="M590" s="25"/>
      <c r="N590" s="25"/>
      <c r="O590" s="28" t="s">
        <v>54</v>
      </c>
      <c r="P590" s="25"/>
      <c r="Q590" s="28"/>
      <c r="R590" s="28"/>
      <c r="S590" s="29"/>
    </row>
    <row r="602" spans="1:19" ht="15" thickBot="1"/>
    <row r="603" spans="1:19" ht="24.6">
      <c r="A603" s="1091" t="s">
        <v>39</v>
      </c>
      <c r="B603" s="1092"/>
      <c r="C603" s="1092"/>
      <c r="D603" s="1092"/>
      <c r="E603" s="1092"/>
      <c r="F603" s="1092"/>
      <c r="G603" s="1092"/>
      <c r="H603" s="1092"/>
      <c r="I603" s="1093"/>
      <c r="K603" s="1091" t="s">
        <v>39</v>
      </c>
      <c r="L603" s="1092"/>
      <c r="M603" s="1092"/>
      <c r="N603" s="1092"/>
      <c r="O603" s="1092"/>
      <c r="P603" s="1092"/>
      <c r="Q603" s="1092"/>
      <c r="R603" s="1092"/>
      <c r="S603" s="1093"/>
    </row>
    <row r="604" spans="1:19">
      <c r="A604" s="1094" t="s">
        <v>1075</v>
      </c>
      <c r="B604" s="1095"/>
      <c r="C604" s="1095"/>
      <c r="D604" s="1095"/>
      <c r="E604" s="1095"/>
      <c r="F604" s="1095"/>
      <c r="G604" s="1095"/>
      <c r="H604" s="1095"/>
      <c r="I604" s="1096"/>
      <c r="K604" s="1094" t="str">
        <f>A604</f>
        <v>[Vide rule 78 (1) (b) of the Contract Labour (Regulation and Abolition) Central and A.P.{T.S.}Rules, 1971]</v>
      </c>
      <c r="L604" s="1095"/>
      <c r="M604" s="1095"/>
      <c r="N604" s="1095"/>
      <c r="O604" s="1095"/>
      <c r="P604" s="1095"/>
      <c r="Q604" s="1095"/>
      <c r="R604" s="1095"/>
      <c r="S604" s="1096"/>
    </row>
    <row r="605" spans="1:19">
      <c r="A605" s="15"/>
      <c r="B605" s="114"/>
      <c r="C605" s="114"/>
      <c r="D605" s="114"/>
      <c r="E605" s="114"/>
      <c r="F605" s="114"/>
      <c r="G605" s="114"/>
      <c r="H605" s="114"/>
      <c r="I605" s="16"/>
      <c r="K605" s="15"/>
      <c r="L605" s="114"/>
      <c r="M605" s="114"/>
      <c r="N605" s="114"/>
      <c r="O605" s="114"/>
      <c r="P605" s="114"/>
      <c r="Q605" s="114"/>
      <c r="R605" s="114"/>
      <c r="S605" s="16"/>
    </row>
    <row r="606" spans="1:19">
      <c r="A606" s="17" t="s">
        <v>40</v>
      </c>
      <c r="B606" s="120"/>
      <c r="C606" s="120"/>
      <c r="D606" s="121" t="str">
        <f>Master!F5</f>
        <v>GROTECH LANDSCAPE DEVELOPERS PVT. LTD.</v>
      </c>
      <c r="E606" s="114"/>
      <c r="F606" s="114"/>
      <c r="G606" s="114"/>
      <c r="H606" s="114"/>
      <c r="I606" s="16"/>
      <c r="K606" s="17" t="s">
        <v>40</v>
      </c>
      <c r="L606" s="120"/>
      <c r="M606" s="120"/>
      <c r="N606" s="121" t="str">
        <f>D606</f>
        <v>GROTECH LANDSCAPE DEVELOPERS PVT. LTD.</v>
      </c>
      <c r="O606" s="114"/>
      <c r="P606" s="114"/>
      <c r="Q606" s="114"/>
      <c r="R606" s="114"/>
      <c r="S606" s="16"/>
    </row>
    <row r="607" spans="1:19">
      <c r="A607" s="17"/>
      <c r="B607" s="120" t="str">
        <f>Master!F6</f>
        <v>290/E, Khanapur Village, Gandipet Mandal, Ranga Reddy, Hyderabad-500075 T.S.</v>
      </c>
      <c r="C607" s="120"/>
      <c r="D607" s="114"/>
      <c r="E607" s="114"/>
      <c r="F607" s="114"/>
      <c r="G607" s="114"/>
      <c r="H607" s="114"/>
      <c r="I607" s="16"/>
      <c r="K607" s="17"/>
      <c r="L607" s="120" t="str">
        <f>B607</f>
        <v>290/E, Khanapur Village, Gandipet Mandal, Ranga Reddy, Hyderabad-500075 T.S.</v>
      </c>
      <c r="M607" s="120"/>
      <c r="N607" s="114"/>
      <c r="O607" s="114"/>
      <c r="P607" s="114"/>
      <c r="Q607" s="114"/>
      <c r="R607" s="114"/>
      <c r="S607" s="16"/>
    </row>
    <row r="608" spans="1:19">
      <c r="A608" s="17"/>
      <c r="B608" s="120"/>
      <c r="C608" s="120"/>
      <c r="D608" s="120"/>
      <c r="E608" s="120"/>
      <c r="F608" s="114"/>
      <c r="G608" s="114"/>
      <c r="H608" s="114"/>
      <c r="I608" s="16"/>
      <c r="K608" s="17"/>
      <c r="L608" s="120"/>
      <c r="M608" s="120"/>
      <c r="N608" s="120"/>
      <c r="O608" s="120"/>
      <c r="P608" s="114"/>
      <c r="Q608" s="114"/>
      <c r="R608" s="114"/>
      <c r="S608" s="16"/>
    </row>
    <row r="609" spans="1:19">
      <c r="A609" s="1097" t="s">
        <v>41</v>
      </c>
      <c r="B609" s="1098"/>
      <c r="C609" s="1098"/>
      <c r="D609" s="1098"/>
      <c r="E609" s="120"/>
      <c r="F609" s="114"/>
      <c r="G609" s="114"/>
      <c r="H609" s="114"/>
      <c r="I609" s="16"/>
      <c r="K609" s="1097" t="s">
        <v>41</v>
      </c>
      <c r="L609" s="1098"/>
      <c r="M609" s="1098"/>
      <c r="N609" s="1098"/>
      <c r="O609" s="120"/>
      <c r="P609" s="114"/>
      <c r="Q609" s="114"/>
      <c r="R609" s="114"/>
      <c r="S609" s="16"/>
    </row>
    <row r="610" spans="1:19">
      <c r="A610" s="1097"/>
      <c r="B610" s="1098"/>
      <c r="C610" s="1098"/>
      <c r="D610" s="1098"/>
      <c r="E610" s="128" t="str">
        <f>Master!D29</f>
        <v>Pradeep kumar</v>
      </c>
      <c r="F610" s="19"/>
      <c r="G610" s="19"/>
      <c r="H610" s="19" t="str">
        <f>Master!G29</f>
        <v>Jagdev</v>
      </c>
      <c r="I610" s="16"/>
      <c r="K610" s="1097"/>
      <c r="L610" s="1098"/>
      <c r="M610" s="1098"/>
      <c r="N610" s="1098"/>
      <c r="O610" s="18" t="str">
        <f>E610</f>
        <v>Pradeep kumar</v>
      </c>
      <c r="P610" s="19"/>
      <c r="Q610" s="19"/>
      <c r="R610" s="19" t="str">
        <f>H610</f>
        <v>Jagdev</v>
      </c>
      <c r="S610" s="16"/>
    </row>
    <row r="611" spans="1:19">
      <c r="A611" s="17"/>
      <c r="B611" s="120"/>
      <c r="C611" s="120"/>
      <c r="D611" s="120"/>
      <c r="E611" s="120"/>
      <c r="F611" s="114"/>
      <c r="G611" s="114"/>
      <c r="H611" s="114"/>
      <c r="I611" s="16"/>
      <c r="K611" s="17"/>
      <c r="L611" s="120"/>
      <c r="M611" s="120"/>
      <c r="N611" s="120"/>
      <c r="O611" s="120"/>
      <c r="P611" s="114"/>
      <c r="Q611" s="114"/>
      <c r="R611" s="114"/>
      <c r="S611" s="16"/>
    </row>
    <row r="612" spans="1:19">
      <c r="A612" s="1101" t="s">
        <v>42</v>
      </c>
      <c r="B612" s="1099"/>
      <c r="C612" s="1099"/>
      <c r="D612" s="1099"/>
      <c r="E612" s="24" t="str">
        <f>Master!F8</f>
        <v>GARDENING SERVICES&amp;ISB HYDERABAD</v>
      </c>
      <c r="F612" s="19"/>
      <c r="G612" s="19"/>
      <c r="H612" s="19"/>
      <c r="I612" s="16"/>
      <c r="K612" s="1101" t="s">
        <v>42</v>
      </c>
      <c r="L612" s="1099"/>
      <c r="M612" s="1099"/>
      <c r="N612" s="1099"/>
      <c r="O612" s="24" t="str">
        <f>E612</f>
        <v>GARDENING SERVICES&amp;ISB HYDERABAD</v>
      </c>
      <c r="P612" s="19"/>
      <c r="Q612" s="19"/>
      <c r="R612" s="19"/>
      <c r="S612" s="16"/>
    </row>
    <row r="613" spans="1:19">
      <c r="A613" s="17"/>
      <c r="B613" s="120"/>
      <c r="C613" s="120"/>
      <c r="D613" s="120"/>
      <c r="E613" s="120"/>
      <c r="F613" s="114"/>
      <c r="G613" s="114"/>
      <c r="H613" s="114"/>
      <c r="I613" s="16"/>
      <c r="K613" s="17"/>
      <c r="L613" s="120"/>
      <c r="M613" s="120"/>
      <c r="N613" s="120"/>
      <c r="O613" s="120"/>
      <c r="P613" s="114"/>
      <c r="Q613" s="114"/>
      <c r="R613" s="114"/>
      <c r="S613" s="16"/>
    </row>
    <row r="614" spans="1:19">
      <c r="A614" s="1101" t="s">
        <v>43</v>
      </c>
      <c r="B614" s="1099"/>
      <c r="C614" s="1099"/>
      <c r="D614" s="1099"/>
      <c r="E614" s="20">
        <f>Master!F10</f>
        <v>44652</v>
      </c>
      <c r="F614" s="19"/>
      <c r="G614" s="19"/>
      <c r="H614" s="19"/>
      <c r="I614" s="16"/>
      <c r="K614" s="1101" t="s">
        <v>43</v>
      </c>
      <c r="L614" s="1099"/>
      <c r="M614" s="1099"/>
      <c r="N614" s="1099"/>
      <c r="O614" s="20">
        <f>E614</f>
        <v>44652</v>
      </c>
      <c r="P614" s="19"/>
      <c r="Q614" s="19"/>
      <c r="R614" s="19"/>
      <c r="S614" s="16"/>
    </row>
    <row r="615" spans="1:19">
      <c r="A615" s="17"/>
      <c r="B615" s="120"/>
      <c r="C615" s="120"/>
      <c r="D615" s="120"/>
      <c r="E615" s="120"/>
      <c r="F615" s="114"/>
      <c r="G615" s="114"/>
      <c r="H615" s="114"/>
      <c r="I615" s="16"/>
      <c r="K615" s="17"/>
      <c r="L615" s="120"/>
      <c r="M615" s="120"/>
      <c r="N615" s="120"/>
      <c r="O615" s="120"/>
      <c r="P615" s="114"/>
      <c r="Q615" s="114"/>
      <c r="R615" s="114"/>
      <c r="S615" s="16"/>
    </row>
    <row r="616" spans="1:19">
      <c r="A616" s="21">
        <v>1</v>
      </c>
      <c r="B616" s="1099" t="s">
        <v>44</v>
      </c>
      <c r="C616" s="1099"/>
      <c r="D616" s="1099"/>
      <c r="E616" s="22">
        <f>Master!AA29</f>
        <v>0</v>
      </c>
      <c r="F616" s="19"/>
      <c r="G616" s="19"/>
      <c r="H616" s="19"/>
      <c r="I616" s="16"/>
      <c r="K616" s="21">
        <v>1</v>
      </c>
      <c r="L616" s="1099" t="s">
        <v>44</v>
      </c>
      <c r="M616" s="1099"/>
      <c r="N616" s="1099"/>
      <c r="O616" s="22">
        <f>E616</f>
        <v>0</v>
      </c>
      <c r="P616" s="19"/>
      <c r="Q616" s="19"/>
      <c r="R616" s="19"/>
      <c r="S616" s="16"/>
    </row>
    <row r="617" spans="1:19">
      <c r="A617" s="21"/>
      <c r="B617" s="120"/>
      <c r="C617" s="120"/>
      <c r="D617" s="120"/>
      <c r="E617" s="120"/>
      <c r="F617" s="114"/>
      <c r="G617" s="114"/>
      <c r="H617" s="114"/>
      <c r="I617" s="16"/>
      <c r="K617" s="21"/>
      <c r="L617" s="120"/>
      <c r="M617" s="120"/>
      <c r="N617" s="120"/>
      <c r="O617" s="120"/>
      <c r="P617" s="114"/>
      <c r="Q617" s="114"/>
      <c r="R617" s="114"/>
      <c r="S617" s="16"/>
    </row>
    <row r="618" spans="1:19">
      <c r="A618" s="21">
        <v>2</v>
      </c>
      <c r="B618" s="1098" t="s">
        <v>45</v>
      </c>
      <c r="C618" s="1098"/>
      <c r="D618" s="1098"/>
      <c r="E618" s="120"/>
      <c r="F618" s="114"/>
      <c r="G618" s="114"/>
      <c r="H618" s="114"/>
      <c r="I618" s="16"/>
      <c r="K618" s="21">
        <v>2</v>
      </c>
      <c r="L618" s="1098" t="s">
        <v>45</v>
      </c>
      <c r="M618" s="1098"/>
      <c r="N618" s="1098"/>
      <c r="O618" s="120"/>
      <c r="P618" s="114"/>
      <c r="Q618" s="114"/>
      <c r="R618" s="114"/>
      <c r="S618" s="16"/>
    </row>
    <row r="619" spans="1:19">
      <c r="A619" s="21"/>
      <c r="B619" s="1098"/>
      <c r="C619" s="1098"/>
      <c r="D619" s="1098"/>
      <c r="E619" s="23" t="s">
        <v>28</v>
      </c>
      <c r="F619" s="19"/>
      <c r="G619" s="19"/>
      <c r="H619" s="19"/>
      <c r="I619" s="16"/>
      <c r="K619" s="21"/>
      <c r="L619" s="1098"/>
      <c r="M619" s="1098"/>
      <c r="N619" s="1098"/>
      <c r="O619" s="23" t="s">
        <v>28</v>
      </c>
      <c r="P619" s="19"/>
      <c r="Q619" s="19"/>
      <c r="R619" s="19"/>
      <c r="S619" s="16"/>
    </row>
    <row r="620" spans="1:19">
      <c r="A620" s="21"/>
      <c r="B620" s="120"/>
      <c r="C620" s="120"/>
      <c r="D620" s="120"/>
      <c r="E620" s="120"/>
      <c r="F620" s="114"/>
      <c r="G620" s="114"/>
      <c r="H620" s="114"/>
      <c r="I620" s="16"/>
      <c r="K620" s="21"/>
      <c r="L620" s="120"/>
      <c r="M620" s="120"/>
      <c r="N620" s="120"/>
      <c r="O620" s="120"/>
      <c r="P620" s="114"/>
      <c r="Q620" s="114"/>
      <c r="R620" s="114"/>
      <c r="S620" s="16"/>
    </row>
    <row r="621" spans="1:19">
      <c r="A621" s="21">
        <v>3</v>
      </c>
      <c r="B621" s="1099" t="s">
        <v>46</v>
      </c>
      <c r="C621" s="1099"/>
      <c r="D621" s="1099"/>
      <c r="E621" s="23" t="s">
        <v>28</v>
      </c>
      <c r="F621" s="19"/>
      <c r="G621" s="19"/>
      <c r="H621" s="19"/>
      <c r="I621" s="16"/>
      <c r="K621" s="21">
        <v>3</v>
      </c>
      <c r="L621" s="1099" t="s">
        <v>46</v>
      </c>
      <c r="M621" s="1099"/>
      <c r="N621" s="1099"/>
      <c r="O621" s="18" t="str">
        <f>E621</f>
        <v>N/A</v>
      </c>
      <c r="P621" s="19"/>
      <c r="Q621" s="19"/>
      <c r="R621" s="19"/>
      <c r="S621" s="16"/>
    </row>
    <row r="622" spans="1:19">
      <c r="A622" s="21"/>
      <c r="B622" s="120"/>
      <c r="C622" s="120"/>
      <c r="D622" s="120"/>
      <c r="E622" s="120"/>
      <c r="F622" s="114"/>
      <c r="G622" s="114"/>
      <c r="H622" s="114"/>
      <c r="I622" s="16"/>
      <c r="K622" s="21"/>
      <c r="L622" s="120"/>
      <c r="M622" s="120"/>
      <c r="N622" s="120"/>
      <c r="O622" s="120"/>
      <c r="P622" s="114"/>
      <c r="Q622" s="114"/>
      <c r="R622" s="114"/>
      <c r="S622" s="16"/>
    </row>
    <row r="623" spans="1:19">
      <c r="A623" s="21">
        <v>4</v>
      </c>
      <c r="B623" s="1099" t="s">
        <v>47</v>
      </c>
      <c r="C623" s="1099"/>
      <c r="D623" s="1099"/>
      <c r="E623" s="23" t="s">
        <v>48</v>
      </c>
      <c r="F623" s="19"/>
      <c r="G623" s="19"/>
      <c r="H623" s="19"/>
      <c r="I623" s="16"/>
      <c r="K623" s="21">
        <v>4</v>
      </c>
      <c r="L623" s="1099" t="s">
        <v>47</v>
      </c>
      <c r="M623" s="1099"/>
      <c r="N623" s="1099"/>
      <c r="O623" s="23" t="s">
        <v>48</v>
      </c>
      <c r="P623" s="19"/>
      <c r="Q623" s="19"/>
      <c r="R623" s="19"/>
      <c r="S623" s="16"/>
    </row>
    <row r="624" spans="1:19">
      <c r="A624" s="21"/>
      <c r="B624" s="120"/>
      <c r="C624" s="120"/>
      <c r="D624" s="120"/>
      <c r="E624" s="120"/>
      <c r="F624" s="114"/>
      <c r="G624" s="114"/>
      <c r="H624" s="114"/>
      <c r="I624" s="16"/>
      <c r="K624" s="21"/>
      <c r="L624" s="120"/>
      <c r="M624" s="120"/>
      <c r="N624" s="120"/>
      <c r="O624" s="120"/>
      <c r="P624" s="114"/>
      <c r="Q624" s="114"/>
      <c r="R624" s="114"/>
      <c r="S624" s="16"/>
    </row>
    <row r="625" spans="1:19">
      <c r="A625" s="21">
        <v>5</v>
      </c>
      <c r="B625" s="1099" t="s">
        <v>49</v>
      </c>
      <c r="C625" s="1099"/>
      <c r="D625" s="1099"/>
      <c r="E625" s="24">
        <f>Master!AK29</f>
        <v>0</v>
      </c>
      <c r="F625" s="19"/>
      <c r="G625" s="19"/>
      <c r="H625" s="19"/>
      <c r="I625" s="16"/>
      <c r="K625" s="21">
        <v>5</v>
      </c>
      <c r="L625" s="1099" t="s">
        <v>49</v>
      </c>
      <c r="M625" s="1099"/>
      <c r="N625" s="1099"/>
      <c r="O625" s="24">
        <f>E625</f>
        <v>0</v>
      </c>
      <c r="P625" s="19"/>
      <c r="Q625" s="19"/>
      <c r="R625" s="19"/>
      <c r="S625" s="16"/>
    </row>
    <row r="626" spans="1:19">
      <c r="A626" s="21"/>
      <c r="B626" s="120"/>
      <c r="C626" s="120"/>
      <c r="D626" s="238" t="s">
        <v>50</v>
      </c>
      <c r="E626" s="238" t="s">
        <v>23</v>
      </c>
      <c r="F626" s="136" t="s">
        <v>25</v>
      </c>
      <c r="G626" s="238" t="s">
        <v>26</v>
      </c>
      <c r="H626" s="238" t="s">
        <v>202</v>
      </c>
      <c r="I626" s="126" t="s">
        <v>51</v>
      </c>
      <c r="K626" s="21"/>
      <c r="L626" s="120"/>
      <c r="M626" s="120"/>
      <c r="N626" s="238" t="s">
        <v>50</v>
      </c>
      <c r="O626" s="238" t="s">
        <v>23</v>
      </c>
      <c r="P626" s="136" t="s">
        <v>25</v>
      </c>
      <c r="Q626" s="238" t="s">
        <v>26</v>
      </c>
      <c r="R626" s="238" t="str">
        <f>H626</f>
        <v>ADV</v>
      </c>
      <c r="S626" s="126" t="s">
        <v>51</v>
      </c>
    </row>
    <row r="627" spans="1:19">
      <c r="A627" s="21">
        <v>6</v>
      </c>
      <c r="B627" s="468" t="s">
        <v>52</v>
      </c>
      <c r="C627" s="468"/>
      <c r="D627" s="335">
        <f>Master!AM29</f>
        <v>0</v>
      </c>
      <c r="E627" s="335">
        <f>Master!AL29</f>
        <v>0</v>
      </c>
      <c r="F627" s="180">
        <f>Master!AN29</f>
        <v>0</v>
      </c>
      <c r="G627" s="180">
        <f>Master!AO29</f>
        <v>0</v>
      </c>
      <c r="H627" s="180">
        <f>Master!AP29</f>
        <v>0</v>
      </c>
      <c r="I627" s="127">
        <f>D627+E627+F627+G627+H627</f>
        <v>0</v>
      </c>
      <c r="K627" s="21">
        <v>6</v>
      </c>
      <c r="L627" s="468" t="s">
        <v>52</v>
      </c>
      <c r="M627" s="468"/>
      <c r="N627" s="335">
        <f>D627</f>
        <v>0</v>
      </c>
      <c r="O627" s="335">
        <f>E627</f>
        <v>0</v>
      </c>
      <c r="P627" s="180">
        <f>F627</f>
        <v>0</v>
      </c>
      <c r="Q627" s="180">
        <f>G627</f>
        <v>0</v>
      </c>
      <c r="R627" s="180">
        <f>H627</f>
        <v>0</v>
      </c>
      <c r="S627" s="127">
        <f>N627+O627+R627</f>
        <v>0</v>
      </c>
    </row>
    <row r="628" spans="1:19">
      <c r="A628" s="21"/>
      <c r="B628" s="120"/>
      <c r="C628" s="120"/>
      <c r="D628" s="120"/>
      <c r="E628" s="120"/>
      <c r="F628" s="114"/>
      <c r="G628" s="114"/>
      <c r="H628" s="114"/>
      <c r="I628" s="16"/>
      <c r="K628" s="21"/>
      <c r="L628" s="120"/>
      <c r="M628" s="120"/>
      <c r="N628" s="120"/>
      <c r="O628" s="120"/>
      <c r="P628" s="114"/>
      <c r="Q628" s="114"/>
      <c r="R628" s="114"/>
      <c r="S628" s="16"/>
    </row>
    <row r="629" spans="1:19">
      <c r="A629" s="21">
        <v>7</v>
      </c>
      <c r="B629" s="1099" t="s">
        <v>53</v>
      </c>
      <c r="C629" s="1099"/>
      <c r="D629" s="1099"/>
      <c r="E629" s="24">
        <f>E625-I627+1</f>
        <v>1</v>
      </c>
      <c r="F629" s="19"/>
      <c r="G629" s="19"/>
      <c r="H629" s="19"/>
      <c r="I629" s="16"/>
      <c r="K629" s="21">
        <v>7</v>
      </c>
      <c r="L629" s="1099" t="s">
        <v>53</v>
      </c>
      <c r="M629" s="1099"/>
      <c r="N629" s="1099"/>
      <c r="O629" s="24">
        <f>E629</f>
        <v>1</v>
      </c>
      <c r="P629" s="19"/>
      <c r="Q629" s="19"/>
      <c r="R629" s="19"/>
      <c r="S629" s="16"/>
    </row>
    <row r="630" spans="1:19">
      <c r="A630" s="15"/>
      <c r="B630" s="114"/>
      <c r="C630" s="114"/>
      <c r="D630" s="114"/>
      <c r="E630" s="114"/>
      <c r="F630" s="114"/>
      <c r="G630" s="114"/>
      <c r="H630" s="114"/>
      <c r="I630" s="16"/>
      <c r="K630" s="15"/>
      <c r="L630" s="114"/>
      <c r="M630" s="114"/>
      <c r="N630" s="114"/>
      <c r="O630" s="114"/>
      <c r="P630" s="114"/>
      <c r="Q630" s="114"/>
      <c r="R630" s="114"/>
      <c r="S630" s="16"/>
    </row>
    <row r="631" spans="1:19">
      <c r="A631" s="15"/>
      <c r="B631" s="114"/>
      <c r="C631" s="114"/>
      <c r="D631" s="114"/>
      <c r="E631" s="114"/>
      <c r="F631" s="114"/>
      <c r="G631" s="114"/>
      <c r="H631" s="114"/>
      <c r="I631" s="16"/>
      <c r="K631" s="15"/>
      <c r="L631" s="114"/>
      <c r="M631" s="114"/>
      <c r="N631" s="114"/>
      <c r="O631" s="114"/>
      <c r="P631" s="114"/>
      <c r="Q631" s="114"/>
      <c r="R631" s="114"/>
      <c r="S631" s="16"/>
    </row>
    <row r="632" spans="1:19" ht="15" thickBot="1">
      <c r="A632" s="15"/>
      <c r="B632" s="114"/>
      <c r="C632" s="114"/>
      <c r="D632" s="114"/>
      <c r="E632" s="114"/>
      <c r="F632" s="25"/>
      <c r="G632" s="25"/>
      <c r="H632" s="25"/>
      <c r="I632" s="26"/>
      <c r="K632" s="15"/>
      <c r="L632" s="114"/>
      <c r="M632" s="114"/>
      <c r="N632" s="114"/>
      <c r="O632" s="114"/>
      <c r="P632" s="25"/>
      <c r="Q632" s="25"/>
      <c r="R632" s="25"/>
      <c r="S632" s="26"/>
    </row>
    <row r="633" spans="1:19" ht="15" thickBot="1">
      <c r="A633" s="27"/>
      <c r="B633" s="25"/>
      <c r="C633" s="25"/>
      <c r="D633" s="25"/>
      <c r="E633" s="999" t="s">
        <v>54</v>
      </c>
      <c r="F633" s="999"/>
      <c r="G633" s="999"/>
      <c r="H633" s="999"/>
      <c r="I633" s="1100"/>
      <c r="K633" s="27"/>
      <c r="L633" s="25"/>
      <c r="M633" s="25"/>
      <c r="N633" s="25"/>
      <c r="O633" s="28" t="s">
        <v>54</v>
      </c>
      <c r="P633" s="25"/>
      <c r="Q633" s="28"/>
      <c r="R633" s="28"/>
      <c r="S633" s="29"/>
    </row>
    <row r="645" spans="1:19" ht="15" thickBot="1"/>
    <row r="646" spans="1:19" ht="24.6">
      <c r="A646" s="1091" t="s">
        <v>39</v>
      </c>
      <c r="B646" s="1092"/>
      <c r="C646" s="1092"/>
      <c r="D646" s="1092"/>
      <c r="E646" s="1092"/>
      <c r="F646" s="1092"/>
      <c r="G646" s="1092"/>
      <c r="H646" s="1092"/>
      <c r="I646" s="1093"/>
      <c r="K646" s="1091" t="s">
        <v>39</v>
      </c>
      <c r="L646" s="1092"/>
      <c r="M646" s="1092"/>
      <c r="N646" s="1092"/>
      <c r="O646" s="1092"/>
      <c r="P646" s="1092"/>
      <c r="Q646" s="1092"/>
      <c r="R646" s="1092"/>
      <c r="S646" s="1093"/>
    </row>
    <row r="647" spans="1:19">
      <c r="A647" s="1094" t="s">
        <v>1075</v>
      </c>
      <c r="B647" s="1095"/>
      <c r="C647" s="1095"/>
      <c r="D647" s="1095"/>
      <c r="E647" s="1095"/>
      <c r="F647" s="1095"/>
      <c r="G647" s="1095"/>
      <c r="H647" s="1095"/>
      <c r="I647" s="1096"/>
      <c r="K647" s="1094" t="str">
        <f>A647</f>
        <v>[Vide rule 78 (1) (b) of the Contract Labour (Regulation and Abolition) Central and A.P.{T.S.}Rules, 1971]</v>
      </c>
      <c r="L647" s="1095"/>
      <c r="M647" s="1095"/>
      <c r="N647" s="1095"/>
      <c r="O647" s="1095"/>
      <c r="P647" s="1095"/>
      <c r="Q647" s="1095"/>
      <c r="R647" s="1095"/>
      <c r="S647" s="1096"/>
    </row>
    <row r="648" spans="1:19">
      <c r="A648" s="15"/>
      <c r="B648" s="114"/>
      <c r="C648" s="114"/>
      <c r="D648" s="114"/>
      <c r="E648" s="114"/>
      <c r="F648" s="114"/>
      <c r="G648" s="114"/>
      <c r="H648" s="114"/>
      <c r="I648" s="16"/>
      <c r="K648" s="15"/>
      <c r="L648" s="114"/>
      <c r="M648" s="114"/>
      <c r="N648" s="114"/>
      <c r="O648" s="114"/>
      <c r="P648" s="114"/>
      <c r="Q648" s="114"/>
      <c r="R648" s="114"/>
      <c r="S648" s="16"/>
    </row>
    <row r="649" spans="1:19">
      <c r="A649" s="17" t="s">
        <v>40</v>
      </c>
      <c r="B649" s="120"/>
      <c r="C649" s="120"/>
      <c r="D649" s="121" t="str">
        <f>Master!F5</f>
        <v>GROTECH LANDSCAPE DEVELOPERS PVT. LTD.</v>
      </c>
      <c r="E649" s="114"/>
      <c r="F649" s="114"/>
      <c r="G649" s="114"/>
      <c r="H649" s="114"/>
      <c r="I649" s="16"/>
      <c r="K649" s="17" t="s">
        <v>40</v>
      </c>
      <c r="L649" s="120"/>
      <c r="M649" s="120"/>
      <c r="N649" s="121" t="str">
        <f>D649</f>
        <v>GROTECH LANDSCAPE DEVELOPERS PVT. LTD.</v>
      </c>
      <c r="O649" s="114"/>
      <c r="P649" s="114"/>
      <c r="Q649" s="114"/>
      <c r="R649" s="114"/>
      <c r="S649" s="16"/>
    </row>
    <row r="650" spans="1:19">
      <c r="A650" s="17"/>
      <c r="B650" s="120" t="str">
        <f>Master!F6</f>
        <v>290/E, Khanapur Village, Gandipet Mandal, Ranga Reddy, Hyderabad-500075 T.S.</v>
      </c>
      <c r="C650" s="120"/>
      <c r="D650" s="114"/>
      <c r="E650" s="114"/>
      <c r="F650" s="114"/>
      <c r="G650" s="114"/>
      <c r="H650" s="114"/>
      <c r="I650" s="16"/>
      <c r="K650" s="17"/>
      <c r="L650" s="120" t="str">
        <f>B650</f>
        <v>290/E, Khanapur Village, Gandipet Mandal, Ranga Reddy, Hyderabad-500075 T.S.</v>
      </c>
      <c r="M650" s="120"/>
      <c r="N650" s="114"/>
      <c r="O650" s="114"/>
      <c r="P650" s="114"/>
      <c r="Q650" s="114"/>
      <c r="R650" s="114"/>
      <c r="S650" s="16"/>
    </row>
    <row r="651" spans="1:19">
      <c r="A651" s="17"/>
      <c r="B651" s="120"/>
      <c r="C651" s="120"/>
      <c r="D651" s="120"/>
      <c r="E651" s="120"/>
      <c r="F651" s="114"/>
      <c r="G651" s="114"/>
      <c r="H651" s="114"/>
      <c r="I651" s="16"/>
      <c r="K651" s="17"/>
      <c r="L651" s="120"/>
      <c r="M651" s="120"/>
      <c r="N651" s="120"/>
      <c r="O651" s="120"/>
      <c r="P651" s="114"/>
      <c r="Q651" s="114"/>
      <c r="R651" s="114"/>
      <c r="S651" s="16"/>
    </row>
    <row r="652" spans="1:19">
      <c r="A652" s="1097" t="s">
        <v>41</v>
      </c>
      <c r="B652" s="1098"/>
      <c r="C652" s="1098"/>
      <c r="D652" s="1098"/>
      <c r="E652" s="120"/>
      <c r="F652" s="114"/>
      <c r="G652" s="114"/>
      <c r="H652" s="114"/>
      <c r="I652" s="16"/>
      <c r="K652" s="1097" t="s">
        <v>41</v>
      </c>
      <c r="L652" s="1098"/>
      <c r="M652" s="1098"/>
      <c r="N652" s="1098"/>
      <c r="O652" s="120"/>
      <c r="P652" s="114"/>
      <c r="Q652" s="114"/>
      <c r="R652" s="114"/>
      <c r="S652" s="16"/>
    </row>
    <row r="653" spans="1:19">
      <c r="A653" s="1097"/>
      <c r="B653" s="1098"/>
      <c r="C653" s="1098"/>
      <c r="D653" s="1098"/>
      <c r="E653" s="128" t="str">
        <f>Master!D30</f>
        <v>SHAIK KULSUM BEE</v>
      </c>
      <c r="F653" s="19"/>
      <c r="G653" s="19"/>
      <c r="H653" s="19" t="str">
        <f>Master!G30</f>
        <v xml:space="preserve">SHAIK LALA </v>
      </c>
      <c r="I653" s="16"/>
      <c r="K653" s="1097"/>
      <c r="L653" s="1098"/>
      <c r="M653" s="1098"/>
      <c r="N653" s="1098"/>
      <c r="O653" s="18" t="str">
        <f>E653</f>
        <v>SHAIK KULSUM BEE</v>
      </c>
      <c r="P653" s="19"/>
      <c r="Q653" s="19"/>
      <c r="R653" s="19" t="str">
        <f>H653</f>
        <v xml:space="preserve">SHAIK LALA </v>
      </c>
      <c r="S653" s="16"/>
    </row>
    <row r="654" spans="1:19">
      <c r="A654" s="17"/>
      <c r="B654" s="120"/>
      <c r="C654" s="120"/>
      <c r="D654" s="120"/>
      <c r="E654" s="120"/>
      <c r="F654" s="114"/>
      <c r="G654" s="114"/>
      <c r="H654" s="114"/>
      <c r="I654" s="16"/>
      <c r="K654" s="17"/>
      <c r="L654" s="120"/>
      <c r="M654" s="120"/>
      <c r="N654" s="120"/>
      <c r="O654" s="120"/>
      <c r="P654" s="114"/>
      <c r="Q654" s="114"/>
      <c r="R654" s="114"/>
      <c r="S654" s="16"/>
    </row>
    <row r="655" spans="1:19">
      <c r="A655" s="1101" t="s">
        <v>42</v>
      </c>
      <c r="B655" s="1099"/>
      <c r="C655" s="1099"/>
      <c r="D655" s="1099"/>
      <c r="E655" s="24" t="str">
        <f>Master!F8</f>
        <v>GARDENING SERVICES&amp;ISB HYDERABAD</v>
      </c>
      <c r="F655" s="19"/>
      <c r="G655" s="19"/>
      <c r="H655" s="19"/>
      <c r="I655" s="16"/>
      <c r="K655" s="1101" t="s">
        <v>42</v>
      </c>
      <c r="L655" s="1099"/>
      <c r="M655" s="1099"/>
      <c r="N655" s="1099"/>
      <c r="O655" s="24" t="str">
        <f>E655</f>
        <v>GARDENING SERVICES&amp;ISB HYDERABAD</v>
      </c>
      <c r="P655" s="19"/>
      <c r="Q655" s="19"/>
      <c r="R655" s="19"/>
      <c r="S655" s="16"/>
    </row>
    <row r="656" spans="1:19">
      <c r="A656" s="17"/>
      <c r="B656" s="120"/>
      <c r="C656" s="120"/>
      <c r="D656" s="120"/>
      <c r="E656" s="120"/>
      <c r="F656" s="114"/>
      <c r="G656" s="114"/>
      <c r="H656" s="114"/>
      <c r="I656" s="16"/>
      <c r="K656" s="17"/>
      <c r="L656" s="120"/>
      <c r="M656" s="120"/>
      <c r="N656" s="120"/>
      <c r="O656" s="120"/>
      <c r="P656" s="114"/>
      <c r="Q656" s="114"/>
      <c r="R656" s="114"/>
      <c r="S656" s="16"/>
    </row>
    <row r="657" spans="1:19">
      <c r="A657" s="1101" t="s">
        <v>43</v>
      </c>
      <c r="B657" s="1099"/>
      <c r="C657" s="1099"/>
      <c r="D657" s="1099"/>
      <c r="E657" s="20">
        <f>Master!F10</f>
        <v>44652</v>
      </c>
      <c r="F657" s="19"/>
      <c r="G657" s="19"/>
      <c r="H657" s="19"/>
      <c r="I657" s="16"/>
      <c r="K657" s="1101" t="s">
        <v>43</v>
      </c>
      <c r="L657" s="1099"/>
      <c r="M657" s="1099"/>
      <c r="N657" s="1099"/>
      <c r="O657" s="20">
        <f>E657</f>
        <v>44652</v>
      </c>
      <c r="P657" s="19"/>
      <c r="Q657" s="19"/>
      <c r="R657" s="19"/>
      <c r="S657" s="16"/>
    </row>
    <row r="658" spans="1:19">
      <c r="A658" s="17"/>
      <c r="B658" s="120"/>
      <c r="C658" s="120"/>
      <c r="D658" s="120"/>
      <c r="E658" s="120"/>
      <c r="F658" s="114"/>
      <c r="G658" s="114"/>
      <c r="H658" s="114"/>
      <c r="I658" s="16"/>
      <c r="K658" s="17"/>
      <c r="L658" s="120"/>
      <c r="M658" s="120"/>
      <c r="N658" s="120"/>
      <c r="O658" s="120"/>
      <c r="P658" s="114"/>
      <c r="Q658" s="114"/>
      <c r="R658" s="114"/>
      <c r="S658" s="16"/>
    </row>
    <row r="659" spans="1:19">
      <c r="A659" s="21">
        <v>1</v>
      </c>
      <c r="B659" s="1099" t="s">
        <v>44</v>
      </c>
      <c r="C659" s="1099"/>
      <c r="D659" s="1099"/>
      <c r="E659" s="22">
        <f>Master!AA30</f>
        <v>26</v>
      </c>
      <c r="F659" s="19"/>
      <c r="G659" s="19"/>
      <c r="H659" s="19"/>
      <c r="I659" s="16"/>
      <c r="K659" s="21">
        <v>1</v>
      </c>
      <c r="L659" s="1099" t="s">
        <v>44</v>
      </c>
      <c r="M659" s="1099"/>
      <c r="N659" s="1099"/>
      <c r="O659" s="22">
        <f>E659</f>
        <v>26</v>
      </c>
      <c r="P659" s="19"/>
      <c r="Q659" s="19"/>
      <c r="R659" s="19"/>
      <c r="S659" s="16"/>
    </row>
    <row r="660" spans="1:19">
      <c r="A660" s="21"/>
      <c r="B660" s="120"/>
      <c r="C660" s="120"/>
      <c r="D660" s="120"/>
      <c r="E660" s="120"/>
      <c r="F660" s="114"/>
      <c r="G660" s="114"/>
      <c r="H660" s="114"/>
      <c r="I660" s="16"/>
      <c r="K660" s="21"/>
      <c r="L660" s="120"/>
      <c r="M660" s="120"/>
      <c r="N660" s="120"/>
      <c r="O660" s="120"/>
      <c r="P660" s="114"/>
      <c r="Q660" s="114"/>
      <c r="R660" s="114"/>
      <c r="S660" s="16"/>
    </row>
    <row r="661" spans="1:19">
      <c r="A661" s="21">
        <v>2</v>
      </c>
      <c r="B661" s="1098" t="s">
        <v>45</v>
      </c>
      <c r="C661" s="1098"/>
      <c r="D661" s="1098"/>
      <c r="E661" s="120"/>
      <c r="F661" s="114"/>
      <c r="G661" s="114"/>
      <c r="H661" s="114"/>
      <c r="I661" s="16"/>
      <c r="K661" s="21">
        <v>2</v>
      </c>
      <c r="L661" s="1098" t="s">
        <v>45</v>
      </c>
      <c r="M661" s="1098"/>
      <c r="N661" s="1098"/>
      <c r="O661" s="120"/>
      <c r="P661" s="114"/>
      <c r="Q661" s="114"/>
      <c r="R661" s="114"/>
      <c r="S661" s="16"/>
    </row>
    <row r="662" spans="1:19">
      <c r="A662" s="21"/>
      <c r="B662" s="1098"/>
      <c r="C662" s="1098"/>
      <c r="D662" s="1098"/>
      <c r="E662" s="23" t="s">
        <v>28</v>
      </c>
      <c r="F662" s="19"/>
      <c r="G662" s="19"/>
      <c r="H662" s="19"/>
      <c r="I662" s="16"/>
      <c r="K662" s="21"/>
      <c r="L662" s="1098"/>
      <c r="M662" s="1098"/>
      <c r="N662" s="1098"/>
      <c r="O662" s="23" t="s">
        <v>28</v>
      </c>
      <c r="P662" s="19"/>
      <c r="Q662" s="19"/>
      <c r="R662" s="19"/>
      <c r="S662" s="16"/>
    </row>
    <row r="663" spans="1:19">
      <c r="A663" s="21"/>
      <c r="B663" s="120"/>
      <c r="C663" s="120"/>
      <c r="D663" s="120"/>
      <c r="E663" s="120"/>
      <c r="F663" s="114"/>
      <c r="G663" s="114"/>
      <c r="H663" s="114"/>
      <c r="I663" s="16"/>
      <c r="K663" s="21"/>
      <c r="L663" s="120"/>
      <c r="M663" s="120"/>
      <c r="N663" s="120"/>
      <c r="O663" s="120"/>
      <c r="P663" s="114"/>
      <c r="Q663" s="114"/>
      <c r="R663" s="114"/>
      <c r="S663" s="16"/>
    </row>
    <row r="664" spans="1:19">
      <c r="A664" s="21">
        <v>3</v>
      </c>
      <c r="B664" s="1099" t="s">
        <v>46</v>
      </c>
      <c r="C664" s="1099"/>
      <c r="D664" s="1099"/>
      <c r="E664" s="23" t="s">
        <v>28</v>
      </c>
      <c r="F664" s="19"/>
      <c r="G664" s="19"/>
      <c r="H664" s="19"/>
      <c r="I664" s="16"/>
      <c r="K664" s="21">
        <v>3</v>
      </c>
      <c r="L664" s="1099" t="s">
        <v>46</v>
      </c>
      <c r="M664" s="1099"/>
      <c r="N664" s="1099"/>
      <c r="O664" s="18" t="str">
        <f>E664</f>
        <v>N/A</v>
      </c>
      <c r="P664" s="19"/>
      <c r="Q664" s="19"/>
      <c r="R664" s="19"/>
      <c r="S664" s="16"/>
    </row>
    <row r="665" spans="1:19">
      <c r="A665" s="21"/>
      <c r="B665" s="120"/>
      <c r="C665" s="120"/>
      <c r="D665" s="120"/>
      <c r="E665" s="120"/>
      <c r="F665" s="114"/>
      <c r="G665" s="114"/>
      <c r="H665" s="114"/>
      <c r="I665" s="16"/>
      <c r="K665" s="21"/>
      <c r="L665" s="120"/>
      <c r="M665" s="120"/>
      <c r="N665" s="120"/>
      <c r="O665" s="120"/>
      <c r="P665" s="114"/>
      <c r="Q665" s="114"/>
      <c r="R665" s="114"/>
      <c r="S665" s="16"/>
    </row>
    <row r="666" spans="1:19">
      <c r="A666" s="21">
        <v>4</v>
      </c>
      <c r="B666" s="1099" t="s">
        <v>47</v>
      </c>
      <c r="C666" s="1099"/>
      <c r="D666" s="1099"/>
      <c r="E666" s="23" t="s">
        <v>48</v>
      </c>
      <c r="F666" s="19"/>
      <c r="G666" s="19"/>
      <c r="H666" s="19"/>
      <c r="I666" s="16"/>
      <c r="K666" s="21">
        <v>4</v>
      </c>
      <c r="L666" s="1099" t="s">
        <v>47</v>
      </c>
      <c r="M666" s="1099"/>
      <c r="N666" s="1099"/>
      <c r="O666" s="23" t="s">
        <v>48</v>
      </c>
      <c r="P666" s="19"/>
      <c r="Q666" s="19"/>
      <c r="R666" s="19"/>
      <c r="S666" s="16"/>
    </row>
    <row r="667" spans="1:19">
      <c r="A667" s="21"/>
      <c r="B667" s="120"/>
      <c r="C667" s="120"/>
      <c r="D667" s="120"/>
      <c r="E667" s="120"/>
      <c r="F667" s="114"/>
      <c r="G667" s="114"/>
      <c r="H667" s="114"/>
      <c r="I667" s="16"/>
      <c r="K667" s="21"/>
      <c r="L667" s="120"/>
      <c r="M667" s="120"/>
      <c r="N667" s="120"/>
      <c r="O667" s="120"/>
      <c r="P667" s="114"/>
      <c r="Q667" s="114"/>
      <c r="R667" s="114"/>
      <c r="S667" s="16"/>
    </row>
    <row r="668" spans="1:19">
      <c r="A668" s="21">
        <v>5</v>
      </c>
      <c r="B668" s="1099" t="s">
        <v>49</v>
      </c>
      <c r="C668" s="1099"/>
      <c r="D668" s="1099"/>
      <c r="E668" s="24">
        <f>Master!AK30</f>
        <v>9210.4</v>
      </c>
      <c r="F668" s="19"/>
      <c r="G668" s="19"/>
      <c r="H668" s="19"/>
      <c r="I668" s="16"/>
      <c r="K668" s="21">
        <v>5</v>
      </c>
      <c r="L668" s="1099" t="s">
        <v>49</v>
      </c>
      <c r="M668" s="1099"/>
      <c r="N668" s="1099"/>
      <c r="O668" s="24">
        <f>E668</f>
        <v>9210.4</v>
      </c>
      <c r="P668" s="19"/>
      <c r="Q668" s="19"/>
      <c r="R668" s="19"/>
      <c r="S668" s="16"/>
    </row>
    <row r="669" spans="1:19">
      <c r="A669" s="21"/>
      <c r="B669" s="120"/>
      <c r="C669" s="120"/>
      <c r="D669" s="238" t="s">
        <v>50</v>
      </c>
      <c r="E669" s="238" t="s">
        <v>23</v>
      </c>
      <c r="F669" s="136" t="s">
        <v>25</v>
      </c>
      <c r="G669" s="238" t="s">
        <v>26</v>
      </c>
      <c r="H669" s="238" t="s">
        <v>202</v>
      </c>
      <c r="I669" s="126" t="s">
        <v>51</v>
      </c>
      <c r="K669" s="21"/>
      <c r="L669" s="120"/>
      <c r="M669" s="120"/>
      <c r="N669" s="238" t="s">
        <v>50</v>
      </c>
      <c r="O669" s="238" t="s">
        <v>23</v>
      </c>
      <c r="P669" s="136" t="s">
        <v>25</v>
      </c>
      <c r="Q669" s="238" t="s">
        <v>26</v>
      </c>
      <c r="R669" s="238" t="str">
        <f>H669</f>
        <v>ADV</v>
      </c>
      <c r="S669" s="126" t="s">
        <v>51</v>
      </c>
    </row>
    <row r="670" spans="1:19">
      <c r="A670" s="21">
        <v>6</v>
      </c>
      <c r="B670" s="468" t="s">
        <v>52</v>
      </c>
      <c r="C670" s="468"/>
      <c r="D670" s="335">
        <f>Master!AM30</f>
        <v>1105</v>
      </c>
      <c r="E670" s="335">
        <f>Master!AL30</f>
        <v>70</v>
      </c>
      <c r="F670" s="180">
        <f>Master!AN30</f>
        <v>0</v>
      </c>
      <c r="G670" s="180">
        <f>Master!AO30</f>
        <v>0</v>
      </c>
      <c r="H670" s="180">
        <f>Master!AP30</f>
        <v>0</v>
      </c>
      <c r="I670" s="127">
        <f>D670+E670+F670+G670+H670</f>
        <v>1175</v>
      </c>
      <c r="K670" s="21">
        <v>6</v>
      </c>
      <c r="L670" s="468" t="s">
        <v>52</v>
      </c>
      <c r="M670" s="468"/>
      <c r="N670" s="335">
        <f>D670</f>
        <v>1105</v>
      </c>
      <c r="O670" s="335">
        <f>E670</f>
        <v>70</v>
      </c>
      <c r="P670" s="180">
        <f>F670</f>
        <v>0</v>
      </c>
      <c r="Q670" s="180">
        <f>G670</f>
        <v>0</v>
      </c>
      <c r="R670" s="180">
        <f>H670</f>
        <v>0</v>
      </c>
      <c r="S670" s="127">
        <f>N670+O670+R670</f>
        <v>1175</v>
      </c>
    </row>
    <row r="671" spans="1:19">
      <c r="A671" s="21"/>
      <c r="B671" s="120"/>
      <c r="C671" s="120"/>
      <c r="D671" s="120"/>
      <c r="E671" s="120"/>
      <c r="F671" s="114"/>
      <c r="G671" s="114"/>
      <c r="H671" s="114"/>
      <c r="I671" s="16"/>
      <c r="K671" s="21"/>
      <c r="L671" s="120"/>
      <c r="M671" s="120"/>
      <c r="N671" s="120"/>
      <c r="O671" s="120"/>
      <c r="P671" s="114"/>
      <c r="Q671" s="114"/>
      <c r="R671" s="114"/>
      <c r="S671" s="16"/>
    </row>
    <row r="672" spans="1:19">
      <c r="A672" s="21">
        <v>7</v>
      </c>
      <c r="B672" s="1099" t="s">
        <v>53</v>
      </c>
      <c r="C672" s="1099"/>
      <c r="D672" s="1099"/>
      <c r="E672" s="24">
        <f>E668-I670+1</f>
        <v>8036.4</v>
      </c>
      <c r="F672" s="19"/>
      <c r="G672" s="19"/>
      <c r="H672" s="19"/>
      <c r="I672" s="16"/>
      <c r="K672" s="21">
        <v>7</v>
      </c>
      <c r="L672" s="1099" t="s">
        <v>53</v>
      </c>
      <c r="M672" s="1099"/>
      <c r="N672" s="1099"/>
      <c r="O672" s="24">
        <f>E672</f>
        <v>8036.4</v>
      </c>
      <c r="P672" s="19"/>
      <c r="Q672" s="19"/>
      <c r="R672" s="19"/>
      <c r="S672" s="16"/>
    </row>
    <row r="673" spans="1:19">
      <c r="A673" s="15"/>
      <c r="B673" s="114"/>
      <c r="C673" s="114"/>
      <c r="D673" s="114"/>
      <c r="E673" s="114"/>
      <c r="F673" s="114"/>
      <c r="G673" s="114"/>
      <c r="H673" s="114"/>
      <c r="I673" s="16"/>
      <c r="K673" s="15"/>
      <c r="L673" s="114"/>
      <c r="M673" s="114"/>
      <c r="N673" s="114"/>
      <c r="O673" s="114"/>
      <c r="P673" s="114"/>
      <c r="Q673" s="114"/>
      <c r="R673" s="114"/>
      <c r="S673" s="16"/>
    </row>
    <row r="674" spans="1:19">
      <c r="A674" s="15"/>
      <c r="B674" s="114"/>
      <c r="C674" s="114"/>
      <c r="D674" s="114"/>
      <c r="E674" s="114"/>
      <c r="F674" s="114"/>
      <c r="G674" s="114"/>
      <c r="H674" s="114"/>
      <c r="I674" s="16"/>
      <c r="K674" s="15"/>
      <c r="L674" s="114"/>
      <c r="M674" s="114"/>
      <c r="N674" s="114"/>
      <c r="O674" s="114"/>
      <c r="P674" s="114"/>
      <c r="Q674" s="114"/>
      <c r="R674" s="114"/>
      <c r="S674" s="16"/>
    </row>
    <row r="675" spans="1:19" ht="15" thickBot="1">
      <c r="A675" s="15"/>
      <c r="B675" s="114"/>
      <c r="C675" s="114"/>
      <c r="D675" s="114"/>
      <c r="E675" s="114"/>
      <c r="F675" s="25"/>
      <c r="G675" s="25"/>
      <c r="H675" s="25"/>
      <c r="I675" s="26"/>
      <c r="K675" s="15"/>
      <c r="L675" s="114"/>
      <c r="M675" s="114"/>
      <c r="N675" s="114"/>
      <c r="O675" s="114"/>
      <c r="P675" s="25"/>
      <c r="Q675" s="25"/>
      <c r="R675" s="25"/>
      <c r="S675" s="26"/>
    </row>
    <row r="676" spans="1:19" ht="15" thickBot="1">
      <c r="A676" s="27"/>
      <c r="B676" s="25"/>
      <c r="C676" s="25"/>
      <c r="D676" s="25"/>
      <c r="E676" s="999" t="s">
        <v>54</v>
      </c>
      <c r="F676" s="999"/>
      <c r="G676" s="999"/>
      <c r="H676" s="999"/>
      <c r="I676" s="1100"/>
      <c r="K676" s="27"/>
      <c r="L676" s="25"/>
      <c r="M676" s="25"/>
      <c r="N676" s="25"/>
      <c r="O676" s="28" t="s">
        <v>54</v>
      </c>
      <c r="P676" s="25"/>
      <c r="Q676" s="28"/>
      <c r="R676" s="28"/>
      <c r="S676" s="29"/>
    </row>
    <row r="688" spans="1:19" ht="15" thickBot="1"/>
    <row r="689" spans="1:19" ht="24.6">
      <c r="A689" s="1091" t="s">
        <v>39</v>
      </c>
      <c r="B689" s="1092"/>
      <c r="C689" s="1092"/>
      <c r="D689" s="1092"/>
      <c r="E689" s="1092"/>
      <c r="F689" s="1092"/>
      <c r="G689" s="1092"/>
      <c r="H689" s="1092"/>
      <c r="I689" s="1093"/>
      <c r="K689" s="1091" t="s">
        <v>39</v>
      </c>
      <c r="L689" s="1092"/>
      <c r="M689" s="1092"/>
      <c r="N689" s="1092"/>
      <c r="O689" s="1092"/>
      <c r="P689" s="1092"/>
      <c r="Q689" s="1092"/>
      <c r="R689" s="1092"/>
      <c r="S689" s="1093"/>
    </row>
    <row r="690" spans="1:19">
      <c r="A690" s="1094" t="s">
        <v>1075</v>
      </c>
      <c r="B690" s="1095"/>
      <c r="C690" s="1095"/>
      <c r="D690" s="1095"/>
      <c r="E690" s="1095"/>
      <c r="F690" s="1095"/>
      <c r="G690" s="1095"/>
      <c r="H690" s="1095"/>
      <c r="I690" s="1096"/>
      <c r="K690" s="1094" t="str">
        <f>A690</f>
        <v>[Vide rule 78 (1) (b) of the Contract Labour (Regulation and Abolition) Central and A.P.{T.S.}Rules, 1971]</v>
      </c>
      <c r="L690" s="1095"/>
      <c r="M690" s="1095"/>
      <c r="N690" s="1095"/>
      <c r="O690" s="1095"/>
      <c r="P690" s="1095"/>
      <c r="Q690" s="1095"/>
      <c r="R690" s="1095"/>
      <c r="S690" s="1096"/>
    </row>
    <row r="691" spans="1:19">
      <c r="A691" s="15"/>
      <c r="B691" s="114"/>
      <c r="C691" s="114"/>
      <c r="D691" s="114"/>
      <c r="E691" s="114"/>
      <c r="F691" s="114"/>
      <c r="G691" s="114"/>
      <c r="H691" s="114"/>
      <c r="I691" s="16"/>
      <c r="K691" s="15"/>
      <c r="L691" s="114"/>
      <c r="M691" s="114"/>
      <c r="N691" s="114"/>
      <c r="O691" s="114"/>
      <c r="P691" s="114"/>
      <c r="Q691" s="114"/>
      <c r="R691" s="114"/>
      <c r="S691" s="16"/>
    </row>
    <row r="692" spans="1:19">
      <c r="A692" s="17" t="s">
        <v>40</v>
      </c>
      <c r="B692" s="120"/>
      <c r="C692" s="120"/>
      <c r="D692" s="121" t="str">
        <f>Master!F5</f>
        <v>GROTECH LANDSCAPE DEVELOPERS PVT. LTD.</v>
      </c>
      <c r="E692" s="114"/>
      <c r="F692" s="114"/>
      <c r="G692" s="114"/>
      <c r="H692" s="114"/>
      <c r="I692" s="16"/>
      <c r="K692" s="17" t="s">
        <v>40</v>
      </c>
      <c r="L692" s="120"/>
      <c r="M692" s="120"/>
      <c r="N692" s="121" t="str">
        <f>D692</f>
        <v>GROTECH LANDSCAPE DEVELOPERS PVT. LTD.</v>
      </c>
      <c r="O692" s="114"/>
      <c r="P692" s="114"/>
      <c r="Q692" s="114"/>
      <c r="R692" s="114"/>
      <c r="S692" s="16"/>
    </row>
    <row r="693" spans="1:19">
      <c r="A693" s="17"/>
      <c r="B693" s="120" t="str">
        <f>Master!F6</f>
        <v>290/E, Khanapur Village, Gandipet Mandal, Ranga Reddy, Hyderabad-500075 T.S.</v>
      </c>
      <c r="C693" s="120"/>
      <c r="D693" s="114"/>
      <c r="E693" s="114"/>
      <c r="F693" s="114"/>
      <c r="G693" s="114"/>
      <c r="H693" s="114"/>
      <c r="I693" s="16"/>
      <c r="K693" s="17"/>
      <c r="L693" s="120" t="str">
        <f>B693</f>
        <v>290/E, Khanapur Village, Gandipet Mandal, Ranga Reddy, Hyderabad-500075 T.S.</v>
      </c>
      <c r="M693" s="120"/>
      <c r="N693" s="114"/>
      <c r="O693" s="114"/>
      <c r="P693" s="114"/>
      <c r="Q693" s="114"/>
      <c r="R693" s="114"/>
      <c r="S693" s="16"/>
    </row>
    <row r="694" spans="1:19">
      <c r="A694" s="17"/>
      <c r="B694" s="120"/>
      <c r="C694" s="120"/>
      <c r="D694" s="120"/>
      <c r="E694" s="120"/>
      <c r="F694" s="114"/>
      <c r="G694" s="114"/>
      <c r="H694" s="114"/>
      <c r="I694" s="16"/>
      <c r="K694" s="17"/>
      <c r="L694" s="120"/>
      <c r="M694" s="120"/>
      <c r="N694" s="120"/>
      <c r="O694" s="120"/>
      <c r="P694" s="114"/>
      <c r="Q694" s="114"/>
      <c r="R694" s="114"/>
      <c r="S694" s="16"/>
    </row>
    <row r="695" spans="1:19">
      <c r="A695" s="1097" t="s">
        <v>41</v>
      </c>
      <c r="B695" s="1098"/>
      <c r="C695" s="1098"/>
      <c r="D695" s="1098"/>
      <c r="E695" s="120"/>
      <c r="F695" s="114"/>
      <c r="G695" s="114"/>
      <c r="H695" s="114"/>
      <c r="I695" s="16"/>
      <c r="K695" s="1097" t="s">
        <v>41</v>
      </c>
      <c r="L695" s="1098"/>
      <c r="M695" s="1098"/>
      <c r="N695" s="1098"/>
      <c r="O695" s="120"/>
      <c r="P695" s="114"/>
      <c r="Q695" s="114"/>
      <c r="R695" s="114"/>
      <c r="S695" s="16"/>
    </row>
    <row r="696" spans="1:19">
      <c r="A696" s="1097"/>
      <c r="B696" s="1098"/>
      <c r="C696" s="1098"/>
      <c r="D696" s="1098"/>
      <c r="E696" s="128" t="str">
        <f>Master!D31</f>
        <v>S GOWRI</v>
      </c>
      <c r="F696" s="19"/>
      <c r="G696" s="19"/>
      <c r="H696" s="19" t="str">
        <f>Master!G31</f>
        <v>S SURYANARAYANA</v>
      </c>
      <c r="I696" s="16"/>
      <c r="K696" s="1097"/>
      <c r="L696" s="1098"/>
      <c r="M696" s="1098"/>
      <c r="N696" s="1098"/>
      <c r="O696" s="18" t="str">
        <f>E696</f>
        <v>S GOWRI</v>
      </c>
      <c r="P696" s="19"/>
      <c r="Q696" s="19"/>
      <c r="R696" s="19" t="str">
        <f>H696</f>
        <v>S SURYANARAYANA</v>
      </c>
      <c r="S696" s="16"/>
    </row>
    <row r="697" spans="1:19">
      <c r="A697" s="17"/>
      <c r="B697" s="120"/>
      <c r="C697" s="120"/>
      <c r="D697" s="120"/>
      <c r="E697" s="120"/>
      <c r="F697" s="114"/>
      <c r="G697" s="114"/>
      <c r="H697" s="114"/>
      <c r="I697" s="16"/>
      <c r="K697" s="17"/>
      <c r="L697" s="120"/>
      <c r="M697" s="120"/>
      <c r="N697" s="120"/>
      <c r="O697" s="120"/>
      <c r="P697" s="114"/>
      <c r="Q697" s="114"/>
      <c r="R697" s="114"/>
      <c r="S697" s="16"/>
    </row>
    <row r="698" spans="1:19">
      <c r="A698" s="1101" t="s">
        <v>42</v>
      </c>
      <c r="B698" s="1099"/>
      <c r="C698" s="1099"/>
      <c r="D698" s="1099"/>
      <c r="E698" s="24" t="str">
        <f>Master!F8</f>
        <v>GARDENING SERVICES&amp;ISB HYDERABAD</v>
      </c>
      <c r="F698" s="19"/>
      <c r="G698" s="19"/>
      <c r="H698" s="19"/>
      <c r="I698" s="16"/>
      <c r="K698" s="1101" t="s">
        <v>42</v>
      </c>
      <c r="L698" s="1099"/>
      <c r="M698" s="1099"/>
      <c r="N698" s="1099"/>
      <c r="O698" s="24" t="str">
        <f>E698</f>
        <v>GARDENING SERVICES&amp;ISB HYDERABAD</v>
      </c>
      <c r="P698" s="19"/>
      <c r="Q698" s="19"/>
      <c r="R698" s="19"/>
      <c r="S698" s="16"/>
    </row>
    <row r="699" spans="1:19">
      <c r="A699" s="17"/>
      <c r="B699" s="120"/>
      <c r="C699" s="120"/>
      <c r="D699" s="120"/>
      <c r="E699" s="120"/>
      <c r="F699" s="114"/>
      <c r="G699" s="114"/>
      <c r="H699" s="114"/>
      <c r="I699" s="16"/>
      <c r="K699" s="17"/>
      <c r="L699" s="120"/>
      <c r="M699" s="120"/>
      <c r="N699" s="120"/>
      <c r="O699" s="120"/>
      <c r="P699" s="114"/>
      <c r="Q699" s="114"/>
      <c r="R699" s="114"/>
      <c r="S699" s="16"/>
    </row>
    <row r="700" spans="1:19">
      <c r="A700" s="1101" t="s">
        <v>43</v>
      </c>
      <c r="B700" s="1099"/>
      <c r="C700" s="1099"/>
      <c r="D700" s="1099"/>
      <c r="E700" s="20">
        <f>Master!F10</f>
        <v>44652</v>
      </c>
      <c r="F700" s="19"/>
      <c r="G700" s="19"/>
      <c r="H700" s="19"/>
      <c r="I700" s="16"/>
      <c r="K700" s="1101" t="s">
        <v>43</v>
      </c>
      <c r="L700" s="1099"/>
      <c r="M700" s="1099"/>
      <c r="N700" s="1099"/>
      <c r="O700" s="20">
        <f>E700</f>
        <v>44652</v>
      </c>
      <c r="P700" s="19"/>
      <c r="Q700" s="19"/>
      <c r="R700" s="19"/>
      <c r="S700" s="16"/>
    </row>
    <row r="701" spans="1:19">
      <c r="A701" s="17"/>
      <c r="B701" s="120"/>
      <c r="C701" s="120"/>
      <c r="D701" s="120"/>
      <c r="E701" s="120"/>
      <c r="F701" s="114"/>
      <c r="G701" s="114"/>
      <c r="H701" s="114"/>
      <c r="I701" s="16"/>
      <c r="K701" s="17"/>
      <c r="L701" s="120"/>
      <c r="M701" s="120"/>
      <c r="N701" s="120"/>
      <c r="O701" s="120"/>
      <c r="P701" s="114"/>
      <c r="Q701" s="114"/>
      <c r="R701" s="114"/>
      <c r="S701" s="16"/>
    </row>
    <row r="702" spans="1:19">
      <c r="A702" s="21">
        <v>1</v>
      </c>
      <c r="B702" s="1099" t="s">
        <v>44</v>
      </c>
      <c r="C702" s="1099"/>
      <c r="D702" s="1099"/>
      <c r="E702" s="22">
        <f>Master!AA31</f>
        <v>26</v>
      </c>
      <c r="F702" s="19"/>
      <c r="G702" s="19"/>
      <c r="H702" s="19"/>
      <c r="I702" s="16"/>
      <c r="K702" s="21">
        <v>1</v>
      </c>
      <c r="L702" s="1099" t="s">
        <v>44</v>
      </c>
      <c r="M702" s="1099"/>
      <c r="N702" s="1099"/>
      <c r="O702" s="22">
        <f>E702</f>
        <v>26</v>
      </c>
      <c r="P702" s="19"/>
      <c r="Q702" s="19"/>
      <c r="R702" s="19"/>
      <c r="S702" s="16"/>
    </row>
    <row r="703" spans="1:19">
      <c r="A703" s="21"/>
      <c r="B703" s="120"/>
      <c r="C703" s="120"/>
      <c r="D703" s="120"/>
      <c r="E703" s="120"/>
      <c r="F703" s="114"/>
      <c r="G703" s="114"/>
      <c r="H703" s="114"/>
      <c r="I703" s="16"/>
      <c r="K703" s="21"/>
      <c r="L703" s="120"/>
      <c r="M703" s="120"/>
      <c r="N703" s="120"/>
      <c r="O703" s="120"/>
      <c r="P703" s="114"/>
      <c r="Q703" s="114"/>
      <c r="R703" s="114"/>
      <c r="S703" s="16"/>
    </row>
    <row r="704" spans="1:19">
      <c r="A704" s="21">
        <v>2</v>
      </c>
      <c r="B704" s="1098" t="s">
        <v>45</v>
      </c>
      <c r="C704" s="1098"/>
      <c r="D704" s="1098"/>
      <c r="E704" s="120"/>
      <c r="F704" s="114"/>
      <c r="G704" s="114"/>
      <c r="H704" s="114"/>
      <c r="I704" s="16"/>
      <c r="K704" s="21">
        <v>2</v>
      </c>
      <c r="L704" s="1098" t="s">
        <v>45</v>
      </c>
      <c r="M704" s="1098"/>
      <c r="N704" s="1098"/>
      <c r="O704" s="120"/>
      <c r="P704" s="114"/>
      <c r="Q704" s="114"/>
      <c r="R704" s="114"/>
      <c r="S704" s="16"/>
    </row>
    <row r="705" spans="1:19">
      <c r="A705" s="21"/>
      <c r="B705" s="1098"/>
      <c r="C705" s="1098"/>
      <c r="D705" s="1098"/>
      <c r="E705" s="23" t="s">
        <v>28</v>
      </c>
      <c r="F705" s="19"/>
      <c r="G705" s="19"/>
      <c r="H705" s="19"/>
      <c r="I705" s="16"/>
      <c r="K705" s="21"/>
      <c r="L705" s="1098"/>
      <c r="M705" s="1098"/>
      <c r="N705" s="1098"/>
      <c r="O705" s="23" t="s">
        <v>28</v>
      </c>
      <c r="P705" s="19"/>
      <c r="Q705" s="19"/>
      <c r="R705" s="19"/>
      <c r="S705" s="16"/>
    </row>
    <row r="706" spans="1:19">
      <c r="A706" s="21"/>
      <c r="B706" s="120"/>
      <c r="C706" s="120"/>
      <c r="D706" s="120"/>
      <c r="E706" s="120"/>
      <c r="F706" s="114"/>
      <c r="G706" s="114"/>
      <c r="H706" s="114"/>
      <c r="I706" s="16"/>
      <c r="K706" s="21"/>
      <c r="L706" s="120"/>
      <c r="M706" s="120"/>
      <c r="N706" s="120"/>
      <c r="O706" s="120"/>
      <c r="P706" s="114"/>
      <c r="Q706" s="114"/>
      <c r="R706" s="114"/>
      <c r="S706" s="16"/>
    </row>
    <row r="707" spans="1:19">
      <c r="A707" s="21">
        <v>3</v>
      </c>
      <c r="B707" s="1099" t="s">
        <v>46</v>
      </c>
      <c r="C707" s="1099"/>
      <c r="D707" s="1099"/>
      <c r="E707" s="23" t="s">
        <v>28</v>
      </c>
      <c r="F707" s="19"/>
      <c r="G707" s="19"/>
      <c r="H707" s="19"/>
      <c r="I707" s="16"/>
      <c r="K707" s="21">
        <v>3</v>
      </c>
      <c r="L707" s="1099" t="s">
        <v>46</v>
      </c>
      <c r="M707" s="1099"/>
      <c r="N707" s="1099"/>
      <c r="O707" s="18" t="str">
        <f>E707</f>
        <v>N/A</v>
      </c>
      <c r="P707" s="19"/>
      <c r="Q707" s="19"/>
      <c r="R707" s="19"/>
      <c r="S707" s="16"/>
    </row>
    <row r="708" spans="1:19">
      <c r="A708" s="21"/>
      <c r="B708" s="120"/>
      <c r="C708" s="120"/>
      <c r="D708" s="120"/>
      <c r="E708" s="120"/>
      <c r="F708" s="114"/>
      <c r="G708" s="114"/>
      <c r="H708" s="114"/>
      <c r="I708" s="16"/>
      <c r="K708" s="21"/>
      <c r="L708" s="120"/>
      <c r="M708" s="120"/>
      <c r="N708" s="120"/>
      <c r="O708" s="120"/>
      <c r="P708" s="114"/>
      <c r="Q708" s="114"/>
      <c r="R708" s="114"/>
      <c r="S708" s="16"/>
    </row>
    <row r="709" spans="1:19">
      <c r="A709" s="21">
        <v>4</v>
      </c>
      <c r="B709" s="1099" t="s">
        <v>47</v>
      </c>
      <c r="C709" s="1099"/>
      <c r="D709" s="1099"/>
      <c r="E709" s="23" t="s">
        <v>48</v>
      </c>
      <c r="F709" s="19"/>
      <c r="G709" s="19"/>
      <c r="H709" s="19"/>
      <c r="I709" s="16"/>
      <c r="K709" s="21">
        <v>4</v>
      </c>
      <c r="L709" s="1099" t="s">
        <v>47</v>
      </c>
      <c r="M709" s="1099"/>
      <c r="N709" s="1099"/>
      <c r="O709" s="23" t="s">
        <v>48</v>
      </c>
      <c r="P709" s="19"/>
      <c r="Q709" s="19"/>
      <c r="R709" s="19"/>
      <c r="S709" s="16"/>
    </row>
    <row r="710" spans="1:19">
      <c r="A710" s="21"/>
      <c r="B710" s="120"/>
      <c r="C710" s="120"/>
      <c r="D710" s="120"/>
      <c r="E710" s="120"/>
      <c r="F710" s="114"/>
      <c r="G710" s="114"/>
      <c r="H710" s="114"/>
      <c r="I710" s="16"/>
      <c r="K710" s="21"/>
      <c r="L710" s="120"/>
      <c r="M710" s="120"/>
      <c r="N710" s="120"/>
      <c r="O710" s="120"/>
      <c r="P710" s="114"/>
      <c r="Q710" s="114"/>
      <c r="R710" s="114"/>
      <c r="S710" s="16"/>
    </row>
    <row r="711" spans="1:19">
      <c r="A711" s="21">
        <v>5</v>
      </c>
      <c r="B711" s="1099" t="s">
        <v>49</v>
      </c>
      <c r="C711" s="1099"/>
      <c r="D711" s="1099"/>
      <c r="E711" s="24">
        <f>Master!AK31</f>
        <v>9210.4</v>
      </c>
      <c r="F711" s="19"/>
      <c r="G711" s="19"/>
      <c r="H711" s="19"/>
      <c r="I711" s="16"/>
      <c r="K711" s="21">
        <v>5</v>
      </c>
      <c r="L711" s="1099" t="s">
        <v>49</v>
      </c>
      <c r="M711" s="1099"/>
      <c r="N711" s="1099"/>
      <c r="O711" s="24">
        <f>E711</f>
        <v>9210.4</v>
      </c>
      <c r="P711" s="19"/>
      <c r="Q711" s="19"/>
      <c r="R711" s="19"/>
      <c r="S711" s="16"/>
    </row>
    <row r="712" spans="1:19">
      <c r="A712" s="21"/>
      <c r="B712" s="120"/>
      <c r="C712" s="120"/>
      <c r="D712" s="238" t="s">
        <v>50</v>
      </c>
      <c r="E712" s="238" t="s">
        <v>23</v>
      </c>
      <c r="F712" s="136" t="s">
        <v>25</v>
      </c>
      <c r="G712" s="238" t="s">
        <v>26</v>
      </c>
      <c r="H712" s="238" t="s">
        <v>202</v>
      </c>
      <c r="I712" s="126" t="s">
        <v>51</v>
      </c>
      <c r="K712" s="21"/>
      <c r="L712" s="120"/>
      <c r="M712" s="120"/>
      <c r="N712" s="238" t="s">
        <v>50</v>
      </c>
      <c r="O712" s="238" t="s">
        <v>23</v>
      </c>
      <c r="P712" s="136" t="s">
        <v>25</v>
      </c>
      <c r="Q712" s="238" t="s">
        <v>26</v>
      </c>
      <c r="R712" s="238" t="str">
        <f>H712</f>
        <v>ADV</v>
      </c>
      <c r="S712" s="126" t="s">
        <v>51</v>
      </c>
    </row>
    <row r="713" spans="1:19">
      <c r="A713" s="21">
        <v>6</v>
      </c>
      <c r="B713" s="468" t="s">
        <v>52</v>
      </c>
      <c r="C713" s="468"/>
      <c r="D713" s="335">
        <f>Master!AM31</f>
        <v>1105</v>
      </c>
      <c r="E713" s="335">
        <f>Master!AL31</f>
        <v>70</v>
      </c>
      <c r="F713" s="180">
        <f>Master!AN31</f>
        <v>0</v>
      </c>
      <c r="G713" s="180">
        <f>Master!AO31</f>
        <v>0</v>
      </c>
      <c r="H713" s="180">
        <f>Master!AP31</f>
        <v>0</v>
      </c>
      <c r="I713" s="127">
        <f>D713+E713+F713+G713+H713</f>
        <v>1175</v>
      </c>
      <c r="K713" s="21">
        <v>6</v>
      </c>
      <c r="L713" s="468" t="s">
        <v>52</v>
      </c>
      <c r="M713" s="468"/>
      <c r="N713" s="335">
        <f>D713</f>
        <v>1105</v>
      </c>
      <c r="O713" s="335">
        <f>E713</f>
        <v>70</v>
      </c>
      <c r="P713" s="180">
        <f>F713</f>
        <v>0</v>
      </c>
      <c r="Q713" s="180">
        <f>G713</f>
        <v>0</v>
      </c>
      <c r="R713" s="180">
        <f>H713</f>
        <v>0</v>
      </c>
      <c r="S713" s="127">
        <f>N713+O713+R713</f>
        <v>1175</v>
      </c>
    </row>
    <row r="714" spans="1:19">
      <c r="A714" s="21"/>
      <c r="B714" s="120"/>
      <c r="C714" s="120"/>
      <c r="D714" s="120"/>
      <c r="E714" s="120"/>
      <c r="F714" s="114"/>
      <c r="G714" s="114"/>
      <c r="H714" s="114"/>
      <c r="I714" s="16"/>
      <c r="K714" s="21"/>
      <c r="L714" s="120"/>
      <c r="M714" s="120"/>
      <c r="N714" s="120"/>
      <c r="O714" s="120"/>
      <c r="P714" s="114"/>
      <c r="Q714" s="114"/>
      <c r="R714" s="114"/>
      <c r="S714" s="16"/>
    </row>
    <row r="715" spans="1:19">
      <c r="A715" s="21">
        <v>7</v>
      </c>
      <c r="B715" s="1099" t="s">
        <v>53</v>
      </c>
      <c r="C715" s="1099"/>
      <c r="D715" s="1099"/>
      <c r="E715" s="24">
        <f>E711-I713</f>
        <v>8035.4</v>
      </c>
      <c r="F715" s="19"/>
      <c r="G715" s="19"/>
      <c r="H715" s="19"/>
      <c r="I715" s="16"/>
      <c r="K715" s="21">
        <v>7</v>
      </c>
      <c r="L715" s="1099" t="s">
        <v>53</v>
      </c>
      <c r="M715" s="1099"/>
      <c r="N715" s="1099"/>
      <c r="O715" s="24">
        <f>E715</f>
        <v>8035.4</v>
      </c>
      <c r="P715" s="19"/>
      <c r="Q715" s="19"/>
      <c r="R715" s="19"/>
      <c r="S715" s="16"/>
    </row>
    <row r="716" spans="1:19">
      <c r="A716" s="15"/>
      <c r="B716" s="114"/>
      <c r="C716" s="114"/>
      <c r="D716" s="114"/>
      <c r="E716" s="114"/>
      <c r="F716" s="114"/>
      <c r="G716" s="114"/>
      <c r="H716" s="114"/>
      <c r="I716" s="16"/>
      <c r="K716" s="15"/>
      <c r="L716" s="114"/>
      <c r="M716" s="114"/>
      <c r="N716" s="114"/>
      <c r="O716" s="114"/>
      <c r="P716" s="114"/>
      <c r="Q716" s="114"/>
      <c r="R716" s="114"/>
      <c r="S716" s="16"/>
    </row>
    <row r="717" spans="1:19">
      <c r="A717" s="15"/>
      <c r="B717" s="114"/>
      <c r="C717" s="114"/>
      <c r="D717" s="114"/>
      <c r="E717" s="114"/>
      <c r="F717" s="114"/>
      <c r="G717" s="114"/>
      <c r="H717" s="114"/>
      <c r="I717" s="16"/>
      <c r="K717" s="15"/>
      <c r="L717" s="114"/>
      <c r="M717" s="114"/>
      <c r="N717" s="114"/>
      <c r="O717" s="114"/>
      <c r="P717" s="114"/>
      <c r="Q717" s="114"/>
      <c r="R717" s="114"/>
      <c r="S717" s="16"/>
    </row>
    <row r="718" spans="1:19" ht="15" thickBot="1">
      <c r="A718" s="15"/>
      <c r="B718" s="114"/>
      <c r="C718" s="114"/>
      <c r="D718" s="114"/>
      <c r="E718" s="114"/>
      <c r="F718" s="25"/>
      <c r="G718" s="25"/>
      <c r="H718" s="25"/>
      <c r="I718" s="26"/>
      <c r="K718" s="15"/>
      <c r="L718" s="114"/>
      <c r="M718" s="114"/>
      <c r="N718" s="114"/>
      <c r="O718" s="114"/>
      <c r="P718" s="25"/>
      <c r="Q718" s="25"/>
      <c r="R718" s="25"/>
      <c r="S718" s="26"/>
    </row>
    <row r="719" spans="1:19" ht="15" thickBot="1">
      <c r="A719" s="27"/>
      <c r="B719" s="25"/>
      <c r="C719" s="25"/>
      <c r="D719" s="25"/>
      <c r="E719" s="999" t="s">
        <v>54</v>
      </c>
      <c r="F719" s="999"/>
      <c r="G719" s="999"/>
      <c r="H719" s="999"/>
      <c r="I719" s="1100"/>
      <c r="K719" s="27"/>
      <c r="L719" s="25"/>
      <c r="M719" s="25"/>
      <c r="N719" s="25"/>
      <c r="O719" s="28" t="s">
        <v>54</v>
      </c>
      <c r="P719" s="25"/>
      <c r="Q719" s="28"/>
      <c r="R719" s="28"/>
      <c r="S719" s="29"/>
    </row>
    <row r="731" spans="1:19" ht="15" thickBot="1"/>
    <row r="732" spans="1:19" ht="24.6">
      <c r="A732" s="1091" t="s">
        <v>39</v>
      </c>
      <c r="B732" s="1092"/>
      <c r="C732" s="1092"/>
      <c r="D732" s="1092"/>
      <c r="E732" s="1092"/>
      <c r="F732" s="1092"/>
      <c r="G732" s="1092"/>
      <c r="H732" s="1092"/>
      <c r="I732" s="1093"/>
      <c r="K732" s="1091" t="s">
        <v>39</v>
      </c>
      <c r="L732" s="1092"/>
      <c r="M732" s="1092"/>
      <c r="N732" s="1092"/>
      <c r="O732" s="1092"/>
      <c r="P732" s="1092"/>
      <c r="Q732" s="1092"/>
      <c r="R732" s="1092"/>
      <c r="S732" s="1093"/>
    </row>
    <row r="733" spans="1:19">
      <c r="A733" s="1094" t="s">
        <v>1075</v>
      </c>
      <c r="B733" s="1095"/>
      <c r="C733" s="1095"/>
      <c r="D733" s="1095"/>
      <c r="E733" s="1095"/>
      <c r="F733" s="1095"/>
      <c r="G733" s="1095"/>
      <c r="H733" s="1095"/>
      <c r="I733" s="1096"/>
      <c r="K733" s="1094" t="str">
        <f>A733</f>
        <v>[Vide rule 78 (1) (b) of the Contract Labour (Regulation and Abolition) Central and A.P.{T.S.}Rules, 1971]</v>
      </c>
      <c r="L733" s="1095"/>
      <c r="M733" s="1095"/>
      <c r="N733" s="1095"/>
      <c r="O733" s="1095"/>
      <c r="P733" s="1095"/>
      <c r="Q733" s="1095"/>
      <c r="R733" s="1095"/>
      <c r="S733" s="1096"/>
    </row>
    <row r="734" spans="1:19">
      <c r="A734" s="15"/>
      <c r="B734" s="114"/>
      <c r="C734" s="114"/>
      <c r="D734" s="114"/>
      <c r="E734" s="114"/>
      <c r="F734" s="114"/>
      <c r="G734" s="114"/>
      <c r="H734" s="114"/>
      <c r="I734" s="16"/>
      <c r="K734" s="15"/>
      <c r="L734" s="114"/>
      <c r="M734" s="114"/>
      <c r="N734" s="114"/>
      <c r="O734" s="114"/>
      <c r="P734" s="114"/>
      <c r="Q734" s="114"/>
      <c r="R734" s="114"/>
      <c r="S734" s="16"/>
    </row>
    <row r="735" spans="1:19">
      <c r="A735" s="17" t="s">
        <v>40</v>
      </c>
      <c r="B735" s="120"/>
      <c r="C735" s="120"/>
      <c r="D735" s="121" t="str">
        <f>Master!F5</f>
        <v>GROTECH LANDSCAPE DEVELOPERS PVT. LTD.</v>
      </c>
      <c r="E735" s="114"/>
      <c r="F735" s="114"/>
      <c r="G735" s="114"/>
      <c r="H735" s="114"/>
      <c r="I735" s="16"/>
      <c r="K735" s="17" t="s">
        <v>40</v>
      </c>
      <c r="L735" s="120"/>
      <c r="M735" s="120"/>
      <c r="N735" s="121" t="str">
        <f>D735</f>
        <v>GROTECH LANDSCAPE DEVELOPERS PVT. LTD.</v>
      </c>
      <c r="O735" s="114"/>
      <c r="P735" s="114"/>
      <c r="Q735" s="114"/>
      <c r="R735" s="114"/>
      <c r="S735" s="16"/>
    </row>
    <row r="736" spans="1:19">
      <c r="A736" s="17"/>
      <c r="B736" s="120" t="str">
        <f>Master!F6</f>
        <v>290/E, Khanapur Village, Gandipet Mandal, Ranga Reddy, Hyderabad-500075 T.S.</v>
      </c>
      <c r="C736" s="120"/>
      <c r="D736" s="114"/>
      <c r="E736" s="114"/>
      <c r="F736" s="114"/>
      <c r="G736" s="114"/>
      <c r="H736" s="114"/>
      <c r="I736" s="16"/>
      <c r="K736" s="17"/>
      <c r="L736" s="120" t="str">
        <f>B736</f>
        <v>290/E, Khanapur Village, Gandipet Mandal, Ranga Reddy, Hyderabad-500075 T.S.</v>
      </c>
      <c r="M736" s="120"/>
      <c r="N736" s="114"/>
      <c r="O736" s="114"/>
      <c r="P736" s="114"/>
      <c r="Q736" s="114"/>
      <c r="R736" s="114"/>
      <c r="S736" s="16"/>
    </row>
    <row r="737" spans="1:19">
      <c r="A737" s="17"/>
      <c r="B737" s="120"/>
      <c r="C737" s="120"/>
      <c r="D737" s="120"/>
      <c r="E737" s="120"/>
      <c r="F737" s="114"/>
      <c r="G737" s="114"/>
      <c r="H737" s="114"/>
      <c r="I737" s="16"/>
      <c r="K737" s="17"/>
      <c r="L737" s="120"/>
      <c r="M737" s="120"/>
      <c r="N737" s="120"/>
      <c r="O737" s="120"/>
      <c r="P737" s="114"/>
      <c r="Q737" s="114"/>
      <c r="R737" s="114"/>
      <c r="S737" s="16"/>
    </row>
    <row r="738" spans="1:19">
      <c r="A738" s="1097" t="s">
        <v>41</v>
      </c>
      <c r="B738" s="1098"/>
      <c r="C738" s="1098"/>
      <c r="D738" s="1098"/>
      <c r="E738" s="120"/>
      <c r="F738" s="114"/>
      <c r="G738" s="114"/>
      <c r="H738" s="114"/>
      <c r="I738" s="16"/>
      <c r="K738" s="1097" t="s">
        <v>41</v>
      </c>
      <c r="L738" s="1098"/>
      <c r="M738" s="1098"/>
      <c r="N738" s="1098"/>
      <c r="O738" s="120"/>
      <c r="P738" s="114"/>
      <c r="Q738" s="114"/>
      <c r="R738" s="114"/>
      <c r="S738" s="16"/>
    </row>
    <row r="739" spans="1:19">
      <c r="A739" s="1097"/>
      <c r="B739" s="1098"/>
      <c r="C739" s="1098"/>
      <c r="D739" s="1098"/>
      <c r="E739" s="128" t="str">
        <f>Master!D32</f>
        <v>FARZANA BEGUM</v>
      </c>
      <c r="F739" s="19"/>
      <c r="G739" s="19"/>
      <c r="H739" s="19" t="str">
        <f>Master!G32</f>
        <v>SHAIK MASTAN WALI</v>
      </c>
      <c r="I739" s="16"/>
      <c r="K739" s="1097"/>
      <c r="L739" s="1098"/>
      <c r="M739" s="1098"/>
      <c r="N739" s="1098"/>
      <c r="O739" s="18" t="str">
        <f>E739</f>
        <v>FARZANA BEGUM</v>
      </c>
      <c r="P739" s="19"/>
      <c r="Q739" s="19"/>
      <c r="R739" s="19" t="str">
        <f>H739</f>
        <v>SHAIK MASTAN WALI</v>
      </c>
      <c r="S739" s="16"/>
    </row>
    <row r="740" spans="1:19">
      <c r="A740" s="17"/>
      <c r="B740" s="120"/>
      <c r="C740" s="120"/>
      <c r="D740" s="120"/>
      <c r="E740" s="120"/>
      <c r="F740" s="114"/>
      <c r="G740" s="114"/>
      <c r="H740" s="114"/>
      <c r="I740" s="16"/>
      <c r="K740" s="17"/>
      <c r="L740" s="120"/>
      <c r="M740" s="120"/>
      <c r="N740" s="120"/>
      <c r="O740" s="120"/>
      <c r="P740" s="114"/>
      <c r="Q740" s="114"/>
      <c r="R740" s="114"/>
      <c r="S740" s="16"/>
    </row>
    <row r="741" spans="1:19">
      <c r="A741" s="1101" t="s">
        <v>42</v>
      </c>
      <c r="B741" s="1099"/>
      <c r="C741" s="1099"/>
      <c r="D741" s="1099"/>
      <c r="E741" s="24" t="str">
        <f>Master!F8</f>
        <v>GARDENING SERVICES&amp;ISB HYDERABAD</v>
      </c>
      <c r="F741" s="19"/>
      <c r="G741" s="19"/>
      <c r="H741" s="19"/>
      <c r="I741" s="16"/>
      <c r="K741" s="1101" t="s">
        <v>42</v>
      </c>
      <c r="L741" s="1099"/>
      <c r="M741" s="1099"/>
      <c r="N741" s="1099"/>
      <c r="O741" s="24" t="str">
        <f>E741</f>
        <v>GARDENING SERVICES&amp;ISB HYDERABAD</v>
      </c>
      <c r="P741" s="19"/>
      <c r="Q741" s="19"/>
      <c r="R741" s="19"/>
      <c r="S741" s="16"/>
    </row>
    <row r="742" spans="1:19">
      <c r="A742" s="17"/>
      <c r="B742" s="120"/>
      <c r="C742" s="120"/>
      <c r="D742" s="120"/>
      <c r="E742" s="120"/>
      <c r="F742" s="114"/>
      <c r="G742" s="114"/>
      <c r="H742" s="114"/>
      <c r="I742" s="16"/>
      <c r="K742" s="17"/>
      <c r="L742" s="120"/>
      <c r="M742" s="120"/>
      <c r="N742" s="120"/>
      <c r="O742" s="120"/>
      <c r="P742" s="114"/>
      <c r="Q742" s="114"/>
      <c r="R742" s="114"/>
      <c r="S742" s="16"/>
    </row>
    <row r="743" spans="1:19">
      <c r="A743" s="1101" t="s">
        <v>43</v>
      </c>
      <c r="B743" s="1099"/>
      <c r="C743" s="1099"/>
      <c r="D743" s="1099"/>
      <c r="E743" s="20">
        <f>Master!F10</f>
        <v>44652</v>
      </c>
      <c r="F743" s="19"/>
      <c r="G743" s="19"/>
      <c r="H743" s="19"/>
      <c r="I743" s="16"/>
      <c r="K743" s="1101" t="s">
        <v>43</v>
      </c>
      <c r="L743" s="1099"/>
      <c r="M743" s="1099"/>
      <c r="N743" s="1099"/>
      <c r="O743" s="20">
        <f>E743</f>
        <v>44652</v>
      </c>
      <c r="P743" s="19"/>
      <c r="Q743" s="19"/>
      <c r="R743" s="19"/>
      <c r="S743" s="16"/>
    </row>
    <row r="744" spans="1:19">
      <c r="A744" s="17"/>
      <c r="B744" s="120"/>
      <c r="C744" s="120"/>
      <c r="D744" s="120"/>
      <c r="E744" s="120"/>
      <c r="F744" s="114"/>
      <c r="G744" s="114"/>
      <c r="H744" s="114"/>
      <c r="I744" s="16"/>
      <c r="K744" s="17"/>
      <c r="L744" s="120"/>
      <c r="M744" s="120"/>
      <c r="N744" s="120"/>
      <c r="O744" s="120"/>
      <c r="P744" s="114"/>
      <c r="Q744" s="114"/>
      <c r="R744" s="114"/>
      <c r="S744" s="16"/>
    </row>
    <row r="745" spans="1:19">
      <c r="A745" s="21">
        <v>1</v>
      </c>
      <c r="B745" s="1099" t="s">
        <v>44</v>
      </c>
      <c r="C745" s="1099"/>
      <c r="D745" s="1099"/>
      <c r="E745" s="22">
        <f>Master!AA32</f>
        <v>26</v>
      </c>
      <c r="F745" s="19"/>
      <c r="G745" s="19"/>
      <c r="H745" s="19"/>
      <c r="I745" s="16"/>
      <c r="K745" s="21">
        <v>1</v>
      </c>
      <c r="L745" s="1099" t="s">
        <v>44</v>
      </c>
      <c r="M745" s="1099"/>
      <c r="N745" s="1099"/>
      <c r="O745" s="22">
        <f>E745</f>
        <v>26</v>
      </c>
      <c r="P745" s="19"/>
      <c r="Q745" s="19"/>
      <c r="R745" s="19"/>
      <c r="S745" s="16"/>
    </row>
    <row r="746" spans="1:19">
      <c r="A746" s="21"/>
      <c r="B746" s="120"/>
      <c r="C746" s="120"/>
      <c r="D746" s="120"/>
      <c r="E746" s="120"/>
      <c r="F746" s="114"/>
      <c r="G746" s="114"/>
      <c r="H746" s="114"/>
      <c r="I746" s="16"/>
      <c r="K746" s="21"/>
      <c r="L746" s="120"/>
      <c r="M746" s="120"/>
      <c r="N746" s="120"/>
      <c r="O746" s="120"/>
      <c r="P746" s="114"/>
      <c r="Q746" s="114"/>
      <c r="R746" s="114"/>
      <c r="S746" s="16"/>
    </row>
    <row r="747" spans="1:19">
      <c r="A747" s="21">
        <v>2</v>
      </c>
      <c r="B747" s="1098" t="s">
        <v>45</v>
      </c>
      <c r="C747" s="1098"/>
      <c r="D747" s="1098"/>
      <c r="E747" s="120"/>
      <c r="F747" s="114"/>
      <c r="G747" s="114"/>
      <c r="H747" s="114"/>
      <c r="I747" s="16"/>
      <c r="K747" s="21">
        <v>2</v>
      </c>
      <c r="L747" s="1098" t="s">
        <v>45</v>
      </c>
      <c r="M747" s="1098"/>
      <c r="N747" s="1098"/>
      <c r="O747" s="120"/>
      <c r="P747" s="114"/>
      <c r="Q747" s="114"/>
      <c r="R747" s="114"/>
      <c r="S747" s="16"/>
    </row>
    <row r="748" spans="1:19">
      <c r="A748" s="21"/>
      <c r="B748" s="1098"/>
      <c r="C748" s="1098"/>
      <c r="D748" s="1098"/>
      <c r="E748" s="23" t="s">
        <v>28</v>
      </c>
      <c r="F748" s="19"/>
      <c r="G748" s="19"/>
      <c r="H748" s="19"/>
      <c r="I748" s="16"/>
      <c r="K748" s="21"/>
      <c r="L748" s="1098"/>
      <c r="M748" s="1098"/>
      <c r="N748" s="1098"/>
      <c r="O748" s="23" t="s">
        <v>28</v>
      </c>
      <c r="P748" s="19"/>
      <c r="Q748" s="19"/>
      <c r="R748" s="19"/>
      <c r="S748" s="16"/>
    </row>
    <row r="749" spans="1:19">
      <c r="A749" s="21"/>
      <c r="B749" s="120"/>
      <c r="C749" s="120"/>
      <c r="D749" s="120"/>
      <c r="E749" s="120"/>
      <c r="F749" s="114"/>
      <c r="G749" s="114"/>
      <c r="H749" s="114"/>
      <c r="I749" s="16"/>
      <c r="K749" s="21"/>
      <c r="L749" s="120"/>
      <c r="M749" s="120"/>
      <c r="N749" s="120"/>
      <c r="O749" s="120"/>
      <c r="P749" s="114"/>
      <c r="Q749" s="114"/>
      <c r="R749" s="114"/>
      <c r="S749" s="16"/>
    </row>
    <row r="750" spans="1:19">
      <c r="A750" s="21">
        <v>3</v>
      </c>
      <c r="B750" s="1099" t="s">
        <v>46</v>
      </c>
      <c r="C750" s="1099"/>
      <c r="D750" s="1099"/>
      <c r="E750" s="23" t="s">
        <v>28</v>
      </c>
      <c r="F750" s="19"/>
      <c r="G750" s="19"/>
      <c r="H750" s="19"/>
      <c r="I750" s="16"/>
      <c r="K750" s="21">
        <v>3</v>
      </c>
      <c r="L750" s="1099" t="s">
        <v>46</v>
      </c>
      <c r="M750" s="1099"/>
      <c r="N750" s="1099"/>
      <c r="O750" s="18" t="str">
        <f>E750</f>
        <v>N/A</v>
      </c>
      <c r="P750" s="19"/>
      <c r="Q750" s="19"/>
      <c r="R750" s="19"/>
      <c r="S750" s="16"/>
    </row>
    <row r="751" spans="1:19">
      <c r="A751" s="21"/>
      <c r="B751" s="120"/>
      <c r="C751" s="120"/>
      <c r="D751" s="120"/>
      <c r="E751" s="120"/>
      <c r="F751" s="114"/>
      <c r="G751" s="114"/>
      <c r="H751" s="114"/>
      <c r="I751" s="16"/>
      <c r="K751" s="21"/>
      <c r="L751" s="120"/>
      <c r="M751" s="120"/>
      <c r="N751" s="120"/>
      <c r="O751" s="120"/>
      <c r="P751" s="114"/>
      <c r="Q751" s="114"/>
      <c r="R751" s="114"/>
      <c r="S751" s="16"/>
    </row>
    <row r="752" spans="1:19">
      <c r="A752" s="21">
        <v>4</v>
      </c>
      <c r="B752" s="1099" t="s">
        <v>47</v>
      </c>
      <c r="C752" s="1099"/>
      <c r="D752" s="1099"/>
      <c r="E752" s="23" t="s">
        <v>48</v>
      </c>
      <c r="F752" s="19"/>
      <c r="G752" s="19"/>
      <c r="H752" s="19"/>
      <c r="I752" s="16"/>
      <c r="K752" s="21">
        <v>4</v>
      </c>
      <c r="L752" s="1099" t="s">
        <v>47</v>
      </c>
      <c r="M752" s="1099"/>
      <c r="N752" s="1099"/>
      <c r="O752" s="23" t="s">
        <v>48</v>
      </c>
      <c r="P752" s="19"/>
      <c r="Q752" s="19"/>
      <c r="R752" s="19"/>
      <c r="S752" s="16"/>
    </row>
    <row r="753" spans="1:19">
      <c r="A753" s="21"/>
      <c r="B753" s="120"/>
      <c r="C753" s="120"/>
      <c r="D753" s="120"/>
      <c r="E753" s="120"/>
      <c r="F753" s="114"/>
      <c r="G753" s="114"/>
      <c r="H753" s="114"/>
      <c r="I753" s="16"/>
      <c r="K753" s="21"/>
      <c r="L753" s="120"/>
      <c r="M753" s="120"/>
      <c r="N753" s="120"/>
      <c r="O753" s="120"/>
      <c r="P753" s="114"/>
      <c r="Q753" s="114"/>
      <c r="R753" s="114"/>
      <c r="S753" s="16"/>
    </row>
    <row r="754" spans="1:19">
      <c r="A754" s="21">
        <v>5</v>
      </c>
      <c r="B754" s="1099" t="s">
        <v>49</v>
      </c>
      <c r="C754" s="1099"/>
      <c r="D754" s="1099"/>
      <c r="E754" s="24">
        <f>Master!AK32</f>
        <v>9210.4</v>
      </c>
      <c r="F754" s="19"/>
      <c r="G754" s="19"/>
      <c r="H754" s="19"/>
      <c r="I754" s="16"/>
      <c r="K754" s="21">
        <v>5</v>
      </c>
      <c r="L754" s="1099" t="s">
        <v>49</v>
      </c>
      <c r="M754" s="1099"/>
      <c r="N754" s="1099"/>
      <c r="O754" s="24">
        <f>E754</f>
        <v>9210.4</v>
      </c>
      <c r="P754" s="19"/>
      <c r="Q754" s="19"/>
      <c r="R754" s="19"/>
      <c r="S754" s="16"/>
    </row>
    <row r="755" spans="1:19">
      <c r="A755" s="21"/>
      <c r="B755" s="120"/>
      <c r="C755" s="120"/>
      <c r="D755" s="238" t="s">
        <v>50</v>
      </c>
      <c r="E755" s="238" t="s">
        <v>23</v>
      </c>
      <c r="F755" s="136" t="s">
        <v>25</v>
      </c>
      <c r="G755" s="238" t="s">
        <v>26</v>
      </c>
      <c r="H755" s="238" t="s">
        <v>202</v>
      </c>
      <c r="I755" s="126" t="s">
        <v>51</v>
      </c>
      <c r="K755" s="21"/>
      <c r="L755" s="120"/>
      <c r="M755" s="120"/>
      <c r="N755" s="238" t="s">
        <v>50</v>
      </c>
      <c r="O755" s="238" t="s">
        <v>23</v>
      </c>
      <c r="P755" s="136" t="s">
        <v>25</v>
      </c>
      <c r="Q755" s="238" t="s">
        <v>26</v>
      </c>
      <c r="R755" s="238" t="str">
        <f>H755</f>
        <v>ADV</v>
      </c>
      <c r="S755" s="126" t="s">
        <v>51</v>
      </c>
    </row>
    <row r="756" spans="1:19">
      <c r="A756" s="21">
        <v>6</v>
      </c>
      <c r="B756" s="468" t="s">
        <v>52</v>
      </c>
      <c r="C756" s="468"/>
      <c r="D756" s="335">
        <f>Master!AM32</f>
        <v>1105</v>
      </c>
      <c r="E756" s="335">
        <f>Master!AL32</f>
        <v>70</v>
      </c>
      <c r="F756" s="180">
        <f>Master!AN32</f>
        <v>0</v>
      </c>
      <c r="G756" s="180">
        <f>Master!AO32</f>
        <v>0</v>
      </c>
      <c r="H756" s="180">
        <f>Master!AP32</f>
        <v>0</v>
      </c>
      <c r="I756" s="127">
        <f>D756+E756+F756+G756+H756</f>
        <v>1175</v>
      </c>
      <c r="K756" s="21">
        <v>6</v>
      </c>
      <c r="L756" s="468" t="s">
        <v>52</v>
      </c>
      <c r="M756" s="468"/>
      <c r="N756" s="335">
        <f>D756</f>
        <v>1105</v>
      </c>
      <c r="O756" s="335">
        <f>E756</f>
        <v>70</v>
      </c>
      <c r="P756" s="180">
        <f>F756</f>
        <v>0</v>
      </c>
      <c r="Q756" s="180">
        <f>G756</f>
        <v>0</v>
      </c>
      <c r="R756" s="180">
        <f>H756</f>
        <v>0</v>
      </c>
      <c r="S756" s="127">
        <f>N756+O756+R756</f>
        <v>1175</v>
      </c>
    </row>
    <row r="757" spans="1:19">
      <c r="A757" s="21"/>
      <c r="B757" s="120"/>
      <c r="C757" s="120"/>
      <c r="D757" s="120"/>
      <c r="E757" s="120"/>
      <c r="F757" s="114"/>
      <c r="G757" s="114"/>
      <c r="H757" s="114"/>
      <c r="I757" s="16"/>
      <c r="K757" s="21"/>
      <c r="L757" s="120"/>
      <c r="M757" s="120"/>
      <c r="N757" s="120"/>
      <c r="O757" s="120"/>
      <c r="P757" s="114"/>
      <c r="Q757" s="114"/>
      <c r="R757" s="114"/>
      <c r="S757" s="16"/>
    </row>
    <row r="758" spans="1:19">
      <c r="A758" s="21">
        <v>7</v>
      </c>
      <c r="B758" s="1099" t="s">
        <v>53</v>
      </c>
      <c r="C758" s="1099"/>
      <c r="D758" s="1099"/>
      <c r="E758" s="24">
        <f>E754-I756</f>
        <v>8035.4</v>
      </c>
      <c r="F758" s="19"/>
      <c r="G758" s="19"/>
      <c r="H758" s="19"/>
      <c r="I758" s="16"/>
      <c r="K758" s="21">
        <v>7</v>
      </c>
      <c r="L758" s="1099" t="s">
        <v>53</v>
      </c>
      <c r="M758" s="1099"/>
      <c r="N758" s="1099"/>
      <c r="O758" s="24">
        <f>E758</f>
        <v>8035.4</v>
      </c>
      <c r="P758" s="19"/>
      <c r="Q758" s="19"/>
      <c r="R758" s="19"/>
      <c r="S758" s="16"/>
    </row>
    <row r="759" spans="1:19">
      <c r="A759" s="15"/>
      <c r="B759" s="114"/>
      <c r="C759" s="114"/>
      <c r="D759" s="114"/>
      <c r="E759" s="114"/>
      <c r="F759" s="114"/>
      <c r="G759" s="114"/>
      <c r="H759" s="114"/>
      <c r="I759" s="16"/>
      <c r="K759" s="15"/>
      <c r="L759" s="114"/>
      <c r="M759" s="114"/>
      <c r="N759" s="114"/>
      <c r="O759" s="114"/>
      <c r="P759" s="114"/>
      <c r="Q759" s="114"/>
      <c r="R759" s="114"/>
      <c r="S759" s="16"/>
    </row>
    <row r="760" spans="1:19">
      <c r="A760" s="15"/>
      <c r="B760" s="114"/>
      <c r="C760" s="114"/>
      <c r="D760" s="114"/>
      <c r="E760" s="114"/>
      <c r="F760" s="114"/>
      <c r="G760" s="114"/>
      <c r="H760" s="114"/>
      <c r="I760" s="16"/>
      <c r="K760" s="15"/>
      <c r="L760" s="114"/>
      <c r="M760" s="114"/>
      <c r="N760" s="114"/>
      <c r="O760" s="114"/>
      <c r="P760" s="114"/>
      <c r="Q760" s="114"/>
      <c r="R760" s="114"/>
      <c r="S760" s="16"/>
    </row>
    <row r="761" spans="1:19" ht="15" thickBot="1">
      <c r="A761" s="15"/>
      <c r="B761" s="114"/>
      <c r="C761" s="114"/>
      <c r="D761" s="114"/>
      <c r="E761" s="114"/>
      <c r="F761" s="25"/>
      <c r="G761" s="25"/>
      <c r="H761" s="25"/>
      <c r="I761" s="26"/>
      <c r="K761" s="15"/>
      <c r="L761" s="114"/>
      <c r="M761" s="114"/>
      <c r="N761" s="114"/>
      <c r="O761" s="114"/>
      <c r="P761" s="25"/>
      <c r="Q761" s="25"/>
      <c r="R761" s="25"/>
      <c r="S761" s="26"/>
    </row>
    <row r="762" spans="1:19" ht="15" thickBot="1">
      <c r="A762" s="27"/>
      <c r="B762" s="25"/>
      <c r="C762" s="25"/>
      <c r="D762" s="25"/>
      <c r="E762" s="999" t="s">
        <v>54</v>
      </c>
      <c r="F762" s="999"/>
      <c r="G762" s="999"/>
      <c r="H762" s="999"/>
      <c r="I762" s="1100"/>
      <c r="K762" s="27"/>
      <c r="L762" s="25"/>
      <c r="M762" s="25"/>
      <c r="N762" s="25"/>
      <c r="O762" s="28" t="s">
        <v>54</v>
      </c>
      <c r="P762" s="25"/>
      <c r="Q762" s="28"/>
      <c r="R762" s="28"/>
      <c r="S762" s="29"/>
    </row>
    <row r="774" spans="1:19" ht="15" thickBot="1"/>
    <row r="775" spans="1:19" ht="24.6">
      <c r="A775" s="1091" t="s">
        <v>39</v>
      </c>
      <c r="B775" s="1092"/>
      <c r="C775" s="1092"/>
      <c r="D775" s="1092"/>
      <c r="E775" s="1092"/>
      <c r="F775" s="1092"/>
      <c r="G775" s="1092"/>
      <c r="H775" s="1092"/>
      <c r="I775" s="1093"/>
      <c r="K775" s="1091" t="s">
        <v>39</v>
      </c>
      <c r="L775" s="1092"/>
      <c r="M775" s="1092"/>
      <c r="N775" s="1092"/>
      <c r="O775" s="1092"/>
      <c r="P775" s="1092"/>
      <c r="Q775" s="1092"/>
      <c r="R775" s="1092"/>
      <c r="S775" s="1093"/>
    </row>
    <row r="776" spans="1:19">
      <c r="A776" s="1094" t="s">
        <v>1075</v>
      </c>
      <c r="B776" s="1095"/>
      <c r="C776" s="1095"/>
      <c r="D776" s="1095"/>
      <c r="E776" s="1095"/>
      <c r="F776" s="1095"/>
      <c r="G776" s="1095"/>
      <c r="H776" s="1095"/>
      <c r="I776" s="1096"/>
      <c r="K776" s="1094" t="str">
        <f>A776</f>
        <v>[Vide rule 78 (1) (b) of the Contract Labour (Regulation and Abolition) Central and A.P.{T.S.}Rules, 1971]</v>
      </c>
      <c r="L776" s="1095"/>
      <c r="M776" s="1095"/>
      <c r="N776" s="1095"/>
      <c r="O776" s="1095"/>
      <c r="P776" s="1095"/>
      <c r="Q776" s="1095"/>
      <c r="R776" s="1095"/>
      <c r="S776" s="1096"/>
    </row>
    <row r="777" spans="1:19">
      <c r="A777" s="15"/>
      <c r="B777" s="114"/>
      <c r="C777" s="114"/>
      <c r="D777" s="114"/>
      <c r="E777" s="114"/>
      <c r="F777" s="114"/>
      <c r="G777" s="114"/>
      <c r="H777" s="114"/>
      <c r="I777" s="16"/>
      <c r="K777" s="15"/>
      <c r="L777" s="114"/>
      <c r="M777" s="114"/>
      <c r="N777" s="114"/>
      <c r="O777" s="114"/>
      <c r="P777" s="114"/>
      <c r="Q777" s="114"/>
      <c r="R777" s="114"/>
      <c r="S777" s="16"/>
    </row>
    <row r="778" spans="1:19">
      <c r="A778" s="17" t="s">
        <v>40</v>
      </c>
      <c r="B778" s="120"/>
      <c r="C778" s="120"/>
      <c r="D778" s="121" t="str">
        <f>Master!F5</f>
        <v>GROTECH LANDSCAPE DEVELOPERS PVT. LTD.</v>
      </c>
      <c r="E778" s="114"/>
      <c r="F778" s="114"/>
      <c r="G778" s="114"/>
      <c r="H778" s="114"/>
      <c r="I778" s="16"/>
      <c r="K778" s="17" t="s">
        <v>40</v>
      </c>
      <c r="L778" s="120"/>
      <c r="M778" s="120"/>
      <c r="N778" s="121" t="str">
        <f>D778</f>
        <v>GROTECH LANDSCAPE DEVELOPERS PVT. LTD.</v>
      </c>
      <c r="O778" s="114"/>
      <c r="P778" s="114"/>
      <c r="Q778" s="114"/>
      <c r="R778" s="114"/>
      <c r="S778" s="16"/>
    </row>
    <row r="779" spans="1:19">
      <c r="A779" s="17"/>
      <c r="B779" s="120" t="str">
        <f>Master!F6</f>
        <v>290/E, Khanapur Village, Gandipet Mandal, Ranga Reddy, Hyderabad-500075 T.S.</v>
      </c>
      <c r="C779" s="120"/>
      <c r="D779" s="114"/>
      <c r="E779" s="114"/>
      <c r="F779" s="114"/>
      <c r="G779" s="114"/>
      <c r="H779" s="114"/>
      <c r="I779" s="16"/>
      <c r="K779" s="17"/>
      <c r="L779" s="120" t="str">
        <f>B779</f>
        <v>290/E, Khanapur Village, Gandipet Mandal, Ranga Reddy, Hyderabad-500075 T.S.</v>
      </c>
      <c r="M779" s="120"/>
      <c r="N779" s="114"/>
      <c r="O779" s="114"/>
      <c r="P779" s="114"/>
      <c r="Q779" s="114"/>
      <c r="R779" s="114"/>
      <c r="S779" s="16"/>
    </row>
    <row r="780" spans="1:19">
      <c r="A780" s="17"/>
      <c r="B780" s="120"/>
      <c r="C780" s="120"/>
      <c r="D780" s="120"/>
      <c r="E780" s="120"/>
      <c r="F780" s="114"/>
      <c r="G780" s="114"/>
      <c r="H780" s="114"/>
      <c r="I780" s="16"/>
      <c r="K780" s="17"/>
      <c r="L780" s="120"/>
      <c r="M780" s="120"/>
      <c r="N780" s="120"/>
      <c r="O780" s="120"/>
      <c r="P780" s="114"/>
      <c r="Q780" s="114"/>
      <c r="R780" s="114"/>
      <c r="S780" s="16"/>
    </row>
    <row r="781" spans="1:19">
      <c r="A781" s="1097" t="s">
        <v>41</v>
      </c>
      <c r="B781" s="1098"/>
      <c r="C781" s="1098"/>
      <c r="D781" s="1098"/>
      <c r="E781" s="120"/>
      <c r="F781" s="114"/>
      <c r="G781" s="114"/>
      <c r="H781" s="114"/>
      <c r="I781" s="16"/>
      <c r="K781" s="1097" t="s">
        <v>41</v>
      </c>
      <c r="L781" s="1098"/>
      <c r="M781" s="1098"/>
      <c r="N781" s="1098"/>
      <c r="O781" s="120"/>
      <c r="P781" s="114"/>
      <c r="Q781" s="114"/>
      <c r="R781" s="114"/>
      <c r="S781" s="16"/>
    </row>
    <row r="782" spans="1:19">
      <c r="A782" s="1097"/>
      <c r="B782" s="1098"/>
      <c r="C782" s="1098"/>
      <c r="D782" s="1098"/>
      <c r="E782" s="128" t="str">
        <f>Master!D33</f>
        <v>MANAGALI SUHASINI</v>
      </c>
      <c r="F782" s="19"/>
      <c r="G782" s="19"/>
      <c r="H782" s="19" t="str">
        <f>Master!G33</f>
        <v>MANGALI RAJU</v>
      </c>
      <c r="I782" s="16"/>
      <c r="K782" s="1097"/>
      <c r="L782" s="1098"/>
      <c r="M782" s="1098"/>
      <c r="N782" s="1098"/>
      <c r="O782" s="18" t="str">
        <f>E782</f>
        <v>MANAGALI SUHASINI</v>
      </c>
      <c r="P782" s="19"/>
      <c r="Q782" s="19"/>
      <c r="R782" s="19" t="str">
        <f>H782</f>
        <v>MANGALI RAJU</v>
      </c>
      <c r="S782" s="16"/>
    </row>
    <row r="783" spans="1:19">
      <c r="A783" s="17"/>
      <c r="B783" s="120"/>
      <c r="C783" s="120"/>
      <c r="D783" s="120"/>
      <c r="E783" s="120"/>
      <c r="F783" s="114"/>
      <c r="G783" s="114"/>
      <c r="H783" s="114"/>
      <c r="I783" s="16"/>
      <c r="K783" s="17"/>
      <c r="L783" s="120"/>
      <c r="M783" s="120"/>
      <c r="N783" s="120"/>
      <c r="O783" s="120"/>
      <c r="P783" s="114"/>
      <c r="Q783" s="114"/>
      <c r="R783" s="114"/>
      <c r="S783" s="16"/>
    </row>
    <row r="784" spans="1:19">
      <c r="A784" s="1101" t="s">
        <v>42</v>
      </c>
      <c r="B784" s="1099"/>
      <c r="C784" s="1099"/>
      <c r="D784" s="1099"/>
      <c r="E784" s="24" t="str">
        <f>Master!F8</f>
        <v>GARDENING SERVICES&amp;ISB HYDERABAD</v>
      </c>
      <c r="F784" s="19"/>
      <c r="G784" s="19"/>
      <c r="H784" s="19"/>
      <c r="I784" s="16"/>
      <c r="K784" s="1101" t="s">
        <v>42</v>
      </c>
      <c r="L784" s="1099"/>
      <c r="M784" s="1099"/>
      <c r="N784" s="1099"/>
      <c r="O784" s="24" t="str">
        <f>E784</f>
        <v>GARDENING SERVICES&amp;ISB HYDERABAD</v>
      </c>
      <c r="P784" s="19"/>
      <c r="Q784" s="19"/>
      <c r="R784" s="19"/>
      <c r="S784" s="16"/>
    </row>
    <row r="785" spans="1:19">
      <c r="A785" s="17"/>
      <c r="B785" s="120"/>
      <c r="C785" s="120"/>
      <c r="D785" s="120"/>
      <c r="E785" s="120"/>
      <c r="F785" s="114"/>
      <c r="G785" s="114"/>
      <c r="H785" s="114"/>
      <c r="I785" s="16"/>
      <c r="K785" s="17"/>
      <c r="L785" s="120"/>
      <c r="M785" s="120"/>
      <c r="N785" s="120"/>
      <c r="O785" s="120"/>
      <c r="P785" s="114"/>
      <c r="Q785" s="114"/>
      <c r="R785" s="114"/>
      <c r="S785" s="16"/>
    </row>
    <row r="786" spans="1:19">
      <c r="A786" s="1101" t="s">
        <v>43</v>
      </c>
      <c r="B786" s="1099"/>
      <c r="C786" s="1099"/>
      <c r="D786" s="1099"/>
      <c r="E786" s="20">
        <f>Master!F10</f>
        <v>44652</v>
      </c>
      <c r="F786" s="19"/>
      <c r="G786" s="19"/>
      <c r="H786" s="19"/>
      <c r="I786" s="16"/>
      <c r="K786" s="1101" t="s">
        <v>43</v>
      </c>
      <c r="L786" s="1099"/>
      <c r="M786" s="1099"/>
      <c r="N786" s="1099"/>
      <c r="O786" s="20">
        <f>E786</f>
        <v>44652</v>
      </c>
      <c r="P786" s="19"/>
      <c r="Q786" s="19"/>
      <c r="R786" s="19"/>
      <c r="S786" s="16"/>
    </row>
    <row r="787" spans="1:19">
      <c r="A787" s="17"/>
      <c r="B787" s="120"/>
      <c r="C787" s="120"/>
      <c r="D787" s="120"/>
      <c r="E787" s="120"/>
      <c r="F787" s="114"/>
      <c r="G787" s="114"/>
      <c r="H787" s="114"/>
      <c r="I787" s="16"/>
      <c r="K787" s="17"/>
      <c r="L787" s="120"/>
      <c r="M787" s="120"/>
      <c r="N787" s="120"/>
      <c r="O787" s="120"/>
      <c r="P787" s="114"/>
      <c r="Q787" s="114"/>
      <c r="R787" s="114"/>
      <c r="S787" s="16"/>
    </row>
    <row r="788" spans="1:19">
      <c r="A788" s="21">
        <v>1</v>
      </c>
      <c r="B788" s="1099" t="s">
        <v>44</v>
      </c>
      <c r="C788" s="1099"/>
      <c r="D788" s="1099"/>
      <c r="E788" s="22">
        <f>Master!AA33</f>
        <v>26</v>
      </c>
      <c r="F788" s="19"/>
      <c r="G788" s="19"/>
      <c r="H788" s="19"/>
      <c r="I788" s="16"/>
      <c r="K788" s="21">
        <v>1</v>
      </c>
      <c r="L788" s="1099" t="s">
        <v>44</v>
      </c>
      <c r="M788" s="1099"/>
      <c r="N788" s="1099"/>
      <c r="O788" s="22">
        <f>E788</f>
        <v>26</v>
      </c>
      <c r="P788" s="19"/>
      <c r="Q788" s="19"/>
      <c r="R788" s="19"/>
      <c r="S788" s="16"/>
    </row>
    <row r="789" spans="1:19">
      <c r="A789" s="21"/>
      <c r="B789" s="120"/>
      <c r="C789" s="120"/>
      <c r="D789" s="120"/>
      <c r="E789" s="120"/>
      <c r="F789" s="114"/>
      <c r="G789" s="114"/>
      <c r="H789" s="114"/>
      <c r="I789" s="16"/>
      <c r="K789" s="21"/>
      <c r="L789" s="120"/>
      <c r="M789" s="120"/>
      <c r="N789" s="120"/>
      <c r="O789" s="120"/>
      <c r="P789" s="114"/>
      <c r="Q789" s="114"/>
      <c r="R789" s="114"/>
      <c r="S789" s="16"/>
    </row>
    <row r="790" spans="1:19">
      <c r="A790" s="21">
        <v>2</v>
      </c>
      <c r="B790" s="1098" t="s">
        <v>45</v>
      </c>
      <c r="C790" s="1098"/>
      <c r="D790" s="1098"/>
      <c r="E790" s="120"/>
      <c r="F790" s="114"/>
      <c r="G790" s="114"/>
      <c r="H790" s="114"/>
      <c r="I790" s="16"/>
      <c r="K790" s="21">
        <v>2</v>
      </c>
      <c r="L790" s="1098" t="s">
        <v>45</v>
      </c>
      <c r="M790" s="1098"/>
      <c r="N790" s="1098"/>
      <c r="O790" s="120"/>
      <c r="P790" s="114"/>
      <c r="Q790" s="114"/>
      <c r="R790" s="114"/>
      <c r="S790" s="16"/>
    </row>
    <row r="791" spans="1:19">
      <c r="A791" s="21"/>
      <c r="B791" s="1098"/>
      <c r="C791" s="1098"/>
      <c r="D791" s="1098"/>
      <c r="E791" s="23" t="s">
        <v>28</v>
      </c>
      <c r="F791" s="19"/>
      <c r="G791" s="19"/>
      <c r="H791" s="19"/>
      <c r="I791" s="16"/>
      <c r="K791" s="21"/>
      <c r="L791" s="1098"/>
      <c r="M791" s="1098"/>
      <c r="N791" s="1098"/>
      <c r="O791" s="23" t="s">
        <v>28</v>
      </c>
      <c r="P791" s="19"/>
      <c r="Q791" s="19"/>
      <c r="R791" s="19"/>
      <c r="S791" s="16"/>
    </row>
    <row r="792" spans="1:19">
      <c r="A792" s="21"/>
      <c r="B792" s="120"/>
      <c r="C792" s="120"/>
      <c r="D792" s="120"/>
      <c r="E792" s="120"/>
      <c r="F792" s="114"/>
      <c r="G792" s="114"/>
      <c r="H792" s="114"/>
      <c r="I792" s="16"/>
      <c r="K792" s="21"/>
      <c r="L792" s="120"/>
      <c r="M792" s="120"/>
      <c r="N792" s="120"/>
      <c r="O792" s="120"/>
      <c r="P792" s="114"/>
      <c r="Q792" s="114"/>
      <c r="R792" s="114"/>
      <c r="S792" s="16"/>
    </row>
    <row r="793" spans="1:19">
      <c r="A793" s="21">
        <v>3</v>
      </c>
      <c r="B793" s="1099" t="s">
        <v>46</v>
      </c>
      <c r="C793" s="1099"/>
      <c r="D793" s="1099"/>
      <c r="E793" s="23" t="s">
        <v>28</v>
      </c>
      <c r="F793" s="19"/>
      <c r="G793" s="19"/>
      <c r="H793" s="19"/>
      <c r="I793" s="16"/>
      <c r="K793" s="21">
        <v>3</v>
      </c>
      <c r="L793" s="1099" t="s">
        <v>46</v>
      </c>
      <c r="M793" s="1099"/>
      <c r="N793" s="1099"/>
      <c r="O793" s="18" t="str">
        <f>E793</f>
        <v>N/A</v>
      </c>
      <c r="P793" s="19"/>
      <c r="Q793" s="19"/>
      <c r="R793" s="19"/>
      <c r="S793" s="16"/>
    </row>
    <row r="794" spans="1:19">
      <c r="A794" s="21"/>
      <c r="B794" s="120"/>
      <c r="C794" s="120"/>
      <c r="D794" s="120"/>
      <c r="E794" s="120"/>
      <c r="F794" s="114"/>
      <c r="G794" s="114"/>
      <c r="H794" s="114"/>
      <c r="I794" s="16"/>
      <c r="K794" s="21"/>
      <c r="L794" s="120"/>
      <c r="M794" s="120"/>
      <c r="N794" s="120"/>
      <c r="O794" s="120"/>
      <c r="P794" s="114"/>
      <c r="Q794" s="114"/>
      <c r="R794" s="114"/>
      <c r="S794" s="16"/>
    </row>
    <row r="795" spans="1:19">
      <c r="A795" s="21">
        <v>4</v>
      </c>
      <c r="B795" s="1099" t="s">
        <v>47</v>
      </c>
      <c r="C795" s="1099"/>
      <c r="D795" s="1099"/>
      <c r="E795" s="23" t="s">
        <v>48</v>
      </c>
      <c r="F795" s="19"/>
      <c r="G795" s="19"/>
      <c r="H795" s="19"/>
      <c r="I795" s="16"/>
      <c r="K795" s="21">
        <v>4</v>
      </c>
      <c r="L795" s="1099" t="s">
        <v>47</v>
      </c>
      <c r="M795" s="1099"/>
      <c r="N795" s="1099"/>
      <c r="O795" s="23" t="s">
        <v>48</v>
      </c>
      <c r="P795" s="19"/>
      <c r="Q795" s="19"/>
      <c r="R795" s="19"/>
      <c r="S795" s="16"/>
    </row>
    <row r="796" spans="1:19">
      <c r="A796" s="21"/>
      <c r="B796" s="120"/>
      <c r="C796" s="120"/>
      <c r="D796" s="120"/>
      <c r="E796" s="120"/>
      <c r="F796" s="114"/>
      <c r="G796" s="114"/>
      <c r="H796" s="114"/>
      <c r="I796" s="16"/>
      <c r="K796" s="21"/>
      <c r="L796" s="120"/>
      <c r="M796" s="120"/>
      <c r="N796" s="120"/>
      <c r="O796" s="120"/>
      <c r="P796" s="114"/>
      <c r="Q796" s="114"/>
      <c r="R796" s="114"/>
      <c r="S796" s="16"/>
    </row>
    <row r="797" spans="1:19">
      <c r="A797" s="21">
        <v>5</v>
      </c>
      <c r="B797" s="1099" t="s">
        <v>49</v>
      </c>
      <c r="C797" s="1099"/>
      <c r="D797" s="1099"/>
      <c r="E797" s="24">
        <f>Master!AK33</f>
        <v>9210.4</v>
      </c>
      <c r="F797" s="19"/>
      <c r="G797" s="19"/>
      <c r="H797" s="19"/>
      <c r="I797" s="16"/>
      <c r="K797" s="21">
        <v>5</v>
      </c>
      <c r="L797" s="1099" t="s">
        <v>49</v>
      </c>
      <c r="M797" s="1099"/>
      <c r="N797" s="1099"/>
      <c r="O797" s="24">
        <f>E797</f>
        <v>9210.4</v>
      </c>
      <c r="P797" s="19"/>
      <c r="Q797" s="19"/>
      <c r="R797" s="19"/>
      <c r="S797" s="16"/>
    </row>
    <row r="798" spans="1:19">
      <c r="A798" s="21"/>
      <c r="B798" s="120"/>
      <c r="C798" s="120"/>
      <c r="D798" s="238" t="s">
        <v>50</v>
      </c>
      <c r="E798" s="238" t="s">
        <v>23</v>
      </c>
      <c r="F798" s="136" t="s">
        <v>25</v>
      </c>
      <c r="G798" s="238" t="s">
        <v>26</v>
      </c>
      <c r="H798" s="238" t="s">
        <v>202</v>
      </c>
      <c r="I798" s="126" t="s">
        <v>51</v>
      </c>
      <c r="K798" s="21"/>
      <c r="L798" s="120"/>
      <c r="M798" s="120"/>
      <c r="N798" s="238" t="s">
        <v>50</v>
      </c>
      <c r="O798" s="238" t="s">
        <v>23</v>
      </c>
      <c r="P798" s="136" t="s">
        <v>25</v>
      </c>
      <c r="Q798" s="238" t="s">
        <v>26</v>
      </c>
      <c r="R798" s="238" t="str">
        <f>H798</f>
        <v>ADV</v>
      </c>
      <c r="S798" s="126" t="s">
        <v>51</v>
      </c>
    </row>
    <row r="799" spans="1:19">
      <c r="A799" s="21">
        <v>6</v>
      </c>
      <c r="B799" s="468" t="s">
        <v>52</v>
      </c>
      <c r="C799" s="468"/>
      <c r="D799" s="335">
        <f>Master!AM33</f>
        <v>1105</v>
      </c>
      <c r="E799" s="335">
        <f>Master!AL33</f>
        <v>70</v>
      </c>
      <c r="F799" s="180">
        <f>Master!AN33</f>
        <v>0</v>
      </c>
      <c r="G799" s="180">
        <f>Master!AO33</f>
        <v>0</v>
      </c>
      <c r="H799" s="180">
        <f>Master!AP33</f>
        <v>0</v>
      </c>
      <c r="I799" s="127">
        <f>D799+E799+F799+G799+H799</f>
        <v>1175</v>
      </c>
      <c r="K799" s="21">
        <v>6</v>
      </c>
      <c r="L799" s="468" t="s">
        <v>52</v>
      </c>
      <c r="M799" s="468"/>
      <c r="N799" s="335">
        <f>D799</f>
        <v>1105</v>
      </c>
      <c r="O799" s="335">
        <f>E799</f>
        <v>70</v>
      </c>
      <c r="P799" s="180">
        <f>F799</f>
        <v>0</v>
      </c>
      <c r="Q799" s="180">
        <f>G799</f>
        <v>0</v>
      </c>
      <c r="R799" s="180">
        <f>H799</f>
        <v>0</v>
      </c>
      <c r="S799" s="127">
        <f>N799+O799+R799</f>
        <v>1175</v>
      </c>
    </row>
    <row r="800" spans="1:19">
      <c r="A800" s="21"/>
      <c r="B800" s="120"/>
      <c r="C800" s="120"/>
      <c r="D800" s="120"/>
      <c r="E800" s="120"/>
      <c r="F800" s="114"/>
      <c r="G800" s="114"/>
      <c r="H800" s="114"/>
      <c r="I800" s="16"/>
      <c r="K800" s="21"/>
      <c r="L800" s="120"/>
      <c r="M800" s="120"/>
      <c r="N800" s="120"/>
      <c r="O800" s="120"/>
      <c r="P800" s="114"/>
      <c r="Q800" s="114"/>
      <c r="R800" s="114"/>
      <c r="S800" s="16"/>
    </row>
    <row r="801" spans="1:19">
      <c r="A801" s="21">
        <v>7</v>
      </c>
      <c r="B801" s="1099" t="s">
        <v>53</v>
      </c>
      <c r="C801" s="1099"/>
      <c r="D801" s="1099"/>
      <c r="E801" s="24">
        <f>E797-I799</f>
        <v>8035.4</v>
      </c>
      <c r="F801" s="19"/>
      <c r="G801" s="19"/>
      <c r="H801" s="19"/>
      <c r="I801" s="16"/>
      <c r="K801" s="21">
        <v>7</v>
      </c>
      <c r="L801" s="1099" t="s">
        <v>53</v>
      </c>
      <c r="M801" s="1099"/>
      <c r="N801" s="1099"/>
      <c r="O801" s="24">
        <f>E801</f>
        <v>8035.4</v>
      </c>
      <c r="P801" s="19"/>
      <c r="Q801" s="19"/>
      <c r="R801" s="19"/>
      <c r="S801" s="16"/>
    </row>
    <row r="802" spans="1:19">
      <c r="A802" s="15"/>
      <c r="B802" s="114"/>
      <c r="C802" s="114"/>
      <c r="D802" s="114"/>
      <c r="E802" s="114"/>
      <c r="F802" s="114"/>
      <c r="G802" s="114"/>
      <c r="H802" s="114"/>
      <c r="I802" s="16"/>
      <c r="K802" s="15"/>
      <c r="L802" s="114"/>
      <c r="M802" s="114"/>
      <c r="N802" s="114"/>
      <c r="O802" s="114"/>
      <c r="P802" s="114"/>
      <c r="Q802" s="114"/>
      <c r="R802" s="114"/>
      <c r="S802" s="16"/>
    </row>
    <row r="803" spans="1:19">
      <c r="A803" s="15"/>
      <c r="B803" s="114"/>
      <c r="C803" s="114"/>
      <c r="D803" s="114"/>
      <c r="E803" s="114"/>
      <c r="F803" s="114"/>
      <c r="G803" s="114"/>
      <c r="H803" s="114"/>
      <c r="I803" s="16"/>
      <c r="K803" s="15"/>
      <c r="L803" s="114"/>
      <c r="M803" s="114"/>
      <c r="N803" s="114"/>
      <c r="O803" s="114"/>
      <c r="P803" s="114"/>
      <c r="Q803" s="114"/>
      <c r="R803" s="114"/>
      <c r="S803" s="16"/>
    </row>
    <row r="804" spans="1:19" ht="15" thickBot="1">
      <c r="A804" s="15"/>
      <c r="B804" s="114"/>
      <c r="C804" s="114"/>
      <c r="D804" s="114"/>
      <c r="E804" s="114"/>
      <c r="F804" s="25"/>
      <c r="G804" s="25"/>
      <c r="H804" s="25"/>
      <c r="I804" s="26"/>
      <c r="K804" s="15"/>
      <c r="L804" s="114"/>
      <c r="M804" s="114"/>
      <c r="N804" s="114"/>
      <c r="O804" s="114"/>
      <c r="P804" s="25"/>
      <c r="Q804" s="25"/>
      <c r="R804" s="25"/>
      <c r="S804" s="26"/>
    </row>
    <row r="805" spans="1:19" ht="15" thickBot="1">
      <c r="A805" s="27"/>
      <c r="B805" s="25"/>
      <c r="C805" s="25"/>
      <c r="D805" s="25"/>
      <c r="E805" s="999" t="s">
        <v>54</v>
      </c>
      <c r="F805" s="999"/>
      <c r="G805" s="999"/>
      <c r="H805" s="999"/>
      <c r="I805" s="1100"/>
      <c r="K805" s="27"/>
      <c r="L805" s="25"/>
      <c r="M805" s="25"/>
      <c r="N805" s="25"/>
      <c r="O805" s="28" t="s">
        <v>54</v>
      </c>
      <c r="P805" s="25"/>
      <c r="Q805" s="28"/>
      <c r="R805" s="28"/>
      <c r="S805" s="29"/>
    </row>
    <row r="817" spans="1:19" ht="15" thickBot="1"/>
    <row r="818" spans="1:19" ht="24.6">
      <c r="A818" s="1091" t="s">
        <v>39</v>
      </c>
      <c r="B818" s="1092"/>
      <c r="C818" s="1092"/>
      <c r="D818" s="1092"/>
      <c r="E818" s="1092"/>
      <c r="F818" s="1092"/>
      <c r="G818" s="1092"/>
      <c r="H818" s="1092"/>
      <c r="I818" s="1093"/>
      <c r="K818" s="1091" t="s">
        <v>39</v>
      </c>
      <c r="L818" s="1092"/>
      <c r="M818" s="1092"/>
      <c r="N818" s="1092"/>
      <c r="O818" s="1092"/>
      <c r="P818" s="1092"/>
      <c r="Q818" s="1092"/>
      <c r="R818" s="1092"/>
      <c r="S818" s="1093"/>
    </row>
    <row r="819" spans="1:19">
      <c r="A819" s="1094" t="s">
        <v>1075</v>
      </c>
      <c r="B819" s="1095"/>
      <c r="C819" s="1095"/>
      <c r="D819" s="1095"/>
      <c r="E819" s="1095"/>
      <c r="F819" s="1095"/>
      <c r="G819" s="1095"/>
      <c r="H819" s="1095"/>
      <c r="I819" s="1096"/>
      <c r="K819" s="1094" t="str">
        <f>A819</f>
        <v>[Vide rule 78 (1) (b) of the Contract Labour (Regulation and Abolition) Central and A.P.{T.S.}Rules, 1971]</v>
      </c>
      <c r="L819" s="1095"/>
      <c r="M819" s="1095"/>
      <c r="N819" s="1095"/>
      <c r="O819" s="1095"/>
      <c r="P819" s="1095"/>
      <c r="Q819" s="1095"/>
      <c r="R819" s="1095"/>
      <c r="S819" s="1096"/>
    </row>
    <row r="820" spans="1:19">
      <c r="A820" s="15"/>
      <c r="B820" s="114"/>
      <c r="C820" s="114"/>
      <c r="D820" s="114"/>
      <c r="E820" s="114"/>
      <c r="F820" s="114"/>
      <c r="G820" s="114"/>
      <c r="H820" s="114"/>
      <c r="I820" s="16"/>
      <c r="K820" s="15"/>
      <c r="L820" s="114"/>
      <c r="M820" s="114"/>
      <c r="N820" s="114"/>
      <c r="O820" s="114"/>
      <c r="P820" s="114"/>
      <c r="Q820" s="114"/>
      <c r="R820" s="114"/>
      <c r="S820" s="16"/>
    </row>
    <row r="821" spans="1:19">
      <c r="A821" s="17" t="s">
        <v>40</v>
      </c>
      <c r="B821" s="120"/>
      <c r="C821" s="120"/>
      <c r="D821" s="121" t="str">
        <f>Master!F5</f>
        <v>GROTECH LANDSCAPE DEVELOPERS PVT. LTD.</v>
      </c>
      <c r="E821" s="114"/>
      <c r="F821" s="114"/>
      <c r="G821" s="114"/>
      <c r="H821" s="114"/>
      <c r="I821" s="16"/>
      <c r="K821" s="17" t="s">
        <v>40</v>
      </c>
      <c r="L821" s="120"/>
      <c r="M821" s="120"/>
      <c r="N821" s="121" t="str">
        <f>D821</f>
        <v>GROTECH LANDSCAPE DEVELOPERS PVT. LTD.</v>
      </c>
      <c r="O821" s="114"/>
      <c r="P821" s="114"/>
      <c r="Q821" s="114"/>
      <c r="R821" s="114"/>
      <c r="S821" s="16"/>
    </row>
    <row r="822" spans="1:19">
      <c r="A822" s="17"/>
      <c r="B822" s="120" t="str">
        <f>Master!F6</f>
        <v>290/E, Khanapur Village, Gandipet Mandal, Ranga Reddy, Hyderabad-500075 T.S.</v>
      </c>
      <c r="C822" s="120"/>
      <c r="D822" s="114"/>
      <c r="E822" s="114"/>
      <c r="F822" s="114"/>
      <c r="G822" s="114"/>
      <c r="H822" s="114"/>
      <c r="I822" s="16"/>
      <c r="K822" s="17"/>
      <c r="L822" s="120" t="str">
        <f>B822</f>
        <v>290/E, Khanapur Village, Gandipet Mandal, Ranga Reddy, Hyderabad-500075 T.S.</v>
      </c>
      <c r="M822" s="120"/>
      <c r="N822" s="114"/>
      <c r="O822" s="114"/>
      <c r="P822" s="114"/>
      <c r="Q822" s="114"/>
      <c r="R822" s="114"/>
      <c r="S822" s="16"/>
    </row>
    <row r="823" spans="1:19">
      <c r="A823" s="17"/>
      <c r="B823" s="120"/>
      <c r="C823" s="120"/>
      <c r="D823" s="120"/>
      <c r="E823" s="120"/>
      <c r="F823" s="114"/>
      <c r="G823" s="114"/>
      <c r="H823" s="114"/>
      <c r="I823" s="16"/>
      <c r="K823" s="17"/>
      <c r="L823" s="120"/>
      <c r="M823" s="120"/>
      <c r="N823" s="120"/>
      <c r="O823" s="120"/>
      <c r="P823" s="114"/>
      <c r="Q823" s="114"/>
      <c r="R823" s="114"/>
      <c r="S823" s="16"/>
    </row>
    <row r="824" spans="1:19">
      <c r="A824" s="1097" t="s">
        <v>41</v>
      </c>
      <c r="B824" s="1098"/>
      <c r="C824" s="1098"/>
      <c r="D824" s="1098"/>
      <c r="E824" s="120"/>
      <c r="F824" s="114"/>
      <c r="G824" s="114"/>
      <c r="H824" s="114"/>
      <c r="I824" s="16"/>
      <c r="K824" s="1097" t="s">
        <v>41</v>
      </c>
      <c r="L824" s="1098"/>
      <c r="M824" s="1098"/>
      <c r="N824" s="1098"/>
      <c r="O824" s="120"/>
      <c r="P824" s="114"/>
      <c r="Q824" s="114"/>
      <c r="R824" s="114"/>
      <c r="S824" s="16"/>
    </row>
    <row r="825" spans="1:19">
      <c r="A825" s="1097"/>
      <c r="B825" s="1098"/>
      <c r="C825" s="1098"/>
      <c r="D825" s="1098"/>
      <c r="E825" s="128" t="str">
        <f>Master!D34</f>
        <v>KONA SUJATHA</v>
      </c>
      <c r="F825" s="19"/>
      <c r="G825" s="19"/>
      <c r="H825" s="19" t="str">
        <f>Master!G34</f>
        <v>KONA SURYANARAYANA</v>
      </c>
      <c r="I825" s="16"/>
      <c r="K825" s="1097"/>
      <c r="L825" s="1098"/>
      <c r="M825" s="1098"/>
      <c r="N825" s="1098"/>
      <c r="O825" s="18" t="str">
        <f>E825</f>
        <v>KONA SUJATHA</v>
      </c>
      <c r="P825" s="19"/>
      <c r="Q825" s="19"/>
      <c r="R825" s="19" t="str">
        <f>H825</f>
        <v>KONA SURYANARAYANA</v>
      </c>
      <c r="S825" s="16"/>
    </row>
    <row r="826" spans="1:19">
      <c r="A826" s="17"/>
      <c r="B826" s="120"/>
      <c r="C826" s="120"/>
      <c r="D826" s="120"/>
      <c r="E826" s="120"/>
      <c r="F826" s="114"/>
      <c r="G826" s="114"/>
      <c r="H826" s="114"/>
      <c r="I826" s="16"/>
      <c r="K826" s="17"/>
      <c r="L826" s="120"/>
      <c r="M826" s="120"/>
      <c r="N826" s="120"/>
      <c r="O826" s="120"/>
      <c r="P826" s="114"/>
      <c r="Q826" s="114"/>
      <c r="R826" s="114"/>
      <c r="S826" s="16"/>
    </row>
    <row r="827" spans="1:19">
      <c r="A827" s="1101" t="s">
        <v>42</v>
      </c>
      <c r="B827" s="1099"/>
      <c r="C827" s="1099"/>
      <c r="D827" s="1099"/>
      <c r="E827" s="24" t="str">
        <f>Master!F8</f>
        <v>GARDENING SERVICES&amp;ISB HYDERABAD</v>
      </c>
      <c r="F827" s="19"/>
      <c r="G827" s="19"/>
      <c r="H827" s="19"/>
      <c r="I827" s="16"/>
      <c r="K827" s="1101" t="s">
        <v>42</v>
      </c>
      <c r="L827" s="1099"/>
      <c r="M827" s="1099"/>
      <c r="N827" s="1099"/>
      <c r="O827" s="24" t="str">
        <f>E827</f>
        <v>GARDENING SERVICES&amp;ISB HYDERABAD</v>
      </c>
      <c r="P827" s="19"/>
      <c r="Q827" s="19"/>
      <c r="R827" s="19"/>
      <c r="S827" s="16"/>
    </row>
    <row r="828" spans="1:19">
      <c r="A828" s="17"/>
      <c r="B828" s="120"/>
      <c r="C828" s="120"/>
      <c r="D828" s="120"/>
      <c r="E828" s="120"/>
      <c r="F828" s="114"/>
      <c r="G828" s="114"/>
      <c r="H828" s="114"/>
      <c r="I828" s="16"/>
      <c r="K828" s="17"/>
      <c r="L828" s="120"/>
      <c r="M828" s="120"/>
      <c r="N828" s="120"/>
      <c r="O828" s="120"/>
      <c r="P828" s="114"/>
      <c r="Q828" s="114"/>
      <c r="R828" s="114"/>
      <c r="S828" s="16"/>
    </row>
    <row r="829" spans="1:19">
      <c r="A829" s="1101" t="s">
        <v>43</v>
      </c>
      <c r="B829" s="1099"/>
      <c r="C829" s="1099"/>
      <c r="D829" s="1099"/>
      <c r="E829" s="20">
        <f>Master!F10</f>
        <v>44652</v>
      </c>
      <c r="F829" s="19"/>
      <c r="G829" s="19"/>
      <c r="H829" s="19"/>
      <c r="I829" s="16"/>
      <c r="K829" s="1101" t="s">
        <v>43</v>
      </c>
      <c r="L829" s="1099"/>
      <c r="M829" s="1099"/>
      <c r="N829" s="1099"/>
      <c r="O829" s="20">
        <f>E829</f>
        <v>44652</v>
      </c>
      <c r="P829" s="19"/>
      <c r="Q829" s="19"/>
      <c r="R829" s="19"/>
      <c r="S829" s="16"/>
    </row>
    <row r="830" spans="1:19">
      <c r="A830" s="17"/>
      <c r="B830" s="120"/>
      <c r="C830" s="120"/>
      <c r="D830" s="120"/>
      <c r="E830" s="120"/>
      <c r="F830" s="114"/>
      <c r="G830" s="114"/>
      <c r="H830" s="114"/>
      <c r="I830" s="16"/>
      <c r="K830" s="17"/>
      <c r="L830" s="120"/>
      <c r="M830" s="120"/>
      <c r="N830" s="120"/>
      <c r="O830" s="120"/>
      <c r="P830" s="114"/>
      <c r="Q830" s="114"/>
      <c r="R830" s="114"/>
      <c r="S830" s="16"/>
    </row>
    <row r="831" spans="1:19">
      <c r="A831" s="21">
        <v>1</v>
      </c>
      <c r="B831" s="1099" t="s">
        <v>44</v>
      </c>
      <c r="C831" s="1099"/>
      <c r="D831" s="1099"/>
      <c r="E831" s="22">
        <f>Master!AA34</f>
        <v>26</v>
      </c>
      <c r="F831" s="19"/>
      <c r="G831" s="19"/>
      <c r="H831" s="19"/>
      <c r="I831" s="16"/>
      <c r="K831" s="21">
        <v>1</v>
      </c>
      <c r="L831" s="1099" t="s">
        <v>44</v>
      </c>
      <c r="M831" s="1099"/>
      <c r="N831" s="1099"/>
      <c r="O831" s="22">
        <f>E831</f>
        <v>26</v>
      </c>
      <c r="P831" s="19"/>
      <c r="Q831" s="19"/>
      <c r="R831" s="19"/>
      <c r="S831" s="16"/>
    </row>
    <row r="832" spans="1:19">
      <c r="A832" s="21"/>
      <c r="B832" s="120"/>
      <c r="C832" s="120"/>
      <c r="D832" s="120"/>
      <c r="E832" s="120"/>
      <c r="F832" s="114"/>
      <c r="G832" s="114"/>
      <c r="H832" s="114"/>
      <c r="I832" s="16"/>
      <c r="K832" s="21"/>
      <c r="L832" s="120"/>
      <c r="M832" s="120"/>
      <c r="N832" s="120"/>
      <c r="O832" s="120"/>
      <c r="P832" s="114"/>
      <c r="Q832" s="114"/>
      <c r="R832" s="114"/>
      <c r="S832" s="16"/>
    </row>
    <row r="833" spans="1:19">
      <c r="A833" s="21">
        <v>2</v>
      </c>
      <c r="B833" s="1098" t="s">
        <v>45</v>
      </c>
      <c r="C833" s="1098"/>
      <c r="D833" s="1098"/>
      <c r="E833" s="120"/>
      <c r="F833" s="114"/>
      <c r="G833" s="114"/>
      <c r="H833" s="114"/>
      <c r="I833" s="16"/>
      <c r="K833" s="21">
        <v>2</v>
      </c>
      <c r="L833" s="1098" t="s">
        <v>45</v>
      </c>
      <c r="M833" s="1098"/>
      <c r="N833" s="1098"/>
      <c r="O833" s="120"/>
      <c r="P833" s="114"/>
      <c r="Q833" s="114"/>
      <c r="R833" s="114"/>
      <c r="S833" s="16"/>
    </row>
    <row r="834" spans="1:19">
      <c r="A834" s="21"/>
      <c r="B834" s="1098"/>
      <c r="C834" s="1098"/>
      <c r="D834" s="1098"/>
      <c r="E834" s="23" t="s">
        <v>28</v>
      </c>
      <c r="F834" s="19"/>
      <c r="G834" s="19"/>
      <c r="H834" s="19"/>
      <c r="I834" s="16"/>
      <c r="K834" s="21"/>
      <c r="L834" s="1098"/>
      <c r="M834" s="1098"/>
      <c r="N834" s="1098"/>
      <c r="O834" s="23" t="s">
        <v>28</v>
      </c>
      <c r="P834" s="19"/>
      <c r="Q834" s="19"/>
      <c r="R834" s="19"/>
      <c r="S834" s="16"/>
    </row>
    <row r="835" spans="1:19">
      <c r="A835" s="21"/>
      <c r="B835" s="120"/>
      <c r="C835" s="120"/>
      <c r="D835" s="120"/>
      <c r="E835" s="120"/>
      <c r="F835" s="114"/>
      <c r="G835" s="114"/>
      <c r="H835" s="114"/>
      <c r="I835" s="16"/>
      <c r="K835" s="21"/>
      <c r="L835" s="120"/>
      <c r="M835" s="120"/>
      <c r="N835" s="120"/>
      <c r="O835" s="120"/>
      <c r="P835" s="114"/>
      <c r="Q835" s="114"/>
      <c r="R835" s="114"/>
      <c r="S835" s="16"/>
    </row>
    <row r="836" spans="1:19">
      <c r="A836" s="21">
        <v>3</v>
      </c>
      <c r="B836" s="1099" t="s">
        <v>46</v>
      </c>
      <c r="C836" s="1099"/>
      <c r="D836" s="1099"/>
      <c r="E836" s="23" t="s">
        <v>28</v>
      </c>
      <c r="F836" s="19"/>
      <c r="G836" s="19"/>
      <c r="H836" s="19"/>
      <c r="I836" s="16"/>
      <c r="K836" s="21">
        <v>3</v>
      </c>
      <c r="L836" s="1099" t="s">
        <v>46</v>
      </c>
      <c r="M836" s="1099"/>
      <c r="N836" s="1099"/>
      <c r="O836" s="18" t="str">
        <f>E836</f>
        <v>N/A</v>
      </c>
      <c r="P836" s="19"/>
      <c r="Q836" s="19"/>
      <c r="R836" s="19"/>
      <c r="S836" s="16"/>
    </row>
    <row r="837" spans="1:19">
      <c r="A837" s="21"/>
      <c r="B837" s="120"/>
      <c r="C837" s="120"/>
      <c r="D837" s="120"/>
      <c r="E837" s="120"/>
      <c r="F837" s="114"/>
      <c r="G837" s="114"/>
      <c r="H837" s="114"/>
      <c r="I837" s="16"/>
      <c r="K837" s="21"/>
      <c r="L837" s="120"/>
      <c r="M837" s="120"/>
      <c r="N837" s="120"/>
      <c r="O837" s="120"/>
      <c r="P837" s="114"/>
      <c r="Q837" s="114"/>
      <c r="R837" s="114"/>
      <c r="S837" s="16"/>
    </row>
    <row r="838" spans="1:19">
      <c r="A838" s="21">
        <v>4</v>
      </c>
      <c r="B838" s="1099" t="s">
        <v>47</v>
      </c>
      <c r="C838" s="1099"/>
      <c r="D838" s="1099"/>
      <c r="E838" s="23" t="s">
        <v>48</v>
      </c>
      <c r="F838" s="19"/>
      <c r="G838" s="19"/>
      <c r="H838" s="19"/>
      <c r="I838" s="16"/>
      <c r="K838" s="21">
        <v>4</v>
      </c>
      <c r="L838" s="1099" t="s">
        <v>47</v>
      </c>
      <c r="M838" s="1099"/>
      <c r="N838" s="1099"/>
      <c r="O838" s="23" t="s">
        <v>48</v>
      </c>
      <c r="P838" s="19"/>
      <c r="Q838" s="19"/>
      <c r="R838" s="19"/>
      <c r="S838" s="16"/>
    </row>
    <row r="839" spans="1:19">
      <c r="A839" s="21"/>
      <c r="B839" s="120"/>
      <c r="C839" s="120"/>
      <c r="D839" s="120"/>
      <c r="E839" s="120"/>
      <c r="F839" s="114"/>
      <c r="G839" s="114"/>
      <c r="H839" s="114"/>
      <c r="I839" s="16"/>
      <c r="K839" s="21"/>
      <c r="L839" s="120"/>
      <c r="M839" s="120"/>
      <c r="N839" s="120"/>
      <c r="O839" s="120"/>
      <c r="P839" s="114"/>
      <c r="Q839" s="114"/>
      <c r="R839" s="114"/>
      <c r="S839" s="16"/>
    </row>
    <row r="840" spans="1:19">
      <c r="A840" s="21">
        <v>5</v>
      </c>
      <c r="B840" s="1099" t="s">
        <v>49</v>
      </c>
      <c r="C840" s="1099"/>
      <c r="D840" s="1099"/>
      <c r="E840" s="24">
        <f>Master!AK34</f>
        <v>9210.4</v>
      </c>
      <c r="F840" s="19"/>
      <c r="G840" s="19"/>
      <c r="H840" s="19"/>
      <c r="I840" s="16"/>
      <c r="K840" s="21">
        <v>5</v>
      </c>
      <c r="L840" s="1099" t="s">
        <v>49</v>
      </c>
      <c r="M840" s="1099"/>
      <c r="N840" s="1099"/>
      <c r="O840" s="24">
        <f>E840</f>
        <v>9210.4</v>
      </c>
      <c r="P840" s="19"/>
      <c r="Q840" s="19"/>
      <c r="R840" s="19"/>
      <c r="S840" s="16"/>
    </row>
    <row r="841" spans="1:19">
      <c r="A841" s="21"/>
      <c r="B841" s="120"/>
      <c r="C841" s="120"/>
      <c r="D841" s="238" t="s">
        <v>50</v>
      </c>
      <c r="E841" s="238" t="s">
        <v>23</v>
      </c>
      <c r="F841" s="136" t="s">
        <v>25</v>
      </c>
      <c r="G841" s="238" t="s">
        <v>26</v>
      </c>
      <c r="H841" s="238" t="s">
        <v>202</v>
      </c>
      <c r="I841" s="126" t="s">
        <v>51</v>
      </c>
      <c r="K841" s="21"/>
      <c r="L841" s="120"/>
      <c r="M841" s="120"/>
      <c r="N841" s="238" t="s">
        <v>50</v>
      </c>
      <c r="O841" s="238" t="s">
        <v>23</v>
      </c>
      <c r="P841" s="136" t="s">
        <v>25</v>
      </c>
      <c r="Q841" s="238" t="s">
        <v>26</v>
      </c>
      <c r="R841" s="238" t="str">
        <f>H841</f>
        <v>ADV</v>
      </c>
      <c r="S841" s="126" t="s">
        <v>51</v>
      </c>
    </row>
    <row r="842" spans="1:19">
      <c r="A842" s="21">
        <v>6</v>
      </c>
      <c r="B842" s="468" t="s">
        <v>52</v>
      </c>
      <c r="C842" s="468"/>
      <c r="D842" s="335">
        <f>Master!AM34</f>
        <v>1105</v>
      </c>
      <c r="E842" s="335">
        <f>Master!AL34</f>
        <v>70</v>
      </c>
      <c r="F842" s="180">
        <f>Master!AN34</f>
        <v>0</v>
      </c>
      <c r="G842" s="180">
        <f>Master!AO34</f>
        <v>0</v>
      </c>
      <c r="H842" s="180">
        <f>Master!AP34</f>
        <v>0</v>
      </c>
      <c r="I842" s="127">
        <f>D842+E842+F842+G842+H842</f>
        <v>1175</v>
      </c>
      <c r="K842" s="21">
        <v>6</v>
      </c>
      <c r="L842" s="468" t="s">
        <v>52</v>
      </c>
      <c r="M842" s="468"/>
      <c r="N842" s="335">
        <f>D842</f>
        <v>1105</v>
      </c>
      <c r="O842" s="335">
        <f>E842</f>
        <v>70</v>
      </c>
      <c r="P842" s="180">
        <f>F842</f>
        <v>0</v>
      </c>
      <c r="Q842" s="180">
        <f>G842</f>
        <v>0</v>
      </c>
      <c r="R842" s="180">
        <f>H842</f>
        <v>0</v>
      </c>
      <c r="S842" s="127">
        <f>N842+O842+R842</f>
        <v>1175</v>
      </c>
    </row>
    <row r="843" spans="1:19">
      <c r="A843" s="21"/>
      <c r="B843" s="120"/>
      <c r="C843" s="120"/>
      <c r="D843" s="120"/>
      <c r="E843" s="120"/>
      <c r="F843" s="114"/>
      <c r="G843" s="114"/>
      <c r="H843" s="114"/>
      <c r="I843" s="16"/>
      <c r="K843" s="21"/>
      <c r="L843" s="120"/>
      <c r="M843" s="120"/>
      <c r="N843" s="120"/>
      <c r="O843" s="120"/>
      <c r="P843" s="114"/>
      <c r="Q843" s="114"/>
      <c r="R843" s="114"/>
      <c r="S843" s="16"/>
    </row>
    <row r="844" spans="1:19">
      <c r="A844" s="21">
        <v>7</v>
      </c>
      <c r="B844" s="1099" t="s">
        <v>53</v>
      </c>
      <c r="C844" s="1099"/>
      <c r="D844" s="1099"/>
      <c r="E844" s="24">
        <f>E840-I842</f>
        <v>8035.4</v>
      </c>
      <c r="F844" s="19"/>
      <c r="G844" s="19"/>
      <c r="H844" s="19"/>
      <c r="I844" s="16"/>
      <c r="K844" s="21">
        <v>7</v>
      </c>
      <c r="L844" s="1099" t="s">
        <v>53</v>
      </c>
      <c r="M844" s="1099"/>
      <c r="N844" s="1099"/>
      <c r="O844" s="24">
        <f>E844</f>
        <v>8035.4</v>
      </c>
      <c r="P844" s="19"/>
      <c r="Q844" s="19"/>
      <c r="R844" s="19"/>
      <c r="S844" s="16"/>
    </row>
    <row r="845" spans="1:19">
      <c r="A845" s="15"/>
      <c r="B845" s="114"/>
      <c r="C845" s="114"/>
      <c r="D845" s="114"/>
      <c r="E845" s="114"/>
      <c r="F845" s="114"/>
      <c r="G845" s="114"/>
      <c r="H845" s="114"/>
      <c r="I845" s="16"/>
      <c r="K845" s="15"/>
      <c r="L845" s="114"/>
      <c r="M845" s="114"/>
      <c r="N845" s="114"/>
      <c r="O845" s="114"/>
      <c r="P845" s="114"/>
      <c r="Q845" s="114"/>
      <c r="R845" s="114"/>
      <c r="S845" s="16"/>
    </row>
    <row r="846" spans="1:19">
      <c r="A846" s="15"/>
      <c r="B846" s="114"/>
      <c r="C846" s="114"/>
      <c r="D846" s="114"/>
      <c r="E846" s="114"/>
      <c r="F846" s="114"/>
      <c r="G846" s="114"/>
      <c r="H846" s="114"/>
      <c r="I846" s="16"/>
      <c r="K846" s="15"/>
      <c r="L846" s="114"/>
      <c r="M846" s="114"/>
      <c r="N846" s="114"/>
      <c r="O846" s="114"/>
      <c r="P846" s="114"/>
      <c r="Q846" s="114"/>
      <c r="R846" s="114"/>
      <c r="S846" s="16"/>
    </row>
    <row r="847" spans="1:19" ht="15" thickBot="1">
      <c r="A847" s="15"/>
      <c r="B847" s="114"/>
      <c r="C847" s="114"/>
      <c r="D847" s="114"/>
      <c r="E847" s="114"/>
      <c r="F847" s="25"/>
      <c r="G847" s="25"/>
      <c r="H847" s="25"/>
      <c r="I847" s="26"/>
      <c r="K847" s="15"/>
      <c r="L847" s="114"/>
      <c r="M847" s="114"/>
      <c r="N847" s="114"/>
      <c r="O847" s="114"/>
      <c r="P847" s="25"/>
      <c r="Q847" s="25"/>
      <c r="R847" s="25"/>
      <c r="S847" s="26"/>
    </row>
    <row r="848" spans="1:19" ht="15" thickBot="1">
      <c r="A848" s="27"/>
      <c r="B848" s="25"/>
      <c r="C848" s="25"/>
      <c r="D848" s="25"/>
      <c r="E848" s="999" t="s">
        <v>54</v>
      </c>
      <c r="F848" s="999"/>
      <c r="G848" s="999"/>
      <c r="H848" s="999"/>
      <c r="I848" s="1100"/>
      <c r="K848" s="27"/>
      <c r="L848" s="25"/>
      <c r="M848" s="25"/>
      <c r="N848" s="25"/>
      <c r="O848" s="28" t="s">
        <v>54</v>
      </c>
      <c r="P848" s="25"/>
      <c r="Q848" s="28"/>
      <c r="R848" s="28"/>
      <c r="S848" s="29"/>
    </row>
    <row r="860" spans="1:19" ht="15" thickBot="1"/>
    <row r="861" spans="1:19" ht="24.6">
      <c r="A861" s="1091" t="s">
        <v>39</v>
      </c>
      <c r="B861" s="1092"/>
      <c r="C861" s="1092"/>
      <c r="D861" s="1092"/>
      <c r="E861" s="1092"/>
      <c r="F861" s="1092"/>
      <c r="G861" s="1092"/>
      <c r="H861" s="1092"/>
      <c r="I861" s="1093"/>
      <c r="K861" s="1091" t="s">
        <v>39</v>
      </c>
      <c r="L861" s="1092"/>
      <c r="M861" s="1092"/>
      <c r="N861" s="1092"/>
      <c r="O861" s="1092"/>
      <c r="P861" s="1092"/>
      <c r="Q861" s="1092"/>
      <c r="R861" s="1092"/>
      <c r="S861" s="1093"/>
    </row>
    <row r="862" spans="1:19">
      <c r="A862" s="1094" t="s">
        <v>1075</v>
      </c>
      <c r="B862" s="1095"/>
      <c r="C862" s="1095"/>
      <c r="D862" s="1095"/>
      <c r="E862" s="1095"/>
      <c r="F862" s="1095"/>
      <c r="G862" s="1095"/>
      <c r="H862" s="1095"/>
      <c r="I862" s="1096"/>
      <c r="K862" s="1094" t="str">
        <f>A862</f>
        <v>[Vide rule 78 (1) (b) of the Contract Labour (Regulation and Abolition) Central and A.P.{T.S.}Rules, 1971]</v>
      </c>
      <c r="L862" s="1095"/>
      <c r="M862" s="1095"/>
      <c r="N862" s="1095"/>
      <c r="O862" s="1095"/>
      <c r="P862" s="1095"/>
      <c r="Q862" s="1095"/>
      <c r="R862" s="1095"/>
      <c r="S862" s="1096"/>
    </row>
    <row r="863" spans="1:19">
      <c r="A863" s="15"/>
      <c r="B863" s="114"/>
      <c r="C863" s="114"/>
      <c r="D863" s="114"/>
      <c r="E863" s="114"/>
      <c r="F863" s="114"/>
      <c r="G863" s="114"/>
      <c r="H863" s="114"/>
      <c r="I863" s="16"/>
      <c r="K863" s="15"/>
      <c r="L863" s="114"/>
      <c r="M863" s="114"/>
      <c r="N863" s="114"/>
      <c r="O863" s="114"/>
      <c r="P863" s="114"/>
      <c r="Q863" s="114"/>
      <c r="R863" s="114"/>
      <c r="S863" s="16"/>
    </row>
    <row r="864" spans="1:19">
      <c r="A864" s="17" t="s">
        <v>40</v>
      </c>
      <c r="B864" s="120"/>
      <c r="C864" s="120"/>
      <c r="D864" s="121" t="str">
        <f>Master!F5</f>
        <v>GROTECH LANDSCAPE DEVELOPERS PVT. LTD.</v>
      </c>
      <c r="E864" s="114"/>
      <c r="F864" s="114"/>
      <c r="G864" s="114"/>
      <c r="H864" s="114"/>
      <c r="I864" s="16"/>
      <c r="K864" s="17" t="s">
        <v>40</v>
      </c>
      <c r="L864" s="120"/>
      <c r="M864" s="120"/>
      <c r="N864" s="121" t="str">
        <f>D864</f>
        <v>GROTECH LANDSCAPE DEVELOPERS PVT. LTD.</v>
      </c>
      <c r="O864" s="114"/>
      <c r="P864" s="114"/>
      <c r="Q864" s="114"/>
      <c r="R864" s="114"/>
      <c r="S864" s="16"/>
    </row>
    <row r="865" spans="1:19">
      <c r="A865" s="17"/>
      <c r="B865" s="120" t="str">
        <f>Master!F6</f>
        <v>290/E, Khanapur Village, Gandipet Mandal, Ranga Reddy, Hyderabad-500075 T.S.</v>
      </c>
      <c r="C865" s="120"/>
      <c r="D865" s="114"/>
      <c r="E865" s="114"/>
      <c r="F865" s="114"/>
      <c r="G865" s="114"/>
      <c r="H865" s="114"/>
      <c r="I865" s="16"/>
      <c r="K865" s="17"/>
      <c r="L865" s="120" t="str">
        <f>B865</f>
        <v>290/E, Khanapur Village, Gandipet Mandal, Ranga Reddy, Hyderabad-500075 T.S.</v>
      </c>
      <c r="M865" s="120"/>
      <c r="N865" s="114"/>
      <c r="O865" s="114"/>
      <c r="P865" s="114"/>
      <c r="Q865" s="114"/>
      <c r="R865" s="114"/>
      <c r="S865" s="16"/>
    </row>
    <row r="866" spans="1:19">
      <c r="A866" s="17"/>
      <c r="B866" s="120"/>
      <c r="C866" s="120"/>
      <c r="D866" s="120"/>
      <c r="E866" s="120"/>
      <c r="F866" s="114"/>
      <c r="G866" s="114"/>
      <c r="H866" s="114"/>
      <c r="I866" s="16"/>
      <c r="K866" s="17"/>
      <c r="L866" s="120"/>
      <c r="M866" s="120"/>
      <c r="N866" s="120"/>
      <c r="O866" s="120"/>
      <c r="P866" s="114"/>
      <c r="Q866" s="114"/>
      <c r="R866" s="114"/>
      <c r="S866" s="16"/>
    </row>
    <row r="867" spans="1:19">
      <c r="A867" s="1097" t="s">
        <v>41</v>
      </c>
      <c r="B867" s="1098"/>
      <c r="C867" s="1098"/>
      <c r="D867" s="1098"/>
      <c r="E867" s="120"/>
      <c r="F867" s="114"/>
      <c r="G867" s="114"/>
      <c r="H867" s="114"/>
      <c r="I867" s="16"/>
      <c r="K867" s="1097" t="s">
        <v>41</v>
      </c>
      <c r="L867" s="1098"/>
      <c r="M867" s="1098"/>
      <c r="N867" s="1098"/>
      <c r="O867" s="120"/>
      <c r="P867" s="114"/>
      <c r="Q867" s="114"/>
      <c r="R867" s="114"/>
      <c r="S867" s="16"/>
    </row>
    <row r="868" spans="1:19">
      <c r="A868" s="1097"/>
      <c r="B868" s="1098"/>
      <c r="C868" s="1098"/>
      <c r="D868" s="1098"/>
      <c r="E868" s="128" t="str">
        <f>Master!D35</f>
        <v>GOLLA UMA</v>
      </c>
      <c r="F868" s="19"/>
      <c r="G868" s="19"/>
      <c r="H868" s="19" t="str">
        <f>Master!G35</f>
        <v>GOLLA ONURU SWAMY</v>
      </c>
      <c r="I868" s="16"/>
      <c r="K868" s="1097"/>
      <c r="L868" s="1098"/>
      <c r="M868" s="1098"/>
      <c r="N868" s="1098"/>
      <c r="O868" s="18" t="str">
        <f>E868</f>
        <v>GOLLA UMA</v>
      </c>
      <c r="P868" s="19"/>
      <c r="Q868" s="19"/>
      <c r="R868" s="19" t="str">
        <f>H868</f>
        <v>GOLLA ONURU SWAMY</v>
      </c>
      <c r="S868" s="16"/>
    </row>
    <row r="869" spans="1:19">
      <c r="A869" s="17"/>
      <c r="B869" s="120"/>
      <c r="C869" s="120"/>
      <c r="D869" s="120"/>
      <c r="E869" s="120"/>
      <c r="F869" s="114"/>
      <c r="G869" s="114"/>
      <c r="H869" s="114"/>
      <c r="I869" s="16"/>
      <c r="K869" s="17"/>
      <c r="L869" s="120"/>
      <c r="M869" s="120"/>
      <c r="N869" s="120"/>
      <c r="O869" s="120"/>
      <c r="P869" s="114"/>
      <c r="Q869" s="114"/>
      <c r="R869" s="114"/>
      <c r="S869" s="16"/>
    </row>
    <row r="870" spans="1:19">
      <c r="A870" s="1101" t="s">
        <v>42</v>
      </c>
      <c r="B870" s="1099"/>
      <c r="C870" s="1099"/>
      <c r="D870" s="1099"/>
      <c r="E870" s="24" t="str">
        <f>Master!F8</f>
        <v>GARDENING SERVICES&amp;ISB HYDERABAD</v>
      </c>
      <c r="F870" s="19"/>
      <c r="G870" s="19"/>
      <c r="H870" s="19"/>
      <c r="I870" s="16"/>
      <c r="K870" s="1101" t="s">
        <v>42</v>
      </c>
      <c r="L870" s="1099"/>
      <c r="M870" s="1099"/>
      <c r="N870" s="1099"/>
      <c r="O870" s="24" t="str">
        <f>E870</f>
        <v>GARDENING SERVICES&amp;ISB HYDERABAD</v>
      </c>
      <c r="P870" s="19"/>
      <c r="Q870" s="19"/>
      <c r="R870" s="19"/>
      <c r="S870" s="16"/>
    </row>
    <row r="871" spans="1:19">
      <c r="A871" s="17"/>
      <c r="B871" s="120"/>
      <c r="C871" s="120"/>
      <c r="D871" s="120"/>
      <c r="E871" s="120"/>
      <c r="F871" s="114"/>
      <c r="G871" s="114"/>
      <c r="H871" s="114"/>
      <c r="I871" s="16"/>
      <c r="K871" s="17"/>
      <c r="L871" s="120"/>
      <c r="M871" s="120"/>
      <c r="N871" s="120"/>
      <c r="O871" s="120"/>
      <c r="P871" s="114"/>
      <c r="Q871" s="114"/>
      <c r="R871" s="114"/>
      <c r="S871" s="16"/>
    </row>
    <row r="872" spans="1:19">
      <c r="A872" s="1101" t="s">
        <v>43</v>
      </c>
      <c r="B872" s="1099"/>
      <c r="C872" s="1099"/>
      <c r="D872" s="1099"/>
      <c r="E872" s="20">
        <f>Master!F10</f>
        <v>44652</v>
      </c>
      <c r="F872" s="19"/>
      <c r="G872" s="19"/>
      <c r="H872" s="19"/>
      <c r="I872" s="16"/>
      <c r="K872" s="1101" t="s">
        <v>43</v>
      </c>
      <c r="L872" s="1099"/>
      <c r="M872" s="1099"/>
      <c r="N872" s="1099"/>
      <c r="O872" s="20">
        <f>E872</f>
        <v>44652</v>
      </c>
      <c r="P872" s="19"/>
      <c r="Q872" s="19"/>
      <c r="R872" s="19"/>
      <c r="S872" s="16"/>
    </row>
    <row r="873" spans="1:19">
      <c r="A873" s="17"/>
      <c r="B873" s="120"/>
      <c r="C873" s="120"/>
      <c r="D873" s="120"/>
      <c r="E873" s="120"/>
      <c r="F873" s="114"/>
      <c r="G873" s="114"/>
      <c r="H873" s="114"/>
      <c r="I873" s="16"/>
      <c r="K873" s="17"/>
      <c r="L873" s="120"/>
      <c r="M873" s="120"/>
      <c r="N873" s="120"/>
      <c r="O873" s="120"/>
      <c r="P873" s="114"/>
      <c r="Q873" s="114"/>
      <c r="R873" s="114"/>
      <c r="S873" s="16"/>
    </row>
    <row r="874" spans="1:19">
      <c r="A874" s="21">
        <v>1</v>
      </c>
      <c r="B874" s="1099" t="s">
        <v>44</v>
      </c>
      <c r="C874" s="1099"/>
      <c r="D874" s="1099"/>
      <c r="E874" s="22">
        <f>Master!AA35</f>
        <v>26</v>
      </c>
      <c r="F874" s="19"/>
      <c r="G874" s="19"/>
      <c r="H874" s="19"/>
      <c r="I874" s="16"/>
      <c r="K874" s="21">
        <v>1</v>
      </c>
      <c r="L874" s="1099" t="s">
        <v>44</v>
      </c>
      <c r="M874" s="1099"/>
      <c r="N874" s="1099"/>
      <c r="O874" s="22">
        <f>E874</f>
        <v>26</v>
      </c>
      <c r="P874" s="19"/>
      <c r="Q874" s="19"/>
      <c r="R874" s="19"/>
      <c r="S874" s="16"/>
    </row>
    <row r="875" spans="1:19">
      <c r="A875" s="21"/>
      <c r="B875" s="120"/>
      <c r="C875" s="120"/>
      <c r="D875" s="120"/>
      <c r="E875" s="120"/>
      <c r="F875" s="114"/>
      <c r="G875" s="114"/>
      <c r="H875" s="114"/>
      <c r="I875" s="16"/>
      <c r="K875" s="21"/>
      <c r="L875" s="120"/>
      <c r="M875" s="120"/>
      <c r="N875" s="120"/>
      <c r="O875" s="120"/>
      <c r="P875" s="114"/>
      <c r="Q875" s="114"/>
      <c r="R875" s="114"/>
      <c r="S875" s="16"/>
    </row>
    <row r="876" spans="1:19">
      <c r="A876" s="21">
        <v>2</v>
      </c>
      <c r="B876" s="1098" t="s">
        <v>45</v>
      </c>
      <c r="C876" s="1098"/>
      <c r="D876" s="1098"/>
      <c r="E876" s="120"/>
      <c r="F876" s="114"/>
      <c r="G876" s="114"/>
      <c r="H876" s="114"/>
      <c r="I876" s="16"/>
      <c r="K876" s="21">
        <v>2</v>
      </c>
      <c r="L876" s="1098" t="s">
        <v>45</v>
      </c>
      <c r="M876" s="1098"/>
      <c r="N876" s="1098"/>
      <c r="O876" s="120"/>
      <c r="P876" s="114"/>
      <c r="Q876" s="114"/>
      <c r="R876" s="114"/>
      <c r="S876" s="16"/>
    </row>
    <row r="877" spans="1:19">
      <c r="A877" s="21"/>
      <c r="B877" s="1098"/>
      <c r="C877" s="1098"/>
      <c r="D877" s="1098"/>
      <c r="E877" s="23" t="s">
        <v>28</v>
      </c>
      <c r="F877" s="19"/>
      <c r="G877" s="19"/>
      <c r="H877" s="19"/>
      <c r="I877" s="16"/>
      <c r="K877" s="21"/>
      <c r="L877" s="1098"/>
      <c r="M877" s="1098"/>
      <c r="N877" s="1098"/>
      <c r="O877" s="23" t="s">
        <v>28</v>
      </c>
      <c r="P877" s="19"/>
      <c r="Q877" s="19"/>
      <c r="R877" s="19"/>
      <c r="S877" s="16"/>
    </row>
    <row r="878" spans="1:19">
      <c r="A878" s="21"/>
      <c r="B878" s="120"/>
      <c r="C878" s="120"/>
      <c r="D878" s="120"/>
      <c r="E878" s="120"/>
      <c r="F878" s="114"/>
      <c r="G878" s="114"/>
      <c r="H878" s="114"/>
      <c r="I878" s="16"/>
      <c r="K878" s="21"/>
      <c r="L878" s="120"/>
      <c r="M878" s="120"/>
      <c r="N878" s="120"/>
      <c r="O878" s="120"/>
      <c r="P878" s="114"/>
      <c r="Q878" s="114"/>
      <c r="R878" s="114"/>
      <c r="S878" s="16"/>
    </row>
    <row r="879" spans="1:19">
      <c r="A879" s="21">
        <v>3</v>
      </c>
      <c r="B879" s="1099" t="s">
        <v>46</v>
      </c>
      <c r="C879" s="1099"/>
      <c r="D879" s="1099"/>
      <c r="E879" s="23" t="s">
        <v>28</v>
      </c>
      <c r="F879" s="19"/>
      <c r="G879" s="19"/>
      <c r="H879" s="19"/>
      <c r="I879" s="16"/>
      <c r="K879" s="21">
        <v>3</v>
      </c>
      <c r="L879" s="1099" t="s">
        <v>46</v>
      </c>
      <c r="M879" s="1099"/>
      <c r="N879" s="1099"/>
      <c r="O879" s="18" t="str">
        <f>E879</f>
        <v>N/A</v>
      </c>
      <c r="P879" s="19"/>
      <c r="Q879" s="19"/>
      <c r="R879" s="19"/>
      <c r="S879" s="16"/>
    </row>
    <row r="880" spans="1:19">
      <c r="A880" s="21"/>
      <c r="B880" s="120"/>
      <c r="C880" s="120"/>
      <c r="D880" s="120"/>
      <c r="E880" s="120"/>
      <c r="F880" s="114"/>
      <c r="G880" s="114"/>
      <c r="H880" s="114"/>
      <c r="I880" s="16"/>
      <c r="K880" s="21"/>
      <c r="L880" s="120"/>
      <c r="M880" s="120"/>
      <c r="N880" s="120"/>
      <c r="O880" s="120"/>
      <c r="P880" s="114"/>
      <c r="Q880" s="114"/>
      <c r="R880" s="114"/>
      <c r="S880" s="16"/>
    </row>
    <row r="881" spans="1:19">
      <c r="A881" s="21">
        <v>4</v>
      </c>
      <c r="B881" s="1099" t="s">
        <v>47</v>
      </c>
      <c r="C881" s="1099"/>
      <c r="D881" s="1099"/>
      <c r="E881" s="23" t="s">
        <v>48</v>
      </c>
      <c r="F881" s="19"/>
      <c r="G881" s="19"/>
      <c r="H881" s="19"/>
      <c r="I881" s="16"/>
      <c r="K881" s="21">
        <v>4</v>
      </c>
      <c r="L881" s="1099" t="s">
        <v>47</v>
      </c>
      <c r="M881" s="1099"/>
      <c r="N881" s="1099"/>
      <c r="O881" s="23" t="s">
        <v>48</v>
      </c>
      <c r="P881" s="19"/>
      <c r="Q881" s="19"/>
      <c r="R881" s="19"/>
      <c r="S881" s="16"/>
    </row>
    <row r="882" spans="1:19">
      <c r="A882" s="21"/>
      <c r="B882" s="120"/>
      <c r="C882" s="120"/>
      <c r="D882" s="120"/>
      <c r="E882" s="120"/>
      <c r="F882" s="114"/>
      <c r="G882" s="114"/>
      <c r="H882" s="114"/>
      <c r="I882" s="16"/>
      <c r="K882" s="21"/>
      <c r="L882" s="120"/>
      <c r="M882" s="120"/>
      <c r="N882" s="120"/>
      <c r="O882" s="120"/>
      <c r="P882" s="114"/>
      <c r="Q882" s="114"/>
      <c r="R882" s="114"/>
      <c r="S882" s="16"/>
    </row>
    <row r="883" spans="1:19">
      <c r="A883" s="21">
        <v>5</v>
      </c>
      <c r="B883" s="1099" t="s">
        <v>49</v>
      </c>
      <c r="C883" s="1099"/>
      <c r="D883" s="1099"/>
      <c r="E883" s="24">
        <f>Master!AK35</f>
        <v>9210.4</v>
      </c>
      <c r="F883" s="19"/>
      <c r="G883" s="19"/>
      <c r="H883" s="19"/>
      <c r="I883" s="16"/>
      <c r="K883" s="21">
        <v>5</v>
      </c>
      <c r="L883" s="1099" t="s">
        <v>49</v>
      </c>
      <c r="M883" s="1099"/>
      <c r="N883" s="1099"/>
      <c r="O883" s="24">
        <f>E883</f>
        <v>9210.4</v>
      </c>
      <c r="P883" s="19"/>
      <c r="Q883" s="19"/>
      <c r="R883" s="19"/>
      <c r="S883" s="16"/>
    </row>
    <row r="884" spans="1:19">
      <c r="A884" s="21"/>
      <c r="B884" s="120"/>
      <c r="C884" s="120"/>
      <c r="D884" s="238" t="s">
        <v>50</v>
      </c>
      <c r="E884" s="238" t="s">
        <v>23</v>
      </c>
      <c r="F884" s="136" t="s">
        <v>25</v>
      </c>
      <c r="G884" s="238" t="s">
        <v>26</v>
      </c>
      <c r="H884" s="238" t="s">
        <v>202</v>
      </c>
      <c r="I884" s="126" t="s">
        <v>51</v>
      </c>
      <c r="K884" s="21"/>
      <c r="L884" s="120"/>
      <c r="M884" s="120"/>
      <c r="N884" s="238" t="s">
        <v>50</v>
      </c>
      <c r="O884" s="238" t="s">
        <v>23</v>
      </c>
      <c r="P884" s="136" t="s">
        <v>25</v>
      </c>
      <c r="Q884" s="238" t="s">
        <v>26</v>
      </c>
      <c r="R884" s="238" t="str">
        <f>H884</f>
        <v>ADV</v>
      </c>
      <c r="S884" s="126" t="s">
        <v>51</v>
      </c>
    </row>
    <row r="885" spans="1:19">
      <c r="A885" s="21">
        <v>6</v>
      </c>
      <c r="B885" s="468" t="s">
        <v>52</v>
      </c>
      <c r="C885" s="468"/>
      <c r="D885" s="335">
        <f>Master!AM35</f>
        <v>1105</v>
      </c>
      <c r="E885" s="335">
        <f>Master!AL35</f>
        <v>70</v>
      </c>
      <c r="F885" s="180">
        <f>Master!AN35</f>
        <v>0</v>
      </c>
      <c r="G885" s="180">
        <f>Master!AO35</f>
        <v>0</v>
      </c>
      <c r="H885" s="180">
        <f>Master!AP35</f>
        <v>0</v>
      </c>
      <c r="I885" s="127">
        <f>D885+E885+F885+G885+H885</f>
        <v>1175</v>
      </c>
      <c r="K885" s="21">
        <v>6</v>
      </c>
      <c r="L885" s="468" t="s">
        <v>52</v>
      </c>
      <c r="M885" s="468"/>
      <c r="N885" s="335">
        <f>D885</f>
        <v>1105</v>
      </c>
      <c r="O885" s="335">
        <f>E885</f>
        <v>70</v>
      </c>
      <c r="P885" s="180">
        <f>F885</f>
        <v>0</v>
      </c>
      <c r="Q885" s="180">
        <f>G885</f>
        <v>0</v>
      </c>
      <c r="R885" s="180">
        <f>H885</f>
        <v>0</v>
      </c>
      <c r="S885" s="127">
        <f>N885+O885+R885</f>
        <v>1175</v>
      </c>
    </row>
    <row r="886" spans="1:19">
      <c r="A886" s="21"/>
      <c r="B886" s="120"/>
      <c r="C886" s="120"/>
      <c r="D886" s="120"/>
      <c r="E886" s="120"/>
      <c r="F886" s="114"/>
      <c r="G886" s="114"/>
      <c r="H886" s="114"/>
      <c r="I886" s="16"/>
      <c r="K886" s="21"/>
      <c r="L886" s="120"/>
      <c r="M886" s="120"/>
      <c r="N886" s="120"/>
      <c r="O886" s="120"/>
      <c r="P886" s="114"/>
      <c r="Q886" s="114"/>
      <c r="R886" s="114"/>
      <c r="S886" s="16"/>
    </row>
    <row r="887" spans="1:19">
      <c r="A887" s="21">
        <v>7</v>
      </c>
      <c r="B887" s="1099" t="s">
        <v>53</v>
      </c>
      <c r="C887" s="1099"/>
      <c r="D887" s="1099"/>
      <c r="E887" s="24">
        <f>E883-I885</f>
        <v>8035.4</v>
      </c>
      <c r="F887" s="19"/>
      <c r="G887" s="19"/>
      <c r="H887" s="19"/>
      <c r="I887" s="16"/>
      <c r="K887" s="21">
        <v>7</v>
      </c>
      <c r="L887" s="1099" t="s">
        <v>53</v>
      </c>
      <c r="M887" s="1099"/>
      <c r="N887" s="1099"/>
      <c r="O887" s="24">
        <f>E887</f>
        <v>8035.4</v>
      </c>
      <c r="P887" s="19"/>
      <c r="Q887" s="19"/>
      <c r="R887" s="19"/>
      <c r="S887" s="16"/>
    </row>
    <row r="888" spans="1:19">
      <c r="A888" s="15"/>
      <c r="B888" s="114"/>
      <c r="C888" s="114"/>
      <c r="D888" s="114"/>
      <c r="E888" s="114"/>
      <c r="F888" s="114"/>
      <c r="G888" s="114"/>
      <c r="H888" s="114"/>
      <c r="I888" s="16"/>
      <c r="K888" s="15"/>
      <c r="L888" s="114"/>
      <c r="M888" s="114"/>
      <c r="N888" s="114"/>
      <c r="O888" s="114"/>
      <c r="P888" s="114"/>
      <c r="Q888" s="114"/>
      <c r="R888" s="114"/>
      <c r="S888" s="16"/>
    </row>
    <row r="889" spans="1:19">
      <c r="A889" s="15"/>
      <c r="B889" s="114"/>
      <c r="C889" s="114"/>
      <c r="D889" s="114"/>
      <c r="E889" s="114"/>
      <c r="F889" s="114"/>
      <c r="G889" s="114"/>
      <c r="H889" s="114"/>
      <c r="I889" s="16"/>
      <c r="K889" s="15"/>
      <c r="L889" s="114"/>
      <c r="M889" s="114"/>
      <c r="N889" s="114"/>
      <c r="O889" s="114"/>
      <c r="P889" s="114"/>
      <c r="Q889" s="114"/>
      <c r="R889" s="114"/>
      <c r="S889" s="16"/>
    </row>
    <row r="890" spans="1:19" ht="15" thickBot="1">
      <c r="A890" s="15"/>
      <c r="B890" s="114"/>
      <c r="C890" s="114"/>
      <c r="D890" s="114"/>
      <c r="E890" s="114"/>
      <c r="F890" s="25"/>
      <c r="G890" s="25"/>
      <c r="H890" s="25"/>
      <c r="I890" s="26"/>
      <c r="K890" s="15"/>
      <c r="L890" s="114"/>
      <c r="M890" s="114"/>
      <c r="N890" s="114"/>
      <c r="O890" s="114"/>
      <c r="P890" s="25"/>
      <c r="Q890" s="25"/>
      <c r="R890" s="25"/>
      <c r="S890" s="26"/>
    </row>
    <row r="891" spans="1:19" ht="15" thickBot="1">
      <c r="A891" s="27"/>
      <c r="B891" s="25"/>
      <c r="C891" s="25"/>
      <c r="D891" s="25"/>
      <c r="E891" s="999" t="s">
        <v>54</v>
      </c>
      <c r="F891" s="999"/>
      <c r="G891" s="999"/>
      <c r="H891" s="999"/>
      <c r="I891" s="1100"/>
      <c r="K891" s="27"/>
      <c r="L891" s="25"/>
      <c r="M891" s="25"/>
      <c r="N891" s="25"/>
      <c r="O891" s="28" t="s">
        <v>54</v>
      </c>
      <c r="P891" s="25"/>
      <c r="Q891" s="28"/>
      <c r="R891" s="28"/>
      <c r="S891" s="29"/>
    </row>
    <row r="903" spans="1:19" ht="15" thickBot="1"/>
    <row r="904" spans="1:19" ht="24.6">
      <c r="A904" s="1091" t="s">
        <v>39</v>
      </c>
      <c r="B904" s="1092"/>
      <c r="C904" s="1092"/>
      <c r="D904" s="1092"/>
      <c r="E904" s="1092"/>
      <c r="F904" s="1092"/>
      <c r="G904" s="1092"/>
      <c r="H904" s="1092"/>
      <c r="I904" s="1093"/>
      <c r="K904" s="1091" t="s">
        <v>39</v>
      </c>
      <c r="L904" s="1092"/>
      <c r="M904" s="1092"/>
      <c r="N904" s="1092"/>
      <c r="O904" s="1092"/>
      <c r="P904" s="1092"/>
      <c r="Q904" s="1092"/>
      <c r="R904" s="1092"/>
      <c r="S904" s="1093"/>
    </row>
    <row r="905" spans="1:19">
      <c r="A905" s="1094" t="s">
        <v>1075</v>
      </c>
      <c r="B905" s="1095"/>
      <c r="C905" s="1095"/>
      <c r="D905" s="1095"/>
      <c r="E905" s="1095"/>
      <c r="F905" s="1095"/>
      <c r="G905" s="1095"/>
      <c r="H905" s="1095"/>
      <c r="I905" s="1096"/>
      <c r="K905" s="1094" t="str">
        <f>A905</f>
        <v>[Vide rule 78 (1) (b) of the Contract Labour (Regulation and Abolition) Central and A.P.{T.S.}Rules, 1971]</v>
      </c>
      <c r="L905" s="1095"/>
      <c r="M905" s="1095"/>
      <c r="N905" s="1095"/>
      <c r="O905" s="1095"/>
      <c r="P905" s="1095"/>
      <c r="Q905" s="1095"/>
      <c r="R905" s="1095"/>
      <c r="S905" s="1096"/>
    </row>
    <row r="906" spans="1:19">
      <c r="A906" s="15"/>
      <c r="B906" s="114"/>
      <c r="C906" s="114"/>
      <c r="D906" s="114"/>
      <c r="E906" s="114"/>
      <c r="F906" s="114"/>
      <c r="G906" s="114"/>
      <c r="H906" s="114"/>
      <c r="I906" s="16"/>
      <c r="K906" s="15"/>
      <c r="L906" s="114"/>
      <c r="M906" s="114"/>
      <c r="N906" s="114"/>
      <c r="O906" s="114"/>
      <c r="P906" s="114"/>
      <c r="Q906" s="114"/>
      <c r="R906" s="114"/>
      <c r="S906" s="16"/>
    </row>
    <row r="907" spans="1:19">
      <c r="A907" s="17" t="s">
        <v>40</v>
      </c>
      <c r="B907" s="120"/>
      <c r="C907" s="120"/>
      <c r="D907" s="121" t="str">
        <f>Master!F5</f>
        <v>GROTECH LANDSCAPE DEVELOPERS PVT. LTD.</v>
      </c>
      <c r="E907" s="114"/>
      <c r="F907" s="114"/>
      <c r="G907" s="114"/>
      <c r="H907" s="114"/>
      <c r="I907" s="16"/>
      <c r="K907" s="17" t="s">
        <v>40</v>
      </c>
      <c r="L907" s="120"/>
      <c r="M907" s="120"/>
      <c r="N907" s="121" t="str">
        <f>D907</f>
        <v>GROTECH LANDSCAPE DEVELOPERS PVT. LTD.</v>
      </c>
      <c r="O907" s="114"/>
      <c r="P907" s="114"/>
      <c r="Q907" s="114"/>
      <c r="R907" s="114"/>
      <c r="S907" s="16"/>
    </row>
    <row r="908" spans="1:19">
      <c r="A908" s="17"/>
      <c r="B908" s="120" t="str">
        <f>Master!F6</f>
        <v>290/E, Khanapur Village, Gandipet Mandal, Ranga Reddy, Hyderabad-500075 T.S.</v>
      </c>
      <c r="C908" s="120"/>
      <c r="D908" s="114"/>
      <c r="E908" s="114"/>
      <c r="F908" s="114"/>
      <c r="G908" s="114"/>
      <c r="H908" s="114"/>
      <c r="I908" s="16"/>
      <c r="K908" s="17"/>
      <c r="L908" s="120" t="str">
        <f>B908</f>
        <v>290/E, Khanapur Village, Gandipet Mandal, Ranga Reddy, Hyderabad-500075 T.S.</v>
      </c>
      <c r="M908" s="120"/>
      <c r="N908" s="114"/>
      <c r="O908" s="114"/>
      <c r="P908" s="114"/>
      <c r="Q908" s="114"/>
      <c r="R908" s="114"/>
      <c r="S908" s="16"/>
    </row>
    <row r="909" spans="1:19">
      <c r="A909" s="17"/>
      <c r="B909" s="120"/>
      <c r="C909" s="120"/>
      <c r="D909" s="120"/>
      <c r="E909" s="120"/>
      <c r="F909" s="114"/>
      <c r="G909" s="114"/>
      <c r="H909" s="114"/>
      <c r="I909" s="16"/>
      <c r="K909" s="17"/>
      <c r="L909" s="120"/>
      <c r="M909" s="120"/>
      <c r="N909" s="120"/>
      <c r="O909" s="120"/>
      <c r="P909" s="114"/>
      <c r="Q909" s="114"/>
      <c r="R909" s="114"/>
      <c r="S909" s="16"/>
    </row>
    <row r="910" spans="1:19">
      <c r="A910" s="1097" t="s">
        <v>41</v>
      </c>
      <c r="B910" s="1098"/>
      <c r="C910" s="1098"/>
      <c r="D910" s="1098"/>
      <c r="E910" s="120"/>
      <c r="F910" s="114"/>
      <c r="G910" s="114"/>
      <c r="H910" s="114"/>
      <c r="I910" s="16"/>
      <c r="K910" s="1097" t="s">
        <v>41</v>
      </c>
      <c r="L910" s="1098"/>
      <c r="M910" s="1098"/>
      <c r="N910" s="1098"/>
      <c r="O910" s="120"/>
      <c r="P910" s="114"/>
      <c r="Q910" s="114"/>
      <c r="R910" s="114"/>
      <c r="S910" s="16"/>
    </row>
    <row r="911" spans="1:19">
      <c r="A911" s="1097"/>
      <c r="B911" s="1098"/>
      <c r="C911" s="1098"/>
      <c r="D911" s="1098"/>
      <c r="E911" s="128" t="str">
        <f>Master!D36</f>
        <v>SINGARAM BHAGYAMMA</v>
      </c>
      <c r="F911" s="19"/>
      <c r="G911" s="19"/>
      <c r="H911" s="19" t="str">
        <f>Master!G36</f>
        <v>SINGARAM NARSIMULU</v>
      </c>
      <c r="I911" s="16"/>
      <c r="K911" s="1097"/>
      <c r="L911" s="1098"/>
      <c r="M911" s="1098"/>
      <c r="N911" s="1098"/>
      <c r="O911" s="18" t="str">
        <f>E911</f>
        <v>SINGARAM BHAGYAMMA</v>
      </c>
      <c r="P911" s="19"/>
      <c r="Q911" s="19"/>
      <c r="R911" s="19" t="str">
        <f>H911</f>
        <v>SINGARAM NARSIMULU</v>
      </c>
      <c r="S911" s="16"/>
    </row>
    <row r="912" spans="1:19">
      <c r="A912" s="17"/>
      <c r="B912" s="120"/>
      <c r="C912" s="120"/>
      <c r="D912" s="120"/>
      <c r="E912" s="120"/>
      <c r="F912" s="114"/>
      <c r="G912" s="114"/>
      <c r="H912" s="114"/>
      <c r="I912" s="16"/>
      <c r="K912" s="17"/>
      <c r="L912" s="120"/>
      <c r="M912" s="120"/>
      <c r="N912" s="120"/>
      <c r="O912" s="120"/>
      <c r="P912" s="114"/>
      <c r="Q912" s="114"/>
      <c r="R912" s="114"/>
      <c r="S912" s="16"/>
    </row>
    <row r="913" spans="1:19">
      <c r="A913" s="1101" t="s">
        <v>42</v>
      </c>
      <c r="B913" s="1099"/>
      <c r="C913" s="1099"/>
      <c r="D913" s="1099"/>
      <c r="E913" s="24" t="str">
        <f>Master!F8</f>
        <v>GARDENING SERVICES&amp;ISB HYDERABAD</v>
      </c>
      <c r="F913" s="19"/>
      <c r="G913" s="19"/>
      <c r="H913" s="19"/>
      <c r="I913" s="16"/>
      <c r="K913" s="1101" t="s">
        <v>42</v>
      </c>
      <c r="L913" s="1099"/>
      <c r="M913" s="1099"/>
      <c r="N913" s="1099"/>
      <c r="O913" s="24" t="str">
        <f>E913</f>
        <v>GARDENING SERVICES&amp;ISB HYDERABAD</v>
      </c>
      <c r="P913" s="19"/>
      <c r="Q913" s="19"/>
      <c r="R913" s="19"/>
      <c r="S913" s="16"/>
    </row>
    <row r="914" spans="1:19">
      <c r="A914" s="17"/>
      <c r="B914" s="120"/>
      <c r="C914" s="120"/>
      <c r="D914" s="120"/>
      <c r="E914" s="120"/>
      <c r="F914" s="114"/>
      <c r="G914" s="114"/>
      <c r="H914" s="114"/>
      <c r="I914" s="16"/>
      <c r="K914" s="17"/>
      <c r="L914" s="120"/>
      <c r="M914" s="120"/>
      <c r="N914" s="120"/>
      <c r="O914" s="120"/>
      <c r="P914" s="114"/>
      <c r="Q914" s="114"/>
      <c r="R914" s="114"/>
      <c r="S914" s="16"/>
    </row>
    <row r="915" spans="1:19">
      <c r="A915" s="1101" t="s">
        <v>43</v>
      </c>
      <c r="B915" s="1099"/>
      <c r="C915" s="1099"/>
      <c r="D915" s="1099"/>
      <c r="E915" s="20">
        <f>Master!F10</f>
        <v>44652</v>
      </c>
      <c r="F915" s="19"/>
      <c r="G915" s="19"/>
      <c r="H915" s="19"/>
      <c r="I915" s="16"/>
      <c r="K915" s="1101" t="s">
        <v>43</v>
      </c>
      <c r="L915" s="1099"/>
      <c r="M915" s="1099"/>
      <c r="N915" s="1099"/>
      <c r="O915" s="20">
        <f>E915</f>
        <v>44652</v>
      </c>
      <c r="P915" s="19"/>
      <c r="Q915" s="19"/>
      <c r="R915" s="19"/>
      <c r="S915" s="16"/>
    </row>
    <row r="916" spans="1:19">
      <c r="A916" s="17"/>
      <c r="B916" s="120"/>
      <c r="C916" s="120"/>
      <c r="D916" s="120"/>
      <c r="E916" s="120"/>
      <c r="F916" s="114"/>
      <c r="G916" s="114"/>
      <c r="H916" s="114"/>
      <c r="I916" s="16"/>
      <c r="K916" s="17"/>
      <c r="L916" s="120"/>
      <c r="M916" s="120"/>
      <c r="N916" s="120"/>
      <c r="O916" s="120"/>
      <c r="P916" s="114"/>
      <c r="Q916" s="114"/>
      <c r="R916" s="114"/>
      <c r="S916" s="16"/>
    </row>
    <row r="917" spans="1:19">
      <c r="A917" s="21">
        <v>1</v>
      </c>
      <c r="B917" s="1099" t="s">
        <v>44</v>
      </c>
      <c r="C917" s="1099"/>
      <c r="D917" s="1099"/>
      <c r="E917" s="22">
        <f>Master!AA36</f>
        <v>26</v>
      </c>
      <c r="F917" s="19"/>
      <c r="G917" s="19"/>
      <c r="H917" s="19"/>
      <c r="I917" s="16"/>
      <c r="K917" s="21">
        <v>1</v>
      </c>
      <c r="L917" s="1099" t="s">
        <v>44</v>
      </c>
      <c r="M917" s="1099"/>
      <c r="N917" s="1099"/>
      <c r="O917" s="22">
        <f>E917</f>
        <v>26</v>
      </c>
      <c r="P917" s="19"/>
      <c r="Q917" s="19"/>
      <c r="R917" s="19"/>
      <c r="S917" s="16"/>
    </row>
    <row r="918" spans="1:19">
      <c r="A918" s="21"/>
      <c r="B918" s="120"/>
      <c r="C918" s="120"/>
      <c r="D918" s="120"/>
      <c r="E918" s="120"/>
      <c r="F918" s="114"/>
      <c r="G918" s="114"/>
      <c r="H918" s="114"/>
      <c r="I918" s="16"/>
      <c r="K918" s="21"/>
      <c r="L918" s="120"/>
      <c r="M918" s="120"/>
      <c r="N918" s="120"/>
      <c r="O918" s="120"/>
      <c r="P918" s="114"/>
      <c r="Q918" s="114"/>
      <c r="R918" s="114"/>
      <c r="S918" s="16"/>
    </row>
    <row r="919" spans="1:19">
      <c r="A919" s="21">
        <v>2</v>
      </c>
      <c r="B919" s="1098" t="s">
        <v>45</v>
      </c>
      <c r="C919" s="1098"/>
      <c r="D919" s="1098"/>
      <c r="E919" s="120"/>
      <c r="F919" s="114"/>
      <c r="G919" s="114"/>
      <c r="H919" s="114"/>
      <c r="I919" s="16"/>
      <c r="K919" s="21">
        <v>2</v>
      </c>
      <c r="L919" s="1098" t="s">
        <v>45</v>
      </c>
      <c r="M919" s="1098"/>
      <c r="N919" s="1098"/>
      <c r="O919" s="120"/>
      <c r="P919" s="114"/>
      <c r="Q919" s="114"/>
      <c r="R919" s="114"/>
      <c r="S919" s="16"/>
    </row>
    <row r="920" spans="1:19">
      <c r="A920" s="21"/>
      <c r="B920" s="1098"/>
      <c r="C920" s="1098"/>
      <c r="D920" s="1098"/>
      <c r="E920" s="23" t="s">
        <v>28</v>
      </c>
      <c r="F920" s="19"/>
      <c r="G920" s="19"/>
      <c r="H920" s="19"/>
      <c r="I920" s="16"/>
      <c r="K920" s="21"/>
      <c r="L920" s="1098"/>
      <c r="M920" s="1098"/>
      <c r="N920" s="1098"/>
      <c r="O920" s="23" t="s">
        <v>28</v>
      </c>
      <c r="P920" s="19"/>
      <c r="Q920" s="19"/>
      <c r="R920" s="19"/>
      <c r="S920" s="16"/>
    </row>
    <row r="921" spans="1:19">
      <c r="A921" s="21"/>
      <c r="B921" s="120"/>
      <c r="C921" s="120"/>
      <c r="D921" s="120"/>
      <c r="E921" s="120"/>
      <c r="F921" s="114"/>
      <c r="G921" s="114"/>
      <c r="H921" s="114"/>
      <c r="I921" s="16"/>
      <c r="K921" s="21"/>
      <c r="L921" s="120"/>
      <c r="M921" s="120"/>
      <c r="N921" s="120"/>
      <c r="O921" s="120"/>
      <c r="P921" s="114"/>
      <c r="Q921" s="114"/>
      <c r="R921" s="114"/>
      <c r="S921" s="16"/>
    </row>
    <row r="922" spans="1:19">
      <c r="A922" s="21">
        <v>3</v>
      </c>
      <c r="B922" s="1099" t="s">
        <v>46</v>
      </c>
      <c r="C922" s="1099"/>
      <c r="D922" s="1099"/>
      <c r="E922" s="23" t="s">
        <v>28</v>
      </c>
      <c r="F922" s="19"/>
      <c r="G922" s="19"/>
      <c r="H922" s="19"/>
      <c r="I922" s="16"/>
      <c r="K922" s="21">
        <v>3</v>
      </c>
      <c r="L922" s="1099" t="s">
        <v>46</v>
      </c>
      <c r="M922" s="1099"/>
      <c r="N922" s="1099"/>
      <c r="O922" s="18" t="str">
        <f>E922</f>
        <v>N/A</v>
      </c>
      <c r="P922" s="19"/>
      <c r="Q922" s="19"/>
      <c r="R922" s="19"/>
      <c r="S922" s="16"/>
    </row>
    <row r="923" spans="1:19">
      <c r="A923" s="21"/>
      <c r="B923" s="120"/>
      <c r="C923" s="120"/>
      <c r="D923" s="120"/>
      <c r="E923" s="120"/>
      <c r="F923" s="114"/>
      <c r="G923" s="114"/>
      <c r="H923" s="114"/>
      <c r="I923" s="16"/>
      <c r="K923" s="21"/>
      <c r="L923" s="120"/>
      <c r="M923" s="120"/>
      <c r="N923" s="120"/>
      <c r="O923" s="120"/>
      <c r="P923" s="114"/>
      <c r="Q923" s="114"/>
      <c r="R923" s="114"/>
      <c r="S923" s="16"/>
    </row>
    <row r="924" spans="1:19">
      <c r="A924" s="21">
        <v>4</v>
      </c>
      <c r="B924" s="1099" t="s">
        <v>47</v>
      </c>
      <c r="C924" s="1099"/>
      <c r="D924" s="1099"/>
      <c r="E924" s="23" t="s">
        <v>48</v>
      </c>
      <c r="F924" s="19"/>
      <c r="G924" s="19"/>
      <c r="H924" s="19"/>
      <c r="I924" s="16"/>
      <c r="K924" s="21">
        <v>4</v>
      </c>
      <c r="L924" s="1099" t="s">
        <v>47</v>
      </c>
      <c r="M924" s="1099"/>
      <c r="N924" s="1099"/>
      <c r="O924" s="23" t="s">
        <v>48</v>
      </c>
      <c r="P924" s="19"/>
      <c r="Q924" s="19"/>
      <c r="R924" s="19"/>
      <c r="S924" s="16"/>
    </row>
    <row r="925" spans="1:19">
      <c r="A925" s="21"/>
      <c r="B925" s="120"/>
      <c r="C925" s="120"/>
      <c r="D925" s="120"/>
      <c r="E925" s="120"/>
      <c r="F925" s="114"/>
      <c r="G925" s="114"/>
      <c r="H925" s="114"/>
      <c r="I925" s="16"/>
      <c r="K925" s="21"/>
      <c r="L925" s="120"/>
      <c r="M925" s="120"/>
      <c r="N925" s="120"/>
      <c r="O925" s="120"/>
      <c r="P925" s="114"/>
      <c r="Q925" s="114"/>
      <c r="R925" s="114"/>
      <c r="S925" s="16"/>
    </row>
    <row r="926" spans="1:19">
      <c r="A926" s="21">
        <v>5</v>
      </c>
      <c r="B926" s="1099" t="s">
        <v>49</v>
      </c>
      <c r="C926" s="1099"/>
      <c r="D926" s="1099"/>
      <c r="E926" s="24">
        <f>Master!AK36</f>
        <v>9210.4</v>
      </c>
      <c r="F926" s="19"/>
      <c r="G926" s="19"/>
      <c r="H926" s="19"/>
      <c r="I926" s="16"/>
      <c r="K926" s="21">
        <v>5</v>
      </c>
      <c r="L926" s="1099" t="s">
        <v>49</v>
      </c>
      <c r="M926" s="1099"/>
      <c r="N926" s="1099"/>
      <c r="O926" s="24">
        <f>E926</f>
        <v>9210.4</v>
      </c>
      <c r="P926" s="19"/>
      <c r="Q926" s="19"/>
      <c r="R926" s="19"/>
      <c r="S926" s="16"/>
    </row>
    <row r="927" spans="1:19">
      <c r="A927" s="21"/>
      <c r="B927" s="120"/>
      <c r="C927" s="120"/>
      <c r="D927" s="238" t="s">
        <v>50</v>
      </c>
      <c r="E927" s="238" t="s">
        <v>23</v>
      </c>
      <c r="F927" s="136" t="s">
        <v>25</v>
      </c>
      <c r="G927" s="238" t="s">
        <v>26</v>
      </c>
      <c r="H927" s="238" t="s">
        <v>202</v>
      </c>
      <c r="I927" s="126" t="s">
        <v>51</v>
      </c>
      <c r="K927" s="21"/>
      <c r="L927" s="120"/>
      <c r="M927" s="120"/>
      <c r="N927" s="238" t="s">
        <v>50</v>
      </c>
      <c r="O927" s="238" t="s">
        <v>23</v>
      </c>
      <c r="P927" s="136" t="s">
        <v>25</v>
      </c>
      <c r="Q927" s="238" t="s">
        <v>26</v>
      </c>
      <c r="R927" s="238" t="str">
        <f>H927</f>
        <v>ADV</v>
      </c>
      <c r="S927" s="126" t="s">
        <v>51</v>
      </c>
    </row>
    <row r="928" spans="1:19">
      <c r="A928" s="21">
        <v>6</v>
      </c>
      <c r="B928" s="468" t="s">
        <v>52</v>
      </c>
      <c r="C928" s="468"/>
      <c r="D928" s="335">
        <f>Master!AM36</f>
        <v>1105</v>
      </c>
      <c r="E928" s="335">
        <f>Master!AL36</f>
        <v>70</v>
      </c>
      <c r="F928" s="180">
        <f>Master!AN36</f>
        <v>0</v>
      </c>
      <c r="G928" s="180">
        <f>Master!AO36</f>
        <v>0</v>
      </c>
      <c r="H928" s="180">
        <f>Master!AP36</f>
        <v>0</v>
      </c>
      <c r="I928" s="127">
        <f>D928+E928+F928+G928+H928</f>
        <v>1175</v>
      </c>
      <c r="K928" s="21">
        <v>6</v>
      </c>
      <c r="L928" s="468" t="s">
        <v>52</v>
      </c>
      <c r="M928" s="468"/>
      <c r="N928" s="335">
        <f>D928</f>
        <v>1105</v>
      </c>
      <c r="O928" s="335">
        <f>E928</f>
        <v>70</v>
      </c>
      <c r="P928" s="180">
        <f>F928</f>
        <v>0</v>
      </c>
      <c r="Q928" s="180">
        <f>G928</f>
        <v>0</v>
      </c>
      <c r="R928" s="180">
        <f>H928</f>
        <v>0</v>
      </c>
      <c r="S928" s="127">
        <f>N928+O928+R928</f>
        <v>1175</v>
      </c>
    </row>
    <row r="929" spans="1:19">
      <c r="A929" s="21"/>
      <c r="B929" s="120"/>
      <c r="C929" s="120"/>
      <c r="D929" s="120"/>
      <c r="E929" s="120"/>
      <c r="F929" s="114"/>
      <c r="G929" s="114"/>
      <c r="H929" s="114"/>
      <c r="I929" s="16"/>
      <c r="K929" s="21"/>
      <c r="L929" s="120"/>
      <c r="M929" s="120"/>
      <c r="N929" s="120"/>
      <c r="O929" s="120"/>
      <c r="P929" s="114"/>
      <c r="Q929" s="114"/>
      <c r="R929" s="114"/>
      <c r="S929" s="16"/>
    </row>
    <row r="930" spans="1:19">
      <c r="A930" s="21">
        <v>7</v>
      </c>
      <c r="B930" s="1099" t="s">
        <v>53</v>
      </c>
      <c r="C930" s="1099"/>
      <c r="D930" s="1099"/>
      <c r="E930" s="24">
        <f>E926-I928+1</f>
        <v>8036.4</v>
      </c>
      <c r="F930" s="19"/>
      <c r="G930" s="19"/>
      <c r="H930" s="19"/>
      <c r="I930" s="16"/>
      <c r="K930" s="21">
        <v>7</v>
      </c>
      <c r="L930" s="1099" t="s">
        <v>53</v>
      </c>
      <c r="M930" s="1099"/>
      <c r="N930" s="1099"/>
      <c r="O930" s="24">
        <f>E930</f>
        <v>8036.4</v>
      </c>
      <c r="P930" s="19"/>
      <c r="Q930" s="19"/>
      <c r="R930" s="19"/>
      <c r="S930" s="16"/>
    </row>
    <row r="931" spans="1:19">
      <c r="A931" s="15"/>
      <c r="B931" s="114"/>
      <c r="C931" s="114"/>
      <c r="D931" s="114"/>
      <c r="E931" s="114"/>
      <c r="F931" s="114"/>
      <c r="G931" s="114"/>
      <c r="H931" s="114"/>
      <c r="I931" s="16"/>
      <c r="K931" s="15"/>
      <c r="L931" s="114"/>
      <c r="M931" s="114"/>
      <c r="N931" s="114"/>
      <c r="O931" s="114"/>
      <c r="P931" s="114"/>
      <c r="Q931" s="114"/>
      <c r="R931" s="114"/>
      <c r="S931" s="16"/>
    </row>
    <row r="932" spans="1:19">
      <c r="A932" s="15"/>
      <c r="B932" s="114"/>
      <c r="C932" s="114"/>
      <c r="D932" s="114"/>
      <c r="E932" s="114"/>
      <c r="F932" s="114"/>
      <c r="G932" s="114"/>
      <c r="H932" s="114"/>
      <c r="I932" s="16"/>
      <c r="K932" s="15"/>
      <c r="L932" s="114"/>
      <c r="M932" s="114"/>
      <c r="N932" s="114"/>
      <c r="O932" s="114"/>
      <c r="P932" s="114"/>
      <c r="Q932" s="114"/>
      <c r="R932" s="114"/>
      <c r="S932" s="16"/>
    </row>
    <row r="933" spans="1:19" ht="15" thickBot="1">
      <c r="A933" s="15"/>
      <c r="B933" s="114"/>
      <c r="C933" s="114"/>
      <c r="D933" s="114"/>
      <c r="E933" s="114"/>
      <c r="F933" s="25"/>
      <c r="G933" s="25"/>
      <c r="H933" s="25"/>
      <c r="I933" s="26"/>
      <c r="K933" s="15"/>
      <c r="L933" s="114"/>
      <c r="M933" s="114"/>
      <c r="N933" s="114"/>
      <c r="O933" s="114"/>
      <c r="P933" s="25"/>
      <c r="Q933" s="25"/>
      <c r="R933" s="25"/>
      <c r="S933" s="26"/>
    </row>
    <row r="934" spans="1:19" ht="15" thickBot="1">
      <c r="A934" s="27"/>
      <c r="B934" s="25"/>
      <c r="C934" s="25"/>
      <c r="D934" s="25"/>
      <c r="E934" s="999" t="s">
        <v>54</v>
      </c>
      <c r="F934" s="999"/>
      <c r="G934" s="999"/>
      <c r="H934" s="999"/>
      <c r="I934" s="1100"/>
      <c r="K934" s="27"/>
      <c r="L934" s="25"/>
      <c r="M934" s="25"/>
      <c r="N934" s="25"/>
      <c r="O934" s="28" t="s">
        <v>54</v>
      </c>
      <c r="P934" s="25"/>
      <c r="Q934" s="28"/>
      <c r="R934" s="28"/>
      <c r="S934" s="29"/>
    </row>
    <row r="946" spans="1:19" ht="15" thickBot="1"/>
    <row r="947" spans="1:19" ht="24.6">
      <c r="A947" s="1091" t="s">
        <v>39</v>
      </c>
      <c r="B947" s="1092"/>
      <c r="C947" s="1092"/>
      <c r="D947" s="1092"/>
      <c r="E947" s="1092"/>
      <c r="F947" s="1092"/>
      <c r="G947" s="1092"/>
      <c r="H947" s="1092"/>
      <c r="I947" s="1093"/>
      <c r="K947" s="1091" t="s">
        <v>39</v>
      </c>
      <c r="L947" s="1092"/>
      <c r="M947" s="1092"/>
      <c r="N947" s="1092"/>
      <c r="O947" s="1092"/>
      <c r="P947" s="1092"/>
      <c r="Q947" s="1092"/>
      <c r="R947" s="1092"/>
      <c r="S947" s="1093"/>
    </row>
    <row r="948" spans="1:19">
      <c r="A948" s="1094" t="s">
        <v>1075</v>
      </c>
      <c r="B948" s="1095"/>
      <c r="C948" s="1095"/>
      <c r="D948" s="1095"/>
      <c r="E948" s="1095"/>
      <c r="F948" s="1095"/>
      <c r="G948" s="1095"/>
      <c r="H948" s="1095"/>
      <c r="I948" s="1096"/>
      <c r="K948" s="1094" t="str">
        <f>A948</f>
        <v>[Vide rule 78 (1) (b) of the Contract Labour (Regulation and Abolition) Central and A.P.{T.S.}Rules, 1971]</v>
      </c>
      <c r="L948" s="1095"/>
      <c r="M948" s="1095"/>
      <c r="N948" s="1095"/>
      <c r="O948" s="1095"/>
      <c r="P948" s="1095"/>
      <c r="Q948" s="1095"/>
      <c r="R948" s="1095"/>
      <c r="S948" s="1096"/>
    </row>
    <row r="949" spans="1:19">
      <c r="A949" s="15"/>
      <c r="B949" s="114"/>
      <c r="C949" s="114"/>
      <c r="D949" s="114"/>
      <c r="E949" s="114"/>
      <c r="F949" s="114"/>
      <c r="G949" s="114"/>
      <c r="H949" s="114"/>
      <c r="I949" s="16"/>
      <c r="K949" s="15"/>
      <c r="L949" s="114"/>
      <c r="M949" s="114"/>
      <c r="N949" s="114"/>
      <c r="O949" s="114"/>
      <c r="P949" s="114"/>
      <c r="Q949" s="114"/>
      <c r="R949" s="114"/>
      <c r="S949" s="16"/>
    </row>
    <row r="950" spans="1:19">
      <c r="A950" s="17" t="s">
        <v>40</v>
      </c>
      <c r="B950" s="120"/>
      <c r="C950" s="120"/>
      <c r="D950" s="121" t="str">
        <f>Master!F5</f>
        <v>GROTECH LANDSCAPE DEVELOPERS PVT. LTD.</v>
      </c>
      <c r="E950" s="114"/>
      <c r="F950" s="114"/>
      <c r="G950" s="114"/>
      <c r="H950" s="114"/>
      <c r="I950" s="16"/>
      <c r="K950" s="17" t="s">
        <v>40</v>
      </c>
      <c r="L950" s="120"/>
      <c r="M950" s="120"/>
      <c r="N950" s="121" t="str">
        <f>D950</f>
        <v>GROTECH LANDSCAPE DEVELOPERS PVT. LTD.</v>
      </c>
      <c r="O950" s="114"/>
      <c r="P950" s="114"/>
      <c r="Q950" s="114"/>
      <c r="R950" s="114"/>
      <c r="S950" s="16"/>
    </row>
    <row r="951" spans="1:19">
      <c r="A951" s="17"/>
      <c r="B951" s="120" t="str">
        <f>Master!F6</f>
        <v>290/E, Khanapur Village, Gandipet Mandal, Ranga Reddy, Hyderabad-500075 T.S.</v>
      </c>
      <c r="C951" s="120"/>
      <c r="D951" s="114"/>
      <c r="E951" s="114"/>
      <c r="F951" s="114"/>
      <c r="G951" s="114"/>
      <c r="H951" s="114"/>
      <c r="I951" s="16"/>
      <c r="K951" s="17"/>
      <c r="L951" s="120" t="str">
        <f>B951</f>
        <v>290/E, Khanapur Village, Gandipet Mandal, Ranga Reddy, Hyderabad-500075 T.S.</v>
      </c>
      <c r="M951" s="120"/>
      <c r="N951" s="114"/>
      <c r="O951" s="114"/>
      <c r="P951" s="114"/>
      <c r="Q951" s="114"/>
      <c r="R951" s="114"/>
      <c r="S951" s="16"/>
    </row>
    <row r="952" spans="1:19">
      <c r="A952" s="17"/>
      <c r="B952" s="120"/>
      <c r="C952" s="120"/>
      <c r="D952" s="120"/>
      <c r="E952" s="120"/>
      <c r="F952" s="114"/>
      <c r="G952" s="114"/>
      <c r="H952" s="114"/>
      <c r="I952" s="16"/>
      <c r="K952" s="17"/>
      <c r="L952" s="120"/>
      <c r="M952" s="120"/>
      <c r="N952" s="120"/>
      <c r="O952" s="120"/>
      <c r="P952" s="114"/>
      <c r="Q952" s="114"/>
      <c r="R952" s="114"/>
      <c r="S952" s="16"/>
    </row>
    <row r="953" spans="1:19">
      <c r="A953" s="1097" t="s">
        <v>41</v>
      </c>
      <c r="B953" s="1098"/>
      <c r="C953" s="1098"/>
      <c r="D953" s="1098"/>
      <c r="E953" s="120"/>
      <c r="F953" s="114"/>
      <c r="G953" s="114"/>
      <c r="H953" s="114"/>
      <c r="I953" s="16"/>
      <c r="K953" s="1097" t="s">
        <v>41</v>
      </c>
      <c r="L953" s="1098"/>
      <c r="M953" s="1098"/>
      <c r="N953" s="1098"/>
      <c r="O953" s="120"/>
      <c r="P953" s="114"/>
      <c r="Q953" s="114"/>
      <c r="R953" s="114"/>
      <c r="S953" s="16"/>
    </row>
    <row r="954" spans="1:19">
      <c r="A954" s="1097"/>
      <c r="B954" s="1098"/>
      <c r="C954" s="1098"/>
      <c r="D954" s="1098"/>
      <c r="E954" s="128" t="str">
        <f>Master!D37</f>
        <v>KODICHERLA INDIRAMMA</v>
      </c>
      <c r="F954" s="19"/>
      <c r="G954" s="19"/>
      <c r="H954" s="19" t="str">
        <f>Master!G37</f>
        <v xml:space="preserve">BABAIAH </v>
      </c>
      <c r="I954" s="16"/>
      <c r="K954" s="1097"/>
      <c r="L954" s="1098"/>
      <c r="M954" s="1098"/>
      <c r="N954" s="1098"/>
      <c r="O954" s="18" t="str">
        <f>E954</f>
        <v>KODICHERLA INDIRAMMA</v>
      </c>
      <c r="P954" s="19"/>
      <c r="Q954" s="19"/>
      <c r="R954" s="19" t="str">
        <f>H954</f>
        <v xml:space="preserve">BABAIAH </v>
      </c>
      <c r="S954" s="16"/>
    </row>
    <row r="955" spans="1:19">
      <c r="A955" s="17"/>
      <c r="B955" s="120"/>
      <c r="C955" s="120"/>
      <c r="D955" s="120"/>
      <c r="E955" s="120"/>
      <c r="F955" s="114"/>
      <c r="G955" s="114"/>
      <c r="H955" s="114"/>
      <c r="I955" s="16"/>
      <c r="K955" s="17"/>
      <c r="L955" s="120"/>
      <c r="M955" s="120"/>
      <c r="N955" s="120"/>
      <c r="O955" s="120"/>
      <c r="P955" s="114"/>
      <c r="Q955" s="114"/>
      <c r="R955" s="114"/>
      <c r="S955" s="16"/>
    </row>
    <row r="956" spans="1:19">
      <c r="A956" s="1101" t="s">
        <v>42</v>
      </c>
      <c r="B956" s="1099"/>
      <c r="C956" s="1099"/>
      <c r="D956" s="1099"/>
      <c r="E956" s="24" t="str">
        <f>Master!F8</f>
        <v>GARDENING SERVICES&amp;ISB HYDERABAD</v>
      </c>
      <c r="F956" s="19"/>
      <c r="G956" s="19"/>
      <c r="H956" s="19"/>
      <c r="I956" s="16"/>
      <c r="K956" s="1101" t="s">
        <v>42</v>
      </c>
      <c r="L956" s="1099"/>
      <c r="M956" s="1099"/>
      <c r="N956" s="1099"/>
      <c r="O956" s="24" t="str">
        <f>E956</f>
        <v>GARDENING SERVICES&amp;ISB HYDERABAD</v>
      </c>
      <c r="P956" s="19"/>
      <c r="Q956" s="19"/>
      <c r="R956" s="19"/>
      <c r="S956" s="16"/>
    </row>
    <row r="957" spans="1:19">
      <c r="A957" s="17"/>
      <c r="B957" s="120"/>
      <c r="C957" s="120"/>
      <c r="D957" s="120"/>
      <c r="E957" s="120"/>
      <c r="F957" s="114"/>
      <c r="G957" s="114"/>
      <c r="H957" s="114"/>
      <c r="I957" s="16"/>
      <c r="K957" s="17"/>
      <c r="L957" s="120"/>
      <c r="M957" s="120"/>
      <c r="N957" s="120"/>
      <c r="O957" s="120"/>
      <c r="P957" s="114"/>
      <c r="Q957" s="114"/>
      <c r="R957" s="114"/>
      <c r="S957" s="16"/>
    </row>
    <row r="958" spans="1:19">
      <c r="A958" s="1101" t="s">
        <v>43</v>
      </c>
      <c r="B958" s="1099"/>
      <c r="C958" s="1099"/>
      <c r="D958" s="1099"/>
      <c r="E958" s="20">
        <f>Master!F10</f>
        <v>44652</v>
      </c>
      <c r="F958" s="19"/>
      <c r="G958" s="19"/>
      <c r="H958" s="19"/>
      <c r="I958" s="16"/>
      <c r="K958" s="1101" t="s">
        <v>43</v>
      </c>
      <c r="L958" s="1099"/>
      <c r="M958" s="1099"/>
      <c r="N958" s="1099"/>
      <c r="O958" s="20">
        <f>E958</f>
        <v>44652</v>
      </c>
      <c r="P958" s="19"/>
      <c r="Q958" s="19"/>
      <c r="R958" s="19"/>
      <c r="S958" s="16"/>
    </row>
    <row r="959" spans="1:19">
      <c r="A959" s="17"/>
      <c r="B959" s="120"/>
      <c r="C959" s="120"/>
      <c r="D959" s="120"/>
      <c r="E959" s="120"/>
      <c r="F959" s="114"/>
      <c r="G959" s="114"/>
      <c r="H959" s="114"/>
      <c r="I959" s="16"/>
      <c r="K959" s="17"/>
      <c r="L959" s="120"/>
      <c r="M959" s="120"/>
      <c r="N959" s="120"/>
      <c r="O959" s="120"/>
      <c r="P959" s="114"/>
      <c r="Q959" s="114"/>
      <c r="R959" s="114"/>
      <c r="S959" s="16"/>
    </row>
    <row r="960" spans="1:19">
      <c r="A960" s="21">
        <v>1</v>
      </c>
      <c r="B960" s="1099" t="s">
        <v>44</v>
      </c>
      <c r="C960" s="1099"/>
      <c r="D960" s="1099"/>
      <c r="E960" s="22">
        <f>Master!AA37</f>
        <v>26</v>
      </c>
      <c r="F960" s="19"/>
      <c r="G960" s="19"/>
      <c r="H960" s="19"/>
      <c r="I960" s="16"/>
      <c r="K960" s="21">
        <v>1</v>
      </c>
      <c r="L960" s="1099" t="s">
        <v>44</v>
      </c>
      <c r="M960" s="1099"/>
      <c r="N960" s="1099"/>
      <c r="O960" s="22">
        <f>E960</f>
        <v>26</v>
      </c>
      <c r="P960" s="19"/>
      <c r="Q960" s="19"/>
      <c r="R960" s="19"/>
      <c r="S960" s="16"/>
    </row>
    <row r="961" spans="1:19">
      <c r="A961" s="21"/>
      <c r="B961" s="120"/>
      <c r="C961" s="120"/>
      <c r="D961" s="120"/>
      <c r="E961" s="120"/>
      <c r="F961" s="114"/>
      <c r="G961" s="114"/>
      <c r="H961" s="114"/>
      <c r="I961" s="16"/>
      <c r="K961" s="21"/>
      <c r="L961" s="120"/>
      <c r="M961" s="120"/>
      <c r="N961" s="120"/>
      <c r="O961" s="120"/>
      <c r="P961" s="114"/>
      <c r="Q961" s="114"/>
      <c r="R961" s="114"/>
      <c r="S961" s="16"/>
    </row>
    <row r="962" spans="1:19">
      <c r="A962" s="21">
        <v>2</v>
      </c>
      <c r="B962" s="1098" t="s">
        <v>45</v>
      </c>
      <c r="C962" s="1098"/>
      <c r="D962" s="1098"/>
      <c r="E962" s="120"/>
      <c r="F962" s="114"/>
      <c r="G962" s="114"/>
      <c r="H962" s="114"/>
      <c r="I962" s="16"/>
      <c r="K962" s="21">
        <v>2</v>
      </c>
      <c r="L962" s="1098" t="s">
        <v>45</v>
      </c>
      <c r="M962" s="1098"/>
      <c r="N962" s="1098"/>
      <c r="O962" s="120"/>
      <c r="P962" s="114"/>
      <c r="Q962" s="114"/>
      <c r="R962" s="114"/>
      <c r="S962" s="16"/>
    </row>
    <row r="963" spans="1:19">
      <c r="A963" s="21"/>
      <c r="B963" s="1098"/>
      <c r="C963" s="1098"/>
      <c r="D963" s="1098"/>
      <c r="E963" s="23" t="s">
        <v>28</v>
      </c>
      <c r="F963" s="19"/>
      <c r="G963" s="19"/>
      <c r="H963" s="19"/>
      <c r="I963" s="16"/>
      <c r="K963" s="21"/>
      <c r="L963" s="1098"/>
      <c r="M963" s="1098"/>
      <c r="N963" s="1098"/>
      <c r="O963" s="23" t="s">
        <v>28</v>
      </c>
      <c r="P963" s="19"/>
      <c r="Q963" s="19"/>
      <c r="R963" s="19"/>
      <c r="S963" s="16"/>
    </row>
    <row r="964" spans="1:19">
      <c r="A964" s="21"/>
      <c r="B964" s="120"/>
      <c r="C964" s="120"/>
      <c r="D964" s="120"/>
      <c r="E964" s="120"/>
      <c r="F964" s="114"/>
      <c r="G964" s="114"/>
      <c r="H964" s="114"/>
      <c r="I964" s="16"/>
      <c r="K964" s="21"/>
      <c r="L964" s="120"/>
      <c r="M964" s="120"/>
      <c r="N964" s="120"/>
      <c r="O964" s="120"/>
      <c r="P964" s="114"/>
      <c r="Q964" s="114"/>
      <c r="R964" s="114"/>
      <c r="S964" s="16"/>
    </row>
    <row r="965" spans="1:19">
      <c r="A965" s="21">
        <v>3</v>
      </c>
      <c r="B965" s="1099" t="s">
        <v>46</v>
      </c>
      <c r="C965" s="1099"/>
      <c r="D965" s="1099"/>
      <c r="E965" s="23" t="s">
        <v>28</v>
      </c>
      <c r="F965" s="19"/>
      <c r="G965" s="19"/>
      <c r="H965" s="19"/>
      <c r="I965" s="16"/>
      <c r="K965" s="21">
        <v>3</v>
      </c>
      <c r="L965" s="1099" t="s">
        <v>46</v>
      </c>
      <c r="M965" s="1099"/>
      <c r="N965" s="1099"/>
      <c r="O965" s="18" t="str">
        <f>E965</f>
        <v>N/A</v>
      </c>
      <c r="P965" s="19"/>
      <c r="Q965" s="19"/>
      <c r="R965" s="19"/>
      <c r="S965" s="16"/>
    </row>
    <row r="966" spans="1:19">
      <c r="A966" s="21"/>
      <c r="B966" s="120"/>
      <c r="C966" s="120"/>
      <c r="D966" s="120"/>
      <c r="E966" s="120"/>
      <c r="F966" s="114"/>
      <c r="G966" s="114"/>
      <c r="H966" s="114"/>
      <c r="I966" s="16"/>
      <c r="K966" s="21"/>
      <c r="L966" s="120"/>
      <c r="M966" s="120"/>
      <c r="N966" s="120"/>
      <c r="O966" s="120"/>
      <c r="P966" s="114"/>
      <c r="Q966" s="114"/>
      <c r="R966" s="114"/>
      <c r="S966" s="16"/>
    </row>
    <row r="967" spans="1:19">
      <c r="A967" s="21">
        <v>4</v>
      </c>
      <c r="B967" s="1099" t="s">
        <v>47</v>
      </c>
      <c r="C967" s="1099"/>
      <c r="D967" s="1099"/>
      <c r="E967" s="23" t="s">
        <v>48</v>
      </c>
      <c r="F967" s="19"/>
      <c r="G967" s="19"/>
      <c r="H967" s="19"/>
      <c r="I967" s="16"/>
      <c r="K967" s="21">
        <v>4</v>
      </c>
      <c r="L967" s="1099" t="s">
        <v>47</v>
      </c>
      <c r="M967" s="1099"/>
      <c r="N967" s="1099"/>
      <c r="O967" s="23" t="s">
        <v>48</v>
      </c>
      <c r="P967" s="19"/>
      <c r="Q967" s="19"/>
      <c r="R967" s="19"/>
      <c r="S967" s="16"/>
    </row>
    <row r="968" spans="1:19">
      <c r="A968" s="21"/>
      <c r="B968" s="120"/>
      <c r="C968" s="120"/>
      <c r="D968" s="120"/>
      <c r="E968" s="120"/>
      <c r="F968" s="114"/>
      <c r="G968" s="114"/>
      <c r="H968" s="114"/>
      <c r="I968" s="16"/>
      <c r="K968" s="21"/>
      <c r="L968" s="120"/>
      <c r="M968" s="120"/>
      <c r="N968" s="120"/>
      <c r="O968" s="120"/>
      <c r="P968" s="114"/>
      <c r="Q968" s="114"/>
      <c r="R968" s="114"/>
      <c r="S968" s="16"/>
    </row>
    <row r="969" spans="1:19">
      <c r="A969" s="21">
        <v>5</v>
      </c>
      <c r="B969" s="1099" t="s">
        <v>49</v>
      </c>
      <c r="C969" s="1099"/>
      <c r="D969" s="1099"/>
      <c r="E969" s="24">
        <f>Master!AK37</f>
        <v>9210.4</v>
      </c>
      <c r="F969" s="19"/>
      <c r="G969" s="19"/>
      <c r="H969" s="19"/>
      <c r="I969" s="16"/>
      <c r="K969" s="21">
        <v>5</v>
      </c>
      <c r="L969" s="1099" t="s">
        <v>49</v>
      </c>
      <c r="M969" s="1099"/>
      <c r="N969" s="1099"/>
      <c r="O969" s="24">
        <f>E969</f>
        <v>9210.4</v>
      </c>
      <c r="P969" s="19"/>
      <c r="Q969" s="19"/>
      <c r="R969" s="19"/>
      <c r="S969" s="16"/>
    </row>
    <row r="970" spans="1:19">
      <c r="A970" s="21"/>
      <c r="B970" s="120"/>
      <c r="C970" s="120"/>
      <c r="D970" s="238" t="s">
        <v>50</v>
      </c>
      <c r="E970" s="238" t="s">
        <v>23</v>
      </c>
      <c r="F970" s="136" t="s">
        <v>25</v>
      </c>
      <c r="G970" s="238" t="s">
        <v>26</v>
      </c>
      <c r="H970" s="238" t="s">
        <v>202</v>
      </c>
      <c r="I970" s="126" t="s">
        <v>51</v>
      </c>
      <c r="K970" s="21"/>
      <c r="L970" s="120"/>
      <c r="M970" s="120"/>
      <c r="N970" s="238" t="s">
        <v>50</v>
      </c>
      <c r="O970" s="238" t="s">
        <v>23</v>
      </c>
      <c r="P970" s="136" t="s">
        <v>25</v>
      </c>
      <c r="Q970" s="238" t="s">
        <v>26</v>
      </c>
      <c r="R970" s="238" t="str">
        <f>H970</f>
        <v>ADV</v>
      </c>
      <c r="S970" s="126" t="s">
        <v>51</v>
      </c>
    </row>
    <row r="971" spans="1:19">
      <c r="A971" s="21">
        <v>6</v>
      </c>
      <c r="B971" s="468" t="s">
        <v>52</v>
      </c>
      <c r="C971" s="468"/>
      <c r="D971" s="335">
        <f>Master!AM37</f>
        <v>1105</v>
      </c>
      <c r="E971" s="335">
        <f>Master!AL37</f>
        <v>70</v>
      </c>
      <c r="F971" s="180">
        <f>Master!AN37</f>
        <v>0</v>
      </c>
      <c r="G971" s="180">
        <f>Master!AO37</f>
        <v>0</v>
      </c>
      <c r="H971" s="180">
        <f>Master!AP37</f>
        <v>0</v>
      </c>
      <c r="I971" s="127">
        <f>D971+E971+F971+G971+H971</f>
        <v>1175</v>
      </c>
      <c r="K971" s="21">
        <v>6</v>
      </c>
      <c r="L971" s="468" t="s">
        <v>52</v>
      </c>
      <c r="M971" s="468"/>
      <c r="N971" s="335">
        <f>D971</f>
        <v>1105</v>
      </c>
      <c r="O971" s="335">
        <f>E971</f>
        <v>70</v>
      </c>
      <c r="P971" s="180">
        <f>F971</f>
        <v>0</v>
      </c>
      <c r="Q971" s="180">
        <f>G971</f>
        <v>0</v>
      </c>
      <c r="R971" s="180">
        <f>H971</f>
        <v>0</v>
      </c>
      <c r="S971" s="127">
        <f>N971+O971+R971</f>
        <v>1175</v>
      </c>
    </row>
    <row r="972" spans="1:19">
      <c r="A972" s="21"/>
      <c r="B972" s="120"/>
      <c r="C972" s="120"/>
      <c r="D972" s="120"/>
      <c r="E972" s="120"/>
      <c r="F972" s="114"/>
      <c r="G972" s="114"/>
      <c r="H972" s="114"/>
      <c r="I972" s="16"/>
      <c r="K972" s="21"/>
      <c r="L972" s="120"/>
      <c r="M972" s="120"/>
      <c r="N972" s="120"/>
      <c r="O972" s="120"/>
      <c r="P972" s="114"/>
      <c r="Q972" s="114"/>
      <c r="R972" s="114"/>
      <c r="S972" s="16"/>
    </row>
    <row r="973" spans="1:19">
      <c r="A973" s="21">
        <v>7</v>
      </c>
      <c r="B973" s="1099" t="s">
        <v>53</v>
      </c>
      <c r="C973" s="1099"/>
      <c r="D973" s="1099"/>
      <c r="E973" s="24">
        <f>E969-I971</f>
        <v>8035.4</v>
      </c>
      <c r="F973" s="19"/>
      <c r="G973" s="19"/>
      <c r="H973" s="19"/>
      <c r="I973" s="16"/>
      <c r="K973" s="21">
        <v>7</v>
      </c>
      <c r="L973" s="1099" t="s">
        <v>53</v>
      </c>
      <c r="M973" s="1099"/>
      <c r="N973" s="1099"/>
      <c r="O973" s="24">
        <f>E973</f>
        <v>8035.4</v>
      </c>
      <c r="P973" s="19"/>
      <c r="Q973" s="19"/>
      <c r="R973" s="19"/>
      <c r="S973" s="16"/>
    </row>
    <row r="974" spans="1:19">
      <c r="A974" s="15"/>
      <c r="B974" s="114"/>
      <c r="C974" s="114"/>
      <c r="D974" s="114"/>
      <c r="E974" s="114"/>
      <c r="F974" s="114"/>
      <c r="G974" s="114"/>
      <c r="H974" s="114"/>
      <c r="I974" s="16"/>
      <c r="K974" s="15"/>
      <c r="L974" s="114"/>
      <c r="M974" s="114"/>
      <c r="N974" s="114"/>
      <c r="O974" s="114"/>
      <c r="P974" s="114"/>
      <c r="Q974" s="114"/>
      <c r="R974" s="114"/>
      <c r="S974" s="16"/>
    </row>
    <row r="975" spans="1:19">
      <c r="A975" s="15"/>
      <c r="B975" s="114"/>
      <c r="C975" s="114"/>
      <c r="D975" s="114"/>
      <c r="E975" s="114"/>
      <c r="F975" s="114"/>
      <c r="G975" s="114"/>
      <c r="H975" s="114"/>
      <c r="I975" s="16"/>
      <c r="K975" s="15"/>
      <c r="L975" s="114"/>
      <c r="M975" s="114"/>
      <c r="N975" s="114"/>
      <c r="O975" s="114"/>
      <c r="P975" s="114"/>
      <c r="Q975" s="114"/>
      <c r="R975" s="114"/>
      <c r="S975" s="16"/>
    </row>
    <row r="976" spans="1:19" ht="15" thickBot="1">
      <c r="A976" s="15"/>
      <c r="B976" s="114"/>
      <c r="C976" s="114"/>
      <c r="D976" s="114"/>
      <c r="E976" s="114"/>
      <c r="F976" s="25"/>
      <c r="G976" s="25"/>
      <c r="H976" s="25"/>
      <c r="I976" s="26"/>
      <c r="K976" s="15"/>
      <c r="L976" s="114"/>
      <c r="M976" s="114"/>
      <c r="N976" s="114"/>
      <c r="O976" s="114"/>
      <c r="P976" s="25"/>
      <c r="Q976" s="25"/>
      <c r="R976" s="25"/>
      <c r="S976" s="26"/>
    </row>
    <row r="977" spans="1:19" ht="15" thickBot="1">
      <c r="A977" s="27"/>
      <c r="B977" s="25"/>
      <c r="C977" s="25"/>
      <c r="D977" s="25"/>
      <c r="E977" s="999" t="s">
        <v>54</v>
      </c>
      <c r="F977" s="999"/>
      <c r="G977" s="999"/>
      <c r="H977" s="999"/>
      <c r="I977" s="1100"/>
      <c r="K977" s="27"/>
      <c r="L977" s="25"/>
      <c r="M977" s="25"/>
      <c r="N977" s="25"/>
      <c r="O977" s="28" t="s">
        <v>54</v>
      </c>
      <c r="P977" s="25"/>
      <c r="Q977" s="28"/>
      <c r="R977" s="28"/>
      <c r="S977" s="29"/>
    </row>
    <row r="989" spans="1:19" ht="15" thickBot="1"/>
    <row r="990" spans="1:19" ht="24.6">
      <c r="A990" s="1091" t="s">
        <v>39</v>
      </c>
      <c r="B990" s="1092"/>
      <c r="C990" s="1092"/>
      <c r="D990" s="1092"/>
      <c r="E990" s="1092"/>
      <c r="F990" s="1092"/>
      <c r="G990" s="1092"/>
      <c r="H990" s="1092"/>
      <c r="I990" s="1093"/>
      <c r="K990" s="1091" t="s">
        <v>39</v>
      </c>
      <c r="L990" s="1092"/>
      <c r="M990" s="1092"/>
      <c r="N990" s="1092"/>
      <c r="O990" s="1092"/>
      <c r="P990" s="1092"/>
      <c r="Q990" s="1092"/>
      <c r="R990" s="1092"/>
      <c r="S990" s="1093"/>
    </row>
    <row r="991" spans="1:19">
      <c r="A991" s="1094" t="s">
        <v>1075</v>
      </c>
      <c r="B991" s="1095"/>
      <c r="C991" s="1095"/>
      <c r="D991" s="1095"/>
      <c r="E991" s="1095"/>
      <c r="F991" s="1095"/>
      <c r="G991" s="1095"/>
      <c r="H991" s="1095"/>
      <c r="I991" s="1096"/>
      <c r="K991" s="1094" t="str">
        <f>A991</f>
        <v>[Vide rule 78 (1) (b) of the Contract Labour (Regulation and Abolition) Central and A.P.{T.S.}Rules, 1971]</v>
      </c>
      <c r="L991" s="1095"/>
      <c r="M991" s="1095"/>
      <c r="N991" s="1095"/>
      <c r="O991" s="1095"/>
      <c r="P991" s="1095"/>
      <c r="Q991" s="1095"/>
      <c r="R991" s="1095"/>
      <c r="S991" s="1096"/>
    </row>
    <row r="992" spans="1:19">
      <c r="A992" s="15"/>
      <c r="B992" s="114"/>
      <c r="C992" s="114"/>
      <c r="D992" s="114"/>
      <c r="E992" s="114"/>
      <c r="F992" s="114"/>
      <c r="G992" s="114"/>
      <c r="H992" s="114"/>
      <c r="I992" s="16"/>
      <c r="K992" s="15"/>
      <c r="L992" s="114"/>
      <c r="M992" s="114"/>
      <c r="N992" s="114"/>
      <c r="O992" s="114"/>
      <c r="P992" s="114"/>
      <c r="Q992" s="114"/>
      <c r="R992" s="114"/>
      <c r="S992" s="16"/>
    </row>
    <row r="993" spans="1:19">
      <c r="A993" s="17" t="s">
        <v>40</v>
      </c>
      <c r="B993" s="120"/>
      <c r="C993" s="120"/>
      <c r="D993" s="121" t="str">
        <f>Master!F5</f>
        <v>GROTECH LANDSCAPE DEVELOPERS PVT. LTD.</v>
      </c>
      <c r="E993" s="114"/>
      <c r="F993" s="114"/>
      <c r="G993" s="114"/>
      <c r="H993" s="114"/>
      <c r="I993" s="16"/>
      <c r="K993" s="17" t="s">
        <v>40</v>
      </c>
      <c r="L993" s="120"/>
      <c r="M993" s="120"/>
      <c r="N993" s="121" t="str">
        <f>D993</f>
        <v>GROTECH LANDSCAPE DEVELOPERS PVT. LTD.</v>
      </c>
      <c r="O993" s="114"/>
      <c r="P993" s="114"/>
      <c r="Q993" s="114"/>
      <c r="R993" s="114"/>
      <c r="S993" s="16"/>
    </row>
    <row r="994" spans="1:19">
      <c r="A994" s="17"/>
      <c r="B994" s="120" t="str">
        <f>Master!F6</f>
        <v>290/E, Khanapur Village, Gandipet Mandal, Ranga Reddy, Hyderabad-500075 T.S.</v>
      </c>
      <c r="C994" s="120"/>
      <c r="D994" s="114"/>
      <c r="E994" s="114"/>
      <c r="F994" s="114"/>
      <c r="G994" s="114"/>
      <c r="H994" s="114"/>
      <c r="I994" s="16"/>
      <c r="K994" s="17"/>
      <c r="L994" s="120" t="str">
        <f>B994</f>
        <v>290/E, Khanapur Village, Gandipet Mandal, Ranga Reddy, Hyderabad-500075 T.S.</v>
      </c>
      <c r="M994" s="120"/>
      <c r="N994" s="114"/>
      <c r="O994" s="114"/>
      <c r="P994" s="114"/>
      <c r="Q994" s="114"/>
      <c r="R994" s="114"/>
      <c r="S994" s="16"/>
    </row>
    <row r="995" spans="1:19">
      <c r="A995" s="17"/>
      <c r="B995" s="120"/>
      <c r="C995" s="120"/>
      <c r="D995" s="120"/>
      <c r="E995" s="120"/>
      <c r="F995" s="114"/>
      <c r="G995" s="114"/>
      <c r="H995" s="114"/>
      <c r="I995" s="16"/>
      <c r="K995" s="17"/>
      <c r="L995" s="120"/>
      <c r="M995" s="120"/>
      <c r="N995" s="120"/>
      <c r="O995" s="120"/>
      <c r="P995" s="114"/>
      <c r="Q995" s="114"/>
      <c r="R995" s="114"/>
      <c r="S995" s="16"/>
    </row>
    <row r="996" spans="1:19">
      <c r="A996" s="1097" t="s">
        <v>41</v>
      </c>
      <c r="B996" s="1098"/>
      <c r="C996" s="1098"/>
      <c r="D996" s="1098"/>
      <c r="E996" s="120"/>
      <c r="F996" s="114"/>
      <c r="G996" s="114"/>
      <c r="H996" s="114"/>
      <c r="I996" s="16"/>
      <c r="K996" s="1097" t="s">
        <v>41</v>
      </c>
      <c r="L996" s="1098"/>
      <c r="M996" s="1098"/>
      <c r="N996" s="1098"/>
      <c r="O996" s="120"/>
      <c r="P996" s="114"/>
      <c r="Q996" s="114"/>
      <c r="R996" s="114"/>
      <c r="S996" s="16"/>
    </row>
    <row r="997" spans="1:19">
      <c r="A997" s="1097"/>
      <c r="B997" s="1098"/>
      <c r="C997" s="1098"/>
      <c r="D997" s="1098"/>
      <c r="E997" s="128" t="str">
        <f>Master!D38</f>
        <v>SANGOLLA LAVANYA</v>
      </c>
      <c r="F997" s="19"/>
      <c r="G997" s="19"/>
      <c r="H997" s="19" t="str">
        <f>Master!G38</f>
        <v>SANGOLLA ASHOK</v>
      </c>
      <c r="I997" s="16"/>
      <c r="K997" s="1097"/>
      <c r="L997" s="1098"/>
      <c r="M997" s="1098"/>
      <c r="N997" s="1098"/>
      <c r="O997" s="18" t="str">
        <f>E997</f>
        <v>SANGOLLA LAVANYA</v>
      </c>
      <c r="P997" s="19"/>
      <c r="Q997" s="19"/>
      <c r="R997" s="19" t="str">
        <f>H997</f>
        <v>SANGOLLA ASHOK</v>
      </c>
      <c r="S997" s="16"/>
    </row>
    <row r="998" spans="1:19">
      <c r="A998" s="17"/>
      <c r="B998" s="120"/>
      <c r="C998" s="120"/>
      <c r="D998" s="120"/>
      <c r="E998" s="120"/>
      <c r="F998" s="114"/>
      <c r="G998" s="114"/>
      <c r="H998" s="114"/>
      <c r="I998" s="16"/>
      <c r="K998" s="17"/>
      <c r="L998" s="120"/>
      <c r="M998" s="120"/>
      <c r="N998" s="120"/>
      <c r="O998" s="120"/>
      <c r="P998" s="114"/>
      <c r="Q998" s="114"/>
      <c r="R998" s="114"/>
      <c r="S998" s="16"/>
    </row>
    <row r="999" spans="1:19">
      <c r="A999" s="1101" t="s">
        <v>42</v>
      </c>
      <c r="B999" s="1099"/>
      <c r="C999" s="1099"/>
      <c r="D999" s="1099"/>
      <c r="E999" s="24" t="str">
        <f>Master!F8</f>
        <v>GARDENING SERVICES&amp;ISB HYDERABAD</v>
      </c>
      <c r="F999" s="19"/>
      <c r="G999" s="19"/>
      <c r="H999" s="19"/>
      <c r="I999" s="16"/>
      <c r="K999" s="1101" t="s">
        <v>42</v>
      </c>
      <c r="L999" s="1099"/>
      <c r="M999" s="1099"/>
      <c r="N999" s="1099"/>
      <c r="O999" s="24" t="str">
        <f>E999</f>
        <v>GARDENING SERVICES&amp;ISB HYDERABAD</v>
      </c>
      <c r="P999" s="19"/>
      <c r="Q999" s="19"/>
      <c r="R999" s="19"/>
      <c r="S999" s="16"/>
    </row>
    <row r="1000" spans="1:19">
      <c r="A1000" s="17"/>
      <c r="B1000" s="120"/>
      <c r="C1000" s="120"/>
      <c r="D1000" s="120"/>
      <c r="E1000" s="120"/>
      <c r="F1000" s="114"/>
      <c r="G1000" s="114"/>
      <c r="H1000" s="114"/>
      <c r="I1000" s="16"/>
      <c r="K1000" s="17"/>
      <c r="L1000" s="120"/>
      <c r="M1000" s="120"/>
      <c r="N1000" s="120"/>
      <c r="O1000" s="120"/>
      <c r="P1000" s="114"/>
      <c r="Q1000" s="114"/>
      <c r="R1000" s="114"/>
      <c r="S1000" s="16"/>
    </row>
    <row r="1001" spans="1:19">
      <c r="A1001" s="1101" t="s">
        <v>43</v>
      </c>
      <c r="B1001" s="1099"/>
      <c r="C1001" s="1099"/>
      <c r="D1001" s="1099"/>
      <c r="E1001" s="20">
        <f>Master!F10</f>
        <v>44652</v>
      </c>
      <c r="F1001" s="19"/>
      <c r="G1001" s="19"/>
      <c r="H1001" s="19"/>
      <c r="I1001" s="16"/>
      <c r="K1001" s="1101" t="s">
        <v>43</v>
      </c>
      <c r="L1001" s="1099"/>
      <c r="M1001" s="1099"/>
      <c r="N1001" s="1099"/>
      <c r="O1001" s="20">
        <f>E1001</f>
        <v>44652</v>
      </c>
      <c r="P1001" s="19"/>
      <c r="Q1001" s="19"/>
      <c r="R1001" s="19"/>
      <c r="S1001" s="16"/>
    </row>
    <row r="1002" spans="1:19">
      <c r="A1002" s="17"/>
      <c r="B1002" s="120"/>
      <c r="C1002" s="120"/>
      <c r="D1002" s="120"/>
      <c r="E1002" s="120"/>
      <c r="F1002" s="114"/>
      <c r="G1002" s="114"/>
      <c r="H1002" s="114"/>
      <c r="I1002" s="16"/>
      <c r="K1002" s="17"/>
      <c r="L1002" s="120"/>
      <c r="M1002" s="120"/>
      <c r="N1002" s="120"/>
      <c r="O1002" s="120"/>
      <c r="P1002" s="114"/>
      <c r="Q1002" s="114"/>
      <c r="R1002" s="114"/>
      <c r="S1002" s="16"/>
    </row>
    <row r="1003" spans="1:19">
      <c r="A1003" s="21">
        <v>1</v>
      </c>
      <c r="B1003" s="1099" t="s">
        <v>44</v>
      </c>
      <c r="C1003" s="1099"/>
      <c r="D1003" s="1099"/>
      <c r="E1003" s="22">
        <f>Master!AA38</f>
        <v>26</v>
      </c>
      <c r="F1003" s="19"/>
      <c r="G1003" s="19"/>
      <c r="H1003" s="19"/>
      <c r="I1003" s="16"/>
      <c r="K1003" s="21">
        <v>1</v>
      </c>
      <c r="L1003" s="1099" t="s">
        <v>44</v>
      </c>
      <c r="M1003" s="1099"/>
      <c r="N1003" s="1099"/>
      <c r="O1003" s="22">
        <f>E1003</f>
        <v>26</v>
      </c>
      <c r="P1003" s="19"/>
      <c r="Q1003" s="19"/>
      <c r="R1003" s="19"/>
      <c r="S1003" s="16"/>
    </row>
    <row r="1004" spans="1:19">
      <c r="A1004" s="21"/>
      <c r="B1004" s="120"/>
      <c r="C1004" s="120"/>
      <c r="D1004" s="120"/>
      <c r="E1004" s="120"/>
      <c r="F1004" s="114"/>
      <c r="G1004" s="114"/>
      <c r="H1004" s="114"/>
      <c r="I1004" s="16"/>
      <c r="K1004" s="21"/>
      <c r="L1004" s="120"/>
      <c r="M1004" s="120"/>
      <c r="N1004" s="120"/>
      <c r="O1004" s="120"/>
      <c r="P1004" s="114"/>
      <c r="Q1004" s="114"/>
      <c r="R1004" s="114"/>
      <c r="S1004" s="16"/>
    </row>
    <row r="1005" spans="1:19">
      <c r="A1005" s="21">
        <v>2</v>
      </c>
      <c r="B1005" s="1098" t="s">
        <v>45</v>
      </c>
      <c r="C1005" s="1098"/>
      <c r="D1005" s="1098"/>
      <c r="E1005" s="120"/>
      <c r="F1005" s="114"/>
      <c r="G1005" s="114"/>
      <c r="H1005" s="114"/>
      <c r="I1005" s="16"/>
      <c r="K1005" s="21">
        <v>2</v>
      </c>
      <c r="L1005" s="1098" t="s">
        <v>45</v>
      </c>
      <c r="M1005" s="1098"/>
      <c r="N1005" s="1098"/>
      <c r="O1005" s="120"/>
      <c r="P1005" s="114"/>
      <c r="Q1005" s="114"/>
      <c r="R1005" s="114"/>
      <c r="S1005" s="16"/>
    </row>
    <row r="1006" spans="1:19">
      <c r="A1006" s="21"/>
      <c r="B1006" s="1098"/>
      <c r="C1006" s="1098"/>
      <c r="D1006" s="1098"/>
      <c r="E1006" s="23" t="s">
        <v>28</v>
      </c>
      <c r="F1006" s="19"/>
      <c r="G1006" s="19"/>
      <c r="H1006" s="19"/>
      <c r="I1006" s="16"/>
      <c r="K1006" s="21"/>
      <c r="L1006" s="1098"/>
      <c r="M1006" s="1098"/>
      <c r="N1006" s="1098"/>
      <c r="O1006" s="23" t="s">
        <v>28</v>
      </c>
      <c r="P1006" s="19"/>
      <c r="Q1006" s="19"/>
      <c r="R1006" s="19"/>
      <c r="S1006" s="16"/>
    </row>
    <row r="1007" spans="1:19">
      <c r="A1007" s="21"/>
      <c r="B1007" s="120"/>
      <c r="C1007" s="120"/>
      <c r="D1007" s="120"/>
      <c r="E1007" s="120"/>
      <c r="F1007" s="114"/>
      <c r="G1007" s="114"/>
      <c r="H1007" s="114"/>
      <c r="I1007" s="16"/>
      <c r="K1007" s="21"/>
      <c r="L1007" s="120"/>
      <c r="M1007" s="120"/>
      <c r="N1007" s="120"/>
      <c r="O1007" s="120"/>
      <c r="P1007" s="114"/>
      <c r="Q1007" s="114"/>
      <c r="R1007" s="114"/>
      <c r="S1007" s="16"/>
    </row>
    <row r="1008" spans="1:19">
      <c r="A1008" s="21">
        <v>3</v>
      </c>
      <c r="B1008" s="1099" t="s">
        <v>46</v>
      </c>
      <c r="C1008" s="1099"/>
      <c r="D1008" s="1099"/>
      <c r="E1008" s="23" t="s">
        <v>28</v>
      </c>
      <c r="F1008" s="19"/>
      <c r="G1008" s="19"/>
      <c r="H1008" s="19"/>
      <c r="I1008" s="16"/>
      <c r="K1008" s="21">
        <v>3</v>
      </c>
      <c r="L1008" s="1099" t="s">
        <v>46</v>
      </c>
      <c r="M1008" s="1099"/>
      <c r="N1008" s="1099"/>
      <c r="O1008" s="18" t="str">
        <f>E1008</f>
        <v>N/A</v>
      </c>
      <c r="P1008" s="19"/>
      <c r="Q1008" s="19"/>
      <c r="R1008" s="19"/>
      <c r="S1008" s="16"/>
    </row>
    <row r="1009" spans="1:19">
      <c r="A1009" s="21"/>
      <c r="B1009" s="120"/>
      <c r="C1009" s="120"/>
      <c r="D1009" s="120"/>
      <c r="E1009" s="120"/>
      <c r="F1009" s="114"/>
      <c r="G1009" s="114"/>
      <c r="H1009" s="114"/>
      <c r="I1009" s="16"/>
      <c r="K1009" s="21"/>
      <c r="L1009" s="120"/>
      <c r="M1009" s="120"/>
      <c r="N1009" s="120"/>
      <c r="O1009" s="120"/>
      <c r="P1009" s="114"/>
      <c r="Q1009" s="114"/>
      <c r="R1009" s="114"/>
      <c r="S1009" s="16"/>
    </row>
    <row r="1010" spans="1:19">
      <c r="A1010" s="21">
        <v>4</v>
      </c>
      <c r="B1010" s="1099" t="s">
        <v>47</v>
      </c>
      <c r="C1010" s="1099"/>
      <c r="D1010" s="1099"/>
      <c r="E1010" s="23" t="s">
        <v>48</v>
      </c>
      <c r="F1010" s="19"/>
      <c r="G1010" s="19"/>
      <c r="H1010" s="19"/>
      <c r="I1010" s="16"/>
      <c r="K1010" s="21">
        <v>4</v>
      </c>
      <c r="L1010" s="1099" t="s">
        <v>47</v>
      </c>
      <c r="M1010" s="1099"/>
      <c r="N1010" s="1099"/>
      <c r="O1010" s="23" t="s">
        <v>48</v>
      </c>
      <c r="P1010" s="19"/>
      <c r="Q1010" s="19"/>
      <c r="R1010" s="19"/>
      <c r="S1010" s="16"/>
    </row>
    <row r="1011" spans="1:19">
      <c r="A1011" s="21"/>
      <c r="B1011" s="120"/>
      <c r="C1011" s="120"/>
      <c r="D1011" s="120"/>
      <c r="E1011" s="120"/>
      <c r="F1011" s="114"/>
      <c r="G1011" s="114"/>
      <c r="H1011" s="114"/>
      <c r="I1011" s="16"/>
      <c r="K1011" s="21"/>
      <c r="L1011" s="120"/>
      <c r="M1011" s="120"/>
      <c r="N1011" s="120"/>
      <c r="O1011" s="120"/>
      <c r="P1011" s="114"/>
      <c r="Q1011" s="114"/>
      <c r="R1011" s="114"/>
      <c r="S1011" s="16"/>
    </row>
    <row r="1012" spans="1:19">
      <c r="A1012" s="21">
        <v>5</v>
      </c>
      <c r="B1012" s="1099" t="s">
        <v>49</v>
      </c>
      <c r="C1012" s="1099"/>
      <c r="D1012" s="1099"/>
      <c r="E1012" s="24">
        <f>Master!AK38</f>
        <v>9210.4</v>
      </c>
      <c r="F1012" s="19"/>
      <c r="G1012" s="19"/>
      <c r="H1012" s="19"/>
      <c r="I1012" s="16"/>
      <c r="K1012" s="21">
        <v>5</v>
      </c>
      <c r="L1012" s="1099" t="s">
        <v>49</v>
      </c>
      <c r="M1012" s="1099"/>
      <c r="N1012" s="1099"/>
      <c r="O1012" s="24">
        <f>E1012</f>
        <v>9210.4</v>
      </c>
      <c r="P1012" s="19"/>
      <c r="Q1012" s="19"/>
      <c r="R1012" s="19"/>
      <c r="S1012" s="16"/>
    </row>
    <row r="1013" spans="1:19">
      <c r="A1013" s="21"/>
      <c r="B1013" s="120"/>
      <c r="C1013" s="120"/>
      <c r="D1013" s="238" t="s">
        <v>50</v>
      </c>
      <c r="E1013" s="238" t="s">
        <v>23</v>
      </c>
      <c r="F1013" s="136" t="s">
        <v>25</v>
      </c>
      <c r="G1013" s="238" t="s">
        <v>26</v>
      </c>
      <c r="H1013" s="238" t="s">
        <v>202</v>
      </c>
      <c r="I1013" s="126" t="s">
        <v>51</v>
      </c>
      <c r="K1013" s="21"/>
      <c r="L1013" s="120"/>
      <c r="M1013" s="120"/>
      <c r="N1013" s="238" t="s">
        <v>50</v>
      </c>
      <c r="O1013" s="238" t="s">
        <v>23</v>
      </c>
      <c r="P1013" s="136" t="s">
        <v>25</v>
      </c>
      <c r="Q1013" s="238" t="s">
        <v>26</v>
      </c>
      <c r="R1013" s="238" t="str">
        <f>H1013</f>
        <v>ADV</v>
      </c>
      <c r="S1013" s="126" t="s">
        <v>51</v>
      </c>
    </row>
    <row r="1014" spans="1:19">
      <c r="A1014" s="21">
        <v>6</v>
      </c>
      <c r="B1014" s="468" t="s">
        <v>52</v>
      </c>
      <c r="C1014" s="468"/>
      <c r="D1014" s="335">
        <f>Master!AM38</f>
        <v>1105</v>
      </c>
      <c r="E1014" s="335">
        <f>Master!AL38</f>
        <v>70</v>
      </c>
      <c r="F1014" s="180">
        <f>Master!AN38</f>
        <v>0</v>
      </c>
      <c r="G1014" s="180">
        <f>Master!AO38</f>
        <v>0</v>
      </c>
      <c r="H1014" s="180">
        <f>Master!AP38</f>
        <v>0</v>
      </c>
      <c r="I1014" s="127">
        <f>D1014+E1014+F1014+G1014+H1014</f>
        <v>1175</v>
      </c>
      <c r="K1014" s="21">
        <v>6</v>
      </c>
      <c r="L1014" s="468" t="s">
        <v>52</v>
      </c>
      <c r="M1014" s="468"/>
      <c r="N1014" s="335">
        <f>D1014</f>
        <v>1105</v>
      </c>
      <c r="O1014" s="335">
        <f>E1014</f>
        <v>70</v>
      </c>
      <c r="P1014" s="180">
        <f>F1014</f>
        <v>0</v>
      </c>
      <c r="Q1014" s="180">
        <f>G1014</f>
        <v>0</v>
      </c>
      <c r="R1014" s="180">
        <f>H1014</f>
        <v>0</v>
      </c>
      <c r="S1014" s="127">
        <f>N1014+O1014+R1014</f>
        <v>1175</v>
      </c>
    </row>
    <row r="1015" spans="1:19">
      <c r="A1015" s="21"/>
      <c r="B1015" s="120"/>
      <c r="C1015" s="120"/>
      <c r="D1015" s="120"/>
      <c r="E1015" s="120"/>
      <c r="F1015" s="114"/>
      <c r="G1015" s="114"/>
      <c r="H1015" s="114"/>
      <c r="I1015" s="16"/>
      <c r="K1015" s="21"/>
      <c r="L1015" s="120"/>
      <c r="M1015" s="120"/>
      <c r="N1015" s="120"/>
      <c r="O1015" s="120"/>
      <c r="P1015" s="114"/>
      <c r="Q1015" s="114"/>
      <c r="R1015" s="114"/>
      <c r="S1015" s="16"/>
    </row>
    <row r="1016" spans="1:19">
      <c r="A1016" s="21">
        <v>7</v>
      </c>
      <c r="B1016" s="1099" t="s">
        <v>53</v>
      </c>
      <c r="C1016" s="1099"/>
      <c r="D1016" s="1099"/>
      <c r="E1016" s="24">
        <f>E1012-I1014</f>
        <v>8035.4</v>
      </c>
      <c r="F1016" s="19"/>
      <c r="G1016" s="19"/>
      <c r="H1016" s="19"/>
      <c r="I1016" s="16"/>
      <c r="K1016" s="21">
        <v>7</v>
      </c>
      <c r="L1016" s="1099" t="s">
        <v>53</v>
      </c>
      <c r="M1016" s="1099"/>
      <c r="N1016" s="1099"/>
      <c r="O1016" s="24">
        <f>E1016</f>
        <v>8035.4</v>
      </c>
      <c r="P1016" s="19"/>
      <c r="Q1016" s="19"/>
      <c r="R1016" s="19"/>
      <c r="S1016" s="16"/>
    </row>
    <row r="1017" spans="1:19">
      <c r="A1017" s="15"/>
      <c r="B1017" s="114"/>
      <c r="C1017" s="114"/>
      <c r="D1017" s="114"/>
      <c r="E1017" s="114"/>
      <c r="F1017" s="114"/>
      <c r="G1017" s="114"/>
      <c r="H1017" s="114"/>
      <c r="I1017" s="16"/>
      <c r="K1017" s="15"/>
      <c r="L1017" s="114"/>
      <c r="M1017" s="114"/>
      <c r="N1017" s="114"/>
      <c r="O1017" s="114"/>
      <c r="P1017" s="114"/>
      <c r="Q1017" s="114"/>
      <c r="R1017" s="114"/>
      <c r="S1017" s="16"/>
    </row>
    <row r="1018" spans="1:19">
      <c r="A1018" s="15"/>
      <c r="B1018" s="114"/>
      <c r="C1018" s="114"/>
      <c r="D1018" s="114"/>
      <c r="E1018" s="114"/>
      <c r="F1018" s="114"/>
      <c r="G1018" s="114"/>
      <c r="H1018" s="114"/>
      <c r="I1018" s="16"/>
      <c r="K1018" s="15"/>
      <c r="L1018" s="114"/>
      <c r="M1018" s="114"/>
      <c r="N1018" s="114"/>
      <c r="O1018" s="114"/>
      <c r="P1018" s="114"/>
      <c r="Q1018" s="114"/>
      <c r="R1018" s="114"/>
      <c r="S1018" s="16"/>
    </row>
    <row r="1019" spans="1:19" ht="15" thickBot="1">
      <c r="A1019" s="15"/>
      <c r="B1019" s="114"/>
      <c r="C1019" s="114"/>
      <c r="D1019" s="114"/>
      <c r="E1019" s="114"/>
      <c r="F1019" s="25"/>
      <c r="G1019" s="25"/>
      <c r="H1019" s="25"/>
      <c r="I1019" s="26"/>
      <c r="K1019" s="15"/>
      <c r="L1019" s="114"/>
      <c r="M1019" s="114"/>
      <c r="N1019" s="114"/>
      <c r="O1019" s="114"/>
      <c r="P1019" s="25"/>
      <c r="Q1019" s="25"/>
      <c r="R1019" s="25"/>
      <c r="S1019" s="26"/>
    </row>
    <row r="1020" spans="1:19" ht="15" thickBot="1">
      <c r="A1020" s="27"/>
      <c r="B1020" s="25"/>
      <c r="C1020" s="25"/>
      <c r="D1020" s="25"/>
      <c r="E1020" s="999" t="s">
        <v>54</v>
      </c>
      <c r="F1020" s="999"/>
      <c r="G1020" s="999"/>
      <c r="H1020" s="999"/>
      <c r="I1020" s="1100"/>
      <c r="K1020" s="27"/>
      <c r="L1020" s="25"/>
      <c r="M1020" s="25"/>
      <c r="N1020" s="25"/>
      <c r="O1020" s="28" t="s">
        <v>54</v>
      </c>
      <c r="P1020" s="25"/>
      <c r="Q1020" s="28"/>
      <c r="R1020" s="28"/>
      <c r="S1020" s="29"/>
    </row>
    <row r="1032" spans="1:19" ht="15" thickBot="1"/>
    <row r="1033" spans="1:19" ht="24.6">
      <c r="A1033" s="1091" t="s">
        <v>39</v>
      </c>
      <c r="B1033" s="1092"/>
      <c r="C1033" s="1092"/>
      <c r="D1033" s="1092"/>
      <c r="E1033" s="1092"/>
      <c r="F1033" s="1092"/>
      <c r="G1033" s="1092"/>
      <c r="H1033" s="1092"/>
      <c r="I1033" s="1093"/>
      <c r="K1033" s="1091" t="s">
        <v>39</v>
      </c>
      <c r="L1033" s="1092"/>
      <c r="M1033" s="1092"/>
      <c r="N1033" s="1092"/>
      <c r="O1033" s="1092"/>
      <c r="P1033" s="1092"/>
      <c r="Q1033" s="1092"/>
      <c r="R1033" s="1092"/>
      <c r="S1033" s="1093"/>
    </row>
    <row r="1034" spans="1:19">
      <c r="A1034" s="1094" t="s">
        <v>1075</v>
      </c>
      <c r="B1034" s="1095"/>
      <c r="C1034" s="1095"/>
      <c r="D1034" s="1095"/>
      <c r="E1034" s="1095"/>
      <c r="F1034" s="1095"/>
      <c r="G1034" s="1095"/>
      <c r="H1034" s="1095"/>
      <c r="I1034" s="1096"/>
      <c r="K1034" s="1094" t="str">
        <f>A1034</f>
        <v>[Vide rule 78 (1) (b) of the Contract Labour (Regulation and Abolition) Central and A.P.{T.S.}Rules, 1971]</v>
      </c>
      <c r="L1034" s="1095"/>
      <c r="M1034" s="1095"/>
      <c r="N1034" s="1095"/>
      <c r="O1034" s="1095"/>
      <c r="P1034" s="1095"/>
      <c r="Q1034" s="1095"/>
      <c r="R1034" s="1095"/>
      <c r="S1034" s="1096"/>
    </row>
    <row r="1035" spans="1:19">
      <c r="A1035" s="15"/>
      <c r="B1035" s="114"/>
      <c r="C1035" s="114"/>
      <c r="D1035" s="114"/>
      <c r="E1035" s="114"/>
      <c r="F1035" s="114"/>
      <c r="G1035" s="114"/>
      <c r="H1035" s="114"/>
      <c r="I1035" s="16"/>
      <c r="K1035" s="15"/>
      <c r="L1035" s="114"/>
      <c r="M1035" s="114"/>
      <c r="N1035" s="114"/>
      <c r="O1035" s="114"/>
      <c r="P1035" s="114"/>
      <c r="Q1035" s="114"/>
      <c r="R1035" s="114"/>
      <c r="S1035" s="16"/>
    </row>
    <row r="1036" spans="1:19">
      <c r="A1036" s="17" t="s">
        <v>40</v>
      </c>
      <c r="B1036" s="120"/>
      <c r="C1036" s="120"/>
      <c r="D1036" s="121" t="str">
        <f>Master!F5</f>
        <v>GROTECH LANDSCAPE DEVELOPERS PVT. LTD.</v>
      </c>
      <c r="E1036" s="114"/>
      <c r="F1036" s="114"/>
      <c r="G1036" s="114"/>
      <c r="H1036" s="114"/>
      <c r="I1036" s="16"/>
      <c r="K1036" s="17" t="s">
        <v>40</v>
      </c>
      <c r="L1036" s="120"/>
      <c r="M1036" s="120"/>
      <c r="N1036" s="121" t="str">
        <f>D1036</f>
        <v>GROTECH LANDSCAPE DEVELOPERS PVT. LTD.</v>
      </c>
      <c r="O1036" s="114"/>
      <c r="P1036" s="114"/>
      <c r="Q1036" s="114"/>
      <c r="R1036" s="114"/>
      <c r="S1036" s="16"/>
    </row>
    <row r="1037" spans="1:19">
      <c r="A1037" s="17"/>
      <c r="B1037" s="120" t="str">
        <f>Master!F6</f>
        <v>290/E, Khanapur Village, Gandipet Mandal, Ranga Reddy, Hyderabad-500075 T.S.</v>
      </c>
      <c r="C1037" s="120"/>
      <c r="D1037" s="114"/>
      <c r="E1037" s="114"/>
      <c r="F1037" s="114"/>
      <c r="G1037" s="114"/>
      <c r="H1037" s="114"/>
      <c r="I1037" s="16"/>
      <c r="K1037" s="17"/>
      <c r="L1037" s="120" t="str">
        <f>B1037</f>
        <v>290/E, Khanapur Village, Gandipet Mandal, Ranga Reddy, Hyderabad-500075 T.S.</v>
      </c>
      <c r="M1037" s="120"/>
      <c r="N1037" s="114"/>
      <c r="O1037" s="114"/>
      <c r="P1037" s="114"/>
      <c r="Q1037" s="114"/>
      <c r="R1037" s="114"/>
      <c r="S1037" s="16"/>
    </row>
    <row r="1038" spans="1:19">
      <c r="A1038" s="17"/>
      <c r="B1038" s="120"/>
      <c r="C1038" s="120"/>
      <c r="D1038" s="120"/>
      <c r="E1038" s="120"/>
      <c r="F1038" s="114"/>
      <c r="G1038" s="114"/>
      <c r="H1038" s="114"/>
      <c r="I1038" s="16"/>
      <c r="K1038" s="17"/>
      <c r="L1038" s="120"/>
      <c r="M1038" s="120"/>
      <c r="N1038" s="120"/>
      <c r="O1038" s="120"/>
      <c r="P1038" s="114"/>
      <c r="Q1038" s="114"/>
      <c r="R1038" s="114"/>
      <c r="S1038" s="16"/>
    </row>
    <row r="1039" spans="1:19">
      <c r="A1039" s="1097" t="s">
        <v>41</v>
      </c>
      <c r="B1039" s="1098"/>
      <c r="C1039" s="1098"/>
      <c r="D1039" s="1098"/>
      <c r="E1039" s="120"/>
      <c r="F1039" s="114"/>
      <c r="G1039" s="114"/>
      <c r="H1039" s="114"/>
      <c r="I1039" s="16"/>
      <c r="K1039" s="1097" t="s">
        <v>41</v>
      </c>
      <c r="L1039" s="1098"/>
      <c r="M1039" s="1098"/>
      <c r="N1039" s="1098"/>
      <c r="O1039" s="120"/>
      <c r="P1039" s="114"/>
      <c r="Q1039" s="114"/>
      <c r="R1039" s="114"/>
      <c r="S1039" s="16"/>
    </row>
    <row r="1040" spans="1:19">
      <c r="A1040" s="1097"/>
      <c r="B1040" s="1098"/>
      <c r="C1040" s="1098"/>
      <c r="D1040" s="1098"/>
      <c r="E1040" s="128" t="str">
        <f>Master!D39</f>
        <v>MANGALI LAVANYA</v>
      </c>
      <c r="F1040" s="19"/>
      <c r="G1040" s="19"/>
      <c r="H1040" s="19" t="str">
        <f>Master!G39</f>
        <v>MANGALI PANDU</v>
      </c>
      <c r="I1040" s="16"/>
      <c r="K1040" s="1097"/>
      <c r="L1040" s="1098"/>
      <c r="M1040" s="1098"/>
      <c r="N1040" s="1098"/>
      <c r="O1040" s="18" t="str">
        <f>E1040</f>
        <v>MANGALI LAVANYA</v>
      </c>
      <c r="P1040" s="19"/>
      <c r="Q1040" s="19"/>
      <c r="R1040" s="19" t="str">
        <f>H1040</f>
        <v>MANGALI PANDU</v>
      </c>
      <c r="S1040" s="16"/>
    </row>
    <row r="1041" spans="1:19">
      <c r="A1041" s="17"/>
      <c r="B1041" s="120"/>
      <c r="C1041" s="120"/>
      <c r="D1041" s="120"/>
      <c r="E1041" s="120"/>
      <c r="F1041" s="114"/>
      <c r="G1041" s="114"/>
      <c r="H1041" s="114"/>
      <c r="I1041" s="16"/>
      <c r="K1041" s="17"/>
      <c r="L1041" s="120"/>
      <c r="M1041" s="120"/>
      <c r="N1041" s="120"/>
      <c r="O1041" s="120"/>
      <c r="P1041" s="114"/>
      <c r="Q1041" s="114"/>
      <c r="R1041" s="114"/>
      <c r="S1041" s="16"/>
    </row>
    <row r="1042" spans="1:19">
      <c r="A1042" s="1101" t="s">
        <v>42</v>
      </c>
      <c r="B1042" s="1099"/>
      <c r="C1042" s="1099"/>
      <c r="D1042" s="1099"/>
      <c r="E1042" s="24" t="str">
        <f>Master!F8</f>
        <v>GARDENING SERVICES&amp;ISB HYDERABAD</v>
      </c>
      <c r="F1042" s="19"/>
      <c r="G1042" s="19"/>
      <c r="H1042" s="19"/>
      <c r="I1042" s="16"/>
      <c r="K1042" s="1101" t="s">
        <v>42</v>
      </c>
      <c r="L1042" s="1099"/>
      <c r="M1042" s="1099"/>
      <c r="N1042" s="1099"/>
      <c r="O1042" s="24" t="str">
        <f>E1042</f>
        <v>GARDENING SERVICES&amp;ISB HYDERABAD</v>
      </c>
      <c r="P1042" s="19"/>
      <c r="Q1042" s="19"/>
      <c r="R1042" s="19"/>
      <c r="S1042" s="16"/>
    </row>
    <row r="1043" spans="1:19">
      <c r="A1043" s="17"/>
      <c r="B1043" s="120"/>
      <c r="C1043" s="120"/>
      <c r="D1043" s="120"/>
      <c r="E1043" s="120"/>
      <c r="F1043" s="114"/>
      <c r="G1043" s="114"/>
      <c r="H1043" s="114"/>
      <c r="I1043" s="16"/>
      <c r="K1043" s="17"/>
      <c r="L1043" s="120"/>
      <c r="M1043" s="120"/>
      <c r="N1043" s="120"/>
      <c r="O1043" s="120"/>
      <c r="P1043" s="114"/>
      <c r="Q1043" s="114"/>
      <c r="R1043" s="114"/>
      <c r="S1043" s="16"/>
    </row>
    <row r="1044" spans="1:19">
      <c r="A1044" s="1101" t="s">
        <v>43</v>
      </c>
      <c r="B1044" s="1099"/>
      <c r="C1044" s="1099"/>
      <c r="D1044" s="1099"/>
      <c r="E1044" s="20">
        <f>Master!F10</f>
        <v>44652</v>
      </c>
      <c r="F1044" s="19"/>
      <c r="G1044" s="19"/>
      <c r="H1044" s="19"/>
      <c r="I1044" s="16"/>
      <c r="K1044" s="1101" t="s">
        <v>43</v>
      </c>
      <c r="L1044" s="1099"/>
      <c r="M1044" s="1099"/>
      <c r="N1044" s="1099"/>
      <c r="O1044" s="20">
        <f>E1044</f>
        <v>44652</v>
      </c>
      <c r="P1044" s="19"/>
      <c r="Q1044" s="19"/>
      <c r="R1044" s="19"/>
      <c r="S1044" s="16"/>
    </row>
    <row r="1045" spans="1:19">
      <c r="A1045" s="17"/>
      <c r="B1045" s="120"/>
      <c r="C1045" s="120"/>
      <c r="D1045" s="120"/>
      <c r="E1045" s="120"/>
      <c r="F1045" s="114"/>
      <c r="G1045" s="114"/>
      <c r="H1045" s="114"/>
      <c r="I1045" s="16"/>
      <c r="K1045" s="17"/>
      <c r="L1045" s="120"/>
      <c r="M1045" s="120"/>
      <c r="N1045" s="120"/>
      <c r="O1045" s="120"/>
      <c r="P1045" s="114"/>
      <c r="Q1045" s="114"/>
      <c r="R1045" s="114"/>
      <c r="S1045" s="16"/>
    </row>
    <row r="1046" spans="1:19">
      <c r="A1046" s="21">
        <v>1</v>
      </c>
      <c r="B1046" s="1099" t="s">
        <v>44</v>
      </c>
      <c r="C1046" s="1099"/>
      <c r="D1046" s="1099"/>
      <c r="E1046" s="22">
        <f>Master!AA39</f>
        <v>26</v>
      </c>
      <c r="F1046" s="19"/>
      <c r="G1046" s="19"/>
      <c r="H1046" s="19"/>
      <c r="I1046" s="16"/>
      <c r="K1046" s="21">
        <v>1</v>
      </c>
      <c r="L1046" s="1099" t="s">
        <v>44</v>
      </c>
      <c r="M1046" s="1099"/>
      <c r="N1046" s="1099"/>
      <c r="O1046" s="22">
        <f>E1046</f>
        <v>26</v>
      </c>
      <c r="P1046" s="19"/>
      <c r="Q1046" s="19"/>
      <c r="R1046" s="19"/>
      <c r="S1046" s="16"/>
    </row>
    <row r="1047" spans="1:19">
      <c r="A1047" s="21"/>
      <c r="B1047" s="120"/>
      <c r="C1047" s="120"/>
      <c r="D1047" s="120"/>
      <c r="E1047" s="120"/>
      <c r="F1047" s="114"/>
      <c r="G1047" s="114"/>
      <c r="H1047" s="114"/>
      <c r="I1047" s="16"/>
      <c r="K1047" s="21"/>
      <c r="L1047" s="120"/>
      <c r="M1047" s="120"/>
      <c r="N1047" s="120"/>
      <c r="O1047" s="120"/>
      <c r="P1047" s="114"/>
      <c r="Q1047" s="114"/>
      <c r="R1047" s="114"/>
      <c r="S1047" s="16"/>
    </row>
    <row r="1048" spans="1:19">
      <c r="A1048" s="21">
        <v>2</v>
      </c>
      <c r="B1048" s="1098" t="s">
        <v>45</v>
      </c>
      <c r="C1048" s="1098"/>
      <c r="D1048" s="1098"/>
      <c r="E1048" s="120"/>
      <c r="F1048" s="114"/>
      <c r="G1048" s="114"/>
      <c r="H1048" s="114"/>
      <c r="I1048" s="16"/>
      <c r="K1048" s="21">
        <v>2</v>
      </c>
      <c r="L1048" s="1098" t="s">
        <v>45</v>
      </c>
      <c r="M1048" s="1098"/>
      <c r="N1048" s="1098"/>
      <c r="O1048" s="120"/>
      <c r="P1048" s="114"/>
      <c r="Q1048" s="114"/>
      <c r="R1048" s="114"/>
      <c r="S1048" s="16"/>
    </row>
    <row r="1049" spans="1:19">
      <c r="A1049" s="21"/>
      <c r="B1049" s="1098"/>
      <c r="C1049" s="1098"/>
      <c r="D1049" s="1098"/>
      <c r="E1049" s="23" t="s">
        <v>28</v>
      </c>
      <c r="F1049" s="19"/>
      <c r="G1049" s="19"/>
      <c r="H1049" s="19"/>
      <c r="I1049" s="16"/>
      <c r="K1049" s="21"/>
      <c r="L1049" s="1098"/>
      <c r="M1049" s="1098"/>
      <c r="N1049" s="1098"/>
      <c r="O1049" s="23" t="s">
        <v>28</v>
      </c>
      <c r="P1049" s="19"/>
      <c r="Q1049" s="19"/>
      <c r="R1049" s="19"/>
      <c r="S1049" s="16"/>
    </row>
    <row r="1050" spans="1:19">
      <c r="A1050" s="21"/>
      <c r="B1050" s="120"/>
      <c r="C1050" s="120"/>
      <c r="D1050" s="120"/>
      <c r="E1050" s="120"/>
      <c r="F1050" s="114"/>
      <c r="G1050" s="114"/>
      <c r="H1050" s="114"/>
      <c r="I1050" s="16"/>
      <c r="K1050" s="21"/>
      <c r="L1050" s="120"/>
      <c r="M1050" s="120"/>
      <c r="N1050" s="120"/>
      <c r="O1050" s="120"/>
      <c r="P1050" s="114"/>
      <c r="Q1050" s="114"/>
      <c r="R1050" s="114"/>
      <c r="S1050" s="16"/>
    </row>
    <row r="1051" spans="1:19">
      <c r="A1051" s="21">
        <v>3</v>
      </c>
      <c r="B1051" s="1099" t="s">
        <v>46</v>
      </c>
      <c r="C1051" s="1099"/>
      <c r="D1051" s="1099"/>
      <c r="E1051" s="23" t="s">
        <v>28</v>
      </c>
      <c r="F1051" s="19"/>
      <c r="G1051" s="19"/>
      <c r="H1051" s="19"/>
      <c r="I1051" s="16"/>
      <c r="K1051" s="21">
        <v>3</v>
      </c>
      <c r="L1051" s="1099" t="s">
        <v>46</v>
      </c>
      <c r="M1051" s="1099"/>
      <c r="N1051" s="1099"/>
      <c r="O1051" s="18" t="str">
        <f>E1051</f>
        <v>N/A</v>
      </c>
      <c r="P1051" s="19"/>
      <c r="Q1051" s="19"/>
      <c r="R1051" s="19"/>
      <c r="S1051" s="16"/>
    </row>
    <row r="1052" spans="1:19">
      <c r="A1052" s="21"/>
      <c r="B1052" s="120"/>
      <c r="C1052" s="120"/>
      <c r="D1052" s="120"/>
      <c r="E1052" s="120"/>
      <c r="F1052" s="114"/>
      <c r="G1052" s="114"/>
      <c r="H1052" s="114"/>
      <c r="I1052" s="16"/>
      <c r="K1052" s="21"/>
      <c r="L1052" s="120"/>
      <c r="M1052" s="120"/>
      <c r="N1052" s="120"/>
      <c r="O1052" s="120"/>
      <c r="P1052" s="114"/>
      <c r="Q1052" s="114"/>
      <c r="R1052" s="114"/>
      <c r="S1052" s="16"/>
    </row>
    <row r="1053" spans="1:19">
      <c r="A1053" s="21">
        <v>4</v>
      </c>
      <c r="B1053" s="1099" t="s">
        <v>47</v>
      </c>
      <c r="C1053" s="1099"/>
      <c r="D1053" s="1099"/>
      <c r="E1053" s="23" t="s">
        <v>48</v>
      </c>
      <c r="F1053" s="19"/>
      <c r="G1053" s="19"/>
      <c r="H1053" s="19"/>
      <c r="I1053" s="16"/>
      <c r="K1053" s="21">
        <v>4</v>
      </c>
      <c r="L1053" s="1099" t="s">
        <v>47</v>
      </c>
      <c r="M1053" s="1099"/>
      <c r="N1053" s="1099"/>
      <c r="O1053" s="23" t="s">
        <v>48</v>
      </c>
      <c r="P1053" s="19"/>
      <c r="Q1053" s="19"/>
      <c r="R1053" s="19"/>
      <c r="S1053" s="16"/>
    </row>
    <row r="1054" spans="1:19">
      <c r="A1054" s="21"/>
      <c r="B1054" s="120"/>
      <c r="C1054" s="120"/>
      <c r="D1054" s="120"/>
      <c r="E1054" s="120"/>
      <c r="F1054" s="114"/>
      <c r="G1054" s="114"/>
      <c r="H1054" s="114"/>
      <c r="I1054" s="16"/>
      <c r="K1054" s="21"/>
      <c r="L1054" s="120"/>
      <c r="M1054" s="120"/>
      <c r="N1054" s="120"/>
      <c r="O1054" s="120"/>
      <c r="P1054" s="114"/>
      <c r="Q1054" s="114"/>
      <c r="R1054" s="114"/>
      <c r="S1054" s="16"/>
    </row>
    <row r="1055" spans="1:19">
      <c r="A1055" s="21">
        <v>5</v>
      </c>
      <c r="B1055" s="1099" t="s">
        <v>49</v>
      </c>
      <c r="C1055" s="1099"/>
      <c r="D1055" s="1099"/>
      <c r="E1055" s="24">
        <f>Master!AK39</f>
        <v>9210.4</v>
      </c>
      <c r="F1055" s="19"/>
      <c r="G1055" s="19"/>
      <c r="H1055" s="19"/>
      <c r="I1055" s="16"/>
      <c r="K1055" s="21">
        <v>5</v>
      </c>
      <c r="L1055" s="1099" t="s">
        <v>49</v>
      </c>
      <c r="M1055" s="1099"/>
      <c r="N1055" s="1099"/>
      <c r="O1055" s="24">
        <f>E1055</f>
        <v>9210.4</v>
      </c>
      <c r="P1055" s="19"/>
      <c r="Q1055" s="19"/>
      <c r="R1055" s="19"/>
      <c r="S1055" s="16"/>
    </row>
    <row r="1056" spans="1:19">
      <c r="A1056" s="21"/>
      <c r="B1056" s="120"/>
      <c r="C1056" s="120"/>
      <c r="D1056" s="238" t="s">
        <v>50</v>
      </c>
      <c r="E1056" s="238" t="s">
        <v>23</v>
      </c>
      <c r="F1056" s="136" t="s">
        <v>25</v>
      </c>
      <c r="G1056" s="238" t="s">
        <v>26</v>
      </c>
      <c r="H1056" s="238" t="s">
        <v>202</v>
      </c>
      <c r="I1056" s="126" t="s">
        <v>51</v>
      </c>
      <c r="K1056" s="21"/>
      <c r="L1056" s="120"/>
      <c r="M1056" s="120"/>
      <c r="N1056" s="238" t="s">
        <v>50</v>
      </c>
      <c r="O1056" s="238" t="s">
        <v>23</v>
      </c>
      <c r="P1056" s="136" t="s">
        <v>25</v>
      </c>
      <c r="Q1056" s="238" t="s">
        <v>26</v>
      </c>
      <c r="R1056" s="238" t="str">
        <f>H1056</f>
        <v>ADV</v>
      </c>
      <c r="S1056" s="126" t="s">
        <v>51</v>
      </c>
    </row>
    <row r="1057" spans="1:19">
      <c r="A1057" s="21">
        <v>6</v>
      </c>
      <c r="B1057" s="468" t="s">
        <v>52</v>
      </c>
      <c r="C1057" s="468"/>
      <c r="D1057" s="335">
        <f>Master!AM39</f>
        <v>1105</v>
      </c>
      <c r="E1057" s="335">
        <f>Master!AL39</f>
        <v>70</v>
      </c>
      <c r="F1057" s="180">
        <f>Master!AN39</f>
        <v>0</v>
      </c>
      <c r="G1057" s="180">
        <f>Master!AO39</f>
        <v>0</v>
      </c>
      <c r="H1057" s="180">
        <f>Master!AP39</f>
        <v>0</v>
      </c>
      <c r="I1057" s="127">
        <f>D1057+E1057+F1057+G1057+H1057</f>
        <v>1175</v>
      </c>
      <c r="K1057" s="21">
        <v>6</v>
      </c>
      <c r="L1057" s="468" t="s">
        <v>52</v>
      </c>
      <c r="M1057" s="468"/>
      <c r="N1057" s="335">
        <f>D1057</f>
        <v>1105</v>
      </c>
      <c r="O1057" s="335">
        <f>E1057</f>
        <v>70</v>
      </c>
      <c r="P1057" s="180">
        <f>F1057</f>
        <v>0</v>
      </c>
      <c r="Q1057" s="180">
        <f>G1057</f>
        <v>0</v>
      </c>
      <c r="R1057" s="180">
        <f>H1057</f>
        <v>0</v>
      </c>
      <c r="S1057" s="127">
        <f>N1057+O1057+R1057</f>
        <v>1175</v>
      </c>
    </row>
    <row r="1058" spans="1:19">
      <c r="A1058" s="21"/>
      <c r="B1058" s="120"/>
      <c r="C1058" s="120"/>
      <c r="D1058" s="120"/>
      <c r="E1058" s="120"/>
      <c r="F1058" s="114"/>
      <c r="G1058" s="114"/>
      <c r="H1058" s="114"/>
      <c r="I1058" s="16"/>
      <c r="K1058" s="21"/>
      <c r="L1058" s="120"/>
      <c r="M1058" s="120"/>
      <c r="N1058" s="120"/>
      <c r="O1058" s="120"/>
      <c r="P1058" s="114"/>
      <c r="Q1058" s="114"/>
      <c r="R1058" s="114"/>
      <c r="S1058" s="16"/>
    </row>
    <row r="1059" spans="1:19">
      <c r="A1059" s="21">
        <v>7</v>
      </c>
      <c r="B1059" s="1099" t="s">
        <v>53</v>
      </c>
      <c r="C1059" s="1099"/>
      <c r="D1059" s="1099"/>
      <c r="E1059" s="24">
        <f>E1055-I1057+1</f>
        <v>8036.4</v>
      </c>
      <c r="F1059" s="19"/>
      <c r="G1059" s="19"/>
      <c r="H1059" s="19"/>
      <c r="I1059" s="16"/>
      <c r="K1059" s="21">
        <v>7</v>
      </c>
      <c r="L1059" s="1099" t="s">
        <v>53</v>
      </c>
      <c r="M1059" s="1099"/>
      <c r="N1059" s="1099"/>
      <c r="O1059" s="24">
        <f>E1059</f>
        <v>8036.4</v>
      </c>
      <c r="P1059" s="19"/>
      <c r="Q1059" s="19"/>
      <c r="R1059" s="19"/>
      <c r="S1059" s="16"/>
    </row>
    <row r="1060" spans="1:19">
      <c r="A1060" s="15"/>
      <c r="B1060" s="114"/>
      <c r="C1060" s="114"/>
      <c r="D1060" s="114"/>
      <c r="E1060" s="114"/>
      <c r="F1060" s="114"/>
      <c r="G1060" s="114"/>
      <c r="H1060" s="114"/>
      <c r="I1060" s="16"/>
      <c r="K1060" s="15"/>
      <c r="L1060" s="114"/>
      <c r="M1060" s="114"/>
      <c r="N1060" s="114"/>
      <c r="O1060" s="114"/>
      <c r="P1060" s="114"/>
      <c r="Q1060" s="114"/>
      <c r="R1060" s="114"/>
      <c r="S1060" s="16"/>
    </row>
    <row r="1061" spans="1:19">
      <c r="A1061" s="15"/>
      <c r="B1061" s="114"/>
      <c r="C1061" s="114"/>
      <c r="D1061" s="114"/>
      <c r="E1061" s="114"/>
      <c r="F1061" s="114"/>
      <c r="G1061" s="114"/>
      <c r="H1061" s="114"/>
      <c r="I1061" s="16"/>
      <c r="K1061" s="15"/>
      <c r="L1061" s="114"/>
      <c r="M1061" s="114"/>
      <c r="N1061" s="114"/>
      <c r="O1061" s="114"/>
      <c r="P1061" s="114"/>
      <c r="Q1061" s="114"/>
      <c r="R1061" s="114"/>
      <c r="S1061" s="16"/>
    </row>
    <row r="1062" spans="1:19" ht="15" thickBot="1">
      <c r="A1062" s="15"/>
      <c r="B1062" s="114"/>
      <c r="C1062" s="114"/>
      <c r="D1062" s="114"/>
      <c r="E1062" s="114"/>
      <c r="F1062" s="25"/>
      <c r="G1062" s="25"/>
      <c r="H1062" s="25"/>
      <c r="I1062" s="26"/>
      <c r="K1062" s="15"/>
      <c r="L1062" s="114"/>
      <c r="M1062" s="114"/>
      <c r="N1062" s="114"/>
      <c r="O1062" s="114"/>
      <c r="P1062" s="25"/>
      <c r="Q1062" s="25"/>
      <c r="R1062" s="25"/>
      <c r="S1062" s="26"/>
    </row>
    <row r="1063" spans="1:19" ht="15" thickBot="1">
      <c r="A1063" s="27"/>
      <c r="B1063" s="25"/>
      <c r="C1063" s="25"/>
      <c r="D1063" s="25"/>
      <c r="E1063" s="999" t="s">
        <v>54</v>
      </c>
      <c r="F1063" s="999"/>
      <c r="G1063" s="999"/>
      <c r="H1063" s="999"/>
      <c r="I1063" s="1100"/>
      <c r="K1063" s="27"/>
      <c r="L1063" s="25"/>
      <c r="M1063" s="25"/>
      <c r="N1063" s="25"/>
      <c r="O1063" s="28" t="s">
        <v>54</v>
      </c>
      <c r="P1063" s="25"/>
      <c r="Q1063" s="28"/>
      <c r="R1063" s="28"/>
      <c r="S1063" s="29"/>
    </row>
    <row r="1075" spans="1:19" ht="15" thickBot="1"/>
    <row r="1076" spans="1:19" ht="24.6">
      <c r="A1076" s="1091" t="s">
        <v>39</v>
      </c>
      <c r="B1076" s="1092"/>
      <c r="C1076" s="1092"/>
      <c r="D1076" s="1092"/>
      <c r="E1076" s="1092"/>
      <c r="F1076" s="1092"/>
      <c r="G1076" s="1092"/>
      <c r="H1076" s="1092"/>
      <c r="I1076" s="1093"/>
      <c r="K1076" s="1091" t="s">
        <v>39</v>
      </c>
      <c r="L1076" s="1092"/>
      <c r="M1076" s="1092"/>
      <c r="N1076" s="1092"/>
      <c r="O1076" s="1092"/>
      <c r="P1076" s="1092"/>
      <c r="Q1076" s="1092"/>
      <c r="R1076" s="1092"/>
      <c r="S1076" s="1093"/>
    </row>
    <row r="1077" spans="1:19">
      <c r="A1077" s="1094" t="s">
        <v>1075</v>
      </c>
      <c r="B1077" s="1095"/>
      <c r="C1077" s="1095"/>
      <c r="D1077" s="1095"/>
      <c r="E1077" s="1095"/>
      <c r="F1077" s="1095"/>
      <c r="G1077" s="1095"/>
      <c r="H1077" s="1095"/>
      <c r="I1077" s="1096"/>
      <c r="K1077" s="1094" t="str">
        <f>A1077</f>
        <v>[Vide rule 78 (1) (b) of the Contract Labour (Regulation and Abolition) Central and A.P.{T.S.}Rules, 1971]</v>
      </c>
      <c r="L1077" s="1095"/>
      <c r="M1077" s="1095"/>
      <c r="N1077" s="1095"/>
      <c r="O1077" s="1095"/>
      <c r="P1077" s="1095"/>
      <c r="Q1077" s="1095"/>
      <c r="R1077" s="1095"/>
      <c r="S1077" s="1096"/>
    </row>
    <row r="1078" spans="1:19">
      <c r="A1078" s="15"/>
      <c r="B1078" s="114"/>
      <c r="C1078" s="114"/>
      <c r="D1078" s="114"/>
      <c r="E1078" s="114"/>
      <c r="F1078" s="114"/>
      <c r="G1078" s="114"/>
      <c r="H1078" s="114"/>
      <c r="I1078" s="16"/>
      <c r="K1078" s="15"/>
      <c r="L1078" s="114"/>
      <c r="M1078" s="114"/>
      <c r="N1078" s="114"/>
      <c r="O1078" s="114"/>
      <c r="P1078" s="114"/>
      <c r="Q1078" s="114"/>
      <c r="R1078" s="114"/>
      <c r="S1078" s="16"/>
    </row>
    <row r="1079" spans="1:19">
      <c r="A1079" s="17" t="s">
        <v>40</v>
      </c>
      <c r="B1079" s="120"/>
      <c r="C1079" s="120"/>
      <c r="D1079" s="121" t="str">
        <f>Master!F5</f>
        <v>GROTECH LANDSCAPE DEVELOPERS PVT. LTD.</v>
      </c>
      <c r="E1079" s="114"/>
      <c r="F1079" s="114"/>
      <c r="G1079" s="114"/>
      <c r="H1079" s="114"/>
      <c r="I1079" s="16"/>
      <c r="K1079" s="17" t="s">
        <v>40</v>
      </c>
      <c r="L1079" s="120"/>
      <c r="M1079" s="120"/>
      <c r="N1079" s="121" t="str">
        <f>D1079</f>
        <v>GROTECH LANDSCAPE DEVELOPERS PVT. LTD.</v>
      </c>
      <c r="O1079" s="114"/>
      <c r="P1079" s="114"/>
      <c r="Q1079" s="114"/>
      <c r="R1079" s="114"/>
      <c r="S1079" s="16"/>
    </row>
    <row r="1080" spans="1:19">
      <c r="A1080" s="17"/>
      <c r="B1080" s="120" t="str">
        <f>Master!F6</f>
        <v>290/E, Khanapur Village, Gandipet Mandal, Ranga Reddy, Hyderabad-500075 T.S.</v>
      </c>
      <c r="C1080" s="120"/>
      <c r="D1080" s="114"/>
      <c r="E1080" s="114"/>
      <c r="F1080" s="114"/>
      <c r="G1080" s="114"/>
      <c r="H1080" s="114"/>
      <c r="I1080" s="16"/>
      <c r="K1080" s="17"/>
      <c r="L1080" s="120" t="str">
        <f>B1080</f>
        <v>290/E, Khanapur Village, Gandipet Mandal, Ranga Reddy, Hyderabad-500075 T.S.</v>
      </c>
      <c r="M1080" s="120"/>
      <c r="N1080" s="114"/>
      <c r="O1080" s="114"/>
      <c r="P1080" s="114"/>
      <c r="Q1080" s="114"/>
      <c r="R1080" s="114"/>
      <c r="S1080" s="16"/>
    </row>
    <row r="1081" spans="1:19">
      <c r="A1081" s="17"/>
      <c r="B1081" s="120"/>
      <c r="C1081" s="120"/>
      <c r="D1081" s="120"/>
      <c r="E1081" s="120"/>
      <c r="F1081" s="114"/>
      <c r="G1081" s="114"/>
      <c r="H1081" s="114"/>
      <c r="I1081" s="16"/>
      <c r="K1081" s="17"/>
      <c r="L1081" s="120"/>
      <c r="M1081" s="120"/>
      <c r="N1081" s="120"/>
      <c r="O1081" s="120"/>
      <c r="P1081" s="114"/>
      <c r="Q1081" s="114"/>
      <c r="R1081" s="114"/>
      <c r="S1081" s="16"/>
    </row>
    <row r="1082" spans="1:19">
      <c r="A1082" s="1097" t="s">
        <v>41</v>
      </c>
      <c r="B1082" s="1098"/>
      <c r="C1082" s="1098"/>
      <c r="D1082" s="1098"/>
      <c r="E1082" s="120"/>
      <c r="F1082" s="114"/>
      <c r="G1082" s="114"/>
      <c r="H1082" s="114"/>
      <c r="I1082" s="16"/>
      <c r="K1082" s="1097" t="s">
        <v>41</v>
      </c>
      <c r="L1082" s="1098"/>
      <c r="M1082" s="1098"/>
      <c r="N1082" s="1098"/>
      <c r="O1082" s="120"/>
      <c r="P1082" s="114"/>
      <c r="Q1082" s="114"/>
      <c r="R1082" s="114"/>
      <c r="S1082" s="16"/>
    </row>
    <row r="1083" spans="1:19">
      <c r="A1083" s="1097"/>
      <c r="B1083" s="1098"/>
      <c r="C1083" s="1098"/>
      <c r="D1083" s="1098"/>
      <c r="E1083" s="128" t="str">
        <f>Master!D40</f>
        <v>MANGLI CHANDRAMMA</v>
      </c>
      <c r="F1083" s="19"/>
      <c r="G1083" s="19"/>
      <c r="H1083" s="19" t="str">
        <f>Master!G40</f>
        <v>MANGALI VENKATESH</v>
      </c>
      <c r="I1083" s="16"/>
      <c r="K1083" s="1097"/>
      <c r="L1083" s="1098"/>
      <c r="M1083" s="1098"/>
      <c r="N1083" s="1098"/>
      <c r="O1083" s="18" t="str">
        <f>E1083</f>
        <v>MANGLI CHANDRAMMA</v>
      </c>
      <c r="P1083" s="19"/>
      <c r="Q1083" s="19"/>
      <c r="R1083" s="19" t="str">
        <f>H1083</f>
        <v>MANGALI VENKATESH</v>
      </c>
      <c r="S1083" s="16"/>
    </row>
    <row r="1084" spans="1:19">
      <c r="A1084" s="17"/>
      <c r="B1084" s="120"/>
      <c r="C1084" s="120"/>
      <c r="D1084" s="120"/>
      <c r="E1084" s="120"/>
      <c r="F1084" s="114"/>
      <c r="G1084" s="114"/>
      <c r="H1084" s="114"/>
      <c r="I1084" s="16"/>
      <c r="K1084" s="17"/>
      <c r="L1084" s="120"/>
      <c r="M1084" s="120"/>
      <c r="N1084" s="120"/>
      <c r="O1084" s="120"/>
      <c r="P1084" s="114"/>
      <c r="Q1084" s="114"/>
      <c r="R1084" s="114"/>
      <c r="S1084" s="16"/>
    </row>
    <row r="1085" spans="1:19">
      <c r="A1085" s="1101" t="s">
        <v>42</v>
      </c>
      <c r="B1085" s="1099"/>
      <c r="C1085" s="1099"/>
      <c r="D1085" s="1099"/>
      <c r="E1085" s="24" t="str">
        <f>Master!F8</f>
        <v>GARDENING SERVICES&amp;ISB HYDERABAD</v>
      </c>
      <c r="F1085" s="19"/>
      <c r="G1085" s="19"/>
      <c r="H1085" s="19"/>
      <c r="I1085" s="16"/>
      <c r="K1085" s="1101" t="s">
        <v>42</v>
      </c>
      <c r="L1085" s="1099"/>
      <c r="M1085" s="1099"/>
      <c r="N1085" s="1099"/>
      <c r="O1085" s="24" t="str">
        <f>E1085</f>
        <v>GARDENING SERVICES&amp;ISB HYDERABAD</v>
      </c>
      <c r="P1085" s="19"/>
      <c r="Q1085" s="19"/>
      <c r="R1085" s="19"/>
      <c r="S1085" s="16"/>
    </row>
    <row r="1086" spans="1:19">
      <c r="A1086" s="17"/>
      <c r="B1086" s="120"/>
      <c r="C1086" s="120"/>
      <c r="D1086" s="120"/>
      <c r="E1086" s="120"/>
      <c r="F1086" s="114"/>
      <c r="G1086" s="114"/>
      <c r="H1086" s="114"/>
      <c r="I1086" s="16"/>
      <c r="K1086" s="17"/>
      <c r="L1086" s="120"/>
      <c r="M1086" s="120"/>
      <c r="N1086" s="120"/>
      <c r="O1086" s="120"/>
      <c r="P1086" s="114"/>
      <c r="Q1086" s="114"/>
      <c r="R1086" s="114"/>
      <c r="S1086" s="16"/>
    </row>
    <row r="1087" spans="1:19">
      <c r="A1087" s="1101" t="s">
        <v>43</v>
      </c>
      <c r="B1087" s="1099"/>
      <c r="C1087" s="1099"/>
      <c r="D1087" s="1099"/>
      <c r="E1087" s="20">
        <f>Master!F10</f>
        <v>44652</v>
      </c>
      <c r="F1087" s="19"/>
      <c r="G1087" s="19"/>
      <c r="H1087" s="19"/>
      <c r="I1087" s="16"/>
      <c r="K1087" s="1101" t="s">
        <v>43</v>
      </c>
      <c r="L1087" s="1099"/>
      <c r="M1087" s="1099"/>
      <c r="N1087" s="1099"/>
      <c r="O1087" s="20">
        <f>E1087</f>
        <v>44652</v>
      </c>
      <c r="P1087" s="19"/>
      <c r="Q1087" s="19"/>
      <c r="R1087" s="19"/>
      <c r="S1087" s="16"/>
    </row>
    <row r="1088" spans="1:19">
      <c r="A1088" s="17"/>
      <c r="B1088" s="120"/>
      <c r="C1088" s="120"/>
      <c r="D1088" s="120"/>
      <c r="E1088" s="120"/>
      <c r="F1088" s="114"/>
      <c r="G1088" s="114"/>
      <c r="H1088" s="114"/>
      <c r="I1088" s="16"/>
      <c r="K1088" s="17"/>
      <c r="L1088" s="120"/>
      <c r="M1088" s="120"/>
      <c r="N1088" s="120"/>
      <c r="O1088" s="120"/>
      <c r="P1088" s="114"/>
      <c r="Q1088" s="114"/>
      <c r="R1088" s="114"/>
      <c r="S1088" s="16"/>
    </row>
    <row r="1089" spans="1:19">
      <c r="A1089" s="21">
        <v>1</v>
      </c>
      <c r="B1089" s="1099" t="s">
        <v>44</v>
      </c>
      <c r="C1089" s="1099"/>
      <c r="D1089" s="1099"/>
      <c r="E1089" s="22">
        <f>Master!AA40</f>
        <v>26</v>
      </c>
      <c r="F1089" s="19"/>
      <c r="G1089" s="19"/>
      <c r="H1089" s="19"/>
      <c r="I1089" s="16"/>
      <c r="K1089" s="21">
        <v>1</v>
      </c>
      <c r="L1089" s="1099" t="s">
        <v>44</v>
      </c>
      <c r="M1089" s="1099"/>
      <c r="N1089" s="1099"/>
      <c r="O1089" s="22">
        <f>E1089</f>
        <v>26</v>
      </c>
      <c r="P1089" s="19"/>
      <c r="Q1089" s="19"/>
      <c r="R1089" s="19"/>
      <c r="S1089" s="16"/>
    </row>
    <row r="1090" spans="1:19">
      <c r="A1090" s="21"/>
      <c r="B1090" s="120"/>
      <c r="C1090" s="120"/>
      <c r="D1090" s="120"/>
      <c r="E1090" s="120"/>
      <c r="F1090" s="114"/>
      <c r="G1090" s="114"/>
      <c r="H1090" s="114"/>
      <c r="I1090" s="16"/>
      <c r="K1090" s="21"/>
      <c r="L1090" s="120"/>
      <c r="M1090" s="120"/>
      <c r="N1090" s="120"/>
      <c r="O1090" s="120"/>
      <c r="P1090" s="114"/>
      <c r="Q1090" s="114"/>
      <c r="R1090" s="114"/>
      <c r="S1090" s="16"/>
    </row>
    <row r="1091" spans="1:19">
      <c r="A1091" s="21">
        <v>2</v>
      </c>
      <c r="B1091" s="1098" t="s">
        <v>45</v>
      </c>
      <c r="C1091" s="1098"/>
      <c r="D1091" s="1098"/>
      <c r="E1091" s="120"/>
      <c r="F1091" s="114"/>
      <c r="G1091" s="114"/>
      <c r="H1091" s="114"/>
      <c r="I1091" s="16"/>
      <c r="K1091" s="21">
        <v>2</v>
      </c>
      <c r="L1091" s="1098" t="s">
        <v>45</v>
      </c>
      <c r="M1091" s="1098"/>
      <c r="N1091" s="1098"/>
      <c r="O1091" s="120"/>
      <c r="P1091" s="114"/>
      <c r="Q1091" s="114"/>
      <c r="R1091" s="114"/>
      <c r="S1091" s="16"/>
    </row>
    <row r="1092" spans="1:19">
      <c r="A1092" s="21"/>
      <c r="B1092" s="1098"/>
      <c r="C1092" s="1098"/>
      <c r="D1092" s="1098"/>
      <c r="E1092" s="23" t="s">
        <v>28</v>
      </c>
      <c r="F1092" s="19"/>
      <c r="G1092" s="19"/>
      <c r="H1092" s="19"/>
      <c r="I1092" s="16"/>
      <c r="K1092" s="21"/>
      <c r="L1092" s="1098"/>
      <c r="M1092" s="1098"/>
      <c r="N1092" s="1098"/>
      <c r="O1092" s="23" t="s">
        <v>28</v>
      </c>
      <c r="P1092" s="19"/>
      <c r="Q1092" s="19"/>
      <c r="R1092" s="19"/>
      <c r="S1092" s="16"/>
    </row>
    <row r="1093" spans="1:19">
      <c r="A1093" s="21"/>
      <c r="B1093" s="120"/>
      <c r="C1093" s="120"/>
      <c r="D1093" s="120"/>
      <c r="E1093" s="120"/>
      <c r="F1093" s="114"/>
      <c r="G1093" s="114"/>
      <c r="H1093" s="114"/>
      <c r="I1093" s="16"/>
      <c r="K1093" s="21"/>
      <c r="L1093" s="120"/>
      <c r="M1093" s="120"/>
      <c r="N1093" s="120"/>
      <c r="O1093" s="120"/>
      <c r="P1093" s="114"/>
      <c r="Q1093" s="114"/>
      <c r="R1093" s="114"/>
      <c r="S1093" s="16"/>
    </row>
    <row r="1094" spans="1:19">
      <c r="A1094" s="21">
        <v>3</v>
      </c>
      <c r="B1094" s="1099" t="s">
        <v>46</v>
      </c>
      <c r="C1094" s="1099"/>
      <c r="D1094" s="1099"/>
      <c r="E1094" s="23" t="s">
        <v>28</v>
      </c>
      <c r="F1094" s="19"/>
      <c r="G1094" s="19"/>
      <c r="H1094" s="19"/>
      <c r="I1094" s="16"/>
      <c r="K1094" s="21">
        <v>3</v>
      </c>
      <c r="L1094" s="1099" t="s">
        <v>46</v>
      </c>
      <c r="M1094" s="1099"/>
      <c r="N1094" s="1099"/>
      <c r="O1094" s="18" t="str">
        <f>E1094</f>
        <v>N/A</v>
      </c>
      <c r="P1094" s="19"/>
      <c r="Q1094" s="19"/>
      <c r="R1094" s="19"/>
      <c r="S1094" s="16"/>
    </row>
    <row r="1095" spans="1:19">
      <c r="A1095" s="21"/>
      <c r="B1095" s="120"/>
      <c r="C1095" s="120"/>
      <c r="D1095" s="120"/>
      <c r="E1095" s="120"/>
      <c r="F1095" s="114"/>
      <c r="G1095" s="114"/>
      <c r="H1095" s="114"/>
      <c r="I1095" s="16"/>
      <c r="K1095" s="21"/>
      <c r="L1095" s="120"/>
      <c r="M1095" s="120"/>
      <c r="N1095" s="120"/>
      <c r="O1095" s="120"/>
      <c r="P1095" s="114"/>
      <c r="Q1095" s="114"/>
      <c r="R1095" s="114"/>
      <c r="S1095" s="16"/>
    </row>
    <row r="1096" spans="1:19">
      <c r="A1096" s="21">
        <v>4</v>
      </c>
      <c r="B1096" s="1099" t="s">
        <v>47</v>
      </c>
      <c r="C1096" s="1099"/>
      <c r="D1096" s="1099"/>
      <c r="E1096" s="23" t="s">
        <v>48</v>
      </c>
      <c r="F1096" s="19"/>
      <c r="G1096" s="19"/>
      <c r="H1096" s="19"/>
      <c r="I1096" s="16"/>
      <c r="K1096" s="21">
        <v>4</v>
      </c>
      <c r="L1096" s="1099" t="s">
        <v>47</v>
      </c>
      <c r="M1096" s="1099"/>
      <c r="N1096" s="1099"/>
      <c r="O1096" s="23" t="s">
        <v>48</v>
      </c>
      <c r="P1096" s="19"/>
      <c r="Q1096" s="19"/>
      <c r="R1096" s="19"/>
      <c r="S1096" s="16"/>
    </row>
    <row r="1097" spans="1:19">
      <c r="A1097" s="21"/>
      <c r="B1097" s="120"/>
      <c r="C1097" s="120"/>
      <c r="D1097" s="120"/>
      <c r="E1097" s="120"/>
      <c r="F1097" s="114"/>
      <c r="G1097" s="114"/>
      <c r="H1097" s="114"/>
      <c r="I1097" s="16"/>
      <c r="K1097" s="21"/>
      <c r="L1097" s="120"/>
      <c r="M1097" s="120"/>
      <c r="N1097" s="120"/>
      <c r="O1097" s="120"/>
      <c r="P1097" s="114"/>
      <c r="Q1097" s="114"/>
      <c r="R1097" s="114"/>
      <c r="S1097" s="16"/>
    </row>
    <row r="1098" spans="1:19">
      <c r="A1098" s="21">
        <v>5</v>
      </c>
      <c r="B1098" s="1099" t="s">
        <v>49</v>
      </c>
      <c r="C1098" s="1099"/>
      <c r="D1098" s="1099"/>
      <c r="E1098" s="24">
        <f>Master!AK40</f>
        <v>9210.4</v>
      </c>
      <c r="F1098" s="19"/>
      <c r="G1098" s="19"/>
      <c r="H1098" s="19"/>
      <c r="I1098" s="16"/>
      <c r="K1098" s="21">
        <v>5</v>
      </c>
      <c r="L1098" s="1099" t="s">
        <v>49</v>
      </c>
      <c r="M1098" s="1099"/>
      <c r="N1098" s="1099"/>
      <c r="O1098" s="24">
        <f>E1098</f>
        <v>9210.4</v>
      </c>
      <c r="P1098" s="19"/>
      <c r="Q1098" s="19"/>
      <c r="R1098" s="19"/>
      <c r="S1098" s="16"/>
    </row>
    <row r="1099" spans="1:19">
      <c r="A1099" s="21"/>
      <c r="B1099" s="120"/>
      <c r="C1099" s="120"/>
      <c r="D1099" s="238" t="s">
        <v>50</v>
      </c>
      <c r="E1099" s="238" t="s">
        <v>23</v>
      </c>
      <c r="F1099" s="136" t="s">
        <v>25</v>
      </c>
      <c r="G1099" s="238" t="s">
        <v>26</v>
      </c>
      <c r="H1099" s="238" t="s">
        <v>202</v>
      </c>
      <c r="I1099" s="126" t="s">
        <v>51</v>
      </c>
      <c r="K1099" s="21"/>
      <c r="L1099" s="120"/>
      <c r="M1099" s="120"/>
      <c r="N1099" s="238" t="s">
        <v>50</v>
      </c>
      <c r="O1099" s="238" t="s">
        <v>23</v>
      </c>
      <c r="P1099" s="136" t="s">
        <v>25</v>
      </c>
      <c r="Q1099" s="238" t="s">
        <v>26</v>
      </c>
      <c r="R1099" s="238" t="str">
        <f>H1099</f>
        <v>ADV</v>
      </c>
      <c r="S1099" s="126" t="s">
        <v>51</v>
      </c>
    </row>
    <row r="1100" spans="1:19">
      <c r="A1100" s="21">
        <v>6</v>
      </c>
      <c r="B1100" s="468" t="s">
        <v>52</v>
      </c>
      <c r="C1100" s="468"/>
      <c r="D1100" s="335">
        <f>Master!AM40</f>
        <v>1105</v>
      </c>
      <c r="E1100" s="335">
        <f>Master!AL40</f>
        <v>70</v>
      </c>
      <c r="F1100" s="180">
        <f>Master!AN40</f>
        <v>0</v>
      </c>
      <c r="G1100" s="180">
        <f>Master!AO40</f>
        <v>0</v>
      </c>
      <c r="H1100" s="180">
        <f>Master!AP40</f>
        <v>0</v>
      </c>
      <c r="I1100" s="127">
        <f>D1100+E1100+F1100+G1100+H1100</f>
        <v>1175</v>
      </c>
      <c r="K1100" s="21">
        <v>6</v>
      </c>
      <c r="L1100" s="468" t="s">
        <v>52</v>
      </c>
      <c r="M1100" s="468"/>
      <c r="N1100" s="335">
        <f>D1100</f>
        <v>1105</v>
      </c>
      <c r="O1100" s="335">
        <f>E1100</f>
        <v>70</v>
      </c>
      <c r="P1100" s="180">
        <f>F1100</f>
        <v>0</v>
      </c>
      <c r="Q1100" s="180">
        <f>G1100</f>
        <v>0</v>
      </c>
      <c r="R1100" s="180">
        <f>H1100</f>
        <v>0</v>
      </c>
      <c r="S1100" s="127">
        <f>N1100+O1100+R1100</f>
        <v>1175</v>
      </c>
    </row>
    <row r="1101" spans="1:19">
      <c r="A1101" s="21"/>
      <c r="B1101" s="120"/>
      <c r="C1101" s="120"/>
      <c r="D1101" s="120"/>
      <c r="E1101" s="120"/>
      <c r="F1101" s="114"/>
      <c r="G1101" s="114"/>
      <c r="H1101" s="114"/>
      <c r="I1101" s="16"/>
      <c r="K1101" s="21"/>
      <c r="L1101" s="120"/>
      <c r="M1101" s="120"/>
      <c r="N1101" s="120"/>
      <c r="O1101" s="120"/>
      <c r="P1101" s="114"/>
      <c r="Q1101" s="114"/>
      <c r="R1101" s="114"/>
      <c r="S1101" s="16"/>
    </row>
    <row r="1102" spans="1:19">
      <c r="A1102" s="21">
        <v>7</v>
      </c>
      <c r="B1102" s="1099" t="s">
        <v>53</v>
      </c>
      <c r="C1102" s="1099"/>
      <c r="D1102" s="1099"/>
      <c r="E1102" s="24">
        <f>E1098-I1100+1</f>
        <v>8036.4</v>
      </c>
      <c r="F1102" s="19"/>
      <c r="G1102" s="19"/>
      <c r="H1102" s="19"/>
      <c r="I1102" s="16"/>
      <c r="K1102" s="21">
        <v>7</v>
      </c>
      <c r="L1102" s="1099" t="s">
        <v>53</v>
      </c>
      <c r="M1102" s="1099"/>
      <c r="N1102" s="1099"/>
      <c r="O1102" s="24">
        <f>E1102</f>
        <v>8036.4</v>
      </c>
      <c r="P1102" s="19"/>
      <c r="Q1102" s="19"/>
      <c r="R1102" s="19"/>
      <c r="S1102" s="16"/>
    </row>
    <row r="1103" spans="1:19">
      <c r="A1103" s="15"/>
      <c r="B1103" s="114"/>
      <c r="C1103" s="114"/>
      <c r="D1103" s="114"/>
      <c r="E1103" s="114"/>
      <c r="F1103" s="114"/>
      <c r="G1103" s="114"/>
      <c r="H1103" s="114"/>
      <c r="I1103" s="16"/>
      <c r="K1103" s="15"/>
      <c r="L1103" s="114"/>
      <c r="M1103" s="114"/>
      <c r="N1103" s="114"/>
      <c r="O1103" s="114"/>
      <c r="P1103" s="114"/>
      <c r="Q1103" s="114"/>
      <c r="R1103" s="114"/>
      <c r="S1103" s="16"/>
    </row>
    <row r="1104" spans="1:19">
      <c r="A1104" s="15"/>
      <c r="B1104" s="114"/>
      <c r="C1104" s="114"/>
      <c r="D1104" s="114"/>
      <c r="E1104" s="114"/>
      <c r="F1104" s="114"/>
      <c r="G1104" s="114"/>
      <c r="H1104" s="114"/>
      <c r="I1104" s="16"/>
      <c r="K1104" s="15"/>
      <c r="L1104" s="114"/>
      <c r="M1104" s="114"/>
      <c r="N1104" s="114"/>
      <c r="O1104" s="114"/>
      <c r="P1104" s="114"/>
      <c r="Q1104" s="114"/>
      <c r="R1104" s="114"/>
      <c r="S1104" s="16"/>
    </row>
    <row r="1105" spans="1:19" ht="15" thickBot="1">
      <c r="A1105" s="15"/>
      <c r="B1105" s="114"/>
      <c r="C1105" s="114"/>
      <c r="D1105" s="114"/>
      <c r="E1105" s="114"/>
      <c r="F1105" s="25"/>
      <c r="G1105" s="25"/>
      <c r="H1105" s="25"/>
      <c r="I1105" s="26"/>
      <c r="K1105" s="15"/>
      <c r="L1105" s="114"/>
      <c r="M1105" s="114"/>
      <c r="N1105" s="114"/>
      <c r="O1105" s="114"/>
      <c r="P1105" s="25"/>
      <c r="Q1105" s="25"/>
      <c r="R1105" s="25"/>
      <c r="S1105" s="26"/>
    </row>
    <row r="1106" spans="1:19" ht="15" thickBot="1">
      <c r="A1106" s="27"/>
      <c r="B1106" s="25"/>
      <c r="C1106" s="25"/>
      <c r="D1106" s="25"/>
      <c r="E1106" s="999" t="s">
        <v>54</v>
      </c>
      <c r="F1106" s="999"/>
      <c r="G1106" s="999"/>
      <c r="H1106" s="999"/>
      <c r="I1106" s="1100"/>
      <c r="K1106" s="27"/>
      <c r="L1106" s="25"/>
      <c r="M1106" s="25"/>
      <c r="N1106" s="25"/>
      <c r="O1106" s="28" t="s">
        <v>54</v>
      </c>
      <c r="P1106" s="25"/>
      <c r="Q1106" s="28"/>
      <c r="R1106" s="28"/>
      <c r="S1106" s="29"/>
    </row>
    <row r="1118" spans="1:19" ht="15" thickBot="1"/>
    <row r="1119" spans="1:19" ht="24.6">
      <c r="A1119" s="1091" t="s">
        <v>39</v>
      </c>
      <c r="B1119" s="1092"/>
      <c r="C1119" s="1092"/>
      <c r="D1119" s="1092"/>
      <c r="E1119" s="1092"/>
      <c r="F1119" s="1092"/>
      <c r="G1119" s="1092"/>
      <c r="H1119" s="1092"/>
      <c r="I1119" s="1093"/>
      <c r="K1119" s="1091" t="s">
        <v>39</v>
      </c>
      <c r="L1119" s="1092"/>
      <c r="M1119" s="1092"/>
      <c r="N1119" s="1092"/>
      <c r="O1119" s="1092"/>
      <c r="P1119" s="1092"/>
      <c r="Q1119" s="1092"/>
      <c r="R1119" s="1092"/>
      <c r="S1119" s="1093"/>
    </row>
    <row r="1120" spans="1:19">
      <c r="A1120" s="1094" t="s">
        <v>1075</v>
      </c>
      <c r="B1120" s="1095"/>
      <c r="C1120" s="1095"/>
      <c r="D1120" s="1095"/>
      <c r="E1120" s="1095"/>
      <c r="F1120" s="1095"/>
      <c r="G1120" s="1095"/>
      <c r="H1120" s="1095"/>
      <c r="I1120" s="1096"/>
      <c r="K1120" s="1094" t="str">
        <f>A1120</f>
        <v>[Vide rule 78 (1) (b) of the Contract Labour (Regulation and Abolition) Central and A.P.{T.S.}Rules, 1971]</v>
      </c>
      <c r="L1120" s="1095"/>
      <c r="M1120" s="1095"/>
      <c r="N1120" s="1095"/>
      <c r="O1120" s="1095"/>
      <c r="P1120" s="1095"/>
      <c r="Q1120" s="1095"/>
      <c r="R1120" s="1095"/>
      <c r="S1120" s="1096"/>
    </row>
    <row r="1121" spans="1:19">
      <c r="A1121" s="15"/>
      <c r="B1121" s="114"/>
      <c r="C1121" s="114"/>
      <c r="D1121" s="114"/>
      <c r="E1121" s="114"/>
      <c r="F1121" s="114"/>
      <c r="G1121" s="114"/>
      <c r="H1121" s="114"/>
      <c r="I1121" s="16"/>
      <c r="K1121" s="15"/>
      <c r="L1121" s="114"/>
      <c r="M1121" s="114"/>
      <c r="N1121" s="114"/>
      <c r="O1121" s="114"/>
      <c r="P1121" s="114"/>
      <c r="Q1121" s="114"/>
      <c r="R1121" s="114"/>
      <c r="S1121" s="16"/>
    </row>
    <row r="1122" spans="1:19">
      <c r="A1122" s="17" t="s">
        <v>40</v>
      </c>
      <c r="B1122" s="120"/>
      <c r="C1122" s="120"/>
      <c r="D1122" s="121" t="str">
        <f>Master!F5</f>
        <v>GROTECH LANDSCAPE DEVELOPERS PVT. LTD.</v>
      </c>
      <c r="E1122" s="114"/>
      <c r="F1122" s="114"/>
      <c r="G1122" s="114"/>
      <c r="H1122" s="114"/>
      <c r="I1122" s="16"/>
      <c r="K1122" s="17" t="s">
        <v>40</v>
      </c>
      <c r="L1122" s="120"/>
      <c r="M1122" s="120"/>
      <c r="N1122" s="121" t="str">
        <f>D1122</f>
        <v>GROTECH LANDSCAPE DEVELOPERS PVT. LTD.</v>
      </c>
      <c r="O1122" s="114"/>
      <c r="P1122" s="114"/>
      <c r="Q1122" s="114"/>
      <c r="R1122" s="114"/>
      <c r="S1122" s="16"/>
    </row>
    <row r="1123" spans="1:19">
      <c r="A1123" s="17"/>
      <c r="B1123" s="120" t="str">
        <f>Master!F6</f>
        <v>290/E, Khanapur Village, Gandipet Mandal, Ranga Reddy, Hyderabad-500075 T.S.</v>
      </c>
      <c r="C1123" s="120"/>
      <c r="D1123" s="114"/>
      <c r="E1123" s="114"/>
      <c r="F1123" s="114"/>
      <c r="G1123" s="114"/>
      <c r="H1123" s="114"/>
      <c r="I1123" s="16"/>
      <c r="K1123" s="17"/>
      <c r="L1123" s="120" t="str">
        <f>B1123</f>
        <v>290/E, Khanapur Village, Gandipet Mandal, Ranga Reddy, Hyderabad-500075 T.S.</v>
      </c>
      <c r="M1123" s="120"/>
      <c r="N1123" s="114"/>
      <c r="O1123" s="114"/>
      <c r="P1123" s="114"/>
      <c r="Q1123" s="114"/>
      <c r="R1123" s="114"/>
      <c r="S1123" s="16"/>
    </row>
    <row r="1124" spans="1:19">
      <c r="A1124" s="17"/>
      <c r="B1124" s="120"/>
      <c r="C1124" s="120"/>
      <c r="D1124" s="120"/>
      <c r="E1124" s="120"/>
      <c r="F1124" s="114"/>
      <c r="G1124" s="114"/>
      <c r="H1124" s="114"/>
      <c r="I1124" s="16"/>
      <c r="K1124" s="17"/>
      <c r="L1124" s="120"/>
      <c r="M1124" s="120"/>
      <c r="N1124" s="120"/>
      <c r="O1124" s="120"/>
      <c r="P1124" s="114"/>
      <c r="Q1124" s="114"/>
      <c r="R1124" s="114"/>
      <c r="S1124" s="16"/>
    </row>
    <row r="1125" spans="1:19">
      <c r="A1125" s="1097" t="s">
        <v>41</v>
      </c>
      <c r="B1125" s="1098"/>
      <c r="C1125" s="1098"/>
      <c r="D1125" s="1098"/>
      <c r="E1125" s="120"/>
      <c r="F1125" s="114"/>
      <c r="G1125" s="114"/>
      <c r="H1125" s="114"/>
      <c r="I1125" s="16"/>
      <c r="K1125" s="1097" t="s">
        <v>41</v>
      </c>
      <c r="L1125" s="1098"/>
      <c r="M1125" s="1098"/>
      <c r="N1125" s="1098"/>
      <c r="O1125" s="120"/>
      <c r="P1125" s="114"/>
      <c r="Q1125" s="114"/>
      <c r="R1125" s="114"/>
      <c r="S1125" s="16"/>
    </row>
    <row r="1126" spans="1:19">
      <c r="A1126" s="1097"/>
      <c r="B1126" s="1098"/>
      <c r="C1126" s="1098"/>
      <c r="D1126" s="1098"/>
      <c r="E1126" s="128" t="str">
        <f>Master!D41</f>
        <v>DASARI SUVARNA</v>
      </c>
      <c r="F1126" s="19"/>
      <c r="G1126" s="19"/>
      <c r="H1126" s="19" t="str">
        <f>Master!G41</f>
        <v>DASARI RAVINDAR</v>
      </c>
      <c r="I1126" s="16"/>
      <c r="K1126" s="1097"/>
      <c r="L1126" s="1098"/>
      <c r="M1126" s="1098"/>
      <c r="N1126" s="1098"/>
      <c r="O1126" s="18" t="str">
        <f>E1126</f>
        <v>DASARI SUVARNA</v>
      </c>
      <c r="P1126" s="19"/>
      <c r="Q1126" s="19"/>
      <c r="R1126" s="19" t="str">
        <f>H1126</f>
        <v>DASARI RAVINDAR</v>
      </c>
      <c r="S1126" s="16"/>
    </row>
    <row r="1127" spans="1:19">
      <c r="A1127" s="17"/>
      <c r="B1127" s="120"/>
      <c r="C1127" s="120"/>
      <c r="D1127" s="120"/>
      <c r="E1127" s="120"/>
      <c r="F1127" s="114"/>
      <c r="G1127" s="114"/>
      <c r="H1127" s="114"/>
      <c r="I1127" s="16"/>
      <c r="K1127" s="17"/>
      <c r="L1127" s="120"/>
      <c r="M1127" s="120"/>
      <c r="N1127" s="120"/>
      <c r="O1127" s="120"/>
      <c r="P1127" s="114"/>
      <c r="Q1127" s="114"/>
      <c r="R1127" s="114"/>
      <c r="S1127" s="16"/>
    </row>
    <row r="1128" spans="1:19">
      <c r="A1128" s="1101" t="s">
        <v>42</v>
      </c>
      <c r="B1128" s="1099"/>
      <c r="C1128" s="1099"/>
      <c r="D1128" s="1099"/>
      <c r="E1128" s="24" t="str">
        <f>Master!F8</f>
        <v>GARDENING SERVICES&amp;ISB HYDERABAD</v>
      </c>
      <c r="F1128" s="19"/>
      <c r="G1128" s="19"/>
      <c r="H1128" s="19"/>
      <c r="I1128" s="16"/>
      <c r="K1128" s="1101" t="s">
        <v>42</v>
      </c>
      <c r="L1128" s="1099"/>
      <c r="M1128" s="1099"/>
      <c r="N1128" s="1099"/>
      <c r="O1128" s="24" t="str">
        <f>E1128</f>
        <v>GARDENING SERVICES&amp;ISB HYDERABAD</v>
      </c>
      <c r="P1128" s="19"/>
      <c r="Q1128" s="19"/>
      <c r="R1128" s="19"/>
      <c r="S1128" s="16"/>
    </row>
    <row r="1129" spans="1:19">
      <c r="A1129" s="17"/>
      <c r="B1129" s="120"/>
      <c r="C1129" s="120"/>
      <c r="D1129" s="120"/>
      <c r="E1129" s="120"/>
      <c r="F1129" s="114"/>
      <c r="G1129" s="114"/>
      <c r="H1129" s="114"/>
      <c r="I1129" s="16"/>
      <c r="K1129" s="17"/>
      <c r="L1129" s="120"/>
      <c r="M1129" s="120"/>
      <c r="N1129" s="120"/>
      <c r="O1129" s="120"/>
      <c r="P1129" s="114"/>
      <c r="Q1129" s="114"/>
      <c r="R1129" s="114"/>
      <c r="S1129" s="16"/>
    </row>
    <row r="1130" spans="1:19">
      <c r="A1130" s="1101" t="s">
        <v>43</v>
      </c>
      <c r="B1130" s="1099"/>
      <c r="C1130" s="1099"/>
      <c r="D1130" s="1099"/>
      <c r="E1130" s="20">
        <f>Master!F10</f>
        <v>44652</v>
      </c>
      <c r="F1130" s="19"/>
      <c r="G1130" s="19"/>
      <c r="H1130" s="19"/>
      <c r="I1130" s="16"/>
      <c r="K1130" s="1101" t="s">
        <v>43</v>
      </c>
      <c r="L1130" s="1099"/>
      <c r="M1130" s="1099"/>
      <c r="N1130" s="1099"/>
      <c r="O1130" s="20">
        <f>E1130</f>
        <v>44652</v>
      </c>
      <c r="P1130" s="19"/>
      <c r="Q1130" s="19"/>
      <c r="R1130" s="19"/>
      <c r="S1130" s="16"/>
    </row>
    <row r="1131" spans="1:19">
      <c r="A1131" s="17"/>
      <c r="B1131" s="120"/>
      <c r="C1131" s="120"/>
      <c r="D1131" s="120"/>
      <c r="E1131" s="120"/>
      <c r="F1131" s="114"/>
      <c r="G1131" s="114"/>
      <c r="H1131" s="114"/>
      <c r="I1131" s="16"/>
      <c r="K1131" s="17"/>
      <c r="L1131" s="120"/>
      <c r="M1131" s="120"/>
      <c r="N1131" s="120"/>
      <c r="O1131" s="120"/>
      <c r="P1131" s="114"/>
      <c r="Q1131" s="114"/>
      <c r="R1131" s="114"/>
      <c r="S1131" s="16"/>
    </row>
    <row r="1132" spans="1:19">
      <c r="A1132" s="21">
        <v>1</v>
      </c>
      <c r="B1132" s="1099" t="s">
        <v>44</v>
      </c>
      <c r="C1132" s="1099"/>
      <c r="D1132" s="1099"/>
      <c r="E1132" s="22">
        <f>Master!AA41</f>
        <v>0</v>
      </c>
      <c r="F1132" s="19"/>
      <c r="G1132" s="19"/>
      <c r="H1132" s="19"/>
      <c r="I1132" s="16"/>
      <c r="K1132" s="21">
        <v>1</v>
      </c>
      <c r="L1132" s="1099" t="s">
        <v>44</v>
      </c>
      <c r="M1132" s="1099"/>
      <c r="N1132" s="1099"/>
      <c r="O1132" s="22">
        <f>E1132</f>
        <v>0</v>
      </c>
      <c r="P1132" s="19"/>
      <c r="Q1132" s="19"/>
      <c r="R1132" s="19"/>
      <c r="S1132" s="16"/>
    </row>
    <row r="1133" spans="1:19">
      <c r="A1133" s="21"/>
      <c r="B1133" s="120"/>
      <c r="C1133" s="120"/>
      <c r="D1133" s="120"/>
      <c r="E1133" s="120"/>
      <c r="F1133" s="114"/>
      <c r="G1133" s="114"/>
      <c r="H1133" s="114"/>
      <c r="I1133" s="16"/>
      <c r="K1133" s="21"/>
      <c r="L1133" s="120"/>
      <c r="M1133" s="120"/>
      <c r="N1133" s="120"/>
      <c r="O1133" s="120"/>
      <c r="P1133" s="114"/>
      <c r="Q1133" s="114"/>
      <c r="R1133" s="114"/>
      <c r="S1133" s="16"/>
    </row>
    <row r="1134" spans="1:19">
      <c r="A1134" s="21">
        <v>2</v>
      </c>
      <c r="B1134" s="1098" t="s">
        <v>45</v>
      </c>
      <c r="C1134" s="1098"/>
      <c r="D1134" s="1098"/>
      <c r="E1134" s="120"/>
      <c r="F1134" s="114"/>
      <c r="G1134" s="114"/>
      <c r="H1134" s="114"/>
      <c r="I1134" s="16"/>
      <c r="K1134" s="21">
        <v>2</v>
      </c>
      <c r="L1134" s="1098" t="s">
        <v>45</v>
      </c>
      <c r="M1134" s="1098"/>
      <c r="N1134" s="1098"/>
      <c r="O1134" s="120"/>
      <c r="P1134" s="114"/>
      <c r="Q1134" s="114"/>
      <c r="R1134" s="114"/>
      <c r="S1134" s="16"/>
    </row>
    <row r="1135" spans="1:19">
      <c r="A1135" s="21"/>
      <c r="B1135" s="1098"/>
      <c r="C1135" s="1098"/>
      <c r="D1135" s="1098"/>
      <c r="E1135" s="23" t="s">
        <v>28</v>
      </c>
      <c r="F1135" s="19"/>
      <c r="G1135" s="19"/>
      <c r="H1135" s="19"/>
      <c r="I1135" s="16"/>
      <c r="K1135" s="21"/>
      <c r="L1135" s="1098"/>
      <c r="M1135" s="1098"/>
      <c r="N1135" s="1098"/>
      <c r="O1135" s="23" t="s">
        <v>28</v>
      </c>
      <c r="P1135" s="19"/>
      <c r="Q1135" s="19"/>
      <c r="R1135" s="19"/>
      <c r="S1135" s="16"/>
    </row>
    <row r="1136" spans="1:19">
      <c r="A1136" s="21"/>
      <c r="B1136" s="120"/>
      <c r="C1136" s="120"/>
      <c r="D1136" s="120"/>
      <c r="E1136" s="120"/>
      <c r="F1136" s="114"/>
      <c r="G1136" s="114"/>
      <c r="H1136" s="114"/>
      <c r="I1136" s="16"/>
      <c r="K1136" s="21"/>
      <c r="L1136" s="120"/>
      <c r="M1136" s="120"/>
      <c r="N1136" s="120"/>
      <c r="O1136" s="120"/>
      <c r="P1136" s="114"/>
      <c r="Q1136" s="114"/>
      <c r="R1136" s="114"/>
      <c r="S1136" s="16"/>
    </row>
    <row r="1137" spans="1:19">
      <c r="A1137" s="21">
        <v>3</v>
      </c>
      <c r="B1137" s="1099" t="s">
        <v>46</v>
      </c>
      <c r="C1137" s="1099"/>
      <c r="D1137" s="1099"/>
      <c r="E1137" s="23" t="s">
        <v>28</v>
      </c>
      <c r="F1137" s="19"/>
      <c r="G1137" s="19"/>
      <c r="H1137" s="19"/>
      <c r="I1137" s="16"/>
      <c r="K1137" s="21">
        <v>3</v>
      </c>
      <c r="L1137" s="1099" t="s">
        <v>46</v>
      </c>
      <c r="M1137" s="1099"/>
      <c r="N1137" s="1099"/>
      <c r="O1137" s="18" t="str">
        <f>E1137</f>
        <v>N/A</v>
      </c>
      <c r="P1137" s="19"/>
      <c r="Q1137" s="19"/>
      <c r="R1137" s="19"/>
      <c r="S1137" s="16"/>
    </row>
    <row r="1138" spans="1:19">
      <c r="A1138" s="21"/>
      <c r="B1138" s="120"/>
      <c r="C1138" s="120"/>
      <c r="D1138" s="120"/>
      <c r="E1138" s="120"/>
      <c r="F1138" s="114"/>
      <c r="G1138" s="114"/>
      <c r="H1138" s="114"/>
      <c r="I1138" s="16"/>
      <c r="K1138" s="21"/>
      <c r="L1138" s="120"/>
      <c r="M1138" s="120"/>
      <c r="N1138" s="120"/>
      <c r="O1138" s="120"/>
      <c r="P1138" s="114"/>
      <c r="Q1138" s="114"/>
      <c r="R1138" s="114"/>
      <c r="S1138" s="16"/>
    </row>
    <row r="1139" spans="1:19">
      <c r="A1139" s="21">
        <v>4</v>
      </c>
      <c r="B1139" s="1099" t="s">
        <v>47</v>
      </c>
      <c r="C1139" s="1099"/>
      <c r="D1139" s="1099"/>
      <c r="E1139" s="23" t="s">
        <v>48</v>
      </c>
      <c r="F1139" s="19"/>
      <c r="G1139" s="19"/>
      <c r="H1139" s="19"/>
      <c r="I1139" s="16"/>
      <c r="K1139" s="21">
        <v>4</v>
      </c>
      <c r="L1139" s="1099" t="s">
        <v>47</v>
      </c>
      <c r="M1139" s="1099"/>
      <c r="N1139" s="1099"/>
      <c r="O1139" s="23" t="s">
        <v>48</v>
      </c>
      <c r="P1139" s="19"/>
      <c r="Q1139" s="19"/>
      <c r="R1139" s="19"/>
      <c r="S1139" s="16"/>
    </row>
    <row r="1140" spans="1:19">
      <c r="A1140" s="21"/>
      <c r="B1140" s="120"/>
      <c r="C1140" s="120"/>
      <c r="D1140" s="120"/>
      <c r="E1140" s="120"/>
      <c r="F1140" s="114"/>
      <c r="G1140" s="114"/>
      <c r="H1140" s="114"/>
      <c r="I1140" s="16"/>
      <c r="K1140" s="21"/>
      <c r="L1140" s="120"/>
      <c r="M1140" s="120"/>
      <c r="N1140" s="120"/>
      <c r="O1140" s="120"/>
      <c r="P1140" s="114"/>
      <c r="Q1140" s="114"/>
      <c r="R1140" s="114"/>
      <c r="S1140" s="16"/>
    </row>
    <row r="1141" spans="1:19">
      <c r="A1141" s="21">
        <v>5</v>
      </c>
      <c r="B1141" s="1099" t="s">
        <v>49</v>
      </c>
      <c r="C1141" s="1099"/>
      <c r="D1141" s="1099"/>
      <c r="E1141" s="24">
        <f>Master!AK41</f>
        <v>0</v>
      </c>
      <c r="F1141" s="19"/>
      <c r="G1141" s="19"/>
      <c r="H1141" s="19"/>
      <c r="I1141" s="16"/>
      <c r="K1141" s="21">
        <v>5</v>
      </c>
      <c r="L1141" s="1099" t="s">
        <v>49</v>
      </c>
      <c r="M1141" s="1099"/>
      <c r="N1141" s="1099"/>
      <c r="O1141" s="24">
        <f>E1141</f>
        <v>0</v>
      </c>
      <c r="P1141" s="19"/>
      <c r="Q1141" s="19"/>
      <c r="R1141" s="19"/>
      <c r="S1141" s="16"/>
    </row>
    <row r="1142" spans="1:19">
      <c r="A1142" s="21"/>
      <c r="B1142" s="120"/>
      <c r="C1142" s="120"/>
      <c r="D1142" s="238" t="s">
        <v>50</v>
      </c>
      <c r="E1142" s="238" t="s">
        <v>23</v>
      </c>
      <c r="F1142" s="136" t="s">
        <v>25</v>
      </c>
      <c r="G1142" s="238" t="s">
        <v>26</v>
      </c>
      <c r="H1142" s="238" t="s">
        <v>202</v>
      </c>
      <c r="I1142" s="126" t="s">
        <v>51</v>
      </c>
      <c r="K1142" s="21"/>
      <c r="L1142" s="120"/>
      <c r="M1142" s="120"/>
      <c r="N1142" s="238" t="s">
        <v>50</v>
      </c>
      <c r="O1142" s="238" t="s">
        <v>23</v>
      </c>
      <c r="P1142" s="136" t="s">
        <v>25</v>
      </c>
      <c r="Q1142" s="238" t="s">
        <v>26</v>
      </c>
      <c r="R1142" s="238" t="str">
        <f>H1142</f>
        <v>ADV</v>
      </c>
      <c r="S1142" s="126" t="s">
        <v>51</v>
      </c>
    </row>
    <row r="1143" spans="1:19">
      <c r="A1143" s="21">
        <v>6</v>
      </c>
      <c r="B1143" s="468" t="s">
        <v>52</v>
      </c>
      <c r="C1143" s="468"/>
      <c r="D1143" s="335">
        <f>Master!AM41</f>
        <v>0</v>
      </c>
      <c r="E1143" s="335">
        <f>Master!AL41</f>
        <v>0</v>
      </c>
      <c r="F1143" s="180">
        <f>Master!AN41</f>
        <v>0</v>
      </c>
      <c r="G1143" s="180">
        <f>Master!AO41</f>
        <v>0</v>
      </c>
      <c r="H1143" s="180">
        <f>Master!AP41</f>
        <v>0</v>
      </c>
      <c r="I1143" s="127">
        <f>D1143+E1143+F1143+G1143+H1143</f>
        <v>0</v>
      </c>
      <c r="K1143" s="21">
        <v>6</v>
      </c>
      <c r="L1143" s="468" t="s">
        <v>52</v>
      </c>
      <c r="M1143" s="468"/>
      <c r="N1143" s="335">
        <f>D1143</f>
        <v>0</v>
      </c>
      <c r="O1143" s="335">
        <f>E1143</f>
        <v>0</v>
      </c>
      <c r="P1143" s="180">
        <f>F1143</f>
        <v>0</v>
      </c>
      <c r="Q1143" s="180">
        <f>G1143</f>
        <v>0</v>
      </c>
      <c r="R1143" s="180">
        <f>H1143</f>
        <v>0</v>
      </c>
      <c r="S1143" s="127">
        <f>N1143+O1143+R1143</f>
        <v>0</v>
      </c>
    </row>
    <row r="1144" spans="1:19">
      <c r="A1144" s="21"/>
      <c r="B1144" s="120"/>
      <c r="C1144" s="120"/>
      <c r="D1144" s="120"/>
      <c r="E1144" s="120"/>
      <c r="F1144" s="114"/>
      <c r="G1144" s="114"/>
      <c r="H1144" s="114"/>
      <c r="I1144" s="16"/>
      <c r="K1144" s="21"/>
      <c r="L1144" s="120"/>
      <c r="M1144" s="120"/>
      <c r="N1144" s="120"/>
      <c r="O1144" s="120"/>
      <c r="P1144" s="114"/>
      <c r="Q1144" s="114"/>
      <c r="R1144" s="114"/>
      <c r="S1144" s="16"/>
    </row>
    <row r="1145" spans="1:19">
      <c r="A1145" s="21">
        <v>7</v>
      </c>
      <c r="B1145" s="1099" t="s">
        <v>53</v>
      </c>
      <c r="C1145" s="1099"/>
      <c r="D1145" s="1099"/>
      <c r="E1145" s="24">
        <f>E1141-I1143</f>
        <v>0</v>
      </c>
      <c r="F1145" s="19"/>
      <c r="G1145" s="19"/>
      <c r="H1145" s="19"/>
      <c r="I1145" s="16"/>
      <c r="K1145" s="21">
        <v>7</v>
      </c>
      <c r="L1145" s="1099" t="s">
        <v>53</v>
      </c>
      <c r="M1145" s="1099"/>
      <c r="N1145" s="1099"/>
      <c r="O1145" s="24">
        <f>E1145</f>
        <v>0</v>
      </c>
      <c r="P1145" s="19"/>
      <c r="Q1145" s="19"/>
      <c r="R1145" s="19"/>
      <c r="S1145" s="16"/>
    </row>
    <row r="1146" spans="1:19">
      <c r="A1146" s="15"/>
      <c r="B1146" s="114"/>
      <c r="C1146" s="114"/>
      <c r="D1146" s="114"/>
      <c r="E1146" s="114"/>
      <c r="F1146" s="114"/>
      <c r="G1146" s="114"/>
      <c r="H1146" s="114"/>
      <c r="I1146" s="16"/>
      <c r="K1146" s="15"/>
      <c r="L1146" s="114"/>
      <c r="M1146" s="114"/>
      <c r="N1146" s="114"/>
      <c r="O1146" s="114"/>
      <c r="P1146" s="114"/>
      <c r="Q1146" s="114"/>
      <c r="R1146" s="114"/>
      <c r="S1146" s="16"/>
    </row>
    <row r="1147" spans="1:19">
      <c r="A1147" s="15"/>
      <c r="B1147" s="114"/>
      <c r="C1147" s="114"/>
      <c r="D1147" s="114"/>
      <c r="E1147" s="114"/>
      <c r="F1147" s="114"/>
      <c r="G1147" s="114"/>
      <c r="H1147" s="114"/>
      <c r="I1147" s="16"/>
      <c r="K1147" s="15"/>
      <c r="L1147" s="114"/>
      <c r="M1147" s="114"/>
      <c r="N1147" s="114"/>
      <c r="O1147" s="114"/>
      <c r="P1147" s="114"/>
      <c r="Q1147" s="114"/>
      <c r="R1147" s="114"/>
      <c r="S1147" s="16"/>
    </row>
    <row r="1148" spans="1:19" ht="15" thickBot="1">
      <c r="A1148" s="15"/>
      <c r="B1148" s="114"/>
      <c r="C1148" s="114"/>
      <c r="D1148" s="114"/>
      <c r="E1148" s="114"/>
      <c r="F1148" s="25"/>
      <c r="G1148" s="25"/>
      <c r="H1148" s="25"/>
      <c r="I1148" s="26"/>
      <c r="K1148" s="15"/>
      <c r="L1148" s="114"/>
      <c r="M1148" s="114"/>
      <c r="N1148" s="114"/>
      <c r="O1148" s="114"/>
      <c r="P1148" s="25"/>
      <c r="Q1148" s="25"/>
      <c r="R1148" s="25"/>
      <c r="S1148" s="26"/>
    </row>
    <row r="1149" spans="1:19" ht="15" thickBot="1">
      <c r="A1149" s="27"/>
      <c r="B1149" s="25"/>
      <c r="C1149" s="25"/>
      <c r="D1149" s="25"/>
      <c r="E1149" s="999" t="s">
        <v>54</v>
      </c>
      <c r="F1149" s="999"/>
      <c r="G1149" s="999"/>
      <c r="H1149" s="999"/>
      <c r="I1149" s="1100"/>
      <c r="K1149" s="27"/>
      <c r="L1149" s="25"/>
      <c r="M1149" s="25"/>
      <c r="N1149" s="25"/>
      <c r="O1149" s="28" t="s">
        <v>54</v>
      </c>
      <c r="P1149" s="25"/>
      <c r="Q1149" s="28"/>
      <c r="R1149" s="28"/>
      <c r="S1149" s="29"/>
    </row>
    <row r="1161" spans="1:19" ht="15" thickBot="1"/>
    <row r="1162" spans="1:19" ht="24.6">
      <c r="A1162" s="1091" t="s">
        <v>39</v>
      </c>
      <c r="B1162" s="1092"/>
      <c r="C1162" s="1092"/>
      <c r="D1162" s="1092"/>
      <c r="E1162" s="1092"/>
      <c r="F1162" s="1092"/>
      <c r="G1162" s="1092"/>
      <c r="H1162" s="1092"/>
      <c r="I1162" s="1093"/>
      <c r="K1162" s="1091" t="s">
        <v>39</v>
      </c>
      <c r="L1162" s="1092"/>
      <c r="M1162" s="1092"/>
      <c r="N1162" s="1092"/>
      <c r="O1162" s="1092"/>
      <c r="P1162" s="1092"/>
      <c r="Q1162" s="1092"/>
      <c r="R1162" s="1092"/>
      <c r="S1162" s="1093"/>
    </row>
    <row r="1163" spans="1:19">
      <c r="A1163" s="1094" t="s">
        <v>1075</v>
      </c>
      <c r="B1163" s="1095"/>
      <c r="C1163" s="1095"/>
      <c r="D1163" s="1095"/>
      <c r="E1163" s="1095"/>
      <c r="F1163" s="1095"/>
      <c r="G1163" s="1095"/>
      <c r="H1163" s="1095"/>
      <c r="I1163" s="1096"/>
      <c r="K1163" s="1094" t="str">
        <f>A1163</f>
        <v>[Vide rule 78 (1) (b) of the Contract Labour (Regulation and Abolition) Central and A.P.{T.S.}Rules, 1971]</v>
      </c>
      <c r="L1163" s="1095"/>
      <c r="M1163" s="1095"/>
      <c r="N1163" s="1095"/>
      <c r="O1163" s="1095"/>
      <c r="P1163" s="1095"/>
      <c r="Q1163" s="1095"/>
      <c r="R1163" s="1095"/>
      <c r="S1163" s="1096"/>
    </row>
    <row r="1164" spans="1:19">
      <c r="A1164" s="15"/>
      <c r="B1164" s="114"/>
      <c r="C1164" s="114"/>
      <c r="D1164" s="114"/>
      <c r="E1164" s="114"/>
      <c r="F1164" s="114"/>
      <c r="G1164" s="114"/>
      <c r="H1164" s="114"/>
      <c r="I1164" s="16"/>
      <c r="K1164" s="15"/>
      <c r="L1164" s="114"/>
      <c r="M1164" s="114"/>
      <c r="N1164" s="114"/>
      <c r="O1164" s="114"/>
      <c r="P1164" s="114"/>
      <c r="Q1164" s="114"/>
      <c r="R1164" s="114"/>
      <c r="S1164" s="16"/>
    </row>
    <row r="1165" spans="1:19">
      <c r="A1165" s="17" t="s">
        <v>40</v>
      </c>
      <c r="B1165" s="120"/>
      <c r="C1165" s="120"/>
      <c r="D1165" s="121" t="str">
        <f>Master!F5</f>
        <v>GROTECH LANDSCAPE DEVELOPERS PVT. LTD.</v>
      </c>
      <c r="E1165" s="114"/>
      <c r="F1165" s="114"/>
      <c r="G1165" s="114"/>
      <c r="H1165" s="114"/>
      <c r="I1165" s="16"/>
      <c r="K1165" s="17" t="s">
        <v>40</v>
      </c>
      <c r="L1165" s="120"/>
      <c r="M1165" s="120"/>
      <c r="N1165" s="121" t="str">
        <f>D1165</f>
        <v>GROTECH LANDSCAPE DEVELOPERS PVT. LTD.</v>
      </c>
      <c r="O1165" s="114"/>
      <c r="P1165" s="114"/>
      <c r="Q1165" s="114"/>
      <c r="R1165" s="114"/>
      <c r="S1165" s="16"/>
    </row>
    <row r="1166" spans="1:19">
      <c r="A1166" s="17"/>
      <c r="B1166" s="120" t="str">
        <f>Master!F6</f>
        <v>290/E, Khanapur Village, Gandipet Mandal, Ranga Reddy, Hyderabad-500075 T.S.</v>
      </c>
      <c r="C1166" s="120"/>
      <c r="D1166" s="114"/>
      <c r="E1166" s="114"/>
      <c r="F1166" s="114"/>
      <c r="G1166" s="114"/>
      <c r="H1166" s="114"/>
      <c r="I1166" s="16"/>
      <c r="K1166" s="17"/>
      <c r="L1166" s="120" t="str">
        <f>B1166</f>
        <v>290/E, Khanapur Village, Gandipet Mandal, Ranga Reddy, Hyderabad-500075 T.S.</v>
      </c>
      <c r="M1166" s="120"/>
      <c r="N1166" s="114"/>
      <c r="O1166" s="114"/>
      <c r="P1166" s="114"/>
      <c r="Q1166" s="114"/>
      <c r="R1166" s="114"/>
      <c r="S1166" s="16"/>
    </row>
    <row r="1167" spans="1:19">
      <c r="A1167" s="17"/>
      <c r="B1167" s="120"/>
      <c r="C1167" s="120"/>
      <c r="D1167" s="120"/>
      <c r="E1167" s="120"/>
      <c r="F1167" s="114"/>
      <c r="G1167" s="114"/>
      <c r="H1167" s="114"/>
      <c r="I1167" s="16"/>
      <c r="K1167" s="17"/>
      <c r="L1167" s="120"/>
      <c r="M1167" s="120"/>
      <c r="N1167" s="120"/>
      <c r="O1167" s="120"/>
      <c r="P1167" s="114"/>
      <c r="Q1167" s="114"/>
      <c r="R1167" s="114"/>
      <c r="S1167" s="16"/>
    </row>
    <row r="1168" spans="1:19">
      <c r="A1168" s="1097" t="s">
        <v>41</v>
      </c>
      <c r="B1168" s="1098"/>
      <c r="C1168" s="1098"/>
      <c r="D1168" s="1098"/>
      <c r="E1168" s="120"/>
      <c r="F1168" s="114"/>
      <c r="G1168" s="114"/>
      <c r="H1168" s="114"/>
      <c r="I1168" s="16"/>
      <c r="K1168" s="1097" t="s">
        <v>41</v>
      </c>
      <c r="L1168" s="1098"/>
      <c r="M1168" s="1098"/>
      <c r="N1168" s="1098"/>
      <c r="O1168" s="120"/>
      <c r="P1168" s="114"/>
      <c r="Q1168" s="114"/>
      <c r="R1168" s="114"/>
      <c r="S1168" s="16"/>
    </row>
    <row r="1169" spans="1:19">
      <c r="A1169" s="1097"/>
      <c r="B1169" s="1098"/>
      <c r="C1169" s="1098"/>
      <c r="D1169" s="1098"/>
      <c r="E1169" s="128" t="str">
        <f>Master!D42</f>
        <v>MARATHI CHANDRAKALA</v>
      </c>
      <c r="F1169" s="19"/>
      <c r="G1169" s="19"/>
      <c r="H1169" s="19" t="str">
        <f>Master!G42</f>
        <v>M ASHOKS</v>
      </c>
      <c r="I1169" s="16"/>
      <c r="K1169" s="1097"/>
      <c r="L1169" s="1098"/>
      <c r="M1169" s="1098"/>
      <c r="N1169" s="1098"/>
      <c r="O1169" s="18" t="str">
        <f>E1169</f>
        <v>MARATHI CHANDRAKALA</v>
      </c>
      <c r="P1169" s="19"/>
      <c r="Q1169" s="19"/>
      <c r="R1169" s="19" t="str">
        <f>H1169</f>
        <v>M ASHOKS</v>
      </c>
      <c r="S1169" s="16"/>
    </row>
    <row r="1170" spans="1:19">
      <c r="A1170" s="17"/>
      <c r="B1170" s="120"/>
      <c r="C1170" s="120"/>
      <c r="D1170" s="120"/>
      <c r="E1170" s="120"/>
      <c r="F1170" s="114"/>
      <c r="G1170" s="114"/>
      <c r="H1170" s="114"/>
      <c r="I1170" s="16"/>
      <c r="K1170" s="17"/>
      <c r="L1170" s="120"/>
      <c r="M1170" s="120"/>
      <c r="N1170" s="120"/>
      <c r="O1170" s="120"/>
      <c r="P1170" s="114"/>
      <c r="Q1170" s="114"/>
      <c r="R1170" s="114"/>
      <c r="S1170" s="16"/>
    </row>
    <row r="1171" spans="1:19">
      <c r="A1171" s="1101" t="s">
        <v>42</v>
      </c>
      <c r="B1171" s="1099"/>
      <c r="C1171" s="1099"/>
      <c r="D1171" s="1099"/>
      <c r="E1171" s="24" t="str">
        <f>Master!F8</f>
        <v>GARDENING SERVICES&amp;ISB HYDERABAD</v>
      </c>
      <c r="F1171" s="19"/>
      <c r="G1171" s="19"/>
      <c r="H1171" s="19"/>
      <c r="I1171" s="16"/>
      <c r="K1171" s="1101" t="s">
        <v>42</v>
      </c>
      <c r="L1171" s="1099"/>
      <c r="M1171" s="1099"/>
      <c r="N1171" s="1099"/>
      <c r="O1171" s="24" t="str">
        <f>E1171</f>
        <v>GARDENING SERVICES&amp;ISB HYDERABAD</v>
      </c>
      <c r="P1171" s="19"/>
      <c r="Q1171" s="19"/>
      <c r="R1171" s="19"/>
      <c r="S1171" s="16"/>
    </row>
    <row r="1172" spans="1:19">
      <c r="A1172" s="17"/>
      <c r="B1172" s="120"/>
      <c r="C1172" s="120"/>
      <c r="D1172" s="120"/>
      <c r="E1172" s="120"/>
      <c r="F1172" s="114"/>
      <c r="G1172" s="114"/>
      <c r="H1172" s="114"/>
      <c r="I1172" s="16"/>
      <c r="K1172" s="17"/>
      <c r="L1172" s="120"/>
      <c r="M1172" s="120"/>
      <c r="N1172" s="120"/>
      <c r="O1172" s="120"/>
      <c r="P1172" s="114"/>
      <c r="Q1172" s="114"/>
      <c r="R1172" s="114"/>
      <c r="S1172" s="16"/>
    </row>
    <row r="1173" spans="1:19">
      <c r="A1173" s="1101" t="s">
        <v>43</v>
      </c>
      <c r="B1173" s="1099"/>
      <c r="C1173" s="1099"/>
      <c r="D1173" s="1099"/>
      <c r="E1173" s="20">
        <f>Master!F10</f>
        <v>44652</v>
      </c>
      <c r="F1173" s="19"/>
      <c r="G1173" s="19"/>
      <c r="H1173" s="19"/>
      <c r="I1173" s="16"/>
      <c r="K1173" s="1101" t="s">
        <v>43</v>
      </c>
      <c r="L1173" s="1099"/>
      <c r="M1173" s="1099"/>
      <c r="N1173" s="1099"/>
      <c r="O1173" s="20">
        <f>E1173</f>
        <v>44652</v>
      </c>
      <c r="P1173" s="19"/>
      <c r="Q1173" s="19"/>
      <c r="R1173" s="19"/>
      <c r="S1173" s="16"/>
    </row>
    <row r="1174" spans="1:19">
      <c r="A1174" s="17"/>
      <c r="B1174" s="120"/>
      <c r="C1174" s="120"/>
      <c r="D1174" s="120"/>
      <c r="E1174" s="120"/>
      <c r="F1174" s="114"/>
      <c r="G1174" s="114"/>
      <c r="H1174" s="114"/>
      <c r="I1174" s="16"/>
      <c r="K1174" s="17"/>
      <c r="L1174" s="120"/>
      <c r="M1174" s="120"/>
      <c r="N1174" s="120"/>
      <c r="O1174" s="120"/>
      <c r="P1174" s="114"/>
      <c r="Q1174" s="114"/>
      <c r="R1174" s="114"/>
      <c r="S1174" s="16"/>
    </row>
    <row r="1175" spans="1:19">
      <c r="A1175" s="21">
        <v>1</v>
      </c>
      <c r="B1175" s="1099" t="s">
        <v>44</v>
      </c>
      <c r="C1175" s="1099"/>
      <c r="D1175" s="1099"/>
      <c r="E1175" s="22">
        <f>Master!AA42</f>
        <v>26</v>
      </c>
      <c r="F1175" s="19"/>
      <c r="G1175" s="19"/>
      <c r="H1175" s="19"/>
      <c r="I1175" s="16"/>
      <c r="K1175" s="21">
        <v>1</v>
      </c>
      <c r="L1175" s="1099" t="s">
        <v>44</v>
      </c>
      <c r="M1175" s="1099"/>
      <c r="N1175" s="1099"/>
      <c r="O1175" s="22">
        <f>E1175</f>
        <v>26</v>
      </c>
      <c r="P1175" s="19"/>
      <c r="Q1175" s="19"/>
      <c r="R1175" s="19"/>
      <c r="S1175" s="16"/>
    </row>
    <row r="1176" spans="1:19">
      <c r="A1176" s="21"/>
      <c r="B1176" s="120"/>
      <c r="C1176" s="120"/>
      <c r="D1176" s="120"/>
      <c r="E1176" s="120"/>
      <c r="F1176" s="114"/>
      <c r="G1176" s="114"/>
      <c r="H1176" s="114"/>
      <c r="I1176" s="16"/>
      <c r="K1176" s="21"/>
      <c r="L1176" s="120"/>
      <c r="M1176" s="120"/>
      <c r="N1176" s="120"/>
      <c r="O1176" s="120"/>
      <c r="P1176" s="114"/>
      <c r="Q1176" s="114"/>
      <c r="R1176" s="114"/>
      <c r="S1176" s="16"/>
    </row>
    <row r="1177" spans="1:19">
      <c r="A1177" s="21">
        <v>2</v>
      </c>
      <c r="B1177" s="1098" t="s">
        <v>45</v>
      </c>
      <c r="C1177" s="1098"/>
      <c r="D1177" s="1098"/>
      <c r="E1177" s="120"/>
      <c r="F1177" s="114"/>
      <c r="G1177" s="114"/>
      <c r="H1177" s="114"/>
      <c r="I1177" s="16"/>
      <c r="K1177" s="21">
        <v>2</v>
      </c>
      <c r="L1177" s="1098" t="s">
        <v>45</v>
      </c>
      <c r="M1177" s="1098"/>
      <c r="N1177" s="1098"/>
      <c r="O1177" s="120"/>
      <c r="P1177" s="114"/>
      <c r="Q1177" s="114"/>
      <c r="R1177" s="114"/>
      <c r="S1177" s="16"/>
    </row>
    <row r="1178" spans="1:19">
      <c r="A1178" s="21"/>
      <c r="B1178" s="1098"/>
      <c r="C1178" s="1098"/>
      <c r="D1178" s="1098"/>
      <c r="E1178" s="23" t="s">
        <v>28</v>
      </c>
      <c r="F1178" s="19"/>
      <c r="G1178" s="19"/>
      <c r="H1178" s="19"/>
      <c r="I1178" s="16"/>
      <c r="K1178" s="21"/>
      <c r="L1178" s="1098"/>
      <c r="M1178" s="1098"/>
      <c r="N1178" s="1098"/>
      <c r="O1178" s="23" t="s">
        <v>28</v>
      </c>
      <c r="P1178" s="19"/>
      <c r="Q1178" s="19"/>
      <c r="R1178" s="19"/>
      <c r="S1178" s="16"/>
    </row>
    <row r="1179" spans="1:19">
      <c r="A1179" s="21"/>
      <c r="B1179" s="120"/>
      <c r="C1179" s="120"/>
      <c r="D1179" s="120"/>
      <c r="E1179" s="120"/>
      <c r="F1179" s="114"/>
      <c r="G1179" s="114"/>
      <c r="H1179" s="114"/>
      <c r="I1179" s="16"/>
      <c r="K1179" s="21"/>
      <c r="L1179" s="120"/>
      <c r="M1179" s="120"/>
      <c r="N1179" s="120"/>
      <c r="O1179" s="120"/>
      <c r="P1179" s="114"/>
      <c r="Q1179" s="114"/>
      <c r="R1179" s="114"/>
      <c r="S1179" s="16"/>
    </row>
    <row r="1180" spans="1:19">
      <c r="A1180" s="21">
        <v>3</v>
      </c>
      <c r="B1180" s="1099" t="s">
        <v>46</v>
      </c>
      <c r="C1180" s="1099"/>
      <c r="D1180" s="1099"/>
      <c r="E1180" s="23" t="s">
        <v>28</v>
      </c>
      <c r="F1180" s="19"/>
      <c r="G1180" s="19"/>
      <c r="H1180" s="19"/>
      <c r="I1180" s="16"/>
      <c r="K1180" s="21">
        <v>3</v>
      </c>
      <c r="L1180" s="1099" t="s">
        <v>46</v>
      </c>
      <c r="M1180" s="1099"/>
      <c r="N1180" s="1099"/>
      <c r="O1180" s="18" t="str">
        <f>E1180</f>
        <v>N/A</v>
      </c>
      <c r="P1180" s="19"/>
      <c r="Q1180" s="19"/>
      <c r="R1180" s="19"/>
      <c r="S1180" s="16"/>
    </row>
    <row r="1181" spans="1:19">
      <c r="A1181" s="21"/>
      <c r="B1181" s="120"/>
      <c r="C1181" s="120"/>
      <c r="D1181" s="120"/>
      <c r="E1181" s="120"/>
      <c r="F1181" s="114"/>
      <c r="G1181" s="114"/>
      <c r="H1181" s="114"/>
      <c r="I1181" s="16"/>
      <c r="K1181" s="21"/>
      <c r="L1181" s="120"/>
      <c r="M1181" s="120"/>
      <c r="N1181" s="120"/>
      <c r="O1181" s="120"/>
      <c r="P1181" s="114"/>
      <c r="Q1181" s="114"/>
      <c r="R1181" s="114"/>
      <c r="S1181" s="16"/>
    </row>
    <row r="1182" spans="1:19">
      <c r="A1182" s="21">
        <v>4</v>
      </c>
      <c r="B1182" s="1099" t="s">
        <v>47</v>
      </c>
      <c r="C1182" s="1099"/>
      <c r="D1182" s="1099"/>
      <c r="E1182" s="23" t="s">
        <v>48</v>
      </c>
      <c r="F1182" s="19"/>
      <c r="G1182" s="19"/>
      <c r="H1182" s="19"/>
      <c r="I1182" s="16"/>
      <c r="K1182" s="21">
        <v>4</v>
      </c>
      <c r="L1182" s="1099" t="s">
        <v>47</v>
      </c>
      <c r="M1182" s="1099"/>
      <c r="N1182" s="1099"/>
      <c r="O1182" s="23" t="s">
        <v>48</v>
      </c>
      <c r="P1182" s="19"/>
      <c r="Q1182" s="19"/>
      <c r="R1182" s="19"/>
      <c r="S1182" s="16"/>
    </row>
    <row r="1183" spans="1:19">
      <c r="A1183" s="21"/>
      <c r="B1183" s="120"/>
      <c r="C1183" s="120"/>
      <c r="D1183" s="120"/>
      <c r="E1183" s="120"/>
      <c r="F1183" s="114"/>
      <c r="G1183" s="114"/>
      <c r="H1183" s="114"/>
      <c r="I1183" s="16"/>
      <c r="K1183" s="21"/>
      <c r="L1183" s="120"/>
      <c r="M1183" s="120"/>
      <c r="N1183" s="120"/>
      <c r="O1183" s="120"/>
      <c r="P1183" s="114"/>
      <c r="Q1183" s="114"/>
      <c r="R1183" s="114"/>
      <c r="S1183" s="16"/>
    </row>
    <row r="1184" spans="1:19">
      <c r="A1184" s="21">
        <v>5</v>
      </c>
      <c r="B1184" s="1099" t="s">
        <v>49</v>
      </c>
      <c r="C1184" s="1099"/>
      <c r="D1184" s="1099"/>
      <c r="E1184" s="24">
        <f>Master!AK42</f>
        <v>9210.4</v>
      </c>
      <c r="F1184" s="19"/>
      <c r="G1184" s="19"/>
      <c r="H1184" s="19"/>
      <c r="I1184" s="16"/>
      <c r="K1184" s="21">
        <v>5</v>
      </c>
      <c r="L1184" s="1099" t="s">
        <v>49</v>
      </c>
      <c r="M1184" s="1099"/>
      <c r="N1184" s="1099"/>
      <c r="O1184" s="24">
        <f>E1184</f>
        <v>9210.4</v>
      </c>
      <c r="P1184" s="19"/>
      <c r="Q1184" s="19"/>
      <c r="R1184" s="19"/>
      <c r="S1184" s="16"/>
    </row>
    <row r="1185" spans="1:19">
      <c r="A1185" s="21"/>
      <c r="B1185" s="120"/>
      <c r="C1185" s="120"/>
      <c r="D1185" s="238" t="s">
        <v>50</v>
      </c>
      <c r="E1185" s="238" t="s">
        <v>23</v>
      </c>
      <c r="F1185" s="136" t="s">
        <v>25</v>
      </c>
      <c r="G1185" s="238" t="s">
        <v>26</v>
      </c>
      <c r="H1185" s="238" t="s">
        <v>202</v>
      </c>
      <c r="I1185" s="126" t="s">
        <v>51</v>
      </c>
      <c r="K1185" s="21"/>
      <c r="L1185" s="120"/>
      <c r="M1185" s="120"/>
      <c r="N1185" s="238" t="s">
        <v>50</v>
      </c>
      <c r="O1185" s="238" t="s">
        <v>23</v>
      </c>
      <c r="P1185" s="136" t="s">
        <v>25</v>
      </c>
      <c r="Q1185" s="238" t="s">
        <v>26</v>
      </c>
      <c r="R1185" s="238" t="str">
        <f>H1185</f>
        <v>ADV</v>
      </c>
      <c r="S1185" s="126" t="s">
        <v>51</v>
      </c>
    </row>
    <row r="1186" spans="1:19">
      <c r="A1186" s="21">
        <v>6</v>
      </c>
      <c r="B1186" s="468" t="s">
        <v>52</v>
      </c>
      <c r="C1186" s="468"/>
      <c r="D1186" s="335">
        <f>Master!AM42</f>
        <v>1105</v>
      </c>
      <c r="E1186" s="335">
        <f>Master!AL42</f>
        <v>70</v>
      </c>
      <c r="F1186" s="180">
        <f>Master!AN42</f>
        <v>0</v>
      </c>
      <c r="G1186" s="180">
        <f>Master!AO42</f>
        <v>0</v>
      </c>
      <c r="H1186" s="180">
        <f>Master!AP42</f>
        <v>0</v>
      </c>
      <c r="I1186" s="127">
        <f>D1186+E1186+F1186+G1186+H1186</f>
        <v>1175</v>
      </c>
      <c r="K1186" s="21">
        <v>6</v>
      </c>
      <c r="L1186" s="468" t="s">
        <v>52</v>
      </c>
      <c r="M1186" s="468"/>
      <c r="N1186" s="335">
        <f>D1186</f>
        <v>1105</v>
      </c>
      <c r="O1186" s="335">
        <f>E1186</f>
        <v>70</v>
      </c>
      <c r="P1186" s="180">
        <f>F1186</f>
        <v>0</v>
      </c>
      <c r="Q1186" s="180">
        <f>G1186</f>
        <v>0</v>
      </c>
      <c r="R1186" s="180">
        <f>H1186</f>
        <v>0</v>
      </c>
      <c r="S1186" s="127">
        <f>N1186+O1186+R1186</f>
        <v>1175</v>
      </c>
    </row>
    <row r="1187" spans="1:19">
      <c r="A1187" s="21"/>
      <c r="B1187" s="120"/>
      <c r="C1187" s="120"/>
      <c r="D1187" s="120"/>
      <c r="E1187" s="120"/>
      <c r="F1187" s="114"/>
      <c r="G1187" s="114"/>
      <c r="H1187" s="114"/>
      <c r="I1187" s="16"/>
      <c r="K1187" s="21"/>
      <c r="L1187" s="120"/>
      <c r="M1187" s="120"/>
      <c r="N1187" s="120"/>
      <c r="O1187" s="120"/>
      <c r="P1187" s="114"/>
      <c r="Q1187" s="114"/>
      <c r="R1187" s="114"/>
      <c r="S1187" s="16"/>
    </row>
    <row r="1188" spans="1:19">
      <c r="A1188" s="21">
        <v>7</v>
      </c>
      <c r="B1188" s="1099" t="s">
        <v>53</v>
      </c>
      <c r="C1188" s="1099"/>
      <c r="D1188" s="1099"/>
      <c r="E1188" s="24">
        <f>E1184-I1186</f>
        <v>8035.4</v>
      </c>
      <c r="F1188" s="19"/>
      <c r="G1188" s="19"/>
      <c r="H1188" s="19"/>
      <c r="I1188" s="16"/>
      <c r="K1188" s="21">
        <v>7</v>
      </c>
      <c r="L1188" s="1099" t="s">
        <v>53</v>
      </c>
      <c r="M1188" s="1099"/>
      <c r="N1188" s="1099"/>
      <c r="O1188" s="24">
        <f>E1188</f>
        <v>8035.4</v>
      </c>
      <c r="P1188" s="19"/>
      <c r="Q1188" s="19"/>
      <c r="R1188" s="19"/>
      <c r="S1188" s="16"/>
    </row>
    <row r="1189" spans="1:19">
      <c r="A1189" s="15"/>
      <c r="B1189" s="114"/>
      <c r="C1189" s="114"/>
      <c r="D1189" s="114"/>
      <c r="E1189" s="114"/>
      <c r="F1189" s="114"/>
      <c r="G1189" s="114"/>
      <c r="H1189" s="114"/>
      <c r="I1189" s="16"/>
      <c r="K1189" s="15"/>
      <c r="L1189" s="114"/>
      <c r="M1189" s="114"/>
      <c r="N1189" s="114"/>
      <c r="O1189" s="114"/>
      <c r="P1189" s="114"/>
      <c r="Q1189" s="114"/>
      <c r="R1189" s="114"/>
      <c r="S1189" s="16"/>
    </row>
    <row r="1190" spans="1:19">
      <c r="A1190" s="15"/>
      <c r="B1190" s="114"/>
      <c r="C1190" s="114"/>
      <c r="D1190" s="114"/>
      <c r="E1190" s="114"/>
      <c r="F1190" s="114"/>
      <c r="G1190" s="114"/>
      <c r="H1190" s="114"/>
      <c r="I1190" s="16"/>
      <c r="K1190" s="15"/>
      <c r="L1190" s="114"/>
      <c r="M1190" s="114"/>
      <c r="N1190" s="114"/>
      <c r="O1190" s="114"/>
      <c r="P1190" s="114"/>
      <c r="Q1190" s="114"/>
      <c r="R1190" s="114"/>
      <c r="S1190" s="16"/>
    </row>
    <row r="1191" spans="1:19" ht="15" thickBot="1">
      <c r="A1191" s="15"/>
      <c r="B1191" s="114"/>
      <c r="C1191" s="114"/>
      <c r="D1191" s="114"/>
      <c r="E1191" s="114"/>
      <c r="F1191" s="25"/>
      <c r="G1191" s="25"/>
      <c r="H1191" s="25"/>
      <c r="I1191" s="26"/>
      <c r="K1191" s="15"/>
      <c r="L1191" s="114"/>
      <c r="M1191" s="114"/>
      <c r="N1191" s="114"/>
      <c r="O1191" s="114"/>
      <c r="P1191" s="25"/>
      <c r="Q1191" s="25"/>
      <c r="R1191" s="25"/>
      <c r="S1191" s="26"/>
    </row>
    <row r="1192" spans="1:19" ht="15" thickBot="1">
      <c r="A1192" s="27"/>
      <c r="B1192" s="25"/>
      <c r="C1192" s="25"/>
      <c r="D1192" s="25"/>
      <c r="E1192" s="999" t="s">
        <v>54</v>
      </c>
      <c r="F1192" s="999"/>
      <c r="G1192" s="999"/>
      <c r="H1192" s="999"/>
      <c r="I1192" s="1100"/>
      <c r="K1192" s="27"/>
      <c r="L1192" s="25"/>
      <c r="M1192" s="25"/>
      <c r="N1192" s="25"/>
      <c r="O1192" s="28" t="s">
        <v>54</v>
      </c>
      <c r="P1192" s="25"/>
      <c r="Q1192" s="28"/>
      <c r="R1192" s="28"/>
      <c r="S1192" s="29"/>
    </row>
    <row r="1204" spans="1:19" ht="15" thickBot="1"/>
    <row r="1205" spans="1:19" ht="24.6">
      <c r="A1205" s="1091" t="s">
        <v>39</v>
      </c>
      <c r="B1205" s="1092"/>
      <c r="C1205" s="1092"/>
      <c r="D1205" s="1092"/>
      <c r="E1205" s="1092"/>
      <c r="F1205" s="1092"/>
      <c r="G1205" s="1092"/>
      <c r="H1205" s="1092"/>
      <c r="I1205" s="1093"/>
      <c r="K1205" s="1091" t="s">
        <v>39</v>
      </c>
      <c r="L1205" s="1092"/>
      <c r="M1205" s="1092"/>
      <c r="N1205" s="1092"/>
      <c r="O1205" s="1092"/>
      <c r="P1205" s="1092"/>
      <c r="Q1205" s="1092"/>
      <c r="R1205" s="1092"/>
      <c r="S1205" s="1093"/>
    </row>
    <row r="1206" spans="1:19">
      <c r="A1206" s="1094" t="s">
        <v>1075</v>
      </c>
      <c r="B1206" s="1095"/>
      <c r="C1206" s="1095"/>
      <c r="D1206" s="1095"/>
      <c r="E1206" s="1095"/>
      <c r="F1206" s="1095"/>
      <c r="G1206" s="1095"/>
      <c r="H1206" s="1095"/>
      <c r="I1206" s="1096"/>
      <c r="K1206" s="1094" t="str">
        <f>A1206</f>
        <v>[Vide rule 78 (1) (b) of the Contract Labour (Regulation and Abolition) Central and A.P.{T.S.}Rules, 1971]</v>
      </c>
      <c r="L1206" s="1095"/>
      <c r="M1206" s="1095"/>
      <c r="N1206" s="1095"/>
      <c r="O1206" s="1095"/>
      <c r="P1206" s="1095"/>
      <c r="Q1206" s="1095"/>
      <c r="R1206" s="1095"/>
      <c r="S1206" s="1096"/>
    </row>
    <row r="1207" spans="1:19">
      <c r="A1207" s="15"/>
      <c r="B1207" s="114"/>
      <c r="C1207" s="114"/>
      <c r="D1207" s="114"/>
      <c r="E1207" s="114"/>
      <c r="F1207" s="114"/>
      <c r="G1207" s="114"/>
      <c r="H1207" s="114"/>
      <c r="I1207" s="16"/>
      <c r="K1207" s="15"/>
      <c r="L1207" s="114"/>
      <c r="M1207" s="114"/>
      <c r="N1207" s="114"/>
      <c r="O1207" s="114"/>
      <c r="P1207" s="114"/>
      <c r="Q1207" s="114"/>
      <c r="R1207" s="114"/>
      <c r="S1207" s="16"/>
    </row>
    <row r="1208" spans="1:19">
      <c r="A1208" s="17" t="s">
        <v>40</v>
      </c>
      <c r="B1208" s="120"/>
      <c r="C1208" s="120"/>
      <c r="D1208" s="121" t="str">
        <f>Master!F5</f>
        <v>GROTECH LANDSCAPE DEVELOPERS PVT. LTD.</v>
      </c>
      <c r="E1208" s="114"/>
      <c r="F1208" s="114"/>
      <c r="G1208" s="114"/>
      <c r="H1208" s="114"/>
      <c r="I1208" s="16"/>
      <c r="K1208" s="17" t="s">
        <v>40</v>
      </c>
      <c r="L1208" s="120"/>
      <c r="M1208" s="120"/>
      <c r="N1208" s="121" t="str">
        <f>D1208</f>
        <v>GROTECH LANDSCAPE DEVELOPERS PVT. LTD.</v>
      </c>
      <c r="O1208" s="114"/>
      <c r="P1208" s="114"/>
      <c r="Q1208" s="114"/>
      <c r="R1208" s="114"/>
      <c r="S1208" s="16"/>
    </row>
    <row r="1209" spans="1:19">
      <c r="A1209" s="17"/>
      <c r="B1209" s="120" t="str">
        <f>Master!F6</f>
        <v>290/E, Khanapur Village, Gandipet Mandal, Ranga Reddy, Hyderabad-500075 T.S.</v>
      </c>
      <c r="C1209" s="120"/>
      <c r="D1209" s="114"/>
      <c r="E1209" s="114"/>
      <c r="F1209" s="114"/>
      <c r="G1209" s="114"/>
      <c r="H1209" s="114"/>
      <c r="I1209" s="16"/>
      <c r="K1209" s="17"/>
      <c r="L1209" s="120" t="str">
        <f>B1209</f>
        <v>290/E, Khanapur Village, Gandipet Mandal, Ranga Reddy, Hyderabad-500075 T.S.</v>
      </c>
      <c r="M1209" s="120"/>
      <c r="N1209" s="114"/>
      <c r="O1209" s="114"/>
      <c r="P1209" s="114"/>
      <c r="Q1209" s="114"/>
      <c r="R1209" s="114"/>
      <c r="S1209" s="16"/>
    </row>
    <row r="1210" spans="1:19">
      <c r="A1210" s="17"/>
      <c r="B1210" s="120"/>
      <c r="C1210" s="120"/>
      <c r="D1210" s="120"/>
      <c r="E1210" s="120"/>
      <c r="F1210" s="114"/>
      <c r="G1210" s="114"/>
      <c r="H1210" s="114"/>
      <c r="I1210" s="16"/>
      <c r="K1210" s="17"/>
      <c r="L1210" s="120"/>
      <c r="M1210" s="120"/>
      <c r="N1210" s="120"/>
      <c r="O1210" s="120"/>
      <c r="P1210" s="114"/>
      <c r="Q1210" s="114"/>
      <c r="R1210" s="114"/>
      <c r="S1210" s="16"/>
    </row>
    <row r="1211" spans="1:19">
      <c r="A1211" s="1097" t="s">
        <v>41</v>
      </c>
      <c r="B1211" s="1098"/>
      <c r="C1211" s="1098"/>
      <c r="D1211" s="1098"/>
      <c r="E1211" s="120"/>
      <c r="F1211" s="114"/>
      <c r="G1211" s="114"/>
      <c r="H1211" s="114"/>
      <c r="I1211" s="16"/>
      <c r="K1211" s="1097" t="s">
        <v>41</v>
      </c>
      <c r="L1211" s="1098"/>
      <c r="M1211" s="1098"/>
      <c r="N1211" s="1098"/>
      <c r="O1211" s="120"/>
      <c r="P1211" s="114"/>
      <c r="Q1211" s="114"/>
      <c r="R1211" s="114"/>
      <c r="S1211" s="16"/>
    </row>
    <row r="1212" spans="1:19">
      <c r="A1212" s="1097"/>
      <c r="B1212" s="1098"/>
      <c r="C1212" s="1098"/>
      <c r="D1212" s="1098"/>
      <c r="E1212" s="128" t="str">
        <f>Master!D43</f>
        <v>ANKAGALLA YADAMMA</v>
      </c>
      <c r="F1212" s="19"/>
      <c r="G1212" s="19"/>
      <c r="H1212" s="19" t="str">
        <f>Master!G43</f>
        <v>ANKAGALLA YADAGIRI</v>
      </c>
      <c r="I1212" s="16"/>
      <c r="K1212" s="1097"/>
      <c r="L1212" s="1098"/>
      <c r="M1212" s="1098"/>
      <c r="N1212" s="1098"/>
      <c r="O1212" s="18" t="str">
        <f>E1212</f>
        <v>ANKAGALLA YADAMMA</v>
      </c>
      <c r="P1212" s="19"/>
      <c r="Q1212" s="19"/>
      <c r="R1212" s="19" t="str">
        <f>H1212</f>
        <v>ANKAGALLA YADAGIRI</v>
      </c>
      <c r="S1212" s="16"/>
    </row>
    <row r="1213" spans="1:19">
      <c r="A1213" s="17"/>
      <c r="B1213" s="120"/>
      <c r="C1213" s="120"/>
      <c r="D1213" s="120"/>
      <c r="E1213" s="120"/>
      <c r="F1213" s="114"/>
      <c r="G1213" s="114"/>
      <c r="H1213" s="114"/>
      <c r="I1213" s="16"/>
      <c r="K1213" s="17"/>
      <c r="L1213" s="120"/>
      <c r="M1213" s="120"/>
      <c r="N1213" s="120"/>
      <c r="O1213" s="120"/>
      <c r="P1213" s="114"/>
      <c r="Q1213" s="114"/>
      <c r="R1213" s="114"/>
      <c r="S1213" s="16"/>
    </row>
    <row r="1214" spans="1:19">
      <c r="A1214" s="1101" t="s">
        <v>42</v>
      </c>
      <c r="B1214" s="1099"/>
      <c r="C1214" s="1099"/>
      <c r="D1214" s="1099"/>
      <c r="E1214" s="24" t="str">
        <f>Master!F8</f>
        <v>GARDENING SERVICES&amp;ISB HYDERABAD</v>
      </c>
      <c r="F1214" s="19"/>
      <c r="G1214" s="19"/>
      <c r="H1214" s="19"/>
      <c r="I1214" s="16"/>
      <c r="K1214" s="1101" t="s">
        <v>42</v>
      </c>
      <c r="L1214" s="1099"/>
      <c r="M1214" s="1099"/>
      <c r="N1214" s="1099"/>
      <c r="O1214" s="24" t="str">
        <f>E1214</f>
        <v>GARDENING SERVICES&amp;ISB HYDERABAD</v>
      </c>
      <c r="P1214" s="19"/>
      <c r="Q1214" s="19"/>
      <c r="R1214" s="19"/>
      <c r="S1214" s="16"/>
    </row>
    <row r="1215" spans="1:19">
      <c r="A1215" s="17"/>
      <c r="B1215" s="120"/>
      <c r="C1215" s="120"/>
      <c r="D1215" s="120"/>
      <c r="E1215" s="120"/>
      <c r="F1215" s="114"/>
      <c r="G1215" s="114"/>
      <c r="H1215" s="114"/>
      <c r="I1215" s="16"/>
      <c r="K1215" s="17"/>
      <c r="L1215" s="120"/>
      <c r="M1215" s="120"/>
      <c r="N1215" s="120"/>
      <c r="O1215" s="120"/>
      <c r="P1215" s="114"/>
      <c r="Q1215" s="114"/>
      <c r="R1215" s="114"/>
      <c r="S1215" s="16"/>
    </row>
    <row r="1216" spans="1:19">
      <c r="A1216" s="1101" t="s">
        <v>43</v>
      </c>
      <c r="B1216" s="1099"/>
      <c r="C1216" s="1099"/>
      <c r="D1216" s="1099"/>
      <c r="E1216" s="20">
        <f>Master!F10</f>
        <v>44652</v>
      </c>
      <c r="F1216" s="19"/>
      <c r="G1216" s="19"/>
      <c r="H1216" s="19"/>
      <c r="I1216" s="16"/>
      <c r="K1216" s="1101" t="s">
        <v>43</v>
      </c>
      <c r="L1216" s="1099"/>
      <c r="M1216" s="1099"/>
      <c r="N1216" s="1099"/>
      <c r="O1216" s="20">
        <f>E1216</f>
        <v>44652</v>
      </c>
      <c r="P1216" s="19"/>
      <c r="Q1216" s="19"/>
      <c r="R1216" s="19"/>
      <c r="S1216" s="16"/>
    </row>
    <row r="1217" spans="1:19">
      <c r="A1217" s="17"/>
      <c r="B1217" s="120"/>
      <c r="C1217" s="120"/>
      <c r="D1217" s="120"/>
      <c r="E1217" s="120"/>
      <c r="F1217" s="114"/>
      <c r="G1217" s="114"/>
      <c r="H1217" s="114"/>
      <c r="I1217" s="16"/>
      <c r="K1217" s="17"/>
      <c r="L1217" s="120"/>
      <c r="M1217" s="120"/>
      <c r="N1217" s="120"/>
      <c r="O1217" s="120"/>
      <c r="P1217" s="114"/>
      <c r="Q1217" s="114"/>
      <c r="R1217" s="114"/>
      <c r="S1217" s="16"/>
    </row>
    <row r="1218" spans="1:19">
      <c r="A1218" s="21">
        <v>1</v>
      </c>
      <c r="B1218" s="1099" t="s">
        <v>44</v>
      </c>
      <c r="C1218" s="1099"/>
      <c r="D1218" s="1099"/>
      <c r="E1218" s="22">
        <f>Master!AA43</f>
        <v>26</v>
      </c>
      <c r="F1218" s="19"/>
      <c r="G1218" s="19"/>
      <c r="H1218" s="19"/>
      <c r="I1218" s="16"/>
      <c r="K1218" s="21">
        <v>1</v>
      </c>
      <c r="L1218" s="1099" t="s">
        <v>44</v>
      </c>
      <c r="M1218" s="1099"/>
      <c r="N1218" s="1099"/>
      <c r="O1218" s="22">
        <f>E1218</f>
        <v>26</v>
      </c>
      <c r="P1218" s="19"/>
      <c r="Q1218" s="19"/>
      <c r="R1218" s="19"/>
      <c r="S1218" s="16"/>
    </row>
    <row r="1219" spans="1:19">
      <c r="A1219" s="21"/>
      <c r="B1219" s="120"/>
      <c r="C1219" s="120"/>
      <c r="D1219" s="120"/>
      <c r="E1219" s="120"/>
      <c r="F1219" s="114"/>
      <c r="G1219" s="114"/>
      <c r="H1219" s="114"/>
      <c r="I1219" s="16"/>
      <c r="K1219" s="21"/>
      <c r="L1219" s="120"/>
      <c r="M1219" s="120"/>
      <c r="N1219" s="120"/>
      <c r="O1219" s="120"/>
      <c r="P1219" s="114"/>
      <c r="Q1219" s="114"/>
      <c r="R1219" s="114"/>
      <c r="S1219" s="16"/>
    </row>
    <row r="1220" spans="1:19">
      <c r="A1220" s="21">
        <v>2</v>
      </c>
      <c r="B1220" s="1098" t="s">
        <v>45</v>
      </c>
      <c r="C1220" s="1098"/>
      <c r="D1220" s="1098"/>
      <c r="E1220" s="120"/>
      <c r="F1220" s="114"/>
      <c r="G1220" s="114"/>
      <c r="H1220" s="114"/>
      <c r="I1220" s="16"/>
      <c r="K1220" s="21">
        <v>2</v>
      </c>
      <c r="L1220" s="1098" t="s">
        <v>45</v>
      </c>
      <c r="M1220" s="1098"/>
      <c r="N1220" s="1098"/>
      <c r="O1220" s="120"/>
      <c r="P1220" s="114"/>
      <c r="Q1220" s="114"/>
      <c r="R1220" s="114"/>
      <c r="S1220" s="16"/>
    </row>
    <row r="1221" spans="1:19">
      <c r="A1221" s="21"/>
      <c r="B1221" s="1098"/>
      <c r="C1221" s="1098"/>
      <c r="D1221" s="1098"/>
      <c r="E1221" s="23" t="s">
        <v>28</v>
      </c>
      <c r="F1221" s="19"/>
      <c r="G1221" s="19"/>
      <c r="H1221" s="19"/>
      <c r="I1221" s="16"/>
      <c r="K1221" s="21"/>
      <c r="L1221" s="1098"/>
      <c r="M1221" s="1098"/>
      <c r="N1221" s="1098"/>
      <c r="O1221" s="23" t="s">
        <v>28</v>
      </c>
      <c r="P1221" s="19"/>
      <c r="Q1221" s="19"/>
      <c r="R1221" s="19"/>
      <c r="S1221" s="16"/>
    </row>
    <row r="1222" spans="1:19">
      <c r="A1222" s="21"/>
      <c r="B1222" s="120"/>
      <c r="C1222" s="120"/>
      <c r="D1222" s="120"/>
      <c r="E1222" s="120"/>
      <c r="F1222" s="114"/>
      <c r="G1222" s="114"/>
      <c r="H1222" s="114"/>
      <c r="I1222" s="16"/>
      <c r="K1222" s="21"/>
      <c r="L1222" s="120"/>
      <c r="M1222" s="120"/>
      <c r="N1222" s="120"/>
      <c r="O1222" s="120"/>
      <c r="P1222" s="114"/>
      <c r="Q1222" s="114"/>
      <c r="R1222" s="114"/>
      <c r="S1222" s="16"/>
    </row>
    <row r="1223" spans="1:19">
      <c r="A1223" s="21">
        <v>3</v>
      </c>
      <c r="B1223" s="1099" t="s">
        <v>46</v>
      </c>
      <c r="C1223" s="1099"/>
      <c r="D1223" s="1099"/>
      <c r="E1223" s="23" t="s">
        <v>28</v>
      </c>
      <c r="F1223" s="19"/>
      <c r="G1223" s="19"/>
      <c r="H1223" s="19"/>
      <c r="I1223" s="16"/>
      <c r="K1223" s="21">
        <v>3</v>
      </c>
      <c r="L1223" s="1099" t="s">
        <v>46</v>
      </c>
      <c r="M1223" s="1099"/>
      <c r="N1223" s="1099"/>
      <c r="O1223" s="18" t="str">
        <f>E1223</f>
        <v>N/A</v>
      </c>
      <c r="P1223" s="19"/>
      <c r="Q1223" s="19"/>
      <c r="R1223" s="19"/>
      <c r="S1223" s="16"/>
    </row>
    <row r="1224" spans="1:19">
      <c r="A1224" s="21"/>
      <c r="B1224" s="120"/>
      <c r="C1224" s="120"/>
      <c r="D1224" s="120"/>
      <c r="E1224" s="120"/>
      <c r="F1224" s="114"/>
      <c r="G1224" s="114"/>
      <c r="H1224" s="114"/>
      <c r="I1224" s="16"/>
      <c r="K1224" s="21"/>
      <c r="L1224" s="120"/>
      <c r="M1224" s="120"/>
      <c r="N1224" s="120"/>
      <c r="O1224" s="120"/>
      <c r="P1224" s="114"/>
      <c r="Q1224" s="114"/>
      <c r="R1224" s="114"/>
      <c r="S1224" s="16"/>
    </row>
    <row r="1225" spans="1:19">
      <c r="A1225" s="21">
        <v>4</v>
      </c>
      <c r="B1225" s="1099" t="s">
        <v>47</v>
      </c>
      <c r="C1225" s="1099"/>
      <c r="D1225" s="1099"/>
      <c r="E1225" s="23" t="s">
        <v>48</v>
      </c>
      <c r="F1225" s="19"/>
      <c r="G1225" s="19"/>
      <c r="H1225" s="19"/>
      <c r="I1225" s="16"/>
      <c r="K1225" s="21">
        <v>4</v>
      </c>
      <c r="L1225" s="1099" t="s">
        <v>47</v>
      </c>
      <c r="M1225" s="1099"/>
      <c r="N1225" s="1099"/>
      <c r="O1225" s="23" t="s">
        <v>48</v>
      </c>
      <c r="P1225" s="19"/>
      <c r="Q1225" s="19"/>
      <c r="R1225" s="19"/>
      <c r="S1225" s="16"/>
    </row>
    <row r="1226" spans="1:19">
      <c r="A1226" s="21"/>
      <c r="B1226" s="120"/>
      <c r="C1226" s="120"/>
      <c r="D1226" s="120"/>
      <c r="E1226" s="120"/>
      <c r="F1226" s="114"/>
      <c r="G1226" s="114"/>
      <c r="H1226" s="114"/>
      <c r="I1226" s="16"/>
      <c r="K1226" s="21"/>
      <c r="L1226" s="120"/>
      <c r="M1226" s="120"/>
      <c r="N1226" s="120"/>
      <c r="O1226" s="120"/>
      <c r="P1226" s="114"/>
      <c r="Q1226" s="114"/>
      <c r="R1226" s="114"/>
      <c r="S1226" s="16"/>
    </row>
    <row r="1227" spans="1:19">
      <c r="A1227" s="21">
        <v>5</v>
      </c>
      <c r="B1227" s="1099" t="s">
        <v>49</v>
      </c>
      <c r="C1227" s="1099"/>
      <c r="D1227" s="1099"/>
      <c r="E1227" s="24">
        <f>Master!AK43</f>
        <v>9210.4</v>
      </c>
      <c r="F1227" s="19"/>
      <c r="G1227" s="19"/>
      <c r="H1227" s="19"/>
      <c r="I1227" s="16"/>
      <c r="K1227" s="21">
        <v>5</v>
      </c>
      <c r="L1227" s="1099" t="s">
        <v>49</v>
      </c>
      <c r="M1227" s="1099"/>
      <c r="N1227" s="1099"/>
      <c r="O1227" s="24">
        <f>E1227</f>
        <v>9210.4</v>
      </c>
      <c r="P1227" s="19"/>
      <c r="Q1227" s="19"/>
      <c r="R1227" s="19"/>
      <c r="S1227" s="16"/>
    </row>
    <row r="1228" spans="1:19">
      <c r="A1228" s="21"/>
      <c r="B1228" s="120"/>
      <c r="C1228" s="120"/>
      <c r="D1228" s="238" t="s">
        <v>50</v>
      </c>
      <c r="E1228" s="238" t="s">
        <v>23</v>
      </c>
      <c r="F1228" s="136" t="s">
        <v>25</v>
      </c>
      <c r="G1228" s="238" t="s">
        <v>26</v>
      </c>
      <c r="H1228" s="238" t="s">
        <v>202</v>
      </c>
      <c r="I1228" s="126" t="s">
        <v>51</v>
      </c>
      <c r="K1228" s="21"/>
      <c r="L1228" s="120"/>
      <c r="M1228" s="120"/>
      <c r="N1228" s="238" t="s">
        <v>50</v>
      </c>
      <c r="O1228" s="238" t="s">
        <v>23</v>
      </c>
      <c r="P1228" s="136" t="s">
        <v>25</v>
      </c>
      <c r="Q1228" s="238" t="s">
        <v>26</v>
      </c>
      <c r="R1228" s="238" t="str">
        <f>H1228</f>
        <v>ADV</v>
      </c>
      <c r="S1228" s="126" t="s">
        <v>51</v>
      </c>
    </row>
    <row r="1229" spans="1:19">
      <c r="A1229" s="21">
        <v>6</v>
      </c>
      <c r="B1229" s="468" t="s">
        <v>52</v>
      </c>
      <c r="C1229" s="468"/>
      <c r="D1229" s="335">
        <f>Master!AM43</f>
        <v>1105</v>
      </c>
      <c r="E1229" s="335">
        <f>Master!AL43</f>
        <v>70</v>
      </c>
      <c r="F1229" s="180">
        <f>Master!AN43</f>
        <v>0</v>
      </c>
      <c r="G1229" s="180">
        <f>Master!AO43</f>
        <v>0</v>
      </c>
      <c r="H1229" s="180">
        <f>Master!AP43</f>
        <v>0</v>
      </c>
      <c r="I1229" s="127">
        <f>D1229+E1229+F1229+G1229+H1229</f>
        <v>1175</v>
      </c>
      <c r="K1229" s="21">
        <v>6</v>
      </c>
      <c r="L1229" s="468" t="s">
        <v>52</v>
      </c>
      <c r="M1229" s="468"/>
      <c r="N1229" s="335">
        <f>D1229</f>
        <v>1105</v>
      </c>
      <c r="O1229" s="335">
        <f>E1229</f>
        <v>70</v>
      </c>
      <c r="P1229" s="180">
        <f>F1229</f>
        <v>0</v>
      </c>
      <c r="Q1229" s="180">
        <f>G1229</f>
        <v>0</v>
      </c>
      <c r="R1229" s="180">
        <f>H1229</f>
        <v>0</v>
      </c>
      <c r="S1229" s="127">
        <f>N1229+O1229+R1229</f>
        <v>1175</v>
      </c>
    </row>
    <row r="1230" spans="1:19">
      <c r="A1230" s="21"/>
      <c r="B1230" s="120"/>
      <c r="C1230" s="120"/>
      <c r="D1230" s="120"/>
      <c r="E1230" s="120"/>
      <c r="F1230" s="114"/>
      <c r="G1230" s="114"/>
      <c r="H1230" s="114"/>
      <c r="I1230" s="16"/>
      <c r="K1230" s="21"/>
      <c r="L1230" s="120"/>
      <c r="M1230" s="120"/>
      <c r="N1230" s="120"/>
      <c r="O1230" s="120"/>
      <c r="P1230" s="114"/>
      <c r="Q1230" s="114"/>
      <c r="R1230" s="114"/>
      <c r="S1230" s="16"/>
    </row>
    <row r="1231" spans="1:19">
      <c r="A1231" s="21">
        <v>7</v>
      </c>
      <c r="B1231" s="1099" t="s">
        <v>53</v>
      </c>
      <c r="C1231" s="1099"/>
      <c r="D1231" s="1099"/>
      <c r="E1231" s="24">
        <f>E1227-I1229</f>
        <v>8035.4</v>
      </c>
      <c r="F1231" s="19"/>
      <c r="G1231" s="19"/>
      <c r="H1231" s="19"/>
      <c r="I1231" s="16"/>
      <c r="K1231" s="21">
        <v>7</v>
      </c>
      <c r="L1231" s="1099" t="s">
        <v>53</v>
      </c>
      <c r="M1231" s="1099"/>
      <c r="N1231" s="1099"/>
      <c r="O1231" s="24">
        <f>E1231</f>
        <v>8035.4</v>
      </c>
      <c r="P1231" s="19"/>
      <c r="Q1231" s="19"/>
      <c r="R1231" s="19"/>
      <c r="S1231" s="16"/>
    </row>
    <row r="1232" spans="1:19">
      <c r="A1232" s="15"/>
      <c r="B1232" s="114"/>
      <c r="C1232" s="114"/>
      <c r="D1232" s="114"/>
      <c r="E1232" s="114"/>
      <c r="F1232" s="114"/>
      <c r="G1232" s="114"/>
      <c r="H1232" s="114"/>
      <c r="I1232" s="16"/>
      <c r="K1232" s="15"/>
      <c r="L1232" s="114"/>
      <c r="M1232" s="114"/>
      <c r="N1232" s="114"/>
      <c r="O1232" s="114"/>
      <c r="P1232" s="114"/>
      <c r="Q1232" s="114"/>
      <c r="R1232" s="114"/>
      <c r="S1232" s="16"/>
    </row>
    <row r="1233" spans="1:19">
      <c r="A1233" s="15"/>
      <c r="B1233" s="114"/>
      <c r="C1233" s="114"/>
      <c r="D1233" s="114"/>
      <c r="E1233" s="114"/>
      <c r="F1233" s="114"/>
      <c r="G1233" s="114"/>
      <c r="H1233" s="114"/>
      <c r="I1233" s="16"/>
      <c r="K1233" s="15"/>
      <c r="L1233" s="114"/>
      <c r="M1233" s="114"/>
      <c r="N1233" s="114"/>
      <c r="O1233" s="114"/>
      <c r="P1233" s="114"/>
      <c r="Q1233" s="114"/>
      <c r="R1233" s="114"/>
      <c r="S1233" s="16"/>
    </row>
    <row r="1234" spans="1:19" ht="15" thickBot="1">
      <c r="A1234" s="15"/>
      <c r="B1234" s="114"/>
      <c r="C1234" s="114"/>
      <c r="D1234" s="114"/>
      <c r="E1234" s="114"/>
      <c r="F1234" s="25"/>
      <c r="G1234" s="25"/>
      <c r="H1234" s="25"/>
      <c r="I1234" s="26"/>
      <c r="K1234" s="15"/>
      <c r="L1234" s="114"/>
      <c r="M1234" s="114"/>
      <c r="N1234" s="114"/>
      <c r="O1234" s="114"/>
      <c r="P1234" s="25"/>
      <c r="Q1234" s="25"/>
      <c r="R1234" s="25"/>
      <c r="S1234" s="26"/>
    </row>
    <row r="1235" spans="1:19" ht="15" thickBot="1">
      <c r="A1235" s="27"/>
      <c r="B1235" s="25"/>
      <c r="C1235" s="25"/>
      <c r="D1235" s="25"/>
      <c r="E1235" s="999" t="s">
        <v>54</v>
      </c>
      <c r="F1235" s="999"/>
      <c r="G1235" s="999"/>
      <c r="H1235" s="999"/>
      <c r="I1235" s="1100"/>
      <c r="K1235" s="27"/>
      <c r="L1235" s="25"/>
      <c r="M1235" s="25"/>
      <c r="N1235" s="25"/>
      <c r="O1235" s="28" t="s">
        <v>54</v>
      </c>
      <c r="P1235" s="25"/>
      <c r="Q1235" s="28"/>
      <c r="R1235" s="28"/>
      <c r="S1235" s="29"/>
    </row>
    <row r="1247" spans="1:19" ht="15" thickBot="1"/>
    <row r="1248" spans="1:19" ht="24.6">
      <c r="A1248" s="1091" t="s">
        <v>39</v>
      </c>
      <c r="B1248" s="1092"/>
      <c r="C1248" s="1092"/>
      <c r="D1248" s="1092"/>
      <c r="E1248" s="1092"/>
      <c r="F1248" s="1092"/>
      <c r="G1248" s="1092"/>
      <c r="H1248" s="1092"/>
      <c r="I1248" s="1093"/>
      <c r="K1248" s="1091" t="s">
        <v>39</v>
      </c>
      <c r="L1248" s="1092"/>
      <c r="M1248" s="1092"/>
      <c r="N1248" s="1092"/>
      <c r="O1248" s="1092"/>
      <c r="P1248" s="1092"/>
      <c r="Q1248" s="1092"/>
      <c r="R1248" s="1092"/>
      <c r="S1248" s="1093"/>
    </row>
    <row r="1249" spans="1:19">
      <c r="A1249" s="1094" t="s">
        <v>1075</v>
      </c>
      <c r="B1249" s="1095"/>
      <c r="C1249" s="1095"/>
      <c r="D1249" s="1095"/>
      <c r="E1249" s="1095"/>
      <c r="F1249" s="1095"/>
      <c r="G1249" s="1095"/>
      <c r="H1249" s="1095"/>
      <c r="I1249" s="1096"/>
      <c r="K1249" s="1094" t="str">
        <f>A1249</f>
        <v>[Vide rule 78 (1) (b) of the Contract Labour (Regulation and Abolition) Central and A.P.{T.S.}Rules, 1971]</v>
      </c>
      <c r="L1249" s="1095"/>
      <c r="M1249" s="1095"/>
      <c r="N1249" s="1095"/>
      <c r="O1249" s="1095"/>
      <c r="P1249" s="1095"/>
      <c r="Q1249" s="1095"/>
      <c r="R1249" s="1095"/>
      <c r="S1249" s="1096"/>
    </row>
    <row r="1250" spans="1:19">
      <c r="A1250" s="15"/>
      <c r="B1250" s="114"/>
      <c r="C1250" s="114"/>
      <c r="D1250" s="114"/>
      <c r="E1250" s="114"/>
      <c r="F1250" s="114"/>
      <c r="G1250" s="114"/>
      <c r="H1250" s="114"/>
      <c r="I1250" s="16"/>
      <c r="K1250" s="15"/>
      <c r="L1250" s="114"/>
      <c r="M1250" s="114"/>
      <c r="N1250" s="114"/>
      <c r="O1250" s="114"/>
      <c r="P1250" s="114"/>
      <c r="Q1250" s="114"/>
      <c r="R1250" s="114"/>
      <c r="S1250" s="16"/>
    </row>
    <row r="1251" spans="1:19">
      <c r="A1251" s="17" t="s">
        <v>40</v>
      </c>
      <c r="B1251" s="120"/>
      <c r="C1251" s="120"/>
      <c r="D1251" s="121" t="str">
        <f>Master!F5</f>
        <v>GROTECH LANDSCAPE DEVELOPERS PVT. LTD.</v>
      </c>
      <c r="E1251" s="114"/>
      <c r="F1251" s="114"/>
      <c r="G1251" s="114"/>
      <c r="H1251" s="114"/>
      <c r="I1251" s="16"/>
      <c r="K1251" s="17" t="s">
        <v>40</v>
      </c>
      <c r="L1251" s="120"/>
      <c r="M1251" s="120"/>
      <c r="N1251" s="121" t="str">
        <f>D1251</f>
        <v>GROTECH LANDSCAPE DEVELOPERS PVT. LTD.</v>
      </c>
      <c r="O1251" s="114"/>
      <c r="P1251" s="114"/>
      <c r="Q1251" s="114"/>
      <c r="R1251" s="114"/>
      <c r="S1251" s="16"/>
    </row>
    <row r="1252" spans="1:19">
      <c r="A1252" s="17"/>
      <c r="B1252" s="120" t="str">
        <f>Master!F6</f>
        <v>290/E, Khanapur Village, Gandipet Mandal, Ranga Reddy, Hyderabad-500075 T.S.</v>
      </c>
      <c r="C1252" s="120"/>
      <c r="D1252" s="114"/>
      <c r="E1252" s="114"/>
      <c r="F1252" s="114"/>
      <c r="G1252" s="114"/>
      <c r="H1252" s="114"/>
      <c r="I1252" s="16"/>
      <c r="K1252" s="17"/>
      <c r="L1252" s="120" t="str">
        <f>B1252</f>
        <v>290/E, Khanapur Village, Gandipet Mandal, Ranga Reddy, Hyderabad-500075 T.S.</v>
      </c>
      <c r="M1252" s="120"/>
      <c r="N1252" s="114"/>
      <c r="O1252" s="114"/>
      <c r="P1252" s="114"/>
      <c r="Q1252" s="114"/>
      <c r="R1252" s="114"/>
      <c r="S1252" s="16"/>
    </row>
    <row r="1253" spans="1:19">
      <c r="A1253" s="17"/>
      <c r="B1253" s="120"/>
      <c r="C1253" s="120"/>
      <c r="D1253" s="120"/>
      <c r="E1253" s="120"/>
      <c r="F1253" s="114"/>
      <c r="G1253" s="114"/>
      <c r="H1253" s="114"/>
      <c r="I1253" s="16"/>
      <c r="K1253" s="17"/>
      <c r="L1253" s="120"/>
      <c r="M1253" s="120"/>
      <c r="N1253" s="120"/>
      <c r="O1253" s="120"/>
      <c r="P1253" s="114"/>
      <c r="Q1253" s="114"/>
      <c r="R1253" s="114"/>
      <c r="S1253" s="16"/>
    </row>
    <row r="1254" spans="1:19">
      <c r="A1254" s="1097" t="s">
        <v>41</v>
      </c>
      <c r="B1254" s="1098"/>
      <c r="C1254" s="1098"/>
      <c r="D1254" s="1098"/>
      <c r="E1254" s="120"/>
      <c r="F1254" s="114"/>
      <c r="G1254" s="114"/>
      <c r="H1254" s="114"/>
      <c r="I1254" s="16"/>
      <c r="K1254" s="1097" t="s">
        <v>41</v>
      </c>
      <c r="L1254" s="1098"/>
      <c r="M1254" s="1098"/>
      <c r="N1254" s="1098"/>
      <c r="O1254" s="120"/>
      <c r="P1254" s="114"/>
      <c r="Q1254" s="114"/>
      <c r="R1254" s="114"/>
      <c r="S1254" s="16"/>
    </row>
    <row r="1255" spans="1:19">
      <c r="A1255" s="1097"/>
      <c r="B1255" s="1098"/>
      <c r="C1255" s="1098"/>
      <c r="D1255" s="1098"/>
      <c r="E1255" s="128" t="str">
        <f>Master!D44</f>
        <v xml:space="preserve">NINGAMMA </v>
      </c>
      <c r="F1255" s="19"/>
      <c r="G1255" s="19"/>
      <c r="H1255" s="19" t="str">
        <f>Master!G44</f>
        <v>RAMANNA</v>
      </c>
      <c r="I1255" s="16"/>
      <c r="K1255" s="1097"/>
      <c r="L1255" s="1098"/>
      <c r="M1255" s="1098"/>
      <c r="N1255" s="1098"/>
      <c r="O1255" s="18" t="str">
        <f>E1255</f>
        <v xml:space="preserve">NINGAMMA </v>
      </c>
      <c r="P1255" s="19"/>
      <c r="Q1255" s="19"/>
      <c r="R1255" s="19" t="str">
        <f>H1255</f>
        <v>RAMANNA</v>
      </c>
      <c r="S1255" s="16"/>
    </row>
    <row r="1256" spans="1:19">
      <c r="A1256" s="17"/>
      <c r="B1256" s="120"/>
      <c r="C1256" s="120"/>
      <c r="D1256" s="120"/>
      <c r="E1256" s="120"/>
      <c r="F1256" s="114"/>
      <c r="G1256" s="114"/>
      <c r="H1256" s="114"/>
      <c r="I1256" s="16"/>
      <c r="K1256" s="17"/>
      <c r="L1256" s="120"/>
      <c r="M1256" s="120"/>
      <c r="N1256" s="120"/>
      <c r="O1256" s="120"/>
      <c r="P1256" s="114"/>
      <c r="Q1256" s="114"/>
      <c r="R1256" s="114"/>
      <c r="S1256" s="16"/>
    </row>
    <row r="1257" spans="1:19">
      <c r="A1257" s="1101" t="s">
        <v>42</v>
      </c>
      <c r="B1257" s="1099"/>
      <c r="C1257" s="1099"/>
      <c r="D1257" s="1099"/>
      <c r="E1257" s="24" t="str">
        <f>Master!F8</f>
        <v>GARDENING SERVICES&amp;ISB HYDERABAD</v>
      </c>
      <c r="F1257" s="19"/>
      <c r="G1257" s="19"/>
      <c r="H1257" s="19"/>
      <c r="I1257" s="16"/>
      <c r="K1257" s="1101" t="s">
        <v>42</v>
      </c>
      <c r="L1257" s="1099"/>
      <c r="M1257" s="1099"/>
      <c r="N1257" s="1099"/>
      <c r="O1257" s="24" t="str">
        <f>E1257</f>
        <v>GARDENING SERVICES&amp;ISB HYDERABAD</v>
      </c>
      <c r="P1257" s="19"/>
      <c r="Q1257" s="19"/>
      <c r="R1257" s="19"/>
      <c r="S1257" s="16"/>
    </row>
    <row r="1258" spans="1:19">
      <c r="A1258" s="17"/>
      <c r="B1258" s="120"/>
      <c r="C1258" s="120"/>
      <c r="D1258" s="120"/>
      <c r="E1258" s="120"/>
      <c r="F1258" s="114"/>
      <c r="G1258" s="114"/>
      <c r="H1258" s="114"/>
      <c r="I1258" s="16"/>
      <c r="K1258" s="17"/>
      <c r="L1258" s="120"/>
      <c r="M1258" s="120"/>
      <c r="N1258" s="120"/>
      <c r="O1258" s="120"/>
      <c r="P1258" s="114"/>
      <c r="Q1258" s="114"/>
      <c r="R1258" s="114"/>
      <c r="S1258" s="16"/>
    </row>
    <row r="1259" spans="1:19">
      <c r="A1259" s="1101" t="s">
        <v>43</v>
      </c>
      <c r="B1259" s="1099"/>
      <c r="C1259" s="1099"/>
      <c r="D1259" s="1099"/>
      <c r="E1259" s="20">
        <f>Master!F10</f>
        <v>44652</v>
      </c>
      <c r="F1259" s="19"/>
      <c r="G1259" s="19"/>
      <c r="H1259" s="19"/>
      <c r="I1259" s="16"/>
      <c r="K1259" s="1101" t="s">
        <v>43</v>
      </c>
      <c r="L1259" s="1099"/>
      <c r="M1259" s="1099"/>
      <c r="N1259" s="1099"/>
      <c r="O1259" s="20">
        <f>E1259</f>
        <v>44652</v>
      </c>
      <c r="P1259" s="19"/>
      <c r="Q1259" s="19"/>
      <c r="R1259" s="19"/>
      <c r="S1259" s="16"/>
    </row>
    <row r="1260" spans="1:19">
      <c r="A1260" s="17"/>
      <c r="B1260" s="120"/>
      <c r="C1260" s="120"/>
      <c r="D1260" s="120"/>
      <c r="E1260" s="120"/>
      <c r="F1260" s="114"/>
      <c r="G1260" s="114"/>
      <c r="H1260" s="114"/>
      <c r="I1260" s="16"/>
      <c r="K1260" s="17"/>
      <c r="L1260" s="120"/>
      <c r="M1260" s="120"/>
      <c r="N1260" s="120"/>
      <c r="O1260" s="120"/>
      <c r="P1260" s="114"/>
      <c r="Q1260" s="114"/>
      <c r="R1260" s="114"/>
      <c r="S1260" s="16"/>
    </row>
    <row r="1261" spans="1:19">
      <c r="A1261" s="21">
        <v>1</v>
      </c>
      <c r="B1261" s="1099" t="s">
        <v>44</v>
      </c>
      <c r="C1261" s="1099"/>
      <c r="D1261" s="1099"/>
      <c r="E1261" s="22">
        <f>Master!AA44</f>
        <v>26</v>
      </c>
      <c r="F1261" s="19"/>
      <c r="G1261" s="19"/>
      <c r="H1261" s="19"/>
      <c r="I1261" s="16"/>
      <c r="K1261" s="21">
        <v>1</v>
      </c>
      <c r="L1261" s="1099" t="s">
        <v>44</v>
      </c>
      <c r="M1261" s="1099"/>
      <c r="N1261" s="1099"/>
      <c r="O1261" s="22">
        <f>E1261</f>
        <v>26</v>
      </c>
      <c r="P1261" s="19"/>
      <c r="Q1261" s="19"/>
      <c r="R1261" s="19"/>
      <c r="S1261" s="16"/>
    </row>
    <row r="1262" spans="1:19">
      <c r="A1262" s="21"/>
      <c r="B1262" s="120"/>
      <c r="C1262" s="120"/>
      <c r="D1262" s="120"/>
      <c r="E1262" s="120"/>
      <c r="F1262" s="114"/>
      <c r="G1262" s="114"/>
      <c r="H1262" s="114"/>
      <c r="I1262" s="16"/>
      <c r="K1262" s="21"/>
      <c r="L1262" s="120"/>
      <c r="M1262" s="120"/>
      <c r="N1262" s="120"/>
      <c r="O1262" s="120"/>
      <c r="P1262" s="114"/>
      <c r="Q1262" s="114"/>
      <c r="R1262" s="114"/>
      <c r="S1262" s="16"/>
    </row>
    <row r="1263" spans="1:19">
      <c r="A1263" s="21">
        <v>2</v>
      </c>
      <c r="B1263" s="1098" t="s">
        <v>45</v>
      </c>
      <c r="C1263" s="1098"/>
      <c r="D1263" s="1098"/>
      <c r="E1263" s="120"/>
      <c r="F1263" s="114"/>
      <c r="G1263" s="114"/>
      <c r="H1263" s="114"/>
      <c r="I1263" s="16"/>
      <c r="K1263" s="21">
        <v>2</v>
      </c>
      <c r="L1263" s="1098" t="s">
        <v>45</v>
      </c>
      <c r="M1263" s="1098"/>
      <c r="N1263" s="1098"/>
      <c r="O1263" s="120"/>
      <c r="P1263" s="114"/>
      <c r="Q1263" s="114"/>
      <c r="R1263" s="114"/>
      <c r="S1263" s="16"/>
    </row>
    <row r="1264" spans="1:19">
      <c r="A1264" s="21"/>
      <c r="B1264" s="1098"/>
      <c r="C1264" s="1098"/>
      <c r="D1264" s="1098"/>
      <c r="E1264" s="23" t="s">
        <v>28</v>
      </c>
      <c r="F1264" s="19"/>
      <c r="G1264" s="19"/>
      <c r="H1264" s="19"/>
      <c r="I1264" s="16"/>
      <c r="K1264" s="21"/>
      <c r="L1264" s="1098"/>
      <c r="M1264" s="1098"/>
      <c r="N1264" s="1098"/>
      <c r="O1264" s="23" t="s">
        <v>28</v>
      </c>
      <c r="P1264" s="19"/>
      <c r="Q1264" s="19"/>
      <c r="R1264" s="19"/>
      <c r="S1264" s="16"/>
    </row>
    <row r="1265" spans="1:19">
      <c r="A1265" s="21"/>
      <c r="B1265" s="120"/>
      <c r="C1265" s="120"/>
      <c r="D1265" s="120"/>
      <c r="E1265" s="120"/>
      <c r="F1265" s="114"/>
      <c r="G1265" s="114"/>
      <c r="H1265" s="114"/>
      <c r="I1265" s="16"/>
      <c r="K1265" s="21"/>
      <c r="L1265" s="120"/>
      <c r="M1265" s="120"/>
      <c r="N1265" s="120"/>
      <c r="O1265" s="120"/>
      <c r="P1265" s="114"/>
      <c r="Q1265" s="114"/>
      <c r="R1265" s="114"/>
      <c r="S1265" s="16"/>
    </row>
    <row r="1266" spans="1:19">
      <c r="A1266" s="21">
        <v>3</v>
      </c>
      <c r="B1266" s="1099" t="s">
        <v>46</v>
      </c>
      <c r="C1266" s="1099"/>
      <c r="D1266" s="1099"/>
      <c r="E1266" s="23" t="s">
        <v>28</v>
      </c>
      <c r="F1266" s="19"/>
      <c r="G1266" s="19"/>
      <c r="H1266" s="19"/>
      <c r="I1266" s="16"/>
      <c r="K1266" s="21">
        <v>3</v>
      </c>
      <c r="L1266" s="1099" t="s">
        <v>46</v>
      </c>
      <c r="M1266" s="1099"/>
      <c r="N1266" s="1099"/>
      <c r="O1266" s="18" t="str">
        <f>E1266</f>
        <v>N/A</v>
      </c>
      <c r="P1266" s="19"/>
      <c r="Q1266" s="19"/>
      <c r="R1266" s="19"/>
      <c r="S1266" s="16"/>
    </row>
    <row r="1267" spans="1:19">
      <c r="A1267" s="21"/>
      <c r="B1267" s="120"/>
      <c r="C1267" s="120"/>
      <c r="D1267" s="120"/>
      <c r="E1267" s="120"/>
      <c r="F1267" s="114"/>
      <c r="G1267" s="114"/>
      <c r="H1267" s="114"/>
      <c r="I1267" s="16"/>
      <c r="K1267" s="21"/>
      <c r="L1267" s="120"/>
      <c r="M1267" s="120"/>
      <c r="N1267" s="120"/>
      <c r="O1267" s="120"/>
      <c r="P1267" s="114"/>
      <c r="Q1267" s="114"/>
      <c r="R1267" s="114"/>
      <c r="S1267" s="16"/>
    </row>
    <row r="1268" spans="1:19">
      <c r="A1268" s="21">
        <v>4</v>
      </c>
      <c r="B1268" s="1099" t="s">
        <v>47</v>
      </c>
      <c r="C1268" s="1099"/>
      <c r="D1268" s="1099"/>
      <c r="E1268" s="23" t="s">
        <v>48</v>
      </c>
      <c r="F1268" s="19"/>
      <c r="G1268" s="19"/>
      <c r="H1268" s="19"/>
      <c r="I1268" s="16"/>
      <c r="K1268" s="21">
        <v>4</v>
      </c>
      <c r="L1268" s="1099" t="s">
        <v>47</v>
      </c>
      <c r="M1268" s="1099"/>
      <c r="N1268" s="1099"/>
      <c r="O1268" s="23" t="s">
        <v>48</v>
      </c>
      <c r="P1268" s="19"/>
      <c r="Q1268" s="19"/>
      <c r="R1268" s="19"/>
      <c r="S1268" s="16"/>
    </row>
    <row r="1269" spans="1:19">
      <c r="A1269" s="21"/>
      <c r="B1269" s="120"/>
      <c r="C1269" s="120"/>
      <c r="D1269" s="120"/>
      <c r="E1269" s="120"/>
      <c r="F1269" s="114"/>
      <c r="G1269" s="114"/>
      <c r="H1269" s="114"/>
      <c r="I1269" s="16"/>
      <c r="K1269" s="21"/>
      <c r="L1269" s="120"/>
      <c r="M1269" s="120"/>
      <c r="N1269" s="120"/>
      <c r="O1269" s="120"/>
      <c r="P1269" s="114"/>
      <c r="Q1269" s="114"/>
      <c r="R1269" s="114"/>
      <c r="S1269" s="16"/>
    </row>
    <row r="1270" spans="1:19">
      <c r="A1270" s="21">
        <v>5</v>
      </c>
      <c r="B1270" s="1099" t="s">
        <v>49</v>
      </c>
      <c r="C1270" s="1099"/>
      <c r="D1270" s="1099"/>
      <c r="E1270" s="24">
        <f>Master!AK44</f>
        <v>9210.4</v>
      </c>
      <c r="F1270" s="19"/>
      <c r="G1270" s="19"/>
      <c r="H1270" s="19"/>
      <c r="I1270" s="16"/>
      <c r="K1270" s="21">
        <v>5</v>
      </c>
      <c r="L1270" s="1099" t="s">
        <v>49</v>
      </c>
      <c r="M1270" s="1099"/>
      <c r="N1270" s="1099"/>
      <c r="O1270" s="24">
        <f>E1270</f>
        <v>9210.4</v>
      </c>
      <c r="P1270" s="19"/>
      <c r="Q1270" s="19"/>
      <c r="R1270" s="19"/>
      <c r="S1270" s="16"/>
    </row>
    <row r="1271" spans="1:19">
      <c r="A1271" s="21"/>
      <c r="B1271" s="120"/>
      <c r="C1271" s="120"/>
      <c r="D1271" s="238" t="s">
        <v>50</v>
      </c>
      <c r="E1271" s="238" t="s">
        <v>23</v>
      </c>
      <c r="F1271" s="136" t="s">
        <v>25</v>
      </c>
      <c r="G1271" s="238" t="s">
        <v>26</v>
      </c>
      <c r="H1271" s="238" t="s">
        <v>202</v>
      </c>
      <c r="I1271" s="126" t="s">
        <v>51</v>
      </c>
      <c r="K1271" s="21"/>
      <c r="L1271" s="120"/>
      <c r="M1271" s="120"/>
      <c r="N1271" s="238" t="s">
        <v>50</v>
      </c>
      <c r="O1271" s="238" t="s">
        <v>23</v>
      </c>
      <c r="P1271" s="136" t="s">
        <v>25</v>
      </c>
      <c r="Q1271" s="238" t="s">
        <v>26</v>
      </c>
      <c r="R1271" s="238" t="str">
        <f>H1271</f>
        <v>ADV</v>
      </c>
      <c r="S1271" s="126" t="s">
        <v>51</v>
      </c>
    </row>
    <row r="1272" spans="1:19">
      <c r="A1272" s="21">
        <v>6</v>
      </c>
      <c r="B1272" s="468" t="s">
        <v>52</v>
      </c>
      <c r="C1272" s="468"/>
      <c r="D1272" s="335">
        <f>Master!AM44</f>
        <v>1105</v>
      </c>
      <c r="E1272" s="335">
        <f>Master!AL44</f>
        <v>70</v>
      </c>
      <c r="F1272" s="180">
        <f>Master!AN44</f>
        <v>0</v>
      </c>
      <c r="G1272" s="180">
        <f>Master!AO44</f>
        <v>0</v>
      </c>
      <c r="H1272" s="180">
        <f>Master!AP44</f>
        <v>0</v>
      </c>
      <c r="I1272" s="127">
        <f>D1272+E1272+F1272+G1272+H1272</f>
        <v>1175</v>
      </c>
      <c r="K1272" s="21">
        <v>6</v>
      </c>
      <c r="L1272" s="468" t="s">
        <v>52</v>
      </c>
      <c r="M1272" s="468"/>
      <c r="N1272" s="335">
        <f>D1272</f>
        <v>1105</v>
      </c>
      <c r="O1272" s="335">
        <f>E1272</f>
        <v>70</v>
      </c>
      <c r="P1272" s="180">
        <f>F1272</f>
        <v>0</v>
      </c>
      <c r="Q1272" s="180">
        <f>G1272</f>
        <v>0</v>
      </c>
      <c r="R1272" s="180">
        <f>H1272</f>
        <v>0</v>
      </c>
      <c r="S1272" s="127">
        <f>N1272+O1272+R1272</f>
        <v>1175</v>
      </c>
    </row>
    <row r="1273" spans="1:19">
      <c r="A1273" s="21"/>
      <c r="B1273" s="120"/>
      <c r="C1273" s="120"/>
      <c r="D1273" s="120"/>
      <c r="E1273" s="120"/>
      <c r="F1273" s="114"/>
      <c r="G1273" s="114"/>
      <c r="H1273" s="114"/>
      <c r="I1273" s="16"/>
      <c r="K1273" s="21"/>
      <c r="L1273" s="120"/>
      <c r="M1273" s="120"/>
      <c r="N1273" s="120"/>
      <c r="O1273" s="120"/>
      <c r="P1273" s="114"/>
      <c r="Q1273" s="114"/>
      <c r="R1273" s="114"/>
      <c r="S1273" s="16"/>
    </row>
    <row r="1274" spans="1:19">
      <c r="A1274" s="21">
        <v>7</v>
      </c>
      <c r="B1274" s="1099" t="s">
        <v>53</v>
      </c>
      <c r="C1274" s="1099"/>
      <c r="D1274" s="1099"/>
      <c r="E1274" s="24">
        <f>E1270-I1272</f>
        <v>8035.4</v>
      </c>
      <c r="F1274" s="19"/>
      <c r="G1274" s="19"/>
      <c r="H1274" s="19"/>
      <c r="I1274" s="16"/>
      <c r="K1274" s="21">
        <v>7</v>
      </c>
      <c r="L1274" s="1099" t="s">
        <v>53</v>
      </c>
      <c r="M1274" s="1099"/>
      <c r="N1274" s="1099"/>
      <c r="O1274" s="24">
        <f>E1274</f>
        <v>8035.4</v>
      </c>
      <c r="P1274" s="19"/>
      <c r="Q1274" s="19"/>
      <c r="R1274" s="19"/>
      <c r="S1274" s="16"/>
    </row>
    <row r="1275" spans="1:19">
      <c r="A1275" s="15"/>
      <c r="B1275" s="114"/>
      <c r="C1275" s="114"/>
      <c r="D1275" s="114"/>
      <c r="E1275" s="114"/>
      <c r="F1275" s="114"/>
      <c r="G1275" s="114"/>
      <c r="H1275" s="114"/>
      <c r="I1275" s="16"/>
      <c r="K1275" s="15"/>
      <c r="L1275" s="114"/>
      <c r="M1275" s="114"/>
      <c r="N1275" s="114"/>
      <c r="O1275" s="114"/>
      <c r="P1275" s="114"/>
      <c r="Q1275" s="114"/>
      <c r="R1275" s="114"/>
      <c r="S1275" s="16"/>
    </row>
    <row r="1276" spans="1:19">
      <c r="A1276" s="15"/>
      <c r="B1276" s="114"/>
      <c r="C1276" s="114"/>
      <c r="D1276" s="114"/>
      <c r="E1276" s="114"/>
      <c r="F1276" s="114"/>
      <c r="G1276" s="114"/>
      <c r="H1276" s="114"/>
      <c r="I1276" s="16"/>
      <c r="K1276" s="15"/>
      <c r="L1276" s="114"/>
      <c r="M1276" s="114"/>
      <c r="N1276" s="114"/>
      <c r="O1276" s="114"/>
      <c r="P1276" s="114"/>
      <c r="Q1276" s="114"/>
      <c r="R1276" s="114"/>
      <c r="S1276" s="16"/>
    </row>
    <row r="1277" spans="1:19" ht="15" thickBot="1">
      <c r="A1277" s="15"/>
      <c r="B1277" s="114"/>
      <c r="C1277" s="114"/>
      <c r="D1277" s="114"/>
      <c r="E1277" s="114"/>
      <c r="F1277" s="25"/>
      <c r="G1277" s="25"/>
      <c r="H1277" s="25"/>
      <c r="I1277" s="26"/>
      <c r="K1277" s="15"/>
      <c r="L1277" s="114"/>
      <c r="M1277" s="114"/>
      <c r="N1277" s="114"/>
      <c r="O1277" s="114"/>
      <c r="P1277" s="25"/>
      <c r="Q1277" s="25"/>
      <c r="R1277" s="25"/>
      <c r="S1277" s="26"/>
    </row>
    <row r="1278" spans="1:19" ht="15" thickBot="1">
      <c r="A1278" s="27"/>
      <c r="B1278" s="25"/>
      <c r="C1278" s="25"/>
      <c r="D1278" s="25"/>
      <c r="E1278" s="999" t="s">
        <v>54</v>
      </c>
      <c r="F1278" s="999"/>
      <c r="G1278" s="999"/>
      <c r="H1278" s="999"/>
      <c r="I1278" s="1100"/>
      <c r="K1278" s="27"/>
      <c r="L1278" s="25"/>
      <c r="M1278" s="25"/>
      <c r="N1278" s="25"/>
      <c r="O1278" s="28" t="s">
        <v>54</v>
      </c>
      <c r="P1278" s="25"/>
      <c r="Q1278" s="28"/>
      <c r="R1278" s="28"/>
      <c r="S1278" s="29"/>
    </row>
    <row r="1290" spans="1:19" ht="15" thickBot="1"/>
    <row r="1291" spans="1:19" ht="24.6">
      <c r="A1291" s="1091" t="s">
        <v>39</v>
      </c>
      <c r="B1291" s="1092"/>
      <c r="C1291" s="1092"/>
      <c r="D1291" s="1092"/>
      <c r="E1291" s="1092"/>
      <c r="F1291" s="1092"/>
      <c r="G1291" s="1092"/>
      <c r="H1291" s="1092"/>
      <c r="I1291" s="1093"/>
      <c r="K1291" s="1091" t="s">
        <v>39</v>
      </c>
      <c r="L1291" s="1092"/>
      <c r="M1291" s="1092"/>
      <c r="N1291" s="1092"/>
      <c r="O1291" s="1092"/>
      <c r="P1291" s="1092"/>
      <c r="Q1291" s="1092"/>
      <c r="R1291" s="1092"/>
      <c r="S1291" s="1093"/>
    </row>
    <row r="1292" spans="1:19">
      <c r="A1292" s="1094" t="s">
        <v>1075</v>
      </c>
      <c r="B1292" s="1095"/>
      <c r="C1292" s="1095"/>
      <c r="D1292" s="1095"/>
      <c r="E1292" s="1095"/>
      <c r="F1292" s="1095"/>
      <c r="G1292" s="1095"/>
      <c r="H1292" s="1095"/>
      <c r="I1292" s="1096"/>
      <c r="K1292" s="1094" t="str">
        <f>A1292</f>
        <v>[Vide rule 78 (1) (b) of the Contract Labour (Regulation and Abolition) Central and A.P.{T.S.}Rules, 1971]</v>
      </c>
      <c r="L1292" s="1095"/>
      <c r="M1292" s="1095"/>
      <c r="N1292" s="1095"/>
      <c r="O1292" s="1095"/>
      <c r="P1292" s="1095"/>
      <c r="Q1292" s="1095"/>
      <c r="R1292" s="1095"/>
      <c r="S1292" s="1096"/>
    </row>
    <row r="1293" spans="1:19">
      <c r="A1293" s="15"/>
      <c r="B1293" s="114"/>
      <c r="C1293" s="114"/>
      <c r="D1293" s="114"/>
      <c r="E1293" s="114"/>
      <c r="F1293" s="114"/>
      <c r="G1293" s="114"/>
      <c r="H1293" s="114"/>
      <c r="I1293" s="16"/>
      <c r="K1293" s="15"/>
      <c r="L1293" s="114"/>
      <c r="M1293" s="114"/>
      <c r="N1293" s="114"/>
      <c r="O1293" s="114"/>
      <c r="P1293" s="114"/>
      <c r="Q1293" s="114"/>
      <c r="R1293" s="114"/>
      <c r="S1293" s="16"/>
    </row>
    <row r="1294" spans="1:19">
      <c r="A1294" s="17" t="s">
        <v>40</v>
      </c>
      <c r="B1294" s="120"/>
      <c r="C1294" s="120"/>
      <c r="D1294" s="121" t="str">
        <f>Master!F5</f>
        <v>GROTECH LANDSCAPE DEVELOPERS PVT. LTD.</v>
      </c>
      <c r="E1294" s="114"/>
      <c r="F1294" s="114"/>
      <c r="G1294" s="114"/>
      <c r="H1294" s="114"/>
      <c r="I1294" s="16"/>
      <c r="K1294" s="17" t="s">
        <v>40</v>
      </c>
      <c r="L1294" s="120"/>
      <c r="M1294" s="120"/>
      <c r="N1294" s="121" t="str">
        <f>D1294</f>
        <v>GROTECH LANDSCAPE DEVELOPERS PVT. LTD.</v>
      </c>
      <c r="O1294" s="114"/>
      <c r="P1294" s="114"/>
      <c r="Q1294" s="114"/>
      <c r="R1294" s="114"/>
      <c r="S1294" s="16"/>
    </row>
    <row r="1295" spans="1:19">
      <c r="A1295" s="17"/>
      <c r="B1295" s="120" t="str">
        <f>Master!F6</f>
        <v>290/E, Khanapur Village, Gandipet Mandal, Ranga Reddy, Hyderabad-500075 T.S.</v>
      </c>
      <c r="C1295" s="120"/>
      <c r="D1295" s="114"/>
      <c r="E1295" s="114"/>
      <c r="F1295" s="114"/>
      <c r="G1295" s="114"/>
      <c r="H1295" s="114"/>
      <c r="I1295" s="16"/>
      <c r="K1295" s="17"/>
      <c r="L1295" s="120" t="str">
        <f>B1295</f>
        <v>290/E, Khanapur Village, Gandipet Mandal, Ranga Reddy, Hyderabad-500075 T.S.</v>
      </c>
      <c r="M1295" s="120"/>
      <c r="N1295" s="114"/>
      <c r="O1295" s="114"/>
      <c r="P1295" s="114"/>
      <c r="Q1295" s="114"/>
      <c r="R1295" s="114"/>
      <c r="S1295" s="16"/>
    </row>
    <row r="1296" spans="1:19">
      <c r="A1296" s="17"/>
      <c r="B1296" s="120"/>
      <c r="C1296" s="120"/>
      <c r="D1296" s="120"/>
      <c r="E1296" s="120"/>
      <c r="F1296" s="114"/>
      <c r="G1296" s="114"/>
      <c r="H1296" s="114"/>
      <c r="I1296" s="16"/>
      <c r="K1296" s="17"/>
      <c r="L1296" s="120"/>
      <c r="M1296" s="120"/>
      <c r="N1296" s="120"/>
      <c r="O1296" s="120"/>
      <c r="P1296" s="114"/>
      <c r="Q1296" s="114"/>
      <c r="R1296" s="114"/>
      <c r="S1296" s="16"/>
    </row>
    <row r="1297" spans="1:19">
      <c r="A1297" s="1097" t="s">
        <v>41</v>
      </c>
      <c r="B1297" s="1098"/>
      <c r="C1297" s="1098"/>
      <c r="D1297" s="1098"/>
      <c r="E1297" s="120"/>
      <c r="F1297" s="114"/>
      <c r="G1297" s="114"/>
      <c r="H1297" s="114"/>
      <c r="I1297" s="16"/>
      <c r="K1297" s="1097" t="s">
        <v>41</v>
      </c>
      <c r="L1297" s="1098"/>
      <c r="M1297" s="1098"/>
      <c r="N1297" s="1098"/>
      <c r="O1297" s="120"/>
      <c r="P1297" s="114"/>
      <c r="Q1297" s="114"/>
      <c r="R1297" s="114"/>
      <c r="S1297" s="16"/>
    </row>
    <row r="1298" spans="1:19">
      <c r="A1298" s="1097"/>
      <c r="B1298" s="1098"/>
      <c r="C1298" s="1098"/>
      <c r="D1298" s="1098"/>
      <c r="E1298" s="128" t="str">
        <f>Master!D45</f>
        <v>V AMBAMMA</v>
      </c>
      <c r="F1298" s="19"/>
      <c r="G1298" s="19"/>
      <c r="H1298" s="19" t="str">
        <f>Master!G45</f>
        <v>V YELLAIAH</v>
      </c>
      <c r="I1298" s="16"/>
      <c r="K1298" s="1097"/>
      <c r="L1298" s="1098"/>
      <c r="M1298" s="1098"/>
      <c r="N1298" s="1098"/>
      <c r="O1298" s="18" t="str">
        <f>E1298</f>
        <v>V AMBAMMA</v>
      </c>
      <c r="P1298" s="19"/>
      <c r="Q1298" s="19"/>
      <c r="R1298" s="19" t="str">
        <f>H1298</f>
        <v>V YELLAIAH</v>
      </c>
      <c r="S1298" s="16"/>
    </row>
    <row r="1299" spans="1:19">
      <c r="A1299" s="17"/>
      <c r="B1299" s="120"/>
      <c r="C1299" s="120"/>
      <c r="D1299" s="120"/>
      <c r="E1299" s="120"/>
      <c r="F1299" s="114"/>
      <c r="G1299" s="114"/>
      <c r="H1299" s="114"/>
      <c r="I1299" s="16"/>
      <c r="K1299" s="17"/>
      <c r="L1299" s="120"/>
      <c r="M1299" s="120"/>
      <c r="N1299" s="120"/>
      <c r="O1299" s="120"/>
      <c r="P1299" s="114"/>
      <c r="Q1299" s="114"/>
      <c r="R1299" s="114"/>
      <c r="S1299" s="16"/>
    </row>
    <row r="1300" spans="1:19">
      <c r="A1300" s="1101" t="s">
        <v>42</v>
      </c>
      <c r="B1300" s="1099"/>
      <c r="C1300" s="1099"/>
      <c r="D1300" s="1099"/>
      <c r="E1300" s="24" t="str">
        <f>Master!F8</f>
        <v>GARDENING SERVICES&amp;ISB HYDERABAD</v>
      </c>
      <c r="F1300" s="19"/>
      <c r="G1300" s="19"/>
      <c r="H1300" s="19"/>
      <c r="I1300" s="16"/>
      <c r="K1300" s="1101" t="s">
        <v>42</v>
      </c>
      <c r="L1300" s="1099"/>
      <c r="M1300" s="1099"/>
      <c r="N1300" s="1099"/>
      <c r="O1300" s="24" t="str">
        <f>E1300</f>
        <v>GARDENING SERVICES&amp;ISB HYDERABAD</v>
      </c>
      <c r="P1300" s="19"/>
      <c r="Q1300" s="19"/>
      <c r="R1300" s="19"/>
      <c r="S1300" s="16"/>
    </row>
    <row r="1301" spans="1:19">
      <c r="A1301" s="17"/>
      <c r="B1301" s="120"/>
      <c r="C1301" s="120"/>
      <c r="D1301" s="120"/>
      <c r="E1301" s="120"/>
      <c r="F1301" s="114"/>
      <c r="G1301" s="114"/>
      <c r="H1301" s="114"/>
      <c r="I1301" s="16"/>
      <c r="K1301" s="17"/>
      <c r="L1301" s="120"/>
      <c r="M1301" s="120"/>
      <c r="N1301" s="120"/>
      <c r="O1301" s="120"/>
      <c r="P1301" s="114"/>
      <c r="Q1301" s="114"/>
      <c r="R1301" s="114"/>
      <c r="S1301" s="16"/>
    </row>
    <row r="1302" spans="1:19">
      <c r="A1302" s="1101" t="s">
        <v>43</v>
      </c>
      <c r="B1302" s="1099"/>
      <c r="C1302" s="1099"/>
      <c r="D1302" s="1099"/>
      <c r="E1302" s="20">
        <f>Master!F10</f>
        <v>44652</v>
      </c>
      <c r="F1302" s="19"/>
      <c r="G1302" s="19"/>
      <c r="H1302" s="19"/>
      <c r="I1302" s="16"/>
      <c r="K1302" s="1101" t="s">
        <v>43</v>
      </c>
      <c r="L1302" s="1099"/>
      <c r="M1302" s="1099"/>
      <c r="N1302" s="1099"/>
      <c r="O1302" s="20">
        <f>E1302</f>
        <v>44652</v>
      </c>
      <c r="P1302" s="19"/>
      <c r="Q1302" s="19"/>
      <c r="R1302" s="19"/>
      <c r="S1302" s="16"/>
    </row>
    <row r="1303" spans="1:19">
      <c r="A1303" s="17"/>
      <c r="B1303" s="120"/>
      <c r="C1303" s="120"/>
      <c r="D1303" s="120"/>
      <c r="E1303" s="120"/>
      <c r="F1303" s="114"/>
      <c r="G1303" s="114"/>
      <c r="H1303" s="114"/>
      <c r="I1303" s="16"/>
      <c r="K1303" s="17"/>
      <c r="L1303" s="120"/>
      <c r="M1303" s="120"/>
      <c r="N1303" s="120"/>
      <c r="O1303" s="120"/>
      <c r="P1303" s="114"/>
      <c r="Q1303" s="114"/>
      <c r="R1303" s="114"/>
      <c r="S1303" s="16"/>
    </row>
    <row r="1304" spans="1:19">
      <c r="A1304" s="21">
        <v>1</v>
      </c>
      <c r="B1304" s="1099" t="s">
        <v>44</v>
      </c>
      <c r="C1304" s="1099"/>
      <c r="D1304" s="1099"/>
      <c r="E1304" s="22">
        <f>Master!AA45</f>
        <v>26</v>
      </c>
      <c r="F1304" s="19"/>
      <c r="G1304" s="19"/>
      <c r="H1304" s="19"/>
      <c r="I1304" s="16"/>
      <c r="K1304" s="21">
        <v>1</v>
      </c>
      <c r="L1304" s="1099" t="s">
        <v>44</v>
      </c>
      <c r="M1304" s="1099"/>
      <c r="N1304" s="1099"/>
      <c r="O1304" s="22">
        <f>E1304</f>
        <v>26</v>
      </c>
      <c r="P1304" s="19"/>
      <c r="Q1304" s="19"/>
      <c r="R1304" s="19"/>
      <c r="S1304" s="16"/>
    </row>
    <row r="1305" spans="1:19">
      <c r="A1305" s="21"/>
      <c r="B1305" s="120"/>
      <c r="C1305" s="120"/>
      <c r="D1305" s="120"/>
      <c r="E1305" s="120"/>
      <c r="F1305" s="114"/>
      <c r="G1305" s="114"/>
      <c r="H1305" s="114"/>
      <c r="I1305" s="16"/>
      <c r="K1305" s="21"/>
      <c r="L1305" s="120"/>
      <c r="M1305" s="120"/>
      <c r="N1305" s="120"/>
      <c r="O1305" s="120"/>
      <c r="P1305" s="114"/>
      <c r="Q1305" s="114"/>
      <c r="R1305" s="114"/>
      <c r="S1305" s="16"/>
    </row>
    <row r="1306" spans="1:19">
      <c r="A1306" s="21">
        <v>2</v>
      </c>
      <c r="B1306" s="1098" t="s">
        <v>45</v>
      </c>
      <c r="C1306" s="1098"/>
      <c r="D1306" s="1098"/>
      <c r="E1306" s="120"/>
      <c r="F1306" s="114"/>
      <c r="G1306" s="114"/>
      <c r="H1306" s="114"/>
      <c r="I1306" s="16"/>
      <c r="K1306" s="21">
        <v>2</v>
      </c>
      <c r="L1306" s="1098" t="s">
        <v>45</v>
      </c>
      <c r="M1306" s="1098"/>
      <c r="N1306" s="1098"/>
      <c r="O1306" s="120"/>
      <c r="P1306" s="114"/>
      <c r="Q1306" s="114"/>
      <c r="R1306" s="114"/>
      <c r="S1306" s="16"/>
    </row>
    <row r="1307" spans="1:19">
      <c r="A1307" s="21"/>
      <c r="B1307" s="1098"/>
      <c r="C1307" s="1098"/>
      <c r="D1307" s="1098"/>
      <c r="E1307" s="23" t="s">
        <v>28</v>
      </c>
      <c r="F1307" s="19"/>
      <c r="G1307" s="19"/>
      <c r="H1307" s="19"/>
      <c r="I1307" s="16"/>
      <c r="K1307" s="21"/>
      <c r="L1307" s="1098"/>
      <c r="M1307" s="1098"/>
      <c r="N1307" s="1098"/>
      <c r="O1307" s="23" t="s">
        <v>28</v>
      </c>
      <c r="P1307" s="19"/>
      <c r="Q1307" s="19"/>
      <c r="R1307" s="19"/>
      <c r="S1307" s="16"/>
    </row>
    <row r="1308" spans="1:19">
      <c r="A1308" s="21"/>
      <c r="B1308" s="120"/>
      <c r="C1308" s="120"/>
      <c r="D1308" s="120"/>
      <c r="E1308" s="120"/>
      <c r="F1308" s="114"/>
      <c r="G1308" s="114"/>
      <c r="H1308" s="114"/>
      <c r="I1308" s="16"/>
      <c r="K1308" s="21"/>
      <c r="L1308" s="120"/>
      <c r="M1308" s="120"/>
      <c r="N1308" s="120"/>
      <c r="O1308" s="120"/>
      <c r="P1308" s="114"/>
      <c r="Q1308" s="114"/>
      <c r="R1308" s="114"/>
      <c r="S1308" s="16"/>
    </row>
    <row r="1309" spans="1:19">
      <c r="A1309" s="21">
        <v>3</v>
      </c>
      <c r="B1309" s="1099" t="s">
        <v>46</v>
      </c>
      <c r="C1309" s="1099"/>
      <c r="D1309" s="1099"/>
      <c r="E1309" s="23" t="s">
        <v>28</v>
      </c>
      <c r="F1309" s="19"/>
      <c r="G1309" s="19"/>
      <c r="H1309" s="19"/>
      <c r="I1309" s="16"/>
      <c r="K1309" s="21">
        <v>3</v>
      </c>
      <c r="L1309" s="1099" t="s">
        <v>46</v>
      </c>
      <c r="M1309" s="1099"/>
      <c r="N1309" s="1099"/>
      <c r="O1309" s="18" t="str">
        <f>E1309</f>
        <v>N/A</v>
      </c>
      <c r="P1309" s="19"/>
      <c r="Q1309" s="19"/>
      <c r="R1309" s="19"/>
      <c r="S1309" s="16"/>
    </row>
    <row r="1310" spans="1:19">
      <c r="A1310" s="21"/>
      <c r="B1310" s="120"/>
      <c r="C1310" s="120"/>
      <c r="D1310" s="120"/>
      <c r="E1310" s="120"/>
      <c r="F1310" s="114"/>
      <c r="G1310" s="114"/>
      <c r="H1310" s="114"/>
      <c r="I1310" s="16"/>
      <c r="K1310" s="21"/>
      <c r="L1310" s="120"/>
      <c r="M1310" s="120"/>
      <c r="N1310" s="120"/>
      <c r="O1310" s="120"/>
      <c r="P1310" s="114"/>
      <c r="Q1310" s="114"/>
      <c r="R1310" s="114"/>
      <c r="S1310" s="16"/>
    </row>
    <row r="1311" spans="1:19">
      <c r="A1311" s="21">
        <v>4</v>
      </c>
      <c r="B1311" s="1099" t="s">
        <v>47</v>
      </c>
      <c r="C1311" s="1099"/>
      <c r="D1311" s="1099"/>
      <c r="E1311" s="23" t="s">
        <v>48</v>
      </c>
      <c r="F1311" s="19"/>
      <c r="G1311" s="19"/>
      <c r="H1311" s="19"/>
      <c r="I1311" s="16"/>
      <c r="K1311" s="21">
        <v>4</v>
      </c>
      <c r="L1311" s="1099" t="s">
        <v>47</v>
      </c>
      <c r="M1311" s="1099"/>
      <c r="N1311" s="1099"/>
      <c r="O1311" s="23" t="s">
        <v>48</v>
      </c>
      <c r="P1311" s="19"/>
      <c r="Q1311" s="19"/>
      <c r="R1311" s="19"/>
      <c r="S1311" s="16"/>
    </row>
    <row r="1312" spans="1:19">
      <c r="A1312" s="21"/>
      <c r="B1312" s="120"/>
      <c r="C1312" s="120"/>
      <c r="D1312" s="120"/>
      <c r="E1312" s="120"/>
      <c r="F1312" s="114"/>
      <c r="G1312" s="114"/>
      <c r="H1312" s="114"/>
      <c r="I1312" s="16"/>
      <c r="K1312" s="21"/>
      <c r="L1312" s="120"/>
      <c r="M1312" s="120"/>
      <c r="N1312" s="120"/>
      <c r="O1312" s="120"/>
      <c r="P1312" s="114"/>
      <c r="Q1312" s="114"/>
      <c r="R1312" s="114"/>
      <c r="S1312" s="16"/>
    </row>
    <row r="1313" spans="1:19">
      <c r="A1313" s="21">
        <v>5</v>
      </c>
      <c r="B1313" s="1099" t="s">
        <v>49</v>
      </c>
      <c r="C1313" s="1099"/>
      <c r="D1313" s="1099"/>
      <c r="E1313" s="24">
        <f>Master!AK45</f>
        <v>9210.4</v>
      </c>
      <c r="F1313" s="19"/>
      <c r="G1313" s="19"/>
      <c r="H1313" s="19"/>
      <c r="I1313" s="16"/>
      <c r="K1313" s="21">
        <v>5</v>
      </c>
      <c r="L1313" s="1099" t="s">
        <v>49</v>
      </c>
      <c r="M1313" s="1099"/>
      <c r="N1313" s="1099"/>
      <c r="O1313" s="24">
        <f>E1313</f>
        <v>9210.4</v>
      </c>
      <c r="P1313" s="19"/>
      <c r="Q1313" s="19"/>
      <c r="R1313" s="19"/>
      <c r="S1313" s="16"/>
    </row>
    <row r="1314" spans="1:19">
      <c r="A1314" s="21"/>
      <c r="B1314" s="120"/>
      <c r="C1314" s="120"/>
      <c r="D1314" s="238" t="s">
        <v>50</v>
      </c>
      <c r="E1314" s="238" t="s">
        <v>23</v>
      </c>
      <c r="F1314" s="136" t="s">
        <v>25</v>
      </c>
      <c r="G1314" s="238" t="s">
        <v>26</v>
      </c>
      <c r="H1314" s="238" t="s">
        <v>202</v>
      </c>
      <c r="I1314" s="126" t="s">
        <v>51</v>
      </c>
      <c r="K1314" s="21"/>
      <c r="L1314" s="120"/>
      <c r="M1314" s="120"/>
      <c r="N1314" s="238" t="s">
        <v>50</v>
      </c>
      <c r="O1314" s="238" t="s">
        <v>23</v>
      </c>
      <c r="P1314" s="136" t="s">
        <v>25</v>
      </c>
      <c r="Q1314" s="238" t="s">
        <v>26</v>
      </c>
      <c r="R1314" s="238" t="str">
        <f>H1314</f>
        <v>ADV</v>
      </c>
      <c r="S1314" s="126" t="s">
        <v>51</v>
      </c>
    </row>
    <row r="1315" spans="1:19">
      <c r="A1315" s="21">
        <v>6</v>
      </c>
      <c r="B1315" s="468" t="s">
        <v>52</v>
      </c>
      <c r="C1315" s="468"/>
      <c r="D1315" s="335">
        <f>Master!AM45</f>
        <v>1105</v>
      </c>
      <c r="E1315" s="335">
        <f>Master!AL45</f>
        <v>70</v>
      </c>
      <c r="F1315" s="180">
        <f>Master!AN45</f>
        <v>0</v>
      </c>
      <c r="G1315" s="180">
        <f>Master!AO45</f>
        <v>0</v>
      </c>
      <c r="H1315" s="180">
        <f>Master!AP45</f>
        <v>0</v>
      </c>
      <c r="I1315" s="127">
        <f>D1315+E1315+F1315+G1315+H1315</f>
        <v>1175</v>
      </c>
      <c r="K1315" s="21">
        <v>6</v>
      </c>
      <c r="L1315" s="468" t="s">
        <v>52</v>
      </c>
      <c r="M1315" s="468"/>
      <c r="N1315" s="335">
        <f>D1315</f>
        <v>1105</v>
      </c>
      <c r="O1315" s="335">
        <f>E1315</f>
        <v>70</v>
      </c>
      <c r="P1315" s="180">
        <f>F1315</f>
        <v>0</v>
      </c>
      <c r="Q1315" s="180">
        <f>G1315</f>
        <v>0</v>
      </c>
      <c r="R1315" s="180">
        <f>H1315</f>
        <v>0</v>
      </c>
      <c r="S1315" s="127">
        <f>N1315+O1315+R1315</f>
        <v>1175</v>
      </c>
    </row>
    <row r="1316" spans="1:19">
      <c r="A1316" s="21"/>
      <c r="B1316" s="120"/>
      <c r="C1316" s="120"/>
      <c r="D1316" s="120"/>
      <c r="E1316" s="120"/>
      <c r="F1316" s="114"/>
      <c r="G1316" s="114"/>
      <c r="H1316" s="114"/>
      <c r="I1316" s="16"/>
      <c r="K1316" s="21"/>
      <c r="L1316" s="120"/>
      <c r="M1316" s="120"/>
      <c r="N1316" s="120"/>
      <c r="O1316" s="120"/>
      <c r="P1316" s="114"/>
      <c r="Q1316" s="114"/>
      <c r="R1316" s="114"/>
      <c r="S1316" s="16"/>
    </row>
    <row r="1317" spans="1:19">
      <c r="A1317" s="21">
        <v>7</v>
      </c>
      <c r="B1317" s="1099" t="s">
        <v>53</v>
      </c>
      <c r="C1317" s="1099"/>
      <c r="D1317" s="1099"/>
      <c r="E1317" s="24">
        <f>E1313-I1315</f>
        <v>8035.4</v>
      </c>
      <c r="F1317" s="19"/>
      <c r="G1317" s="19"/>
      <c r="H1317" s="19"/>
      <c r="I1317" s="16"/>
      <c r="K1317" s="21">
        <v>7</v>
      </c>
      <c r="L1317" s="1099" t="s">
        <v>53</v>
      </c>
      <c r="M1317" s="1099"/>
      <c r="N1317" s="1099"/>
      <c r="O1317" s="24">
        <f>E1317</f>
        <v>8035.4</v>
      </c>
      <c r="P1317" s="19"/>
      <c r="Q1317" s="19"/>
      <c r="R1317" s="19"/>
      <c r="S1317" s="16"/>
    </row>
    <row r="1318" spans="1:19">
      <c r="A1318" s="15"/>
      <c r="B1318" s="114"/>
      <c r="C1318" s="114"/>
      <c r="D1318" s="114"/>
      <c r="E1318" s="114"/>
      <c r="F1318" s="114"/>
      <c r="G1318" s="114"/>
      <c r="H1318" s="114"/>
      <c r="I1318" s="16"/>
      <c r="K1318" s="15"/>
      <c r="L1318" s="114"/>
      <c r="M1318" s="114"/>
      <c r="N1318" s="114"/>
      <c r="O1318" s="114"/>
      <c r="P1318" s="114"/>
      <c r="Q1318" s="114"/>
      <c r="R1318" s="114"/>
      <c r="S1318" s="16"/>
    </row>
    <row r="1319" spans="1:19">
      <c r="A1319" s="15"/>
      <c r="B1319" s="114"/>
      <c r="C1319" s="114"/>
      <c r="D1319" s="114"/>
      <c r="E1319" s="114"/>
      <c r="F1319" s="114"/>
      <c r="G1319" s="114"/>
      <c r="H1319" s="114"/>
      <c r="I1319" s="16"/>
      <c r="K1319" s="15"/>
      <c r="L1319" s="114"/>
      <c r="M1319" s="114"/>
      <c r="N1319" s="114"/>
      <c r="O1319" s="114"/>
      <c r="P1319" s="114"/>
      <c r="Q1319" s="114"/>
      <c r="R1319" s="114"/>
      <c r="S1319" s="16"/>
    </row>
    <row r="1320" spans="1:19" ht="15" thickBot="1">
      <c r="A1320" s="15"/>
      <c r="B1320" s="114"/>
      <c r="C1320" s="114"/>
      <c r="D1320" s="114"/>
      <c r="E1320" s="114"/>
      <c r="F1320" s="25"/>
      <c r="G1320" s="25"/>
      <c r="H1320" s="25"/>
      <c r="I1320" s="26"/>
      <c r="K1320" s="15"/>
      <c r="L1320" s="114"/>
      <c r="M1320" s="114"/>
      <c r="N1320" s="114"/>
      <c r="O1320" s="114"/>
      <c r="P1320" s="25"/>
      <c r="Q1320" s="25"/>
      <c r="R1320" s="25"/>
      <c r="S1320" s="26"/>
    </row>
    <row r="1321" spans="1:19" ht="15" thickBot="1">
      <c r="A1321" s="27"/>
      <c r="B1321" s="25"/>
      <c r="C1321" s="25"/>
      <c r="D1321" s="25"/>
      <c r="E1321" s="999" t="s">
        <v>54</v>
      </c>
      <c r="F1321" s="999"/>
      <c r="G1321" s="999"/>
      <c r="H1321" s="999"/>
      <c r="I1321" s="1100"/>
      <c r="K1321" s="27"/>
      <c r="L1321" s="25"/>
      <c r="M1321" s="25"/>
      <c r="N1321" s="25"/>
      <c r="O1321" s="28" t="s">
        <v>54</v>
      </c>
      <c r="P1321" s="25"/>
      <c r="Q1321" s="28"/>
      <c r="R1321" s="28"/>
      <c r="S1321" s="29"/>
    </row>
    <row r="1333" spans="1:19" ht="15" thickBot="1"/>
    <row r="1334" spans="1:19" ht="24.6">
      <c r="A1334" s="1091" t="s">
        <v>39</v>
      </c>
      <c r="B1334" s="1092"/>
      <c r="C1334" s="1092"/>
      <c r="D1334" s="1092"/>
      <c r="E1334" s="1092"/>
      <c r="F1334" s="1092"/>
      <c r="G1334" s="1092"/>
      <c r="H1334" s="1092"/>
      <c r="I1334" s="1093"/>
      <c r="K1334" s="1091" t="s">
        <v>39</v>
      </c>
      <c r="L1334" s="1092"/>
      <c r="M1334" s="1092"/>
      <c r="N1334" s="1092"/>
      <c r="O1334" s="1092"/>
      <c r="P1334" s="1092"/>
      <c r="Q1334" s="1092"/>
      <c r="R1334" s="1092"/>
      <c r="S1334" s="1093"/>
    </row>
    <row r="1335" spans="1:19">
      <c r="A1335" s="1094" t="s">
        <v>1075</v>
      </c>
      <c r="B1335" s="1095"/>
      <c r="C1335" s="1095"/>
      <c r="D1335" s="1095"/>
      <c r="E1335" s="1095"/>
      <c r="F1335" s="1095"/>
      <c r="G1335" s="1095"/>
      <c r="H1335" s="1095"/>
      <c r="I1335" s="1096"/>
      <c r="K1335" s="1094" t="str">
        <f>A1335</f>
        <v>[Vide rule 78 (1) (b) of the Contract Labour (Regulation and Abolition) Central and A.P.{T.S.}Rules, 1971]</v>
      </c>
      <c r="L1335" s="1095"/>
      <c r="M1335" s="1095"/>
      <c r="N1335" s="1095"/>
      <c r="O1335" s="1095"/>
      <c r="P1335" s="1095"/>
      <c r="Q1335" s="1095"/>
      <c r="R1335" s="1095"/>
      <c r="S1335" s="1096"/>
    </row>
    <row r="1336" spans="1:19">
      <c r="A1336" s="15"/>
      <c r="B1336" s="114"/>
      <c r="C1336" s="114"/>
      <c r="D1336" s="114"/>
      <c r="E1336" s="114"/>
      <c r="F1336" s="114"/>
      <c r="G1336" s="114"/>
      <c r="H1336" s="114"/>
      <c r="I1336" s="16"/>
      <c r="K1336" s="15"/>
      <c r="L1336" s="114"/>
      <c r="M1336" s="114"/>
      <c r="N1336" s="114"/>
      <c r="O1336" s="114"/>
      <c r="P1336" s="114"/>
      <c r="Q1336" s="114"/>
      <c r="R1336" s="114"/>
      <c r="S1336" s="16"/>
    </row>
    <row r="1337" spans="1:19">
      <c r="A1337" s="17" t="s">
        <v>40</v>
      </c>
      <c r="B1337" s="120"/>
      <c r="C1337" s="120"/>
      <c r="D1337" s="121" t="str">
        <f>Master!F5</f>
        <v>GROTECH LANDSCAPE DEVELOPERS PVT. LTD.</v>
      </c>
      <c r="E1337" s="114"/>
      <c r="F1337" s="114"/>
      <c r="G1337" s="114"/>
      <c r="H1337" s="114"/>
      <c r="I1337" s="16"/>
      <c r="K1337" s="17" t="s">
        <v>40</v>
      </c>
      <c r="L1337" s="120"/>
      <c r="M1337" s="120"/>
      <c r="N1337" s="121" t="str">
        <f>D1337</f>
        <v>GROTECH LANDSCAPE DEVELOPERS PVT. LTD.</v>
      </c>
      <c r="O1337" s="114"/>
      <c r="P1337" s="114"/>
      <c r="Q1337" s="114"/>
      <c r="R1337" s="114"/>
      <c r="S1337" s="16"/>
    </row>
    <row r="1338" spans="1:19">
      <c r="A1338" s="17"/>
      <c r="B1338" s="120" t="str">
        <f>Master!F6</f>
        <v>290/E, Khanapur Village, Gandipet Mandal, Ranga Reddy, Hyderabad-500075 T.S.</v>
      </c>
      <c r="C1338" s="120"/>
      <c r="D1338" s="114"/>
      <c r="E1338" s="114"/>
      <c r="F1338" s="114"/>
      <c r="G1338" s="114"/>
      <c r="H1338" s="114"/>
      <c r="I1338" s="16"/>
      <c r="K1338" s="17"/>
      <c r="L1338" s="120" t="str">
        <f>B1338</f>
        <v>290/E, Khanapur Village, Gandipet Mandal, Ranga Reddy, Hyderabad-500075 T.S.</v>
      </c>
      <c r="M1338" s="120"/>
      <c r="N1338" s="114"/>
      <c r="O1338" s="114"/>
      <c r="P1338" s="114"/>
      <c r="Q1338" s="114"/>
      <c r="R1338" s="114"/>
      <c r="S1338" s="16"/>
    </row>
    <row r="1339" spans="1:19">
      <c r="A1339" s="17"/>
      <c r="B1339" s="120"/>
      <c r="C1339" s="120"/>
      <c r="D1339" s="120"/>
      <c r="E1339" s="120"/>
      <c r="F1339" s="114"/>
      <c r="G1339" s="114"/>
      <c r="H1339" s="114"/>
      <c r="I1339" s="16"/>
      <c r="K1339" s="17"/>
      <c r="L1339" s="120"/>
      <c r="M1339" s="120"/>
      <c r="N1339" s="120"/>
      <c r="O1339" s="120"/>
      <c r="P1339" s="114"/>
      <c r="Q1339" s="114"/>
      <c r="R1339" s="114"/>
      <c r="S1339" s="16"/>
    </row>
    <row r="1340" spans="1:19">
      <c r="A1340" s="1097" t="s">
        <v>41</v>
      </c>
      <c r="B1340" s="1098"/>
      <c r="C1340" s="1098"/>
      <c r="D1340" s="1098"/>
      <c r="E1340" s="120"/>
      <c r="F1340" s="114"/>
      <c r="G1340" s="114"/>
      <c r="H1340" s="114"/>
      <c r="I1340" s="16"/>
      <c r="K1340" s="1097" t="s">
        <v>41</v>
      </c>
      <c r="L1340" s="1098"/>
      <c r="M1340" s="1098"/>
      <c r="N1340" s="1098"/>
      <c r="O1340" s="120"/>
      <c r="P1340" s="114"/>
      <c r="Q1340" s="114"/>
      <c r="R1340" s="114"/>
      <c r="S1340" s="16"/>
    </row>
    <row r="1341" spans="1:19">
      <c r="A1341" s="1097"/>
      <c r="B1341" s="1098"/>
      <c r="C1341" s="1098"/>
      <c r="D1341" s="1098"/>
      <c r="E1341" s="128" t="str">
        <f>Master!D46</f>
        <v>PALLAPU LAXMI</v>
      </c>
      <c r="F1341" s="19"/>
      <c r="G1341" s="19"/>
      <c r="H1341" s="19" t="str">
        <f>Master!G46</f>
        <v>VENAKAIAH</v>
      </c>
      <c r="I1341" s="16"/>
      <c r="K1341" s="1097"/>
      <c r="L1341" s="1098"/>
      <c r="M1341" s="1098"/>
      <c r="N1341" s="1098"/>
      <c r="O1341" s="18" t="str">
        <f>E1341</f>
        <v>PALLAPU LAXMI</v>
      </c>
      <c r="P1341" s="19"/>
      <c r="Q1341" s="19"/>
      <c r="R1341" s="19" t="str">
        <f>H1341</f>
        <v>VENAKAIAH</v>
      </c>
      <c r="S1341" s="16"/>
    </row>
    <row r="1342" spans="1:19">
      <c r="A1342" s="17"/>
      <c r="B1342" s="120"/>
      <c r="C1342" s="120"/>
      <c r="D1342" s="120"/>
      <c r="E1342" s="120"/>
      <c r="F1342" s="114"/>
      <c r="G1342" s="114"/>
      <c r="H1342" s="114"/>
      <c r="I1342" s="16"/>
      <c r="K1342" s="17"/>
      <c r="L1342" s="120"/>
      <c r="M1342" s="120"/>
      <c r="N1342" s="120"/>
      <c r="O1342" s="120"/>
      <c r="P1342" s="114"/>
      <c r="Q1342" s="114"/>
      <c r="R1342" s="114"/>
      <c r="S1342" s="16"/>
    </row>
    <row r="1343" spans="1:19">
      <c r="A1343" s="1101" t="s">
        <v>42</v>
      </c>
      <c r="B1343" s="1099"/>
      <c r="C1343" s="1099"/>
      <c r="D1343" s="1099"/>
      <c r="E1343" s="24" t="str">
        <f>Master!F8</f>
        <v>GARDENING SERVICES&amp;ISB HYDERABAD</v>
      </c>
      <c r="F1343" s="19"/>
      <c r="G1343" s="19"/>
      <c r="H1343" s="19"/>
      <c r="I1343" s="16"/>
      <c r="K1343" s="1101" t="s">
        <v>42</v>
      </c>
      <c r="L1343" s="1099"/>
      <c r="M1343" s="1099"/>
      <c r="N1343" s="1099"/>
      <c r="O1343" s="24" t="str">
        <f>E1343</f>
        <v>GARDENING SERVICES&amp;ISB HYDERABAD</v>
      </c>
      <c r="P1343" s="19"/>
      <c r="Q1343" s="19"/>
      <c r="R1343" s="19"/>
      <c r="S1343" s="16"/>
    </row>
    <row r="1344" spans="1:19">
      <c r="A1344" s="17"/>
      <c r="B1344" s="120"/>
      <c r="C1344" s="120"/>
      <c r="D1344" s="120"/>
      <c r="E1344" s="120"/>
      <c r="F1344" s="114"/>
      <c r="G1344" s="114"/>
      <c r="H1344" s="114"/>
      <c r="I1344" s="16"/>
      <c r="K1344" s="17"/>
      <c r="L1344" s="120"/>
      <c r="M1344" s="120"/>
      <c r="N1344" s="120"/>
      <c r="O1344" s="120"/>
      <c r="P1344" s="114"/>
      <c r="Q1344" s="114"/>
      <c r="R1344" s="114"/>
      <c r="S1344" s="16"/>
    </row>
    <row r="1345" spans="1:19">
      <c r="A1345" s="1101" t="s">
        <v>43</v>
      </c>
      <c r="B1345" s="1099"/>
      <c r="C1345" s="1099"/>
      <c r="D1345" s="1099"/>
      <c r="E1345" s="20">
        <f>Master!F10</f>
        <v>44652</v>
      </c>
      <c r="F1345" s="19"/>
      <c r="G1345" s="19"/>
      <c r="H1345" s="19"/>
      <c r="I1345" s="16"/>
      <c r="K1345" s="1101" t="s">
        <v>43</v>
      </c>
      <c r="L1345" s="1099"/>
      <c r="M1345" s="1099"/>
      <c r="N1345" s="1099"/>
      <c r="O1345" s="20">
        <f>E1345</f>
        <v>44652</v>
      </c>
      <c r="P1345" s="19"/>
      <c r="Q1345" s="19"/>
      <c r="R1345" s="19"/>
      <c r="S1345" s="16"/>
    </row>
    <row r="1346" spans="1:19">
      <c r="A1346" s="17"/>
      <c r="B1346" s="120"/>
      <c r="C1346" s="120"/>
      <c r="D1346" s="120"/>
      <c r="E1346" s="120"/>
      <c r="F1346" s="114"/>
      <c r="G1346" s="114"/>
      <c r="H1346" s="114"/>
      <c r="I1346" s="16"/>
      <c r="K1346" s="17"/>
      <c r="L1346" s="120"/>
      <c r="M1346" s="120"/>
      <c r="N1346" s="120"/>
      <c r="O1346" s="120"/>
      <c r="P1346" s="114"/>
      <c r="Q1346" s="114"/>
      <c r="R1346" s="114"/>
      <c r="S1346" s="16"/>
    </row>
    <row r="1347" spans="1:19">
      <c r="A1347" s="21">
        <v>1</v>
      </c>
      <c r="B1347" s="1099" t="s">
        <v>44</v>
      </c>
      <c r="C1347" s="1099"/>
      <c r="D1347" s="1099"/>
      <c r="E1347" s="22">
        <f>Master!AA46</f>
        <v>26</v>
      </c>
      <c r="F1347" s="19"/>
      <c r="G1347" s="19"/>
      <c r="H1347" s="19"/>
      <c r="I1347" s="16"/>
      <c r="K1347" s="21">
        <v>1</v>
      </c>
      <c r="L1347" s="1099" t="s">
        <v>44</v>
      </c>
      <c r="M1347" s="1099"/>
      <c r="N1347" s="1099"/>
      <c r="O1347" s="22">
        <f>E1347</f>
        <v>26</v>
      </c>
      <c r="P1347" s="19"/>
      <c r="Q1347" s="19"/>
      <c r="R1347" s="19"/>
      <c r="S1347" s="16"/>
    </row>
    <row r="1348" spans="1:19">
      <c r="A1348" s="21"/>
      <c r="B1348" s="120"/>
      <c r="C1348" s="120"/>
      <c r="D1348" s="120"/>
      <c r="E1348" s="120"/>
      <c r="F1348" s="114"/>
      <c r="G1348" s="114"/>
      <c r="H1348" s="114"/>
      <c r="I1348" s="16"/>
      <c r="K1348" s="21"/>
      <c r="L1348" s="120"/>
      <c r="M1348" s="120"/>
      <c r="N1348" s="120"/>
      <c r="O1348" s="120"/>
      <c r="P1348" s="114"/>
      <c r="Q1348" s="114"/>
      <c r="R1348" s="114"/>
      <c r="S1348" s="16"/>
    </row>
    <row r="1349" spans="1:19">
      <c r="A1349" s="21">
        <v>2</v>
      </c>
      <c r="B1349" s="1098" t="s">
        <v>45</v>
      </c>
      <c r="C1349" s="1098"/>
      <c r="D1349" s="1098"/>
      <c r="E1349" s="120"/>
      <c r="F1349" s="114"/>
      <c r="G1349" s="114"/>
      <c r="H1349" s="114"/>
      <c r="I1349" s="16"/>
      <c r="K1349" s="21">
        <v>2</v>
      </c>
      <c r="L1349" s="1098" t="s">
        <v>45</v>
      </c>
      <c r="M1349" s="1098"/>
      <c r="N1349" s="1098"/>
      <c r="O1349" s="120"/>
      <c r="P1349" s="114"/>
      <c r="Q1349" s="114"/>
      <c r="R1349" s="114"/>
      <c r="S1349" s="16"/>
    </row>
    <row r="1350" spans="1:19">
      <c r="A1350" s="21"/>
      <c r="B1350" s="1098"/>
      <c r="C1350" s="1098"/>
      <c r="D1350" s="1098"/>
      <c r="E1350" s="23" t="s">
        <v>28</v>
      </c>
      <c r="F1350" s="19"/>
      <c r="G1350" s="19"/>
      <c r="H1350" s="19"/>
      <c r="I1350" s="16"/>
      <c r="K1350" s="21"/>
      <c r="L1350" s="1098"/>
      <c r="M1350" s="1098"/>
      <c r="N1350" s="1098"/>
      <c r="O1350" s="23" t="s">
        <v>28</v>
      </c>
      <c r="P1350" s="19"/>
      <c r="Q1350" s="19"/>
      <c r="R1350" s="19"/>
      <c r="S1350" s="16"/>
    </row>
    <row r="1351" spans="1:19">
      <c r="A1351" s="21"/>
      <c r="B1351" s="120"/>
      <c r="C1351" s="120"/>
      <c r="D1351" s="120"/>
      <c r="E1351" s="120"/>
      <c r="F1351" s="114"/>
      <c r="G1351" s="114"/>
      <c r="H1351" s="114"/>
      <c r="I1351" s="16"/>
      <c r="K1351" s="21"/>
      <c r="L1351" s="120"/>
      <c r="M1351" s="120"/>
      <c r="N1351" s="120"/>
      <c r="O1351" s="120"/>
      <c r="P1351" s="114"/>
      <c r="Q1351" s="114"/>
      <c r="R1351" s="114"/>
      <c r="S1351" s="16"/>
    </row>
    <row r="1352" spans="1:19">
      <c r="A1352" s="21">
        <v>3</v>
      </c>
      <c r="B1352" s="1099" t="s">
        <v>46</v>
      </c>
      <c r="C1352" s="1099"/>
      <c r="D1352" s="1099"/>
      <c r="E1352" s="23" t="s">
        <v>28</v>
      </c>
      <c r="F1352" s="19"/>
      <c r="G1352" s="19"/>
      <c r="H1352" s="19"/>
      <c r="I1352" s="16"/>
      <c r="K1352" s="21">
        <v>3</v>
      </c>
      <c r="L1352" s="1099" t="s">
        <v>46</v>
      </c>
      <c r="M1352" s="1099"/>
      <c r="N1352" s="1099"/>
      <c r="O1352" s="18" t="str">
        <f>E1352</f>
        <v>N/A</v>
      </c>
      <c r="P1352" s="19"/>
      <c r="Q1352" s="19"/>
      <c r="R1352" s="19"/>
      <c r="S1352" s="16"/>
    </row>
    <row r="1353" spans="1:19">
      <c r="A1353" s="21"/>
      <c r="B1353" s="120"/>
      <c r="C1353" s="120"/>
      <c r="D1353" s="120"/>
      <c r="E1353" s="120"/>
      <c r="F1353" s="114"/>
      <c r="G1353" s="114"/>
      <c r="H1353" s="114"/>
      <c r="I1353" s="16"/>
      <c r="K1353" s="21"/>
      <c r="L1353" s="120"/>
      <c r="M1353" s="120"/>
      <c r="N1353" s="120"/>
      <c r="O1353" s="120"/>
      <c r="P1353" s="114"/>
      <c r="Q1353" s="114"/>
      <c r="R1353" s="114"/>
      <c r="S1353" s="16"/>
    </row>
    <row r="1354" spans="1:19">
      <c r="A1354" s="21">
        <v>4</v>
      </c>
      <c r="B1354" s="1099" t="s">
        <v>47</v>
      </c>
      <c r="C1354" s="1099"/>
      <c r="D1354" s="1099"/>
      <c r="E1354" s="23" t="s">
        <v>48</v>
      </c>
      <c r="F1354" s="19"/>
      <c r="G1354" s="19"/>
      <c r="H1354" s="19"/>
      <c r="I1354" s="16"/>
      <c r="K1354" s="21">
        <v>4</v>
      </c>
      <c r="L1354" s="1099" t="s">
        <v>47</v>
      </c>
      <c r="M1354" s="1099"/>
      <c r="N1354" s="1099"/>
      <c r="O1354" s="23" t="s">
        <v>48</v>
      </c>
      <c r="P1354" s="19"/>
      <c r="Q1354" s="19"/>
      <c r="R1354" s="19"/>
      <c r="S1354" s="16"/>
    </row>
    <row r="1355" spans="1:19">
      <c r="A1355" s="21"/>
      <c r="B1355" s="120"/>
      <c r="C1355" s="120"/>
      <c r="D1355" s="120"/>
      <c r="E1355" s="120"/>
      <c r="F1355" s="114"/>
      <c r="G1355" s="114"/>
      <c r="H1355" s="114"/>
      <c r="I1355" s="16"/>
      <c r="K1355" s="21"/>
      <c r="L1355" s="120"/>
      <c r="M1355" s="120"/>
      <c r="N1355" s="120"/>
      <c r="O1355" s="120"/>
      <c r="P1355" s="114"/>
      <c r="Q1355" s="114"/>
      <c r="R1355" s="114"/>
      <c r="S1355" s="16"/>
    </row>
    <row r="1356" spans="1:19">
      <c r="A1356" s="21">
        <v>5</v>
      </c>
      <c r="B1356" s="1099" t="s">
        <v>49</v>
      </c>
      <c r="C1356" s="1099"/>
      <c r="D1356" s="1099"/>
      <c r="E1356" s="24">
        <f>Master!AK46</f>
        <v>9210.4</v>
      </c>
      <c r="F1356" s="19"/>
      <c r="G1356" s="19"/>
      <c r="H1356" s="19"/>
      <c r="I1356" s="16"/>
      <c r="K1356" s="21">
        <v>5</v>
      </c>
      <c r="L1356" s="1099" t="s">
        <v>49</v>
      </c>
      <c r="M1356" s="1099"/>
      <c r="N1356" s="1099"/>
      <c r="O1356" s="24">
        <f>E1356</f>
        <v>9210.4</v>
      </c>
      <c r="P1356" s="19"/>
      <c r="Q1356" s="19"/>
      <c r="R1356" s="19"/>
      <c r="S1356" s="16"/>
    </row>
    <row r="1357" spans="1:19">
      <c r="A1357" s="21"/>
      <c r="B1357" s="120"/>
      <c r="C1357" s="120"/>
      <c r="D1357" s="238" t="s">
        <v>50</v>
      </c>
      <c r="E1357" s="238" t="s">
        <v>23</v>
      </c>
      <c r="F1357" s="136" t="s">
        <v>25</v>
      </c>
      <c r="G1357" s="238" t="s">
        <v>26</v>
      </c>
      <c r="H1357" s="238" t="s">
        <v>202</v>
      </c>
      <c r="I1357" s="126" t="s">
        <v>51</v>
      </c>
      <c r="K1357" s="21"/>
      <c r="L1357" s="120"/>
      <c r="M1357" s="120"/>
      <c r="N1357" s="238" t="s">
        <v>50</v>
      </c>
      <c r="O1357" s="238" t="s">
        <v>23</v>
      </c>
      <c r="P1357" s="136" t="s">
        <v>25</v>
      </c>
      <c r="Q1357" s="238" t="s">
        <v>26</v>
      </c>
      <c r="R1357" s="238" t="str">
        <f>H1357</f>
        <v>ADV</v>
      </c>
      <c r="S1357" s="126" t="s">
        <v>51</v>
      </c>
    </row>
    <row r="1358" spans="1:19">
      <c r="A1358" s="21">
        <v>6</v>
      </c>
      <c r="B1358" s="468" t="s">
        <v>52</v>
      </c>
      <c r="C1358" s="468"/>
      <c r="D1358" s="335">
        <f>Master!AM46</f>
        <v>1105</v>
      </c>
      <c r="E1358" s="335">
        <f>Master!AL46</f>
        <v>70</v>
      </c>
      <c r="F1358" s="180">
        <f>Master!AN46</f>
        <v>0</v>
      </c>
      <c r="G1358" s="180">
        <f>Master!AO46</f>
        <v>0</v>
      </c>
      <c r="H1358" s="180">
        <f>Master!AP46</f>
        <v>0</v>
      </c>
      <c r="I1358" s="127">
        <f>D1358+E1358+F1358+G1358+H1358</f>
        <v>1175</v>
      </c>
      <c r="K1358" s="21">
        <v>6</v>
      </c>
      <c r="L1358" s="468" t="s">
        <v>52</v>
      </c>
      <c r="M1358" s="468"/>
      <c r="N1358" s="335">
        <f>D1358</f>
        <v>1105</v>
      </c>
      <c r="O1358" s="335">
        <f>E1358</f>
        <v>70</v>
      </c>
      <c r="P1358" s="180">
        <f>F1358</f>
        <v>0</v>
      </c>
      <c r="Q1358" s="180">
        <f>G1358</f>
        <v>0</v>
      </c>
      <c r="R1358" s="180">
        <f>H1358</f>
        <v>0</v>
      </c>
      <c r="S1358" s="127">
        <f>N1358+O1358+R1358</f>
        <v>1175</v>
      </c>
    </row>
    <row r="1359" spans="1:19">
      <c r="A1359" s="21"/>
      <c r="B1359" s="120"/>
      <c r="C1359" s="120"/>
      <c r="D1359" s="120"/>
      <c r="E1359" s="120"/>
      <c r="F1359" s="114"/>
      <c r="G1359" s="114"/>
      <c r="H1359" s="114"/>
      <c r="I1359" s="16"/>
      <c r="K1359" s="21"/>
      <c r="L1359" s="120"/>
      <c r="M1359" s="120"/>
      <c r="N1359" s="120"/>
      <c r="O1359" s="120"/>
      <c r="P1359" s="114"/>
      <c r="Q1359" s="114"/>
      <c r="R1359" s="114"/>
      <c r="S1359" s="16"/>
    </row>
    <row r="1360" spans="1:19">
      <c r="A1360" s="21">
        <v>7</v>
      </c>
      <c r="B1360" s="1099" t="s">
        <v>53</v>
      </c>
      <c r="C1360" s="1099"/>
      <c r="D1360" s="1099"/>
      <c r="E1360" s="24">
        <f>E1356-I1358</f>
        <v>8035.4</v>
      </c>
      <c r="F1360" s="19"/>
      <c r="G1360" s="19"/>
      <c r="H1360" s="19"/>
      <c r="I1360" s="16"/>
      <c r="K1360" s="21">
        <v>7</v>
      </c>
      <c r="L1360" s="1099" t="s">
        <v>53</v>
      </c>
      <c r="M1360" s="1099"/>
      <c r="N1360" s="1099"/>
      <c r="O1360" s="24">
        <f>E1360</f>
        <v>8035.4</v>
      </c>
      <c r="P1360" s="19"/>
      <c r="Q1360" s="19"/>
      <c r="R1360" s="19"/>
      <c r="S1360" s="16"/>
    </row>
    <row r="1361" spans="1:19">
      <c r="A1361" s="15"/>
      <c r="B1361" s="114"/>
      <c r="C1361" s="114"/>
      <c r="D1361" s="114"/>
      <c r="E1361" s="114"/>
      <c r="F1361" s="114"/>
      <c r="G1361" s="114"/>
      <c r="H1361" s="114"/>
      <c r="I1361" s="16"/>
      <c r="K1361" s="15"/>
      <c r="L1361" s="114"/>
      <c r="M1361" s="114"/>
      <c r="N1361" s="114"/>
      <c r="O1361" s="114"/>
      <c r="P1361" s="114"/>
      <c r="Q1361" s="114"/>
      <c r="R1361" s="114"/>
      <c r="S1361" s="16"/>
    </row>
    <row r="1362" spans="1:19">
      <c r="A1362" s="15"/>
      <c r="B1362" s="114"/>
      <c r="C1362" s="114"/>
      <c r="D1362" s="114"/>
      <c r="E1362" s="114"/>
      <c r="F1362" s="114"/>
      <c r="G1362" s="114"/>
      <c r="H1362" s="114"/>
      <c r="I1362" s="16"/>
      <c r="K1362" s="15"/>
      <c r="L1362" s="114"/>
      <c r="M1362" s="114"/>
      <c r="N1362" s="114"/>
      <c r="O1362" s="114"/>
      <c r="P1362" s="114"/>
      <c r="Q1362" s="114"/>
      <c r="R1362" s="114"/>
      <c r="S1362" s="16"/>
    </row>
    <row r="1363" spans="1:19" ht="15" thickBot="1">
      <c r="A1363" s="15"/>
      <c r="B1363" s="114"/>
      <c r="C1363" s="114"/>
      <c r="D1363" s="114"/>
      <c r="E1363" s="114"/>
      <c r="F1363" s="25"/>
      <c r="G1363" s="25"/>
      <c r="H1363" s="25"/>
      <c r="I1363" s="26"/>
      <c r="K1363" s="15"/>
      <c r="L1363" s="114"/>
      <c r="M1363" s="114"/>
      <c r="N1363" s="114"/>
      <c r="O1363" s="114"/>
      <c r="P1363" s="25"/>
      <c r="Q1363" s="25"/>
      <c r="R1363" s="25"/>
      <c r="S1363" s="26"/>
    </row>
    <row r="1364" spans="1:19" ht="15" thickBot="1">
      <c r="A1364" s="27"/>
      <c r="B1364" s="25"/>
      <c r="C1364" s="25"/>
      <c r="D1364" s="25"/>
      <c r="E1364" s="999" t="s">
        <v>54</v>
      </c>
      <c r="F1364" s="999"/>
      <c r="G1364" s="999"/>
      <c r="H1364" s="999"/>
      <c r="I1364" s="1100"/>
      <c r="K1364" s="27"/>
      <c r="L1364" s="25"/>
      <c r="M1364" s="25"/>
      <c r="N1364" s="25"/>
      <c r="O1364" s="28" t="s">
        <v>54</v>
      </c>
      <c r="P1364" s="25"/>
      <c r="Q1364" s="28"/>
      <c r="R1364" s="28"/>
      <c r="S1364" s="29"/>
    </row>
    <row r="1376" spans="1:19" ht="15" thickBot="1"/>
    <row r="1377" spans="1:19" ht="24.6">
      <c r="A1377" s="1091" t="s">
        <v>39</v>
      </c>
      <c r="B1377" s="1092"/>
      <c r="C1377" s="1092"/>
      <c r="D1377" s="1092"/>
      <c r="E1377" s="1092"/>
      <c r="F1377" s="1092"/>
      <c r="G1377" s="1092"/>
      <c r="H1377" s="1092"/>
      <c r="I1377" s="1093"/>
      <c r="K1377" s="1091" t="s">
        <v>39</v>
      </c>
      <c r="L1377" s="1092"/>
      <c r="M1377" s="1092"/>
      <c r="N1377" s="1092"/>
      <c r="O1377" s="1092"/>
      <c r="P1377" s="1092"/>
      <c r="Q1377" s="1092"/>
      <c r="R1377" s="1092"/>
      <c r="S1377" s="1093"/>
    </row>
    <row r="1378" spans="1:19">
      <c r="A1378" s="1094" t="s">
        <v>1075</v>
      </c>
      <c r="B1378" s="1095"/>
      <c r="C1378" s="1095"/>
      <c r="D1378" s="1095"/>
      <c r="E1378" s="1095"/>
      <c r="F1378" s="1095"/>
      <c r="G1378" s="1095"/>
      <c r="H1378" s="1095"/>
      <c r="I1378" s="1096"/>
      <c r="K1378" s="1094" t="str">
        <f>A1378</f>
        <v>[Vide rule 78 (1) (b) of the Contract Labour (Regulation and Abolition) Central and A.P.{T.S.}Rules, 1971]</v>
      </c>
      <c r="L1378" s="1095"/>
      <c r="M1378" s="1095"/>
      <c r="N1378" s="1095"/>
      <c r="O1378" s="1095"/>
      <c r="P1378" s="1095"/>
      <c r="Q1378" s="1095"/>
      <c r="R1378" s="1095"/>
      <c r="S1378" s="1096"/>
    </row>
    <row r="1379" spans="1:19">
      <c r="A1379" s="15"/>
      <c r="B1379" s="114"/>
      <c r="C1379" s="114"/>
      <c r="D1379" s="114"/>
      <c r="E1379" s="114"/>
      <c r="F1379" s="114"/>
      <c r="G1379" s="114"/>
      <c r="H1379" s="114"/>
      <c r="I1379" s="16"/>
      <c r="K1379" s="15"/>
      <c r="L1379" s="114"/>
      <c r="M1379" s="114"/>
      <c r="N1379" s="114"/>
      <c r="O1379" s="114"/>
      <c r="P1379" s="114"/>
      <c r="Q1379" s="114"/>
      <c r="R1379" s="114"/>
      <c r="S1379" s="16"/>
    </row>
    <row r="1380" spans="1:19">
      <c r="A1380" s="17" t="s">
        <v>40</v>
      </c>
      <c r="B1380" s="120"/>
      <c r="C1380" s="120"/>
      <c r="D1380" s="121" t="str">
        <f>Master!F5</f>
        <v>GROTECH LANDSCAPE DEVELOPERS PVT. LTD.</v>
      </c>
      <c r="E1380" s="114"/>
      <c r="F1380" s="114"/>
      <c r="G1380" s="114"/>
      <c r="H1380" s="114"/>
      <c r="I1380" s="16"/>
      <c r="K1380" s="17" t="s">
        <v>40</v>
      </c>
      <c r="L1380" s="120"/>
      <c r="M1380" s="120"/>
      <c r="N1380" s="121" t="str">
        <f>D1380</f>
        <v>GROTECH LANDSCAPE DEVELOPERS PVT. LTD.</v>
      </c>
      <c r="O1380" s="114"/>
      <c r="P1380" s="114"/>
      <c r="Q1380" s="114"/>
      <c r="R1380" s="114"/>
      <c r="S1380" s="16"/>
    </row>
    <row r="1381" spans="1:19">
      <c r="A1381" s="17"/>
      <c r="B1381" s="120" t="str">
        <f>Master!F6</f>
        <v>290/E, Khanapur Village, Gandipet Mandal, Ranga Reddy, Hyderabad-500075 T.S.</v>
      </c>
      <c r="C1381" s="120"/>
      <c r="D1381" s="114"/>
      <c r="E1381" s="114"/>
      <c r="F1381" s="114"/>
      <c r="G1381" s="114"/>
      <c r="H1381" s="114"/>
      <c r="I1381" s="16"/>
      <c r="K1381" s="17"/>
      <c r="L1381" s="120" t="str">
        <f>B1381</f>
        <v>290/E, Khanapur Village, Gandipet Mandal, Ranga Reddy, Hyderabad-500075 T.S.</v>
      </c>
      <c r="M1381" s="120"/>
      <c r="N1381" s="114"/>
      <c r="O1381" s="114"/>
      <c r="P1381" s="114"/>
      <c r="Q1381" s="114"/>
      <c r="R1381" s="114"/>
      <c r="S1381" s="16"/>
    </row>
    <row r="1382" spans="1:19">
      <c r="A1382" s="17"/>
      <c r="B1382" s="120"/>
      <c r="C1382" s="120"/>
      <c r="D1382" s="120"/>
      <c r="E1382" s="120"/>
      <c r="F1382" s="114"/>
      <c r="G1382" s="114"/>
      <c r="H1382" s="114"/>
      <c r="I1382" s="16"/>
      <c r="K1382" s="17"/>
      <c r="L1382" s="120"/>
      <c r="M1382" s="120"/>
      <c r="N1382" s="120"/>
      <c r="O1382" s="120"/>
      <c r="P1382" s="114"/>
      <c r="Q1382" s="114"/>
      <c r="R1382" s="114"/>
      <c r="S1382" s="16"/>
    </row>
    <row r="1383" spans="1:19">
      <c r="A1383" s="1097" t="s">
        <v>41</v>
      </c>
      <c r="B1383" s="1098"/>
      <c r="C1383" s="1098"/>
      <c r="D1383" s="1098"/>
      <c r="E1383" s="120"/>
      <c r="F1383" s="114"/>
      <c r="G1383" s="114"/>
      <c r="H1383" s="114"/>
      <c r="I1383" s="16"/>
      <c r="K1383" s="1097" t="s">
        <v>41</v>
      </c>
      <c r="L1383" s="1098"/>
      <c r="M1383" s="1098"/>
      <c r="N1383" s="1098"/>
      <c r="O1383" s="120"/>
      <c r="P1383" s="114"/>
      <c r="Q1383" s="114"/>
      <c r="R1383" s="114"/>
      <c r="S1383" s="16"/>
    </row>
    <row r="1384" spans="1:19">
      <c r="A1384" s="1097"/>
      <c r="B1384" s="1098"/>
      <c r="C1384" s="1098"/>
      <c r="D1384" s="1098"/>
      <c r="E1384" s="128" t="str">
        <f>Master!D47</f>
        <v>Nagani laxmi</v>
      </c>
      <c r="F1384" s="19"/>
      <c r="G1384" s="19"/>
      <c r="H1384" s="19" t="str">
        <f>Master!G47</f>
        <v>Nagani pochaiah</v>
      </c>
      <c r="I1384" s="16"/>
      <c r="K1384" s="1097"/>
      <c r="L1384" s="1098"/>
      <c r="M1384" s="1098"/>
      <c r="N1384" s="1098"/>
      <c r="O1384" s="18" t="str">
        <f>E1384</f>
        <v>Nagani laxmi</v>
      </c>
      <c r="P1384" s="19"/>
      <c r="Q1384" s="19"/>
      <c r="R1384" s="19" t="str">
        <f>H1384</f>
        <v>Nagani pochaiah</v>
      </c>
      <c r="S1384" s="16"/>
    </row>
    <row r="1385" spans="1:19">
      <c r="A1385" s="17"/>
      <c r="B1385" s="120"/>
      <c r="C1385" s="120"/>
      <c r="D1385" s="120"/>
      <c r="E1385" s="120"/>
      <c r="F1385" s="114"/>
      <c r="G1385" s="114"/>
      <c r="H1385" s="114"/>
      <c r="I1385" s="16"/>
      <c r="K1385" s="17"/>
      <c r="L1385" s="120"/>
      <c r="M1385" s="120"/>
      <c r="N1385" s="120"/>
      <c r="O1385" s="120"/>
      <c r="P1385" s="114"/>
      <c r="Q1385" s="114"/>
      <c r="R1385" s="114"/>
      <c r="S1385" s="16"/>
    </row>
    <row r="1386" spans="1:19">
      <c r="A1386" s="1101" t="s">
        <v>42</v>
      </c>
      <c r="B1386" s="1099"/>
      <c r="C1386" s="1099"/>
      <c r="D1386" s="1099"/>
      <c r="E1386" s="24" t="str">
        <f>Master!F8</f>
        <v>GARDENING SERVICES&amp;ISB HYDERABAD</v>
      </c>
      <c r="F1386" s="19"/>
      <c r="G1386" s="19"/>
      <c r="H1386" s="19"/>
      <c r="I1386" s="16"/>
      <c r="K1386" s="1101" t="s">
        <v>42</v>
      </c>
      <c r="L1386" s="1099"/>
      <c r="M1386" s="1099"/>
      <c r="N1386" s="1099"/>
      <c r="O1386" s="24" t="str">
        <f>E1386</f>
        <v>GARDENING SERVICES&amp;ISB HYDERABAD</v>
      </c>
      <c r="P1386" s="19"/>
      <c r="Q1386" s="19"/>
      <c r="R1386" s="19"/>
      <c r="S1386" s="16"/>
    </row>
    <row r="1387" spans="1:19">
      <c r="A1387" s="17"/>
      <c r="B1387" s="120"/>
      <c r="C1387" s="120"/>
      <c r="D1387" s="120"/>
      <c r="E1387" s="120"/>
      <c r="F1387" s="114"/>
      <c r="G1387" s="114"/>
      <c r="H1387" s="114"/>
      <c r="I1387" s="16"/>
      <c r="K1387" s="17"/>
      <c r="L1387" s="120"/>
      <c r="M1387" s="120"/>
      <c r="N1387" s="120"/>
      <c r="O1387" s="120"/>
      <c r="P1387" s="114"/>
      <c r="Q1387" s="114"/>
      <c r="R1387" s="114"/>
      <c r="S1387" s="16"/>
    </row>
    <row r="1388" spans="1:19">
      <c r="A1388" s="1101" t="s">
        <v>43</v>
      </c>
      <c r="B1388" s="1099"/>
      <c r="C1388" s="1099"/>
      <c r="D1388" s="1099"/>
      <c r="E1388" s="20">
        <f>Master!F10</f>
        <v>44652</v>
      </c>
      <c r="F1388" s="19"/>
      <c r="G1388" s="19"/>
      <c r="H1388" s="19"/>
      <c r="I1388" s="16"/>
      <c r="K1388" s="1101" t="s">
        <v>43</v>
      </c>
      <c r="L1388" s="1099"/>
      <c r="M1388" s="1099"/>
      <c r="N1388" s="1099"/>
      <c r="O1388" s="20">
        <f>E1388</f>
        <v>44652</v>
      </c>
      <c r="P1388" s="19"/>
      <c r="Q1388" s="19"/>
      <c r="R1388" s="19"/>
      <c r="S1388" s="16"/>
    </row>
    <row r="1389" spans="1:19">
      <c r="A1389" s="17"/>
      <c r="B1389" s="120"/>
      <c r="C1389" s="120"/>
      <c r="D1389" s="120"/>
      <c r="E1389" s="120"/>
      <c r="F1389" s="114"/>
      <c r="G1389" s="114"/>
      <c r="H1389" s="114"/>
      <c r="I1389" s="16"/>
      <c r="K1389" s="17"/>
      <c r="L1389" s="120"/>
      <c r="M1389" s="120"/>
      <c r="N1389" s="120"/>
      <c r="O1389" s="120"/>
      <c r="P1389" s="114"/>
      <c r="Q1389" s="114"/>
      <c r="R1389" s="114"/>
      <c r="S1389" s="16"/>
    </row>
    <row r="1390" spans="1:19">
      <c r="A1390" s="21">
        <v>1</v>
      </c>
      <c r="B1390" s="1099" t="s">
        <v>44</v>
      </c>
      <c r="C1390" s="1099"/>
      <c r="D1390" s="1099"/>
      <c r="E1390" s="22">
        <f>Master!AA47</f>
        <v>26</v>
      </c>
      <c r="F1390" s="19"/>
      <c r="G1390" s="19"/>
      <c r="H1390" s="19"/>
      <c r="I1390" s="16"/>
      <c r="K1390" s="21">
        <v>1</v>
      </c>
      <c r="L1390" s="1099" t="s">
        <v>44</v>
      </c>
      <c r="M1390" s="1099"/>
      <c r="N1390" s="1099"/>
      <c r="O1390" s="22">
        <f>E1390</f>
        <v>26</v>
      </c>
      <c r="P1390" s="19"/>
      <c r="Q1390" s="19"/>
      <c r="R1390" s="19"/>
      <c r="S1390" s="16"/>
    </row>
    <row r="1391" spans="1:19">
      <c r="A1391" s="21"/>
      <c r="B1391" s="120"/>
      <c r="C1391" s="120"/>
      <c r="D1391" s="120"/>
      <c r="E1391" s="120"/>
      <c r="F1391" s="114"/>
      <c r="G1391" s="114"/>
      <c r="H1391" s="114"/>
      <c r="I1391" s="16"/>
      <c r="K1391" s="21"/>
      <c r="L1391" s="120"/>
      <c r="M1391" s="120"/>
      <c r="N1391" s="120"/>
      <c r="O1391" s="120"/>
      <c r="P1391" s="114"/>
      <c r="Q1391" s="114"/>
      <c r="R1391" s="114"/>
      <c r="S1391" s="16"/>
    </row>
    <row r="1392" spans="1:19">
      <c r="A1392" s="21">
        <v>2</v>
      </c>
      <c r="B1392" s="1098" t="s">
        <v>45</v>
      </c>
      <c r="C1392" s="1098"/>
      <c r="D1392" s="1098"/>
      <c r="E1392" s="120"/>
      <c r="F1392" s="114"/>
      <c r="G1392" s="114"/>
      <c r="H1392" s="114"/>
      <c r="I1392" s="16"/>
      <c r="K1392" s="21">
        <v>2</v>
      </c>
      <c r="L1392" s="1098" t="s">
        <v>45</v>
      </c>
      <c r="M1392" s="1098"/>
      <c r="N1392" s="1098"/>
      <c r="O1392" s="120"/>
      <c r="P1392" s="114"/>
      <c r="Q1392" s="114"/>
      <c r="R1392" s="114"/>
      <c r="S1392" s="16"/>
    </row>
    <row r="1393" spans="1:19">
      <c r="A1393" s="21"/>
      <c r="B1393" s="1098"/>
      <c r="C1393" s="1098"/>
      <c r="D1393" s="1098"/>
      <c r="E1393" s="23" t="s">
        <v>28</v>
      </c>
      <c r="F1393" s="19"/>
      <c r="G1393" s="19"/>
      <c r="H1393" s="19"/>
      <c r="I1393" s="16"/>
      <c r="K1393" s="21"/>
      <c r="L1393" s="1098"/>
      <c r="M1393" s="1098"/>
      <c r="N1393" s="1098"/>
      <c r="O1393" s="23" t="s">
        <v>28</v>
      </c>
      <c r="P1393" s="19"/>
      <c r="Q1393" s="19"/>
      <c r="R1393" s="19"/>
      <c r="S1393" s="16"/>
    </row>
    <row r="1394" spans="1:19">
      <c r="A1394" s="21"/>
      <c r="B1394" s="120"/>
      <c r="C1394" s="120"/>
      <c r="D1394" s="120"/>
      <c r="E1394" s="120"/>
      <c r="F1394" s="114"/>
      <c r="G1394" s="114"/>
      <c r="H1394" s="114"/>
      <c r="I1394" s="16"/>
      <c r="K1394" s="21"/>
      <c r="L1394" s="120"/>
      <c r="M1394" s="120"/>
      <c r="N1394" s="120"/>
      <c r="O1394" s="120"/>
      <c r="P1394" s="114"/>
      <c r="Q1394" s="114"/>
      <c r="R1394" s="114"/>
      <c r="S1394" s="16"/>
    </row>
    <row r="1395" spans="1:19">
      <c r="A1395" s="21">
        <v>3</v>
      </c>
      <c r="B1395" s="1099" t="s">
        <v>46</v>
      </c>
      <c r="C1395" s="1099"/>
      <c r="D1395" s="1099"/>
      <c r="E1395" s="23" t="s">
        <v>28</v>
      </c>
      <c r="F1395" s="19"/>
      <c r="G1395" s="19"/>
      <c r="H1395" s="19"/>
      <c r="I1395" s="16"/>
      <c r="K1395" s="21">
        <v>3</v>
      </c>
      <c r="L1395" s="1099" t="s">
        <v>46</v>
      </c>
      <c r="M1395" s="1099"/>
      <c r="N1395" s="1099"/>
      <c r="O1395" s="18" t="str">
        <f>E1395</f>
        <v>N/A</v>
      </c>
      <c r="P1395" s="19"/>
      <c r="Q1395" s="19"/>
      <c r="R1395" s="19"/>
      <c r="S1395" s="16"/>
    </row>
    <row r="1396" spans="1:19">
      <c r="A1396" s="21"/>
      <c r="B1396" s="120"/>
      <c r="C1396" s="120"/>
      <c r="D1396" s="120"/>
      <c r="E1396" s="120"/>
      <c r="F1396" s="114"/>
      <c r="G1396" s="114"/>
      <c r="H1396" s="114"/>
      <c r="I1396" s="16"/>
      <c r="K1396" s="21"/>
      <c r="L1396" s="120"/>
      <c r="M1396" s="120"/>
      <c r="N1396" s="120"/>
      <c r="O1396" s="120"/>
      <c r="P1396" s="114"/>
      <c r="Q1396" s="114"/>
      <c r="R1396" s="114"/>
      <c r="S1396" s="16"/>
    </row>
    <row r="1397" spans="1:19">
      <c r="A1397" s="21">
        <v>4</v>
      </c>
      <c r="B1397" s="1099" t="s">
        <v>47</v>
      </c>
      <c r="C1397" s="1099"/>
      <c r="D1397" s="1099"/>
      <c r="E1397" s="23" t="s">
        <v>48</v>
      </c>
      <c r="F1397" s="19"/>
      <c r="G1397" s="19"/>
      <c r="H1397" s="19"/>
      <c r="I1397" s="16"/>
      <c r="K1397" s="21">
        <v>4</v>
      </c>
      <c r="L1397" s="1099" t="s">
        <v>47</v>
      </c>
      <c r="M1397" s="1099"/>
      <c r="N1397" s="1099"/>
      <c r="O1397" s="23" t="s">
        <v>48</v>
      </c>
      <c r="P1397" s="19"/>
      <c r="Q1397" s="19"/>
      <c r="R1397" s="19"/>
      <c r="S1397" s="16"/>
    </row>
    <row r="1398" spans="1:19">
      <c r="A1398" s="21"/>
      <c r="B1398" s="120"/>
      <c r="C1398" s="120"/>
      <c r="D1398" s="120"/>
      <c r="E1398" s="120"/>
      <c r="F1398" s="114"/>
      <c r="G1398" s="114"/>
      <c r="H1398" s="114"/>
      <c r="I1398" s="16"/>
      <c r="K1398" s="21"/>
      <c r="L1398" s="120"/>
      <c r="M1398" s="120"/>
      <c r="N1398" s="120"/>
      <c r="O1398" s="120"/>
      <c r="P1398" s="114"/>
      <c r="Q1398" s="114"/>
      <c r="R1398" s="114"/>
      <c r="S1398" s="16"/>
    </row>
    <row r="1399" spans="1:19">
      <c r="A1399" s="21">
        <v>5</v>
      </c>
      <c r="B1399" s="1099" t="s">
        <v>49</v>
      </c>
      <c r="C1399" s="1099"/>
      <c r="D1399" s="1099"/>
      <c r="E1399" s="24">
        <f>Master!AK47</f>
        <v>9210.4</v>
      </c>
      <c r="F1399" s="19"/>
      <c r="G1399" s="19"/>
      <c r="H1399" s="19"/>
      <c r="I1399" s="16"/>
      <c r="K1399" s="21">
        <v>5</v>
      </c>
      <c r="L1399" s="1099" t="s">
        <v>49</v>
      </c>
      <c r="M1399" s="1099"/>
      <c r="N1399" s="1099"/>
      <c r="O1399" s="24">
        <f>E1399</f>
        <v>9210.4</v>
      </c>
      <c r="P1399" s="19"/>
      <c r="Q1399" s="19"/>
      <c r="R1399" s="19"/>
      <c r="S1399" s="16"/>
    </row>
    <row r="1400" spans="1:19">
      <c r="A1400" s="21"/>
      <c r="B1400" s="120"/>
      <c r="C1400" s="120"/>
      <c r="D1400" s="238" t="s">
        <v>50</v>
      </c>
      <c r="E1400" s="238" t="s">
        <v>23</v>
      </c>
      <c r="F1400" s="136" t="s">
        <v>25</v>
      </c>
      <c r="G1400" s="238" t="s">
        <v>26</v>
      </c>
      <c r="H1400" s="238" t="s">
        <v>202</v>
      </c>
      <c r="I1400" s="126" t="s">
        <v>51</v>
      </c>
      <c r="K1400" s="21"/>
      <c r="L1400" s="120"/>
      <c r="M1400" s="120"/>
      <c r="N1400" s="238" t="s">
        <v>50</v>
      </c>
      <c r="O1400" s="238" t="s">
        <v>23</v>
      </c>
      <c r="P1400" s="136" t="s">
        <v>25</v>
      </c>
      <c r="Q1400" s="238" t="s">
        <v>26</v>
      </c>
      <c r="R1400" s="238" t="str">
        <f>H1400</f>
        <v>ADV</v>
      </c>
      <c r="S1400" s="126" t="s">
        <v>51</v>
      </c>
    </row>
    <row r="1401" spans="1:19">
      <c r="A1401" s="21">
        <v>6</v>
      </c>
      <c r="B1401" s="468" t="s">
        <v>52</v>
      </c>
      <c r="C1401" s="468"/>
      <c r="D1401" s="335">
        <f>Master!AM47</f>
        <v>1105</v>
      </c>
      <c r="E1401" s="335">
        <f>Master!AL47</f>
        <v>70</v>
      </c>
      <c r="F1401" s="180">
        <f>Master!AN47</f>
        <v>0</v>
      </c>
      <c r="G1401" s="180">
        <f>Master!AO47</f>
        <v>0</v>
      </c>
      <c r="H1401" s="180">
        <f>Master!AP47</f>
        <v>0</v>
      </c>
      <c r="I1401" s="127">
        <f>D1401+E1401+F1401+G1401+H1401</f>
        <v>1175</v>
      </c>
      <c r="K1401" s="21">
        <v>6</v>
      </c>
      <c r="L1401" s="468" t="s">
        <v>52</v>
      </c>
      <c r="M1401" s="468"/>
      <c r="N1401" s="335">
        <f>D1401</f>
        <v>1105</v>
      </c>
      <c r="O1401" s="335">
        <f>E1401</f>
        <v>70</v>
      </c>
      <c r="P1401" s="180">
        <f>F1401</f>
        <v>0</v>
      </c>
      <c r="Q1401" s="180">
        <f>G1401</f>
        <v>0</v>
      </c>
      <c r="R1401" s="180">
        <f>H1401</f>
        <v>0</v>
      </c>
      <c r="S1401" s="127">
        <f>N1401+O1401+R1401</f>
        <v>1175</v>
      </c>
    </row>
    <row r="1402" spans="1:19">
      <c r="A1402" s="21"/>
      <c r="B1402" s="120"/>
      <c r="C1402" s="120"/>
      <c r="D1402" s="120"/>
      <c r="E1402" s="120"/>
      <c r="F1402" s="114"/>
      <c r="G1402" s="114"/>
      <c r="H1402" s="114"/>
      <c r="I1402" s="16"/>
      <c r="K1402" s="21"/>
      <c r="L1402" s="120"/>
      <c r="M1402" s="120"/>
      <c r="N1402" s="120"/>
      <c r="O1402" s="120"/>
      <c r="P1402" s="114"/>
      <c r="Q1402" s="114"/>
      <c r="R1402" s="114"/>
      <c r="S1402" s="16"/>
    </row>
    <row r="1403" spans="1:19">
      <c r="A1403" s="21">
        <v>7</v>
      </c>
      <c r="B1403" s="1099" t="s">
        <v>53</v>
      </c>
      <c r="C1403" s="1099"/>
      <c r="D1403" s="1099"/>
      <c r="E1403" s="24">
        <f>E1399-I1401-1</f>
        <v>8034.4</v>
      </c>
      <c r="F1403" s="19"/>
      <c r="G1403" s="19"/>
      <c r="H1403" s="19"/>
      <c r="I1403" s="16"/>
      <c r="K1403" s="21">
        <v>7</v>
      </c>
      <c r="L1403" s="1099" t="s">
        <v>53</v>
      </c>
      <c r="M1403" s="1099"/>
      <c r="N1403" s="1099"/>
      <c r="O1403" s="24">
        <f>E1403</f>
        <v>8034.4</v>
      </c>
      <c r="P1403" s="19"/>
      <c r="Q1403" s="19"/>
      <c r="R1403" s="19"/>
      <c r="S1403" s="16"/>
    </row>
    <row r="1404" spans="1:19">
      <c r="A1404" s="15"/>
      <c r="B1404" s="114"/>
      <c r="C1404" s="114"/>
      <c r="D1404" s="114"/>
      <c r="E1404" s="114"/>
      <c r="F1404" s="114"/>
      <c r="G1404" s="114"/>
      <c r="H1404" s="114"/>
      <c r="I1404" s="16"/>
      <c r="K1404" s="15"/>
      <c r="L1404" s="114"/>
      <c r="M1404" s="114"/>
      <c r="N1404" s="114"/>
      <c r="O1404" s="114"/>
      <c r="P1404" s="114"/>
      <c r="Q1404" s="114"/>
      <c r="R1404" s="114"/>
      <c r="S1404" s="16"/>
    </row>
    <row r="1405" spans="1:19">
      <c r="A1405" s="15"/>
      <c r="B1405" s="114"/>
      <c r="C1405" s="114"/>
      <c r="D1405" s="114"/>
      <c r="E1405" s="114"/>
      <c r="F1405" s="114"/>
      <c r="G1405" s="114"/>
      <c r="H1405" s="114"/>
      <c r="I1405" s="16"/>
      <c r="K1405" s="15"/>
      <c r="L1405" s="114"/>
      <c r="M1405" s="114"/>
      <c r="N1405" s="114"/>
      <c r="O1405" s="114"/>
      <c r="P1405" s="114"/>
      <c r="Q1405" s="114"/>
      <c r="R1405" s="114"/>
      <c r="S1405" s="16"/>
    </row>
    <row r="1406" spans="1:19" ht="15" thickBot="1">
      <c r="A1406" s="15"/>
      <c r="B1406" s="114"/>
      <c r="C1406" s="114"/>
      <c r="D1406" s="114"/>
      <c r="E1406" s="114"/>
      <c r="F1406" s="25"/>
      <c r="G1406" s="25"/>
      <c r="H1406" s="25"/>
      <c r="I1406" s="26"/>
      <c r="K1406" s="15"/>
      <c r="L1406" s="114"/>
      <c r="M1406" s="114"/>
      <c r="N1406" s="114"/>
      <c r="O1406" s="114"/>
      <c r="P1406" s="25"/>
      <c r="Q1406" s="25"/>
      <c r="R1406" s="25"/>
      <c r="S1406" s="26"/>
    </row>
    <row r="1407" spans="1:19" ht="15" thickBot="1">
      <c r="A1407" s="27"/>
      <c r="B1407" s="25"/>
      <c r="C1407" s="25"/>
      <c r="D1407" s="25"/>
      <c r="E1407" s="999" t="s">
        <v>54</v>
      </c>
      <c r="F1407" s="999"/>
      <c r="G1407" s="999"/>
      <c r="H1407" s="999"/>
      <c r="I1407" s="1100"/>
      <c r="K1407" s="27"/>
      <c r="L1407" s="25"/>
      <c r="M1407" s="25"/>
      <c r="N1407" s="25"/>
      <c r="O1407" s="28" t="s">
        <v>54</v>
      </c>
      <c r="P1407" s="25"/>
      <c r="Q1407" s="28"/>
      <c r="R1407" s="28"/>
      <c r="S1407" s="29"/>
    </row>
    <row r="1419" spans="1:19" ht="15" thickBot="1"/>
    <row r="1420" spans="1:19" ht="24.6">
      <c r="A1420" s="1091" t="s">
        <v>39</v>
      </c>
      <c r="B1420" s="1092"/>
      <c r="C1420" s="1092"/>
      <c r="D1420" s="1092"/>
      <c r="E1420" s="1092"/>
      <c r="F1420" s="1092"/>
      <c r="G1420" s="1092"/>
      <c r="H1420" s="1092"/>
      <c r="I1420" s="1093"/>
      <c r="K1420" s="1091" t="s">
        <v>39</v>
      </c>
      <c r="L1420" s="1092"/>
      <c r="M1420" s="1092"/>
      <c r="N1420" s="1092"/>
      <c r="O1420" s="1092"/>
      <c r="P1420" s="1092"/>
      <c r="Q1420" s="1092"/>
      <c r="R1420" s="1092"/>
      <c r="S1420" s="1093"/>
    </row>
    <row r="1421" spans="1:19">
      <c r="A1421" s="1094" t="s">
        <v>1075</v>
      </c>
      <c r="B1421" s="1095"/>
      <c r="C1421" s="1095"/>
      <c r="D1421" s="1095"/>
      <c r="E1421" s="1095"/>
      <c r="F1421" s="1095"/>
      <c r="G1421" s="1095"/>
      <c r="H1421" s="1095"/>
      <c r="I1421" s="1096"/>
      <c r="K1421" s="1094" t="str">
        <f>A1421</f>
        <v>[Vide rule 78 (1) (b) of the Contract Labour (Regulation and Abolition) Central and A.P.{T.S.}Rules, 1971]</v>
      </c>
      <c r="L1421" s="1095"/>
      <c r="M1421" s="1095"/>
      <c r="N1421" s="1095"/>
      <c r="O1421" s="1095"/>
      <c r="P1421" s="1095"/>
      <c r="Q1421" s="1095"/>
      <c r="R1421" s="1095"/>
      <c r="S1421" s="1096"/>
    </row>
    <row r="1422" spans="1:19">
      <c r="A1422" s="15"/>
      <c r="B1422" s="114"/>
      <c r="C1422" s="114"/>
      <c r="D1422" s="114"/>
      <c r="E1422" s="114"/>
      <c r="F1422" s="114"/>
      <c r="G1422" s="114"/>
      <c r="H1422" s="114"/>
      <c r="I1422" s="16"/>
      <c r="K1422" s="15"/>
      <c r="L1422" s="114"/>
      <c r="M1422" s="114"/>
      <c r="N1422" s="114"/>
      <c r="O1422" s="114"/>
      <c r="P1422" s="114"/>
      <c r="Q1422" s="114"/>
      <c r="R1422" s="114"/>
      <c r="S1422" s="16"/>
    </row>
    <row r="1423" spans="1:19">
      <c r="A1423" s="17" t="s">
        <v>40</v>
      </c>
      <c r="B1423" s="120"/>
      <c r="C1423" s="120"/>
      <c r="D1423" s="121" t="str">
        <f>Master!F5</f>
        <v>GROTECH LANDSCAPE DEVELOPERS PVT. LTD.</v>
      </c>
      <c r="E1423" s="114"/>
      <c r="F1423" s="114"/>
      <c r="G1423" s="114"/>
      <c r="H1423" s="114"/>
      <c r="I1423" s="16"/>
      <c r="K1423" s="17" t="s">
        <v>40</v>
      </c>
      <c r="L1423" s="120"/>
      <c r="M1423" s="120"/>
      <c r="N1423" s="121" t="str">
        <f>D1423</f>
        <v>GROTECH LANDSCAPE DEVELOPERS PVT. LTD.</v>
      </c>
      <c r="O1423" s="114"/>
      <c r="P1423" s="114"/>
      <c r="Q1423" s="114"/>
      <c r="R1423" s="114"/>
      <c r="S1423" s="16"/>
    </row>
    <row r="1424" spans="1:19">
      <c r="A1424" s="17"/>
      <c r="B1424" s="120" t="str">
        <f>Master!F6</f>
        <v>290/E, Khanapur Village, Gandipet Mandal, Ranga Reddy, Hyderabad-500075 T.S.</v>
      </c>
      <c r="C1424" s="120"/>
      <c r="D1424" s="114"/>
      <c r="E1424" s="114"/>
      <c r="F1424" s="114"/>
      <c r="G1424" s="114"/>
      <c r="H1424" s="114"/>
      <c r="I1424" s="16"/>
      <c r="K1424" s="17"/>
      <c r="L1424" s="120" t="str">
        <f>B1424</f>
        <v>290/E, Khanapur Village, Gandipet Mandal, Ranga Reddy, Hyderabad-500075 T.S.</v>
      </c>
      <c r="M1424" s="120"/>
      <c r="N1424" s="114"/>
      <c r="O1424" s="114"/>
      <c r="P1424" s="114"/>
      <c r="Q1424" s="114"/>
      <c r="R1424" s="114"/>
      <c r="S1424" s="16"/>
    </row>
    <row r="1425" spans="1:19">
      <c r="A1425" s="17"/>
      <c r="B1425" s="120"/>
      <c r="C1425" s="120"/>
      <c r="D1425" s="120"/>
      <c r="E1425" s="120"/>
      <c r="F1425" s="114"/>
      <c r="G1425" s="114"/>
      <c r="H1425" s="114"/>
      <c r="I1425" s="16"/>
      <c r="K1425" s="17"/>
      <c r="L1425" s="120"/>
      <c r="M1425" s="120"/>
      <c r="N1425" s="120"/>
      <c r="O1425" s="120"/>
      <c r="P1425" s="114"/>
      <c r="Q1425" s="114"/>
      <c r="R1425" s="114"/>
      <c r="S1425" s="16"/>
    </row>
    <row r="1426" spans="1:19">
      <c r="A1426" s="1097" t="s">
        <v>41</v>
      </c>
      <c r="B1426" s="1098"/>
      <c r="C1426" s="1098"/>
      <c r="D1426" s="1098"/>
      <c r="E1426" s="120"/>
      <c r="F1426" s="114"/>
      <c r="G1426" s="114"/>
      <c r="H1426" s="114"/>
      <c r="I1426" s="16"/>
      <c r="K1426" s="1097" t="s">
        <v>41</v>
      </c>
      <c r="L1426" s="1098"/>
      <c r="M1426" s="1098"/>
      <c r="N1426" s="1098"/>
      <c r="O1426" s="120"/>
      <c r="P1426" s="114"/>
      <c r="Q1426" s="114"/>
      <c r="R1426" s="114"/>
      <c r="S1426" s="16"/>
    </row>
    <row r="1427" spans="1:19">
      <c r="A1427" s="1097"/>
      <c r="B1427" s="1098"/>
      <c r="C1427" s="1098"/>
      <c r="D1427" s="1098"/>
      <c r="E1427" s="128" t="str">
        <f>Master!D48</f>
        <v>Lingola amrutha</v>
      </c>
      <c r="F1427" s="19"/>
      <c r="G1427" s="19"/>
      <c r="H1427" s="19" t="str">
        <f>Master!G48</f>
        <v>Ningolla swamy</v>
      </c>
      <c r="I1427" s="16"/>
      <c r="K1427" s="1097"/>
      <c r="L1427" s="1098"/>
      <c r="M1427" s="1098"/>
      <c r="N1427" s="1098"/>
      <c r="O1427" s="18" t="str">
        <f>E1427</f>
        <v>Lingola amrutha</v>
      </c>
      <c r="P1427" s="19"/>
      <c r="Q1427" s="19"/>
      <c r="R1427" s="19" t="str">
        <f>H1427</f>
        <v>Ningolla swamy</v>
      </c>
      <c r="S1427" s="16"/>
    </row>
    <row r="1428" spans="1:19">
      <c r="A1428" s="17"/>
      <c r="B1428" s="120"/>
      <c r="C1428" s="120"/>
      <c r="D1428" s="120"/>
      <c r="E1428" s="120"/>
      <c r="F1428" s="114"/>
      <c r="G1428" s="114"/>
      <c r="H1428" s="114"/>
      <c r="I1428" s="16"/>
      <c r="K1428" s="17"/>
      <c r="L1428" s="120"/>
      <c r="M1428" s="120"/>
      <c r="N1428" s="120"/>
      <c r="O1428" s="120"/>
      <c r="P1428" s="114"/>
      <c r="Q1428" s="114"/>
      <c r="R1428" s="114"/>
      <c r="S1428" s="16"/>
    </row>
    <row r="1429" spans="1:19">
      <c r="A1429" s="1101" t="s">
        <v>42</v>
      </c>
      <c r="B1429" s="1099"/>
      <c r="C1429" s="1099"/>
      <c r="D1429" s="1099"/>
      <c r="E1429" s="24" t="str">
        <f>Master!F8</f>
        <v>GARDENING SERVICES&amp;ISB HYDERABAD</v>
      </c>
      <c r="F1429" s="19"/>
      <c r="G1429" s="19"/>
      <c r="H1429" s="19"/>
      <c r="I1429" s="16"/>
      <c r="K1429" s="1101" t="s">
        <v>42</v>
      </c>
      <c r="L1429" s="1099"/>
      <c r="M1429" s="1099"/>
      <c r="N1429" s="1099"/>
      <c r="O1429" s="24" t="str">
        <f>E1429</f>
        <v>GARDENING SERVICES&amp;ISB HYDERABAD</v>
      </c>
      <c r="P1429" s="19"/>
      <c r="Q1429" s="19"/>
      <c r="R1429" s="19"/>
      <c r="S1429" s="16"/>
    </row>
    <row r="1430" spans="1:19">
      <c r="A1430" s="17"/>
      <c r="B1430" s="120"/>
      <c r="C1430" s="120"/>
      <c r="D1430" s="120"/>
      <c r="E1430" s="120"/>
      <c r="F1430" s="114"/>
      <c r="G1430" s="114"/>
      <c r="H1430" s="114"/>
      <c r="I1430" s="16"/>
      <c r="K1430" s="17"/>
      <c r="L1430" s="120"/>
      <c r="M1430" s="120"/>
      <c r="N1430" s="120"/>
      <c r="O1430" s="120"/>
      <c r="P1430" s="114"/>
      <c r="Q1430" s="114"/>
      <c r="R1430" s="114"/>
      <c r="S1430" s="16"/>
    </row>
    <row r="1431" spans="1:19">
      <c r="A1431" s="1101" t="s">
        <v>43</v>
      </c>
      <c r="B1431" s="1099"/>
      <c r="C1431" s="1099"/>
      <c r="D1431" s="1099"/>
      <c r="E1431" s="20">
        <f>Master!F10</f>
        <v>44652</v>
      </c>
      <c r="F1431" s="19"/>
      <c r="G1431" s="19"/>
      <c r="H1431" s="19"/>
      <c r="I1431" s="16"/>
      <c r="K1431" s="1101" t="s">
        <v>43</v>
      </c>
      <c r="L1431" s="1099"/>
      <c r="M1431" s="1099"/>
      <c r="N1431" s="1099"/>
      <c r="O1431" s="20">
        <f>E1431</f>
        <v>44652</v>
      </c>
      <c r="P1431" s="19"/>
      <c r="Q1431" s="19"/>
      <c r="R1431" s="19"/>
      <c r="S1431" s="16"/>
    </row>
    <row r="1432" spans="1:19">
      <c r="A1432" s="17"/>
      <c r="B1432" s="120"/>
      <c r="C1432" s="120"/>
      <c r="D1432" s="120"/>
      <c r="E1432" s="120"/>
      <c r="F1432" s="114"/>
      <c r="G1432" s="114"/>
      <c r="H1432" s="114"/>
      <c r="I1432" s="16"/>
      <c r="K1432" s="17"/>
      <c r="L1432" s="120"/>
      <c r="M1432" s="120"/>
      <c r="N1432" s="120"/>
      <c r="O1432" s="120"/>
      <c r="P1432" s="114"/>
      <c r="Q1432" s="114"/>
      <c r="R1432" s="114"/>
      <c r="S1432" s="16"/>
    </row>
    <row r="1433" spans="1:19">
      <c r="A1433" s="21">
        <v>1</v>
      </c>
      <c r="B1433" s="1099" t="s">
        <v>44</v>
      </c>
      <c r="C1433" s="1099"/>
      <c r="D1433" s="1099"/>
      <c r="E1433" s="22">
        <f>Master!AA48</f>
        <v>26</v>
      </c>
      <c r="F1433" s="19"/>
      <c r="G1433" s="19"/>
      <c r="H1433" s="19"/>
      <c r="I1433" s="16"/>
      <c r="K1433" s="21">
        <v>1</v>
      </c>
      <c r="L1433" s="1099" t="s">
        <v>44</v>
      </c>
      <c r="M1433" s="1099"/>
      <c r="N1433" s="1099"/>
      <c r="O1433" s="22">
        <f>E1433</f>
        <v>26</v>
      </c>
      <c r="P1433" s="19"/>
      <c r="Q1433" s="19"/>
      <c r="R1433" s="19"/>
      <c r="S1433" s="16"/>
    </row>
    <row r="1434" spans="1:19">
      <c r="A1434" s="21"/>
      <c r="B1434" s="120"/>
      <c r="C1434" s="120"/>
      <c r="D1434" s="120"/>
      <c r="E1434" s="120"/>
      <c r="F1434" s="114"/>
      <c r="G1434" s="114"/>
      <c r="H1434" s="114"/>
      <c r="I1434" s="16"/>
      <c r="K1434" s="21"/>
      <c r="L1434" s="120"/>
      <c r="M1434" s="120"/>
      <c r="N1434" s="120"/>
      <c r="O1434" s="120"/>
      <c r="P1434" s="114"/>
      <c r="Q1434" s="114"/>
      <c r="R1434" s="114"/>
      <c r="S1434" s="16"/>
    </row>
    <row r="1435" spans="1:19">
      <c r="A1435" s="21">
        <v>2</v>
      </c>
      <c r="B1435" s="1098" t="s">
        <v>45</v>
      </c>
      <c r="C1435" s="1098"/>
      <c r="D1435" s="1098"/>
      <c r="E1435" s="120"/>
      <c r="F1435" s="114"/>
      <c r="G1435" s="114"/>
      <c r="H1435" s="114"/>
      <c r="I1435" s="16"/>
      <c r="K1435" s="21">
        <v>2</v>
      </c>
      <c r="L1435" s="1098" t="s">
        <v>45</v>
      </c>
      <c r="M1435" s="1098"/>
      <c r="N1435" s="1098"/>
      <c r="O1435" s="120"/>
      <c r="P1435" s="114"/>
      <c r="Q1435" s="114"/>
      <c r="R1435" s="114"/>
      <c r="S1435" s="16"/>
    </row>
    <row r="1436" spans="1:19">
      <c r="A1436" s="21"/>
      <c r="B1436" s="1098"/>
      <c r="C1436" s="1098"/>
      <c r="D1436" s="1098"/>
      <c r="E1436" s="23" t="s">
        <v>28</v>
      </c>
      <c r="F1436" s="19"/>
      <c r="G1436" s="19"/>
      <c r="H1436" s="19"/>
      <c r="I1436" s="16"/>
      <c r="K1436" s="21"/>
      <c r="L1436" s="1098"/>
      <c r="M1436" s="1098"/>
      <c r="N1436" s="1098"/>
      <c r="O1436" s="23" t="s">
        <v>28</v>
      </c>
      <c r="P1436" s="19"/>
      <c r="Q1436" s="19"/>
      <c r="R1436" s="19"/>
      <c r="S1436" s="16"/>
    </row>
    <row r="1437" spans="1:19">
      <c r="A1437" s="21"/>
      <c r="B1437" s="120"/>
      <c r="C1437" s="120"/>
      <c r="D1437" s="120"/>
      <c r="E1437" s="120"/>
      <c r="F1437" s="114"/>
      <c r="G1437" s="114"/>
      <c r="H1437" s="114"/>
      <c r="I1437" s="16"/>
      <c r="K1437" s="21"/>
      <c r="L1437" s="120"/>
      <c r="M1437" s="120"/>
      <c r="N1437" s="120"/>
      <c r="O1437" s="120"/>
      <c r="P1437" s="114"/>
      <c r="Q1437" s="114"/>
      <c r="R1437" s="114"/>
      <c r="S1437" s="16"/>
    </row>
    <row r="1438" spans="1:19">
      <c r="A1438" s="21">
        <v>3</v>
      </c>
      <c r="B1438" s="1099" t="s">
        <v>46</v>
      </c>
      <c r="C1438" s="1099"/>
      <c r="D1438" s="1099"/>
      <c r="E1438" s="23" t="s">
        <v>28</v>
      </c>
      <c r="F1438" s="19"/>
      <c r="G1438" s="19"/>
      <c r="H1438" s="19"/>
      <c r="I1438" s="16"/>
      <c r="K1438" s="21">
        <v>3</v>
      </c>
      <c r="L1438" s="1099" t="s">
        <v>46</v>
      </c>
      <c r="M1438" s="1099"/>
      <c r="N1438" s="1099"/>
      <c r="O1438" s="18" t="str">
        <f>E1438</f>
        <v>N/A</v>
      </c>
      <c r="P1438" s="19"/>
      <c r="Q1438" s="19"/>
      <c r="R1438" s="19"/>
      <c r="S1438" s="16"/>
    </row>
    <row r="1439" spans="1:19">
      <c r="A1439" s="21"/>
      <c r="B1439" s="120"/>
      <c r="C1439" s="120"/>
      <c r="D1439" s="120"/>
      <c r="E1439" s="120"/>
      <c r="F1439" s="114"/>
      <c r="G1439" s="114"/>
      <c r="H1439" s="114"/>
      <c r="I1439" s="16"/>
      <c r="K1439" s="21"/>
      <c r="L1439" s="120"/>
      <c r="M1439" s="120"/>
      <c r="N1439" s="120"/>
      <c r="O1439" s="120"/>
      <c r="P1439" s="114"/>
      <c r="Q1439" s="114"/>
      <c r="R1439" s="114"/>
      <c r="S1439" s="16"/>
    </row>
    <row r="1440" spans="1:19">
      <c r="A1440" s="21">
        <v>4</v>
      </c>
      <c r="B1440" s="1099" t="s">
        <v>47</v>
      </c>
      <c r="C1440" s="1099"/>
      <c r="D1440" s="1099"/>
      <c r="E1440" s="23" t="s">
        <v>48</v>
      </c>
      <c r="F1440" s="19"/>
      <c r="G1440" s="19"/>
      <c r="H1440" s="19"/>
      <c r="I1440" s="16"/>
      <c r="K1440" s="21">
        <v>4</v>
      </c>
      <c r="L1440" s="1099" t="s">
        <v>47</v>
      </c>
      <c r="M1440" s="1099"/>
      <c r="N1440" s="1099"/>
      <c r="O1440" s="23" t="s">
        <v>48</v>
      </c>
      <c r="P1440" s="19"/>
      <c r="Q1440" s="19"/>
      <c r="R1440" s="19"/>
      <c r="S1440" s="16"/>
    </row>
    <row r="1441" spans="1:19">
      <c r="A1441" s="21"/>
      <c r="B1441" s="120"/>
      <c r="C1441" s="120"/>
      <c r="D1441" s="120"/>
      <c r="E1441" s="120"/>
      <c r="F1441" s="114"/>
      <c r="G1441" s="114"/>
      <c r="H1441" s="114"/>
      <c r="I1441" s="16"/>
      <c r="K1441" s="21"/>
      <c r="L1441" s="120"/>
      <c r="M1441" s="120"/>
      <c r="N1441" s="120"/>
      <c r="O1441" s="120"/>
      <c r="P1441" s="114"/>
      <c r="Q1441" s="114"/>
      <c r="R1441" s="114"/>
      <c r="S1441" s="16"/>
    </row>
    <row r="1442" spans="1:19">
      <c r="A1442" s="21">
        <v>5</v>
      </c>
      <c r="B1442" s="1099" t="s">
        <v>49</v>
      </c>
      <c r="C1442" s="1099"/>
      <c r="D1442" s="1099"/>
      <c r="E1442" s="24">
        <f>Master!AK48</f>
        <v>9210.4</v>
      </c>
      <c r="F1442" s="19"/>
      <c r="G1442" s="19"/>
      <c r="H1442" s="19"/>
      <c r="I1442" s="16"/>
      <c r="K1442" s="21">
        <v>5</v>
      </c>
      <c r="L1442" s="1099" t="s">
        <v>49</v>
      </c>
      <c r="M1442" s="1099"/>
      <c r="N1442" s="1099"/>
      <c r="O1442" s="24">
        <f>E1442</f>
        <v>9210.4</v>
      </c>
      <c r="P1442" s="19"/>
      <c r="Q1442" s="19"/>
      <c r="R1442" s="19"/>
      <c r="S1442" s="16"/>
    </row>
    <row r="1443" spans="1:19">
      <c r="A1443" s="21"/>
      <c r="B1443" s="120"/>
      <c r="C1443" s="120"/>
      <c r="D1443" s="238" t="s">
        <v>50</v>
      </c>
      <c r="E1443" s="238" t="s">
        <v>23</v>
      </c>
      <c r="F1443" s="136" t="s">
        <v>25</v>
      </c>
      <c r="G1443" s="238" t="s">
        <v>26</v>
      </c>
      <c r="H1443" s="238" t="s">
        <v>202</v>
      </c>
      <c r="I1443" s="126" t="s">
        <v>51</v>
      </c>
      <c r="K1443" s="21"/>
      <c r="L1443" s="120"/>
      <c r="M1443" s="120"/>
      <c r="N1443" s="238" t="s">
        <v>50</v>
      </c>
      <c r="O1443" s="238" t="s">
        <v>23</v>
      </c>
      <c r="P1443" s="136" t="s">
        <v>25</v>
      </c>
      <c r="Q1443" s="238" t="s">
        <v>26</v>
      </c>
      <c r="R1443" s="238" t="str">
        <f>H1443</f>
        <v>ADV</v>
      </c>
      <c r="S1443" s="126" t="s">
        <v>51</v>
      </c>
    </row>
    <row r="1444" spans="1:19">
      <c r="A1444" s="21">
        <v>6</v>
      </c>
      <c r="B1444" s="468" t="s">
        <v>52</v>
      </c>
      <c r="C1444" s="468"/>
      <c r="D1444" s="335">
        <f>Master!AM48</f>
        <v>1105</v>
      </c>
      <c r="E1444" s="335">
        <f>Master!AL48</f>
        <v>70</v>
      </c>
      <c r="F1444" s="180">
        <f>Master!AN48</f>
        <v>0</v>
      </c>
      <c r="G1444" s="180">
        <f>Master!AO48</f>
        <v>0</v>
      </c>
      <c r="H1444" s="180">
        <f>Master!AP48</f>
        <v>0</v>
      </c>
      <c r="I1444" s="127">
        <f>D1444+E1444+F1444+G1444+H1444</f>
        <v>1175</v>
      </c>
      <c r="K1444" s="21">
        <v>6</v>
      </c>
      <c r="L1444" s="468" t="s">
        <v>52</v>
      </c>
      <c r="M1444" s="468"/>
      <c r="N1444" s="335">
        <f>D1444</f>
        <v>1105</v>
      </c>
      <c r="O1444" s="335">
        <f>E1444</f>
        <v>70</v>
      </c>
      <c r="P1444" s="180">
        <f>F1444</f>
        <v>0</v>
      </c>
      <c r="Q1444" s="180">
        <f>G1444</f>
        <v>0</v>
      </c>
      <c r="R1444" s="180">
        <f>H1444</f>
        <v>0</v>
      </c>
      <c r="S1444" s="127">
        <f>N1444+O1444+R1444</f>
        <v>1175</v>
      </c>
    </row>
    <row r="1445" spans="1:19">
      <c r="A1445" s="21"/>
      <c r="B1445" s="120"/>
      <c r="C1445" s="120"/>
      <c r="D1445" s="120"/>
      <c r="E1445" s="120"/>
      <c r="F1445" s="114"/>
      <c r="G1445" s="114"/>
      <c r="H1445" s="114"/>
      <c r="I1445" s="16"/>
      <c r="K1445" s="21"/>
      <c r="L1445" s="120"/>
      <c r="M1445" s="120"/>
      <c r="N1445" s="120"/>
      <c r="O1445" s="120"/>
      <c r="P1445" s="114"/>
      <c r="Q1445" s="114"/>
      <c r="R1445" s="114"/>
      <c r="S1445" s="16"/>
    </row>
    <row r="1446" spans="1:19">
      <c r="A1446" s="21">
        <v>7</v>
      </c>
      <c r="B1446" s="1099" t="s">
        <v>53</v>
      </c>
      <c r="C1446" s="1099"/>
      <c r="D1446" s="1099"/>
      <c r="E1446" s="24">
        <f>E1442-I1444+1</f>
        <v>8036.4</v>
      </c>
      <c r="F1446" s="19"/>
      <c r="G1446" s="19"/>
      <c r="H1446" s="19"/>
      <c r="I1446" s="16"/>
      <c r="K1446" s="21">
        <v>7</v>
      </c>
      <c r="L1446" s="1099" t="s">
        <v>53</v>
      </c>
      <c r="M1446" s="1099"/>
      <c r="N1446" s="1099"/>
      <c r="O1446" s="24">
        <f>E1446</f>
        <v>8036.4</v>
      </c>
      <c r="P1446" s="19"/>
      <c r="Q1446" s="19"/>
      <c r="R1446" s="19"/>
      <c r="S1446" s="16"/>
    </row>
    <row r="1447" spans="1:19">
      <c r="A1447" s="15"/>
      <c r="B1447" s="114"/>
      <c r="C1447" s="114"/>
      <c r="D1447" s="114"/>
      <c r="E1447" s="114"/>
      <c r="F1447" s="114"/>
      <c r="G1447" s="114"/>
      <c r="H1447" s="114"/>
      <c r="I1447" s="16"/>
      <c r="K1447" s="15"/>
      <c r="L1447" s="114"/>
      <c r="M1447" s="114"/>
      <c r="N1447" s="114"/>
      <c r="O1447" s="114"/>
      <c r="P1447" s="114"/>
      <c r="Q1447" s="114"/>
      <c r="R1447" s="114"/>
      <c r="S1447" s="16"/>
    </row>
    <row r="1448" spans="1:19">
      <c r="A1448" s="15"/>
      <c r="B1448" s="114"/>
      <c r="C1448" s="114"/>
      <c r="D1448" s="114"/>
      <c r="E1448" s="114"/>
      <c r="F1448" s="114"/>
      <c r="G1448" s="114"/>
      <c r="H1448" s="114"/>
      <c r="I1448" s="16"/>
      <c r="K1448" s="15"/>
      <c r="L1448" s="114"/>
      <c r="M1448" s="114"/>
      <c r="N1448" s="114"/>
      <c r="O1448" s="114"/>
      <c r="P1448" s="114"/>
      <c r="Q1448" s="114"/>
      <c r="R1448" s="114"/>
      <c r="S1448" s="16"/>
    </row>
    <row r="1449" spans="1:19" ht="15" thickBot="1">
      <c r="A1449" s="15"/>
      <c r="B1449" s="114"/>
      <c r="C1449" s="114"/>
      <c r="D1449" s="114"/>
      <c r="E1449" s="114"/>
      <c r="F1449" s="25"/>
      <c r="G1449" s="25"/>
      <c r="H1449" s="25"/>
      <c r="I1449" s="26"/>
      <c r="K1449" s="15"/>
      <c r="L1449" s="114"/>
      <c r="M1449" s="114"/>
      <c r="N1449" s="114"/>
      <c r="O1449" s="114"/>
      <c r="P1449" s="25"/>
      <c r="Q1449" s="25"/>
      <c r="R1449" s="25"/>
      <c r="S1449" s="26"/>
    </row>
    <row r="1450" spans="1:19" ht="15" thickBot="1">
      <c r="A1450" s="27"/>
      <c r="B1450" s="25"/>
      <c r="C1450" s="25"/>
      <c r="D1450" s="25"/>
      <c r="E1450" s="999" t="s">
        <v>54</v>
      </c>
      <c r="F1450" s="999"/>
      <c r="G1450" s="999"/>
      <c r="H1450" s="999"/>
      <c r="I1450" s="1100"/>
      <c r="K1450" s="27"/>
      <c r="L1450" s="25"/>
      <c r="M1450" s="25"/>
      <c r="N1450" s="25"/>
      <c r="O1450" s="28" t="s">
        <v>54</v>
      </c>
      <c r="P1450" s="25"/>
      <c r="Q1450" s="28"/>
      <c r="R1450" s="28"/>
      <c r="S1450" s="29"/>
    </row>
    <row r="1462" spans="1:19" ht="15" thickBot="1"/>
    <row r="1463" spans="1:19" ht="24.6">
      <c r="A1463" s="1091" t="s">
        <v>39</v>
      </c>
      <c r="B1463" s="1092"/>
      <c r="C1463" s="1092"/>
      <c r="D1463" s="1092"/>
      <c r="E1463" s="1092"/>
      <c r="F1463" s="1092"/>
      <c r="G1463" s="1092"/>
      <c r="H1463" s="1092"/>
      <c r="I1463" s="1093"/>
      <c r="K1463" s="1091" t="s">
        <v>39</v>
      </c>
      <c r="L1463" s="1092"/>
      <c r="M1463" s="1092"/>
      <c r="N1463" s="1092"/>
      <c r="O1463" s="1092"/>
      <c r="P1463" s="1092"/>
      <c r="Q1463" s="1092"/>
      <c r="R1463" s="1092"/>
      <c r="S1463" s="1093"/>
    </row>
    <row r="1464" spans="1:19">
      <c r="A1464" s="1094" t="s">
        <v>1075</v>
      </c>
      <c r="B1464" s="1095"/>
      <c r="C1464" s="1095"/>
      <c r="D1464" s="1095"/>
      <c r="E1464" s="1095"/>
      <c r="F1464" s="1095"/>
      <c r="G1464" s="1095"/>
      <c r="H1464" s="1095"/>
      <c r="I1464" s="1096"/>
      <c r="K1464" s="1094" t="str">
        <f>A1464</f>
        <v>[Vide rule 78 (1) (b) of the Contract Labour (Regulation and Abolition) Central and A.P.{T.S.}Rules, 1971]</v>
      </c>
      <c r="L1464" s="1095"/>
      <c r="M1464" s="1095"/>
      <c r="N1464" s="1095"/>
      <c r="O1464" s="1095"/>
      <c r="P1464" s="1095"/>
      <c r="Q1464" s="1095"/>
      <c r="R1464" s="1095"/>
      <c r="S1464" s="1096"/>
    </row>
    <row r="1465" spans="1:19">
      <c r="A1465" s="15"/>
      <c r="B1465" s="114"/>
      <c r="C1465" s="114"/>
      <c r="D1465" s="114"/>
      <c r="E1465" s="114"/>
      <c r="F1465" s="114"/>
      <c r="G1465" s="114"/>
      <c r="H1465" s="114"/>
      <c r="I1465" s="16"/>
      <c r="K1465" s="15"/>
      <c r="L1465" s="114"/>
      <c r="M1465" s="114"/>
      <c r="N1465" s="114"/>
      <c r="O1465" s="114"/>
      <c r="P1465" s="114"/>
      <c r="Q1465" s="114"/>
      <c r="R1465" s="114"/>
      <c r="S1465" s="16"/>
    </row>
    <row r="1466" spans="1:19">
      <c r="A1466" s="17" t="s">
        <v>40</v>
      </c>
      <c r="B1466" s="120"/>
      <c r="C1466" s="120"/>
      <c r="D1466" s="121" t="str">
        <f>Master!F5</f>
        <v>GROTECH LANDSCAPE DEVELOPERS PVT. LTD.</v>
      </c>
      <c r="E1466" s="114"/>
      <c r="F1466" s="114"/>
      <c r="G1466" s="114"/>
      <c r="H1466" s="114"/>
      <c r="I1466" s="16"/>
      <c r="K1466" s="17" t="s">
        <v>40</v>
      </c>
      <c r="L1466" s="120"/>
      <c r="M1466" s="120"/>
      <c r="N1466" s="121" t="str">
        <f>D1466</f>
        <v>GROTECH LANDSCAPE DEVELOPERS PVT. LTD.</v>
      </c>
      <c r="O1466" s="114"/>
      <c r="P1466" s="114"/>
      <c r="Q1466" s="114"/>
      <c r="R1466" s="114"/>
      <c r="S1466" s="16"/>
    </row>
    <row r="1467" spans="1:19">
      <c r="A1467" s="17"/>
      <c r="B1467" s="120" t="str">
        <f>Master!F6</f>
        <v>290/E, Khanapur Village, Gandipet Mandal, Ranga Reddy, Hyderabad-500075 T.S.</v>
      </c>
      <c r="C1467" s="120"/>
      <c r="D1467" s="114"/>
      <c r="E1467" s="114"/>
      <c r="F1467" s="114"/>
      <c r="G1467" s="114"/>
      <c r="H1467" s="114"/>
      <c r="I1467" s="16"/>
      <c r="K1467" s="17"/>
      <c r="L1467" s="120" t="str">
        <f>B1467</f>
        <v>290/E, Khanapur Village, Gandipet Mandal, Ranga Reddy, Hyderabad-500075 T.S.</v>
      </c>
      <c r="M1467" s="120"/>
      <c r="N1467" s="114"/>
      <c r="O1467" s="114"/>
      <c r="P1467" s="114"/>
      <c r="Q1467" s="114"/>
      <c r="R1467" s="114"/>
      <c r="S1467" s="16"/>
    </row>
    <row r="1468" spans="1:19">
      <c r="A1468" s="17"/>
      <c r="B1468" s="120"/>
      <c r="C1468" s="120"/>
      <c r="D1468" s="120"/>
      <c r="E1468" s="120"/>
      <c r="F1468" s="114"/>
      <c r="G1468" s="114"/>
      <c r="H1468" s="114"/>
      <c r="I1468" s="16"/>
      <c r="K1468" s="17"/>
      <c r="L1468" s="120"/>
      <c r="M1468" s="120"/>
      <c r="N1468" s="120"/>
      <c r="O1468" s="120"/>
      <c r="P1468" s="114"/>
      <c r="Q1468" s="114"/>
      <c r="R1468" s="114"/>
      <c r="S1468" s="16"/>
    </row>
    <row r="1469" spans="1:19">
      <c r="A1469" s="1097" t="s">
        <v>41</v>
      </c>
      <c r="B1469" s="1098"/>
      <c r="C1469" s="1098"/>
      <c r="D1469" s="1098"/>
      <c r="E1469" s="120"/>
      <c r="F1469" s="114"/>
      <c r="G1469" s="114"/>
      <c r="H1469" s="114"/>
      <c r="I1469" s="16"/>
      <c r="K1469" s="1097" t="s">
        <v>41</v>
      </c>
      <c r="L1469" s="1098"/>
      <c r="M1469" s="1098"/>
      <c r="N1469" s="1098"/>
      <c r="O1469" s="120"/>
      <c r="P1469" s="114"/>
      <c r="Q1469" s="114"/>
      <c r="R1469" s="114"/>
      <c r="S1469" s="16"/>
    </row>
    <row r="1470" spans="1:19">
      <c r="A1470" s="1097"/>
      <c r="B1470" s="1098"/>
      <c r="C1470" s="1098"/>
      <c r="D1470" s="1098"/>
      <c r="E1470" s="128" t="str">
        <f>Master!D49</f>
        <v>Kuduru satyamma</v>
      </c>
      <c r="F1470" s="19"/>
      <c r="G1470" s="19"/>
      <c r="H1470" s="19" t="str">
        <f>Master!G49</f>
        <v xml:space="preserve">NARAYANA </v>
      </c>
      <c r="I1470" s="16"/>
      <c r="K1470" s="1097"/>
      <c r="L1470" s="1098"/>
      <c r="M1470" s="1098"/>
      <c r="N1470" s="1098"/>
      <c r="O1470" s="18" t="str">
        <f>E1470</f>
        <v>Kuduru satyamma</v>
      </c>
      <c r="P1470" s="19"/>
      <c r="Q1470" s="19"/>
      <c r="R1470" s="19" t="str">
        <f>H1470</f>
        <v xml:space="preserve">NARAYANA </v>
      </c>
      <c r="S1470" s="16"/>
    </row>
    <row r="1471" spans="1:19">
      <c r="A1471" s="17"/>
      <c r="B1471" s="120"/>
      <c r="C1471" s="120"/>
      <c r="D1471" s="120"/>
      <c r="E1471" s="120"/>
      <c r="F1471" s="114"/>
      <c r="G1471" s="114"/>
      <c r="H1471" s="114"/>
      <c r="I1471" s="16"/>
      <c r="K1471" s="17"/>
      <c r="L1471" s="120"/>
      <c r="M1471" s="120"/>
      <c r="N1471" s="120"/>
      <c r="O1471" s="120"/>
      <c r="P1471" s="114"/>
      <c r="Q1471" s="114"/>
      <c r="R1471" s="114"/>
      <c r="S1471" s="16"/>
    </row>
    <row r="1472" spans="1:19">
      <c r="A1472" s="1101" t="s">
        <v>42</v>
      </c>
      <c r="B1472" s="1099"/>
      <c r="C1472" s="1099"/>
      <c r="D1472" s="1099"/>
      <c r="E1472" s="24" t="str">
        <f>Master!F8</f>
        <v>GARDENING SERVICES&amp;ISB HYDERABAD</v>
      </c>
      <c r="F1472" s="19"/>
      <c r="G1472" s="19"/>
      <c r="H1472" s="19"/>
      <c r="I1472" s="16"/>
      <c r="K1472" s="1101" t="s">
        <v>42</v>
      </c>
      <c r="L1472" s="1099"/>
      <c r="M1472" s="1099"/>
      <c r="N1472" s="1099"/>
      <c r="O1472" s="24" t="str">
        <f>E1472</f>
        <v>GARDENING SERVICES&amp;ISB HYDERABAD</v>
      </c>
      <c r="P1472" s="19"/>
      <c r="Q1472" s="19"/>
      <c r="R1472" s="19"/>
      <c r="S1472" s="16"/>
    </row>
    <row r="1473" spans="1:19">
      <c r="A1473" s="17"/>
      <c r="B1473" s="120"/>
      <c r="C1473" s="120"/>
      <c r="D1473" s="120"/>
      <c r="E1473" s="120"/>
      <c r="F1473" s="114"/>
      <c r="G1473" s="114"/>
      <c r="H1473" s="114"/>
      <c r="I1473" s="16"/>
      <c r="K1473" s="17"/>
      <c r="L1473" s="120"/>
      <c r="M1473" s="120"/>
      <c r="N1473" s="120"/>
      <c r="O1473" s="120"/>
      <c r="P1473" s="114"/>
      <c r="Q1473" s="114"/>
      <c r="R1473" s="114"/>
      <c r="S1473" s="16"/>
    </row>
    <row r="1474" spans="1:19">
      <c r="A1474" s="1101" t="s">
        <v>43</v>
      </c>
      <c r="B1474" s="1099"/>
      <c r="C1474" s="1099"/>
      <c r="D1474" s="1099"/>
      <c r="E1474" s="20">
        <f>Master!F10</f>
        <v>44652</v>
      </c>
      <c r="F1474" s="19"/>
      <c r="G1474" s="19"/>
      <c r="H1474" s="19"/>
      <c r="I1474" s="16"/>
      <c r="K1474" s="1101" t="s">
        <v>43</v>
      </c>
      <c r="L1474" s="1099"/>
      <c r="M1474" s="1099"/>
      <c r="N1474" s="1099"/>
      <c r="O1474" s="20">
        <f>E1474</f>
        <v>44652</v>
      </c>
      <c r="P1474" s="19"/>
      <c r="Q1474" s="19"/>
      <c r="R1474" s="19"/>
      <c r="S1474" s="16"/>
    </row>
    <row r="1475" spans="1:19">
      <c r="A1475" s="17"/>
      <c r="B1475" s="120"/>
      <c r="C1475" s="120"/>
      <c r="D1475" s="120"/>
      <c r="E1475" s="120"/>
      <c r="F1475" s="114"/>
      <c r="G1475" s="114"/>
      <c r="H1475" s="114"/>
      <c r="I1475" s="16"/>
      <c r="K1475" s="17"/>
      <c r="L1475" s="120"/>
      <c r="M1475" s="120"/>
      <c r="N1475" s="120"/>
      <c r="O1475" s="120"/>
      <c r="P1475" s="114"/>
      <c r="Q1475" s="114"/>
      <c r="R1475" s="114"/>
      <c r="S1475" s="16"/>
    </row>
    <row r="1476" spans="1:19">
      <c r="A1476" s="21">
        <v>1</v>
      </c>
      <c r="B1476" s="1099" t="s">
        <v>44</v>
      </c>
      <c r="C1476" s="1099"/>
      <c r="D1476" s="1099"/>
      <c r="E1476" s="22">
        <f>Master!AA49</f>
        <v>26</v>
      </c>
      <c r="F1476" s="19"/>
      <c r="G1476" s="19"/>
      <c r="H1476" s="19"/>
      <c r="I1476" s="16"/>
      <c r="K1476" s="21">
        <v>1</v>
      </c>
      <c r="L1476" s="1099" t="s">
        <v>44</v>
      </c>
      <c r="M1476" s="1099"/>
      <c r="N1476" s="1099"/>
      <c r="O1476" s="22">
        <f>E1476</f>
        <v>26</v>
      </c>
      <c r="P1476" s="19"/>
      <c r="Q1476" s="19"/>
      <c r="R1476" s="19"/>
      <c r="S1476" s="16"/>
    </row>
    <row r="1477" spans="1:19">
      <c r="A1477" s="21"/>
      <c r="B1477" s="120"/>
      <c r="C1477" s="120"/>
      <c r="D1477" s="120"/>
      <c r="E1477" s="120"/>
      <c r="F1477" s="114"/>
      <c r="G1477" s="114"/>
      <c r="H1477" s="114"/>
      <c r="I1477" s="16"/>
      <c r="K1477" s="21"/>
      <c r="L1477" s="120"/>
      <c r="M1477" s="120"/>
      <c r="N1477" s="120"/>
      <c r="O1477" s="120"/>
      <c r="P1477" s="114"/>
      <c r="Q1477" s="114"/>
      <c r="R1477" s="114"/>
      <c r="S1477" s="16"/>
    </row>
    <row r="1478" spans="1:19">
      <c r="A1478" s="21">
        <v>2</v>
      </c>
      <c r="B1478" s="1098" t="s">
        <v>45</v>
      </c>
      <c r="C1478" s="1098"/>
      <c r="D1478" s="1098"/>
      <c r="E1478" s="120"/>
      <c r="F1478" s="114"/>
      <c r="G1478" s="114"/>
      <c r="H1478" s="114"/>
      <c r="I1478" s="16"/>
      <c r="K1478" s="21">
        <v>2</v>
      </c>
      <c r="L1478" s="1098" t="s">
        <v>45</v>
      </c>
      <c r="M1478" s="1098"/>
      <c r="N1478" s="1098"/>
      <c r="O1478" s="120"/>
      <c r="P1478" s="114"/>
      <c r="Q1478" s="114"/>
      <c r="R1478" s="114"/>
      <c r="S1478" s="16"/>
    </row>
    <row r="1479" spans="1:19">
      <c r="A1479" s="21"/>
      <c r="B1479" s="1098"/>
      <c r="C1479" s="1098"/>
      <c r="D1479" s="1098"/>
      <c r="E1479" s="23" t="s">
        <v>28</v>
      </c>
      <c r="F1479" s="19"/>
      <c r="G1479" s="19"/>
      <c r="H1479" s="19"/>
      <c r="I1479" s="16"/>
      <c r="K1479" s="21"/>
      <c r="L1479" s="1098"/>
      <c r="M1479" s="1098"/>
      <c r="N1479" s="1098"/>
      <c r="O1479" s="23" t="s">
        <v>28</v>
      </c>
      <c r="P1479" s="19"/>
      <c r="Q1479" s="19"/>
      <c r="R1479" s="19"/>
      <c r="S1479" s="16"/>
    </row>
    <row r="1480" spans="1:19">
      <c r="A1480" s="21"/>
      <c r="B1480" s="120"/>
      <c r="C1480" s="120"/>
      <c r="D1480" s="120"/>
      <c r="E1480" s="120"/>
      <c r="F1480" s="114"/>
      <c r="G1480" s="114"/>
      <c r="H1480" s="114"/>
      <c r="I1480" s="16"/>
      <c r="K1480" s="21"/>
      <c r="L1480" s="120"/>
      <c r="M1480" s="120"/>
      <c r="N1480" s="120"/>
      <c r="O1480" s="120"/>
      <c r="P1480" s="114"/>
      <c r="Q1480" s="114"/>
      <c r="R1480" s="114"/>
      <c r="S1480" s="16"/>
    </row>
    <row r="1481" spans="1:19">
      <c r="A1481" s="21">
        <v>3</v>
      </c>
      <c r="B1481" s="1099" t="s">
        <v>46</v>
      </c>
      <c r="C1481" s="1099"/>
      <c r="D1481" s="1099"/>
      <c r="E1481" s="23" t="s">
        <v>28</v>
      </c>
      <c r="F1481" s="19"/>
      <c r="G1481" s="19"/>
      <c r="H1481" s="19"/>
      <c r="I1481" s="16"/>
      <c r="K1481" s="21">
        <v>3</v>
      </c>
      <c r="L1481" s="1099" t="s">
        <v>46</v>
      </c>
      <c r="M1481" s="1099"/>
      <c r="N1481" s="1099"/>
      <c r="O1481" s="18" t="str">
        <f>E1481</f>
        <v>N/A</v>
      </c>
      <c r="P1481" s="19"/>
      <c r="Q1481" s="19"/>
      <c r="R1481" s="19"/>
      <c r="S1481" s="16"/>
    </row>
    <row r="1482" spans="1:19">
      <c r="A1482" s="21"/>
      <c r="B1482" s="120"/>
      <c r="C1482" s="120"/>
      <c r="D1482" s="120"/>
      <c r="E1482" s="120"/>
      <c r="F1482" s="114"/>
      <c r="G1482" s="114"/>
      <c r="H1482" s="114"/>
      <c r="I1482" s="16"/>
      <c r="K1482" s="21"/>
      <c r="L1482" s="120"/>
      <c r="M1482" s="120"/>
      <c r="N1482" s="120"/>
      <c r="O1482" s="120"/>
      <c r="P1482" s="114"/>
      <c r="Q1482" s="114"/>
      <c r="R1482" s="114"/>
      <c r="S1482" s="16"/>
    </row>
    <row r="1483" spans="1:19">
      <c r="A1483" s="21">
        <v>4</v>
      </c>
      <c r="B1483" s="1099" t="s">
        <v>47</v>
      </c>
      <c r="C1483" s="1099"/>
      <c r="D1483" s="1099"/>
      <c r="E1483" s="23" t="s">
        <v>48</v>
      </c>
      <c r="F1483" s="19"/>
      <c r="G1483" s="19"/>
      <c r="H1483" s="19"/>
      <c r="I1483" s="16"/>
      <c r="K1483" s="21">
        <v>4</v>
      </c>
      <c r="L1483" s="1099" t="s">
        <v>47</v>
      </c>
      <c r="M1483" s="1099"/>
      <c r="N1483" s="1099"/>
      <c r="O1483" s="23" t="s">
        <v>48</v>
      </c>
      <c r="P1483" s="19"/>
      <c r="Q1483" s="19"/>
      <c r="R1483" s="19"/>
      <c r="S1483" s="16"/>
    </row>
    <row r="1484" spans="1:19">
      <c r="A1484" s="21"/>
      <c r="B1484" s="120"/>
      <c r="C1484" s="120"/>
      <c r="D1484" s="120"/>
      <c r="E1484" s="120"/>
      <c r="F1484" s="114"/>
      <c r="G1484" s="114"/>
      <c r="H1484" s="114"/>
      <c r="I1484" s="16"/>
      <c r="K1484" s="21"/>
      <c r="L1484" s="120"/>
      <c r="M1484" s="120"/>
      <c r="N1484" s="120"/>
      <c r="O1484" s="120"/>
      <c r="P1484" s="114"/>
      <c r="Q1484" s="114"/>
      <c r="R1484" s="114"/>
      <c r="S1484" s="16"/>
    </row>
    <row r="1485" spans="1:19">
      <c r="A1485" s="21">
        <v>5</v>
      </c>
      <c r="B1485" s="1099" t="s">
        <v>49</v>
      </c>
      <c r="C1485" s="1099"/>
      <c r="D1485" s="1099"/>
      <c r="E1485" s="24">
        <f>Master!AK49</f>
        <v>9210.4</v>
      </c>
      <c r="F1485" s="19"/>
      <c r="G1485" s="19"/>
      <c r="H1485" s="19"/>
      <c r="I1485" s="16"/>
      <c r="K1485" s="21">
        <v>5</v>
      </c>
      <c r="L1485" s="1099" t="s">
        <v>49</v>
      </c>
      <c r="M1485" s="1099"/>
      <c r="N1485" s="1099"/>
      <c r="O1485" s="24">
        <f>E1485</f>
        <v>9210.4</v>
      </c>
      <c r="P1485" s="19"/>
      <c r="Q1485" s="19"/>
      <c r="R1485" s="19"/>
      <c r="S1485" s="16"/>
    </row>
    <row r="1486" spans="1:19">
      <c r="A1486" s="21"/>
      <c r="B1486" s="120"/>
      <c r="C1486" s="120"/>
      <c r="D1486" s="238" t="s">
        <v>50</v>
      </c>
      <c r="E1486" s="238" t="s">
        <v>23</v>
      </c>
      <c r="F1486" s="136" t="s">
        <v>25</v>
      </c>
      <c r="G1486" s="238" t="s">
        <v>26</v>
      </c>
      <c r="H1486" s="238" t="s">
        <v>202</v>
      </c>
      <c r="I1486" s="126" t="s">
        <v>51</v>
      </c>
      <c r="K1486" s="21"/>
      <c r="L1486" s="120"/>
      <c r="M1486" s="120"/>
      <c r="N1486" s="238" t="s">
        <v>50</v>
      </c>
      <c r="O1486" s="238" t="s">
        <v>23</v>
      </c>
      <c r="P1486" s="136" t="s">
        <v>25</v>
      </c>
      <c r="Q1486" s="238" t="s">
        <v>26</v>
      </c>
      <c r="R1486" s="238" t="str">
        <f>H1486</f>
        <v>ADV</v>
      </c>
      <c r="S1486" s="126" t="s">
        <v>51</v>
      </c>
    </row>
    <row r="1487" spans="1:19">
      <c r="A1487" s="21">
        <v>6</v>
      </c>
      <c r="B1487" s="468" t="s">
        <v>52</v>
      </c>
      <c r="C1487" s="468"/>
      <c r="D1487" s="335">
        <f>Master!AM49</f>
        <v>1105</v>
      </c>
      <c r="E1487" s="335">
        <f>Master!AL49</f>
        <v>70</v>
      </c>
      <c r="F1487" s="180">
        <f>Master!AN49</f>
        <v>0</v>
      </c>
      <c r="G1487" s="180">
        <f>Master!AO49</f>
        <v>0</v>
      </c>
      <c r="H1487" s="180">
        <f>Master!AP49</f>
        <v>0</v>
      </c>
      <c r="I1487" s="127">
        <f>D1487+E1487+F1487+G1487+H1487</f>
        <v>1175</v>
      </c>
      <c r="K1487" s="21">
        <v>6</v>
      </c>
      <c r="L1487" s="468" t="s">
        <v>52</v>
      </c>
      <c r="M1487" s="468"/>
      <c r="N1487" s="335">
        <f>D1487</f>
        <v>1105</v>
      </c>
      <c r="O1487" s="335">
        <f>E1487</f>
        <v>70</v>
      </c>
      <c r="P1487" s="180">
        <f>F1487</f>
        <v>0</v>
      </c>
      <c r="Q1487" s="180">
        <f>G1487</f>
        <v>0</v>
      </c>
      <c r="R1487" s="180">
        <f>H1487</f>
        <v>0</v>
      </c>
      <c r="S1487" s="127">
        <f>N1487+O1487+R1487</f>
        <v>1175</v>
      </c>
    </row>
    <row r="1488" spans="1:19">
      <c r="A1488" s="21"/>
      <c r="B1488" s="120"/>
      <c r="C1488" s="120"/>
      <c r="D1488" s="120"/>
      <c r="E1488" s="120"/>
      <c r="F1488" s="114"/>
      <c r="G1488" s="114"/>
      <c r="H1488" s="114"/>
      <c r="I1488" s="16"/>
      <c r="K1488" s="21"/>
      <c r="L1488" s="120"/>
      <c r="M1488" s="120"/>
      <c r="N1488" s="120"/>
      <c r="O1488" s="120"/>
      <c r="P1488" s="114"/>
      <c r="Q1488" s="114"/>
      <c r="R1488" s="114"/>
      <c r="S1488" s="16"/>
    </row>
    <row r="1489" spans="1:19">
      <c r="A1489" s="21">
        <v>7</v>
      </c>
      <c r="B1489" s="1099" t="s">
        <v>53</v>
      </c>
      <c r="C1489" s="1099"/>
      <c r="D1489" s="1099"/>
      <c r="E1489" s="24">
        <f>E1485-I1487</f>
        <v>8035.4</v>
      </c>
      <c r="F1489" s="19"/>
      <c r="G1489" s="19"/>
      <c r="H1489" s="19"/>
      <c r="I1489" s="16"/>
      <c r="K1489" s="21">
        <v>7</v>
      </c>
      <c r="L1489" s="1099" t="s">
        <v>53</v>
      </c>
      <c r="M1489" s="1099"/>
      <c r="N1489" s="1099"/>
      <c r="O1489" s="24">
        <f>E1489</f>
        <v>8035.4</v>
      </c>
      <c r="P1489" s="19"/>
      <c r="Q1489" s="19"/>
      <c r="R1489" s="19"/>
      <c r="S1489" s="16"/>
    </row>
    <row r="1490" spans="1:19">
      <c r="A1490" s="15"/>
      <c r="B1490" s="114"/>
      <c r="C1490" s="114"/>
      <c r="D1490" s="114"/>
      <c r="E1490" s="114"/>
      <c r="F1490" s="114"/>
      <c r="G1490" s="114"/>
      <c r="H1490" s="114"/>
      <c r="I1490" s="16"/>
      <c r="K1490" s="15"/>
      <c r="L1490" s="114"/>
      <c r="M1490" s="114"/>
      <c r="N1490" s="114"/>
      <c r="O1490" s="114"/>
      <c r="P1490" s="114"/>
      <c r="Q1490" s="114"/>
      <c r="R1490" s="114"/>
      <c r="S1490" s="16"/>
    </row>
    <row r="1491" spans="1:19">
      <c r="A1491" s="15"/>
      <c r="B1491" s="114"/>
      <c r="C1491" s="114"/>
      <c r="D1491" s="114"/>
      <c r="E1491" s="114"/>
      <c r="F1491" s="114"/>
      <c r="G1491" s="114"/>
      <c r="H1491" s="114"/>
      <c r="I1491" s="16"/>
      <c r="K1491" s="15"/>
      <c r="L1491" s="114"/>
      <c r="M1491" s="114"/>
      <c r="N1491" s="114"/>
      <c r="O1491" s="114"/>
      <c r="P1491" s="114"/>
      <c r="Q1491" s="114"/>
      <c r="R1491" s="114"/>
      <c r="S1491" s="16"/>
    </row>
    <row r="1492" spans="1:19" ht="15" thickBot="1">
      <c r="A1492" s="15"/>
      <c r="B1492" s="114"/>
      <c r="C1492" s="114"/>
      <c r="D1492" s="114"/>
      <c r="E1492" s="114"/>
      <c r="F1492" s="25"/>
      <c r="G1492" s="25"/>
      <c r="H1492" s="25"/>
      <c r="I1492" s="26"/>
      <c r="K1492" s="15"/>
      <c r="L1492" s="114"/>
      <c r="M1492" s="114"/>
      <c r="N1492" s="114"/>
      <c r="O1492" s="114"/>
      <c r="P1492" s="25"/>
      <c r="Q1492" s="25"/>
      <c r="R1492" s="25"/>
      <c r="S1492" s="26"/>
    </row>
    <row r="1493" spans="1:19" ht="15" thickBot="1">
      <c r="A1493" s="27"/>
      <c r="B1493" s="25"/>
      <c r="C1493" s="25"/>
      <c r="D1493" s="25"/>
      <c r="E1493" s="999" t="s">
        <v>54</v>
      </c>
      <c r="F1493" s="999"/>
      <c r="G1493" s="999"/>
      <c r="H1493" s="999"/>
      <c r="I1493" s="1100"/>
      <c r="K1493" s="27"/>
      <c r="L1493" s="25"/>
      <c r="M1493" s="25"/>
      <c r="N1493" s="25"/>
      <c r="O1493" s="28" t="s">
        <v>54</v>
      </c>
      <c r="P1493" s="25"/>
      <c r="Q1493" s="28"/>
      <c r="R1493" s="28"/>
      <c r="S1493" s="29"/>
    </row>
    <row r="1505" spans="1:19" ht="15" thickBot="1"/>
    <row r="1506" spans="1:19" ht="24.6">
      <c r="A1506" s="1091" t="s">
        <v>39</v>
      </c>
      <c r="B1506" s="1092"/>
      <c r="C1506" s="1092"/>
      <c r="D1506" s="1092"/>
      <c r="E1506" s="1092"/>
      <c r="F1506" s="1092"/>
      <c r="G1506" s="1092"/>
      <c r="H1506" s="1092"/>
      <c r="I1506" s="1093"/>
      <c r="K1506" s="1091" t="s">
        <v>39</v>
      </c>
      <c r="L1506" s="1092"/>
      <c r="M1506" s="1092"/>
      <c r="N1506" s="1092"/>
      <c r="O1506" s="1092"/>
      <c r="P1506" s="1092"/>
      <c r="Q1506" s="1092"/>
      <c r="R1506" s="1092"/>
      <c r="S1506" s="1093"/>
    </row>
    <row r="1507" spans="1:19">
      <c r="A1507" s="1094" t="s">
        <v>1075</v>
      </c>
      <c r="B1507" s="1095"/>
      <c r="C1507" s="1095"/>
      <c r="D1507" s="1095"/>
      <c r="E1507" s="1095"/>
      <c r="F1507" s="1095"/>
      <c r="G1507" s="1095"/>
      <c r="H1507" s="1095"/>
      <c r="I1507" s="1096"/>
      <c r="K1507" s="1094" t="str">
        <f>A1507</f>
        <v>[Vide rule 78 (1) (b) of the Contract Labour (Regulation and Abolition) Central and A.P.{T.S.}Rules, 1971]</v>
      </c>
      <c r="L1507" s="1095"/>
      <c r="M1507" s="1095"/>
      <c r="N1507" s="1095"/>
      <c r="O1507" s="1095"/>
      <c r="P1507" s="1095"/>
      <c r="Q1507" s="1095"/>
      <c r="R1507" s="1095"/>
      <c r="S1507" s="1096"/>
    </row>
    <row r="1508" spans="1:19">
      <c r="A1508" s="15"/>
      <c r="B1508" s="114"/>
      <c r="C1508" s="114"/>
      <c r="D1508" s="114"/>
      <c r="E1508" s="114"/>
      <c r="F1508" s="114"/>
      <c r="G1508" s="114"/>
      <c r="H1508" s="114"/>
      <c r="I1508" s="16"/>
      <c r="K1508" s="15"/>
      <c r="L1508" s="114"/>
      <c r="M1508" s="114"/>
      <c r="N1508" s="114"/>
      <c r="O1508" s="114"/>
      <c r="P1508" s="114"/>
      <c r="Q1508" s="114"/>
      <c r="R1508" s="114"/>
      <c r="S1508" s="16"/>
    </row>
    <row r="1509" spans="1:19">
      <c r="A1509" s="17" t="s">
        <v>40</v>
      </c>
      <c r="B1509" s="120"/>
      <c r="C1509" s="120"/>
      <c r="D1509" s="121" t="str">
        <f>Master!F5</f>
        <v>GROTECH LANDSCAPE DEVELOPERS PVT. LTD.</v>
      </c>
      <c r="E1509" s="114"/>
      <c r="F1509" s="114"/>
      <c r="G1509" s="114"/>
      <c r="H1509" s="114"/>
      <c r="I1509" s="16"/>
      <c r="K1509" s="17" t="s">
        <v>40</v>
      </c>
      <c r="L1509" s="120"/>
      <c r="M1509" s="120"/>
      <c r="N1509" s="121" t="str">
        <f>D1509</f>
        <v>GROTECH LANDSCAPE DEVELOPERS PVT. LTD.</v>
      </c>
      <c r="O1509" s="114"/>
      <c r="P1509" s="114"/>
      <c r="Q1509" s="114"/>
      <c r="R1509" s="114"/>
      <c r="S1509" s="16"/>
    </row>
    <row r="1510" spans="1:19">
      <c r="A1510" s="17"/>
      <c r="B1510" s="120" t="str">
        <f>Master!F6</f>
        <v>290/E, Khanapur Village, Gandipet Mandal, Ranga Reddy, Hyderabad-500075 T.S.</v>
      </c>
      <c r="C1510" s="120"/>
      <c r="D1510" s="114"/>
      <c r="E1510" s="114"/>
      <c r="F1510" s="114"/>
      <c r="G1510" s="114"/>
      <c r="H1510" s="114"/>
      <c r="I1510" s="16"/>
      <c r="K1510" s="17"/>
      <c r="L1510" s="120" t="str">
        <f>B1510</f>
        <v>290/E, Khanapur Village, Gandipet Mandal, Ranga Reddy, Hyderabad-500075 T.S.</v>
      </c>
      <c r="M1510" s="120"/>
      <c r="N1510" s="114"/>
      <c r="O1510" s="114"/>
      <c r="P1510" s="114"/>
      <c r="Q1510" s="114"/>
      <c r="R1510" s="114"/>
      <c r="S1510" s="16"/>
    </row>
    <row r="1511" spans="1:19">
      <c r="A1511" s="17"/>
      <c r="B1511" s="120"/>
      <c r="C1511" s="120"/>
      <c r="D1511" s="120"/>
      <c r="E1511" s="120"/>
      <c r="F1511" s="114"/>
      <c r="G1511" s="114"/>
      <c r="H1511" s="114"/>
      <c r="I1511" s="16"/>
      <c r="K1511" s="17"/>
      <c r="L1511" s="120"/>
      <c r="M1511" s="120"/>
      <c r="N1511" s="120"/>
      <c r="O1511" s="120"/>
      <c r="P1511" s="114"/>
      <c r="Q1511" s="114"/>
      <c r="R1511" s="114"/>
      <c r="S1511" s="16"/>
    </row>
    <row r="1512" spans="1:19">
      <c r="A1512" s="1097" t="s">
        <v>41</v>
      </c>
      <c r="B1512" s="1098"/>
      <c r="C1512" s="1098"/>
      <c r="D1512" s="1098"/>
      <c r="E1512" s="120"/>
      <c r="F1512" s="114"/>
      <c r="G1512" s="114"/>
      <c r="H1512" s="114"/>
      <c r="I1512" s="16"/>
      <c r="K1512" s="1097" t="s">
        <v>41</v>
      </c>
      <c r="L1512" s="1098"/>
      <c r="M1512" s="1098"/>
      <c r="N1512" s="1098"/>
      <c r="O1512" s="120"/>
      <c r="P1512" s="114"/>
      <c r="Q1512" s="114"/>
      <c r="R1512" s="114"/>
      <c r="S1512" s="16"/>
    </row>
    <row r="1513" spans="1:19">
      <c r="A1513" s="1097"/>
      <c r="B1513" s="1098"/>
      <c r="C1513" s="1098"/>
      <c r="D1513" s="1098"/>
      <c r="E1513" s="128" t="str">
        <f>Master!D50</f>
        <v>Mangali Lakshmi</v>
      </c>
      <c r="F1513" s="19"/>
      <c r="G1513" s="19"/>
      <c r="H1513" s="19" t="str">
        <f>Master!G50</f>
        <v>MANGALI PEDDA</v>
      </c>
      <c r="I1513" s="16"/>
      <c r="K1513" s="1097"/>
      <c r="L1513" s="1098"/>
      <c r="M1513" s="1098"/>
      <c r="N1513" s="1098"/>
      <c r="O1513" s="18" t="str">
        <f>E1513</f>
        <v>Mangali Lakshmi</v>
      </c>
      <c r="P1513" s="19"/>
      <c r="Q1513" s="19"/>
      <c r="R1513" s="19" t="str">
        <f>H1513</f>
        <v>MANGALI PEDDA</v>
      </c>
      <c r="S1513" s="16"/>
    </row>
    <row r="1514" spans="1:19">
      <c r="A1514" s="17"/>
      <c r="B1514" s="120"/>
      <c r="C1514" s="120"/>
      <c r="D1514" s="120"/>
      <c r="E1514" s="120"/>
      <c r="F1514" s="114"/>
      <c r="G1514" s="114"/>
      <c r="H1514" s="114"/>
      <c r="I1514" s="16"/>
      <c r="K1514" s="17"/>
      <c r="L1514" s="120"/>
      <c r="M1514" s="120"/>
      <c r="N1514" s="120"/>
      <c r="O1514" s="120"/>
      <c r="P1514" s="114"/>
      <c r="Q1514" s="114"/>
      <c r="R1514" s="114"/>
      <c r="S1514" s="16"/>
    </row>
    <row r="1515" spans="1:19">
      <c r="A1515" s="1101" t="s">
        <v>42</v>
      </c>
      <c r="B1515" s="1099"/>
      <c r="C1515" s="1099"/>
      <c r="D1515" s="1099"/>
      <c r="E1515" s="24" t="str">
        <f>Master!F8</f>
        <v>GARDENING SERVICES&amp;ISB HYDERABAD</v>
      </c>
      <c r="F1515" s="19"/>
      <c r="G1515" s="19"/>
      <c r="H1515" s="19"/>
      <c r="I1515" s="16"/>
      <c r="K1515" s="1101" t="s">
        <v>42</v>
      </c>
      <c r="L1515" s="1099"/>
      <c r="M1515" s="1099"/>
      <c r="N1515" s="1099"/>
      <c r="O1515" s="24" t="str">
        <f>E1515</f>
        <v>GARDENING SERVICES&amp;ISB HYDERABAD</v>
      </c>
      <c r="P1515" s="19"/>
      <c r="Q1515" s="19"/>
      <c r="R1515" s="19"/>
      <c r="S1515" s="16"/>
    </row>
    <row r="1516" spans="1:19">
      <c r="A1516" s="17"/>
      <c r="B1516" s="120"/>
      <c r="C1516" s="120"/>
      <c r="D1516" s="120"/>
      <c r="E1516" s="120"/>
      <c r="F1516" s="114"/>
      <c r="G1516" s="114"/>
      <c r="H1516" s="114"/>
      <c r="I1516" s="16"/>
      <c r="K1516" s="17"/>
      <c r="L1516" s="120"/>
      <c r="M1516" s="120"/>
      <c r="N1516" s="120"/>
      <c r="O1516" s="120"/>
      <c r="P1516" s="114"/>
      <c r="Q1516" s="114"/>
      <c r="R1516" s="114"/>
      <c r="S1516" s="16"/>
    </row>
    <row r="1517" spans="1:19">
      <c r="A1517" s="1101" t="s">
        <v>43</v>
      </c>
      <c r="B1517" s="1099"/>
      <c r="C1517" s="1099"/>
      <c r="D1517" s="1099"/>
      <c r="E1517" s="20">
        <f>Master!F10</f>
        <v>44652</v>
      </c>
      <c r="F1517" s="19"/>
      <c r="G1517" s="19"/>
      <c r="H1517" s="19"/>
      <c r="I1517" s="16"/>
      <c r="K1517" s="1101" t="s">
        <v>43</v>
      </c>
      <c r="L1517" s="1099"/>
      <c r="M1517" s="1099"/>
      <c r="N1517" s="1099"/>
      <c r="O1517" s="20">
        <f>E1517</f>
        <v>44652</v>
      </c>
      <c r="P1517" s="19"/>
      <c r="Q1517" s="19"/>
      <c r="R1517" s="19"/>
      <c r="S1517" s="16"/>
    </row>
    <row r="1518" spans="1:19">
      <c r="A1518" s="17"/>
      <c r="B1518" s="120"/>
      <c r="C1518" s="120"/>
      <c r="D1518" s="120"/>
      <c r="E1518" s="120"/>
      <c r="F1518" s="114"/>
      <c r="G1518" s="114"/>
      <c r="H1518" s="114"/>
      <c r="I1518" s="16"/>
      <c r="K1518" s="17"/>
      <c r="L1518" s="120"/>
      <c r="M1518" s="120"/>
      <c r="N1518" s="120"/>
      <c r="O1518" s="120"/>
      <c r="P1518" s="114"/>
      <c r="Q1518" s="114"/>
      <c r="R1518" s="114"/>
      <c r="S1518" s="16"/>
    </row>
    <row r="1519" spans="1:19">
      <c r="A1519" s="21">
        <v>1</v>
      </c>
      <c r="B1519" s="1099" t="s">
        <v>44</v>
      </c>
      <c r="C1519" s="1099"/>
      <c r="D1519" s="1099"/>
      <c r="E1519" s="22">
        <f>Master!AA50</f>
        <v>26</v>
      </c>
      <c r="F1519" s="19"/>
      <c r="G1519" s="19"/>
      <c r="H1519" s="19"/>
      <c r="I1519" s="16"/>
      <c r="K1519" s="21">
        <v>1</v>
      </c>
      <c r="L1519" s="1099" t="s">
        <v>44</v>
      </c>
      <c r="M1519" s="1099"/>
      <c r="N1519" s="1099"/>
      <c r="O1519" s="22">
        <f>E1519</f>
        <v>26</v>
      </c>
      <c r="P1519" s="19"/>
      <c r="Q1519" s="19"/>
      <c r="R1519" s="19"/>
      <c r="S1519" s="16"/>
    </row>
    <row r="1520" spans="1:19">
      <c r="A1520" s="21"/>
      <c r="B1520" s="120"/>
      <c r="C1520" s="120"/>
      <c r="D1520" s="120"/>
      <c r="E1520" s="120"/>
      <c r="F1520" s="114"/>
      <c r="G1520" s="114"/>
      <c r="H1520" s="114"/>
      <c r="I1520" s="16"/>
      <c r="K1520" s="21"/>
      <c r="L1520" s="120"/>
      <c r="M1520" s="120"/>
      <c r="N1520" s="120"/>
      <c r="O1520" s="120"/>
      <c r="P1520" s="114"/>
      <c r="Q1520" s="114"/>
      <c r="R1520" s="114"/>
      <c r="S1520" s="16"/>
    </row>
    <row r="1521" spans="1:19">
      <c r="A1521" s="21">
        <v>2</v>
      </c>
      <c r="B1521" s="1098" t="s">
        <v>45</v>
      </c>
      <c r="C1521" s="1098"/>
      <c r="D1521" s="1098"/>
      <c r="E1521" s="120"/>
      <c r="F1521" s="114"/>
      <c r="G1521" s="114"/>
      <c r="H1521" s="114"/>
      <c r="I1521" s="16"/>
      <c r="K1521" s="21">
        <v>2</v>
      </c>
      <c r="L1521" s="1098" t="s">
        <v>45</v>
      </c>
      <c r="M1521" s="1098"/>
      <c r="N1521" s="1098"/>
      <c r="O1521" s="120"/>
      <c r="P1521" s="114"/>
      <c r="Q1521" s="114"/>
      <c r="R1521" s="114"/>
      <c r="S1521" s="16"/>
    </row>
    <row r="1522" spans="1:19">
      <c r="A1522" s="21"/>
      <c r="B1522" s="1098"/>
      <c r="C1522" s="1098"/>
      <c r="D1522" s="1098"/>
      <c r="E1522" s="23" t="s">
        <v>28</v>
      </c>
      <c r="F1522" s="19"/>
      <c r="G1522" s="19"/>
      <c r="H1522" s="19"/>
      <c r="I1522" s="16"/>
      <c r="K1522" s="21"/>
      <c r="L1522" s="1098"/>
      <c r="M1522" s="1098"/>
      <c r="N1522" s="1098"/>
      <c r="O1522" s="23" t="s">
        <v>28</v>
      </c>
      <c r="P1522" s="19"/>
      <c r="Q1522" s="19"/>
      <c r="R1522" s="19"/>
      <c r="S1522" s="16"/>
    </row>
    <row r="1523" spans="1:19">
      <c r="A1523" s="21"/>
      <c r="B1523" s="120"/>
      <c r="C1523" s="120"/>
      <c r="D1523" s="120"/>
      <c r="E1523" s="120"/>
      <c r="F1523" s="114"/>
      <c r="G1523" s="114"/>
      <c r="H1523" s="114"/>
      <c r="I1523" s="16"/>
      <c r="K1523" s="21"/>
      <c r="L1523" s="120"/>
      <c r="M1523" s="120"/>
      <c r="N1523" s="120"/>
      <c r="O1523" s="120"/>
      <c r="P1523" s="114"/>
      <c r="Q1523" s="114"/>
      <c r="R1523" s="114"/>
      <c r="S1523" s="16"/>
    </row>
    <row r="1524" spans="1:19">
      <c r="A1524" s="21">
        <v>3</v>
      </c>
      <c r="B1524" s="1099" t="s">
        <v>46</v>
      </c>
      <c r="C1524" s="1099"/>
      <c r="D1524" s="1099"/>
      <c r="E1524" s="23" t="s">
        <v>28</v>
      </c>
      <c r="F1524" s="19"/>
      <c r="G1524" s="19"/>
      <c r="H1524" s="19"/>
      <c r="I1524" s="16"/>
      <c r="K1524" s="21">
        <v>3</v>
      </c>
      <c r="L1524" s="1099" t="s">
        <v>46</v>
      </c>
      <c r="M1524" s="1099"/>
      <c r="N1524" s="1099"/>
      <c r="O1524" s="18" t="str">
        <f>E1524</f>
        <v>N/A</v>
      </c>
      <c r="P1524" s="19"/>
      <c r="Q1524" s="19"/>
      <c r="R1524" s="19"/>
      <c r="S1524" s="16"/>
    </row>
    <row r="1525" spans="1:19">
      <c r="A1525" s="21"/>
      <c r="B1525" s="120"/>
      <c r="C1525" s="120"/>
      <c r="D1525" s="120"/>
      <c r="E1525" s="120"/>
      <c r="F1525" s="114"/>
      <c r="G1525" s="114"/>
      <c r="H1525" s="114"/>
      <c r="I1525" s="16"/>
      <c r="K1525" s="21"/>
      <c r="L1525" s="120"/>
      <c r="M1525" s="120"/>
      <c r="N1525" s="120"/>
      <c r="O1525" s="120"/>
      <c r="P1525" s="114"/>
      <c r="Q1525" s="114"/>
      <c r="R1525" s="114"/>
      <c r="S1525" s="16"/>
    </row>
    <row r="1526" spans="1:19">
      <c r="A1526" s="21">
        <v>4</v>
      </c>
      <c r="B1526" s="1099" t="s">
        <v>47</v>
      </c>
      <c r="C1526" s="1099"/>
      <c r="D1526" s="1099"/>
      <c r="E1526" s="23" t="s">
        <v>48</v>
      </c>
      <c r="F1526" s="19"/>
      <c r="G1526" s="19"/>
      <c r="H1526" s="19"/>
      <c r="I1526" s="16"/>
      <c r="K1526" s="21">
        <v>4</v>
      </c>
      <c r="L1526" s="1099" t="s">
        <v>47</v>
      </c>
      <c r="M1526" s="1099"/>
      <c r="N1526" s="1099"/>
      <c r="O1526" s="23" t="s">
        <v>48</v>
      </c>
      <c r="P1526" s="19"/>
      <c r="Q1526" s="19"/>
      <c r="R1526" s="19"/>
      <c r="S1526" s="16"/>
    </row>
    <row r="1527" spans="1:19">
      <c r="A1527" s="21"/>
      <c r="B1527" s="120"/>
      <c r="C1527" s="120"/>
      <c r="D1527" s="120"/>
      <c r="E1527" s="120"/>
      <c r="F1527" s="114"/>
      <c r="G1527" s="114"/>
      <c r="H1527" s="114"/>
      <c r="I1527" s="16"/>
      <c r="K1527" s="21"/>
      <c r="L1527" s="120"/>
      <c r="M1527" s="120"/>
      <c r="N1527" s="120"/>
      <c r="O1527" s="120"/>
      <c r="P1527" s="114"/>
      <c r="Q1527" s="114"/>
      <c r="R1527" s="114"/>
      <c r="S1527" s="16"/>
    </row>
    <row r="1528" spans="1:19">
      <c r="A1528" s="21">
        <v>5</v>
      </c>
      <c r="B1528" s="1099" t="s">
        <v>49</v>
      </c>
      <c r="C1528" s="1099"/>
      <c r="D1528" s="1099"/>
      <c r="E1528" s="24">
        <f>Master!AK50</f>
        <v>9210.4</v>
      </c>
      <c r="F1528" s="19"/>
      <c r="G1528" s="19"/>
      <c r="H1528" s="19"/>
      <c r="I1528" s="16"/>
      <c r="K1528" s="21">
        <v>5</v>
      </c>
      <c r="L1528" s="1099" t="s">
        <v>49</v>
      </c>
      <c r="M1528" s="1099"/>
      <c r="N1528" s="1099"/>
      <c r="O1528" s="24">
        <f>E1528</f>
        <v>9210.4</v>
      </c>
      <c r="P1528" s="19"/>
      <c r="Q1528" s="19"/>
      <c r="R1528" s="19"/>
      <c r="S1528" s="16"/>
    </row>
    <row r="1529" spans="1:19">
      <c r="A1529" s="21"/>
      <c r="B1529" s="120"/>
      <c r="C1529" s="120"/>
      <c r="D1529" s="238" t="s">
        <v>50</v>
      </c>
      <c r="E1529" s="238" t="s">
        <v>23</v>
      </c>
      <c r="F1529" s="136" t="s">
        <v>25</v>
      </c>
      <c r="G1529" s="238" t="s">
        <v>26</v>
      </c>
      <c r="H1529" s="238" t="s">
        <v>202</v>
      </c>
      <c r="I1529" s="126" t="s">
        <v>51</v>
      </c>
      <c r="K1529" s="21"/>
      <c r="L1529" s="120"/>
      <c r="M1529" s="120"/>
      <c r="N1529" s="238" t="s">
        <v>50</v>
      </c>
      <c r="O1529" s="238" t="s">
        <v>23</v>
      </c>
      <c r="P1529" s="136" t="s">
        <v>25</v>
      </c>
      <c r="Q1529" s="238" t="s">
        <v>26</v>
      </c>
      <c r="R1529" s="238" t="str">
        <f>H1529</f>
        <v>ADV</v>
      </c>
      <c r="S1529" s="126" t="s">
        <v>51</v>
      </c>
    </row>
    <row r="1530" spans="1:19">
      <c r="A1530" s="21">
        <v>6</v>
      </c>
      <c r="B1530" s="468" t="s">
        <v>52</v>
      </c>
      <c r="C1530" s="468"/>
      <c r="D1530" s="335">
        <f>Master!AM50</f>
        <v>1105</v>
      </c>
      <c r="E1530" s="335">
        <f>Master!AL50</f>
        <v>70</v>
      </c>
      <c r="F1530" s="180">
        <f>Master!AN50</f>
        <v>0</v>
      </c>
      <c r="G1530" s="180">
        <f>Master!AO50</f>
        <v>0</v>
      </c>
      <c r="H1530" s="180">
        <f>Master!AP50</f>
        <v>0</v>
      </c>
      <c r="I1530" s="127">
        <f>D1530+E1530+F1530+G1530+H1530</f>
        <v>1175</v>
      </c>
      <c r="K1530" s="21">
        <v>6</v>
      </c>
      <c r="L1530" s="468" t="s">
        <v>52</v>
      </c>
      <c r="M1530" s="468"/>
      <c r="N1530" s="335">
        <f>D1530</f>
        <v>1105</v>
      </c>
      <c r="O1530" s="335">
        <f>E1530</f>
        <v>70</v>
      </c>
      <c r="P1530" s="180">
        <f>F1530</f>
        <v>0</v>
      </c>
      <c r="Q1530" s="180">
        <f>G1530</f>
        <v>0</v>
      </c>
      <c r="R1530" s="180">
        <f>H1530</f>
        <v>0</v>
      </c>
      <c r="S1530" s="127">
        <f>N1530+O1530+R1530</f>
        <v>1175</v>
      </c>
    </row>
    <row r="1531" spans="1:19">
      <c r="A1531" s="21"/>
      <c r="B1531" s="120"/>
      <c r="C1531" s="120"/>
      <c r="D1531" s="120"/>
      <c r="E1531" s="120"/>
      <c r="F1531" s="114"/>
      <c r="G1531" s="114"/>
      <c r="H1531" s="114"/>
      <c r="I1531" s="16"/>
      <c r="K1531" s="21"/>
      <c r="L1531" s="120"/>
      <c r="M1531" s="120"/>
      <c r="N1531" s="120"/>
      <c r="O1531" s="120"/>
      <c r="P1531" s="114"/>
      <c r="Q1531" s="114"/>
      <c r="R1531" s="114"/>
      <c r="S1531" s="16"/>
    </row>
    <row r="1532" spans="1:19">
      <c r="A1532" s="21">
        <v>7</v>
      </c>
      <c r="B1532" s="1099" t="s">
        <v>53</v>
      </c>
      <c r="C1532" s="1099"/>
      <c r="D1532" s="1099"/>
      <c r="E1532" s="24">
        <f>E1528-I1530+1</f>
        <v>8036.4</v>
      </c>
      <c r="F1532" s="19"/>
      <c r="G1532" s="19"/>
      <c r="H1532" s="19"/>
      <c r="I1532" s="16"/>
      <c r="K1532" s="21">
        <v>7</v>
      </c>
      <c r="L1532" s="1099" t="s">
        <v>53</v>
      </c>
      <c r="M1532" s="1099"/>
      <c r="N1532" s="1099"/>
      <c r="O1532" s="24">
        <f>E1532</f>
        <v>8036.4</v>
      </c>
      <c r="P1532" s="19"/>
      <c r="Q1532" s="19"/>
      <c r="R1532" s="19"/>
      <c r="S1532" s="16"/>
    </row>
    <row r="1533" spans="1:19">
      <c r="A1533" s="15"/>
      <c r="B1533" s="114"/>
      <c r="C1533" s="114"/>
      <c r="D1533" s="114"/>
      <c r="E1533" s="114"/>
      <c r="F1533" s="114"/>
      <c r="G1533" s="114"/>
      <c r="H1533" s="114"/>
      <c r="I1533" s="16"/>
      <c r="K1533" s="15"/>
      <c r="L1533" s="114"/>
      <c r="M1533" s="114"/>
      <c r="N1533" s="114"/>
      <c r="O1533" s="114"/>
      <c r="P1533" s="114"/>
      <c r="Q1533" s="114"/>
      <c r="R1533" s="114"/>
      <c r="S1533" s="16"/>
    </row>
    <row r="1534" spans="1:19">
      <c r="A1534" s="15"/>
      <c r="B1534" s="114"/>
      <c r="C1534" s="114"/>
      <c r="D1534" s="114"/>
      <c r="E1534" s="114"/>
      <c r="F1534" s="114"/>
      <c r="G1534" s="114"/>
      <c r="H1534" s="114"/>
      <c r="I1534" s="16"/>
      <c r="K1534" s="15"/>
      <c r="L1534" s="114"/>
      <c r="M1534" s="114"/>
      <c r="N1534" s="114"/>
      <c r="O1534" s="114"/>
      <c r="P1534" s="114"/>
      <c r="Q1534" s="114"/>
      <c r="R1534" s="114"/>
      <c r="S1534" s="16"/>
    </row>
    <row r="1535" spans="1:19" ht="15" thickBot="1">
      <c r="A1535" s="15"/>
      <c r="B1535" s="114"/>
      <c r="C1535" s="114"/>
      <c r="D1535" s="114"/>
      <c r="E1535" s="114"/>
      <c r="F1535" s="25"/>
      <c r="G1535" s="25"/>
      <c r="H1535" s="25"/>
      <c r="I1535" s="26"/>
      <c r="K1535" s="15"/>
      <c r="L1535" s="114"/>
      <c r="M1535" s="114"/>
      <c r="N1535" s="114"/>
      <c r="O1535" s="114"/>
      <c r="P1535" s="25"/>
      <c r="Q1535" s="25"/>
      <c r="R1535" s="25"/>
      <c r="S1535" s="26"/>
    </row>
    <row r="1536" spans="1:19" ht="15" thickBot="1">
      <c r="A1536" s="27"/>
      <c r="B1536" s="25"/>
      <c r="C1536" s="25"/>
      <c r="D1536" s="25"/>
      <c r="E1536" s="999" t="s">
        <v>54</v>
      </c>
      <c r="F1536" s="999"/>
      <c r="G1536" s="999"/>
      <c r="H1536" s="999"/>
      <c r="I1536" s="1100"/>
      <c r="K1536" s="27"/>
      <c r="L1536" s="25"/>
      <c r="M1536" s="25"/>
      <c r="N1536" s="25"/>
      <c r="O1536" s="28" t="s">
        <v>54</v>
      </c>
      <c r="P1536" s="25"/>
      <c r="Q1536" s="28"/>
      <c r="R1536" s="28"/>
      <c r="S1536" s="29"/>
    </row>
    <row r="1548" spans="1:19" ht="15" thickBot="1"/>
    <row r="1549" spans="1:19" ht="24.6">
      <c r="A1549" s="1091" t="s">
        <v>39</v>
      </c>
      <c r="B1549" s="1092"/>
      <c r="C1549" s="1092"/>
      <c r="D1549" s="1092"/>
      <c r="E1549" s="1092"/>
      <c r="F1549" s="1092"/>
      <c r="G1549" s="1092"/>
      <c r="H1549" s="1092"/>
      <c r="I1549" s="1093"/>
      <c r="K1549" s="1091" t="s">
        <v>39</v>
      </c>
      <c r="L1549" s="1092"/>
      <c r="M1549" s="1092"/>
      <c r="N1549" s="1092"/>
      <c r="O1549" s="1092"/>
      <c r="P1549" s="1092"/>
      <c r="Q1549" s="1092"/>
      <c r="R1549" s="1092"/>
      <c r="S1549" s="1093"/>
    </row>
    <row r="1550" spans="1:19">
      <c r="A1550" s="1094" t="s">
        <v>1075</v>
      </c>
      <c r="B1550" s="1095"/>
      <c r="C1550" s="1095"/>
      <c r="D1550" s="1095"/>
      <c r="E1550" s="1095"/>
      <c r="F1550" s="1095"/>
      <c r="G1550" s="1095"/>
      <c r="H1550" s="1095"/>
      <c r="I1550" s="1096"/>
      <c r="K1550" s="1094" t="str">
        <f>A1550</f>
        <v>[Vide rule 78 (1) (b) of the Contract Labour (Regulation and Abolition) Central and A.P.{T.S.}Rules, 1971]</v>
      </c>
      <c r="L1550" s="1095"/>
      <c r="M1550" s="1095"/>
      <c r="N1550" s="1095"/>
      <c r="O1550" s="1095"/>
      <c r="P1550" s="1095"/>
      <c r="Q1550" s="1095"/>
      <c r="R1550" s="1095"/>
      <c r="S1550" s="1096"/>
    </row>
    <row r="1551" spans="1:19">
      <c r="A1551" s="15"/>
      <c r="B1551" s="114"/>
      <c r="C1551" s="114"/>
      <c r="D1551" s="114"/>
      <c r="E1551" s="114"/>
      <c r="F1551" s="114"/>
      <c r="G1551" s="114"/>
      <c r="H1551" s="114"/>
      <c r="I1551" s="16"/>
      <c r="K1551" s="15"/>
      <c r="L1551" s="114"/>
      <c r="M1551" s="114"/>
      <c r="N1551" s="114"/>
      <c r="O1551" s="114"/>
      <c r="P1551" s="114"/>
      <c r="Q1551" s="114"/>
      <c r="R1551" s="114"/>
      <c r="S1551" s="16"/>
    </row>
    <row r="1552" spans="1:19">
      <c r="A1552" s="17" t="s">
        <v>40</v>
      </c>
      <c r="B1552" s="120"/>
      <c r="C1552" s="120"/>
      <c r="D1552" s="121" t="str">
        <f>Master!F5</f>
        <v>GROTECH LANDSCAPE DEVELOPERS PVT. LTD.</v>
      </c>
      <c r="E1552" s="114"/>
      <c r="F1552" s="114"/>
      <c r="G1552" s="114"/>
      <c r="H1552" s="114"/>
      <c r="I1552" s="16"/>
      <c r="K1552" s="17" t="s">
        <v>40</v>
      </c>
      <c r="L1552" s="120"/>
      <c r="M1552" s="120"/>
      <c r="N1552" s="121" t="str">
        <f>D1552</f>
        <v>GROTECH LANDSCAPE DEVELOPERS PVT. LTD.</v>
      </c>
      <c r="O1552" s="114"/>
      <c r="P1552" s="114"/>
      <c r="Q1552" s="114"/>
      <c r="R1552" s="114"/>
      <c r="S1552" s="16"/>
    </row>
    <row r="1553" spans="1:19">
      <c r="A1553" s="17"/>
      <c r="B1553" s="120" t="str">
        <f>Master!F6</f>
        <v>290/E, Khanapur Village, Gandipet Mandal, Ranga Reddy, Hyderabad-500075 T.S.</v>
      </c>
      <c r="C1553" s="120"/>
      <c r="D1553" s="114"/>
      <c r="E1553" s="114"/>
      <c r="F1553" s="114"/>
      <c r="G1553" s="114"/>
      <c r="H1553" s="114"/>
      <c r="I1553" s="16"/>
      <c r="K1553" s="17"/>
      <c r="L1553" s="120" t="str">
        <f>B1553</f>
        <v>290/E, Khanapur Village, Gandipet Mandal, Ranga Reddy, Hyderabad-500075 T.S.</v>
      </c>
      <c r="M1553" s="120"/>
      <c r="N1553" s="114"/>
      <c r="O1553" s="114"/>
      <c r="P1553" s="114"/>
      <c r="Q1553" s="114"/>
      <c r="R1553" s="114"/>
      <c r="S1553" s="16"/>
    </row>
    <row r="1554" spans="1:19">
      <c r="A1554" s="17"/>
      <c r="B1554" s="120"/>
      <c r="C1554" s="120"/>
      <c r="D1554" s="120"/>
      <c r="E1554" s="120"/>
      <c r="F1554" s="114"/>
      <c r="G1554" s="114"/>
      <c r="H1554" s="114"/>
      <c r="I1554" s="16"/>
      <c r="K1554" s="17"/>
      <c r="L1554" s="120"/>
      <c r="M1554" s="120"/>
      <c r="N1554" s="120"/>
      <c r="O1554" s="120"/>
      <c r="P1554" s="114"/>
      <c r="Q1554" s="114"/>
      <c r="R1554" s="114"/>
      <c r="S1554" s="16"/>
    </row>
    <row r="1555" spans="1:19">
      <c r="A1555" s="1097" t="s">
        <v>41</v>
      </c>
      <c r="B1555" s="1098"/>
      <c r="C1555" s="1098"/>
      <c r="D1555" s="1098"/>
      <c r="E1555" s="120"/>
      <c r="F1555" s="114"/>
      <c r="G1555" s="114"/>
      <c r="H1555" s="114"/>
      <c r="I1555" s="16"/>
      <c r="K1555" s="1097" t="s">
        <v>41</v>
      </c>
      <c r="L1555" s="1098"/>
      <c r="M1555" s="1098"/>
      <c r="N1555" s="1098"/>
      <c r="O1555" s="120"/>
      <c r="P1555" s="114"/>
      <c r="Q1555" s="114"/>
      <c r="R1555" s="114"/>
      <c r="S1555" s="16"/>
    </row>
    <row r="1556" spans="1:19">
      <c r="A1556" s="1097"/>
      <c r="B1556" s="1098"/>
      <c r="C1556" s="1098"/>
      <c r="D1556" s="1098"/>
      <c r="E1556" s="128" t="str">
        <f>Master!D51</f>
        <v>Ningolla santhosha</v>
      </c>
      <c r="F1556" s="19"/>
      <c r="G1556" s="19"/>
      <c r="H1556" s="19" t="str">
        <f>Master!G51</f>
        <v>NINGOLLA RAJU</v>
      </c>
      <c r="I1556" s="16"/>
      <c r="K1556" s="1097"/>
      <c r="L1556" s="1098"/>
      <c r="M1556" s="1098"/>
      <c r="N1556" s="1098"/>
      <c r="O1556" s="18" t="str">
        <f>E1556</f>
        <v>Ningolla santhosha</v>
      </c>
      <c r="P1556" s="19"/>
      <c r="Q1556" s="19"/>
      <c r="R1556" s="19" t="str">
        <f>H1556</f>
        <v>NINGOLLA RAJU</v>
      </c>
      <c r="S1556" s="16"/>
    </row>
    <row r="1557" spans="1:19">
      <c r="A1557" s="17"/>
      <c r="B1557" s="120"/>
      <c r="C1557" s="120"/>
      <c r="D1557" s="120"/>
      <c r="E1557" s="120"/>
      <c r="F1557" s="114"/>
      <c r="G1557" s="114"/>
      <c r="H1557" s="114"/>
      <c r="I1557" s="16"/>
      <c r="K1557" s="17"/>
      <c r="L1557" s="120"/>
      <c r="M1557" s="120"/>
      <c r="N1557" s="120"/>
      <c r="O1557" s="120"/>
      <c r="P1557" s="114"/>
      <c r="Q1557" s="114"/>
      <c r="R1557" s="114"/>
      <c r="S1557" s="16"/>
    </row>
    <row r="1558" spans="1:19">
      <c r="A1558" s="1101" t="s">
        <v>42</v>
      </c>
      <c r="B1558" s="1099"/>
      <c r="C1558" s="1099"/>
      <c r="D1558" s="1099"/>
      <c r="E1558" s="24" t="str">
        <f>Master!F8</f>
        <v>GARDENING SERVICES&amp;ISB HYDERABAD</v>
      </c>
      <c r="F1558" s="19"/>
      <c r="G1558" s="19"/>
      <c r="H1558" s="19"/>
      <c r="I1558" s="16"/>
      <c r="K1558" s="1101" t="s">
        <v>42</v>
      </c>
      <c r="L1558" s="1099"/>
      <c r="M1558" s="1099"/>
      <c r="N1558" s="1099"/>
      <c r="O1558" s="24" t="str">
        <f>E1558</f>
        <v>GARDENING SERVICES&amp;ISB HYDERABAD</v>
      </c>
      <c r="P1558" s="19"/>
      <c r="Q1558" s="19"/>
      <c r="R1558" s="19"/>
      <c r="S1558" s="16"/>
    </row>
    <row r="1559" spans="1:19">
      <c r="A1559" s="17"/>
      <c r="B1559" s="120"/>
      <c r="C1559" s="120"/>
      <c r="D1559" s="120"/>
      <c r="E1559" s="120"/>
      <c r="F1559" s="114"/>
      <c r="G1559" s="114"/>
      <c r="H1559" s="114"/>
      <c r="I1559" s="16"/>
      <c r="K1559" s="17"/>
      <c r="L1559" s="120"/>
      <c r="M1559" s="120"/>
      <c r="N1559" s="120"/>
      <c r="O1559" s="120"/>
      <c r="P1559" s="114"/>
      <c r="Q1559" s="114"/>
      <c r="R1559" s="114"/>
      <c r="S1559" s="16"/>
    </row>
    <row r="1560" spans="1:19">
      <c r="A1560" s="1101" t="s">
        <v>43</v>
      </c>
      <c r="B1560" s="1099"/>
      <c r="C1560" s="1099"/>
      <c r="D1560" s="1099"/>
      <c r="E1560" s="20">
        <f>Master!F10</f>
        <v>44652</v>
      </c>
      <c r="F1560" s="19"/>
      <c r="G1560" s="19"/>
      <c r="H1560" s="19"/>
      <c r="I1560" s="16"/>
      <c r="K1560" s="1101" t="s">
        <v>43</v>
      </c>
      <c r="L1560" s="1099"/>
      <c r="M1560" s="1099"/>
      <c r="N1560" s="1099"/>
      <c r="O1560" s="20">
        <f>E1560</f>
        <v>44652</v>
      </c>
      <c r="P1560" s="19"/>
      <c r="Q1560" s="19"/>
      <c r="R1560" s="19"/>
      <c r="S1560" s="16"/>
    </row>
    <row r="1561" spans="1:19">
      <c r="A1561" s="17"/>
      <c r="B1561" s="120"/>
      <c r="C1561" s="120"/>
      <c r="D1561" s="120"/>
      <c r="E1561" s="120"/>
      <c r="F1561" s="114"/>
      <c r="G1561" s="114"/>
      <c r="H1561" s="114"/>
      <c r="I1561" s="16"/>
      <c r="K1561" s="17"/>
      <c r="L1561" s="120"/>
      <c r="M1561" s="120"/>
      <c r="N1561" s="120"/>
      <c r="O1561" s="120"/>
      <c r="P1561" s="114"/>
      <c r="Q1561" s="114"/>
      <c r="R1561" s="114"/>
      <c r="S1561" s="16"/>
    </row>
    <row r="1562" spans="1:19">
      <c r="A1562" s="21">
        <v>1</v>
      </c>
      <c r="B1562" s="1099" t="s">
        <v>44</v>
      </c>
      <c r="C1562" s="1099"/>
      <c r="D1562" s="1099"/>
      <c r="E1562" s="22">
        <f>Master!AA51</f>
        <v>26</v>
      </c>
      <c r="F1562" s="19"/>
      <c r="G1562" s="19"/>
      <c r="H1562" s="19"/>
      <c r="I1562" s="16"/>
      <c r="K1562" s="21">
        <v>1</v>
      </c>
      <c r="L1562" s="1099" t="s">
        <v>44</v>
      </c>
      <c r="M1562" s="1099"/>
      <c r="N1562" s="1099"/>
      <c r="O1562" s="22">
        <f>E1562</f>
        <v>26</v>
      </c>
      <c r="P1562" s="19"/>
      <c r="Q1562" s="19"/>
      <c r="R1562" s="19"/>
      <c r="S1562" s="16"/>
    </row>
    <row r="1563" spans="1:19">
      <c r="A1563" s="21"/>
      <c r="B1563" s="120"/>
      <c r="C1563" s="120"/>
      <c r="D1563" s="120"/>
      <c r="E1563" s="120"/>
      <c r="F1563" s="114"/>
      <c r="G1563" s="114"/>
      <c r="H1563" s="114"/>
      <c r="I1563" s="16"/>
      <c r="K1563" s="21"/>
      <c r="L1563" s="120"/>
      <c r="M1563" s="120"/>
      <c r="N1563" s="120"/>
      <c r="O1563" s="120"/>
      <c r="P1563" s="114"/>
      <c r="Q1563" s="114"/>
      <c r="R1563" s="114"/>
      <c r="S1563" s="16"/>
    </row>
    <row r="1564" spans="1:19">
      <c r="A1564" s="21">
        <v>2</v>
      </c>
      <c r="B1564" s="1098" t="s">
        <v>45</v>
      </c>
      <c r="C1564" s="1098"/>
      <c r="D1564" s="1098"/>
      <c r="E1564" s="120"/>
      <c r="F1564" s="114"/>
      <c r="G1564" s="114"/>
      <c r="H1564" s="114"/>
      <c r="I1564" s="16"/>
      <c r="K1564" s="21">
        <v>2</v>
      </c>
      <c r="L1564" s="1098" t="s">
        <v>45</v>
      </c>
      <c r="M1564" s="1098"/>
      <c r="N1564" s="1098"/>
      <c r="O1564" s="120"/>
      <c r="P1564" s="114"/>
      <c r="Q1564" s="114"/>
      <c r="R1564" s="114"/>
      <c r="S1564" s="16"/>
    </row>
    <row r="1565" spans="1:19">
      <c r="A1565" s="21"/>
      <c r="B1565" s="1098"/>
      <c r="C1565" s="1098"/>
      <c r="D1565" s="1098"/>
      <c r="E1565" s="23" t="s">
        <v>28</v>
      </c>
      <c r="F1565" s="19"/>
      <c r="G1565" s="19"/>
      <c r="H1565" s="19"/>
      <c r="I1565" s="16"/>
      <c r="K1565" s="21"/>
      <c r="L1565" s="1098"/>
      <c r="M1565" s="1098"/>
      <c r="N1565" s="1098"/>
      <c r="O1565" s="23" t="s">
        <v>28</v>
      </c>
      <c r="P1565" s="19"/>
      <c r="Q1565" s="19"/>
      <c r="R1565" s="19"/>
      <c r="S1565" s="16"/>
    </row>
    <row r="1566" spans="1:19">
      <c r="A1566" s="21"/>
      <c r="B1566" s="120"/>
      <c r="C1566" s="120"/>
      <c r="D1566" s="120"/>
      <c r="E1566" s="120"/>
      <c r="F1566" s="114"/>
      <c r="G1566" s="114"/>
      <c r="H1566" s="114"/>
      <c r="I1566" s="16"/>
      <c r="K1566" s="21"/>
      <c r="L1566" s="120"/>
      <c r="M1566" s="120"/>
      <c r="N1566" s="120"/>
      <c r="O1566" s="120"/>
      <c r="P1566" s="114"/>
      <c r="Q1566" s="114"/>
      <c r="R1566" s="114"/>
      <c r="S1566" s="16"/>
    </row>
    <row r="1567" spans="1:19">
      <c r="A1567" s="21">
        <v>3</v>
      </c>
      <c r="B1567" s="1099" t="s">
        <v>46</v>
      </c>
      <c r="C1567" s="1099"/>
      <c r="D1567" s="1099"/>
      <c r="E1567" s="23" t="s">
        <v>28</v>
      </c>
      <c r="F1567" s="19"/>
      <c r="G1567" s="19"/>
      <c r="H1567" s="19"/>
      <c r="I1567" s="16"/>
      <c r="K1567" s="21">
        <v>3</v>
      </c>
      <c r="L1567" s="1099" t="s">
        <v>46</v>
      </c>
      <c r="M1567" s="1099"/>
      <c r="N1567" s="1099"/>
      <c r="O1567" s="18" t="str">
        <f>E1567</f>
        <v>N/A</v>
      </c>
      <c r="P1567" s="19"/>
      <c r="Q1567" s="19"/>
      <c r="R1567" s="19"/>
      <c r="S1567" s="16"/>
    </row>
    <row r="1568" spans="1:19">
      <c r="A1568" s="21"/>
      <c r="B1568" s="120"/>
      <c r="C1568" s="120"/>
      <c r="D1568" s="120"/>
      <c r="E1568" s="120"/>
      <c r="F1568" s="114"/>
      <c r="G1568" s="114"/>
      <c r="H1568" s="114"/>
      <c r="I1568" s="16"/>
      <c r="K1568" s="21"/>
      <c r="L1568" s="120"/>
      <c r="M1568" s="120"/>
      <c r="N1568" s="120"/>
      <c r="O1568" s="120"/>
      <c r="P1568" s="114"/>
      <c r="Q1568" s="114"/>
      <c r="R1568" s="114"/>
      <c r="S1568" s="16"/>
    </row>
    <row r="1569" spans="1:19">
      <c r="A1569" s="21">
        <v>4</v>
      </c>
      <c r="B1569" s="1099" t="s">
        <v>47</v>
      </c>
      <c r="C1569" s="1099"/>
      <c r="D1569" s="1099"/>
      <c r="E1569" s="23" t="s">
        <v>48</v>
      </c>
      <c r="F1569" s="19"/>
      <c r="G1569" s="19"/>
      <c r="H1569" s="19"/>
      <c r="I1569" s="16"/>
      <c r="K1569" s="21">
        <v>4</v>
      </c>
      <c r="L1569" s="1099" t="s">
        <v>47</v>
      </c>
      <c r="M1569" s="1099"/>
      <c r="N1569" s="1099"/>
      <c r="O1569" s="23" t="s">
        <v>48</v>
      </c>
      <c r="P1569" s="19"/>
      <c r="Q1569" s="19"/>
      <c r="R1569" s="19"/>
      <c r="S1569" s="16"/>
    </row>
    <row r="1570" spans="1:19">
      <c r="A1570" s="21"/>
      <c r="B1570" s="120"/>
      <c r="C1570" s="120"/>
      <c r="D1570" s="120"/>
      <c r="E1570" s="120"/>
      <c r="F1570" s="114"/>
      <c r="G1570" s="114"/>
      <c r="H1570" s="114"/>
      <c r="I1570" s="16"/>
      <c r="K1570" s="21"/>
      <c r="L1570" s="120"/>
      <c r="M1570" s="120"/>
      <c r="N1570" s="120"/>
      <c r="O1570" s="120"/>
      <c r="P1570" s="114"/>
      <c r="Q1570" s="114"/>
      <c r="R1570" s="114"/>
      <c r="S1570" s="16"/>
    </row>
    <row r="1571" spans="1:19">
      <c r="A1571" s="21">
        <v>5</v>
      </c>
      <c r="B1571" s="1099" t="s">
        <v>49</v>
      </c>
      <c r="C1571" s="1099"/>
      <c r="D1571" s="1099"/>
      <c r="E1571" s="24">
        <f>Master!AK51</f>
        <v>9210.4</v>
      </c>
      <c r="F1571" s="19"/>
      <c r="G1571" s="19"/>
      <c r="H1571" s="19"/>
      <c r="I1571" s="16"/>
      <c r="K1571" s="21">
        <v>5</v>
      </c>
      <c r="L1571" s="1099" t="s">
        <v>49</v>
      </c>
      <c r="M1571" s="1099"/>
      <c r="N1571" s="1099"/>
      <c r="O1571" s="24">
        <f>E1571</f>
        <v>9210.4</v>
      </c>
      <c r="P1571" s="19"/>
      <c r="Q1571" s="19"/>
      <c r="R1571" s="19"/>
      <c r="S1571" s="16"/>
    </row>
    <row r="1572" spans="1:19">
      <c r="A1572" s="21"/>
      <c r="B1572" s="120"/>
      <c r="C1572" s="120"/>
      <c r="D1572" s="238" t="s">
        <v>50</v>
      </c>
      <c r="E1572" s="238" t="s">
        <v>23</v>
      </c>
      <c r="F1572" s="136" t="s">
        <v>25</v>
      </c>
      <c r="G1572" s="238" t="s">
        <v>26</v>
      </c>
      <c r="H1572" s="238" t="s">
        <v>202</v>
      </c>
      <c r="I1572" s="126" t="s">
        <v>51</v>
      </c>
      <c r="K1572" s="21"/>
      <c r="L1572" s="120"/>
      <c r="M1572" s="120"/>
      <c r="N1572" s="238" t="s">
        <v>50</v>
      </c>
      <c r="O1572" s="238" t="s">
        <v>23</v>
      </c>
      <c r="P1572" s="136" t="s">
        <v>25</v>
      </c>
      <c r="Q1572" s="238" t="s">
        <v>26</v>
      </c>
      <c r="R1572" s="238" t="str">
        <f>H1572</f>
        <v>ADV</v>
      </c>
      <c r="S1572" s="126" t="s">
        <v>51</v>
      </c>
    </row>
    <row r="1573" spans="1:19">
      <c r="A1573" s="21">
        <v>6</v>
      </c>
      <c r="B1573" s="468" t="s">
        <v>52</v>
      </c>
      <c r="C1573" s="468"/>
      <c r="D1573" s="335">
        <f>Master!AM51</f>
        <v>1105</v>
      </c>
      <c r="E1573" s="335">
        <f>Master!AL51</f>
        <v>70</v>
      </c>
      <c r="F1573" s="180">
        <f>Master!AN51</f>
        <v>0</v>
      </c>
      <c r="G1573" s="180">
        <f>Master!AO51</f>
        <v>0</v>
      </c>
      <c r="H1573" s="180">
        <f>Master!AP51</f>
        <v>0</v>
      </c>
      <c r="I1573" s="127">
        <f>D1573+E1573+F1573+G1573+H1573</f>
        <v>1175</v>
      </c>
      <c r="K1573" s="21">
        <v>6</v>
      </c>
      <c r="L1573" s="468" t="s">
        <v>52</v>
      </c>
      <c r="M1573" s="468"/>
      <c r="N1573" s="335">
        <f>D1573</f>
        <v>1105</v>
      </c>
      <c r="O1573" s="335">
        <f>E1573</f>
        <v>70</v>
      </c>
      <c r="P1573" s="180">
        <f>F1573</f>
        <v>0</v>
      </c>
      <c r="Q1573" s="180">
        <f>G1573</f>
        <v>0</v>
      </c>
      <c r="R1573" s="180">
        <f>H1573</f>
        <v>0</v>
      </c>
      <c r="S1573" s="127">
        <f>N1573+O1573+R1573</f>
        <v>1175</v>
      </c>
    </row>
    <row r="1574" spans="1:19">
      <c r="A1574" s="21"/>
      <c r="B1574" s="120"/>
      <c r="C1574" s="120"/>
      <c r="D1574" s="120"/>
      <c r="E1574" s="120"/>
      <c r="F1574" s="114"/>
      <c r="G1574" s="114"/>
      <c r="H1574" s="114"/>
      <c r="I1574" s="16"/>
      <c r="K1574" s="21"/>
      <c r="L1574" s="120"/>
      <c r="M1574" s="120"/>
      <c r="N1574" s="120"/>
      <c r="O1574" s="120"/>
      <c r="P1574" s="114"/>
      <c r="Q1574" s="114"/>
      <c r="R1574" s="114"/>
      <c r="S1574" s="16"/>
    </row>
    <row r="1575" spans="1:19">
      <c r="A1575" s="21">
        <v>7</v>
      </c>
      <c r="B1575" s="1099" t="s">
        <v>53</v>
      </c>
      <c r="C1575" s="1099"/>
      <c r="D1575" s="1099"/>
      <c r="E1575" s="24">
        <f>E1571-I1573</f>
        <v>8035.4</v>
      </c>
      <c r="F1575" s="19"/>
      <c r="G1575" s="19"/>
      <c r="H1575" s="19"/>
      <c r="I1575" s="16"/>
      <c r="K1575" s="21">
        <v>7</v>
      </c>
      <c r="L1575" s="1099" t="s">
        <v>53</v>
      </c>
      <c r="M1575" s="1099"/>
      <c r="N1575" s="1099"/>
      <c r="O1575" s="24">
        <f>E1575</f>
        <v>8035.4</v>
      </c>
      <c r="P1575" s="19"/>
      <c r="Q1575" s="19"/>
      <c r="R1575" s="19"/>
      <c r="S1575" s="16"/>
    </row>
    <row r="1576" spans="1:19">
      <c r="A1576" s="15"/>
      <c r="B1576" s="114"/>
      <c r="C1576" s="114"/>
      <c r="D1576" s="114"/>
      <c r="E1576" s="114"/>
      <c r="F1576" s="114"/>
      <c r="G1576" s="114"/>
      <c r="H1576" s="114"/>
      <c r="I1576" s="16"/>
      <c r="K1576" s="15"/>
      <c r="L1576" s="114"/>
      <c r="M1576" s="114"/>
      <c r="N1576" s="114"/>
      <c r="O1576" s="114"/>
      <c r="P1576" s="114"/>
      <c r="Q1576" s="114"/>
      <c r="R1576" s="114"/>
      <c r="S1576" s="16"/>
    </row>
    <row r="1577" spans="1:19">
      <c r="A1577" s="15"/>
      <c r="B1577" s="114"/>
      <c r="C1577" s="114"/>
      <c r="D1577" s="114"/>
      <c r="E1577" s="114"/>
      <c r="F1577" s="114"/>
      <c r="G1577" s="114"/>
      <c r="H1577" s="114"/>
      <c r="I1577" s="16"/>
      <c r="K1577" s="15"/>
      <c r="L1577" s="114"/>
      <c r="M1577" s="114"/>
      <c r="N1577" s="114"/>
      <c r="O1577" s="114"/>
      <c r="P1577" s="114"/>
      <c r="Q1577" s="114"/>
      <c r="R1577" s="114"/>
      <c r="S1577" s="16"/>
    </row>
    <row r="1578" spans="1:19" ht="15" thickBot="1">
      <c r="A1578" s="15"/>
      <c r="B1578" s="114"/>
      <c r="C1578" s="114"/>
      <c r="D1578" s="114"/>
      <c r="E1578" s="114"/>
      <c r="F1578" s="25"/>
      <c r="G1578" s="25"/>
      <c r="H1578" s="25"/>
      <c r="I1578" s="26"/>
      <c r="K1578" s="15"/>
      <c r="L1578" s="114"/>
      <c r="M1578" s="114"/>
      <c r="N1578" s="114"/>
      <c r="O1578" s="114"/>
      <c r="P1578" s="25"/>
      <c r="Q1578" s="25"/>
      <c r="R1578" s="25"/>
      <c r="S1578" s="26"/>
    </row>
    <row r="1579" spans="1:19" ht="15" thickBot="1">
      <c r="A1579" s="27"/>
      <c r="B1579" s="25"/>
      <c r="C1579" s="25"/>
      <c r="D1579" s="25"/>
      <c r="E1579" s="999" t="s">
        <v>54</v>
      </c>
      <c r="F1579" s="999"/>
      <c r="G1579" s="999"/>
      <c r="H1579" s="999"/>
      <c r="I1579" s="1100"/>
      <c r="K1579" s="27"/>
      <c r="L1579" s="25"/>
      <c r="M1579" s="25"/>
      <c r="N1579" s="25"/>
      <c r="O1579" s="28" t="s">
        <v>54</v>
      </c>
      <c r="P1579" s="25"/>
      <c r="Q1579" s="28"/>
      <c r="R1579" s="28"/>
      <c r="S1579" s="29"/>
    </row>
    <row r="1591" spans="1:19" ht="15" thickBot="1"/>
    <row r="1592" spans="1:19" ht="24.6">
      <c r="A1592" s="1091" t="s">
        <v>39</v>
      </c>
      <c r="B1592" s="1092"/>
      <c r="C1592" s="1092"/>
      <c r="D1592" s="1092"/>
      <c r="E1592" s="1092"/>
      <c r="F1592" s="1092"/>
      <c r="G1592" s="1092"/>
      <c r="H1592" s="1092"/>
      <c r="I1592" s="1093"/>
      <c r="K1592" s="1091" t="s">
        <v>39</v>
      </c>
      <c r="L1592" s="1092"/>
      <c r="M1592" s="1092"/>
      <c r="N1592" s="1092"/>
      <c r="O1592" s="1092"/>
      <c r="P1592" s="1092"/>
      <c r="Q1592" s="1092"/>
      <c r="R1592" s="1092"/>
      <c r="S1592" s="1093"/>
    </row>
    <row r="1593" spans="1:19">
      <c r="A1593" s="1094" t="s">
        <v>1075</v>
      </c>
      <c r="B1593" s="1095"/>
      <c r="C1593" s="1095"/>
      <c r="D1593" s="1095"/>
      <c r="E1593" s="1095"/>
      <c r="F1593" s="1095"/>
      <c r="G1593" s="1095"/>
      <c r="H1593" s="1095"/>
      <c r="I1593" s="1096"/>
      <c r="K1593" s="1094" t="str">
        <f>A1593</f>
        <v>[Vide rule 78 (1) (b) of the Contract Labour (Regulation and Abolition) Central and A.P.{T.S.}Rules, 1971]</v>
      </c>
      <c r="L1593" s="1095"/>
      <c r="M1593" s="1095"/>
      <c r="N1593" s="1095"/>
      <c r="O1593" s="1095"/>
      <c r="P1593" s="1095"/>
      <c r="Q1593" s="1095"/>
      <c r="R1593" s="1095"/>
      <c r="S1593" s="1096"/>
    </row>
    <row r="1594" spans="1:19">
      <c r="A1594" s="15"/>
      <c r="B1594" s="114"/>
      <c r="C1594" s="114"/>
      <c r="D1594" s="114"/>
      <c r="E1594" s="114"/>
      <c r="F1594" s="114"/>
      <c r="G1594" s="114"/>
      <c r="H1594" s="114"/>
      <c r="I1594" s="16"/>
      <c r="K1594" s="15"/>
      <c r="L1594" s="114"/>
      <c r="M1594" s="114"/>
      <c r="N1594" s="114"/>
      <c r="O1594" s="114"/>
      <c r="P1594" s="114"/>
      <c r="Q1594" s="114"/>
      <c r="R1594" s="114"/>
      <c r="S1594" s="16"/>
    </row>
    <row r="1595" spans="1:19">
      <c r="A1595" s="17" t="s">
        <v>40</v>
      </c>
      <c r="B1595" s="120"/>
      <c r="C1595" s="120"/>
      <c r="D1595" s="121" t="str">
        <f>Master!F5</f>
        <v>GROTECH LANDSCAPE DEVELOPERS PVT. LTD.</v>
      </c>
      <c r="E1595" s="114"/>
      <c r="F1595" s="114"/>
      <c r="G1595" s="114"/>
      <c r="H1595" s="114"/>
      <c r="I1595" s="16"/>
      <c r="K1595" s="17" t="s">
        <v>40</v>
      </c>
      <c r="L1595" s="120"/>
      <c r="M1595" s="120"/>
      <c r="N1595" s="121" t="str">
        <f>D1595</f>
        <v>GROTECH LANDSCAPE DEVELOPERS PVT. LTD.</v>
      </c>
      <c r="O1595" s="114"/>
      <c r="P1595" s="114"/>
      <c r="Q1595" s="114"/>
      <c r="R1595" s="114"/>
      <c r="S1595" s="16"/>
    </row>
    <row r="1596" spans="1:19">
      <c r="A1596" s="17"/>
      <c r="B1596" s="120" t="str">
        <f>Master!F6</f>
        <v>290/E, Khanapur Village, Gandipet Mandal, Ranga Reddy, Hyderabad-500075 T.S.</v>
      </c>
      <c r="C1596" s="120"/>
      <c r="D1596" s="114"/>
      <c r="E1596" s="114"/>
      <c r="F1596" s="114"/>
      <c r="G1596" s="114"/>
      <c r="H1596" s="114"/>
      <c r="I1596" s="16"/>
      <c r="K1596" s="17"/>
      <c r="L1596" s="120" t="str">
        <f>B1596</f>
        <v>290/E, Khanapur Village, Gandipet Mandal, Ranga Reddy, Hyderabad-500075 T.S.</v>
      </c>
      <c r="M1596" s="120"/>
      <c r="N1596" s="114"/>
      <c r="O1596" s="114"/>
      <c r="P1596" s="114"/>
      <c r="Q1596" s="114"/>
      <c r="R1596" s="114"/>
      <c r="S1596" s="16"/>
    </row>
    <row r="1597" spans="1:19">
      <c r="A1597" s="17"/>
      <c r="B1597" s="120"/>
      <c r="C1597" s="120"/>
      <c r="D1597" s="120"/>
      <c r="E1597" s="120"/>
      <c r="F1597" s="114"/>
      <c r="G1597" s="114"/>
      <c r="H1597" s="114"/>
      <c r="I1597" s="16"/>
      <c r="K1597" s="17"/>
      <c r="L1597" s="120"/>
      <c r="M1597" s="120"/>
      <c r="N1597" s="120"/>
      <c r="O1597" s="120"/>
      <c r="P1597" s="114"/>
      <c r="Q1597" s="114"/>
      <c r="R1597" s="114"/>
      <c r="S1597" s="16"/>
    </row>
    <row r="1598" spans="1:19">
      <c r="A1598" s="1097" t="s">
        <v>41</v>
      </c>
      <c r="B1598" s="1098"/>
      <c r="C1598" s="1098"/>
      <c r="D1598" s="1098"/>
      <c r="E1598" s="120"/>
      <c r="F1598" s="114"/>
      <c r="G1598" s="114"/>
      <c r="H1598" s="114"/>
      <c r="I1598" s="16"/>
      <c r="K1598" s="1097" t="s">
        <v>41</v>
      </c>
      <c r="L1598" s="1098"/>
      <c r="M1598" s="1098"/>
      <c r="N1598" s="1098"/>
      <c r="O1598" s="120"/>
      <c r="P1598" s="114"/>
      <c r="Q1598" s="114"/>
      <c r="R1598" s="114"/>
      <c r="S1598" s="16"/>
    </row>
    <row r="1599" spans="1:19">
      <c r="A1599" s="1097"/>
      <c r="B1599" s="1098"/>
      <c r="C1599" s="1098"/>
      <c r="D1599" s="1098"/>
      <c r="E1599" s="128" t="str">
        <f>Master!D52</f>
        <v>Mutholla Suneeta</v>
      </c>
      <c r="F1599" s="19"/>
      <c r="G1599" s="19"/>
      <c r="H1599" s="19" t="str">
        <f>Master!G52</f>
        <v>MUTHOLLA MALLESH</v>
      </c>
      <c r="I1599" s="16"/>
      <c r="K1599" s="1097"/>
      <c r="L1599" s="1098"/>
      <c r="M1599" s="1098"/>
      <c r="N1599" s="1098"/>
      <c r="O1599" s="18" t="str">
        <f>E1599</f>
        <v>Mutholla Suneeta</v>
      </c>
      <c r="P1599" s="19"/>
      <c r="Q1599" s="19"/>
      <c r="R1599" s="19" t="str">
        <f>H1599</f>
        <v>MUTHOLLA MALLESH</v>
      </c>
      <c r="S1599" s="16"/>
    </row>
    <row r="1600" spans="1:19">
      <c r="A1600" s="17"/>
      <c r="B1600" s="120"/>
      <c r="C1600" s="120"/>
      <c r="D1600" s="120"/>
      <c r="E1600" s="120"/>
      <c r="F1600" s="114"/>
      <c r="G1600" s="114"/>
      <c r="H1600" s="114"/>
      <c r="I1600" s="16"/>
      <c r="K1600" s="17"/>
      <c r="L1600" s="120"/>
      <c r="M1600" s="120"/>
      <c r="N1600" s="120"/>
      <c r="O1600" s="120"/>
      <c r="P1600" s="114"/>
      <c r="Q1600" s="114"/>
      <c r="R1600" s="114"/>
      <c r="S1600" s="16"/>
    </row>
    <row r="1601" spans="1:19">
      <c r="A1601" s="1101" t="s">
        <v>42</v>
      </c>
      <c r="B1601" s="1099"/>
      <c r="C1601" s="1099"/>
      <c r="D1601" s="1099"/>
      <c r="E1601" s="24" t="str">
        <f>Master!F8</f>
        <v>GARDENING SERVICES&amp;ISB HYDERABAD</v>
      </c>
      <c r="F1601" s="19"/>
      <c r="G1601" s="19"/>
      <c r="H1601" s="19"/>
      <c r="I1601" s="16"/>
      <c r="K1601" s="1101" t="s">
        <v>42</v>
      </c>
      <c r="L1601" s="1099"/>
      <c r="M1601" s="1099"/>
      <c r="N1601" s="1099"/>
      <c r="O1601" s="24" t="str">
        <f>E1601</f>
        <v>GARDENING SERVICES&amp;ISB HYDERABAD</v>
      </c>
      <c r="P1601" s="19"/>
      <c r="Q1601" s="19"/>
      <c r="R1601" s="19"/>
      <c r="S1601" s="16"/>
    </row>
    <row r="1602" spans="1:19">
      <c r="A1602" s="17"/>
      <c r="B1602" s="120"/>
      <c r="C1602" s="120"/>
      <c r="D1602" s="120"/>
      <c r="E1602" s="120"/>
      <c r="F1602" s="114"/>
      <c r="G1602" s="114"/>
      <c r="H1602" s="114"/>
      <c r="I1602" s="16"/>
      <c r="K1602" s="17"/>
      <c r="L1602" s="120"/>
      <c r="M1602" s="120"/>
      <c r="N1602" s="120"/>
      <c r="O1602" s="120"/>
      <c r="P1602" s="114"/>
      <c r="Q1602" s="114"/>
      <c r="R1602" s="114"/>
      <c r="S1602" s="16"/>
    </row>
    <row r="1603" spans="1:19">
      <c r="A1603" s="1101" t="s">
        <v>43</v>
      </c>
      <c r="B1603" s="1099"/>
      <c r="C1603" s="1099"/>
      <c r="D1603" s="1099"/>
      <c r="E1603" s="20">
        <f>Master!F10</f>
        <v>44652</v>
      </c>
      <c r="F1603" s="19"/>
      <c r="G1603" s="19"/>
      <c r="H1603" s="19"/>
      <c r="I1603" s="16"/>
      <c r="K1603" s="1101" t="s">
        <v>43</v>
      </c>
      <c r="L1603" s="1099"/>
      <c r="M1603" s="1099"/>
      <c r="N1603" s="1099"/>
      <c r="O1603" s="20">
        <f>E1603</f>
        <v>44652</v>
      </c>
      <c r="P1603" s="19"/>
      <c r="Q1603" s="19"/>
      <c r="R1603" s="19"/>
      <c r="S1603" s="16"/>
    </row>
    <row r="1604" spans="1:19">
      <c r="A1604" s="17"/>
      <c r="B1604" s="120"/>
      <c r="C1604" s="120"/>
      <c r="D1604" s="120"/>
      <c r="E1604" s="120"/>
      <c r="F1604" s="114"/>
      <c r="G1604" s="114"/>
      <c r="H1604" s="114"/>
      <c r="I1604" s="16"/>
      <c r="K1604" s="17"/>
      <c r="L1604" s="120"/>
      <c r="M1604" s="120"/>
      <c r="N1604" s="120"/>
      <c r="O1604" s="120"/>
      <c r="P1604" s="114"/>
      <c r="Q1604" s="114"/>
      <c r="R1604" s="114"/>
      <c r="S1604" s="16"/>
    </row>
    <row r="1605" spans="1:19">
      <c r="A1605" s="21">
        <v>1</v>
      </c>
      <c r="B1605" s="1099" t="s">
        <v>44</v>
      </c>
      <c r="C1605" s="1099"/>
      <c r="D1605" s="1099"/>
      <c r="E1605" s="22">
        <f>Master!AA52</f>
        <v>26</v>
      </c>
      <c r="F1605" s="19"/>
      <c r="G1605" s="19"/>
      <c r="H1605" s="19"/>
      <c r="I1605" s="16"/>
      <c r="K1605" s="21">
        <v>1</v>
      </c>
      <c r="L1605" s="1099" t="s">
        <v>44</v>
      </c>
      <c r="M1605" s="1099"/>
      <c r="N1605" s="1099"/>
      <c r="O1605" s="22">
        <f>E1605</f>
        <v>26</v>
      </c>
      <c r="P1605" s="19"/>
      <c r="Q1605" s="19"/>
      <c r="R1605" s="19"/>
      <c r="S1605" s="16"/>
    </row>
    <row r="1606" spans="1:19">
      <c r="A1606" s="21"/>
      <c r="B1606" s="120"/>
      <c r="C1606" s="120"/>
      <c r="D1606" s="120"/>
      <c r="E1606" s="120"/>
      <c r="F1606" s="114"/>
      <c r="G1606" s="114"/>
      <c r="H1606" s="114"/>
      <c r="I1606" s="16"/>
      <c r="K1606" s="21"/>
      <c r="L1606" s="120"/>
      <c r="M1606" s="120"/>
      <c r="N1606" s="120"/>
      <c r="O1606" s="120"/>
      <c r="P1606" s="114"/>
      <c r="Q1606" s="114"/>
      <c r="R1606" s="114"/>
      <c r="S1606" s="16"/>
    </row>
    <row r="1607" spans="1:19">
      <c r="A1607" s="21">
        <v>2</v>
      </c>
      <c r="B1607" s="1098" t="s">
        <v>45</v>
      </c>
      <c r="C1607" s="1098"/>
      <c r="D1607" s="1098"/>
      <c r="E1607" s="120"/>
      <c r="F1607" s="114"/>
      <c r="G1607" s="114"/>
      <c r="H1607" s="114"/>
      <c r="I1607" s="16"/>
      <c r="K1607" s="21">
        <v>2</v>
      </c>
      <c r="L1607" s="1098" t="s">
        <v>45</v>
      </c>
      <c r="M1607" s="1098"/>
      <c r="N1607" s="1098"/>
      <c r="O1607" s="120"/>
      <c r="P1607" s="114"/>
      <c r="Q1607" s="114"/>
      <c r="R1607" s="114"/>
      <c r="S1607" s="16"/>
    </row>
    <row r="1608" spans="1:19">
      <c r="A1608" s="21"/>
      <c r="B1608" s="1098"/>
      <c r="C1608" s="1098"/>
      <c r="D1608" s="1098"/>
      <c r="E1608" s="23" t="s">
        <v>28</v>
      </c>
      <c r="F1608" s="19"/>
      <c r="G1608" s="19"/>
      <c r="H1608" s="19"/>
      <c r="I1608" s="16"/>
      <c r="K1608" s="21"/>
      <c r="L1608" s="1098"/>
      <c r="M1608" s="1098"/>
      <c r="N1608" s="1098"/>
      <c r="O1608" s="23" t="s">
        <v>28</v>
      </c>
      <c r="P1608" s="19"/>
      <c r="Q1608" s="19"/>
      <c r="R1608" s="19"/>
      <c r="S1608" s="16"/>
    </row>
    <row r="1609" spans="1:19">
      <c r="A1609" s="21"/>
      <c r="B1609" s="120"/>
      <c r="C1609" s="120"/>
      <c r="D1609" s="120"/>
      <c r="E1609" s="120"/>
      <c r="F1609" s="114"/>
      <c r="G1609" s="114"/>
      <c r="H1609" s="114"/>
      <c r="I1609" s="16"/>
      <c r="K1609" s="21"/>
      <c r="L1609" s="120"/>
      <c r="M1609" s="120"/>
      <c r="N1609" s="120"/>
      <c r="O1609" s="120"/>
      <c r="P1609" s="114"/>
      <c r="Q1609" s="114"/>
      <c r="R1609" s="114"/>
      <c r="S1609" s="16"/>
    </row>
    <row r="1610" spans="1:19">
      <c r="A1610" s="21">
        <v>3</v>
      </c>
      <c r="B1610" s="1099" t="s">
        <v>46</v>
      </c>
      <c r="C1610" s="1099"/>
      <c r="D1610" s="1099"/>
      <c r="E1610" s="23" t="s">
        <v>28</v>
      </c>
      <c r="F1610" s="19"/>
      <c r="G1610" s="19"/>
      <c r="H1610" s="19"/>
      <c r="I1610" s="16"/>
      <c r="K1610" s="21">
        <v>3</v>
      </c>
      <c r="L1610" s="1099" t="s">
        <v>46</v>
      </c>
      <c r="M1610" s="1099"/>
      <c r="N1610" s="1099"/>
      <c r="O1610" s="18" t="str">
        <f>E1610</f>
        <v>N/A</v>
      </c>
      <c r="P1610" s="19"/>
      <c r="Q1610" s="19"/>
      <c r="R1610" s="19"/>
      <c r="S1610" s="16"/>
    </row>
    <row r="1611" spans="1:19">
      <c r="A1611" s="21"/>
      <c r="B1611" s="120"/>
      <c r="C1611" s="120"/>
      <c r="D1611" s="120"/>
      <c r="E1611" s="120"/>
      <c r="F1611" s="114"/>
      <c r="G1611" s="114"/>
      <c r="H1611" s="114"/>
      <c r="I1611" s="16"/>
      <c r="K1611" s="21"/>
      <c r="L1611" s="120"/>
      <c r="M1611" s="120"/>
      <c r="N1611" s="120"/>
      <c r="O1611" s="120"/>
      <c r="P1611" s="114"/>
      <c r="Q1611" s="114"/>
      <c r="R1611" s="114"/>
      <c r="S1611" s="16"/>
    </row>
    <row r="1612" spans="1:19">
      <c r="A1612" s="21">
        <v>4</v>
      </c>
      <c r="B1612" s="1099" t="s">
        <v>47</v>
      </c>
      <c r="C1612" s="1099"/>
      <c r="D1612" s="1099"/>
      <c r="E1612" s="23" t="s">
        <v>48</v>
      </c>
      <c r="F1612" s="19"/>
      <c r="G1612" s="19"/>
      <c r="H1612" s="19"/>
      <c r="I1612" s="16"/>
      <c r="K1612" s="21">
        <v>4</v>
      </c>
      <c r="L1612" s="1099" t="s">
        <v>47</v>
      </c>
      <c r="M1612" s="1099"/>
      <c r="N1612" s="1099"/>
      <c r="O1612" s="23" t="s">
        <v>48</v>
      </c>
      <c r="P1612" s="19"/>
      <c r="Q1612" s="19"/>
      <c r="R1612" s="19"/>
      <c r="S1612" s="16"/>
    </row>
    <row r="1613" spans="1:19">
      <c r="A1613" s="21"/>
      <c r="B1613" s="120"/>
      <c r="C1613" s="120"/>
      <c r="D1613" s="120"/>
      <c r="E1613" s="120"/>
      <c r="F1613" s="114"/>
      <c r="G1613" s="114"/>
      <c r="H1613" s="114"/>
      <c r="I1613" s="16"/>
      <c r="K1613" s="21"/>
      <c r="L1613" s="120"/>
      <c r="M1613" s="120"/>
      <c r="N1613" s="120"/>
      <c r="O1613" s="120"/>
      <c r="P1613" s="114"/>
      <c r="Q1613" s="114"/>
      <c r="R1613" s="114"/>
      <c r="S1613" s="16"/>
    </row>
    <row r="1614" spans="1:19">
      <c r="A1614" s="21">
        <v>5</v>
      </c>
      <c r="B1614" s="1099" t="s">
        <v>49</v>
      </c>
      <c r="C1614" s="1099"/>
      <c r="D1614" s="1099"/>
      <c r="E1614" s="24">
        <f>Master!AK52</f>
        <v>9210.4</v>
      </c>
      <c r="F1614" s="19"/>
      <c r="G1614" s="19"/>
      <c r="H1614" s="19"/>
      <c r="I1614" s="16"/>
      <c r="K1614" s="21">
        <v>5</v>
      </c>
      <c r="L1614" s="1099" t="s">
        <v>49</v>
      </c>
      <c r="M1614" s="1099"/>
      <c r="N1614" s="1099"/>
      <c r="O1614" s="24">
        <f>E1614</f>
        <v>9210.4</v>
      </c>
      <c r="P1614" s="19"/>
      <c r="Q1614" s="19"/>
      <c r="R1614" s="19"/>
      <c r="S1614" s="16"/>
    </row>
    <row r="1615" spans="1:19">
      <c r="A1615" s="21"/>
      <c r="B1615" s="120"/>
      <c r="C1615" s="120"/>
      <c r="D1615" s="238" t="s">
        <v>50</v>
      </c>
      <c r="E1615" s="238" t="s">
        <v>23</v>
      </c>
      <c r="F1615" s="136" t="s">
        <v>25</v>
      </c>
      <c r="G1615" s="238" t="s">
        <v>26</v>
      </c>
      <c r="H1615" s="238" t="s">
        <v>202</v>
      </c>
      <c r="I1615" s="126" t="s">
        <v>51</v>
      </c>
      <c r="K1615" s="21"/>
      <c r="L1615" s="120"/>
      <c r="M1615" s="120"/>
      <c r="N1615" s="238" t="s">
        <v>50</v>
      </c>
      <c r="O1615" s="238" t="s">
        <v>23</v>
      </c>
      <c r="P1615" s="136" t="s">
        <v>25</v>
      </c>
      <c r="Q1615" s="238" t="s">
        <v>26</v>
      </c>
      <c r="R1615" s="238" t="str">
        <f>H1615</f>
        <v>ADV</v>
      </c>
      <c r="S1615" s="126" t="s">
        <v>51</v>
      </c>
    </row>
    <row r="1616" spans="1:19">
      <c r="A1616" s="21">
        <v>6</v>
      </c>
      <c r="B1616" s="468" t="s">
        <v>52</v>
      </c>
      <c r="C1616" s="468"/>
      <c r="D1616" s="335">
        <f>Master!AM52</f>
        <v>1105</v>
      </c>
      <c r="E1616" s="335">
        <f>Master!AL52</f>
        <v>70</v>
      </c>
      <c r="F1616" s="180">
        <f>Master!AN52</f>
        <v>0</v>
      </c>
      <c r="G1616" s="180">
        <f>Master!AO52</f>
        <v>0</v>
      </c>
      <c r="H1616" s="180">
        <f>Master!AP52</f>
        <v>0</v>
      </c>
      <c r="I1616" s="127">
        <f>D1616+E1616+F1616+G1616+H1616</f>
        <v>1175</v>
      </c>
      <c r="K1616" s="21">
        <v>6</v>
      </c>
      <c r="L1616" s="468" t="s">
        <v>52</v>
      </c>
      <c r="M1616" s="468"/>
      <c r="N1616" s="335">
        <f>D1616</f>
        <v>1105</v>
      </c>
      <c r="O1616" s="335">
        <f>E1616</f>
        <v>70</v>
      </c>
      <c r="P1616" s="180">
        <f>F1616</f>
        <v>0</v>
      </c>
      <c r="Q1616" s="180">
        <f>G1616</f>
        <v>0</v>
      </c>
      <c r="R1616" s="180">
        <f>H1616</f>
        <v>0</v>
      </c>
      <c r="S1616" s="127">
        <f>N1616+O1616+R1616</f>
        <v>1175</v>
      </c>
    </row>
    <row r="1617" spans="1:19">
      <c r="A1617" s="21"/>
      <c r="B1617" s="120"/>
      <c r="C1617" s="120"/>
      <c r="D1617" s="120"/>
      <c r="E1617" s="120"/>
      <c r="F1617" s="114"/>
      <c r="G1617" s="114"/>
      <c r="H1617" s="114"/>
      <c r="I1617" s="16"/>
      <c r="K1617" s="21"/>
      <c r="L1617" s="120"/>
      <c r="M1617" s="120"/>
      <c r="N1617" s="120"/>
      <c r="O1617" s="120"/>
      <c r="P1617" s="114"/>
      <c r="Q1617" s="114"/>
      <c r="R1617" s="114"/>
      <c r="S1617" s="16"/>
    </row>
    <row r="1618" spans="1:19">
      <c r="A1618" s="21">
        <v>7</v>
      </c>
      <c r="B1618" s="1099" t="s">
        <v>53</v>
      </c>
      <c r="C1618" s="1099"/>
      <c r="D1618" s="1099"/>
      <c r="E1618" s="24">
        <f>E1614-I1616</f>
        <v>8035.4</v>
      </c>
      <c r="F1618" s="19"/>
      <c r="G1618" s="19"/>
      <c r="H1618" s="19"/>
      <c r="I1618" s="16"/>
      <c r="K1618" s="21">
        <v>7</v>
      </c>
      <c r="L1618" s="1099" t="s">
        <v>53</v>
      </c>
      <c r="M1618" s="1099"/>
      <c r="N1618" s="1099"/>
      <c r="O1618" s="24">
        <f>E1618</f>
        <v>8035.4</v>
      </c>
      <c r="P1618" s="19"/>
      <c r="Q1618" s="19"/>
      <c r="R1618" s="19"/>
      <c r="S1618" s="16"/>
    </row>
    <row r="1619" spans="1:19">
      <c r="A1619" s="15"/>
      <c r="B1619" s="114"/>
      <c r="C1619" s="114"/>
      <c r="D1619" s="114"/>
      <c r="E1619" s="114"/>
      <c r="F1619" s="114"/>
      <c r="G1619" s="114"/>
      <c r="H1619" s="114"/>
      <c r="I1619" s="16"/>
      <c r="K1619" s="15"/>
      <c r="L1619" s="114"/>
      <c r="M1619" s="114"/>
      <c r="N1619" s="114"/>
      <c r="O1619" s="114"/>
      <c r="P1619" s="114"/>
      <c r="Q1619" s="114"/>
      <c r="R1619" s="114"/>
      <c r="S1619" s="16"/>
    </row>
    <row r="1620" spans="1:19">
      <c r="A1620" s="15"/>
      <c r="B1620" s="114"/>
      <c r="C1620" s="114"/>
      <c r="D1620" s="114"/>
      <c r="E1620" s="114"/>
      <c r="F1620" s="114"/>
      <c r="G1620" s="114"/>
      <c r="H1620" s="114"/>
      <c r="I1620" s="16"/>
      <c r="K1620" s="15"/>
      <c r="L1620" s="114"/>
      <c r="M1620" s="114"/>
      <c r="N1620" s="114"/>
      <c r="O1620" s="114"/>
      <c r="P1620" s="114"/>
      <c r="Q1620" s="114"/>
      <c r="R1620" s="114"/>
      <c r="S1620" s="16"/>
    </row>
    <row r="1621" spans="1:19" ht="15" thickBot="1">
      <c r="A1621" s="15"/>
      <c r="B1621" s="114"/>
      <c r="C1621" s="114"/>
      <c r="D1621" s="114"/>
      <c r="E1621" s="114"/>
      <c r="F1621" s="25"/>
      <c r="G1621" s="25"/>
      <c r="H1621" s="25"/>
      <c r="I1621" s="26"/>
      <c r="K1621" s="15"/>
      <c r="L1621" s="114"/>
      <c r="M1621" s="114"/>
      <c r="N1621" s="114"/>
      <c r="O1621" s="114"/>
      <c r="P1621" s="25"/>
      <c r="Q1621" s="25"/>
      <c r="R1621" s="25"/>
      <c r="S1621" s="26"/>
    </row>
    <row r="1622" spans="1:19" ht="15" thickBot="1">
      <c r="A1622" s="27"/>
      <c r="B1622" s="25"/>
      <c r="C1622" s="25"/>
      <c r="D1622" s="25"/>
      <c r="E1622" s="999" t="s">
        <v>54</v>
      </c>
      <c r="F1622" s="999"/>
      <c r="G1622" s="999"/>
      <c r="H1622" s="999"/>
      <c r="I1622" s="1100"/>
      <c r="K1622" s="27"/>
      <c r="L1622" s="25"/>
      <c r="M1622" s="25"/>
      <c r="N1622" s="25"/>
      <c r="O1622" s="28" t="s">
        <v>54</v>
      </c>
      <c r="P1622" s="25"/>
      <c r="Q1622" s="28"/>
      <c r="R1622" s="28"/>
      <c r="S1622" s="29"/>
    </row>
    <row r="1634" spans="1:19" ht="15" thickBot="1"/>
    <row r="1635" spans="1:19" ht="24.6">
      <c r="A1635" s="1091" t="s">
        <v>39</v>
      </c>
      <c r="B1635" s="1092"/>
      <c r="C1635" s="1092"/>
      <c r="D1635" s="1092"/>
      <c r="E1635" s="1092"/>
      <c r="F1635" s="1092"/>
      <c r="G1635" s="1092"/>
      <c r="H1635" s="1092"/>
      <c r="I1635" s="1093"/>
      <c r="K1635" s="1091" t="s">
        <v>39</v>
      </c>
      <c r="L1635" s="1092"/>
      <c r="M1635" s="1092"/>
      <c r="N1635" s="1092"/>
      <c r="O1635" s="1092"/>
      <c r="P1635" s="1092"/>
      <c r="Q1635" s="1092"/>
      <c r="R1635" s="1092"/>
      <c r="S1635" s="1093"/>
    </row>
    <row r="1636" spans="1:19">
      <c r="A1636" s="1094" t="s">
        <v>1075</v>
      </c>
      <c r="B1636" s="1095"/>
      <c r="C1636" s="1095"/>
      <c r="D1636" s="1095"/>
      <c r="E1636" s="1095"/>
      <c r="F1636" s="1095"/>
      <c r="G1636" s="1095"/>
      <c r="H1636" s="1095"/>
      <c r="I1636" s="1096"/>
      <c r="K1636" s="1094" t="str">
        <f>A1636</f>
        <v>[Vide rule 78 (1) (b) of the Contract Labour (Regulation and Abolition) Central and A.P.{T.S.}Rules, 1971]</v>
      </c>
      <c r="L1636" s="1095"/>
      <c r="M1636" s="1095"/>
      <c r="N1636" s="1095"/>
      <c r="O1636" s="1095"/>
      <c r="P1636" s="1095"/>
      <c r="Q1636" s="1095"/>
      <c r="R1636" s="1095"/>
      <c r="S1636" s="1096"/>
    </row>
    <row r="1637" spans="1:19">
      <c r="A1637" s="15"/>
      <c r="B1637" s="114"/>
      <c r="C1637" s="114"/>
      <c r="D1637" s="114"/>
      <c r="E1637" s="114"/>
      <c r="F1637" s="114"/>
      <c r="G1637" s="114"/>
      <c r="H1637" s="114"/>
      <c r="I1637" s="16"/>
      <c r="K1637" s="15"/>
      <c r="L1637" s="114"/>
      <c r="M1637" s="114"/>
      <c r="N1637" s="114"/>
      <c r="O1637" s="114"/>
      <c r="P1637" s="114"/>
      <c r="Q1637" s="114"/>
      <c r="R1637" s="114"/>
      <c r="S1637" s="16"/>
    </row>
    <row r="1638" spans="1:19">
      <c r="A1638" s="17" t="s">
        <v>40</v>
      </c>
      <c r="B1638" s="120"/>
      <c r="C1638" s="120"/>
      <c r="D1638" s="121" t="str">
        <f>Master!F5</f>
        <v>GROTECH LANDSCAPE DEVELOPERS PVT. LTD.</v>
      </c>
      <c r="E1638" s="114"/>
      <c r="F1638" s="114"/>
      <c r="G1638" s="114"/>
      <c r="H1638" s="114"/>
      <c r="I1638" s="16"/>
      <c r="K1638" s="17" t="s">
        <v>40</v>
      </c>
      <c r="L1638" s="120"/>
      <c r="M1638" s="120"/>
      <c r="N1638" s="121" t="str">
        <f>D1638</f>
        <v>GROTECH LANDSCAPE DEVELOPERS PVT. LTD.</v>
      </c>
      <c r="O1638" s="114"/>
      <c r="P1638" s="114"/>
      <c r="Q1638" s="114"/>
      <c r="R1638" s="114"/>
      <c r="S1638" s="16"/>
    </row>
    <row r="1639" spans="1:19">
      <c r="A1639" s="17"/>
      <c r="B1639" s="120" t="str">
        <f>Master!F6</f>
        <v>290/E, Khanapur Village, Gandipet Mandal, Ranga Reddy, Hyderabad-500075 T.S.</v>
      </c>
      <c r="C1639" s="120"/>
      <c r="D1639" s="114"/>
      <c r="E1639" s="114"/>
      <c r="F1639" s="114"/>
      <c r="G1639" s="114"/>
      <c r="H1639" s="114"/>
      <c r="I1639" s="16"/>
      <c r="K1639" s="17"/>
      <c r="L1639" s="120" t="str">
        <f>B1639</f>
        <v>290/E, Khanapur Village, Gandipet Mandal, Ranga Reddy, Hyderabad-500075 T.S.</v>
      </c>
      <c r="M1639" s="120"/>
      <c r="N1639" s="114"/>
      <c r="O1639" s="114"/>
      <c r="P1639" s="114"/>
      <c r="Q1639" s="114"/>
      <c r="R1639" s="114"/>
      <c r="S1639" s="16"/>
    </row>
    <row r="1640" spans="1:19">
      <c r="A1640" s="17"/>
      <c r="B1640" s="120"/>
      <c r="C1640" s="120"/>
      <c r="D1640" s="120"/>
      <c r="E1640" s="120"/>
      <c r="F1640" s="114"/>
      <c r="G1640" s="114"/>
      <c r="H1640" s="114"/>
      <c r="I1640" s="16"/>
      <c r="K1640" s="17"/>
      <c r="L1640" s="120"/>
      <c r="M1640" s="120"/>
      <c r="N1640" s="120"/>
      <c r="O1640" s="120"/>
      <c r="P1640" s="114"/>
      <c r="Q1640" s="114"/>
      <c r="R1640" s="114"/>
      <c r="S1640" s="16"/>
    </row>
    <row r="1641" spans="1:19">
      <c r="A1641" s="1097" t="s">
        <v>41</v>
      </c>
      <c r="B1641" s="1098"/>
      <c r="C1641" s="1098"/>
      <c r="D1641" s="1098"/>
      <c r="E1641" s="120"/>
      <c r="F1641" s="114"/>
      <c r="G1641" s="114"/>
      <c r="H1641" s="114"/>
      <c r="I1641" s="16"/>
      <c r="K1641" s="1097" t="s">
        <v>41</v>
      </c>
      <c r="L1641" s="1098"/>
      <c r="M1641" s="1098"/>
      <c r="N1641" s="1098"/>
      <c r="O1641" s="120"/>
      <c r="P1641" s="114"/>
      <c r="Q1641" s="114"/>
      <c r="R1641" s="114"/>
      <c r="S1641" s="16"/>
    </row>
    <row r="1642" spans="1:19">
      <c r="A1642" s="1097"/>
      <c r="B1642" s="1098"/>
      <c r="C1642" s="1098"/>
      <c r="D1642" s="1098"/>
      <c r="E1642" s="128" t="str">
        <f>Master!D53</f>
        <v>Mutholla sushila</v>
      </c>
      <c r="F1642" s="19"/>
      <c r="G1642" s="19"/>
      <c r="H1642" s="19" t="str">
        <f>Master!G53</f>
        <v>MUTHOLLA CHANDRA</v>
      </c>
      <c r="I1642" s="16"/>
      <c r="K1642" s="1097"/>
      <c r="L1642" s="1098"/>
      <c r="M1642" s="1098"/>
      <c r="N1642" s="1098"/>
      <c r="O1642" s="18" t="str">
        <f>E1642</f>
        <v>Mutholla sushila</v>
      </c>
      <c r="P1642" s="19"/>
      <c r="Q1642" s="19"/>
      <c r="R1642" s="19" t="str">
        <f>H1642</f>
        <v>MUTHOLLA CHANDRA</v>
      </c>
      <c r="S1642" s="16"/>
    </row>
    <row r="1643" spans="1:19">
      <c r="A1643" s="17"/>
      <c r="B1643" s="120"/>
      <c r="C1643" s="120"/>
      <c r="D1643" s="120"/>
      <c r="E1643" s="120"/>
      <c r="F1643" s="114"/>
      <c r="G1643" s="114"/>
      <c r="H1643" s="114"/>
      <c r="I1643" s="16"/>
      <c r="K1643" s="17"/>
      <c r="L1643" s="120"/>
      <c r="M1643" s="120"/>
      <c r="N1643" s="120"/>
      <c r="O1643" s="120"/>
      <c r="P1643" s="114"/>
      <c r="Q1643" s="114"/>
      <c r="R1643" s="114"/>
      <c r="S1643" s="16"/>
    </row>
    <row r="1644" spans="1:19">
      <c r="A1644" s="1101" t="s">
        <v>42</v>
      </c>
      <c r="B1644" s="1099"/>
      <c r="C1644" s="1099"/>
      <c r="D1644" s="1099"/>
      <c r="E1644" s="24" t="str">
        <f>Master!F8</f>
        <v>GARDENING SERVICES&amp;ISB HYDERABAD</v>
      </c>
      <c r="F1644" s="19"/>
      <c r="G1644" s="19"/>
      <c r="H1644" s="19"/>
      <c r="I1644" s="16"/>
      <c r="K1644" s="1101" t="s">
        <v>42</v>
      </c>
      <c r="L1644" s="1099"/>
      <c r="M1644" s="1099"/>
      <c r="N1644" s="1099"/>
      <c r="O1644" s="24" t="str">
        <f>E1644</f>
        <v>GARDENING SERVICES&amp;ISB HYDERABAD</v>
      </c>
      <c r="P1644" s="19"/>
      <c r="Q1644" s="19"/>
      <c r="R1644" s="19"/>
      <c r="S1644" s="16"/>
    </row>
    <row r="1645" spans="1:19">
      <c r="A1645" s="17"/>
      <c r="B1645" s="120"/>
      <c r="C1645" s="120"/>
      <c r="D1645" s="120"/>
      <c r="E1645" s="120"/>
      <c r="F1645" s="114"/>
      <c r="G1645" s="114"/>
      <c r="H1645" s="114"/>
      <c r="I1645" s="16"/>
      <c r="K1645" s="17"/>
      <c r="L1645" s="120"/>
      <c r="M1645" s="120"/>
      <c r="N1645" s="120"/>
      <c r="O1645" s="120"/>
      <c r="P1645" s="114"/>
      <c r="Q1645" s="114"/>
      <c r="R1645" s="114"/>
      <c r="S1645" s="16"/>
    </row>
    <row r="1646" spans="1:19">
      <c r="A1646" s="1101" t="s">
        <v>43</v>
      </c>
      <c r="B1646" s="1099"/>
      <c r="C1646" s="1099"/>
      <c r="D1646" s="1099"/>
      <c r="E1646" s="20">
        <f>Master!F10</f>
        <v>44652</v>
      </c>
      <c r="F1646" s="19"/>
      <c r="G1646" s="19"/>
      <c r="H1646" s="19"/>
      <c r="I1646" s="16"/>
      <c r="K1646" s="1101" t="s">
        <v>43</v>
      </c>
      <c r="L1646" s="1099"/>
      <c r="M1646" s="1099"/>
      <c r="N1646" s="1099"/>
      <c r="O1646" s="20">
        <f>E1646</f>
        <v>44652</v>
      </c>
      <c r="P1646" s="19"/>
      <c r="Q1646" s="19"/>
      <c r="R1646" s="19"/>
      <c r="S1646" s="16"/>
    </row>
    <row r="1647" spans="1:19">
      <c r="A1647" s="17"/>
      <c r="B1647" s="120"/>
      <c r="C1647" s="120"/>
      <c r="D1647" s="120"/>
      <c r="E1647" s="120"/>
      <c r="F1647" s="114"/>
      <c r="G1647" s="114"/>
      <c r="H1647" s="114"/>
      <c r="I1647" s="16"/>
      <c r="K1647" s="17"/>
      <c r="L1647" s="120"/>
      <c r="M1647" s="120"/>
      <c r="N1647" s="120"/>
      <c r="O1647" s="120"/>
      <c r="P1647" s="114"/>
      <c r="Q1647" s="114"/>
      <c r="R1647" s="114"/>
      <c r="S1647" s="16"/>
    </row>
    <row r="1648" spans="1:19">
      <c r="A1648" s="21">
        <v>1</v>
      </c>
      <c r="B1648" s="1099" t="s">
        <v>44</v>
      </c>
      <c r="C1648" s="1099"/>
      <c r="D1648" s="1099"/>
      <c r="E1648" s="22">
        <f>Master!AA53</f>
        <v>26</v>
      </c>
      <c r="F1648" s="19"/>
      <c r="G1648" s="19"/>
      <c r="H1648" s="19"/>
      <c r="I1648" s="16"/>
      <c r="K1648" s="21">
        <v>1</v>
      </c>
      <c r="L1648" s="1099" t="s">
        <v>44</v>
      </c>
      <c r="M1648" s="1099"/>
      <c r="N1648" s="1099"/>
      <c r="O1648" s="22">
        <f>E1648</f>
        <v>26</v>
      </c>
      <c r="P1648" s="19"/>
      <c r="Q1648" s="19"/>
      <c r="R1648" s="19"/>
      <c r="S1648" s="16"/>
    </row>
    <row r="1649" spans="1:19">
      <c r="A1649" s="21"/>
      <c r="B1649" s="120"/>
      <c r="C1649" s="120"/>
      <c r="D1649" s="120"/>
      <c r="E1649" s="120"/>
      <c r="F1649" s="114"/>
      <c r="G1649" s="114"/>
      <c r="H1649" s="114"/>
      <c r="I1649" s="16"/>
      <c r="K1649" s="21"/>
      <c r="L1649" s="120"/>
      <c r="M1649" s="120"/>
      <c r="N1649" s="120"/>
      <c r="O1649" s="120"/>
      <c r="P1649" s="114"/>
      <c r="Q1649" s="114"/>
      <c r="R1649" s="114"/>
      <c r="S1649" s="16"/>
    </row>
    <row r="1650" spans="1:19">
      <c r="A1650" s="21">
        <v>2</v>
      </c>
      <c r="B1650" s="1098" t="s">
        <v>45</v>
      </c>
      <c r="C1650" s="1098"/>
      <c r="D1650" s="1098"/>
      <c r="E1650" s="120"/>
      <c r="F1650" s="114"/>
      <c r="G1650" s="114"/>
      <c r="H1650" s="114"/>
      <c r="I1650" s="16"/>
      <c r="K1650" s="21">
        <v>2</v>
      </c>
      <c r="L1650" s="1098" t="s">
        <v>45</v>
      </c>
      <c r="M1650" s="1098"/>
      <c r="N1650" s="1098"/>
      <c r="O1650" s="120"/>
      <c r="P1650" s="114"/>
      <c r="Q1650" s="114"/>
      <c r="R1650" s="114"/>
      <c r="S1650" s="16"/>
    </row>
    <row r="1651" spans="1:19">
      <c r="A1651" s="21"/>
      <c r="B1651" s="1098"/>
      <c r="C1651" s="1098"/>
      <c r="D1651" s="1098"/>
      <c r="E1651" s="23" t="s">
        <v>28</v>
      </c>
      <c r="F1651" s="19"/>
      <c r="G1651" s="19"/>
      <c r="H1651" s="19"/>
      <c r="I1651" s="16"/>
      <c r="K1651" s="21"/>
      <c r="L1651" s="1098"/>
      <c r="M1651" s="1098"/>
      <c r="N1651" s="1098"/>
      <c r="O1651" s="23" t="s">
        <v>28</v>
      </c>
      <c r="P1651" s="19"/>
      <c r="Q1651" s="19"/>
      <c r="R1651" s="19"/>
      <c r="S1651" s="16"/>
    </row>
    <row r="1652" spans="1:19">
      <c r="A1652" s="21"/>
      <c r="B1652" s="120"/>
      <c r="C1652" s="120"/>
      <c r="D1652" s="120"/>
      <c r="E1652" s="120"/>
      <c r="F1652" s="114"/>
      <c r="G1652" s="114"/>
      <c r="H1652" s="114"/>
      <c r="I1652" s="16"/>
      <c r="K1652" s="21"/>
      <c r="L1652" s="120"/>
      <c r="M1652" s="120"/>
      <c r="N1652" s="120"/>
      <c r="O1652" s="120"/>
      <c r="P1652" s="114"/>
      <c r="Q1652" s="114"/>
      <c r="R1652" s="114"/>
      <c r="S1652" s="16"/>
    </row>
    <row r="1653" spans="1:19">
      <c r="A1653" s="21">
        <v>3</v>
      </c>
      <c r="B1653" s="1099" t="s">
        <v>46</v>
      </c>
      <c r="C1653" s="1099"/>
      <c r="D1653" s="1099"/>
      <c r="E1653" s="23" t="s">
        <v>28</v>
      </c>
      <c r="F1653" s="19"/>
      <c r="G1653" s="19"/>
      <c r="H1653" s="19"/>
      <c r="I1653" s="16"/>
      <c r="K1653" s="21">
        <v>3</v>
      </c>
      <c r="L1653" s="1099" t="s">
        <v>46</v>
      </c>
      <c r="M1653" s="1099"/>
      <c r="N1653" s="1099"/>
      <c r="O1653" s="18" t="str">
        <f>E1653</f>
        <v>N/A</v>
      </c>
      <c r="P1653" s="19"/>
      <c r="Q1653" s="19"/>
      <c r="R1653" s="19"/>
      <c r="S1653" s="16"/>
    </row>
    <row r="1654" spans="1:19">
      <c r="A1654" s="21"/>
      <c r="B1654" s="120"/>
      <c r="C1654" s="120"/>
      <c r="D1654" s="120"/>
      <c r="E1654" s="120"/>
      <c r="F1654" s="114"/>
      <c r="G1654" s="114"/>
      <c r="H1654" s="114"/>
      <c r="I1654" s="16"/>
      <c r="K1654" s="21"/>
      <c r="L1654" s="120"/>
      <c r="M1654" s="120"/>
      <c r="N1654" s="120"/>
      <c r="O1654" s="120"/>
      <c r="P1654" s="114"/>
      <c r="Q1654" s="114"/>
      <c r="R1654" s="114"/>
      <c r="S1654" s="16"/>
    </row>
    <row r="1655" spans="1:19">
      <c r="A1655" s="21">
        <v>4</v>
      </c>
      <c r="B1655" s="1099" t="s">
        <v>47</v>
      </c>
      <c r="C1655" s="1099"/>
      <c r="D1655" s="1099"/>
      <c r="E1655" s="23" t="s">
        <v>48</v>
      </c>
      <c r="F1655" s="19"/>
      <c r="G1655" s="19"/>
      <c r="H1655" s="19"/>
      <c r="I1655" s="16"/>
      <c r="K1655" s="21">
        <v>4</v>
      </c>
      <c r="L1655" s="1099" t="s">
        <v>47</v>
      </c>
      <c r="M1655" s="1099"/>
      <c r="N1655" s="1099"/>
      <c r="O1655" s="23" t="s">
        <v>48</v>
      </c>
      <c r="P1655" s="19"/>
      <c r="Q1655" s="19"/>
      <c r="R1655" s="19"/>
      <c r="S1655" s="16"/>
    </row>
    <row r="1656" spans="1:19">
      <c r="A1656" s="21"/>
      <c r="B1656" s="120"/>
      <c r="C1656" s="120"/>
      <c r="D1656" s="120"/>
      <c r="E1656" s="120"/>
      <c r="F1656" s="114"/>
      <c r="G1656" s="114"/>
      <c r="H1656" s="114"/>
      <c r="I1656" s="16"/>
      <c r="K1656" s="21"/>
      <c r="L1656" s="120"/>
      <c r="M1656" s="120"/>
      <c r="N1656" s="120"/>
      <c r="O1656" s="120"/>
      <c r="P1656" s="114"/>
      <c r="Q1656" s="114"/>
      <c r="R1656" s="114"/>
      <c r="S1656" s="16"/>
    </row>
    <row r="1657" spans="1:19">
      <c r="A1657" s="21">
        <v>5</v>
      </c>
      <c r="B1657" s="1099" t="s">
        <v>49</v>
      </c>
      <c r="C1657" s="1099"/>
      <c r="D1657" s="1099"/>
      <c r="E1657" s="24">
        <f>Master!AK53</f>
        <v>9210.4</v>
      </c>
      <c r="F1657" s="19"/>
      <c r="G1657" s="19"/>
      <c r="H1657" s="19"/>
      <c r="I1657" s="16"/>
      <c r="K1657" s="21">
        <v>5</v>
      </c>
      <c r="L1657" s="1099" t="s">
        <v>49</v>
      </c>
      <c r="M1657" s="1099"/>
      <c r="N1657" s="1099"/>
      <c r="O1657" s="24">
        <f>E1657</f>
        <v>9210.4</v>
      </c>
      <c r="P1657" s="19"/>
      <c r="Q1657" s="19"/>
      <c r="R1657" s="19"/>
      <c r="S1657" s="16"/>
    </row>
    <row r="1658" spans="1:19">
      <c r="A1658" s="21"/>
      <c r="B1658" s="120"/>
      <c r="C1658" s="120"/>
      <c r="D1658" s="238" t="s">
        <v>50</v>
      </c>
      <c r="E1658" s="238" t="s">
        <v>23</v>
      </c>
      <c r="F1658" s="136" t="s">
        <v>25</v>
      </c>
      <c r="G1658" s="238" t="s">
        <v>26</v>
      </c>
      <c r="H1658" s="238" t="s">
        <v>202</v>
      </c>
      <c r="I1658" s="126" t="s">
        <v>51</v>
      </c>
      <c r="K1658" s="21"/>
      <c r="L1658" s="120"/>
      <c r="M1658" s="120"/>
      <c r="N1658" s="238" t="s">
        <v>50</v>
      </c>
      <c r="O1658" s="238" t="s">
        <v>23</v>
      </c>
      <c r="P1658" s="136" t="s">
        <v>25</v>
      </c>
      <c r="Q1658" s="238" t="s">
        <v>26</v>
      </c>
      <c r="R1658" s="238" t="str">
        <f>H1658</f>
        <v>ADV</v>
      </c>
      <c r="S1658" s="126" t="s">
        <v>51</v>
      </c>
    </row>
    <row r="1659" spans="1:19">
      <c r="A1659" s="21">
        <v>6</v>
      </c>
      <c r="B1659" s="468" t="s">
        <v>52</v>
      </c>
      <c r="C1659" s="468"/>
      <c r="D1659" s="335">
        <f>Master!AM53</f>
        <v>1105</v>
      </c>
      <c r="E1659" s="335">
        <f>Master!AL53</f>
        <v>70</v>
      </c>
      <c r="F1659" s="180">
        <f>Master!AN53</f>
        <v>0</v>
      </c>
      <c r="G1659" s="180">
        <f>Master!AO53</f>
        <v>0</v>
      </c>
      <c r="H1659" s="180">
        <f>Master!AP53</f>
        <v>0</v>
      </c>
      <c r="I1659" s="127">
        <f>D1659+E1659+F1659+G1659+H1659</f>
        <v>1175</v>
      </c>
      <c r="K1659" s="21">
        <v>6</v>
      </c>
      <c r="L1659" s="468" t="s">
        <v>52</v>
      </c>
      <c r="M1659" s="468"/>
      <c r="N1659" s="335">
        <f>D1659</f>
        <v>1105</v>
      </c>
      <c r="O1659" s="335">
        <f>E1659</f>
        <v>70</v>
      </c>
      <c r="P1659" s="180">
        <f>F1659</f>
        <v>0</v>
      </c>
      <c r="Q1659" s="180">
        <f>G1659</f>
        <v>0</v>
      </c>
      <c r="R1659" s="180">
        <f>H1659</f>
        <v>0</v>
      </c>
      <c r="S1659" s="127">
        <f>N1659+O1659+R1659</f>
        <v>1175</v>
      </c>
    </row>
    <row r="1660" spans="1:19">
      <c r="A1660" s="21"/>
      <c r="B1660" s="120"/>
      <c r="C1660" s="120"/>
      <c r="D1660" s="120"/>
      <c r="E1660" s="120"/>
      <c r="F1660" s="114"/>
      <c r="G1660" s="114"/>
      <c r="H1660" s="114"/>
      <c r="I1660" s="16"/>
      <c r="K1660" s="21"/>
      <c r="L1660" s="120"/>
      <c r="M1660" s="120"/>
      <c r="N1660" s="120"/>
      <c r="O1660" s="120"/>
      <c r="P1660" s="114"/>
      <c r="Q1660" s="114"/>
      <c r="R1660" s="114"/>
      <c r="S1660" s="16"/>
    </row>
    <row r="1661" spans="1:19">
      <c r="A1661" s="21">
        <v>7</v>
      </c>
      <c r="B1661" s="1099" t="s">
        <v>53</v>
      </c>
      <c r="C1661" s="1099"/>
      <c r="D1661" s="1099"/>
      <c r="E1661" s="24">
        <f>E1657-I1659-1</f>
        <v>8034.4</v>
      </c>
      <c r="F1661" s="19"/>
      <c r="G1661" s="19"/>
      <c r="H1661" s="19"/>
      <c r="I1661" s="16"/>
      <c r="K1661" s="21">
        <v>7</v>
      </c>
      <c r="L1661" s="1099" t="s">
        <v>53</v>
      </c>
      <c r="M1661" s="1099"/>
      <c r="N1661" s="1099"/>
      <c r="O1661" s="24">
        <f>E1661</f>
        <v>8034.4</v>
      </c>
      <c r="P1661" s="19"/>
      <c r="Q1661" s="19"/>
      <c r="R1661" s="19"/>
      <c r="S1661" s="16"/>
    </row>
    <row r="1662" spans="1:19">
      <c r="A1662" s="15"/>
      <c r="B1662" s="114"/>
      <c r="C1662" s="114"/>
      <c r="D1662" s="114"/>
      <c r="E1662" s="114"/>
      <c r="F1662" s="114"/>
      <c r="G1662" s="114"/>
      <c r="H1662" s="114"/>
      <c r="I1662" s="16"/>
      <c r="K1662" s="15"/>
      <c r="L1662" s="114"/>
      <c r="M1662" s="114"/>
      <c r="N1662" s="114"/>
      <c r="O1662" s="114"/>
      <c r="P1662" s="114"/>
      <c r="Q1662" s="114"/>
      <c r="R1662" s="114"/>
      <c r="S1662" s="16"/>
    </row>
    <row r="1663" spans="1:19">
      <c r="A1663" s="15"/>
      <c r="B1663" s="114"/>
      <c r="C1663" s="114"/>
      <c r="D1663" s="114"/>
      <c r="E1663" s="114"/>
      <c r="F1663" s="114"/>
      <c r="G1663" s="114"/>
      <c r="H1663" s="114"/>
      <c r="I1663" s="16"/>
      <c r="K1663" s="15"/>
      <c r="L1663" s="114"/>
      <c r="M1663" s="114"/>
      <c r="N1663" s="114"/>
      <c r="O1663" s="114"/>
      <c r="P1663" s="114"/>
      <c r="Q1663" s="114"/>
      <c r="R1663" s="114"/>
      <c r="S1663" s="16"/>
    </row>
    <row r="1664" spans="1:19" ht="15" thickBot="1">
      <c r="A1664" s="15"/>
      <c r="B1664" s="114"/>
      <c r="C1664" s="114"/>
      <c r="D1664" s="114"/>
      <c r="E1664" s="114"/>
      <c r="F1664" s="25"/>
      <c r="G1664" s="25"/>
      <c r="H1664" s="25"/>
      <c r="I1664" s="26"/>
      <c r="K1664" s="15"/>
      <c r="L1664" s="114"/>
      <c r="M1664" s="114"/>
      <c r="N1664" s="114"/>
      <c r="O1664" s="114"/>
      <c r="P1664" s="25"/>
      <c r="Q1664" s="25"/>
      <c r="R1664" s="25"/>
      <c r="S1664" s="26"/>
    </row>
    <row r="1665" spans="1:19" ht="15" thickBot="1">
      <c r="A1665" s="27"/>
      <c r="B1665" s="25"/>
      <c r="C1665" s="25"/>
      <c r="D1665" s="25"/>
      <c r="E1665" s="999" t="s">
        <v>54</v>
      </c>
      <c r="F1665" s="999"/>
      <c r="G1665" s="999"/>
      <c r="H1665" s="999"/>
      <c r="I1665" s="1100"/>
      <c r="K1665" s="27"/>
      <c r="L1665" s="25"/>
      <c r="M1665" s="25"/>
      <c r="N1665" s="25"/>
      <c r="O1665" s="28" t="s">
        <v>54</v>
      </c>
      <c r="P1665" s="25"/>
      <c r="Q1665" s="28"/>
      <c r="R1665" s="28"/>
      <c r="S1665" s="29"/>
    </row>
    <row r="1677" spans="1:19" ht="15" thickBot="1"/>
    <row r="1678" spans="1:19" ht="24.6">
      <c r="A1678" s="1091" t="s">
        <v>39</v>
      </c>
      <c r="B1678" s="1092"/>
      <c r="C1678" s="1092"/>
      <c r="D1678" s="1092"/>
      <c r="E1678" s="1092"/>
      <c r="F1678" s="1092"/>
      <c r="G1678" s="1092"/>
      <c r="H1678" s="1092"/>
      <c r="I1678" s="1093"/>
      <c r="K1678" s="1091" t="s">
        <v>39</v>
      </c>
      <c r="L1678" s="1092"/>
      <c r="M1678" s="1092"/>
      <c r="N1678" s="1092"/>
      <c r="O1678" s="1092"/>
      <c r="P1678" s="1092"/>
      <c r="Q1678" s="1092"/>
      <c r="R1678" s="1092"/>
      <c r="S1678" s="1093"/>
    </row>
    <row r="1679" spans="1:19">
      <c r="A1679" s="1094" t="s">
        <v>1075</v>
      </c>
      <c r="B1679" s="1095"/>
      <c r="C1679" s="1095"/>
      <c r="D1679" s="1095"/>
      <c r="E1679" s="1095"/>
      <c r="F1679" s="1095"/>
      <c r="G1679" s="1095"/>
      <c r="H1679" s="1095"/>
      <c r="I1679" s="1096"/>
      <c r="K1679" s="1094" t="str">
        <f>A1679</f>
        <v>[Vide rule 78 (1) (b) of the Contract Labour (Regulation and Abolition) Central and A.P.{T.S.}Rules, 1971]</v>
      </c>
      <c r="L1679" s="1095"/>
      <c r="M1679" s="1095"/>
      <c r="N1679" s="1095"/>
      <c r="O1679" s="1095"/>
      <c r="P1679" s="1095"/>
      <c r="Q1679" s="1095"/>
      <c r="R1679" s="1095"/>
      <c r="S1679" s="1096"/>
    </row>
    <row r="1680" spans="1:19">
      <c r="A1680" s="15"/>
      <c r="B1680" s="114"/>
      <c r="C1680" s="114"/>
      <c r="D1680" s="114"/>
      <c r="E1680" s="114"/>
      <c r="F1680" s="114"/>
      <c r="G1680" s="114"/>
      <c r="H1680" s="114"/>
      <c r="I1680" s="16"/>
      <c r="K1680" s="15"/>
      <c r="L1680" s="114"/>
      <c r="M1680" s="114"/>
      <c r="N1680" s="114"/>
      <c r="O1680" s="114"/>
      <c r="P1680" s="114"/>
      <c r="Q1680" s="114"/>
      <c r="R1680" s="114"/>
      <c r="S1680" s="16"/>
    </row>
    <row r="1681" spans="1:19">
      <c r="A1681" s="17" t="s">
        <v>40</v>
      </c>
      <c r="B1681" s="120"/>
      <c r="C1681" s="120"/>
      <c r="D1681" s="121" t="str">
        <f>Master!F5</f>
        <v>GROTECH LANDSCAPE DEVELOPERS PVT. LTD.</v>
      </c>
      <c r="E1681" s="114"/>
      <c r="F1681" s="114"/>
      <c r="G1681" s="114"/>
      <c r="H1681" s="114"/>
      <c r="I1681" s="16"/>
      <c r="K1681" s="17" t="s">
        <v>40</v>
      </c>
      <c r="L1681" s="120"/>
      <c r="M1681" s="120"/>
      <c r="N1681" s="121" t="str">
        <f>D1681</f>
        <v>GROTECH LANDSCAPE DEVELOPERS PVT. LTD.</v>
      </c>
      <c r="O1681" s="114"/>
      <c r="P1681" s="114"/>
      <c r="Q1681" s="114"/>
      <c r="R1681" s="114"/>
      <c r="S1681" s="16"/>
    </row>
    <row r="1682" spans="1:19">
      <c r="A1682" s="17"/>
      <c r="B1682" s="120" t="str">
        <f>Master!F6</f>
        <v>290/E, Khanapur Village, Gandipet Mandal, Ranga Reddy, Hyderabad-500075 T.S.</v>
      </c>
      <c r="C1682" s="120"/>
      <c r="D1682" s="114"/>
      <c r="E1682" s="114"/>
      <c r="F1682" s="114"/>
      <c r="G1682" s="114"/>
      <c r="H1682" s="114"/>
      <c r="I1682" s="16"/>
      <c r="K1682" s="17"/>
      <c r="L1682" s="120" t="str">
        <f>B1682</f>
        <v>290/E, Khanapur Village, Gandipet Mandal, Ranga Reddy, Hyderabad-500075 T.S.</v>
      </c>
      <c r="M1682" s="120"/>
      <c r="N1682" s="114"/>
      <c r="O1682" s="114"/>
      <c r="P1682" s="114"/>
      <c r="Q1682" s="114"/>
      <c r="R1682" s="114"/>
      <c r="S1682" s="16"/>
    </row>
    <row r="1683" spans="1:19">
      <c r="A1683" s="17"/>
      <c r="B1683" s="120"/>
      <c r="C1683" s="120"/>
      <c r="D1683" s="120"/>
      <c r="E1683" s="120"/>
      <c r="F1683" s="114"/>
      <c r="G1683" s="114"/>
      <c r="H1683" s="114"/>
      <c r="I1683" s="16"/>
      <c r="K1683" s="17"/>
      <c r="L1683" s="120"/>
      <c r="M1683" s="120"/>
      <c r="N1683" s="120"/>
      <c r="O1683" s="120"/>
      <c r="P1683" s="114"/>
      <c r="Q1683" s="114"/>
      <c r="R1683" s="114"/>
      <c r="S1683" s="16"/>
    </row>
    <row r="1684" spans="1:19">
      <c r="A1684" s="1097" t="s">
        <v>41</v>
      </c>
      <c r="B1684" s="1098"/>
      <c r="C1684" s="1098"/>
      <c r="D1684" s="1098"/>
      <c r="E1684" s="120"/>
      <c r="F1684" s="114"/>
      <c r="G1684" s="114"/>
      <c r="H1684" s="114"/>
      <c r="I1684" s="16"/>
      <c r="K1684" s="1097" t="s">
        <v>41</v>
      </c>
      <c r="L1684" s="1098"/>
      <c r="M1684" s="1098"/>
      <c r="N1684" s="1098"/>
      <c r="O1684" s="120"/>
      <c r="P1684" s="114"/>
      <c r="Q1684" s="114"/>
      <c r="R1684" s="114"/>
      <c r="S1684" s="16"/>
    </row>
    <row r="1685" spans="1:19">
      <c r="A1685" s="1097"/>
      <c r="B1685" s="1098"/>
      <c r="C1685" s="1098"/>
      <c r="D1685" s="1098"/>
      <c r="E1685" s="128" t="str">
        <f>Master!D54</f>
        <v>Kummari kalavathi</v>
      </c>
      <c r="F1685" s="19"/>
      <c r="G1685" s="19"/>
      <c r="H1685" s="19" t="str">
        <f>Master!G54</f>
        <v>KUMARI KRISHNA</v>
      </c>
      <c r="I1685" s="16"/>
      <c r="K1685" s="1097"/>
      <c r="L1685" s="1098"/>
      <c r="M1685" s="1098"/>
      <c r="N1685" s="1098"/>
      <c r="O1685" s="18" t="str">
        <f>E1685</f>
        <v>Kummari kalavathi</v>
      </c>
      <c r="P1685" s="19"/>
      <c r="Q1685" s="19"/>
      <c r="R1685" s="19" t="str">
        <f>H1685</f>
        <v>KUMARI KRISHNA</v>
      </c>
      <c r="S1685" s="16"/>
    </row>
    <row r="1686" spans="1:19">
      <c r="A1686" s="17"/>
      <c r="B1686" s="120"/>
      <c r="C1686" s="120"/>
      <c r="D1686" s="120"/>
      <c r="E1686" s="120"/>
      <c r="F1686" s="114"/>
      <c r="G1686" s="114"/>
      <c r="H1686" s="114"/>
      <c r="I1686" s="16"/>
      <c r="K1686" s="17"/>
      <c r="L1686" s="120"/>
      <c r="M1686" s="120"/>
      <c r="N1686" s="120"/>
      <c r="O1686" s="120"/>
      <c r="P1686" s="114"/>
      <c r="Q1686" s="114"/>
      <c r="R1686" s="114"/>
      <c r="S1686" s="16"/>
    </row>
    <row r="1687" spans="1:19">
      <c r="A1687" s="1101" t="s">
        <v>42</v>
      </c>
      <c r="B1687" s="1099"/>
      <c r="C1687" s="1099"/>
      <c r="D1687" s="1099"/>
      <c r="E1687" s="24" t="str">
        <f>Master!F8</f>
        <v>GARDENING SERVICES&amp;ISB HYDERABAD</v>
      </c>
      <c r="F1687" s="19"/>
      <c r="G1687" s="19"/>
      <c r="H1687" s="19"/>
      <c r="I1687" s="16"/>
      <c r="K1687" s="1101" t="s">
        <v>42</v>
      </c>
      <c r="L1687" s="1099"/>
      <c r="M1687" s="1099"/>
      <c r="N1687" s="1099"/>
      <c r="O1687" s="24" t="str">
        <f>E1687</f>
        <v>GARDENING SERVICES&amp;ISB HYDERABAD</v>
      </c>
      <c r="P1687" s="19"/>
      <c r="Q1687" s="19"/>
      <c r="R1687" s="19"/>
      <c r="S1687" s="16"/>
    </row>
    <row r="1688" spans="1:19">
      <c r="A1688" s="17"/>
      <c r="B1688" s="120"/>
      <c r="C1688" s="120"/>
      <c r="D1688" s="120"/>
      <c r="E1688" s="120"/>
      <c r="F1688" s="114"/>
      <c r="G1688" s="114"/>
      <c r="H1688" s="114"/>
      <c r="I1688" s="16"/>
      <c r="K1688" s="17"/>
      <c r="L1688" s="120"/>
      <c r="M1688" s="120"/>
      <c r="N1688" s="120"/>
      <c r="O1688" s="120"/>
      <c r="P1688" s="114"/>
      <c r="Q1688" s="114"/>
      <c r="R1688" s="114"/>
      <c r="S1688" s="16"/>
    </row>
    <row r="1689" spans="1:19">
      <c r="A1689" s="1101" t="s">
        <v>43</v>
      </c>
      <c r="B1689" s="1099"/>
      <c r="C1689" s="1099"/>
      <c r="D1689" s="1099"/>
      <c r="E1689" s="20">
        <f>Master!F10</f>
        <v>44652</v>
      </c>
      <c r="F1689" s="19"/>
      <c r="G1689" s="19"/>
      <c r="H1689" s="19"/>
      <c r="I1689" s="16"/>
      <c r="K1689" s="1101" t="s">
        <v>43</v>
      </c>
      <c r="L1689" s="1099"/>
      <c r="M1689" s="1099"/>
      <c r="N1689" s="1099"/>
      <c r="O1689" s="20">
        <f>E1689</f>
        <v>44652</v>
      </c>
      <c r="P1689" s="19"/>
      <c r="Q1689" s="19"/>
      <c r="R1689" s="19"/>
      <c r="S1689" s="16"/>
    </row>
    <row r="1690" spans="1:19">
      <c r="A1690" s="17"/>
      <c r="B1690" s="120"/>
      <c r="C1690" s="120"/>
      <c r="D1690" s="120"/>
      <c r="E1690" s="120"/>
      <c r="F1690" s="114"/>
      <c r="G1690" s="114"/>
      <c r="H1690" s="114"/>
      <c r="I1690" s="16"/>
      <c r="K1690" s="17"/>
      <c r="L1690" s="120"/>
      <c r="M1690" s="120"/>
      <c r="N1690" s="120"/>
      <c r="O1690" s="120"/>
      <c r="P1690" s="114"/>
      <c r="Q1690" s="114"/>
      <c r="R1690" s="114"/>
      <c r="S1690" s="16"/>
    </row>
    <row r="1691" spans="1:19">
      <c r="A1691" s="21">
        <v>1</v>
      </c>
      <c r="B1691" s="1099" t="s">
        <v>44</v>
      </c>
      <c r="C1691" s="1099"/>
      <c r="D1691" s="1099"/>
      <c r="E1691" s="22">
        <f>Master!AA54</f>
        <v>26</v>
      </c>
      <c r="F1691" s="19"/>
      <c r="G1691" s="19"/>
      <c r="H1691" s="19"/>
      <c r="I1691" s="16"/>
      <c r="K1691" s="21">
        <v>1</v>
      </c>
      <c r="L1691" s="1099" t="s">
        <v>44</v>
      </c>
      <c r="M1691" s="1099"/>
      <c r="N1691" s="1099"/>
      <c r="O1691" s="22">
        <f>E1691</f>
        <v>26</v>
      </c>
      <c r="P1691" s="19"/>
      <c r="Q1691" s="19"/>
      <c r="R1691" s="19"/>
      <c r="S1691" s="16"/>
    </row>
    <row r="1692" spans="1:19">
      <c r="A1692" s="21"/>
      <c r="B1692" s="120"/>
      <c r="C1692" s="120"/>
      <c r="D1692" s="120"/>
      <c r="E1692" s="120"/>
      <c r="F1692" s="114"/>
      <c r="G1692" s="114"/>
      <c r="H1692" s="114"/>
      <c r="I1692" s="16"/>
      <c r="K1692" s="21"/>
      <c r="L1692" s="120"/>
      <c r="M1692" s="120"/>
      <c r="N1692" s="120"/>
      <c r="O1692" s="120"/>
      <c r="P1692" s="114"/>
      <c r="Q1692" s="114"/>
      <c r="R1692" s="114"/>
      <c r="S1692" s="16"/>
    </row>
    <row r="1693" spans="1:19">
      <c r="A1693" s="21">
        <v>2</v>
      </c>
      <c r="B1693" s="1098" t="s">
        <v>45</v>
      </c>
      <c r="C1693" s="1098"/>
      <c r="D1693" s="1098"/>
      <c r="E1693" s="120"/>
      <c r="F1693" s="114"/>
      <c r="G1693" s="114"/>
      <c r="H1693" s="114"/>
      <c r="I1693" s="16"/>
      <c r="K1693" s="21">
        <v>2</v>
      </c>
      <c r="L1693" s="1098" t="s">
        <v>45</v>
      </c>
      <c r="M1693" s="1098"/>
      <c r="N1693" s="1098"/>
      <c r="O1693" s="120"/>
      <c r="P1693" s="114"/>
      <c r="Q1693" s="114"/>
      <c r="R1693" s="114"/>
      <c r="S1693" s="16"/>
    </row>
    <row r="1694" spans="1:19">
      <c r="A1694" s="21"/>
      <c r="B1694" s="1098"/>
      <c r="C1694" s="1098"/>
      <c r="D1694" s="1098"/>
      <c r="E1694" s="23" t="s">
        <v>28</v>
      </c>
      <c r="F1694" s="19"/>
      <c r="G1694" s="19"/>
      <c r="H1694" s="19"/>
      <c r="I1694" s="16"/>
      <c r="K1694" s="21"/>
      <c r="L1694" s="1098"/>
      <c r="M1694" s="1098"/>
      <c r="N1694" s="1098"/>
      <c r="O1694" s="23" t="s">
        <v>28</v>
      </c>
      <c r="P1694" s="19"/>
      <c r="Q1694" s="19"/>
      <c r="R1694" s="19"/>
      <c r="S1694" s="16"/>
    </row>
    <row r="1695" spans="1:19">
      <c r="A1695" s="21"/>
      <c r="B1695" s="120"/>
      <c r="C1695" s="120"/>
      <c r="D1695" s="120"/>
      <c r="E1695" s="120"/>
      <c r="F1695" s="114"/>
      <c r="G1695" s="114"/>
      <c r="H1695" s="114"/>
      <c r="I1695" s="16"/>
      <c r="K1695" s="21"/>
      <c r="L1695" s="120"/>
      <c r="M1695" s="120"/>
      <c r="N1695" s="120"/>
      <c r="O1695" s="120"/>
      <c r="P1695" s="114"/>
      <c r="Q1695" s="114"/>
      <c r="R1695" s="114"/>
      <c r="S1695" s="16"/>
    </row>
    <row r="1696" spans="1:19">
      <c r="A1696" s="21">
        <v>3</v>
      </c>
      <c r="B1696" s="1099" t="s">
        <v>46</v>
      </c>
      <c r="C1696" s="1099"/>
      <c r="D1696" s="1099"/>
      <c r="E1696" s="23" t="s">
        <v>28</v>
      </c>
      <c r="F1696" s="19"/>
      <c r="G1696" s="19"/>
      <c r="H1696" s="19"/>
      <c r="I1696" s="16"/>
      <c r="K1696" s="21">
        <v>3</v>
      </c>
      <c r="L1696" s="1099" t="s">
        <v>46</v>
      </c>
      <c r="M1696" s="1099"/>
      <c r="N1696" s="1099"/>
      <c r="O1696" s="18" t="str">
        <f>E1696</f>
        <v>N/A</v>
      </c>
      <c r="P1696" s="19"/>
      <c r="Q1696" s="19"/>
      <c r="R1696" s="19"/>
      <c r="S1696" s="16"/>
    </row>
    <row r="1697" spans="1:19">
      <c r="A1697" s="21"/>
      <c r="B1697" s="120"/>
      <c r="C1697" s="120"/>
      <c r="D1697" s="120"/>
      <c r="E1697" s="120"/>
      <c r="F1697" s="114"/>
      <c r="G1697" s="114"/>
      <c r="H1697" s="114"/>
      <c r="I1697" s="16"/>
      <c r="K1697" s="21"/>
      <c r="L1697" s="120"/>
      <c r="M1697" s="120"/>
      <c r="N1697" s="120"/>
      <c r="O1697" s="120"/>
      <c r="P1697" s="114"/>
      <c r="Q1697" s="114"/>
      <c r="R1697" s="114"/>
      <c r="S1697" s="16"/>
    </row>
    <row r="1698" spans="1:19">
      <c r="A1698" s="21">
        <v>4</v>
      </c>
      <c r="B1698" s="1099" t="s">
        <v>47</v>
      </c>
      <c r="C1698" s="1099"/>
      <c r="D1698" s="1099"/>
      <c r="E1698" s="23" t="s">
        <v>48</v>
      </c>
      <c r="F1698" s="19"/>
      <c r="G1698" s="19"/>
      <c r="H1698" s="19"/>
      <c r="I1698" s="16"/>
      <c r="K1698" s="21">
        <v>4</v>
      </c>
      <c r="L1698" s="1099" t="s">
        <v>47</v>
      </c>
      <c r="M1698" s="1099"/>
      <c r="N1698" s="1099"/>
      <c r="O1698" s="23" t="s">
        <v>48</v>
      </c>
      <c r="P1698" s="19"/>
      <c r="Q1698" s="19"/>
      <c r="R1698" s="19"/>
      <c r="S1698" s="16"/>
    </row>
    <row r="1699" spans="1:19">
      <c r="A1699" s="21"/>
      <c r="B1699" s="120"/>
      <c r="C1699" s="120"/>
      <c r="D1699" s="120"/>
      <c r="E1699" s="120"/>
      <c r="F1699" s="114"/>
      <c r="G1699" s="114"/>
      <c r="H1699" s="114"/>
      <c r="I1699" s="16"/>
      <c r="K1699" s="21"/>
      <c r="L1699" s="120"/>
      <c r="M1699" s="120"/>
      <c r="N1699" s="120"/>
      <c r="O1699" s="120"/>
      <c r="P1699" s="114"/>
      <c r="Q1699" s="114"/>
      <c r="R1699" s="114"/>
      <c r="S1699" s="16"/>
    </row>
    <row r="1700" spans="1:19">
      <c r="A1700" s="21">
        <v>5</v>
      </c>
      <c r="B1700" s="1099" t="s">
        <v>49</v>
      </c>
      <c r="C1700" s="1099"/>
      <c r="D1700" s="1099"/>
      <c r="E1700" s="24">
        <f>Master!AK54</f>
        <v>9210.4</v>
      </c>
      <c r="F1700" s="19"/>
      <c r="G1700" s="19"/>
      <c r="H1700" s="19"/>
      <c r="I1700" s="16"/>
      <c r="K1700" s="21">
        <v>5</v>
      </c>
      <c r="L1700" s="1099" t="s">
        <v>49</v>
      </c>
      <c r="M1700" s="1099"/>
      <c r="N1700" s="1099"/>
      <c r="O1700" s="24">
        <f>E1700</f>
        <v>9210.4</v>
      </c>
      <c r="P1700" s="19"/>
      <c r="Q1700" s="19"/>
      <c r="R1700" s="19"/>
      <c r="S1700" s="16"/>
    </row>
    <row r="1701" spans="1:19">
      <c r="A1701" s="21"/>
      <c r="B1701" s="120"/>
      <c r="C1701" s="120"/>
      <c r="D1701" s="238" t="s">
        <v>50</v>
      </c>
      <c r="E1701" s="238" t="s">
        <v>23</v>
      </c>
      <c r="F1701" s="136" t="s">
        <v>25</v>
      </c>
      <c r="G1701" s="238" t="s">
        <v>26</v>
      </c>
      <c r="H1701" s="238" t="s">
        <v>202</v>
      </c>
      <c r="I1701" s="126" t="s">
        <v>51</v>
      </c>
      <c r="K1701" s="21"/>
      <c r="L1701" s="120"/>
      <c r="M1701" s="120"/>
      <c r="N1701" s="238" t="s">
        <v>50</v>
      </c>
      <c r="O1701" s="238" t="s">
        <v>23</v>
      </c>
      <c r="P1701" s="136" t="s">
        <v>25</v>
      </c>
      <c r="Q1701" s="238" t="s">
        <v>26</v>
      </c>
      <c r="R1701" s="238" t="str">
        <f>H1701</f>
        <v>ADV</v>
      </c>
      <c r="S1701" s="126" t="s">
        <v>51</v>
      </c>
    </row>
    <row r="1702" spans="1:19">
      <c r="A1702" s="21">
        <v>6</v>
      </c>
      <c r="B1702" s="468" t="s">
        <v>52</v>
      </c>
      <c r="C1702" s="468"/>
      <c r="D1702" s="335">
        <f>Master!AM54</f>
        <v>1105</v>
      </c>
      <c r="E1702" s="335">
        <f>Master!AL54</f>
        <v>70</v>
      </c>
      <c r="F1702" s="180">
        <f>Master!AN54</f>
        <v>0</v>
      </c>
      <c r="G1702" s="180">
        <f>Master!AO54</f>
        <v>0</v>
      </c>
      <c r="H1702" s="180">
        <f>Master!AP54</f>
        <v>0</v>
      </c>
      <c r="I1702" s="127">
        <f>D1702+E1702+F1702+G1702+H1702</f>
        <v>1175</v>
      </c>
      <c r="K1702" s="21">
        <v>6</v>
      </c>
      <c r="L1702" s="468" t="s">
        <v>52</v>
      </c>
      <c r="M1702" s="468"/>
      <c r="N1702" s="335">
        <f>D1702</f>
        <v>1105</v>
      </c>
      <c r="O1702" s="335">
        <f>E1702</f>
        <v>70</v>
      </c>
      <c r="P1702" s="180">
        <f>F1702</f>
        <v>0</v>
      </c>
      <c r="Q1702" s="180">
        <f>G1702</f>
        <v>0</v>
      </c>
      <c r="R1702" s="180">
        <f>H1702</f>
        <v>0</v>
      </c>
      <c r="S1702" s="127">
        <f>N1702+O1702+R1702</f>
        <v>1175</v>
      </c>
    </row>
    <row r="1703" spans="1:19">
      <c r="A1703" s="21"/>
      <c r="B1703" s="120"/>
      <c r="C1703" s="120"/>
      <c r="D1703" s="120"/>
      <c r="E1703" s="120"/>
      <c r="F1703" s="114"/>
      <c r="G1703" s="114"/>
      <c r="H1703" s="114"/>
      <c r="I1703" s="16"/>
      <c r="K1703" s="21"/>
      <c r="L1703" s="120"/>
      <c r="M1703" s="120"/>
      <c r="N1703" s="120"/>
      <c r="O1703" s="120"/>
      <c r="P1703" s="114"/>
      <c r="Q1703" s="114"/>
      <c r="R1703" s="114"/>
      <c r="S1703" s="16"/>
    </row>
    <row r="1704" spans="1:19">
      <c r="A1704" s="21">
        <v>7</v>
      </c>
      <c r="B1704" s="1099" t="s">
        <v>53</v>
      </c>
      <c r="C1704" s="1099"/>
      <c r="D1704" s="1099"/>
      <c r="E1704" s="24">
        <f>E1700-I1702</f>
        <v>8035.4</v>
      </c>
      <c r="F1704" s="19"/>
      <c r="G1704" s="19"/>
      <c r="H1704" s="19"/>
      <c r="I1704" s="16"/>
      <c r="K1704" s="21">
        <v>7</v>
      </c>
      <c r="L1704" s="1099" t="s">
        <v>53</v>
      </c>
      <c r="M1704" s="1099"/>
      <c r="N1704" s="1099"/>
      <c r="O1704" s="24">
        <f>E1704</f>
        <v>8035.4</v>
      </c>
      <c r="P1704" s="19"/>
      <c r="Q1704" s="19"/>
      <c r="R1704" s="19"/>
      <c r="S1704" s="16"/>
    </row>
    <row r="1705" spans="1:19">
      <c r="A1705" s="15"/>
      <c r="B1705" s="114"/>
      <c r="C1705" s="114"/>
      <c r="D1705" s="114"/>
      <c r="E1705" s="114"/>
      <c r="F1705" s="114"/>
      <c r="G1705" s="114"/>
      <c r="H1705" s="114"/>
      <c r="I1705" s="16"/>
      <c r="K1705" s="15"/>
      <c r="L1705" s="114"/>
      <c r="M1705" s="114"/>
      <c r="N1705" s="114"/>
      <c r="O1705" s="114"/>
      <c r="P1705" s="114"/>
      <c r="Q1705" s="114"/>
      <c r="R1705" s="114"/>
      <c r="S1705" s="16"/>
    </row>
    <row r="1706" spans="1:19">
      <c r="A1706" s="15"/>
      <c r="B1706" s="114"/>
      <c r="C1706" s="114"/>
      <c r="D1706" s="114"/>
      <c r="E1706" s="114"/>
      <c r="F1706" s="114"/>
      <c r="G1706" s="114"/>
      <c r="H1706" s="114"/>
      <c r="I1706" s="16"/>
      <c r="K1706" s="15"/>
      <c r="L1706" s="114"/>
      <c r="M1706" s="114"/>
      <c r="N1706" s="114"/>
      <c r="O1706" s="114"/>
      <c r="P1706" s="114"/>
      <c r="Q1706" s="114"/>
      <c r="R1706" s="114"/>
      <c r="S1706" s="16"/>
    </row>
    <row r="1707" spans="1:19" ht="15" thickBot="1">
      <c r="A1707" s="15"/>
      <c r="B1707" s="114"/>
      <c r="C1707" s="114"/>
      <c r="D1707" s="114"/>
      <c r="E1707" s="114"/>
      <c r="F1707" s="25"/>
      <c r="G1707" s="25"/>
      <c r="H1707" s="25"/>
      <c r="I1707" s="26"/>
      <c r="K1707" s="15"/>
      <c r="L1707" s="114"/>
      <c r="M1707" s="114"/>
      <c r="N1707" s="114"/>
      <c r="O1707" s="114"/>
      <c r="P1707" s="25"/>
      <c r="Q1707" s="25"/>
      <c r="R1707" s="25"/>
      <c r="S1707" s="26"/>
    </row>
    <row r="1708" spans="1:19" ht="15" thickBot="1">
      <c r="A1708" s="27"/>
      <c r="B1708" s="25"/>
      <c r="C1708" s="25"/>
      <c r="D1708" s="25"/>
      <c r="E1708" s="999" t="s">
        <v>54</v>
      </c>
      <c r="F1708" s="999"/>
      <c r="G1708" s="999"/>
      <c r="H1708" s="999"/>
      <c r="I1708" s="1100"/>
      <c r="K1708" s="27"/>
      <c r="L1708" s="25"/>
      <c r="M1708" s="25"/>
      <c r="N1708" s="25"/>
      <c r="O1708" s="28" t="s">
        <v>54</v>
      </c>
      <c r="P1708" s="25"/>
      <c r="Q1708" s="28"/>
      <c r="R1708" s="28"/>
      <c r="S1708" s="29"/>
    </row>
    <row r="1720" spans="1:19" ht="15" thickBot="1"/>
    <row r="1721" spans="1:19" ht="24.6">
      <c r="A1721" s="1091" t="s">
        <v>39</v>
      </c>
      <c r="B1721" s="1092"/>
      <c r="C1721" s="1092"/>
      <c r="D1721" s="1092"/>
      <c r="E1721" s="1092"/>
      <c r="F1721" s="1092"/>
      <c r="G1721" s="1092"/>
      <c r="H1721" s="1092"/>
      <c r="I1721" s="1093"/>
      <c r="K1721" s="1091" t="s">
        <v>39</v>
      </c>
      <c r="L1721" s="1092"/>
      <c r="M1721" s="1092"/>
      <c r="N1721" s="1092"/>
      <c r="O1721" s="1092"/>
      <c r="P1721" s="1092"/>
      <c r="Q1721" s="1092"/>
      <c r="R1721" s="1092"/>
      <c r="S1721" s="1093"/>
    </row>
    <row r="1722" spans="1:19">
      <c r="A1722" s="1094" t="s">
        <v>1075</v>
      </c>
      <c r="B1722" s="1095"/>
      <c r="C1722" s="1095"/>
      <c r="D1722" s="1095"/>
      <c r="E1722" s="1095"/>
      <c r="F1722" s="1095"/>
      <c r="G1722" s="1095"/>
      <c r="H1722" s="1095"/>
      <c r="I1722" s="1096"/>
      <c r="K1722" s="1094" t="str">
        <f>A1722</f>
        <v>[Vide rule 78 (1) (b) of the Contract Labour (Regulation and Abolition) Central and A.P.{T.S.}Rules, 1971]</v>
      </c>
      <c r="L1722" s="1095"/>
      <c r="M1722" s="1095"/>
      <c r="N1722" s="1095"/>
      <c r="O1722" s="1095"/>
      <c r="P1722" s="1095"/>
      <c r="Q1722" s="1095"/>
      <c r="R1722" s="1095"/>
      <c r="S1722" s="1096"/>
    </row>
    <row r="1723" spans="1:19">
      <c r="A1723" s="15"/>
      <c r="B1723" s="114"/>
      <c r="C1723" s="114"/>
      <c r="D1723" s="114"/>
      <c r="E1723" s="114"/>
      <c r="F1723" s="114"/>
      <c r="G1723" s="114"/>
      <c r="H1723" s="114"/>
      <c r="I1723" s="16"/>
      <c r="K1723" s="15"/>
      <c r="L1723" s="114"/>
      <c r="M1723" s="114"/>
      <c r="N1723" s="114"/>
      <c r="O1723" s="114"/>
      <c r="P1723" s="114"/>
      <c r="Q1723" s="114"/>
      <c r="R1723" s="114"/>
      <c r="S1723" s="16"/>
    </row>
    <row r="1724" spans="1:19">
      <c r="A1724" s="17" t="s">
        <v>40</v>
      </c>
      <c r="B1724" s="120"/>
      <c r="C1724" s="120"/>
      <c r="D1724" s="121" t="str">
        <f>Master!F5</f>
        <v>GROTECH LANDSCAPE DEVELOPERS PVT. LTD.</v>
      </c>
      <c r="E1724" s="114"/>
      <c r="F1724" s="114"/>
      <c r="G1724" s="114"/>
      <c r="H1724" s="114"/>
      <c r="I1724" s="16"/>
      <c r="K1724" s="17" t="s">
        <v>40</v>
      </c>
      <c r="L1724" s="120"/>
      <c r="M1724" s="120"/>
      <c r="N1724" s="121" t="str">
        <f>D1724</f>
        <v>GROTECH LANDSCAPE DEVELOPERS PVT. LTD.</v>
      </c>
      <c r="O1724" s="114"/>
      <c r="P1724" s="114"/>
      <c r="Q1724" s="114"/>
      <c r="R1724" s="114"/>
      <c r="S1724" s="16"/>
    </row>
    <row r="1725" spans="1:19">
      <c r="A1725" s="17"/>
      <c r="B1725" s="120" t="str">
        <f>Master!F6</f>
        <v>290/E, Khanapur Village, Gandipet Mandal, Ranga Reddy, Hyderabad-500075 T.S.</v>
      </c>
      <c r="C1725" s="120"/>
      <c r="D1725" s="114"/>
      <c r="E1725" s="114"/>
      <c r="F1725" s="114"/>
      <c r="G1725" s="114"/>
      <c r="H1725" s="114"/>
      <c r="I1725" s="16"/>
      <c r="K1725" s="17"/>
      <c r="L1725" s="120" t="str">
        <f>B1725</f>
        <v>290/E, Khanapur Village, Gandipet Mandal, Ranga Reddy, Hyderabad-500075 T.S.</v>
      </c>
      <c r="M1725" s="120"/>
      <c r="N1725" s="114"/>
      <c r="O1725" s="114"/>
      <c r="P1725" s="114"/>
      <c r="Q1725" s="114"/>
      <c r="R1725" s="114"/>
      <c r="S1725" s="16"/>
    </row>
    <row r="1726" spans="1:19">
      <c r="A1726" s="17"/>
      <c r="B1726" s="120"/>
      <c r="C1726" s="120"/>
      <c r="D1726" s="120"/>
      <c r="E1726" s="120"/>
      <c r="F1726" s="114"/>
      <c r="G1726" s="114"/>
      <c r="H1726" s="114"/>
      <c r="I1726" s="16"/>
      <c r="K1726" s="17"/>
      <c r="L1726" s="120"/>
      <c r="M1726" s="120"/>
      <c r="N1726" s="120"/>
      <c r="O1726" s="120"/>
      <c r="P1726" s="114"/>
      <c r="Q1726" s="114"/>
      <c r="R1726" s="114"/>
      <c r="S1726" s="16"/>
    </row>
    <row r="1727" spans="1:19">
      <c r="A1727" s="1097" t="s">
        <v>41</v>
      </c>
      <c r="B1727" s="1098"/>
      <c r="C1727" s="1098"/>
      <c r="D1727" s="1098"/>
      <c r="E1727" s="120"/>
      <c r="F1727" s="114"/>
      <c r="G1727" s="114"/>
      <c r="H1727" s="114"/>
      <c r="I1727" s="16"/>
      <c r="K1727" s="1097" t="s">
        <v>41</v>
      </c>
      <c r="L1727" s="1098"/>
      <c r="M1727" s="1098"/>
      <c r="N1727" s="1098"/>
      <c r="O1727" s="120"/>
      <c r="P1727" s="114"/>
      <c r="Q1727" s="114"/>
      <c r="R1727" s="114"/>
      <c r="S1727" s="16"/>
    </row>
    <row r="1728" spans="1:19">
      <c r="A1728" s="1097"/>
      <c r="B1728" s="1098"/>
      <c r="C1728" s="1098"/>
      <c r="D1728" s="1098"/>
      <c r="E1728" s="128" t="str">
        <f>Master!D55</f>
        <v xml:space="preserve">Vadla Naveena </v>
      </c>
      <c r="F1728" s="19"/>
      <c r="G1728" s="19"/>
      <c r="H1728" s="19" t="str">
        <f>Master!G55</f>
        <v>VADLA BHASHKAR</v>
      </c>
      <c r="I1728" s="16"/>
      <c r="K1728" s="1097"/>
      <c r="L1728" s="1098"/>
      <c r="M1728" s="1098"/>
      <c r="N1728" s="1098"/>
      <c r="O1728" s="18" t="str">
        <f>E1728</f>
        <v xml:space="preserve">Vadla Naveena </v>
      </c>
      <c r="P1728" s="19"/>
      <c r="Q1728" s="19"/>
      <c r="R1728" s="19" t="str">
        <f>H1728</f>
        <v>VADLA BHASHKAR</v>
      </c>
      <c r="S1728" s="16"/>
    </row>
    <row r="1729" spans="1:19">
      <c r="A1729" s="17"/>
      <c r="B1729" s="120"/>
      <c r="C1729" s="120"/>
      <c r="D1729" s="120"/>
      <c r="E1729" s="120"/>
      <c r="F1729" s="114"/>
      <c r="G1729" s="114"/>
      <c r="H1729" s="114"/>
      <c r="I1729" s="16"/>
      <c r="K1729" s="17"/>
      <c r="L1729" s="120"/>
      <c r="M1729" s="120"/>
      <c r="N1729" s="120"/>
      <c r="O1729" s="120"/>
      <c r="P1729" s="114"/>
      <c r="Q1729" s="114"/>
      <c r="R1729" s="114"/>
      <c r="S1729" s="16"/>
    </row>
    <row r="1730" spans="1:19">
      <c r="A1730" s="1101" t="s">
        <v>42</v>
      </c>
      <c r="B1730" s="1099"/>
      <c r="C1730" s="1099"/>
      <c r="D1730" s="1099"/>
      <c r="E1730" s="24" t="str">
        <f>Master!F8</f>
        <v>GARDENING SERVICES&amp;ISB HYDERABAD</v>
      </c>
      <c r="F1730" s="19"/>
      <c r="G1730" s="19"/>
      <c r="H1730" s="19"/>
      <c r="I1730" s="16"/>
      <c r="K1730" s="1101" t="s">
        <v>42</v>
      </c>
      <c r="L1730" s="1099"/>
      <c r="M1730" s="1099"/>
      <c r="N1730" s="1099"/>
      <c r="O1730" s="24" t="str">
        <f>E1730</f>
        <v>GARDENING SERVICES&amp;ISB HYDERABAD</v>
      </c>
      <c r="P1730" s="19"/>
      <c r="Q1730" s="19"/>
      <c r="R1730" s="19"/>
      <c r="S1730" s="16"/>
    </row>
    <row r="1731" spans="1:19">
      <c r="A1731" s="17"/>
      <c r="B1731" s="120"/>
      <c r="C1731" s="120"/>
      <c r="D1731" s="120"/>
      <c r="E1731" s="120"/>
      <c r="F1731" s="114"/>
      <c r="G1731" s="114"/>
      <c r="H1731" s="114"/>
      <c r="I1731" s="16"/>
      <c r="K1731" s="17"/>
      <c r="L1731" s="120"/>
      <c r="M1731" s="120"/>
      <c r="N1731" s="120"/>
      <c r="O1731" s="120"/>
      <c r="P1731" s="114"/>
      <c r="Q1731" s="114"/>
      <c r="R1731" s="114"/>
      <c r="S1731" s="16"/>
    </row>
    <row r="1732" spans="1:19">
      <c r="A1732" s="1101" t="s">
        <v>43</v>
      </c>
      <c r="B1732" s="1099"/>
      <c r="C1732" s="1099"/>
      <c r="D1732" s="1099"/>
      <c r="E1732" s="20">
        <f>Master!F10</f>
        <v>44652</v>
      </c>
      <c r="F1732" s="19"/>
      <c r="G1732" s="19"/>
      <c r="H1732" s="19"/>
      <c r="I1732" s="16"/>
      <c r="K1732" s="1101" t="s">
        <v>43</v>
      </c>
      <c r="L1732" s="1099"/>
      <c r="M1732" s="1099"/>
      <c r="N1732" s="1099"/>
      <c r="O1732" s="20">
        <f>E1732</f>
        <v>44652</v>
      </c>
      <c r="P1732" s="19"/>
      <c r="Q1732" s="19"/>
      <c r="R1732" s="19"/>
      <c r="S1732" s="16"/>
    </row>
    <row r="1733" spans="1:19">
      <c r="A1733" s="17"/>
      <c r="B1733" s="120"/>
      <c r="C1733" s="120"/>
      <c r="D1733" s="120"/>
      <c r="E1733" s="120"/>
      <c r="F1733" s="114"/>
      <c r="G1733" s="114"/>
      <c r="H1733" s="114"/>
      <c r="I1733" s="16"/>
      <c r="K1733" s="17"/>
      <c r="L1733" s="120"/>
      <c r="M1733" s="120"/>
      <c r="N1733" s="120"/>
      <c r="O1733" s="120"/>
      <c r="P1733" s="114"/>
      <c r="Q1733" s="114"/>
      <c r="R1733" s="114"/>
      <c r="S1733" s="16"/>
    </row>
    <row r="1734" spans="1:19">
      <c r="A1734" s="21">
        <v>1</v>
      </c>
      <c r="B1734" s="1099" t="s">
        <v>44</v>
      </c>
      <c r="C1734" s="1099"/>
      <c r="D1734" s="1099"/>
      <c r="E1734" s="22">
        <f>Master!AA55</f>
        <v>26</v>
      </c>
      <c r="F1734" s="19"/>
      <c r="G1734" s="19"/>
      <c r="H1734" s="19"/>
      <c r="I1734" s="16"/>
      <c r="K1734" s="21">
        <v>1</v>
      </c>
      <c r="L1734" s="1099" t="s">
        <v>44</v>
      </c>
      <c r="M1734" s="1099"/>
      <c r="N1734" s="1099"/>
      <c r="O1734" s="22">
        <f>E1734</f>
        <v>26</v>
      </c>
      <c r="P1734" s="19"/>
      <c r="Q1734" s="19"/>
      <c r="R1734" s="19"/>
      <c r="S1734" s="16"/>
    </row>
    <row r="1735" spans="1:19">
      <c r="A1735" s="21"/>
      <c r="B1735" s="120"/>
      <c r="C1735" s="120"/>
      <c r="D1735" s="120"/>
      <c r="E1735" s="120"/>
      <c r="F1735" s="114"/>
      <c r="G1735" s="114"/>
      <c r="H1735" s="114"/>
      <c r="I1735" s="16"/>
      <c r="K1735" s="21"/>
      <c r="L1735" s="120"/>
      <c r="M1735" s="120"/>
      <c r="N1735" s="120"/>
      <c r="O1735" s="120"/>
      <c r="P1735" s="114"/>
      <c r="Q1735" s="114"/>
      <c r="R1735" s="114"/>
      <c r="S1735" s="16"/>
    </row>
    <row r="1736" spans="1:19">
      <c r="A1736" s="21">
        <v>2</v>
      </c>
      <c r="B1736" s="1098" t="s">
        <v>45</v>
      </c>
      <c r="C1736" s="1098"/>
      <c r="D1736" s="1098"/>
      <c r="E1736" s="120"/>
      <c r="F1736" s="114"/>
      <c r="G1736" s="114"/>
      <c r="H1736" s="114"/>
      <c r="I1736" s="16"/>
      <c r="K1736" s="21">
        <v>2</v>
      </c>
      <c r="L1736" s="1098" t="s">
        <v>45</v>
      </c>
      <c r="M1736" s="1098"/>
      <c r="N1736" s="1098"/>
      <c r="O1736" s="120"/>
      <c r="P1736" s="114"/>
      <c r="Q1736" s="114"/>
      <c r="R1736" s="114"/>
      <c r="S1736" s="16"/>
    </row>
    <row r="1737" spans="1:19">
      <c r="A1737" s="21"/>
      <c r="B1737" s="1098"/>
      <c r="C1737" s="1098"/>
      <c r="D1737" s="1098"/>
      <c r="E1737" s="23" t="s">
        <v>28</v>
      </c>
      <c r="F1737" s="19"/>
      <c r="G1737" s="19"/>
      <c r="H1737" s="19"/>
      <c r="I1737" s="16"/>
      <c r="K1737" s="21"/>
      <c r="L1737" s="1098"/>
      <c r="M1737" s="1098"/>
      <c r="N1737" s="1098"/>
      <c r="O1737" s="23" t="s">
        <v>28</v>
      </c>
      <c r="P1737" s="19"/>
      <c r="Q1737" s="19"/>
      <c r="R1737" s="19"/>
      <c r="S1737" s="16"/>
    </row>
    <row r="1738" spans="1:19">
      <c r="A1738" s="21"/>
      <c r="B1738" s="120"/>
      <c r="C1738" s="120"/>
      <c r="D1738" s="120"/>
      <c r="E1738" s="120"/>
      <c r="F1738" s="114"/>
      <c r="G1738" s="114"/>
      <c r="H1738" s="114"/>
      <c r="I1738" s="16"/>
      <c r="K1738" s="21"/>
      <c r="L1738" s="120"/>
      <c r="M1738" s="120"/>
      <c r="N1738" s="120"/>
      <c r="O1738" s="120"/>
      <c r="P1738" s="114"/>
      <c r="Q1738" s="114"/>
      <c r="R1738" s="114"/>
      <c r="S1738" s="16"/>
    </row>
    <row r="1739" spans="1:19">
      <c r="A1739" s="21">
        <v>3</v>
      </c>
      <c r="B1739" s="1099" t="s">
        <v>46</v>
      </c>
      <c r="C1739" s="1099"/>
      <c r="D1739" s="1099"/>
      <c r="E1739" s="23" t="s">
        <v>28</v>
      </c>
      <c r="F1739" s="19"/>
      <c r="G1739" s="19"/>
      <c r="H1739" s="19"/>
      <c r="I1739" s="16"/>
      <c r="K1739" s="21">
        <v>3</v>
      </c>
      <c r="L1739" s="1099" t="s">
        <v>46</v>
      </c>
      <c r="M1739" s="1099"/>
      <c r="N1739" s="1099"/>
      <c r="O1739" s="18" t="str">
        <f>E1739</f>
        <v>N/A</v>
      </c>
      <c r="P1739" s="19"/>
      <c r="Q1739" s="19"/>
      <c r="R1739" s="19"/>
      <c r="S1739" s="16"/>
    </row>
    <row r="1740" spans="1:19">
      <c r="A1740" s="21"/>
      <c r="B1740" s="120"/>
      <c r="C1740" s="120"/>
      <c r="D1740" s="120"/>
      <c r="E1740" s="120"/>
      <c r="F1740" s="114"/>
      <c r="G1740" s="114"/>
      <c r="H1740" s="114"/>
      <c r="I1740" s="16"/>
      <c r="K1740" s="21"/>
      <c r="L1740" s="120"/>
      <c r="M1740" s="120"/>
      <c r="N1740" s="120"/>
      <c r="O1740" s="120"/>
      <c r="P1740" s="114"/>
      <c r="Q1740" s="114"/>
      <c r="R1740" s="114"/>
      <c r="S1740" s="16"/>
    </row>
    <row r="1741" spans="1:19">
      <c r="A1741" s="21">
        <v>4</v>
      </c>
      <c r="B1741" s="1099" t="s">
        <v>47</v>
      </c>
      <c r="C1741" s="1099"/>
      <c r="D1741" s="1099"/>
      <c r="E1741" s="23" t="s">
        <v>48</v>
      </c>
      <c r="F1741" s="19"/>
      <c r="G1741" s="19"/>
      <c r="H1741" s="19"/>
      <c r="I1741" s="16"/>
      <c r="K1741" s="21">
        <v>4</v>
      </c>
      <c r="L1741" s="1099" t="s">
        <v>47</v>
      </c>
      <c r="M1741" s="1099"/>
      <c r="N1741" s="1099"/>
      <c r="O1741" s="23" t="s">
        <v>48</v>
      </c>
      <c r="P1741" s="19"/>
      <c r="Q1741" s="19"/>
      <c r="R1741" s="19"/>
      <c r="S1741" s="16"/>
    </row>
    <row r="1742" spans="1:19">
      <c r="A1742" s="21"/>
      <c r="B1742" s="120"/>
      <c r="C1742" s="120"/>
      <c r="D1742" s="120"/>
      <c r="E1742" s="120"/>
      <c r="F1742" s="114"/>
      <c r="G1742" s="114"/>
      <c r="H1742" s="114"/>
      <c r="I1742" s="16"/>
      <c r="K1742" s="21"/>
      <c r="L1742" s="120"/>
      <c r="M1742" s="120"/>
      <c r="N1742" s="120"/>
      <c r="O1742" s="120"/>
      <c r="P1742" s="114"/>
      <c r="Q1742" s="114"/>
      <c r="R1742" s="114"/>
      <c r="S1742" s="16"/>
    </row>
    <row r="1743" spans="1:19">
      <c r="A1743" s="21">
        <v>5</v>
      </c>
      <c r="B1743" s="1099" t="s">
        <v>49</v>
      </c>
      <c r="C1743" s="1099"/>
      <c r="D1743" s="1099"/>
      <c r="E1743" s="24">
        <f>Master!AK55</f>
        <v>9210.4</v>
      </c>
      <c r="F1743" s="19"/>
      <c r="G1743" s="19"/>
      <c r="H1743" s="19"/>
      <c r="I1743" s="16"/>
      <c r="K1743" s="21">
        <v>5</v>
      </c>
      <c r="L1743" s="1099" t="s">
        <v>49</v>
      </c>
      <c r="M1743" s="1099"/>
      <c r="N1743" s="1099"/>
      <c r="O1743" s="24">
        <f>E1743</f>
        <v>9210.4</v>
      </c>
      <c r="P1743" s="19"/>
      <c r="Q1743" s="19"/>
      <c r="R1743" s="19"/>
      <c r="S1743" s="16"/>
    </row>
    <row r="1744" spans="1:19">
      <c r="A1744" s="21"/>
      <c r="B1744" s="120"/>
      <c r="C1744" s="120"/>
      <c r="D1744" s="238" t="s">
        <v>50</v>
      </c>
      <c r="E1744" s="238" t="s">
        <v>23</v>
      </c>
      <c r="F1744" s="136" t="s">
        <v>25</v>
      </c>
      <c r="G1744" s="238" t="s">
        <v>26</v>
      </c>
      <c r="H1744" s="238" t="s">
        <v>202</v>
      </c>
      <c r="I1744" s="126" t="s">
        <v>51</v>
      </c>
      <c r="K1744" s="21"/>
      <c r="L1744" s="120"/>
      <c r="M1744" s="120"/>
      <c r="N1744" s="238" t="s">
        <v>50</v>
      </c>
      <c r="O1744" s="238" t="s">
        <v>23</v>
      </c>
      <c r="P1744" s="136" t="s">
        <v>25</v>
      </c>
      <c r="Q1744" s="238" t="s">
        <v>26</v>
      </c>
      <c r="R1744" s="238" t="str">
        <f>H1744</f>
        <v>ADV</v>
      </c>
      <c r="S1744" s="126" t="s">
        <v>51</v>
      </c>
    </row>
    <row r="1745" spans="1:19">
      <c r="A1745" s="21">
        <v>6</v>
      </c>
      <c r="B1745" s="468" t="s">
        <v>52</v>
      </c>
      <c r="C1745" s="468"/>
      <c r="D1745" s="335">
        <f>Master!AM55</f>
        <v>1105</v>
      </c>
      <c r="E1745" s="335">
        <f>Master!AL55</f>
        <v>70</v>
      </c>
      <c r="F1745" s="180">
        <f>Master!AN55</f>
        <v>0</v>
      </c>
      <c r="G1745" s="180">
        <f>Master!AO55</f>
        <v>0</v>
      </c>
      <c r="H1745" s="180">
        <f>Master!AP55</f>
        <v>0</v>
      </c>
      <c r="I1745" s="127">
        <f>D1745+E1745+F1745+G1745+H1745</f>
        <v>1175</v>
      </c>
      <c r="K1745" s="21">
        <v>6</v>
      </c>
      <c r="L1745" s="468" t="s">
        <v>52</v>
      </c>
      <c r="M1745" s="468"/>
      <c r="N1745" s="335">
        <f>D1745</f>
        <v>1105</v>
      </c>
      <c r="O1745" s="335">
        <f>E1745</f>
        <v>70</v>
      </c>
      <c r="P1745" s="180">
        <f>F1745</f>
        <v>0</v>
      </c>
      <c r="Q1745" s="180">
        <f>G1745</f>
        <v>0</v>
      </c>
      <c r="R1745" s="180">
        <f>H1745</f>
        <v>0</v>
      </c>
      <c r="S1745" s="127">
        <f>N1745+O1745+R1745</f>
        <v>1175</v>
      </c>
    </row>
    <row r="1746" spans="1:19">
      <c r="A1746" s="21"/>
      <c r="B1746" s="120"/>
      <c r="C1746" s="120"/>
      <c r="D1746" s="120"/>
      <c r="E1746" s="120"/>
      <c r="F1746" s="114"/>
      <c r="G1746" s="114"/>
      <c r="H1746" s="114"/>
      <c r="I1746" s="16"/>
      <c r="K1746" s="21"/>
      <c r="L1746" s="120"/>
      <c r="M1746" s="120"/>
      <c r="N1746" s="120"/>
      <c r="O1746" s="120"/>
      <c r="P1746" s="114"/>
      <c r="Q1746" s="114"/>
      <c r="R1746" s="114"/>
      <c r="S1746" s="16"/>
    </row>
    <row r="1747" spans="1:19">
      <c r="A1747" s="21">
        <v>7</v>
      </c>
      <c r="B1747" s="1099" t="s">
        <v>53</v>
      </c>
      <c r="C1747" s="1099"/>
      <c r="D1747" s="1099"/>
      <c r="E1747" s="24">
        <f>E1743-I1745</f>
        <v>8035.4</v>
      </c>
      <c r="F1747" s="19"/>
      <c r="G1747" s="19"/>
      <c r="H1747" s="19"/>
      <c r="I1747" s="16"/>
      <c r="K1747" s="21">
        <v>7</v>
      </c>
      <c r="L1747" s="1099" t="s">
        <v>53</v>
      </c>
      <c r="M1747" s="1099"/>
      <c r="N1747" s="1099"/>
      <c r="O1747" s="24">
        <f>E1747</f>
        <v>8035.4</v>
      </c>
      <c r="P1747" s="19"/>
      <c r="Q1747" s="19"/>
      <c r="R1747" s="19"/>
      <c r="S1747" s="16"/>
    </row>
    <row r="1748" spans="1:19">
      <c r="A1748" s="15"/>
      <c r="B1748" s="114"/>
      <c r="C1748" s="114"/>
      <c r="D1748" s="114"/>
      <c r="E1748" s="114"/>
      <c r="F1748" s="114"/>
      <c r="G1748" s="114"/>
      <c r="H1748" s="114"/>
      <c r="I1748" s="16"/>
      <c r="K1748" s="15"/>
      <c r="L1748" s="114"/>
      <c r="M1748" s="114"/>
      <c r="N1748" s="114"/>
      <c r="O1748" s="114"/>
      <c r="P1748" s="114"/>
      <c r="Q1748" s="114"/>
      <c r="R1748" s="114"/>
      <c r="S1748" s="16"/>
    </row>
    <row r="1749" spans="1:19">
      <c r="A1749" s="15"/>
      <c r="B1749" s="114"/>
      <c r="C1749" s="114"/>
      <c r="D1749" s="114"/>
      <c r="E1749" s="114"/>
      <c r="F1749" s="114"/>
      <c r="G1749" s="114"/>
      <c r="H1749" s="114"/>
      <c r="I1749" s="16"/>
      <c r="K1749" s="15"/>
      <c r="L1749" s="114"/>
      <c r="M1749" s="114"/>
      <c r="N1749" s="114"/>
      <c r="O1749" s="114"/>
      <c r="P1749" s="114"/>
      <c r="Q1749" s="114"/>
      <c r="R1749" s="114"/>
      <c r="S1749" s="16"/>
    </row>
    <row r="1750" spans="1:19" ht="15" thickBot="1">
      <c r="A1750" s="15"/>
      <c r="B1750" s="114"/>
      <c r="C1750" s="114"/>
      <c r="D1750" s="114"/>
      <c r="E1750" s="114"/>
      <c r="F1750" s="25"/>
      <c r="G1750" s="25"/>
      <c r="H1750" s="25"/>
      <c r="I1750" s="26"/>
      <c r="K1750" s="15"/>
      <c r="L1750" s="114"/>
      <c r="M1750" s="114"/>
      <c r="N1750" s="114"/>
      <c r="O1750" s="114"/>
      <c r="P1750" s="25"/>
      <c r="Q1750" s="25"/>
      <c r="R1750" s="25"/>
      <c r="S1750" s="26"/>
    </row>
    <row r="1751" spans="1:19" ht="15" thickBot="1">
      <c r="A1751" s="27"/>
      <c r="B1751" s="25"/>
      <c r="C1751" s="25"/>
      <c r="D1751" s="25"/>
      <c r="E1751" s="999" t="s">
        <v>54</v>
      </c>
      <c r="F1751" s="999"/>
      <c r="G1751" s="999"/>
      <c r="H1751" s="999"/>
      <c r="I1751" s="1100"/>
      <c r="K1751" s="27"/>
      <c r="L1751" s="25"/>
      <c r="M1751" s="25"/>
      <c r="N1751" s="25"/>
      <c r="O1751" s="28" t="s">
        <v>54</v>
      </c>
      <c r="P1751" s="25"/>
      <c r="Q1751" s="28"/>
      <c r="R1751" s="28"/>
      <c r="S1751" s="29"/>
    </row>
    <row r="1763" spans="1:19" ht="15" thickBot="1"/>
    <row r="1764" spans="1:19" ht="24.6">
      <c r="A1764" s="1091" t="s">
        <v>39</v>
      </c>
      <c r="B1764" s="1092"/>
      <c r="C1764" s="1092"/>
      <c r="D1764" s="1092"/>
      <c r="E1764" s="1092"/>
      <c r="F1764" s="1092"/>
      <c r="G1764" s="1092"/>
      <c r="H1764" s="1092"/>
      <c r="I1764" s="1093"/>
      <c r="K1764" s="1091" t="s">
        <v>39</v>
      </c>
      <c r="L1764" s="1092"/>
      <c r="M1764" s="1092"/>
      <c r="N1764" s="1092"/>
      <c r="O1764" s="1092"/>
      <c r="P1764" s="1092"/>
      <c r="Q1764" s="1092"/>
      <c r="R1764" s="1092"/>
      <c r="S1764" s="1093"/>
    </row>
    <row r="1765" spans="1:19">
      <c r="A1765" s="1094" t="s">
        <v>1075</v>
      </c>
      <c r="B1765" s="1095"/>
      <c r="C1765" s="1095"/>
      <c r="D1765" s="1095"/>
      <c r="E1765" s="1095"/>
      <c r="F1765" s="1095"/>
      <c r="G1765" s="1095"/>
      <c r="H1765" s="1095"/>
      <c r="I1765" s="1096"/>
      <c r="K1765" s="1094" t="str">
        <f>A1765</f>
        <v>[Vide rule 78 (1) (b) of the Contract Labour (Regulation and Abolition) Central and A.P.{T.S.}Rules, 1971]</v>
      </c>
      <c r="L1765" s="1095"/>
      <c r="M1765" s="1095"/>
      <c r="N1765" s="1095"/>
      <c r="O1765" s="1095"/>
      <c r="P1765" s="1095"/>
      <c r="Q1765" s="1095"/>
      <c r="R1765" s="1095"/>
      <c r="S1765" s="1096"/>
    </row>
    <row r="1766" spans="1:19">
      <c r="A1766" s="15"/>
      <c r="B1766" s="114"/>
      <c r="C1766" s="114"/>
      <c r="D1766" s="114"/>
      <c r="E1766" s="114"/>
      <c r="F1766" s="114"/>
      <c r="G1766" s="114"/>
      <c r="H1766" s="114"/>
      <c r="I1766" s="16"/>
      <c r="K1766" s="15"/>
      <c r="L1766" s="114"/>
      <c r="M1766" s="114"/>
      <c r="N1766" s="114"/>
      <c r="O1766" s="114"/>
      <c r="P1766" s="114"/>
      <c r="Q1766" s="114"/>
      <c r="R1766" s="114"/>
      <c r="S1766" s="16"/>
    </row>
    <row r="1767" spans="1:19">
      <c r="A1767" s="17" t="s">
        <v>40</v>
      </c>
      <c r="B1767" s="120"/>
      <c r="C1767" s="120"/>
      <c r="D1767" s="121" t="str">
        <f>Master!F5</f>
        <v>GROTECH LANDSCAPE DEVELOPERS PVT. LTD.</v>
      </c>
      <c r="E1767" s="114"/>
      <c r="F1767" s="114"/>
      <c r="G1767" s="114"/>
      <c r="H1767" s="114"/>
      <c r="I1767" s="16"/>
      <c r="K1767" s="17" t="s">
        <v>40</v>
      </c>
      <c r="L1767" s="120"/>
      <c r="M1767" s="120"/>
      <c r="N1767" s="121" t="str">
        <f>D1767</f>
        <v>GROTECH LANDSCAPE DEVELOPERS PVT. LTD.</v>
      </c>
      <c r="O1767" s="114"/>
      <c r="P1767" s="114"/>
      <c r="Q1767" s="114"/>
      <c r="R1767" s="114"/>
      <c r="S1767" s="16"/>
    </row>
    <row r="1768" spans="1:19">
      <c r="A1768" s="17"/>
      <c r="B1768" s="120" t="str">
        <f>Master!F6</f>
        <v>290/E, Khanapur Village, Gandipet Mandal, Ranga Reddy, Hyderabad-500075 T.S.</v>
      </c>
      <c r="C1768" s="120"/>
      <c r="D1768" s="114"/>
      <c r="E1768" s="114"/>
      <c r="F1768" s="114"/>
      <c r="G1768" s="114"/>
      <c r="H1768" s="114"/>
      <c r="I1768" s="16"/>
      <c r="K1768" s="17"/>
      <c r="L1768" s="120" t="str">
        <f>B1768</f>
        <v>290/E, Khanapur Village, Gandipet Mandal, Ranga Reddy, Hyderabad-500075 T.S.</v>
      </c>
      <c r="M1768" s="120"/>
      <c r="N1768" s="114"/>
      <c r="O1768" s="114"/>
      <c r="P1768" s="114"/>
      <c r="Q1768" s="114"/>
      <c r="R1768" s="114"/>
      <c r="S1768" s="16"/>
    </row>
    <row r="1769" spans="1:19">
      <c r="A1769" s="17"/>
      <c r="B1769" s="120"/>
      <c r="C1769" s="120"/>
      <c r="D1769" s="120"/>
      <c r="E1769" s="120"/>
      <c r="F1769" s="114"/>
      <c r="G1769" s="114"/>
      <c r="H1769" s="114"/>
      <c r="I1769" s="16"/>
      <c r="K1769" s="17"/>
      <c r="L1769" s="120"/>
      <c r="M1769" s="120"/>
      <c r="N1769" s="120"/>
      <c r="O1769" s="120"/>
      <c r="P1769" s="114"/>
      <c r="Q1769" s="114"/>
      <c r="R1769" s="114"/>
      <c r="S1769" s="16"/>
    </row>
    <row r="1770" spans="1:19">
      <c r="A1770" s="1097" t="s">
        <v>41</v>
      </c>
      <c r="B1770" s="1098"/>
      <c r="C1770" s="1098"/>
      <c r="D1770" s="1098"/>
      <c r="E1770" s="120"/>
      <c r="F1770" s="114"/>
      <c r="G1770" s="114"/>
      <c r="H1770" s="114"/>
      <c r="I1770" s="16"/>
      <c r="K1770" s="1097" t="s">
        <v>41</v>
      </c>
      <c r="L1770" s="1098"/>
      <c r="M1770" s="1098"/>
      <c r="N1770" s="1098"/>
      <c r="O1770" s="120"/>
      <c r="P1770" s="114"/>
      <c r="Q1770" s="114"/>
      <c r="R1770" s="114"/>
      <c r="S1770" s="16"/>
    </row>
    <row r="1771" spans="1:19">
      <c r="A1771" s="1097"/>
      <c r="B1771" s="1098"/>
      <c r="C1771" s="1098"/>
      <c r="D1771" s="1098"/>
      <c r="E1771" s="128" t="str">
        <f>Master!D56</f>
        <v>Nagani shantamma</v>
      </c>
      <c r="F1771" s="19"/>
      <c r="G1771" s="19"/>
      <c r="H1771" s="19" t="str">
        <f>Master!G55</f>
        <v>VADLA BHASHKAR</v>
      </c>
      <c r="I1771" s="16"/>
      <c r="K1771" s="1097"/>
      <c r="L1771" s="1098"/>
      <c r="M1771" s="1098"/>
      <c r="N1771" s="1098"/>
      <c r="O1771" s="18" t="str">
        <f>E1771</f>
        <v>Nagani shantamma</v>
      </c>
      <c r="P1771" s="19"/>
      <c r="Q1771" s="19"/>
      <c r="R1771" s="19" t="str">
        <f>H1771</f>
        <v>VADLA BHASHKAR</v>
      </c>
      <c r="S1771" s="16"/>
    </row>
    <row r="1772" spans="1:19">
      <c r="A1772" s="17"/>
      <c r="B1772" s="120"/>
      <c r="C1772" s="120"/>
      <c r="D1772" s="120"/>
      <c r="E1772" s="120"/>
      <c r="F1772" s="114"/>
      <c r="G1772" s="114"/>
      <c r="H1772" s="114"/>
      <c r="I1772" s="16"/>
      <c r="K1772" s="17"/>
      <c r="L1772" s="120"/>
      <c r="M1772" s="120"/>
      <c r="N1772" s="120"/>
      <c r="O1772" s="120"/>
      <c r="P1772" s="114"/>
      <c r="Q1772" s="114"/>
      <c r="R1772" s="114"/>
      <c r="S1772" s="16"/>
    </row>
    <row r="1773" spans="1:19">
      <c r="A1773" s="1101" t="s">
        <v>42</v>
      </c>
      <c r="B1773" s="1099"/>
      <c r="C1773" s="1099"/>
      <c r="D1773" s="1099"/>
      <c r="E1773" s="24" t="str">
        <f>Master!F8</f>
        <v>GARDENING SERVICES&amp;ISB HYDERABAD</v>
      </c>
      <c r="F1773" s="19"/>
      <c r="G1773" s="19"/>
      <c r="H1773" s="19"/>
      <c r="I1773" s="16"/>
      <c r="K1773" s="1101" t="s">
        <v>42</v>
      </c>
      <c r="L1773" s="1099"/>
      <c r="M1773" s="1099"/>
      <c r="N1773" s="1099"/>
      <c r="O1773" s="24" t="str">
        <f>E1773</f>
        <v>GARDENING SERVICES&amp;ISB HYDERABAD</v>
      </c>
      <c r="P1773" s="19"/>
      <c r="Q1773" s="19"/>
      <c r="R1773" s="19"/>
      <c r="S1773" s="16"/>
    </row>
    <row r="1774" spans="1:19">
      <c r="A1774" s="17"/>
      <c r="B1774" s="120"/>
      <c r="C1774" s="120"/>
      <c r="D1774" s="120"/>
      <c r="E1774" s="120"/>
      <c r="F1774" s="114"/>
      <c r="G1774" s="114"/>
      <c r="H1774" s="114"/>
      <c r="I1774" s="16"/>
      <c r="K1774" s="17"/>
      <c r="L1774" s="120"/>
      <c r="M1774" s="120"/>
      <c r="N1774" s="120"/>
      <c r="O1774" s="120"/>
      <c r="P1774" s="114"/>
      <c r="Q1774" s="114"/>
      <c r="R1774" s="114"/>
      <c r="S1774" s="16"/>
    </row>
    <row r="1775" spans="1:19">
      <c r="A1775" s="1101" t="s">
        <v>43</v>
      </c>
      <c r="B1775" s="1099"/>
      <c r="C1775" s="1099"/>
      <c r="D1775" s="1099"/>
      <c r="E1775" s="20">
        <f>Master!F10</f>
        <v>44652</v>
      </c>
      <c r="F1775" s="19"/>
      <c r="G1775" s="19"/>
      <c r="H1775" s="19"/>
      <c r="I1775" s="16"/>
      <c r="K1775" s="1101" t="s">
        <v>43</v>
      </c>
      <c r="L1775" s="1099"/>
      <c r="M1775" s="1099"/>
      <c r="N1775" s="1099"/>
      <c r="O1775" s="20">
        <f>E1775</f>
        <v>44652</v>
      </c>
      <c r="P1775" s="19"/>
      <c r="Q1775" s="19"/>
      <c r="R1775" s="19"/>
      <c r="S1775" s="16"/>
    </row>
    <row r="1776" spans="1:19">
      <c r="A1776" s="17"/>
      <c r="B1776" s="120"/>
      <c r="C1776" s="120"/>
      <c r="D1776" s="120"/>
      <c r="E1776" s="120"/>
      <c r="F1776" s="114"/>
      <c r="G1776" s="114"/>
      <c r="H1776" s="114"/>
      <c r="I1776" s="16"/>
      <c r="K1776" s="17"/>
      <c r="L1776" s="120"/>
      <c r="M1776" s="120"/>
      <c r="N1776" s="120"/>
      <c r="O1776" s="120"/>
      <c r="P1776" s="114"/>
      <c r="Q1776" s="114"/>
      <c r="R1776" s="114"/>
      <c r="S1776" s="16"/>
    </row>
    <row r="1777" spans="1:19">
      <c r="A1777" s="21">
        <v>1</v>
      </c>
      <c r="B1777" s="1099" t="s">
        <v>44</v>
      </c>
      <c r="C1777" s="1099"/>
      <c r="D1777" s="1099"/>
      <c r="E1777" s="22">
        <f>Master!AA56</f>
        <v>26</v>
      </c>
      <c r="F1777" s="19"/>
      <c r="G1777" s="19"/>
      <c r="H1777" s="19"/>
      <c r="I1777" s="16"/>
      <c r="K1777" s="21">
        <v>1</v>
      </c>
      <c r="L1777" s="1099" t="s">
        <v>44</v>
      </c>
      <c r="M1777" s="1099"/>
      <c r="N1777" s="1099"/>
      <c r="O1777" s="22">
        <f>E1777</f>
        <v>26</v>
      </c>
      <c r="P1777" s="19"/>
      <c r="Q1777" s="19"/>
      <c r="R1777" s="19"/>
      <c r="S1777" s="16"/>
    </row>
    <row r="1778" spans="1:19">
      <c r="A1778" s="21"/>
      <c r="B1778" s="120"/>
      <c r="C1778" s="120"/>
      <c r="D1778" s="120"/>
      <c r="E1778" s="120"/>
      <c r="F1778" s="114"/>
      <c r="G1778" s="114"/>
      <c r="H1778" s="114"/>
      <c r="I1778" s="16"/>
      <c r="K1778" s="21"/>
      <c r="L1778" s="120"/>
      <c r="M1778" s="120"/>
      <c r="N1778" s="120"/>
      <c r="O1778" s="120"/>
      <c r="P1778" s="114"/>
      <c r="Q1778" s="114"/>
      <c r="R1778" s="114"/>
      <c r="S1778" s="16"/>
    </row>
    <row r="1779" spans="1:19">
      <c r="A1779" s="21">
        <v>2</v>
      </c>
      <c r="B1779" s="1098" t="s">
        <v>45</v>
      </c>
      <c r="C1779" s="1098"/>
      <c r="D1779" s="1098"/>
      <c r="E1779" s="120"/>
      <c r="F1779" s="114"/>
      <c r="G1779" s="114"/>
      <c r="H1779" s="114"/>
      <c r="I1779" s="16"/>
      <c r="K1779" s="21">
        <v>2</v>
      </c>
      <c r="L1779" s="1098" t="s">
        <v>45</v>
      </c>
      <c r="M1779" s="1098"/>
      <c r="N1779" s="1098"/>
      <c r="O1779" s="120"/>
      <c r="P1779" s="114"/>
      <c r="Q1779" s="114"/>
      <c r="R1779" s="114"/>
      <c r="S1779" s="16"/>
    </row>
    <row r="1780" spans="1:19">
      <c r="A1780" s="21"/>
      <c r="B1780" s="1098"/>
      <c r="C1780" s="1098"/>
      <c r="D1780" s="1098"/>
      <c r="E1780" s="23" t="s">
        <v>28</v>
      </c>
      <c r="F1780" s="19"/>
      <c r="G1780" s="19"/>
      <c r="H1780" s="19"/>
      <c r="I1780" s="16"/>
      <c r="K1780" s="21"/>
      <c r="L1780" s="1098"/>
      <c r="M1780" s="1098"/>
      <c r="N1780" s="1098"/>
      <c r="O1780" s="23" t="s">
        <v>28</v>
      </c>
      <c r="P1780" s="19"/>
      <c r="Q1780" s="19"/>
      <c r="R1780" s="19"/>
      <c r="S1780" s="16"/>
    </row>
    <row r="1781" spans="1:19">
      <c r="A1781" s="21"/>
      <c r="B1781" s="120"/>
      <c r="C1781" s="120"/>
      <c r="D1781" s="120"/>
      <c r="E1781" s="120"/>
      <c r="F1781" s="114"/>
      <c r="G1781" s="114"/>
      <c r="H1781" s="114"/>
      <c r="I1781" s="16"/>
      <c r="K1781" s="21"/>
      <c r="L1781" s="120"/>
      <c r="M1781" s="120"/>
      <c r="N1781" s="120"/>
      <c r="O1781" s="120"/>
      <c r="P1781" s="114"/>
      <c r="Q1781" s="114"/>
      <c r="R1781" s="114"/>
      <c r="S1781" s="16"/>
    </row>
    <row r="1782" spans="1:19">
      <c r="A1782" s="21">
        <v>3</v>
      </c>
      <c r="B1782" s="1099" t="s">
        <v>46</v>
      </c>
      <c r="C1782" s="1099"/>
      <c r="D1782" s="1099"/>
      <c r="E1782" s="23" t="s">
        <v>28</v>
      </c>
      <c r="F1782" s="19"/>
      <c r="G1782" s="19"/>
      <c r="H1782" s="19"/>
      <c r="I1782" s="16"/>
      <c r="K1782" s="21">
        <v>3</v>
      </c>
      <c r="L1782" s="1099" t="s">
        <v>46</v>
      </c>
      <c r="M1782" s="1099"/>
      <c r="N1782" s="1099"/>
      <c r="O1782" s="18" t="str">
        <f>E1782</f>
        <v>N/A</v>
      </c>
      <c r="P1782" s="19"/>
      <c r="Q1782" s="19"/>
      <c r="R1782" s="19"/>
      <c r="S1782" s="16"/>
    </row>
    <row r="1783" spans="1:19">
      <c r="A1783" s="21"/>
      <c r="B1783" s="120"/>
      <c r="C1783" s="120"/>
      <c r="D1783" s="120"/>
      <c r="E1783" s="120"/>
      <c r="F1783" s="114"/>
      <c r="G1783" s="114"/>
      <c r="H1783" s="114"/>
      <c r="I1783" s="16"/>
      <c r="K1783" s="21"/>
      <c r="L1783" s="120"/>
      <c r="M1783" s="120"/>
      <c r="N1783" s="120"/>
      <c r="O1783" s="120"/>
      <c r="P1783" s="114"/>
      <c r="Q1783" s="114"/>
      <c r="R1783" s="114"/>
      <c r="S1783" s="16"/>
    </row>
    <row r="1784" spans="1:19">
      <c r="A1784" s="21">
        <v>4</v>
      </c>
      <c r="B1784" s="1099" t="s">
        <v>47</v>
      </c>
      <c r="C1784" s="1099"/>
      <c r="D1784" s="1099"/>
      <c r="E1784" s="23" t="s">
        <v>48</v>
      </c>
      <c r="F1784" s="19"/>
      <c r="G1784" s="19"/>
      <c r="H1784" s="19"/>
      <c r="I1784" s="16"/>
      <c r="K1784" s="21">
        <v>4</v>
      </c>
      <c r="L1784" s="1099" t="s">
        <v>47</v>
      </c>
      <c r="M1784" s="1099"/>
      <c r="N1784" s="1099"/>
      <c r="O1784" s="23" t="s">
        <v>48</v>
      </c>
      <c r="P1784" s="19"/>
      <c r="Q1784" s="19"/>
      <c r="R1784" s="19"/>
      <c r="S1784" s="16"/>
    </row>
    <row r="1785" spans="1:19">
      <c r="A1785" s="21"/>
      <c r="B1785" s="120"/>
      <c r="C1785" s="120"/>
      <c r="D1785" s="120"/>
      <c r="E1785" s="120"/>
      <c r="F1785" s="114"/>
      <c r="G1785" s="114"/>
      <c r="H1785" s="114"/>
      <c r="I1785" s="16"/>
      <c r="K1785" s="21"/>
      <c r="L1785" s="120"/>
      <c r="M1785" s="120"/>
      <c r="N1785" s="120"/>
      <c r="O1785" s="120"/>
      <c r="P1785" s="114"/>
      <c r="Q1785" s="114"/>
      <c r="R1785" s="114"/>
      <c r="S1785" s="16"/>
    </row>
    <row r="1786" spans="1:19">
      <c r="A1786" s="21">
        <v>5</v>
      </c>
      <c r="B1786" s="1099" t="s">
        <v>49</v>
      </c>
      <c r="C1786" s="1099"/>
      <c r="D1786" s="1099"/>
      <c r="E1786" s="24">
        <f>Master!AK56</f>
        <v>9210.4</v>
      </c>
      <c r="F1786" s="19"/>
      <c r="G1786" s="19"/>
      <c r="H1786" s="19"/>
      <c r="I1786" s="16"/>
      <c r="K1786" s="21">
        <v>5</v>
      </c>
      <c r="L1786" s="1099" t="s">
        <v>49</v>
      </c>
      <c r="M1786" s="1099"/>
      <c r="N1786" s="1099"/>
      <c r="O1786" s="24">
        <f>E1786</f>
        <v>9210.4</v>
      </c>
      <c r="P1786" s="19"/>
      <c r="Q1786" s="19"/>
      <c r="R1786" s="19"/>
      <c r="S1786" s="16"/>
    </row>
    <row r="1787" spans="1:19">
      <c r="A1787" s="21"/>
      <c r="B1787" s="120"/>
      <c r="C1787" s="120"/>
      <c r="D1787" s="238" t="s">
        <v>50</v>
      </c>
      <c r="E1787" s="238" t="s">
        <v>23</v>
      </c>
      <c r="F1787" s="136" t="s">
        <v>25</v>
      </c>
      <c r="G1787" s="238" t="s">
        <v>26</v>
      </c>
      <c r="H1787" s="238" t="s">
        <v>202</v>
      </c>
      <c r="I1787" s="126" t="s">
        <v>51</v>
      </c>
      <c r="K1787" s="21"/>
      <c r="L1787" s="120"/>
      <c r="M1787" s="120"/>
      <c r="N1787" s="238" t="s">
        <v>50</v>
      </c>
      <c r="O1787" s="238" t="s">
        <v>23</v>
      </c>
      <c r="P1787" s="136" t="s">
        <v>25</v>
      </c>
      <c r="Q1787" s="238" t="s">
        <v>26</v>
      </c>
      <c r="R1787" s="238" t="str">
        <f>H1787</f>
        <v>ADV</v>
      </c>
      <c r="S1787" s="126" t="s">
        <v>51</v>
      </c>
    </row>
    <row r="1788" spans="1:19">
      <c r="A1788" s="21">
        <v>6</v>
      </c>
      <c r="B1788" s="468" t="s">
        <v>52</v>
      </c>
      <c r="C1788" s="468"/>
      <c r="D1788" s="335">
        <f>Master!AM56</f>
        <v>1105</v>
      </c>
      <c r="E1788" s="335">
        <f>Master!AL56</f>
        <v>70</v>
      </c>
      <c r="F1788" s="180">
        <f>Master!AN56</f>
        <v>0</v>
      </c>
      <c r="G1788" s="180">
        <f>Master!AO56</f>
        <v>0</v>
      </c>
      <c r="H1788" s="180">
        <f>Master!AP56</f>
        <v>0</v>
      </c>
      <c r="I1788" s="127">
        <f>D1788+E1788+F1788+G1788+H1788</f>
        <v>1175</v>
      </c>
      <c r="K1788" s="21">
        <v>6</v>
      </c>
      <c r="L1788" s="468" t="s">
        <v>52</v>
      </c>
      <c r="M1788" s="468"/>
      <c r="N1788" s="335">
        <f>D1788</f>
        <v>1105</v>
      </c>
      <c r="O1788" s="335">
        <f>E1788</f>
        <v>70</v>
      </c>
      <c r="P1788" s="180">
        <f>F1788</f>
        <v>0</v>
      </c>
      <c r="Q1788" s="180">
        <f>G1788</f>
        <v>0</v>
      </c>
      <c r="R1788" s="180">
        <f>H1788</f>
        <v>0</v>
      </c>
      <c r="S1788" s="127">
        <f>N1788+O1788+R1788</f>
        <v>1175</v>
      </c>
    </row>
    <row r="1789" spans="1:19">
      <c r="A1789" s="21"/>
      <c r="B1789" s="120"/>
      <c r="C1789" s="120"/>
      <c r="D1789" s="120"/>
      <c r="E1789" s="120"/>
      <c r="F1789" s="114"/>
      <c r="G1789" s="114"/>
      <c r="H1789" s="114"/>
      <c r="I1789" s="16"/>
      <c r="K1789" s="21"/>
      <c r="L1789" s="120"/>
      <c r="M1789" s="120"/>
      <c r="N1789" s="120"/>
      <c r="O1789" s="120"/>
      <c r="P1789" s="114"/>
      <c r="Q1789" s="114"/>
      <c r="R1789" s="114"/>
      <c r="S1789" s="16"/>
    </row>
    <row r="1790" spans="1:19">
      <c r="A1790" s="21">
        <v>7</v>
      </c>
      <c r="B1790" s="1099" t="s">
        <v>53</v>
      </c>
      <c r="C1790" s="1099"/>
      <c r="D1790" s="1099"/>
      <c r="E1790" s="24">
        <f>E1786-I1788</f>
        <v>8035.4</v>
      </c>
      <c r="F1790" s="19"/>
      <c r="G1790" s="19"/>
      <c r="H1790" s="19"/>
      <c r="I1790" s="16"/>
      <c r="K1790" s="21">
        <v>7</v>
      </c>
      <c r="L1790" s="1099" t="s">
        <v>53</v>
      </c>
      <c r="M1790" s="1099"/>
      <c r="N1790" s="1099"/>
      <c r="O1790" s="24">
        <f>E1790</f>
        <v>8035.4</v>
      </c>
      <c r="P1790" s="19"/>
      <c r="Q1790" s="19"/>
      <c r="R1790" s="19"/>
      <c r="S1790" s="16"/>
    </row>
    <row r="1791" spans="1:19">
      <c r="A1791" s="15"/>
      <c r="B1791" s="114"/>
      <c r="C1791" s="114"/>
      <c r="D1791" s="114"/>
      <c r="E1791" s="114"/>
      <c r="F1791" s="114"/>
      <c r="G1791" s="114"/>
      <c r="H1791" s="114"/>
      <c r="I1791" s="16"/>
      <c r="K1791" s="15"/>
      <c r="L1791" s="114"/>
      <c r="M1791" s="114"/>
      <c r="N1791" s="114"/>
      <c r="O1791" s="114"/>
      <c r="P1791" s="114"/>
      <c r="Q1791" s="114"/>
      <c r="R1791" s="114"/>
      <c r="S1791" s="16"/>
    </row>
    <row r="1792" spans="1:19">
      <c r="A1792" s="15"/>
      <c r="B1792" s="114"/>
      <c r="C1792" s="114"/>
      <c r="D1792" s="114"/>
      <c r="E1792" s="114"/>
      <c r="F1792" s="114"/>
      <c r="G1792" s="114"/>
      <c r="H1792" s="114"/>
      <c r="I1792" s="16"/>
      <c r="K1792" s="15"/>
      <c r="L1792" s="114"/>
      <c r="M1792" s="114"/>
      <c r="N1792" s="114"/>
      <c r="O1792" s="114"/>
      <c r="P1792" s="114"/>
      <c r="Q1792" s="114"/>
      <c r="R1792" s="114"/>
      <c r="S1792" s="16"/>
    </row>
    <row r="1793" spans="1:19" ht="15" thickBot="1">
      <c r="A1793" s="15"/>
      <c r="B1793" s="114"/>
      <c r="C1793" s="114"/>
      <c r="D1793" s="114"/>
      <c r="E1793" s="114"/>
      <c r="F1793" s="25"/>
      <c r="G1793" s="25"/>
      <c r="H1793" s="25"/>
      <c r="I1793" s="26"/>
      <c r="K1793" s="15"/>
      <c r="L1793" s="114"/>
      <c r="M1793" s="114"/>
      <c r="N1793" s="114"/>
      <c r="O1793" s="114"/>
      <c r="P1793" s="25"/>
      <c r="Q1793" s="25"/>
      <c r="R1793" s="25"/>
      <c r="S1793" s="26"/>
    </row>
    <row r="1794" spans="1:19" ht="15" thickBot="1">
      <c r="A1794" s="27"/>
      <c r="B1794" s="25"/>
      <c r="C1794" s="25"/>
      <c r="D1794" s="25"/>
      <c r="E1794" s="999" t="s">
        <v>54</v>
      </c>
      <c r="F1794" s="999"/>
      <c r="G1794" s="999"/>
      <c r="H1794" s="999"/>
      <c r="I1794" s="1100"/>
      <c r="K1794" s="27"/>
      <c r="L1794" s="25"/>
      <c r="M1794" s="25"/>
      <c r="N1794" s="25"/>
      <c r="O1794" s="28" t="s">
        <v>54</v>
      </c>
      <c r="P1794" s="25"/>
      <c r="Q1794" s="28"/>
      <c r="R1794" s="28"/>
      <c r="S1794" s="29"/>
    </row>
    <row r="1806" spans="1:19" ht="15" thickBot="1"/>
    <row r="1807" spans="1:19" ht="24.6">
      <c r="A1807" s="1091" t="s">
        <v>39</v>
      </c>
      <c r="B1807" s="1092"/>
      <c r="C1807" s="1092"/>
      <c r="D1807" s="1092"/>
      <c r="E1807" s="1092"/>
      <c r="F1807" s="1092"/>
      <c r="G1807" s="1092"/>
      <c r="H1807" s="1092"/>
      <c r="I1807" s="1093"/>
      <c r="K1807" s="1091" t="s">
        <v>39</v>
      </c>
      <c r="L1807" s="1092"/>
      <c r="M1807" s="1092"/>
      <c r="N1807" s="1092"/>
      <c r="O1807" s="1092"/>
      <c r="P1807" s="1092"/>
      <c r="Q1807" s="1092"/>
      <c r="R1807" s="1092"/>
      <c r="S1807" s="1093"/>
    </row>
    <row r="1808" spans="1:19">
      <c r="A1808" s="1094" t="s">
        <v>1075</v>
      </c>
      <c r="B1808" s="1095"/>
      <c r="C1808" s="1095"/>
      <c r="D1808" s="1095"/>
      <c r="E1808" s="1095"/>
      <c r="F1808" s="1095"/>
      <c r="G1808" s="1095"/>
      <c r="H1808" s="1095"/>
      <c r="I1808" s="1096"/>
      <c r="K1808" s="1094" t="str">
        <f>A1808</f>
        <v>[Vide rule 78 (1) (b) of the Contract Labour (Regulation and Abolition) Central and A.P.{T.S.}Rules, 1971]</v>
      </c>
      <c r="L1808" s="1095"/>
      <c r="M1808" s="1095"/>
      <c r="N1808" s="1095"/>
      <c r="O1808" s="1095"/>
      <c r="P1808" s="1095"/>
      <c r="Q1808" s="1095"/>
      <c r="R1808" s="1095"/>
      <c r="S1808" s="1096"/>
    </row>
    <row r="1809" spans="1:19">
      <c r="A1809" s="15"/>
      <c r="B1809" s="114"/>
      <c r="C1809" s="114"/>
      <c r="D1809" s="114"/>
      <c r="E1809" s="114"/>
      <c r="F1809" s="114"/>
      <c r="G1809" s="114"/>
      <c r="H1809" s="114"/>
      <c r="I1809" s="16"/>
      <c r="K1809" s="15"/>
      <c r="L1809" s="114"/>
      <c r="M1809" s="114"/>
      <c r="N1809" s="114"/>
      <c r="O1809" s="114"/>
      <c r="P1809" s="114"/>
      <c r="Q1809" s="114"/>
      <c r="R1809" s="114"/>
      <c r="S1809" s="16"/>
    </row>
    <row r="1810" spans="1:19">
      <c r="A1810" s="17" t="s">
        <v>40</v>
      </c>
      <c r="B1810" s="120"/>
      <c r="C1810" s="120"/>
      <c r="D1810" s="121" t="str">
        <f>Master!F5</f>
        <v>GROTECH LANDSCAPE DEVELOPERS PVT. LTD.</v>
      </c>
      <c r="E1810" s="114"/>
      <c r="F1810" s="114"/>
      <c r="G1810" s="114"/>
      <c r="H1810" s="114"/>
      <c r="I1810" s="16"/>
      <c r="K1810" s="17" t="s">
        <v>40</v>
      </c>
      <c r="L1810" s="120"/>
      <c r="M1810" s="120"/>
      <c r="N1810" s="121" t="str">
        <f>D1810</f>
        <v>GROTECH LANDSCAPE DEVELOPERS PVT. LTD.</v>
      </c>
      <c r="O1810" s="114"/>
      <c r="P1810" s="114"/>
      <c r="Q1810" s="114"/>
      <c r="R1810" s="114"/>
      <c r="S1810" s="16"/>
    </row>
    <row r="1811" spans="1:19">
      <c r="A1811" s="17"/>
      <c r="B1811" s="120" t="str">
        <f>Master!F6</f>
        <v>290/E, Khanapur Village, Gandipet Mandal, Ranga Reddy, Hyderabad-500075 T.S.</v>
      </c>
      <c r="C1811" s="120"/>
      <c r="D1811" s="114"/>
      <c r="E1811" s="114"/>
      <c r="F1811" s="114"/>
      <c r="G1811" s="114"/>
      <c r="H1811" s="114"/>
      <c r="I1811" s="16"/>
      <c r="K1811" s="17"/>
      <c r="L1811" s="120" t="str">
        <f>B1811</f>
        <v>290/E, Khanapur Village, Gandipet Mandal, Ranga Reddy, Hyderabad-500075 T.S.</v>
      </c>
      <c r="M1811" s="120"/>
      <c r="N1811" s="114"/>
      <c r="O1811" s="114"/>
      <c r="P1811" s="114"/>
      <c r="Q1811" s="114"/>
      <c r="R1811" s="114"/>
      <c r="S1811" s="16"/>
    </row>
    <row r="1812" spans="1:19">
      <c r="A1812" s="17"/>
      <c r="B1812" s="120"/>
      <c r="C1812" s="120"/>
      <c r="D1812" s="120"/>
      <c r="E1812" s="120"/>
      <c r="F1812" s="114"/>
      <c r="G1812" s="114"/>
      <c r="H1812" s="114"/>
      <c r="I1812" s="16"/>
      <c r="K1812" s="17"/>
      <c r="L1812" s="120"/>
      <c r="M1812" s="120"/>
      <c r="N1812" s="120"/>
      <c r="O1812" s="120"/>
      <c r="P1812" s="114"/>
      <c r="Q1812" s="114"/>
      <c r="R1812" s="114"/>
      <c r="S1812" s="16"/>
    </row>
    <row r="1813" spans="1:19">
      <c r="A1813" s="1097" t="s">
        <v>41</v>
      </c>
      <c r="B1813" s="1098"/>
      <c r="C1813" s="1098"/>
      <c r="D1813" s="1098"/>
      <c r="E1813" s="120"/>
      <c r="F1813" s="114"/>
      <c r="G1813" s="114"/>
      <c r="H1813" s="114"/>
      <c r="I1813" s="16"/>
      <c r="K1813" s="1097" t="s">
        <v>41</v>
      </c>
      <c r="L1813" s="1098"/>
      <c r="M1813" s="1098"/>
      <c r="N1813" s="1098"/>
      <c r="O1813" s="120"/>
      <c r="P1813" s="114"/>
      <c r="Q1813" s="114"/>
      <c r="R1813" s="114"/>
      <c r="S1813" s="16"/>
    </row>
    <row r="1814" spans="1:19">
      <c r="A1814" s="1097"/>
      <c r="B1814" s="1098"/>
      <c r="C1814" s="1098"/>
      <c r="D1814" s="1098"/>
      <c r="E1814" s="128" t="str">
        <f>Master!D57</f>
        <v>Gaddmidi lakshmi</v>
      </c>
      <c r="F1814" s="19"/>
      <c r="G1814" s="19"/>
      <c r="H1814" s="19" t="str">
        <f>Master!G57</f>
        <v>GADDAMIDI RAGHU</v>
      </c>
      <c r="I1814" s="16"/>
      <c r="K1814" s="1097"/>
      <c r="L1814" s="1098"/>
      <c r="M1814" s="1098"/>
      <c r="N1814" s="1098"/>
      <c r="O1814" s="18" t="str">
        <f>E1814</f>
        <v>Gaddmidi lakshmi</v>
      </c>
      <c r="P1814" s="19"/>
      <c r="Q1814" s="19"/>
      <c r="R1814" s="19" t="str">
        <f>H1814</f>
        <v>GADDAMIDI RAGHU</v>
      </c>
      <c r="S1814" s="16"/>
    </row>
    <row r="1815" spans="1:19">
      <c r="A1815" s="17"/>
      <c r="B1815" s="120"/>
      <c r="C1815" s="120"/>
      <c r="D1815" s="120"/>
      <c r="E1815" s="120"/>
      <c r="F1815" s="114"/>
      <c r="G1815" s="114"/>
      <c r="H1815" s="114"/>
      <c r="I1815" s="16"/>
      <c r="K1815" s="17"/>
      <c r="L1815" s="120"/>
      <c r="M1815" s="120"/>
      <c r="N1815" s="120"/>
      <c r="O1815" s="120"/>
      <c r="P1815" s="114"/>
      <c r="Q1815" s="114"/>
      <c r="R1815" s="114"/>
      <c r="S1815" s="16"/>
    </row>
    <row r="1816" spans="1:19">
      <c r="A1816" s="1101" t="s">
        <v>42</v>
      </c>
      <c r="B1816" s="1099"/>
      <c r="C1816" s="1099"/>
      <c r="D1816" s="1099"/>
      <c r="E1816" s="24" t="str">
        <f>Master!F8</f>
        <v>GARDENING SERVICES&amp;ISB HYDERABAD</v>
      </c>
      <c r="F1816" s="19"/>
      <c r="G1816" s="19"/>
      <c r="H1816" s="19"/>
      <c r="I1816" s="16"/>
      <c r="K1816" s="1101" t="s">
        <v>42</v>
      </c>
      <c r="L1816" s="1099"/>
      <c r="M1816" s="1099"/>
      <c r="N1816" s="1099"/>
      <c r="O1816" s="24" t="str">
        <f>E1816</f>
        <v>GARDENING SERVICES&amp;ISB HYDERABAD</v>
      </c>
      <c r="P1816" s="19"/>
      <c r="Q1816" s="19"/>
      <c r="R1816" s="19"/>
      <c r="S1816" s="16"/>
    </row>
    <row r="1817" spans="1:19">
      <c r="A1817" s="17"/>
      <c r="B1817" s="120"/>
      <c r="C1817" s="120"/>
      <c r="D1817" s="120"/>
      <c r="E1817" s="120"/>
      <c r="F1817" s="114"/>
      <c r="G1817" s="114"/>
      <c r="H1817" s="114"/>
      <c r="I1817" s="16"/>
      <c r="K1817" s="17"/>
      <c r="L1817" s="120"/>
      <c r="M1817" s="120"/>
      <c r="N1817" s="120"/>
      <c r="O1817" s="120"/>
      <c r="P1817" s="114"/>
      <c r="Q1817" s="114"/>
      <c r="R1817" s="114"/>
      <c r="S1817" s="16"/>
    </row>
    <row r="1818" spans="1:19">
      <c r="A1818" s="1101" t="s">
        <v>43</v>
      </c>
      <c r="B1818" s="1099"/>
      <c r="C1818" s="1099"/>
      <c r="D1818" s="1099"/>
      <c r="E1818" s="20">
        <f>Master!F10</f>
        <v>44652</v>
      </c>
      <c r="F1818" s="19"/>
      <c r="G1818" s="19"/>
      <c r="H1818" s="19"/>
      <c r="I1818" s="16"/>
      <c r="K1818" s="1101" t="s">
        <v>43</v>
      </c>
      <c r="L1818" s="1099"/>
      <c r="M1818" s="1099"/>
      <c r="N1818" s="1099"/>
      <c r="O1818" s="20">
        <f>E1818</f>
        <v>44652</v>
      </c>
      <c r="P1818" s="19"/>
      <c r="Q1818" s="19"/>
      <c r="R1818" s="19"/>
      <c r="S1818" s="16"/>
    </row>
    <row r="1819" spans="1:19">
      <c r="A1819" s="17"/>
      <c r="B1819" s="120"/>
      <c r="C1819" s="120"/>
      <c r="D1819" s="120"/>
      <c r="E1819" s="120"/>
      <c r="F1819" s="114"/>
      <c r="G1819" s="114"/>
      <c r="H1819" s="114"/>
      <c r="I1819" s="16"/>
      <c r="K1819" s="17"/>
      <c r="L1819" s="120"/>
      <c r="M1819" s="120"/>
      <c r="N1819" s="120"/>
      <c r="O1819" s="120"/>
      <c r="P1819" s="114"/>
      <c r="Q1819" s="114"/>
      <c r="R1819" s="114"/>
      <c r="S1819" s="16"/>
    </row>
    <row r="1820" spans="1:19">
      <c r="A1820" s="21">
        <v>1</v>
      </c>
      <c r="B1820" s="1099" t="s">
        <v>44</v>
      </c>
      <c r="C1820" s="1099"/>
      <c r="D1820" s="1099"/>
      <c r="E1820" s="22">
        <f>Master!AA57</f>
        <v>26</v>
      </c>
      <c r="F1820" s="19"/>
      <c r="G1820" s="19"/>
      <c r="H1820" s="19"/>
      <c r="I1820" s="16"/>
      <c r="K1820" s="21">
        <v>1</v>
      </c>
      <c r="L1820" s="1099" t="s">
        <v>44</v>
      </c>
      <c r="M1820" s="1099"/>
      <c r="N1820" s="1099"/>
      <c r="O1820" s="22">
        <f>E1820</f>
        <v>26</v>
      </c>
      <c r="P1820" s="19"/>
      <c r="Q1820" s="19"/>
      <c r="R1820" s="19"/>
      <c r="S1820" s="16"/>
    </row>
    <row r="1821" spans="1:19">
      <c r="A1821" s="21"/>
      <c r="B1821" s="120"/>
      <c r="C1821" s="120"/>
      <c r="D1821" s="120"/>
      <c r="E1821" s="120"/>
      <c r="F1821" s="114"/>
      <c r="G1821" s="114"/>
      <c r="H1821" s="114"/>
      <c r="I1821" s="16"/>
      <c r="K1821" s="21"/>
      <c r="L1821" s="120"/>
      <c r="M1821" s="120"/>
      <c r="N1821" s="120"/>
      <c r="O1821" s="120"/>
      <c r="P1821" s="114"/>
      <c r="Q1821" s="114"/>
      <c r="R1821" s="114"/>
      <c r="S1821" s="16"/>
    </row>
    <row r="1822" spans="1:19">
      <c r="A1822" s="21">
        <v>2</v>
      </c>
      <c r="B1822" s="1098" t="s">
        <v>45</v>
      </c>
      <c r="C1822" s="1098"/>
      <c r="D1822" s="1098"/>
      <c r="E1822" s="120"/>
      <c r="F1822" s="114"/>
      <c r="G1822" s="114"/>
      <c r="H1822" s="114"/>
      <c r="I1822" s="16"/>
      <c r="K1822" s="21">
        <v>2</v>
      </c>
      <c r="L1822" s="1098" t="s">
        <v>45</v>
      </c>
      <c r="M1822" s="1098"/>
      <c r="N1822" s="1098"/>
      <c r="O1822" s="120"/>
      <c r="P1822" s="114"/>
      <c r="Q1822" s="114"/>
      <c r="R1822" s="114"/>
      <c r="S1822" s="16"/>
    </row>
    <row r="1823" spans="1:19">
      <c r="A1823" s="21"/>
      <c r="B1823" s="1098"/>
      <c r="C1823" s="1098"/>
      <c r="D1823" s="1098"/>
      <c r="E1823" s="23" t="s">
        <v>28</v>
      </c>
      <c r="F1823" s="19"/>
      <c r="G1823" s="19"/>
      <c r="H1823" s="19"/>
      <c r="I1823" s="16"/>
      <c r="K1823" s="21"/>
      <c r="L1823" s="1098"/>
      <c r="M1823" s="1098"/>
      <c r="N1823" s="1098"/>
      <c r="O1823" s="23" t="s">
        <v>28</v>
      </c>
      <c r="P1823" s="19"/>
      <c r="Q1823" s="19"/>
      <c r="R1823" s="19"/>
      <c r="S1823" s="16"/>
    </row>
    <row r="1824" spans="1:19">
      <c r="A1824" s="21"/>
      <c r="B1824" s="120"/>
      <c r="C1824" s="120"/>
      <c r="D1824" s="120"/>
      <c r="E1824" s="120"/>
      <c r="F1824" s="114"/>
      <c r="G1824" s="114"/>
      <c r="H1824" s="114"/>
      <c r="I1824" s="16"/>
      <c r="K1824" s="21"/>
      <c r="L1824" s="120"/>
      <c r="M1824" s="120"/>
      <c r="N1824" s="120"/>
      <c r="O1824" s="120"/>
      <c r="P1824" s="114"/>
      <c r="Q1824" s="114"/>
      <c r="R1824" s="114"/>
      <c r="S1824" s="16"/>
    </row>
    <row r="1825" spans="1:19">
      <c r="A1825" s="21">
        <v>3</v>
      </c>
      <c r="B1825" s="1099" t="s">
        <v>46</v>
      </c>
      <c r="C1825" s="1099"/>
      <c r="D1825" s="1099"/>
      <c r="E1825" s="23" t="s">
        <v>28</v>
      </c>
      <c r="F1825" s="19"/>
      <c r="G1825" s="19"/>
      <c r="H1825" s="19"/>
      <c r="I1825" s="16"/>
      <c r="K1825" s="21">
        <v>3</v>
      </c>
      <c r="L1825" s="1099" t="s">
        <v>46</v>
      </c>
      <c r="M1825" s="1099"/>
      <c r="N1825" s="1099"/>
      <c r="O1825" s="18" t="str">
        <f>E1825</f>
        <v>N/A</v>
      </c>
      <c r="P1825" s="19"/>
      <c r="Q1825" s="19"/>
      <c r="R1825" s="19"/>
      <c r="S1825" s="16"/>
    </row>
    <row r="1826" spans="1:19">
      <c r="A1826" s="21"/>
      <c r="B1826" s="120"/>
      <c r="C1826" s="120"/>
      <c r="D1826" s="120"/>
      <c r="E1826" s="120"/>
      <c r="F1826" s="114"/>
      <c r="G1826" s="114"/>
      <c r="H1826" s="114"/>
      <c r="I1826" s="16"/>
      <c r="K1826" s="21"/>
      <c r="L1826" s="120"/>
      <c r="M1826" s="120"/>
      <c r="N1826" s="120"/>
      <c r="O1826" s="120"/>
      <c r="P1826" s="114"/>
      <c r="Q1826" s="114"/>
      <c r="R1826" s="114"/>
      <c r="S1826" s="16"/>
    </row>
    <row r="1827" spans="1:19">
      <c r="A1827" s="21">
        <v>4</v>
      </c>
      <c r="B1827" s="1099" t="s">
        <v>47</v>
      </c>
      <c r="C1827" s="1099"/>
      <c r="D1827" s="1099"/>
      <c r="E1827" s="23" t="s">
        <v>48</v>
      </c>
      <c r="F1827" s="19"/>
      <c r="G1827" s="19"/>
      <c r="H1827" s="19"/>
      <c r="I1827" s="16"/>
      <c r="K1827" s="21">
        <v>4</v>
      </c>
      <c r="L1827" s="1099" t="s">
        <v>47</v>
      </c>
      <c r="M1827" s="1099"/>
      <c r="N1827" s="1099"/>
      <c r="O1827" s="23" t="s">
        <v>48</v>
      </c>
      <c r="P1827" s="19"/>
      <c r="Q1827" s="19"/>
      <c r="R1827" s="19"/>
      <c r="S1827" s="16"/>
    </row>
    <row r="1828" spans="1:19">
      <c r="A1828" s="21"/>
      <c r="B1828" s="120"/>
      <c r="C1828" s="120"/>
      <c r="D1828" s="120"/>
      <c r="E1828" s="120"/>
      <c r="F1828" s="114"/>
      <c r="G1828" s="114"/>
      <c r="H1828" s="114"/>
      <c r="I1828" s="16"/>
      <c r="K1828" s="21"/>
      <c r="L1828" s="120"/>
      <c r="M1828" s="120"/>
      <c r="N1828" s="120"/>
      <c r="O1828" s="120"/>
      <c r="P1828" s="114"/>
      <c r="Q1828" s="114"/>
      <c r="R1828" s="114"/>
      <c r="S1828" s="16"/>
    </row>
    <row r="1829" spans="1:19">
      <c r="A1829" s="21">
        <v>5</v>
      </c>
      <c r="B1829" s="1099" t="s">
        <v>49</v>
      </c>
      <c r="C1829" s="1099"/>
      <c r="D1829" s="1099"/>
      <c r="E1829" s="24">
        <f>Master!AK57</f>
        <v>9210.4</v>
      </c>
      <c r="F1829" s="19"/>
      <c r="G1829" s="19"/>
      <c r="H1829" s="19"/>
      <c r="I1829" s="16"/>
      <c r="K1829" s="21">
        <v>5</v>
      </c>
      <c r="L1829" s="1099" t="s">
        <v>49</v>
      </c>
      <c r="M1829" s="1099"/>
      <c r="N1829" s="1099"/>
      <c r="O1829" s="24">
        <f>E1829</f>
        <v>9210.4</v>
      </c>
      <c r="P1829" s="19"/>
      <c r="Q1829" s="19"/>
      <c r="R1829" s="19"/>
      <c r="S1829" s="16"/>
    </row>
    <row r="1830" spans="1:19">
      <c r="A1830" s="21"/>
      <c r="B1830" s="120"/>
      <c r="C1830" s="120"/>
      <c r="D1830" s="238" t="s">
        <v>50</v>
      </c>
      <c r="E1830" s="238" t="s">
        <v>23</v>
      </c>
      <c r="F1830" s="136" t="s">
        <v>25</v>
      </c>
      <c r="G1830" s="238" t="s">
        <v>26</v>
      </c>
      <c r="H1830" s="238" t="s">
        <v>202</v>
      </c>
      <c r="I1830" s="126" t="s">
        <v>51</v>
      </c>
      <c r="K1830" s="21"/>
      <c r="L1830" s="120"/>
      <c r="M1830" s="120"/>
      <c r="N1830" s="238" t="s">
        <v>50</v>
      </c>
      <c r="O1830" s="238" t="s">
        <v>23</v>
      </c>
      <c r="P1830" s="136" t="s">
        <v>25</v>
      </c>
      <c r="Q1830" s="238" t="s">
        <v>26</v>
      </c>
      <c r="R1830" s="238" t="str">
        <f>H1830</f>
        <v>ADV</v>
      </c>
      <c r="S1830" s="126" t="s">
        <v>51</v>
      </c>
    </row>
    <row r="1831" spans="1:19">
      <c r="A1831" s="21">
        <v>6</v>
      </c>
      <c r="B1831" s="468" t="s">
        <v>52</v>
      </c>
      <c r="C1831" s="468"/>
      <c r="D1831" s="335">
        <f>Master!AM57</f>
        <v>1105</v>
      </c>
      <c r="E1831" s="335">
        <f>Master!AL57</f>
        <v>70</v>
      </c>
      <c r="F1831" s="180">
        <f>Master!AN57</f>
        <v>0</v>
      </c>
      <c r="G1831" s="180">
        <f>Master!AO57</f>
        <v>0</v>
      </c>
      <c r="H1831" s="180">
        <f>Master!AP57</f>
        <v>0</v>
      </c>
      <c r="I1831" s="127">
        <f>D1831+E1831+F1831+G1831+H1831</f>
        <v>1175</v>
      </c>
      <c r="K1831" s="21">
        <v>6</v>
      </c>
      <c r="L1831" s="468" t="s">
        <v>52</v>
      </c>
      <c r="M1831" s="468"/>
      <c r="N1831" s="335">
        <f>D1831</f>
        <v>1105</v>
      </c>
      <c r="O1831" s="335">
        <f>E1831</f>
        <v>70</v>
      </c>
      <c r="P1831" s="180">
        <f>F1831</f>
        <v>0</v>
      </c>
      <c r="Q1831" s="180">
        <f>G1831</f>
        <v>0</v>
      </c>
      <c r="R1831" s="180">
        <f>H1831</f>
        <v>0</v>
      </c>
      <c r="S1831" s="127">
        <f>N1831+O1831+R1831</f>
        <v>1175</v>
      </c>
    </row>
    <row r="1832" spans="1:19">
      <c r="A1832" s="21"/>
      <c r="B1832" s="120"/>
      <c r="C1832" s="120"/>
      <c r="D1832" s="120"/>
      <c r="E1832" s="120"/>
      <c r="F1832" s="114"/>
      <c r="G1832" s="114"/>
      <c r="H1832" s="114"/>
      <c r="I1832" s="16"/>
      <c r="K1832" s="21"/>
      <c r="L1832" s="120"/>
      <c r="M1832" s="120"/>
      <c r="N1832" s="120"/>
      <c r="O1832" s="120"/>
      <c r="P1832" s="114"/>
      <c r="Q1832" s="114"/>
      <c r="R1832" s="114"/>
      <c r="S1832" s="16"/>
    </row>
    <row r="1833" spans="1:19">
      <c r="A1833" s="21">
        <v>7</v>
      </c>
      <c r="B1833" s="1099" t="s">
        <v>53</v>
      </c>
      <c r="C1833" s="1099"/>
      <c r="D1833" s="1099"/>
      <c r="E1833" s="24">
        <f>E1829-I1831</f>
        <v>8035.4</v>
      </c>
      <c r="F1833" s="19"/>
      <c r="G1833" s="19"/>
      <c r="H1833" s="19"/>
      <c r="I1833" s="16"/>
      <c r="K1833" s="21">
        <v>7</v>
      </c>
      <c r="L1833" s="1099" t="s">
        <v>53</v>
      </c>
      <c r="M1833" s="1099"/>
      <c r="N1833" s="1099"/>
      <c r="O1833" s="24">
        <f>E1833</f>
        <v>8035.4</v>
      </c>
      <c r="P1833" s="19"/>
      <c r="Q1833" s="19"/>
      <c r="R1833" s="19"/>
      <c r="S1833" s="16"/>
    </row>
    <row r="1834" spans="1:19">
      <c r="A1834" s="15"/>
      <c r="B1834" s="114"/>
      <c r="C1834" s="114"/>
      <c r="D1834" s="114"/>
      <c r="E1834" s="114"/>
      <c r="F1834" s="114"/>
      <c r="G1834" s="114"/>
      <c r="H1834" s="114"/>
      <c r="I1834" s="16"/>
      <c r="K1834" s="15"/>
      <c r="L1834" s="114"/>
      <c r="M1834" s="114"/>
      <c r="N1834" s="114"/>
      <c r="O1834" s="114"/>
      <c r="P1834" s="114"/>
      <c r="Q1834" s="114"/>
      <c r="R1834" s="114"/>
      <c r="S1834" s="16"/>
    </row>
    <row r="1835" spans="1:19">
      <c r="A1835" s="15"/>
      <c r="B1835" s="114"/>
      <c r="C1835" s="114"/>
      <c r="D1835" s="114"/>
      <c r="E1835" s="114"/>
      <c r="F1835" s="114"/>
      <c r="G1835" s="114"/>
      <c r="H1835" s="114"/>
      <c r="I1835" s="16"/>
      <c r="K1835" s="15"/>
      <c r="L1835" s="114"/>
      <c r="M1835" s="114"/>
      <c r="N1835" s="114"/>
      <c r="O1835" s="114"/>
      <c r="P1835" s="114"/>
      <c r="Q1835" s="114"/>
      <c r="R1835" s="114"/>
      <c r="S1835" s="16"/>
    </row>
    <row r="1836" spans="1:19" ht="15" thickBot="1">
      <c r="A1836" s="15"/>
      <c r="B1836" s="114"/>
      <c r="C1836" s="114"/>
      <c r="D1836" s="114"/>
      <c r="E1836" s="114"/>
      <c r="F1836" s="25"/>
      <c r="G1836" s="25"/>
      <c r="H1836" s="25"/>
      <c r="I1836" s="26"/>
      <c r="K1836" s="15"/>
      <c r="L1836" s="114"/>
      <c r="M1836" s="114"/>
      <c r="N1836" s="114"/>
      <c r="O1836" s="114"/>
      <c r="P1836" s="25"/>
      <c r="Q1836" s="25"/>
      <c r="R1836" s="25"/>
      <c r="S1836" s="26"/>
    </row>
    <row r="1837" spans="1:19" ht="15" thickBot="1">
      <c r="A1837" s="27"/>
      <c r="B1837" s="25"/>
      <c r="C1837" s="25"/>
      <c r="D1837" s="25"/>
      <c r="E1837" s="999" t="s">
        <v>54</v>
      </c>
      <c r="F1837" s="999"/>
      <c r="G1837" s="999"/>
      <c r="H1837" s="999"/>
      <c r="I1837" s="1100"/>
      <c r="K1837" s="27"/>
      <c r="L1837" s="25"/>
      <c r="M1837" s="25"/>
      <c r="N1837" s="25"/>
      <c r="O1837" s="28" t="s">
        <v>54</v>
      </c>
      <c r="P1837" s="25"/>
      <c r="Q1837" s="28"/>
      <c r="R1837" s="28"/>
      <c r="S1837" s="29"/>
    </row>
    <row r="1849" spans="1:19" ht="15" thickBot="1"/>
    <row r="1850" spans="1:19" ht="24.6">
      <c r="A1850" s="1091" t="s">
        <v>39</v>
      </c>
      <c r="B1850" s="1092"/>
      <c r="C1850" s="1092"/>
      <c r="D1850" s="1092"/>
      <c r="E1850" s="1092"/>
      <c r="F1850" s="1092"/>
      <c r="G1850" s="1092"/>
      <c r="H1850" s="1092"/>
      <c r="I1850" s="1093"/>
      <c r="K1850" s="1091" t="s">
        <v>39</v>
      </c>
      <c r="L1850" s="1092"/>
      <c r="M1850" s="1092"/>
      <c r="N1850" s="1092"/>
      <c r="O1850" s="1092"/>
      <c r="P1850" s="1092"/>
      <c r="Q1850" s="1092"/>
      <c r="R1850" s="1092"/>
      <c r="S1850" s="1093"/>
    </row>
    <row r="1851" spans="1:19">
      <c r="A1851" s="1094" t="s">
        <v>1075</v>
      </c>
      <c r="B1851" s="1095"/>
      <c r="C1851" s="1095"/>
      <c r="D1851" s="1095"/>
      <c r="E1851" s="1095"/>
      <c r="F1851" s="1095"/>
      <c r="G1851" s="1095"/>
      <c r="H1851" s="1095"/>
      <c r="I1851" s="1096"/>
      <c r="K1851" s="1094" t="str">
        <f>A1851</f>
        <v>[Vide rule 78 (1) (b) of the Contract Labour (Regulation and Abolition) Central and A.P.{T.S.}Rules, 1971]</v>
      </c>
      <c r="L1851" s="1095"/>
      <c r="M1851" s="1095"/>
      <c r="N1851" s="1095"/>
      <c r="O1851" s="1095"/>
      <c r="P1851" s="1095"/>
      <c r="Q1851" s="1095"/>
      <c r="R1851" s="1095"/>
      <c r="S1851" s="1096"/>
    </row>
    <row r="1852" spans="1:19">
      <c r="A1852" s="15"/>
      <c r="B1852" s="114"/>
      <c r="C1852" s="114"/>
      <c r="D1852" s="114"/>
      <c r="E1852" s="114"/>
      <c r="F1852" s="114"/>
      <c r="G1852" s="114"/>
      <c r="H1852" s="114"/>
      <c r="I1852" s="16"/>
      <c r="K1852" s="15"/>
      <c r="L1852" s="114"/>
      <c r="M1852" s="114"/>
      <c r="N1852" s="114"/>
      <c r="O1852" s="114"/>
      <c r="P1852" s="114"/>
      <c r="Q1852" s="114"/>
      <c r="R1852" s="114"/>
      <c r="S1852" s="16"/>
    </row>
    <row r="1853" spans="1:19">
      <c r="A1853" s="17" t="s">
        <v>40</v>
      </c>
      <c r="B1853" s="120"/>
      <c r="C1853" s="120"/>
      <c r="D1853" s="121" t="str">
        <f>Master!F5</f>
        <v>GROTECH LANDSCAPE DEVELOPERS PVT. LTD.</v>
      </c>
      <c r="E1853" s="114"/>
      <c r="F1853" s="114"/>
      <c r="G1853" s="114"/>
      <c r="H1853" s="114"/>
      <c r="I1853" s="16"/>
      <c r="K1853" s="17" t="s">
        <v>40</v>
      </c>
      <c r="L1853" s="120"/>
      <c r="M1853" s="120"/>
      <c r="N1853" s="121" t="str">
        <f>D1853</f>
        <v>GROTECH LANDSCAPE DEVELOPERS PVT. LTD.</v>
      </c>
      <c r="O1853" s="114"/>
      <c r="P1853" s="114"/>
      <c r="Q1853" s="114"/>
      <c r="R1853" s="114"/>
      <c r="S1853" s="16"/>
    </row>
    <row r="1854" spans="1:19">
      <c r="A1854" s="17"/>
      <c r="B1854" s="120" t="str">
        <f>Master!F6</f>
        <v>290/E, Khanapur Village, Gandipet Mandal, Ranga Reddy, Hyderabad-500075 T.S.</v>
      </c>
      <c r="C1854" s="120"/>
      <c r="D1854" s="114"/>
      <c r="E1854" s="114"/>
      <c r="F1854" s="114"/>
      <c r="G1854" s="114"/>
      <c r="H1854" s="114"/>
      <c r="I1854" s="16"/>
      <c r="K1854" s="17"/>
      <c r="L1854" s="120" t="str">
        <f>B1854</f>
        <v>290/E, Khanapur Village, Gandipet Mandal, Ranga Reddy, Hyderabad-500075 T.S.</v>
      </c>
      <c r="M1854" s="120"/>
      <c r="N1854" s="114"/>
      <c r="O1854" s="114"/>
      <c r="P1854" s="114"/>
      <c r="Q1854" s="114"/>
      <c r="R1854" s="114"/>
      <c r="S1854" s="16"/>
    </row>
    <row r="1855" spans="1:19">
      <c r="A1855" s="17"/>
      <c r="B1855" s="120"/>
      <c r="C1855" s="120"/>
      <c r="D1855" s="120"/>
      <c r="E1855" s="120"/>
      <c r="F1855" s="114"/>
      <c r="G1855" s="114"/>
      <c r="H1855" s="114"/>
      <c r="I1855" s="16"/>
      <c r="K1855" s="17"/>
      <c r="L1855" s="120"/>
      <c r="M1855" s="120"/>
      <c r="N1855" s="120"/>
      <c r="O1855" s="120"/>
      <c r="P1855" s="114"/>
      <c r="Q1855" s="114"/>
      <c r="R1855" s="114"/>
      <c r="S1855" s="16"/>
    </row>
    <row r="1856" spans="1:19">
      <c r="A1856" s="1097" t="s">
        <v>41</v>
      </c>
      <c r="B1856" s="1098"/>
      <c r="C1856" s="1098"/>
      <c r="D1856" s="1098"/>
      <c r="E1856" s="120"/>
      <c r="F1856" s="114"/>
      <c r="G1856" s="114"/>
      <c r="H1856" s="114"/>
      <c r="I1856" s="16"/>
      <c r="K1856" s="1097" t="s">
        <v>41</v>
      </c>
      <c r="L1856" s="1098"/>
      <c r="M1856" s="1098"/>
      <c r="N1856" s="1098"/>
      <c r="O1856" s="120"/>
      <c r="P1856" s="114"/>
      <c r="Q1856" s="114"/>
      <c r="R1856" s="114"/>
      <c r="S1856" s="16"/>
    </row>
    <row r="1857" spans="1:19">
      <c r="A1857" s="1097"/>
      <c r="B1857" s="1098"/>
      <c r="C1857" s="1098"/>
      <c r="D1857" s="1098"/>
      <c r="E1857" s="128" t="str">
        <f>Master!D58</f>
        <v>Gaddamidi raghu</v>
      </c>
      <c r="F1857" s="19"/>
      <c r="G1857" s="19"/>
      <c r="H1857" s="19" t="str">
        <f>Master!G58</f>
        <v>GADDAMIDI BALAIAH</v>
      </c>
      <c r="I1857" s="16"/>
      <c r="K1857" s="1097"/>
      <c r="L1857" s="1098"/>
      <c r="M1857" s="1098"/>
      <c r="N1857" s="1098"/>
      <c r="O1857" s="18" t="str">
        <f>E1857</f>
        <v>Gaddamidi raghu</v>
      </c>
      <c r="P1857" s="19"/>
      <c r="Q1857" s="19"/>
      <c r="R1857" s="19" t="str">
        <f>H1857</f>
        <v>GADDAMIDI BALAIAH</v>
      </c>
      <c r="S1857" s="16"/>
    </row>
    <row r="1858" spans="1:19">
      <c r="A1858" s="17"/>
      <c r="B1858" s="120"/>
      <c r="C1858" s="120"/>
      <c r="D1858" s="120"/>
      <c r="E1858" s="120"/>
      <c r="F1858" s="114"/>
      <c r="G1858" s="114"/>
      <c r="H1858" s="114"/>
      <c r="I1858" s="16"/>
      <c r="K1858" s="17"/>
      <c r="L1858" s="120"/>
      <c r="M1858" s="120"/>
      <c r="N1858" s="120"/>
      <c r="O1858" s="120"/>
      <c r="P1858" s="114"/>
      <c r="Q1858" s="114"/>
      <c r="R1858" s="114"/>
      <c r="S1858" s="16"/>
    </row>
    <row r="1859" spans="1:19">
      <c r="A1859" s="1101" t="s">
        <v>42</v>
      </c>
      <c r="B1859" s="1099"/>
      <c r="C1859" s="1099"/>
      <c r="D1859" s="1099"/>
      <c r="E1859" s="24" t="str">
        <f>Master!F8</f>
        <v>GARDENING SERVICES&amp;ISB HYDERABAD</v>
      </c>
      <c r="F1859" s="19"/>
      <c r="G1859" s="19"/>
      <c r="H1859" s="19"/>
      <c r="I1859" s="16"/>
      <c r="K1859" s="1101" t="s">
        <v>42</v>
      </c>
      <c r="L1859" s="1099"/>
      <c r="M1859" s="1099"/>
      <c r="N1859" s="1099"/>
      <c r="O1859" s="24" t="str">
        <f>E1859</f>
        <v>GARDENING SERVICES&amp;ISB HYDERABAD</v>
      </c>
      <c r="P1859" s="19"/>
      <c r="Q1859" s="19"/>
      <c r="R1859" s="19"/>
      <c r="S1859" s="16"/>
    </row>
    <row r="1860" spans="1:19">
      <c r="A1860" s="17"/>
      <c r="B1860" s="120"/>
      <c r="C1860" s="120"/>
      <c r="D1860" s="120"/>
      <c r="E1860" s="120"/>
      <c r="F1860" s="114"/>
      <c r="G1860" s="114"/>
      <c r="H1860" s="114"/>
      <c r="I1860" s="16"/>
      <c r="K1860" s="17"/>
      <c r="L1860" s="120"/>
      <c r="M1860" s="120"/>
      <c r="N1860" s="120"/>
      <c r="O1860" s="120"/>
      <c r="P1860" s="114"/>
      <c r="Q1860" s="114"/>
      <c r="R1860" s="114"/>
      <c r="S1860" s="16"/>
    </row>
    <row r="1861" spans="1:19">
      <c r="A1861" s="1101" t="s">
        <v>43</v>
      </c>
      <c r="B1861" s="1099"/>
      <c r="C1861" s="1099"/>
      <c r="D1861" s="1099"/>
      <c r="E1861" s="20">
        <f>Master!F10</f>
        <v>44652</v>
      </c>
      <c r="F1861" s="19"/>
      <c r="G1861" s="19"/>
      <c r="H1861" s="19"/>
      <c r="I1861" s="16"/>
      <c r="K1861" s="1101" t="s">
        <v>43</v>
      </c>
      <c r="L1861" s="1099"/>
      <c r="M1861" s="1099"/>
      <c r="N1861" s="1099"/>
      <c r="O1861" s="20">
        <f>E1861</f>
        <v>44652</v>
      </c>
      <c r="P1861" s="19"/>
      <c r="Q1861" s="19"/>
      <c r="R1861" s="19"/>
      <c r="S1861" s="16"/>
    </row>
    <row r="1862" spans="1:19">
      <c r="A1862" s="17"/>
      <c r="B1862" s="120"/>
      <c r="C1862" s="120"/>
      <c r="D1862" s="120"/>
      <c r="E1862" s="120"/>
      <c r="F1862" s="114"/>
      <c r="G1862" s="114"/>
      <c r="H1862" s="114"/>
      <c r="I1862" s="16"/>
      <c r="K1862" s="17"/>
      <c r="L1862" s="120"/>
      <c r="M1862" s="120"/>
      <c r="N1862" s="120"/>
      <c r="O1862" s="120"/>
      <c r="P1862" s="114"/>
      <c r="Q1862" s="114"/>
      <c r="R1862" s="114"/>
      <c r="S1862" s="16"/>
    </row>
    <row r="1863" spans="1:19">
      <c r="A1863" s="21">
        <v>1</v>
      </c>
      <c r="B1863" s="1099" t="s">
        <v>44</v>
      </c>
      <c r="C1863" s="1099"/>
      <c r="D1863" s="1099"/>
      <c r="E1863" s="22">
        <f>Master!AA58</f>
        <v>26</v>
      </c>
      <c r="F1863" s="19"/>
      <c r="G1863" s="19"/>
      <c r="H1863" s="19"/>
      <c r="I1863" s="16"/>
      <c r="K1863" s="21">
        <v>1</v>
      </c>
      <c r="L1863" s="1099" t="s">
        <v>44</v>
      </c>
      <c r="M1863" s="1099"/>
      <c r="N1863" s="1099"/>
      <c r="O1863" s="22">
        <f>E1863</f>
        <v>26</v>
      </c>
      <c r="P1863" s="19"/>
      <c r="Q1863" s="19"/>
      <c r="R1863" s="19"/>
      <c r="S1863" s="16"/>
    </row>
    <row r="1864" spans="1:19">
      <c r="A1864" s="21"/>
      <c r="B1864" s="120"/>
      <c r="C1864" s="120"/>
      <c r="D1864" s="120"/>
      <c r="E1864" s="120"/>
      <c r="F1864" s="114"/>
      <c r="G1864" s="114"/>
      <c r="H1864" s="114"/>
      <c r="I1864" s="16"/>
      <c r="K1864" s="21"/>
      <c r="L1864" s="120"/>
      <c r="M1864" s="120"/>
      <c r="N1864" s="120"/>
      <c r="O1864" s="120"/>
      <c r="P1864" s="114"/>
      <c r="Q1864" s="114"/>
      <c r="R1864" s="114"/>
      <c r="S1864" s="16"/>
    </row>
    <row r="1865" spans="1:19">
      <c r="A1865" s="21">
        <v>2</v>
      </c>
      <c r="B1865" s="1098" t="s">
        <v>45</v>
      </c>
      <c r="C1865" s="1098"/>
      <c r="D1865" s="1098"/>
      <c r="E1865" s="120"/>
      <c r="F1865" s="114"/>
      <c r="G1865" s="114"/>
      <c r="H1865" s="114"/>
      <c r="I1865" s="16"/>
      <c r="K1865" s="21">
        <v>2</v>
      </c>
      <c r="L1865" s="1098" t="s">
        <v>45</v>
      </c>
      <c r="M1865" s="1098"/>
      <c r="N1865" s="1098"/>
      <c r="O1865" s="120"/>
      <c r="P1865" s="114"/>
      <c r="Q1865" s="114"/>
      <c r="R1865" s="114"/>
      <c r="S1865" s="16"/>
    </row>
    <row r="1866" spans="1:19">
      <c r="A1866" s="21"/>
      <c r="B1866" s="1098"/>
      <c r="C1866" s="1098"/>
      <c r="D1866" s="1098"/>
      <c r="E1866" s="23" t="s">
        <v>28</v>
      </c>
      <c r="F1866" s="19"/>
      <c r="G1866" s="19"/>
      <c r="H1866" s="19"/>
      <c r="I1866" s="16"/>
      <c r="K1866" s="21"/>
      <c r="L1866" s="1098"/>
      <c r="M1866" s="1098"/>
      <c r="N1866" s="1098"/>
      <c r="O1866" s="23" t="s">
        <v>28</v>
      </c>
      <c r="P1866" s="19"/>
      <c r="Q1866" s="19"/>
      <c r="R1866" s="19"/>
      <c r="S1866" s="16"/>
    </row>
    <row r="1867" spans="1:19">
      <c r="A1867" s="21"/>
      <c r="B1867" s="120"/>
      <c r="C1867" s="120"/>
      <c r="D1867" s="120"/>
      <c r="E1867" s="120"/>
      <c r="F1867" s="114"/>
      <c r="G1867" s="114"/>
      <c r="H1867" s="114"/>
      <c r="I1867" s="16"/>
      <c r="K1867" s="21"/>
      <c r="L1867" s="120"/>
      <c r="M1867" s="120"/>
      <c r="N1867" s="120"/>
      <c r="O1867" s="120"/>
      <c r="P1867" s="114"/>
      <c r="Q1867" s="114"/>
      <c r="R1867" s="114"/>
      <c r="S1867" s="16"/>
    </row>
    <row r="1868" spans="1:19">
      <c r="A1868" s="21">
        <v>3</v>
      </c>
      <c r="B1868" s="1099" t="s">
        <v>46</v>
      </c>
      <c r="C1868" s="1099"/>
      <c r="D1868" s="1099"/>
      <c r="E1868" s="23" t="s">
        <v>28</v>
      </c>
      <c r="F1868" s="19"/>
      <c r="G1868" s="19"/>
      <c r="H1868" s="19"/>
      <c r="I1868" s="16"/>
      <c r="K1868" s="21">
        <v>3</v>
      </c>
      <c r="L1868" s="1099" t="s">
        <v>46</v>
      </c>
      <c r="M1868" s="1099"/>
      <c r="N1868" s="1099"/>
      <c r="O1868" s="18" t="str">
        <f>E1868</f>
        <v>N/A</v>
      </c>
      <c r="P1868" s="19"/>
      <c r="Q1868" s="19"/>
      <c r="R1868" s="19"/>
      <c r="S1868" s="16"/>
    </row>
    <row r="1869" spans="1:19">
      <c r="A1869" s="21"/>
      <c r="B1869" s="120"/>
      <c r="C1869" s="120"/>
      <c r="D1869" s="120"/>
      <c r="E1869" s="120"/>
      <c r="F1869" s="114"/>
      <c r="G1869" s="114"/>
      <c r="H1869" s="114"/>
      <c r="I1869" s="16"/>
      <c r="K1869" s="21"/>
      <c r="L1869" s="120"/>
      <c r="M1869" s="120"/>
      <c r="N1869" s="120"/>
      <c r="O1869" s="120"/>
      <c r="P1869" s="114"/>
      <c r="Q1869" s="114"/>
      <c r="R1869" s="114"/>
      <c r="S1869" s="16"/>
    </row>
    <row r="1870" spans="1:19">
      <c r="A1870" s="21">
        <v>4</v>
      </c>
      <c r="B1870" s="1099" t="s">
        <v>47</v>
      </c>
      <c r="C1870" s="1099"/>
      <c r="D1870" s="1099"/>
      <c r="E1870" s="23" t="s">
        <v>48</v>
      </c>
      <c r="F1870" s="19"/>
      <c r="G1870" s="19"/>
      <c r="H1870" s="19"/>
      <c r="I1870" s="16"/>
      <c r="K1870" s="21">
        <v>4</v>
      </c>
      <c r="L1870" s="1099" t="s">
        <v>47</v>
      </c>
      <c r="M1870" s="1099"/>
      <c r="N1870" s="1099"/>
      <c r="O1870" s="23" t="s">
        <v>48</v>
      </c>
      <c r="P1870" s="19"/>
      <c r="Q1870" s="19"/>
      <c r="R1870" s="19"/>
      <c r="S1870" s="16"/>
    </row>
    <row r="1871" spans="1:19">
      <c r="A1871" s="21"/>
      <c r="B1871" s="120"/>
      <c r="C1871" s="120"/>
      <c r="D1871" s="120"/>
      <c r="E1871" s="120"/>
      <c r="F1871" s="114"/>
      <c r="G1871" s="114"/>
      <c r="H1871" s="114"/>
      <c r="I1871" s="16"/>
      <c r="K1871" s="21"/>
      <c r="L1871" s="120"/>
      <c r="M1871" s="120"/>
      <c r="N1871" s="120"/>
      <c r="O1871" s="120"/>
      <c r="P1871" s="114"/>
      <c r="Q1871" s="114"/>
      <c r="R1871" s="114"/>
      <c r="S1871" s="16"/>
    </row>
    <row r="1872" spans="1:19">
      <c r="A1872" s="21">
        <v>5</v>
      </c>
      <c r="B1872" s="1099" t="s">
        <v>49</v>
      </c>
      <c r="C1872" s="1099"/>
      <c r="D1872" s="1099"/>
      <c r="E1872" s="24">
        <f>Master!AK58</f>
        <v>9932.4666666666653</v>
      </c>
      <c r="F1872" s="19"/>
      <c r="G1872" s="19"/>
      <c r="H1872" s="19"/>
      <c r="I1872" s="16"/>
      <c r="K1872" s="21">
        <v>5</v>
      </c>
      <c r="L1872" s="1099" t="s">
        <v>49</v>
      </c>
      <c r="M1872" s="1099"/>
      <c r="N1872" s="1099"/>
      <c r="O1872" s="24">
        <f>E1872</f>
        <v>9932.4666666666653</v>
      </c>
      <c r="P1872" s="19"/>
      <c r="Q1872" s="19"/>
      <c r="R1872" s="19"/>
      <c r="S1872" s="16"/>
    </row>
    <row r="1873" spans="1:19">
      <c r="A1873" s="21"/>
      <c r="B1873" s="120"/>
      <c r="C1873" s="120"/>
      <c r="D1873" s="238" t="s">
        <v>50</v>
      </c>
      <c r="E1873" s="238" t="s">
        <v>23</v>
      </c>
      <c r="F1873" s="136" t="s">
        <v>25</v>
      </c>
      <c r="G1873" s="238" t="s">
        <v>26</v>
      </c>
      <c r="H1873" s="238" t="s">
        <v>202</v>
      </c>
      <c r="I1873" s="126" t="s">
        <v>51</v>
      </c>
      <c r="K1873" s="21"/>
      <c r="L1873" s="120"/>
      <c r="M1873" s="120"/>
      <c r="N1873" s="238" t="s">
        <v>50</v>
      </c>
      <c r="O1873" s="238" t="s">
        <v>23</v>
      </c>
      <c r="P1873" s="136" t="s">
        <v>25</v>
      </c>
      <c r="Q1873" s="238" t="s">
        <v>26</v>
      </c>
      <c r="R1873" s="238" t="str">
        <f>H1873</f>
        <v>ADV</v>
      </c>
      <c r="S1873" s="126" t="s">
        <v>51</v>
      </c>
    </row>
    <row r="1874" spans="1:19">
      <c r="A1874" s="21">
        <v>6</v>
      </c>
      <c r="B1874" s="468" t="s">
        <v>52</v>
      </c>
      <c r="C1874" s="468"/>
      <c r="D1874" s="335">
        <f>Master!AM58</f>
        <v>1192</v>
      </c>
      <c r="E1874" s="335">
        <f>Master!AL58</f>
        <v>75</v>
      </c>
      <c r="F1874" s="180">
        <f>Master!AN58</f>
        <v>0</v>
      </c>
      <c r="G1874" s="180">
        <f>Master!AO58</f>
        <v>0</v>
      </c>
      <c r="H1874" s="180">
        <f>Master!AP58</f>
        <v>0</v>
      </c>
      <c r="I1874" s="127">
        <f>D1874+E1874+F1874+G1874+H1874</f>
        <v>1267</v>
      </c>
      <c r="K1874" s="21">
        <v>6</v>
      </c>
      <c r="L1874" s="468" t="s">
        <v>52</v>
      </c>
      <c r="M1874" s="468"/>
      <c r="N1874" s="335">
        <f>D1874</f>
        <v>1192</v>
      </c>
      <c r="O1874" s="335">
        <f>E1874</f>
        <v>75</v>
      </c>
      <c r="P1874" s="180">
        <f>F1874</f>
        <v>0</v>
      </c>
      <c r="Q1874" s="180">
        <f>G1874</f>
        <v>0</v>
      </c>
      <c r="R1874" s="180">
        <f>H1874</f>
        <v>0</v>
      </c>
      <c r="S1874" s="127">
        <f>N1874+O1874+R1874</f>
        <v>1267</v>
      </c>
    </row>
    <row r="1875" spans="1:19">
      <c r="A1875" s="21"/>
      <c r="B1875" s="120"/>
      <c r="C1875" s="120"/>
      <c r="D1875" s="120"/>
      <c r="E1875" s="120"/>
      <c r="F1875" s="114"/>
      <c r="G1875" s="114"/>
      <c r="H1875" s="114"/>
      <c r="I1875" s="16"/>
      <c r="K1875" s="21"/>
      <c r="L1875" s="120"/>
      <c r="M1875" s="120"/>
      <c r="N1875" s="120"/>
      <c r="O1875" s="120"/>
      <c r="P1875" s="114"/>
      <c r="Q1875" s="114"/>
      <c r="R1875" s="114"/>
      <c r="S1875" s="16"/>
    </row>
    <row r="1876" spans="1:19">
      <c r="A1876" s="21">
        <v>7</v>
      </c>
      <c r="B1876" s="1099" t="s">
        <v>53</v>
      </c>
      <c r="C1876" s="1099"/>
      <c r="D1876" s="1099"/>
      <c r="E1876" s="24">
        <f>E1872-I1874</f>
        <v>8665.4666666666653</v>
      </c>
      <c r="F1876" s="19"/>
      <c r="G1876" s="19"/>
      <c r="H1876" s="19"/>
      <c r="I1876" s="16"/>
      <c r="K1876" s="21">
        <v>7</v>
      </c>
      <c r="L1876" s="1099" t="s">
        <v>53</v>
      </c>
      <c r="M1876" s="1099"/>
      <c r="N1876" s="1099"/>
      <c r="O1876" s="24">
        <f>E1876</f>
        <v>8665.4666666666653</v>
      </c>
      <c r="P1876" s="19"/>
      <c r="Q1876" s="19"/>
      <c r="R1876" s="19"/>
      <c r="S1876" s="16"/>
    </row>
    <row r="1877" spans="1:19">
      <c r="A1877" s="15"/>
      <c r="B1877" s="114"/>
      <c r="C1877" s="114"/>
      <c r="D1877" s="114"/>
      <c r="E1877" s="114"/>
      <c r="F1877" s="114"/>
      <c r="G1877" s="114"/>
      <c r="H1877" s="114"/>
      <c r="I1877" s="16"/>
      <c r="K1877" s="15"/>
      <c r="L1877" s="114"/>
      <c r="M1877" s="114"/>
      <c r="N1877" s="114"/>
      <c r="O1877" s="114"/>
      <c r="P1877" s="114"/>
      <c r="Q1877" s="114"/>
      <c r="R1877" s="114"/>
      <c r="S1877" s="16"/>
    </row>
    <row r="1878" spans="1:19">
      <c r="A1878" s="15"/>
      <c r="B1878" s="114"/>
      <c r="C1878" s="114"/>
      <c r="D1878" s="114"/>
      <c r="E1878" s="114"/>
      <c r="F1878" s="114"/>
      <c r="G1878" s="114"/>
      <c r="H1878" s="114"/>
      <c r="I1878" s="16"/>
      <c r="K1878" s="15"/>
      <c r="L1878" s="114"/>
      <c r="M1878" s="114"/>
      <c r="N1878" s="114"/>
      <c r="O1878" s="114"/>
      <c r="P1878" s="114"/>
      <c r="Q1878" s="114"/>
      <c r="R1878" s="114"/>
      <c r="S1878" s="16"/>
    </row>
    <row r="1879" spans="1:19" ht="15" thickBot="1">
      <c r="A1879" s="15"/>
      <c r="B1879" s="114"/>
      <c r="C1879" s="114"/>
      <c r="D1879" s="114"/>
      <c r="E1879" s="114"/>
      <c r="F1879" s="25"/>
      <c r="G1879" s="25"/>
      <c r="H1879" s="25"/>
      <c r="I1879" s="26"/>
      <c r="K1879" s="15"/>
      <c r="L1879" s="114"/>
      <c r="M1879" s="114"/>
      <c r="N1879" s="114"/>
      <c r="O1879" s="114"/>
      <c r="P1879" s="25"/>
      <c r="Q1879" s="25"/>
      <c r="R1879" s="25"/>
      <c r="S1879" s="26"/>
    </row>
    <row r="1880" spans="1:19" ht="15" thickBot="1">
      <c r="A1880" s="27"/>
      <c r="B1880" s="25"/>
      <c r="C1880" s="25"/>
      <c r="D1880" s="25"/>
      <c r="E1880" s="999" t="s">
        <v>54</v>
      </c>
      <c r="F1880" s="999"/>
      <c r="G1880" s="999"/>
      <c r="H1880" s="999"/>
      <c r="I1880" s="1100"/>
      <c r="K1880" s="27"/>
      <c r="L1880" s="25"/>
      <c r="M1880" s="25"/>
      <c r="N1880" s="25"/>
      <c r="O1880" s="28" t="s">
        <v>54</v>
      </c>
      <c r="P1880" s="25"/>
      <c r="Q1880" s="28"/>
      <c r="R1880" s="28"/>
      <c r="S1880" s="29"/>
    </row>
    <row r="1892" spans="1:19" ht="15" thickBot="1"/>
    <row r="1893" spans="1:19" ht="24.6">
      <c r="A1893" s="1091" t="s">
        <v>39</v>
      </c>
      <c r="B1893" s="1092"/>
      <c r="C1893" s="1092"/>
      <c r="D1893" s="1092"/>
      <c r="E1893" s="1092"/>
      <c r="F1893" s="1092"/>
      <c r="G1893" s="1092"/>
      <c r="H1893" s="1092"/>
      <c r="I1893" s="1093"/>
      <c r="K1893" s="1091" t="s">
        <v>39</v>
      </c>
      <c r="L1893" s="1092"/>
      <c r="M1893" s="1092"/>
      <c r="N1893" s="1092"/>
      <c r="O1893" s="1092"/>
      <c r="P1893" s="1092"/>
      <c r="Q1893" s="1092"/>
      <c r="R1893" s="1092"/>
      <c r="S1893" s="1093"/>
    </row>
    <row r="1894" spans="1:19">
      <c r="A1894" s="1094" t="s">
        <v>1075</v>
      </c>
      <c r="B1894" s="1095"/>
      <c r="C1894" s="1095"/>
      <c r="D1894" s="1095"/>
      <c r="E1894" s="1095"/>
      <c r="F1894" s="1095"/>
      <c r="G1894" s="1095"/>
      <c r="H1894" s="1095"/>
      <c r="I1894" s="1096"/>
      <c r="K1894" s="1094" t="str">
        <f>A1894</f>
        <v>[Vide rule 78 (1) (b) of the Contract Labour (Regulation and Abolition) Central and A.P.{T.S.}Rules, 1971]</v>
      </c>
      <c r="L1894" s="1095"/>
      <c r="M1894" s="1095"/>
      <c r="N1894" s="1095"/>
      <c r="O1894" s="1095"/>
      <c r="P1894" s="1095"/>
      <c r="Q1894" s="1095"/>
      <c r="R1894" s="1095"/>
      <c r="S1894" s="1096"/>
    </row>
    <row r="1895" spans="1:19">
      <c r="A1895" s="15"/>
      <c r="B1895" s="114"/>
      <c r="C1895" s="114"/>
      <c r="D1895" s="114"/>
      <c r="E1895" s="114"/>
      <c r="F1895" s="114"/>
      <c r="G1895" s="114"/>
      <c r="H1895" s="114"/>
      <c r="I1895" s="16"/>
      <c r="K1895" s="15"/>
      <c r="L1895" s="114"/>
      <c r="M1895" s="114"/>
      <c r="N1895" s="114"/>
      <c r="O1895" s="114"/>
      <c r="P1895" s="114"/>
      <c r="Q1895" s="114"/>
      <c r="R1895" s="114"/>
      <c r="S1895" s="16"/>
    </row>
    <row r="1896" spans="1:19">
      <c r="A1896" s="17" t="s">
        <v>40</v>
      </c>
      <c r="B1896" s="120"/>
      <c r="C1896" s="120"/>
      <c r="D1896" s="121" t="str">
        <f>Master!F5</f>
        <v>GROTECH LANDSCAPE DEVELOPERS PVT. LTD.</v>
      </c>
      <c r="E1896" s="114"/>
      <c r="F1896" s="114"/>
      <c r="G1896" s="114"/>
      <c r="H1896" s="114"/>
      <c r="I1896" s="16"/>
      <c r="K1896" s="17" t="s">
        <v>40</v>
      </c>
      <c r="L1896" s="120"/>
      <c r="M1896" s="120"/>
      <c r="N1896" s="121" t="str">
        <f>D1896</f>
        <v>GROTECH LANDSCAPE DEVELOPERS PVT. LTD.</v>
      </c>
      <c r="O1896" s="114"/>
      <c r="P1896" s="114"/>
      <c r="Q1896" s="114"/>
      <c r="R1896" s="114"/>
      <c r="S1896" s="16"/>
    </row>
    <row r="1897" spans="1:19">
      <c r="A1897" s="17"/>
      <c r="B1897" s="120" t="str">
        <f>Master!F6</f>
        <v>290/E, Khanapur Village, Gandipet Mandal, Ranga Reddy, Hyderabad-500075 T.S.</v>
      </c>
      <c r="C1897" s="120"/>
      <c r="D1897" s="114"/>
      <c r="E1897" s="114"/>
      <c r="F1897" s="114"/>
      <c r="G1897" s="114"/>
      <c r="H1897" s="114"/>
      <c r="I1897" s="16"/>
      <c r="K1897" s="17"/>
      <c r="L1897" s="120" t="str">
        <f>B1897</f>
        <v>290/E, Khanapur Village, Gandipet Mandal, Ranga Reddy, Hyderabad-500075 T.S.</v>
      </c>
      <c r="M1897" s="120"/>
      <c r="N1897" s="114"/>
      <c r="O1897" s="114"/>
      <c r="P1897" s="114"/>
      <c r="Q1897" s="114"/>
      <c r="R1897" s="114"/>
      <c r="S1897" s="16"/>
    </row>
    <row r="1898" spans="1:19">
      <c r="A1898" s="17"/>
      <c r="B1898" s="120"/>
      <c r="C1898" s="120"/>
      <c r="D1898" s="120"/>
      <c r="E1898" s="120"/>
      <c r="F1898" s="114"/>
      <c r="G1898" s="114"/>
      <c r="H1898" s="114"/>
      <c r="I1898" s="16"/>
      <c r="K1898" s="17"/>
      <c r="L1898" s="120"/>
      <c r="M1898" s="120"/>
      <c r="N1898" s="120"/>
      <c r="O1898" s="120"/>
      <c r="P1898" s="114"/>
      <c r="Q1898" s="114"/>
      <c r="R1898" s="114"/>
      <c r="S1898" s="16"/>
    </row>
    <row r="1899" spans="1:19">
      <c r="A1899" s="1097" t="s">
        <v>41</v>
      </c>
      <c r="B1899" s="1098"/>
      <c r="C1899" s="1098"/>
      <c r="D1899" s="1098"/>
      <c r="E1899" s="120"/>
      <c r="F1899" s="114"/>
      <c r="G1899" s="114"/>
      <c r="H1899" s="114"/>
      <c r="I1899" s="16"/>
      <c r="K1899" s="1097" t="s">
        <v>41</v>
      </c>
      <c r="L1899" s="1098"/>
      <c r="M1899" s="1098"/>
      <c r="N1899" s="1098"/>
      <c r="O1899" s="120"/>
      <c r="P1899" s="114"/>
      <c r="Q1899" s="114"/>
      <c r="R1899" s="114"/>
      <c r="S1899" s="16"/>
    </row>
    <row r="1900" spans="1:19">
      <c r="A1900" s="1097"/>
      <c r="B1900" s="1098"/>
      <c r="C1900" s="1098"/>
      <c r="D1900" s="1098"/>
      <c r="E1900" s="128" t="str">
        <f>Master!D59</f>
        <v>Laxman</v>
      </c>
      <c r="F1900" s="19"/>
      <c r="G1900" s="19"/>
      <c r="H1900" s="19" t="str">
        <f>Master!G59</f>
        <v>IRAPPA</v>
      </c>
      <c r="I1900" s="16"/>
      <c r="K1900" s="1097"/>
      <c r="L1900" s="1098"/>
      <c r="M1900" s="1098"/>
      <c r="N1900" s="1098"/>
      <c r="O1900" s="18" t="str">
        <f>E1900</f>
        <v>Laxman</v>
      </c>
      <c r="P1900" s="19"/>
      <c r="Q1900" s="19"/>
      <c r="R1900" s="19" t="str">
        <f>H1900</f>
        <v>IRAPPA</v>
      </c>
      <c r="S1900" s="16"/>
    </row>
    <row r="1901" spans="1:19">
      <c r="A1901" s="17"/>
      <c r="B1901" s="120"/>
      <c r="C1901" s="120"/>
      <c r="D1901" s="120"/>
      <c r="E1901" s="120"/>
      <c r="F1901" s="114"/>
      <c r="G1901" s="114"/>
      <c r="H1901" s="114"/>
      <c r="I1901" s="16"/>
      <c r="K1901" s="17"/>
      <c r="L1901" s="120"/>
      <c r="M1901" s="120"/>
      <c r="N1901" s="120"/>
      <c r="O1901" s="120"/>
      <c r="P1901" s="114"/>
      <c r="Q1901" s="114"/>
      <c r="R1901" s="114"/>
      <c r="S1901" s="16"/>
    </row>
    <row r="1902" spans="1:19">
      <c r="A1902" s="1101" t="s">
        <v>42</v>
      </c>
      <c r="B1902" s="1099"/>
      <c r="C1902" s="1099"/>
      <c r="D1902" s="1099"/>
      <c r="E1902" s="24" t="str">
        <f>Master!F8</f>
        <v>GARDENING SERVICES&amp;ISB HYDERABAD</v>
      </c>
      <c r="F1902" s="19"/>
      <c r="G1902" s="19"/>
      <c r="H1902" s="19"/>
      <c r="I1902" s="16"/>
      <c r="K1902" s="1101" t="s">
        <v>42</v>
      </c>
      <c r="L1902" s="1099"/>
      <c r="M1902" s="1099"/>
      <c r="N1902" s="1099"/>
      <c r="O1902" s="24" t="str">
        <f>E1902</f>
        <v>GARDENING SERVICES&amp;ISB HYDERABAD</v>
      </c>
      <c r="P1902" s="19"/>
      <c r="Q1902" s="19"/>
      <c r="R1902" s="19"/>
      <c r="S1902" s="16"/>
    </row>
    <row r="1903" spans="1:19">
      <c r="A1903" s="17"/>
      <c r="B1903" s="120"/>
      <c r="C1903" s="120"/>
      <c r="D1903" s="120"/>
      <c r="E1903" s="120"/>
      <c r="F1903" s="114"/>
      <c r="G1903" s="114"/>
      <c r="H1903" s="114"/>
      <c r="I1903" s="16"/>
      <c r="K1903" s="17"/>
      <c r="L1903" s="120"/>
      <c r="M1903" s="120"/>
      <c r="N1903" s="120"/>
      <c r="O1903" s="120"/>
      <c r="P1903" s="114"/>
      <c r="Q1903" s="114"/>
      <c r="R1903" s="114"/>
      <c r="S1903" s="16"/>
    </row>
    <row r="1904" spans="1:19">
      <c r="A1904" s="1101" t="s">
        <v>43</v>
      </c>
      <c r="B1904" s="1099"/>
      <c r="C1904" s="1099"/>
      <c r="D1904" s="1099"/>
      <c r="E1904" s="20">
        <f>Master!F10</f>
        <v>44652</v>
      </c>
      <c r="F1904" s="19"/>
      <c r="G1904" s="19"/>
      <c r="H1904" s="19"/>
      <c r="I1904" s="16"/>
      <c r="K1904" s="1101" t="s">
        <v>43</v>
      </c>
      <c r="L1904" s="1099"/>
      <c r="M1904" s="1099"/>
      <c r="N1904" s="1099"/>
      <c r="O1904" s="20">
        <f>E1904</f>
        <v>44652</v>
      </c>
      <c r="P1904" s="19"/>
      <c r="Q1904" s="19"/>
      <c r="R1904" s="19"/>
      <c r="S1904" s="16"/>
    </row>
    <row r="1905" spans="1:19">
      <c r="A1905" s="17"/>
      <c r="B1905" s="120"/>
      <c r="C1905" s="120"/>
      <c r="D1905" s="120"/>
      <c r="E1905" s="120"/>
      <c r="F1905" s="114"/>
      <c r="G1905" s="114"/>
      <c r="H1905" s="114"/>
      <c r="I1905" s="16"/>
      <c r="K1905" s="17"/>
      <c r="L1905" s="120"/>
      <c r="M1905" s="120"/>
      <c r="N1905" s="120"/>
      <c r="O1905" s="120"/>
      <c r="P1905" s="114"/>
      <c r="Q1905" s="114"/>
      <c r="R1905" s="114"/>
      <c r="S1905" s="16"/>
    </row>
    <row r="1906" spans="1:19">
      <c r="A1906" s="21">
        <v>1</v>
      </c>
      <c r="B1906" s="1099" t="s">
        <v>44</v>
      </c>
      <c r="C1906" s="1099"/>
      <c r="D1906" s="1099"/>
      <c r="E1906" s="22">
        <f>Master!AA59</f>
        <v>26</v>
      </c>
      <c r="F1906" s="19"/>
      <c r="G1906" s="19"/>
      <c r="H1906" s="19"/>
      <c r="I1906" s="16"/>
      <c r="K1906" s="21">
        <v>1</v>
      </c>
      <c r="L1906" s="1099" t="s">
        <v>44</v>
      </c>
      <c r="M1906" s="1099"/>
      <c r="N1906" s="1099"/>
      <c r="O1906" s="22">
        <f>E1906</f>
        <v>26</v>
      </c>
      <c r="P1906" s="19"/>
      <c r="Q1906" s="19"/>
      <c r="R1906" s="19"/>
      <c r="S1906" s="16"/>
    </row>
    <row r="1907" spans="1:19">
      <c r="A1907" s="21"/>
      <c r="B1907" s="120"/>
      <c r="C1907" s="120"/>
      <c r="D1907" s="120"/>
      <c r="E1907" s="120"/>
      <c r="F1907" s="114"/>
      <c r="G1907" s="114"/>
      <c r="H1907" s="114"/>
      <c r="I1907" s="16"/>
      <c r="K1907" s="21"/>
      <c r="L1907" s="120"/>
      <c r="M1907" s="120"/>
      <c r="N1907" s="120"/>
      <c r="O1907" s="120"/>
      <c r="P1907" s="114"/>
      <c r="Q1907" s="114"/>
      <c r="R1907" s="114"/>
      <c r="S1907" s="16"/>
    </row>
    <row r="1908" spans="1:19">
      <c r="A1908" s="21">
        <v>2</v>
      </c>
      <c r="B1908" s="1098" t="s">
        <v>45</v>
      </c>
      <c r="C1908" s="1098"/>
      <c r="D1908" s="1098"/>
      <c r="E1908" s="120"/>
      <c r="F1908" s="114"/>
      <c r="G1908" s="114"/>
      <c r="H1908" s="114"/>
      <c r="I1908" s="16"/>
      <c r="K1908" s="21">
        <v>2</v>
      </c>
      <c r="L1908" s="1098" t="s">
        <v>45</v>
      </c>
      <c r="M1908" s="1098"/>
      <c r="N1908" s="1098"/>
      <c r="O1908" s="120"/>
      <c r="P1908" s="114"/>
      <c r="Q1908" s="114"/>
      <c r="R1908" s="114"/>
      <c r="S1908" s="16"/>
    </row>
    <row r="1909" spans="1:19">
      <c r="A1909" s="21"/>
      <c r="B1909" s="1098"/>
      <c r="C1909" s="1098"/>
      <c r="D1909" s="1098"/>
      <c r="E1909" s="23" t="s">
        <v>28</v>
      </c>
      <c r="F1909" s="19"/>
      <c r="G1909" s="19"/>
      <c r="H1909" s="19"/>
      <c r="I1909" s="16"/>
      <c r="K1909" s="21"/>
      <c r="L1909" s="1098"/>
      <c r="M1909" s="1098"/>
      <c r="N1909" s="1098"/>
      <c r="O1909" s="23" t="s">
        <v>28</v>
      </c>
      <c r="P1909" s="19"/>
      <c r="Q1909" s="19"/>
      <c r="R1909" s="19"/>
      <c r="S1909" s="16"/>
    </row>
    <row r="1910" spans="1:19">
      <c r="A1910" s="21"/>
      <c r="B1910" s="120"/>
      <c r="C1910" s="120"/>
      <c r="D1910" s="120"/>
      <c r="E1910" s="120"/>
      <c r="F1910" s="114"/>
      <c r="G1910" s="114"/>
      <c r="H1910" s="114"/>
      <c r="I1910" s="16"/>
      <c r="K1910" s="21"/>
      <c r="L1910" s="120"/>
      <c r="M1910" s="120"/>
      <c r="N1910" s="120"/>
      <c r="O1910" s="120"/>
      <c r="P1910" s="114"/>
      <c r="Q1910" s="114"/>
      <c r="R1910" s="114"/>
      <c r="S1910" s="16"/>
    </row>
    <row r="1911" spans="1:19">
      <c r="A1911" s="21">
        <v>3</v>
      </c>
      <c r="B1911" s="1099" t="s">
        <v>46</v>
      </c>
      <c r="C1911" s="1099"/>
      <c r="D1911" s="1099"/>
      <c r="E1911" s="23" t="s">
        <v>28</v>
      </c>
      <c r="F1911" s="19"/>
      <c r="G1911" s="19"/>
      <c r="H1911" s="19"/>
      <c r="I1911" s="16"/>
      <c r="K1911" s="21">
        <v>3</v>
      </c>
      <c r="L1911" s="1099" t="s">
        <v>46</v>
      </c>
      <c r="M1911" s="1099"/>
      <c r="N1911" s="1099"/>
      <c r="O1911" s="18" t="str">
        <f>E1911</f>
        <v>N/A</v>
      </c>
      <c r="P1911" s="19"/>
      <c r="Q1911" s="19"/>
      <c r="R1911" s="19"/>
      <c r="S1911" s="16"/>
    </row>
    <row r="1912" spans="1:19">
      <c r="A1912" s="21"/>
      <c r="B1912" s="120"/>
      <c r="C1912" s="120"/>
      <c r="D1912" s="120"/>
      <c r="E1912" s="120"/>
      <c r="F1912" s="114"/>
      <c r="G1912" s="114"/>
      <c r="H1912" s="114"/>
      <c r="I1912" s="16"/>
      <c r="K1912" s="21"/>
      <c r="L1912" s="120"/>
      <c r="M1912" s="120"/>
      <c r="N1912" s="120"/>
      <c r="O1912" s="120"/>
      <c r="P1912" s="114"/>
      <c r="Q1912" s="114"/>
      <c r="R1912" s="114"/>
      <c r="S1912" s="16"/>
    </row>
    <row r="1913" spans="1:19">
      <c r="A1913" s="21">
        <v>4</v>
      </c>
      <c r="B1913" s="1099" t="s">
        <v>47</v>
      </c>
      <c r="C1913" s="1099"/>
      <c r="D1913" s="1099"/>
      <c r="E1913" s="23" t="s">
        <v>48</v>
      </c>
      <c r="F1913" s="19"/>
      <c r="G1913" s="19"/>
      <c r="H1913" s="19"/>
      <c r="I1913" s="16"/>
      <c r="K1913" s="21">
        <v>4</v>
      </c>
      <c r="L1913" s="1099" t="s">
        <v>47</v>
      </c>
      <c r="M1913" s="1099"/>
      <c r="N1913" s="1099"/>
      <c r="O1913" s="23" t="s">
        <v>48</v>
      </c>
      <c r="P1913" s="19"/>
      <c r="Q1913" s="19"/>
      <c r="R1913" s="19"/>
      <c r="S1913" s="16"/>
    </row>
    <row r="1914" spans="1:19">
      <c r="A1914" s="21"/>
      <c r="B1914" s="120"/>
      <c r="C1914" s="120"/>
      <c r="D1914" s="120"/>
      <c r="E1914" s="120"/>
      <c r="F1914" s="114"/>
      <c r="G1914" s="114"/>
      <c r="H1914" s="114"/>
      <c r="I1914" s="16"/>
      <c r="K1914" s="21"/>
      <c r="L1914" s="120"/>
      <c r="M1914" s="120"/>
      <c r="N1914" s="120"/>
      <c r="O1914" s="120"/>
      <c r="P1914" s="114"/>
      <c r="Q1914" s="114"/>
      <c r="R1914" s="114"/>
      <c r="S1914" s="16"/>
    </row>
    <row r="1915" spans="1:19">
      <c r="A1915" s="21">
        <v>5</v>
      </c>
      <c r="B1915" s="1099" t="s">
        <v>49</v>
      </c>
      <c r="C1915" s="1099"/>
      <c r="D1915" s="1099"/>
      <c r="E1915" s="24">
        <f>Master!AK59</f>
        <v>9932.4666666666653</v>
      </c>
      <c r="F1915" s="19"/>
      <c r="G1915" s="19"/>
      <c r="H1915" s="19"/>
      <c r="I1915" s="16"/>
      <c r="K1915" s="21">
        <v>5</v>
      </c>
      <c r="L1915" s="1099" t="s">
        <v>49</v>
      </c>
      <c r="M1915" s="1099"/>
      <c r="N1915" s="1099"/>
      <c r="O1915" s="24">
        <f>E1915</f>
        <v>9932.4666666666653</v>
      </c>
      <c r="P1915" s="19"/>
      <c r="Q1915" s="19"/>
      <c r="R1915" s="19"/>
      <c r="S1915" s="16"/>
    </row>
    <row r="1916" spans="1:19">
      <c r="A1916" s="21"/>
      <c r="B1916" s="120"/>
      <c r="C1916" s="120"/>
      <c r="D1916" s="238" t="s">
        <v>50</v>
      </c>
      <c r="E1916" s="238" t="s">
        <v>23</v>
      </c>
      <c r="F1916" s="136" t="s">
        <v>25</v>
      </c>
      <c r="G1916" s="238" t="s">
        <v>26</v>
      </c>
      <c r="H1916" s="238" t="s">
        <v>202</v>
      </c>
      <c r="I1916" s="126" t="s">
        <v>51</v>
      </c>
      <c r="K1916" s="21"/>
      <c r="L1916" s="120"/>
      <c r="M1916" s="120"/>
      <c r="N1916" s="238" t="s">
        <v>50</v>
      </c>
      <c r="O1916" s="238" t="s">
        <v>23</v>
      </c>
      <c r="P1916" s="136" t="s">
        <v>25</v>
      </c>
      <c r="Q1916" s="238" t="s">
        <v>26</v>
      </c>
      <c r="R1916" s="238" t="str">
        <f>H1916</f>
        <v>ADV</v>
      </c>
      <c r="S1916" s="126" t="s">
        <v>51</v>
      </c>
    </row>
    <row r="1917" spans="1:19">
      <c r="A1917" s="21">
        <v>6</v>
      </c>
      <c r="B1917" s="468" t="s">
        <v>52</v>
      </c>
      <c r="C1917" s="468"/>
      <c r="D1917" s="335">
        <f>Master!AM59</f>
        <v>1192</v>
      </c>
      <c r="E1917" s="335">
        <f>Master!AL59</f>
        <v>75</v>
      </c>
      <c r="F1917" s="180">
        <f>Master!AN59</f>
        <v>0</v>
      </c>
      <c r="G1917" s="180">
        <f>Master!AO59</f>
        <v>0</v>
      </c>
      <c r="H1917" s="180">
        <f>Master!AP59</f>
        <v>0</v>
      </c>
      <c r="I1917" s="127">
        <f>D1917+E1917+F1917+G1917+H1917</f>
        <v>1267</v>
      </c>
      <c r="K1917" s="21">
        <v>6</v>
      </c>
      <c r="L1917" s="468" t="s">
        <v>52</v>
      </c>
      <c r="M1917" s="468"/>
      <c r="N1917" s="335">
        <f>D1917</f>
        <v>1192</v>
      </c>
      <c r="O1917" s="335">
        <f>E1917</f>
        <v>75</v>
      </c>
      <c r="P1917" s="180">
        <f>F1917</f>
        <v>0</v>
      </c>
      <c r="Q1917" s="180">
        <f>G1917</f>
        <v>0</v>
      </c>
      <c r="R1917" s="180">
        <f>H1917</f>
        <v>0</v>
      </c>
      <c r="S1917" s="127">
        <f>N1917+O1917+R1917</f>
        <v>1267</v>
      </c>
    </row>
    <row r="1918" spans="1:19">
      <c r="A1918" s="21"/>
      <c r="B1918" s="120"/>
      <c r="C1918" s="120"/>
      <c r="D1918" s="120"/>
      <c r="E1918" s="120"/>
      <c r="F1918" s="114"/>
      <c r="G1918" s="114"/>
      <c r="H1918" s="114"/>
      <c r="I1918" s="16"/>
      <c r="K1918" s="21"/>
      <c r="L1918" s="120"/>
      <c r="M1918" s="120"/>
      <c r="N1918" s="120"/>
      <c r="O1918" s="120"/>
      <c r="P1918" s="114"/>
      <c r="Q1918" s="114"/>
      <c r="R1918" s="114"/>
      <c r="S1918" s="16"/>
    </row>
    <row r="1919" spans="1:19">
      <c r="A1919" s="21">
        <v>7</v>
      </c>
      <c r="B1919" s="1099" t="s">
        <v>53</v>
      </c>
      <c r="C1919" s="1099"/>
      <c r="D1919" s="1099"/>
      <c r="E1919" s="24">
        <f>E1915-I1917</f>
        <v>8665.4666666666653</v>
      </c>
      <c r="F1919" s="19"/>
      <c r="G1919" s="19"/>
      <c r="H1919" s="19"/>
      <c r="I1919" s="16"/>
      <c r="K1919" s="21">
        <v>7</v>
      </c>
      <c r="L1919" s="1099" t="s">
        <v>53</v>
      </c>
      <c r="M1919" s="1099"/>
      <c r="N1919" s="1099"/>
      <c r="O1919" s="24">
        <f>E1919</f>
        <v>8665.4666666666653</v>
      </c>
      <c r="P1919" s="19"/>
      <c r="Q1919" s="19"/>
      <c r="R1919" s="19"/>
      <c r="S1919" s="16"/>
    </row>
    <row r="1920" spans="1:19">
      <c r="A1920" s="15"/>
      <c r="B1920" s="114"/>
      <c r="C1920" s="114"/>
      <c r="D1920" s="114"/>
      <c r="E1920" s="114"/>
      <c r="F1920" s="114"/>
      <c r="G1920" s="114"/>
      <c r="H1920" s="114"/>
      <c r="I1920" s="16"/>
      <c r="K1920" s="15"/>
      <c r="L1920" s="114"/>
      <c r="M1920" s="114"/>
      <c r="N1920" s="114"/>
      <c r="O1920" s="114"/>
      <c r="P1920" s="114"/>
      <c r="Q1920" s="114"/>
      <c r="R1920" s="114"/>
      <c r="S1920" s="16"/>
    </row>
    <row r="1921" spans="1:19">
      <c r="A1921" s="15"/>
      <c r="B1921" s="114"/>
      <c r="C1921" s="114"/>
      <c r="D1921" s="114"/>
      <c r="E1921" s="114"/>
      <c r="F1921" s="114"/>
      <c r="G1921" s="114"/>
      <c r="H1921" s="114"/>
      <c r="I1921" s="16"/>
      <c r="K1921" s="15"/>
      <c r="L1921" s="114"/>
      <c r="M1921" s="114"/>
      <c r="N1921" s="114"/>
      <c r="O1921" s="114"/>
      <c r="P1921" s="114"/>
      <c r="Q1921" s="114"/>
      <c r="R1921" s="114"/>
      <c r="S1921" s="16"/>
    </row>
    <row r="1922" spans="1:19" ht="15" thickBot="1">
      <c r="A1922" s="15"/>
      <c r="B1922" s="114"/>
      <c r="C1922" s="114"/>
      <c r="D1922" s="114"/>
      <c r="E1922" s="114"/>
      <c r="F1922" s="25"/>
      <c r="G1922" s="25"/>
      <c r="H1922" s="25"/>
      <c r="I1922" s="26"/>
      <c r="K1922" s="15"/>
      <c r="L1922" s="114"/>
      <c r="M1922" s="114"/>
      <c r="N1922" s="114"/>
      <c r="O1922" s="114"/>
      <c r="P1922" s="25"/>
      <c r="Q1922" s="25"/>
      <c r="R1922" s="25"/>
      <c r="S1922" s="26"/>
    </row>
    <row r="1923" spans="1:19" ht="15" thickBot="1">
      <c r="A1923" s="27"/>
      <c r="B1923" s="25"/>
      <c r="C1923" s="25"/>
      <c r="D1923" s="25"/>
      <c r="E1923" s="999" t="s">
        <v>54</v>
      </c>
      <c r="F1923" s="999"/>
      <c r="G1923" s="999"/>
      <c r="H1923" s="999"/>
      <c r="I1923" s="1100"/>
      <c r="K1923" s="27"/>
      <c r="L1923" s="25"/>
      <c r="M1923" s="25"/>
      <c r="N1923" s="25"/>
      <c r="O1923" s="28" t="s">
        <v>54</v>
      </c>
      <c r="P1923" s="25"/>
      <c r="Q1923" s="28"/>
      <c r="R1923" s="28"/>
      <c r="S1923" s="29"/>
    </row>
    <row r="1935" spans="1:19" ht="15" thickBot="1"/>
    <row r="1936" spans="1:19" ht="24.6">
      <c r="A1936" s="1091" t="s">
        <v>39</v>
      </c>
      <c r="B1936" s="1092"/>
      <c r="C1936" s="1092"/>
      <c r="D1936" s="1092"/>
      <c r="E1936" s="1092"/>
      <c r="F1936" s="1092"/>
      <c r="G1936" s="1092"/>
      <c r="H1936" s="1092"/>
      <c r="I1936" s="1093"/>
      <c r="K1936" s="1091" t="s">
        <v>39</v>
      </c>
      <c r="L1936" s="1092"/>
      <c r="M1936" s="1092"/>
      <c r="N1936" s="1092"/>
      <c r="O1936" s="1092"/>
      <c r="P1936" s="1092"/>
      <c r="Q1936" s="1092"/>
      <c r="R1936" s="1092"/>
      <c r="S1936" s="1093"/>
    </row>
    <row r="1937" spans="1:19">
      <c r="A1937" s="1094" t="s">
        <v>1075</v>
      </c>
      <c r="B1937" s="1095"/>
      <c r="C1937" s="1095"/>
      <c r="D1937" s="1095"/>
      <c r="E1937" s="1095"/>
      <c r="F1937" s="1095"/>
      <c r="G1937" s="1095"/>
      <c r="H1937" s="1095"/>
      <c r="I1937" s="1096"/>
      <c r="K1937" s="1094" t="str">
        <f>A1937</f>
        <v>[Vide rule 78 (1) (b) of the Contract Labour (Regulation and Abolition) Central and A.P.{T.S.}Rules, 1971]</v>
      </c>
      <c r="L1937" s="1095"/>
      <c r="M1937" s="1095"/>
      <c r="N1937" s="1095"/>
      <c r="O1937" s="1095"/>
      <c r="P1937" s="1095"/>
      <c r="Q1937" s="1095"/>
      <c r="R1937" s="1095"/>
      <c r="S1937" s="1096"/>
    </row>
    <row r="1938" spans="1:19">
      <c r="A1938" s="15"/>
      <c r="B1938" s="114"/>
      <c r="C1938" s="114"/>
      <c r="D1938" s="114"/>
      <c r="E1938" s="114"/>
      <c r="F1938" s="114"/>
      <c r="G1938" s="114"/>
      <c r="H1938" s="114"/>
      <c r="I1938" s="16"/>
      <c r="K1938" s="15"/>
      <c r="L1938" s="114"/>
      <c r="M1938" s="114"/>
      <c r="N1938" s="114"/>
      <c r="O1938" s="114"/>
      <c r="P1938" s="114"/>
      <c r="Q1938" s="114"/>
      <c r="R1938" s="114"/>
      <c r="S1938" s="16"/>
    </row>
    <row r="1939" spans="1:19">
      <c r="A1939" s="17" t="s">
        <v>40</v>
      </c>
      <c r="B1939" s="120"/>
      <c r="C1939" s="120"/>
      <c r="D1939" s="121" t="str">
        <f>Master!F5</f>
        <v>GROTECH LANDSCAPE DEVELOPERS PVT. LTD.</v>
      </c>
      <c r="E1939" s="114"/>
      <c r="F1939" s="114"/>
      <c r="G1939" s="114"/>
      <c r="H1939" s="114"/>
      <c r="I1939" s="16"/>
      <c r="K1939" s="17" t="s">
        <v>40</v>
      </c>
      <c r="L1939" s="120"/>
      <c r="M1939" s="120"/>
      <c r="N1939" s="121" t="str">
        <f>D1939</f>
        <v>GROTECH LANDSCAPE DEVELOPERS PVT. LTD.</v>
      </c>
      <c r="O1939" s="114"/>
      <c r="P1939" s="114"/>
      <c r="Q1939" s="114"/>
      <c r="R1939" s="114"/>
      <c r="S1939" s="16"/>
    </row>
    <row r="1940" spans="1:19">
      <c r="A1940" s="17"/>
      <c r="B1940" s="120" t="str">
        <f>Master!F6</f>
        <v>290/E, Khanapur Village, Gandipet Mandal, Ranga Reddy, Hyderabad-500075 T.S.</v>
      </c>
      <c r="C1940" s="120"/>
      <c r="D1940" s="114"/>
      <c r="E1940" s="114"/>
      <c r="F1940" s="114"/>
      <c r="G1940" s="114"/>
      <c r="H1940" s="114"/>
      <c r="I1940" s="16"/>
      <c r="K1940" s="17"/>
      <c r="L1940" s="120" t="str">
        <f>B1940</f>
        <v>290/E, Khanapur Village, Gandipet Mandal, Ranga Reddy, Hyderabad-500075 T.S.</v>
      </c>
      <c r="M1940" s="120"/>
      <c r="N1940" s="114"/>
      <c r="O1940" s="114"/>
      <c r="P1940" s="114"/>
      <c r="Q1940" s="114"/>
      <c r="R1940" s="114"/>
      <c r="S1940" s="16"/>
    </row>
    <row r="1941" spans="1:19">
      <c r="A1941" s="17"/>
      <c r="B1941" s="120"/>
      <c r="C1941" s="120"/>
      <c r="D1941" s="120"/>
      <c r="E1941" s="120"/>
      <c r="F1941" s="114"/>
      <c r="G1941" s="114"/>
      <c r="H1941" s="114"/>
      <c r="I1941" s="16"/>
      <c r="K1941" s="17"/>
      <c r="L1941" s="120"/>
      <c r="M1941" s="120"/>
      <c r="N1941" s="120"/>
      <c r="O1941" s="120"/>
      <c r="P1941" s="114"/>
      <c r="Q1941" s="114"/>
      <c r="R1941" s="114"/>
      <c r="S1941" s="16"/>
    </row>
    <row r="1942" spans="1:19">
      <c r="A1942" s="1097" t="s">
        <v>41</v>
      </c>
      <c r="B1942" s="1098"/>
      <c r="C1942" s="1098"/>
      <c r="D1942" s="1098"/>
      <c r="E1942" s="120"/>
      <c r="F1942" s="114"/>
      <c r="G1942" s="114"/>
      <c r="H1942" s="114"/>
      <c r="I1942" s="16"/>
      <c r="K1942" s="1097" t="s">
        <v>41</v>
      </c>
      <c r="L1942" s="1098"/>
      <c r="M1942" s="1098"/>
      <c r="N1942" s="1098"/>
      <c r="O1942" s="120"/>
      <c r="P1942" s="114"/>
      <c r="Q1942" s="114"/>
      <c r="R1942" s="114"/>
      <c r="S1942" s="16"/>
    </row>
    <row r="1943" spans="1:19">
      <c r="A1943" s="1097"/>
      <c r="B1943" s="1098"/>
      <c r="C1943" s="1098"/>
      <c r="D1943" s="1098"/>
      <c r="E1943" s="128" t="str">
        <f>Master!D60</f>
        <v>VADLA JYOTHI</v>
      </c>
      <c r="F1943" s="19"/>
      <c r="G1943" s="19"/>
      <c r="H1943" s="19" t="str">
        <f>Master!G60</f>
        <v>VADLA SHANKAR CHARY</v>
      </c>
      <c r="I1943" s="16"/>
      <c r="K1943" s="1097"/>
      <c r="L1943" s="1098"/>
      <c r="M1943" s="1098"/>
      <c r="N1943" s="1098"/>
      <c r="O1943" s="18" t="str">
        <f>E1943</f>
        <v>VADLA JYOTHI</v>
      </c>
      <c r="P1943" s="19"/>
      <c r="Q1943" s="19"/>
      <c r="R1943" s="19" t="str">
        <f>H1943</f>
        <v>VADLA SHANKAR CHARY</v>
      </c>
      <c r="S1943" s="16"/>
    </row>
    <row r="1944" spans="1:19">
      <c r="A1944" s="17"/>
      <c r="B1944" s="120"/>
      <c r="C1944" s="120"/>
      <c r="D1944" s="120"/>
      <c r="E1944" s="120"/>
      <c r="F1944" s="114"/>
      <c r="G1944" s="114"/>
      <c r="H1944" s="114"/>
      <c r="I1944" s="16"/>
      <c r="K1944" s="17"/>
      <c r="L1944" s="120"/>
      <c r="M1944" s="120"/>
      <c r="N1944" s="120"/>
      <c r="O1944" s="120"/>
      <c r="P1944" s="114"/>
      <c r="Q1944" s="114"/>
      <c r="R1944" s="114"/>
      <c r="S1944" s="16"/>
    </row>
    <row r="1945" spans="1:19">
      <c r="A1945" s="1101" t="s">
        <v>42</v>
      </c>
      <c r="B1945" s="1099"/>
      <c r="C1945" s="1099"/>
      <c r="D1945" s="1099"/>
      <c r="E1945" s="24" t="str">
        <f>Master!F8</f>
        <v>GARDENING SERVICES&amp;ISB HYDERABAD</v>
      </c>
      <c r="F1945" s="19"/>
      <c r="G1945" s="19"/>
      <c r="H1945" s="19"/>
      <c r="I1945" s="16"/>
      <c r="K1945" s="1101" t="s">
        <v>42</v>
      </c>
      <c r="L1945" s="1099"/>
      <c r="M1945" s="1099"/>
      <c r="N1945" s="1099"/>
      <c r="O1945" s="24" t="str">
        <f>E1945</f>
        <v>GARDENING SERVICES&amp;ISB HYDERABAD</v>
      </c>
      <c r="P1945" s="19"/>
      <c r="Q1945" s="19"/>
      <c r="R1945" s="19"/>
      <c r="S1945" s="16"/>
    </row>
    <row r="1946" spans="1:19">
      <c r="A1946" s="17"/>
      <c r="B1946" s="120"/>
      <c r="C1946" s="120"/>
      <c r="D1946" s="120"/>
      <c r="E1946" s="120"/>
      <c r="F1946" s="114"/>
      <c r="G1946" s="114"/>
      <c r="H1946" s="114"/>
      <c r="I1946" s="16"/>
      <c r="K1946" s="17"/>
      <c r="L1946" s="120"/>
      <c r="M1946" s="120"/>
      <c r="N1946" s="120"/>
      <c r="O1946" s="120"/>
      <c r="P1946" s="114"/>
      <c r="Q1946" s="114"/>
      <c r="R1946" s="114"/>
      <c r="S1946" s="16"/>
    </row>
    <row r="1947" spans="1:19">
      <c r="A1947" s="1101" t="s">
        <v>43</v>
      </c>
      <c r="B1947" s="1099"/>
      <c r="C1947" s="1099"/>
      <c r="D1947" s="1099"/>
      <c r="E1947" s="20">
        <f>Master!F10</f>
        <v>44652</v>
      </c>
      <c r="F1947" s="19"/>
      <c r="G1947" s="19"/>
      <c r="H1947" s="19"/>
      <c r="I1947" s="16"/>
      <c r="K1947" s="1101" t="s">
        <v>43</v>
      </c>
      <c r="L1947" s="1099"/>
      <c r="M1947" s="1099"/>
      <c r="N1947" s="1099"/>
      <c r="O1947" s="20">
        <f>E1947</f>
        <v>44652</v>
      </c>
      <c r="P1947" s="19"/>
      <c r="Q1947" s="19"/>
      <c r="R1947" s="19"/>
      <c r="S1947" s="16"/>
    </row>
    <row r="1948" spans="1:19">
      <c r="A1948" s="17"/>
      <c r="B1948" s="120"/>
      <c r="C1948" s="120"/>
      <c r="D1948" s="120"/>
      <c r="E1948" s="120"/>
      <c r="F1948" s="114"/>
      <c r="G1948" s="114"/>
      <c r="H1948" s="114"/>
      <c r="I1948" s="16"/>
      <c r="K1948" s="17"/>
      <c r="L1948" s="120"/>
      <c r="M1948" s="120"/>
      <c r="N1948" s="120"/>
      <c r="O1948" s="120"/>
      <c r="P1948" s="114"/>
      <c r="Q1948" s="114"/>
      <c r="R1948" s="114"/>
      <c r="S1948" s="16"/>
    </row>
    <row r="1949" spans="1:19">
      <c r="A1949" s="21">
        <v>1</v>
      </c>
      <c r="B1949" s="1099" t="s">
        <v>44</v>
      </c>
      <c r="C1949" s="1099"/>
      <c r="D1949" s="1099"/>
      <c r="E1949" s="22">
        <f>Master!AA60</f>
        <v>26</v>
      </c>
      <c r="F1949" s="19"/>
      <c r="G1949" s="19"/>
      <c r="H1949" s="19"/>
      <c r="I1949" s="16"/>
      <c r="K1949" s="21">
        <v>1</v>
      </c>
      <c r="L1949" s="1099" t="s">
        <v>44</v>
      </c>
      <c r="M1949" s="1099"/>
      <c r="N1949" s="1099"/>
      <c r="O1949" s="22">
        <f>E1949</f>
        <v>26</v>
      </c>
      <c r="P1949" s="19"/>
      <c r="Q1949" s="19"/>
      <c r="R1949" s="19"/>
      <c r="S1949" s="16"/>
    </row>
    <row r="1950" spans="1:19">
      <c r="A1950" s="21"/>
      <c r="B1950" s="120"/>
      <c r="C1950" s="120"/>
      <c r="D1950" s="120"/>
      <c r="E1950" s="120"/>
      <c r="F1950" s="114"/>
      <c r="G1950" s="114"/>
      <c r="H1950" s="114"/>
      <c r="I1950" s="16"/>
      <c r="K1950" s="21"/>
      <c r="L1950" s="120"/>
      <c r="M1950" s="120"/>
      <c r="N1950" s="120"/>
      <c r="O1950" s="120"/>
      <c r="P1950" s="114"/>
      <c r="Q1950" s="114"/>
      <c r="R1950" s="114"/>
      <c r="S1950" s="16"/>
    </row>
    <row r="1951" spans="1:19">
      <c r="A1951" s="21">
        <v>2</v>
      </c>
      <c r="B1951" s="1098" t="s">
        <v>45</v>
      </c>
      <c r="C1951" s="1098"/>
      <c r="D1951" s="1098"/>
      <c r="E1951" s="120"/>
      <c r="F1951" s="114"/>
      <c r="G1951" s="114"/>
      <c r="H1951" s="114"/>
      <c r="I1951" s="16"/>
      <c r="K1951" s="21">
        <v>2</v>
      </c>
      <c r="L1951" s="1098" t="s">
        <v>45</v>
      </c>
      <c r="M1951" s="1098"/>
      <c r="N1951" s="1098"/>
      <c r="O1951" s="120"/>
      <c r="P1951" s="114"/>
      <c r="Q1951" s="114"/>
      <c r="R1951" s="114"/>
      <c r="S1951" s="16"/>
    </row>
    <row r="1952" spans="1:19">
      <c r="A1952" s="21"/>
      <c r="B1952" s="1098"/>
      <c r="C1952" s="1098"/>
      <c r="D1952" s="1098"/>
      <c r="E1952" s="23" t="s">
        <v>28</v>
      </c>
      <c r="F1952" s="19"/>
      <c r="G1952" s="19"/>
      <c r="H1952" s="19"/>
      <c r="I1952" s="16"/>
      <c r="K1952" s="21"/>
      <c r="L1952" s="1098"/>
      <c r="M1952" s="1098"/>
      <c r="N1952" s="1098"/>
      <c r="O1952" s="23" t="s">
        <v>28</v>
      </c>
      <c r="P1952" s="19"/>
      <c r="Q1952" s="19"/>
      <c r="R1952" s="19"/>
      <c r="S1952" s="16"/>
    </row>
    <row r="1953" spans="1:19">
      <c r="A1953" s="21"/>
      <c r="B1953" s="120"/>
      <c r="C1953" s="120"/>
      <c r="D1953" s="120"/>
      <c r="E1953" s="120"/>
      <c r="F1953" s="114"/>
      <c r="G1953" s="114"/>
      <c r="H1953" s="114"/>
      <c r="I1953" s="16"/>
      <c r="K1953" s="21"/>
      <c r="L1953" s="120"/>
      <c r="M1953" s="120"/>
      <c r="N1953" s="120"/>
      <c r="O1953" s="120"/>
      <c r="P1953" s="114"/>
      <c r="Q1953" s="114"/>
      <c r="R1953" s="114"/>
      <c r="S1953" s="16"/>
    </row>
    <row r="1954" spans="1:19">
      <c r="A1954" s="21">
        <v>3</v>
      </c>
      <c r="B1954" s="1099" t="s">
        <v>46</v>
      </c>
      <c r="C1954" s="1099"/>
      <c r="D1954" s="1099"/>
      <c r="E1954" s="23" t="s">
        <v>28</v>
      </c>
      <c r="F1954" s="19"/>
      <c r="G1954" s="19"/>
      <c r="H1954" s="19"/>
      <c r="I1954" s="16"/>
      <c r="K1954" s="21">
        <v>3</v>
      </c>
      <c r="L1954" s="1099" t="s">
        <v>46</v>
      </c>
      <c r="M1954" s="1099"/>
      <c r="N1954" s="1099"/>
      <c r="O1954" s="18" t="str">
        <f>E1954</f>
        <v>N/A</v>
      </c>
      <c r="P1954" s="19"/>
      <c r="Q1954" s="19"/>
      <c r="R1954" s="19"/>
      <c r="S1954" s="16"/>
    </row>
    <row r="1955" spans="1:19">
      <c r="A1955" s="21"/>
      <c r="B1955" s="120"/>
      <c r="C1955" s="120"/>
      <c r="D1955" s="120"/>
      <c r="E1955" s="120"/>
      <c r="F1955" s="114"/>
      <c r="G1955" s="114"/>
      <c r="H1955" s="114"/>
      <c r="I1955" s="16"/>
      <c r="K1955" s="21"/>
      <c r="L1955" s="120"/>
      <c r="M1955" s="120"/>
      <c r="N1955" s="120"/>
      <c r="O1955" s="120"/>
      <c r="P1955" s="114"/>
      <c r="Q1955" s="114"/>
      <c r="R1955" s="114"/>
      <c r="S1955" s="16"/>
    </row>
    <row r="1956" spans="1:19">
      <c r="A1956" s="21">
        <v>4</v>
      </c>
      <c r="B1956" s="1099" t="s">
        <v>47</v>
      </c>
      <c r="C1956" s="1099"/>
      <c r="D1956" s="1099"/>
      <c r="E1956" s="23" t="s">
        <v>48</v>
      </c>
      <c r="F1956" s="19"/>
      <c r="G1956" s="19"/>
      <c r="H1956" s="19"/>
      <c r="I1956" s="16"/>
      <c r="K1956" s="21">
        <v>4</v>
      </c>
      <c r="L1956" s="1099" t="s">
        <v>47</v>
      </c>
      <c r="M1956" s="1099"/>
      <c r="N1956" s="1099"/>
      <c r="O1956" s="23" t="s">
        <v>48</v>
      </c>
      <c r="P1956" s="19"/>
      <c r="Q1956" s="19"/>
      <c r="R1956" s="19"/>
      <c r="S1956" s="16"/>
    </row>
    <row r="1957" spans="1:19">
      <c r="A1957" s="21"/>
      <c r="B1957" s="120"/>
      <c r="C1957" s="120"/>
      <c r="D1957" s="120"/>
      <c r="E1957" s="120"/>
      <c r="F1957" s="114"/>
      <c r="G1957" s="114"/>
      <c r="H1957" s="114"/>
      <c r="I1957" s="16"/>
      <c r="K1957" s="21"/>
      <c r="L1957" s="120"/>
      <c r="M1957" s="120"/>
      <c r="N1957" s="120"/>
      <c r="O1957" s="120"/>
      <c r="P1957" s="114"/>
      <c r="Q1957" s="114"/>
      <c r="R1957" s="114"/>
      <c r="S1957" s="16"/>
    </row>
    <row r="1958" spans="1:19">
      <c r="A1958" s="21">
        <v>5</v>
      </c>
      <c r="B1958" s="1099" t="s">
        <v>49</v>
      </c>
      <c r="C1958" s="1099"/>
      <c r="D1958" s="1099"/>
      <c r="E1958" s="24">
        <f>Master!AK60</f>
        <v>9210.4</v>
      </c>
      <c r="F1958" s="19"/>
      <c r="G1958" s="19"/>
      <c r="H1958" s="19"/>
      <c r="I1958" s="16"/>
      <c r="K1958" s="21">
        <v>5</v>
      </c>
      <c r="L1958" s="1099" t="s">
        <v>49</v>
      </c>
      <c r="M1958" s="1099"/>
      <c r="N1958" s="1099"/>
      <c r="O1958" s="24">
        <f>E1958</f>
        <v>9210.4</v>
      </c>
      <c r="P1958" s="19"/>
      <c r="Q1958" s="19"/>
      <c r="R1958" s="19"/>
      <c r="S1958" s="16"/>
    </row>
    <row r="1959" spans="1:19">
      <c r="A1959" s="21"/>
      <c r="B1959" s="120"/>
      <c r="C1959" s="120"/>
      <c r="D1959" s="238" t="s">
        <v>50</v>
      </c>
      <c r="E1959" s="238" t="s">
        <v>23</v>
      </c>
      <c r="F1959" s="136" t="s">
        <v>25</v>
      </c>
      <c r="G1959" s="238" t="s">
        <v>26</v>
      </c>
      <c r="H1959" s="238" t="s">
        <v>202</v>
      </c>
      <c r="I1959" s="126" t="s">
        <v>51</v>
      </c>
      <c r="K1959" s="21"/>
      <c r="L1959" s="120"/>
      <c r="M1959" s="120"/>
      <c r="N1959" s="238" t="s">
        <v>50</v>
      </c>
      <c r="O1959" s="238" t="s">
        <v>23</v>
      </c>
      <c r="P1959" s="136" t="s">
        <v>25</v>
      </c>
      <c r="Q1959" s="238" t="s">
        <v>26</v>
      </c>
      <c r="R1959" s="238" t="str">
        <f>H1959</f>
        <v>ADV</v>
      </c>
      <c r="S1959" s="126" t="s">
        <v>51</v>
      </c>
    </row>
    <row r="1960" spans="1:19">
      <c r="A1960" s="21">
        <v>6</v>
      </c>
      <c r="B1960" s="468" t="s">
        <v>52</v>
      </c>
      <c r="C1960" s="468"/>
      <c r="D1960" s="335">
        <f>Master!AM60</f>
        <v>1105</v>
      </c>
      <c r="E1960" s="335">
        <f>Master!AL60</f>
        <v>70</v>
      </c>
      <c r="F1960" s="180">
        <f>Master!AN60</f>
        <v>0</v>
      </c>
      <c r="G1960" s="180">
        <f>Master!AO60</f>
        <v>0</v>
      </c>
      <c r="H1960" s="180">
        <f>Master!AP60</f>
        <v>0</v>
      </c>
      <c r="I1960" s="127">
        <f>D1960+E1960+F1960+G1960+H1960</f>
        <v>1175</v>
      </c>
      <c r="K1960" s="21">
        <v>6</v>
      </c>
      <c r="L1960" s="468" t="s">
        <v>52</v>
      </c>
      <c r="M1960" s="468"/>
      <c r="N1960" s="335">
        <f>D1960</f>
        <v>1105</v>
      </c>
      <c r="O1960" s="335">
        <f>E1960</f>
        <v>70</v>
      </c>
      <c r="P1960" s="180">
        <f>F1960</f>
        <v>0</v>
      </c>
      <c r="Q1960" s="180">
        <f>G1960</f>
        <v>0</v>
      </c>
      <c r="R1960" s="180">
        <f>H1960</f>
        <v>0</v>
      </c>
      <c r="S1960" s="127">
        <f>N1960+O1960+R1960</f>
        <v>1175</v>
      </c>
    </row>
    <row r="1961" spans="1:19">
      <c r="A1961" s="21"/>
      <c r="B1961" s="120"/>
      <c r="C1961" s="120"/>
      <c r="D1961" s="120"/>
      <c r="E1961" s="120"/>
      <c r="F1961" s="114"/>
      <c r="G1961" s="114"/>
      <c r="H1961" s="114"/>
      <c r="I1961" s="16"/>
      <c r="K1961" s="21"/>
      <c r="L1961" s="120"/>
      <c r="M1961" s="120"/>
      <c r="N1961" s="120"/>
      <c r="O1961" s="120"/>
      <c r="P1961" s="114"/>
      <c r="Q1961" s="114"/>
      <c r="R1961" s="114"/>
      <c r="S1961" s="16"/>
    </row>
    <row r="1962" spans="1:19">
      <c r="A1962" s="21">
        <v>7</v>
      </c>
      <c r="B1962" s="1099" t="s">
        <v>53</v>
      </c>
      <c r="C1962" s="1099"/>
      <c r="D1962" s="1099"/>
      <c r="E1962" s="24">
        <f>E1958-I1960</f>
        <v>8035.4</v>
      </c>
      <c r="F1962" s="19"/>
      <c r="G1962" s="19"/>
      <c r="H1962" s="19"/>
      <c r="I1962" s="16"/>
      <c r="K1962" s="21">
        <v>7</v>
      </c>
      <c r="L1962" s="1099" t="s">
        <v>53</v>
      </c>
      <c r="M1962" s="1099"/>
      <c r="N1962" s="1099"/>
      <c r="O1962" s="24">
        <f>E1962</f>
        <v>8035.4</v>
      </c>
      <c r="P1962" s="19"/>
      <c r="Q1962" s="19"/>
      <c r="R1962" s="19"/>
      <c r="S1962" s="16"/>
    </row>
    <row r="1963" spans="1:19">
      <c r="A1963" s="15"/>
      <c r="B1963" s="114"/>
      <c r="C1963" s="114"/>
      <c r="D1963" s="114"/>
      <c r="E1963" s="114"/>
      <c r="F1963" s="114"/>
      <c r="G1963" s="114"/>
      <c r="H1963" s="114"/>
      <c r="I1963" s="16"/>
      <c r="K1963" s="15"/>
      <c r="L1963" s="114"/>
      <c r="M1963" s="114"/>
      <c r="N1963" s="114"/>
      <c r="O1963" s="114"/>
      <c r="P1963" s="114"/>
      <c r="Q1963" s="114"/>
      <c r="R1963" s="114"/>
      <c r="S1963" s="16"/>
    </row>
    <row r="1964" spans="1:19">
      <c r="A1964" s="15"/>
      <c r="B1964" s="114"/>
      <c r="C1964" s="114"/>
      <c r="D1964" s="114"/>
      <c r="E1964" s="114"/>
      <c r="F1964" s="114"/>
      <c r="G1964" s="114"/>
      <c r="H1964" s="114"/>
      <c r="I1964" s="16"/>
      <c r="K1964" s="15"/>
      <c r="L1964" s="114"/>
      <c r="M1964" s="114"/>
      <c r="N1964" s="114"/>
      <c r="O1964" s="114"/>
      <c r="P1964" s="114"/>
      <c r="Q1964" s="114"/>
      <c r="R1964" s="114"/>
      <c r="S1964" s="16"/>
    </row>
    <row r="1965" spans="1:19" ht="15" thickBot="1">
      <c r="A1965" s="15"/>
      <c r="B1965" s="114"/>
      <c r="C1965" s="114"/>
      <c r="D1965" s="114"/>
      <c r="E1965" s="114"/>
      <c r="F1965" s="25"/>
      <c r="G1965" s="25"/>
      <c r="H1965" s="25"/>
      <c r="I1965" s="26"/>
      <c r="K1965" s="15"/>
      <c r="L1965" s="114"/>
      <c r="M1965" s="114"/>
      <c r="N1965" s="114"/>
      <c r="O1965" s="114"/>
      <c r="P1965" s="25"/>
      <c r="Q1965" s="25"/>
      <c r="R1965" s="25"/>
      <c r="S1965" s="26"/>
    </row>
    <row r="1966" spans="1:19" ht="15" thickBot="1">
      <c r="A1966" s="27"/>
      <c r="B1966" s="25"/>
      <c r="C1966" s="25"/>
      <c r="D1966" s="25"/>
      <c r="E1966" s="999" t="s">
        <v>54</v>
      </c>
      <c r="F1966" s="999"/>
      <c r="G1966" s="999"/>
      <c r="H1966" s="999"/>
      <c r="I1966" s="1100"/>
      <c r="K1966" s="27"/>
      <c r="L1966" s="25"/>
      <c r="M1966" s="25"/>
      <c r="N1966" s="25"/>
      <c r="O1966" s="28" t="s">
        <v>54</v>
      </c>
      <c r="P1966" s="25"/>
      <c r="Q1966" s="28"/>
      <c r="R1966" s="28"/>
      <c r="S1966" s="29"/>
    </row>
    <row r="1978" spans="1:19" ht="15" thickBot="1"/>
    <row r="1979" spans="1:19" ht="24.6">
      <c r="A1979" s="1091" t="s">
        <v>39</v>
      </c>
      <c r="B1979" s="1092"/>
      <c r="C1979" s="1092"/>
      <c r="D1979" s="1092"/>
      <c r="E1979" s="1092"/>
      <c r="F1979" s="1092"/>
      <c r="G1979" s="1092"/>
      <c r="H1979" s="1092"/>
      <c r="I1979" s="1093"/>
      <c r="K1979" s="1091" t="s">
        <v>39</v>
      </c>
      <c r="L1979" s="1092"/>
      <c r="M1979" s="1092"/>
      <c r="N1979" s="1092"/>
      <c r="O1979" s="1092"/>
      <c r="P1979" s="1092"/>
      <c r="Q1979" s="1092"/>
      <c r="R1979" s="1092"/>
      <c r="S1979" s="1093"/>
    </row>
    <row r="1980" spans="1:19">
      <c r="A1980" s="1094" t="s">
        <v>1075</v>
      </c>
      <c r="B1980" s="1095"/>
      <c r="C1980" s="1095"/>
      <c r="D1980" s="1095"/>
      <c r="E1980" s="1095"/>
      <c r="F1980" s="1095"/>
      <c r="G1980" s="1095"/>
      <c r="H1980" s="1095"/>
      <c r="I1980" s="1096"/>
      <c r="K1980" s="1094" t="str">
        <f>A1980</f>
        <v>[Vide rule 78 (1) (b) of the Contract Labour (Regulation and Abolition) Central and A.P.{T.S.}Rules, 1971]</v>
      </c>
      <c r="L1980" s="1095"/>
      <c r="M1980" s="1095"/>
      <c r="N1980" s="1095"/>
      <c r="O1980" s="1095"/>
      <c r="P1980" s="1095"/>
      <c r="Q1980" s="1095"/>
      <c r="R1980" s="1095"/>
      <c r="S1980" s="1096"/>
    </row>
    <row r="1981" spans="1:19">
      <c r="A1981" s="15"/>
      <c r="B1981" s="114"/>
      <c r="C1981" s="114"/>
      <c r="D1981" s="114"/>
      <c r="E1981" s="114"/>
      <c r="F1981" s="114"/>
      <c r="G1981" s="114"/>
      <c r="H1981" s="114"/>
      <c r="I1981" s="16"/>
      <c r="K1981" s="15"/>
      <c r="L1981" s="114"/>
      <c r="M1981" s="114"/>
      <c r="N1981" s="114"/>
      <c r="O1981" s="114"/>
      <c r="P1981" s="114"/>
      <c r="Q1981" s="114"/>
      <c r="R1981" s="114"/>
      <c r="S1981" s="16"/>
    </row>
    <row r="1982" spans="1:19">
      <c r="A1982" s="17" t="s">
        <v>40</v>
      </c>
      <c r="B1982" s="120"/>
      <c r="C1982" s="120"/>
      <c r="D1982" s="121" t="str">
        <f>Master!F5</f>
        <v>GROTECH LANDSCAPE DEVELOPERS PVT. LTD.</v>
      </c>
      <c r="E1982" s="114"/>
      <c r="F1982" s="114"/>
      <c r="G1982" s="114"/>
      <c r="H1982" s="114"/>
      <c r="I1982" s="16"/>
      <c r="K1982" s="17" t="s">
        <v>40</v>
      </c>
      <c r="L1982" s="120"/>
      <c r="M1982" s="120"/>
      <c r="N1982" s="121" t="str">
        <f>D1982</f>
        <v>GROTECH LANDSCAPE DEVELOPERS PVT. LTD.</v>
      </c>
      <c r="O1982" s="114"/>
      <c r="P1982" s="114"/>
      <c r="Q1982" s="114"/>
      <c r="R1982" s="114"/>
      <c r="S1982" s="16"/>
    </row>
    <row r="1983" spans="1:19">
      <c r="A1983" s="17"/>
      <c r="B1983" s="120" t="str">
        <f>Master!F6</f>
        <v>290/E, Khanapur Village, Gandipet Mandal, Ranga Reddy, Hyderabad-500075 T.S.</v>
      </c>
      <c r="C1983" s="120"/>
      <c r="D1983" s="114"/>
      <c r="E1983" s="114"/>
      <c r="F1983" s="114"/>
      <c r="G1983" s="114"/>
      <c r="H1983" s="114"/>
      <c r="I1983" s="16"/>
      <c r="K1983" s="17"/>
      <c r="L1983" s="120" t="str">
        <f>B1983</f>
        <v>290/E, Khanapur Village, Gandipet Mandal, Ranga Reddy, Hyderabad-500075 T.S.</v>
      </c>
      <c r="M1983" s="120"/>
      <c r="N1983" s="114"/>
      <c r="O1983" s="114"/>
      <c r="P1983" s="114"/>
      <c r="Q1983" s="114"/>
      <c r="R1983" s="114"/>
      <c r="S1983" s="16"/>
    </row>
    <row r="1984" spans="1:19">
      <c r="A1984" s="17"/>
      <c r="B1984" s="120"/>
      <c r="C1984" s="120"/>
      <c r="D1984" s="120"/>
      <c r="E1984" s="120"/>
      <c r="F1984" s="114"/>
      <c r="G1984" s="114"/>
      <c r="H1984" s="114"/>
      <c r="I1984" s="16"/>
      <c r="K1984" s="17"/>
      <c r="L1984" s="120"/>
      <c r="M1984" s="120"/>
      <c r="N1984" s="120"/>
      <c r="O1984" s="120"/>
      <c r="P1984" s="114"/>
      <c r="Q1984" s="114"/>
      <c r="R1984" s="114"/>
      <c r="S1984" s="16"/>
    </row>
    <row r="1985" spans="1:19">
      <c r="A1985" s="1097" t="s">
        <v>41</v>
      </c>
      <c r="B1985" s="1098"/>
      <c r="C1985" s="1098"/>
      <c r="D1985" s="1098"/>
      <c r="E1985" s="120"/>
      <c r="F1985" s="114"/>
      <c r="G1985" s="114"/>
      <c r="H1985" s="114"/>
      <c r="I1985" s="16"/>
      <c r="K1985" s="1097" t="s">
        <v>41</v>
      </c>
      <c r="L1985" s="1098"/>
      <c r="M1985" s="1098"/>
      <c r="N1985" s="1098"/>
      <c r="O1985" s="120"/>
      <c r="P1985" s="114"/>
      <c r="Q1985" s="114"/>
      <c r="R1985" s="114"/>
      <c r="S1985" s="16"/>
    </row>
    <row r="1986" spans="1:19">
      <c r="A1986" s="1097"/>
      <c r="B1986" s="1098"/>
      <c r="C1986" s="1098"/>
      <c r="D1986" s="1098"/>
      <c r="E1986" s="128" t="str">
        <f>Master!D61</f>
        <v>Rupesh Chandra Jakhmola</v>
      </c>
      <c r="F1986" s="19"/>
      <c r="G1986" s="19"/>
      <c r="H1986" s="19" t="str">
        <f>Master!G61</f>
        <v>RAJENDRA PRASAD</v>
      </c>
      <c r="I1986" s="16"/>
      <c r="K1986" s="1097"/>
      <c r="L1986" s="1098"/>
      <c r="M1986" s="1098"/>
      <c r="N1986" s="1098"/>
      <c r="O1986" s="18" t="str">
        <f>E1986</f>
        <v>Rupesh Chandra Jakhmola</v>
      </c>
      <c r="P1986" s="19"/>
      <c r="Q1986" s="19"/>
      <c r="R1986" s="19" t="str">
        <f>H1986</f>
        <v>RAJENDRA PRASAD</v>
      </c>
      <c r="S1986" s="16"/>
    </row>
    <row r="1987" spans="1:19">
      <c r="A1987" s="17"/>
      <c r="B1987" s="120"/>
      <c r="C1987" s="120"/>
      <c r="D1987" s="120"/>
      <c r="E1987" s="120"/>
      <c r="F1987" s="114"/>
      <c r="G1987" s="114"/>
      <c r="H1987" s="114"/>
      <c r="I1987" s="16"/>
      <c r="K1987" s="17"/>
      <c r="L1987" s="120"/>
      <c r="M1987" s="120"/>
      <c r="N1987" s="120"/>
      <c r="O1987" s="120"/>
      <c r="P1987" s="114"/>
      <c r="Q1987" s="114"/>
      <c r="R1987" s="114"/>
      <c r="S1987" s="16"/>
    </row>
    <row r="1988" spans="1:19">
      <c r="A1988" s="1101" t="s">
        <v>42</v>
      </c>
      <c r="B1988" s="1099"/>
      <c r="C1988" s="1099"/>
      <c r="D1988" s="1099"/>
      <c r="E1988" s="24" t="str">
        <f>Master!F8</f>
        <v>GARDENING SERVICES&amp;ISB HYDERABAD</v>
      </c>
      <c r="F1988" s="19"/>
      <c r="G1988" s="19"/>
      <c r="H1988" s="19"/>
      <c r="I1988" s="16"/>
      <c r="K1988" s="1101" t="s">
        <v>42</v>
      </c>
      <c r="L1988" s="1099"/>
      <c r="M1988" s="1099"/>
      <c r="N1988" s="1099"/>
      <c r="O1988" s="24" t="str">
        <f>E1988</f>
        <v>GARDENING SERVICES&amp;ISB HYDERABAD</v>
      </c>
      <c r="P1988" s="19"/>
      <c r="Q1988" s="19"/>
      <c r="R1988" s="19"/>
      <c r="S1988" s="16"/>
    </row>
    <row r="1989" spans="1:19">
      <c r="A1989" s="17"/>
      <c r="B1989" s="120"/>
      <c r="C1989" s="120"/>
      <c r="D1989" s="120"/>
      <c r="E1989" s="120"/>
      <c r="F1989" s="114"/>
      <c r="G1989" s="114"/>
      <c r="H1989" s="114"/>
      <c r="I1989" s="16"/>
      <c r="K1989" s="17"/>
      <c r="L1989" s="120"/>
      <c r="M1989" s="120"/>
      <c r="N1989" s="120"/>
      <c r="O1989" s="120"/>
      <c r="P1989" s="114"/>
      <c r="Q1989" s="114"/>
      <c r="R1989" s="114"/>
      <c r="S1989" s="16"/>
    </row>
    <row r="1990" spans="1:19">
      <c r="A1990" s="1101" t="s">
        <v>43</v>
      </c>
      <c r="B1990" s="1099"/>
      <c r="C1990" s="1099"/>
      <c r="D1990" s="1099"/>
      <c r="E1990" s="20">
        <f>Master!F10</f>
        <v>44652</v>
      </c>
      <c r="F1990" s="19"/>
      <c r="G1990" s="19"/>
      <c r="H1990" s="19"/>
      <c r="I1990" s="16"/>
      <c r="K1990" s="1101" t="s">
        <v>43</v>
      </c>
      <c r="L1990" s="1099"/>
      <c r="M1990" s="1099"/>
      <c r="N1990" s="1099"/>
      <c r="O1990" s="20">
        <f>E1990</f>
        <v>44652</v>
      </c>
      <c r="P1990" s="19"/>
      <c r="Q1990" s="19"/>
      <c r="R1990" s="19"/>
      <c r="S1990" s="16"/>
    </row>
    <row r="1991" spans="1:19">
      <c r="A1991" s="17"/>
      <c r="B1991" s="120"/>
      <c r="C1991" s="120"/>
      <c r="D1991" s="120"/>
      <c r="E1991" s="120"/>
      <c r="F1991" s="114"/>
      <c r="G1991" s="114"/>
      <c r="H1991" s="114"/>
      <c r="I1991" s="16"/>
      <c r="K1991" s="17"/>
      <c r="L1991" s="120"/>
      <c r="M1991" s="120"/>
      <c r="N1991" s="120"/>
      <c r="O1991" s="120"/>
      <c r="P1991" s="114"/>
      <c r="Q1991" s="114"/>
      <c r="R1991" s="114"/>
      <c r="S1991" s="16"/>
    </row>
    <row r="1992" spans="1:19">
      <c r="A1992" s="21">
        <v>1</v>
      </c>
      <c r="B1992" s="1099" t="s">
        <v>44</v>
      </c>
      <c r="C1992" s="1099"/>
      <c r="D1992" s="1099"/>
      <c r="E1992" s="22">
        <f>Master!AA61</f>
        <v>30</v>
      </c>
      <c r="F1992" s="19"/>
      <c r="G1992" s="19"/>
      <c r="H1992" s="19"/>
      <c r="I1992" s="16"/>
      <c r="K1992" s="21">
        <v>1</v>
      </c>
      <c r="L1992" s="1099" t="s">
        <v>44</v>
      </c>
      <c r="M1992" s="1099"/>
      <c r="N1992" s="1099"/>
      <c r="O1992" s="22">
        <f>E1992</f>
        <v>30</v>
      </c>
      <c r="P1992" s="19"/>
      <c r="Q1992" s="19"/>
      <c r="R1992" s="19"/>
      <c r="S1992" s="16"/>
    </row>
    <row r="1993" spans="1:19">
      <c r="A1993" s="21"/>
      <c r="B1993" s="120"/>
      <c r="C1993" s="120"/>
      <c r="D1993" s="120"/>
      <c r="E1993" s="120"/>
      <c r="F1993" s="114"/>
      <c r="G1993" s="114"/>
      <c r="H1993" s="114"/>
      <c r="I1993" s="16"/>
      <c r="K1993" s="21"/>
      <c r="L1993" s="120"/>
      <c r="M1993" s="120"/>
      <c r="N1993" s="120"/>
      <c r="O1993" s="120"/>
      <c r="P1993" s="114"/>
      <c r="Q1993" s="114"/>
      <c r="R1993" s="114"/>
      <c r="S1993" s="16"/>
    </row>
    <row r="1994" spans="1:19">
      <c r="A1994" s="21">
        <v>2</v>
      </c>
      <c r="B1994" s="1098" t="s">
        <v>45</v>
      </c>
      <c r="C1994" s="1098"/>
      <c r="D1994" s="1098"/>
      <c r="E1994" s="120"/>
      <c r="F1994" s="114"/>
      <c r="G1994" s="114"/>
      <c r="H1994" s="114"/>
      <c r="I1994" s="16"/>
      <c r="K1994" s="21">
        <v>2</v>
      </c>
      <c r="L1994" s="1098" t="s">
        <v>45</v>
      </c>
      <c r="M1994" s="1098"/>
      <c r="N1994" s="1098"/>
      <c r="O1994" s="120"/>
      <c r="P1994" s="114"/>
      <c r="Q1994" s="114"/>
      <c r="R1994" s="114"/>
      <c r="S1994" s="16"/>
    </row>
    <row r="1995" spans="1:19">
      <c r="A1995" s="21"/>
      <c r="B1995" s="1098"/>
      <c r="C1995" s="1098"/>
      <c r="D1995" s="1098"/>
      <c r="E1995" s="23" t="s">
        <v>28</v>
      </c>
      <c r="F1995" s="19"/>
      <c r="G1995" s="19"/>
      <c r="H1995" s="19"/>
      <c r="I1995" s="16"/>
      <c r="K1995" s="21"/>
      <c r="L1995" s="1098"/>
      <c r="M1995" s="1098"/>
      <c r="N1995" s="1098"/>
      <c r="O1995" s="23" t="s">
        <v>28</v>
      </c>
      <c r="P1995" s="19"/>
      <c r="Q1995" s="19"/>
      <c r="R1995" s="19"/>
      <c r="S1995" s="16"/>
    </row>
    <row r="1996" spans="1:19">
      <c r="A1996" s="21"/>
      <c r="B1996" s="120"/>
      <c r="C1996" s="120"/>
      <c r="D1996" s="120"/>
      <c r="E1996" s="120"/>
      <c r="F1996" s="114"/>
      <c r="G1996" s="114"/>
      <c r="H1996" s="114"/>
      <c r="I1996" s="16"/>
      <c r="K1996" s="21"/>
      <c r="L1996" s="120"/>
      <c r="M1996" s="120"/>
      <c r="N1996" s="120"/>
      <c r="O1996" s="120"/>
      <c r="P1996" s="114"/>
      <c r="Q1996" s="114"/>
      <c r="R1996" s="114"/>
      <c r="S1996" s="16"/>
    </row>
    <row r="1997" spans="1:19">
      <c r="A1997" s="21">
        <v>3</v>
      </c>
      <c r="B1997" s="1099" t="s">
        <v>46</v>
      </c>
      <c r="C1997" s="1099"/>
      <c r="D1997" s="1099"/>
      <c r="E1997" s="23" t="s">
        <v>28</v>
      </c>
      <c r="F1997" s="19"/>
      <c r="G1997" s="19"/>
      <c r="H1997" s="19"/>
      <c r="I1997" s="16"/>
      <c r="K1997" s="21">
        <v>3</v>
      </c>
      <c r="L1997" s="1099" t="s">
        <v>46</v>
      </c>
      <c r="M1997" s="1099"/>
      <c r="N1997" s="1099"/>
      <c r="O1997" s="18" t="str">
        <f>E1997</f>
        <v>N/A</v>
      </c>
      <c r="P1997" s="19"/>
      <c r="Q1997" s="19"/>
      <c r="R1997" s="19"/>
      <c r="S1997" s="16"/>
    </row>
    <row r="1998" spans="1:19">
      <c r="A1998" s="21"/>
      <c r="B1998" s="120"/>
      <c r="C1998" s="120"/>
      <c r="D1998" s="120"/>
      <c r="E1998" s="120"/>
      <c r="F1998" s="114"/>
      <c r="G1998" s="114"/>
      <c r="H1998" s="114"/>
      <c r="I1998" s="16"/>
      <c r="K1998" s="21"/>
      <c r="L1998" s="120"/>
      <c r="M1998" s="120"/>
      <c r="N1998" s="120"/>
      <c r="O1998" s="120"/>
      <c r="P1998" s="114"/>
      <c r="Q1998" s="114"/>
      <c r="R1998" s="114"/>
      <c r="S1998" s="16"/>
    </row>
    <row r="1999" spans="1:19">
      <c r="A1999" s="21">
        <v>4</v>
      </c>
      <c r="B1999" s="1099" t="s">
        <v>47</v>
      </c>
      <c r="C1999" s="1099"/>
      <c r="D1999" s="1099"/>
      <c r="E1999" s="23" t="s">
        <v>48</v>
      </c>
      <c r="F1999" s="19"/>
      <c r="G1999" s="19"/>
      <c r="H1999" s="19"/>
      <c r="I1999" s="16"/>
      <c r="K1999" s="21">
        <v>4</v>
      </c>
      <c r="L1999" s="1099" t="s">
        <v>47</v>
      </c>
      <c r="M1999" s="1099"/>
      <c r="N1999" s="1099"/>
      <c r="O1999" s="23" t="s">
        <v>48</v>
      </c>
      <c r="P1999" s="19"/>
      <c r="Q1999" s="19"/>
      <c r="R1999" s="19"/>
      <c r="S1999" s="16"/>
    </row>
    <row r="2000" spans="1:19">
      <c r="A2000" s="21"/>
      <c r="B2000" s="120"/>
      <c r="C2000" s="120"/>
      <c r="D2000" s="120"/>
      <c r="E2000" s="120"/>
      <c r="F2000" s="114"/>
      <c r="G2000" s="114"/>
      <c r="H2000" s="114"/>
      <c r="I2000" s="16"/>
      <c r="K2000" s="21"/>
      <c r="L2000" s="120"/>
      <c r="M2000" s="120"/>
      <c r="N2000" s="120"/>
      <c r="O2000" s="120"/>
      <c r="P2000" s="114"/>
      <c r="Q2000" s="114"/>
      <c r="R2000" s="114"/>
      <c r="S2000" s="16"/>
    </row>
    <row r="2001" spans="1:19">
      <c r="A2001" s="21">
        <v>5</v>
      </c>
      <c r="B2001" s="1099" t="s">
        <v>49</v>
      </c>
      <c r="C2001" s="1099"/>
      <c r="D2001" s="1099"/>
      <c r="E2001" s="24">
        <f>Master!AK61</f>
        <v>27800</v>
      </c>
      <c r="F2001" s="19"/>
      <c r="G2001" s="19"/>
      <c r="H2001" s="19"/>
      <c r="I2001" s="16"/>
      <c r="K2001" s="21">
        <v>5</v>
      </c>
      <c r="L2001" s="1099" t="s">
        <v>49</v>
      </c>
      <c r="M2001" s="1099"/>
      <c r="N2001" s="1099"/>
      <c r="O2001" s="24">
        <f>E2001</f>
        <v>27800</v>
      </c>
      <c r="P2001" s="19"/>
      <c r="Q2001" s="19"/>
      <c r="R2001" s="19"/>
      <c r="S2001" s="16"/>
    </row>
    <row r="2002" spans="1:19">
      <c r="A2002" s="21"/>
      <c r="B2002" s="120"/>
      <c r="C2002" s="120"/>
      <c r="D2002" s="238" t="s">
        <v>50</v>
      </c>
      <c r="E2002" s="238" t="s">
        <v>23</v>
      </c>
      <c r="F2002" s="136" t="s">
        <v>25</v>
      </c>
      <c r="G2002" s="238" t="s">
        <v>26</v>
      </c>
      <c r="H2002" s="238" t="s">
        <v>202</v>
      </c>
      <c r="I2002" s="126" t="s">
        <v>51</v>
      </c>
      <c r="K2002" s="21"/>
      <c r="L2002" s="120"/>
      <c r="M2002" s="120"/>
      <c r="N2002" s="238" t="s">
        <v>50</v>
      </c>
      <c r="O2002" s="238" t="s">
        <v>23</v>
      </c>
      <c r="P2002" s="136" t="s">
        <v>25</v>
      </c>
      <c r="Q2002" s="238" t="s">
        <v>26</v>
      </c>
      <c r="R2002" s="238" t="str">
        <f>H2002</f>
        <v>ADV</v>
      </c>
      <c r="S2002" s="126" t="s">
        <v>51</v>
      </c>
    </row>
    <row r="2003" spans="1:19">
      <c r="A2003" s="21">
        <v>6</v>
      </c>
      <c r="B2003" s="468" t="s">
        <v>52</v>
      </c>
      <c r="C2003" s="468"/>
      <c r="D2003" s="335">
        <f>Master!AM61</f>
        <v>1800</v>
      </c>
      <c r="E2003" s="335">
        <f>Master!AL61</f>
        <v>0</v>
      </c>
      <c r="F2003" s="180">
        <f>Master!AN61</f>
        <v>200</v>
      </c>
      <c r="G2003" s="180">
        <f>Master!AO61</f>
        <v>0</v>
      </c>
      <c r="H2003" s="180">
        <f>Master!AP61</f>
        <v>0</v>
      </c>
      <c r="I2003" s="127">
        <f>D2003+E2003+F2003+G2003+H2003</f>
        <v>2000</v>
      </c>
      <c r="K2003" s="21">
        <v>6</v>
      </c>
      <c r="L2003" s="468" t="s">
        <v>52</v>
      </c>
      <c r="M2003" s="468"/>
      <c r="N2003" s="335">
        <f>D2003</f>
        <v>1800</v>
      </c>
      <c r="O2003" s="335">
        <f>E2003</f>
        <v>0</v>
      </c>
      <c r="P2003" s="180">
        <f>F2003</f>
        <v>200</v>
      </c>
      <c r="Q2003" s="180">
        <f>G2003</f>
        <v>0</v>
      </c>
      <c r="R2003" s="180">
        <f>H2003</f>
        <v>0</v>
      </c>
      <c r="S2003" s="127">
        <f>N2003+O2003+R2003</f>
        <v>1800</v>
      </c>
    </row>
    <row r="2004" spans="1:19">
      <c r="A2004" s="21"/>
      <c r="B2004" s="120"/>
      <c r="C2004" s="120"/>
      <c r="D2004" s="120"/>
      <c r="E2004" s="120"/>
      <c r="F2004" s="114"/>
      <c r="G2004" s="114"/>
      <c r="H2004" s="114"/>
      <c r="I2004" s="16"/>
      <c r="K2004" s="21"/>
      <c r="L2004" s="120"/>
      <c r="M2004" s="120"/>
      <c r="N2004" s="120"/>
      <c r="O2004" s="120"/>
      <c r="P2004" s="114"/>
      <c r="Q2004" s="114"/>
      <c r="R2004" s="114"/>
      <c r="S2004" s="16"/>
    </row>
    <row r="2005" spans="1:19">
      <c r="A2005" s="21">
        <v>7</v>
      </c>
      <c r="B2005" s="1099" t="s">
        <v>53</v>
      </c>
      <c r="C2005" s="1099"/>
      <c r="D2005" s="1099"/>
      <c r="E2005" s="24">
        <f>E2001-I2003</f>
        <v>25800</v>
      </c>
      <c r="F2005" s="19"/>
      <c r="G2005" s="19"/>
      <c r="H2005" s="19"/>
      <c r="I2005" s="16"/>
      <c r="K2005" s="21">
        <v>7</v>
      </c>
      <c r="L2005" s="1099" t="s">
        <v>53</v>
      </c>
      <c r="M2005" s="1099"/>
      <c r="N2005" s="1099"/>
      <c r="O2005" s="24">
        <f>E2005</f>
        <v>25800</v>
      </c>
      <c r="P2005" s="19"/>
      <c r="Q2005" s="19"/>
      <c r="R2005" s="19"/>
      <c r="S2005" s="16"/>
    </row>
    <row r="2006" spans="1:19">
      <c r="A2006" s="15"/>
      <c r="B2006" s="114"/>
      <c r="C2006" s="114"/>
      <c r="D2006" s="114"/>
      <c r="E2006" s="114"/>
      <c r="F2006" s="114"/>
      <c r="G2006" s="114"/>
      <c r="H2006" s="114"/>
      <c r="I2006" s="16"/>
      <c r="K2006" s="15"/>
      <c r="L2006" s="114"/>
      <c r="M2006" s="114"/>
      <c r="N2006" s="114"/>
      <c r="O2006" s="114"/>
      <c r="P2006" s="114"/>
      <c r="Q2006" s="114"/>
      <c r="R2006" s="114"/>
      <c r="S2006" s="16"/>
    </row>
    <row r="2007" spans="1:19">
      <c r="A2007" s="15"/>
      <c r="B2007" s="114"/>
      <c r="C2007" s="114"/>
      <c r="D2007" s="114"/>
      <c r="E2007" s="114"/>
      <c r="F2007" s="114"/>
      <c r="G2007" s="114"/>
      <c r="H2007" s="114"/>
      <c r="I2007" s="16"/>
      <c r="K2007" s="15"/>
      <c r="L2007" s="114"/>
      <c r="M2007" s="114"/>
      <c r="N2007" s="114"/>
      <c r="O2007" s="114"/>
      <c r="P2007" s="114"/>
      <c r="Q2007" s="114"/>
      <c r="R2007" s="114"/>
      <c r="S2007" s="16"/>
    </row>
    <row r="2008" spans="1:19" ht="15" thickBot="1">
      <c r="A2008" s="15"/>
      <c r="B2008" s="114"/>
      <c r="C2008" s="114"/>
      <c r="D2008" s="114"/>
      <c r="E2008" s="114"/>
      <c r="F2008" s="25"/>
      <c r="G2008" s="25"/>
      <c r="H2008" s="25"/>
      <c r="I2008" s="26"/>
      <c r="K2008" s="15"/>
      <c r="L2008" s="114"/>
      <c r="M2008" s="114"/>
      <c r="N2008" s="114"/>
      <c r="O2008" s="114"/>
      <c r="P2008" s="25"/>
      <c r="Q2008" s="25"/>
      <c r="R2008" s="25"/>
      <c r="S2008" s="26"/>
    </row>
    <row r="2009" spans="1:19" ht="15" thickBot="1">
      <c r="A2009" s="27"/>
      <c r="B2009" s="25"/>
      <c r="C2009" s="25"/>
      <c r="D2009" s="25"/>
      <c r="E2009" s="999" t="s">
        <v>54</v>
      </c>
      <c r="F2009" s="999"/>
      <c r="G2009" s="999"/>
      <c r="H2009" s="999"/>
      <c r="I2009" s="1100"/>
      <c r="K2009" s="27"/>
      <c r="L2009" s="25"/>
      <c r="M2009" s="25"/>
      <c r="N2009" s="25"/>
      <c r="O2009" s="28" t="s">
        <v>54</v>
      </c>
      <c r="P2009" s="25"/>
      <c r="Q2009" s="28"/>
      <c r="R2009" s="28"/>
      <c r="S2009" s="29"/>
    </row>
    <row r="2021" spans="1:19" ht="15" thickBot="1"/>
    <row r="2022" spans="1:19" ht="24.6">
      <c r="A2022" s="1091" t="s">
        <v>39</v>
      </c>
      <c r="B2022" s="1092"/>
      <c r="C2022" s="1092"/>
      <c r="D2022" s="1092"/>
      <c r="E2022" s="1092"/>
      <c r="F2022" s="1092"/>
      <c r="G2022" s="1092"/>
      <c r="H2022" s="1092"/>
      <c r="I2022" s="1093"/>
      <c r="K2022" s="1091" t="s">
        <v>39</v>
      </c>
      <c r="L2022" s="1092"/>
      <c r="M2022" s="1092"/>
      <c r="N2022" s="1092"/>
      <c r="O2022" s="1092"/>
      <c r="P2022" s="1092"/>
      <c r="Q2022" s="1092"/>
      <c r="R2022" s="1092"/>
      <c r="S2022" s="1093"/>
    </row>
    <row r="2023" spans="1:19">
      <c r="A2023" s="1094" t="s">
        <v>1075</v>
      </c>
      <c r="B2023" s="1095"/>
      <c r="C2023" s="1095"/>
      <c r="D2023" s="1095"/>
      <c r="E2023" s="1095"/>
      <c r="F2023" s="1095"/>
      <c r="G2023" s="1095"/>
      <c r="H2023" s="1095"/>
      <c r="I2023" s="1096"/>
      <c r="K2023" s="1094" t="str">
        <f>A2023</f>
        <v>[Vide rule 78 (1) (b) of the Contract Labour (Regulation and Abolition) Central and A.P.{T.S.}Rules, 1971]</v>
      </c>
      <c r="L2023" s="1095"/>
      <c r="M2023" s="1095"/>
      <c r="N2023" s="1095"/>
      <c r="O2023" s="1095"/>
      <c r="P2023" s="1095"/>
      <c r="Q2023" s="1095"/>
      <c r="R2023" s="1095"/>
      <c r="S2023" s="1096"/>
    </row>
    <row r="2024" spans="1:19">
      <c r="A2024" s="15"/>
      <c r="B2024" s="114"/>
      <c r="C2024" s="114"/>
      <c r="D2024" s="114"/>
      <c r="E2024" s="114"/>
      <c r="F2024" s="114"/>
      <c r="G2024" s="114"/>
      <c r="H2024" s="114"/>
      <c r="I2024" s="16"/>
      <c r="K2024" s="15"/>
      <c r="L2024" s="114"/>
      <c r="M2024" s="114"/>
      <c r="N2024" s="114"/>
      <c r="O2024" s="114"/>
      <c r="P2024" s="114"/>
      <c r="Q2024" s="114"/>
      <c r="R2024" s="114"/>
      <c r="S2024" s="16"/>
    </row>
    <row r="2025" spans="1:19">
      <c r="A2025" s="17" t="s">
        <v>40</v>
      </c>
      <c r="B2025" s="120"/>
      <c r="C2025" s="120"/>
      <c r="D2025" s="121" t="str">
        <f>Master!F5</f>
        <v>GROTECH LANDSCAPE DEVELOPERS PVT. LTD.</v>
      </c>
      <c r="E2025" s="114"/>
      <c r="F2025" s="114"/>
      <c r="G2025" s="114"/>
      <c r="H2025" s="114"/>
      <c r="I2025" s="16"/>
      <c r="K2025" s="17" t="s">
        <v>40</v>
      </c>
      <c r="L2025" s="120"/>
      <c r="M2025" s="120"/>
      <c r="N2025" s="121" t="str">
        <f>D2025</f>
        <v>GROTECH LANDSCAPE DEVELOPERS PVT. LTD.</v>
      </c>
      <c r="O2025" s="114"/>
      <c r="P2025" s="114"/>
      <c r="Q2025" s="114"/>
      <c r="R2025" s="114"/>
      <c r="S2025" s="16"/>
    </row>
    <row r="2026" spans="1:19">
      <c r="A2026" s="17"/>
      <c r="B2026" s="120" t="str">
        <f>Master!F6</f>
        <v>290/E, Khanapur Village, Gandipet Mandal, Ranga Reddy, Hyderabad-500075 T.S.</v>
      </c>
      <c r="C2026" s="120"/>
      <c r="D2026" s="114"/>
      <c r="E2026" s="114"/>
      <c r="F2026" s="114"/>
      <c r="G2026" s="114"/>
      <c r="H2026" s="114"/>
      <c r="I2026" s="16"/>
      <c r="K2026" s="17"/>
      <c r="L2026" s="120" t="str">
        <f>B2026</f>
        <v>290/E, Khanapur Village, Gandipet Mandal, Ranga Reddy, Hyderabad-500075 T.S.</v>
      </c>
      <c r="M2026" s="120"/>
      <c r="N2026" s="114"/>
      <c r="O2026" s="114"/>
      <c r="P2026" s="114"/>
      <c r="Q2026" s="114"/>
      <c r="R2026" s="114"/>
      <c r="S2026" s="16"/>
    </row>
    <row r="2027" spans="1:19">
      <c r="A2027" s="17"/>
      <c r="B2027" s="120"/>
      <c r="C2027" s="120"/>
      <c r="D2027" s="120"/>
      <c r="E2027" s="120"/>
      <c r="F2027" s="114"/>
      <c r="G2027" s="114"/>
      <c r="H2027" s="114"/>
      <c r="I2027" s="16"/>
      <c r="K2027" s="17"/>
      <c r="L2027" s="120"/>
      <c r="M2027" s="120"/>
      <c r="N2027" s="120"/>
      <c r="O2027" s="120"/>
      <c r="P2027" s="114"/>
      <c r="Q2027" s="114"/>
      <c r="R2027" s="114"/>
      <c r="S2027" s="16"/>
    </row>
    <row r="2028" spans="1:19">
      <c r="A2028" s="1097" t="s">
        <v>41</v>
      </c>
      <c r="B2028" s="1098"/>
      <c r="C2028" s="1098"/>
      <c r="D2028" s="1098"/>
      <c r="E2028" s="120"/>
      <c r="F2028" s="114"/>
      <c r="G2028" s="114"/>
      <c r="H2028" s="114"/>
      <c r="I2028" s="16"/>
      <c r="K2028" s="1097" t="s">
        <v>41</v>
      </c>
      <c r="L2028" s="1098"/>
      <c r="M2028" s="1098"/>
      <c r="N2028" s="1098"/>
      <c r="O2028" s="120"/>
      <c r="P2028" s="114"/>
      <c r="Q2028" s="114"/>
      <c r="R2028" s="114"/>
      <c r="S2028" s="16"/>
    </row>
    <row r="2029" spans="1:19">
      <c r="A2029" s="1097"/>
      <c r="B2029" s="1098"/>
      <c r="C2029" s="1098"/>
      <c r="D2029" s="1098"/>
      <c r="E2029" s="128" t="str">
        <f>Master!D62</f>
        <v>Bakkani Mallaiah</v>
      </c>
      <c r="F2029" s="19"/>
      <c r="G2029" s="19"/>
      <c r="H2029" s="19" t="str">
        <f>Master!G62</f>
        <v>BAKKANI HANMAIH</v>
      </c>
      <c r="I2029" s="16"/>
      <c r="K2029" s="1097"/>
      <c r="L2029" s="1098"/>
      <c r="M2029" s="1098"/>
      <c r="N2029" s="1098"/>
      <c r="O2029" s="18" t="str">
        <f>E2029</f>
        <v>Bakkani Mallaiah</v>
      </c>
      <c r="P2029" s="19"/>
      <c r="Q2029" s="19"/>
      <c r="R2029" s="19" t="str">
        <f>H2029</f>
        <v>BAKKANI HANMAIH</v>
      </c>
      <c r="S2029" s="16"/>
    </row>
    <row r="2030" spans="1:19">
      <c r="A2030" s="17"/>
      <c r="B2030" s="120"/>
      <c r="C2030" s="120"/>
      <c r="D2030" s="120"/>
      <c r="E2030" s="120"/>
      <c r="F2030" s="114"/>
      <c r="G2030" s="114"/>
      <c r="H2030" s="114"/>
      <c r="I2030" s="16"/>
      <c r="K2030" s="17"/>
      <c r="L2030" s="120"/>
      <c r="M2030" s="120"/>
      <c r="N2030" s="120"/>
      <c r="O2030" s="120"/>
      <c r="P2030" s="114"/>
      <c r="Q2030" s="114"/>
      <c r="R2030" s="114"/>
      <c r="S2030" s="16"/>
    </row>
    <row r="2031" spans="1:19">
      <c r="A2031" s="1101" t="s">
        <v>42</v>
      </c>
      <c r="B2031" s="1099"/>
      <c r="C2031" s="1099"/>
      <c r="D2031" s="1099"/>
      <c r="E2031" s="24" t="str">
        <f>Master!F8</f>
        <v>GARDENING SERVICES&amp;ISB HYDERABAD</v>
      </c>
      <c r="F2031" s="19"/>
      <c r="G2031" s="19"/>
      <c r="H2031" s="19"/>
      <c r="I2031" s="16"/>
      <c r="K2031" s="1101" t="s">
        <v>42</v>
      </c>
      <c r="L2031" s="1099"/>
      <c r="M2031" s="1099"/>
      <c r="N2031" s="1099"/>
      <c r="O2031" s="24" t="str">
        <f>E2031</f>
        <v>GARDENING SERVICES&amp;ISB HYDERABAD</v>
      </c>
      <c r="P2031" s="19"/>
      <c r="Q2031" s="19"/>
      <c r="R2031" s="19"/>
      <c r="S2031" s="16"/>
    </row>
    <row r="2032" spans="1:19">
      <c r="A2032" s="17"/>
      <c r="B2032" s="120"/>
      <c r="C2032" s="120"/>
      <c r="D2032" s="120"/>
      <c r="E2032" s="120"/>
      <c r="F2032" s="114"/>
      <c r="G2032" s="114"/>
      <c r="H2032" s="114"/>
      <c r="I2032" s="16"/>
      <c r="K2032" s="17"/>
      <c r="L2032" s="120"/>
      <c r="M2032" s="120"/>
      <c r="N2032" s="120"/>
      <c r="O2032" s="120"/>
      <c r="P2032" s="114"/>
      <c r="Q2032" s="114"/>
      <c r="R2032" s="114"/>
      <c r="S2032" s="16"/>
    </row>
    <row r="2033" spans="1:19">
      <c r="A2033" s="1101" t="s">
        <v>43</v>
      </c>
      <c r="B2033" s="1099"/>
      <c r="C2033" s="1099"/>
      <c r="D2033" s="1099"/>
      <c r="E2033" s="20">
        <f>Master!F10</f>
        <v>44652</v>
      </c>
      <c r="F2033" s="19"/>
      <c r="G2033" s="19"/>
      <c r="H2033" s="19"/>
      <c r="I2033" s="16"/>
      <c r="K2033" s="1101" t="s">
        <v>43</v>
      </c>
      <c r="L2033" s="1099"/>
      <c r="M2033" s="1099"/>
      <c r="N2033" s="1099"/>
      <c r="O2033" s="20">
        <f>E2033</f>
        <v>44652</v>
      </c>
      <c r="P2033" s="19"/>
      <c r="Q2033" s="19"/>
      <c r="R2033" s="19"/>
      <c r="S2033" s="16"/>
    </row>
    <row r="2034" spans="1:19">
      <c r="A2034" s="17"/>
      <c r="B2034" s="120"/>
      <c r="C2034" s="120"/>
      <c r="D2034" s="120"/>
      <c r="E2034" s="120"/>
      <c r="F2034" s="114"/>
      <c r="G2034" s="114"/>
      <c r="H2034" s="114"/>
      <c r="I2034" s="16"/>
      <c r="K2034" s="17"/>
      <c r="L2034" s="120"/>
      <c r="M2034" s="120"/>
      <c r="N2034" s="120"/>
      <c r="O2034" s="120"/>
      <c r="P2034" s="114"/>
      <c r="Q2034" s="114"/>
      <c r="R2034" s="114"/>
      <c r="S2034" s="16"/>
    </row>
    <row r="2035" spans="1:19">
      <c r="A2035" s="21">
        <v>1</v>
      </c>
      <c r="B2035" s="1099" t="s">
        <v>44</v>
      </c>
      <c r="C2035" s="1099"/>
      <c r="D2035" s="1099"/>
      <c r="E2035" s="22">
        <f>Master!AA62</f>
        <v>26</v>
      </c>
      <c r="F2035" s="19"/>
      <c r="G2035" s="19"/>
      <c r="H2035" s="19"/>
      <c r="I2035" s="16"/>
      <c r="K2035" s="21">
        <v>1</v>
      </c>
      <c r="L2035" s="1099" t="s">
        <v>44</v>
      </c>
      <c r="M2035" s="1099"/>
      <c r="N2035" s="1099"/>
      <c r="O2035" s="22">
        <f>E2035</f>
        <v>26</v>
      </c>
      <c r="P2035" s="19"/>
      <c r="Q2035" s="19"/>
      <c r="R2035" s="19"/>
      <c r="S2035" s="16"/>
    </row>
    <row r="2036" spans="1:19">
      <c r="A2036" s="21"/>
      <c r="B2036" s="120"/>
      <c r="C2036" s="120"/>
      <c r="D2036" s="120"/>
      <c r="E2036" s="120"/>
      <c r="F2036" s="114"/>
      <c r="G2036" s="114"/>
      <c r="H2036" s="114"/>
      <c r="I2036" s="16"/>
      <c r="K2036" s="21"/>
      <c r="L2036" s="120"/>
      <c r="M2036" s="120"/>
      <c r="N2036" s="120"/>
      <c r="O2036" s="120"/>
      <c r="P2036" s="114"/>
      <c r="Q2036" s="114"/>
      <c r="R2036" s="114"/>
      <c r="S2036" s="16"/>
    </row>
    <row r="2037" spans="1:19">
      <c r="A2037" s="21">
        <v>2</v>
      </c>
      <c r="B2037" s="1098" t="s">
        <v>45</v>
      </c>
      <c r="C2037" s="1098"/>
      <c r="D2037" s="1098"/>
      <c r="E2037" s="120"/>
      <c r="F2037" s="114"/>
      <c r="G2037" s="114"/>
      <c r="H2037" s="114"/>
      <c r="I2037" s="16"/>
      <c r="K2037" s="21">
        <v>2</v>
      </c>
      <c r="L2037" s="1098" t="s">
        <v>45</v>
      </c>
      <c r="M2037" s="1098"/>
      <c r="N2037" s="1098"/>
      <c r="O2037" s="120"/>
      <c r="P2037" s="114"/>
      <c r="Q2037" s="114"/>
      <c r="R2037" s="114"/>
      <c r="S2037" s="16"/>
    </row>
    <row r="2038" spans="1:19">
      <c r="A2038" s="21"/>
      <c r="B2038" s="1098"/>
      <c r="C2038" s="1098"/>
      <c r="D2038" s="1098"/>
      <c r="E2038" s="23" t="s">
        <v>28</v>
      </c>
      <c r="F2038" s="19"/>
      <c r="G2038" s="19"/>
      <c r="H2038" s="19"/>
      <c r="I2038" s="16"/>
      <c r="K2038" s="21"/>
      <c r="L2038" s="1098"/>
      <c r="M2038" s="1098"/>
      <c r="N2038" s="1098"/>
      <c r="O2038" s="23" t="s">
        <v>28</v>
      </c>
      <c r="P2038" s="19"/>
      <c r="Q2038" s="19"/>
      <c r="R2038" s="19"/>
      <c r="S2038" s="16"/>
    </row>
    <row r="2039" spans="1:19">
      <c r="A2039" s="21"/>
      <c r="B2039" s="120"/>
      <c r="C2039" s="120"/>
      <c r="D2039" s="120"/>
      <c r="E2039" s="120"/>
      <c r="F2039" s="114"/>
      <c r="G2039" s="114"/>
      <c r="H2039" s="114"/>
      <c r="I2039" s="16"/>
      <c r="K2039" s="21"/>
      <c r="L2039" s="120"/>
      <c r="M2039" s="120"/>
      <c r="N2039" s="120"/>
      <c r="O2039" s="120"/>
      <c r="P2039" s="114"/>
      <c r="Q2039" s="114"/>
      <c r="R2039" s="114"/>
      <c r="S2039" s="16"/>
    </row>
    <row r="2040" spans="1:19">
      <c r="A2040" s="21">
        <v>3</v>
      </c>
      <c r="B2040" s="1099" t="s">
        <v>46</v>
      </c>
      <c r="C2040" s="1099"/>
      <c r="D2040" s="1099"/>
      <c r="E2040" s="23" t="s">
        <v>28</v>
      </c>
      <c r="F2040" s="19"/>
      <c r="G2040" s="19"/>
      <c r="H2040" s="19"/>
      <c r="I2040" s="16"/>
      <c r="K2040" s="21">
        <v>3</v>
      </c>
      <c r="L2040" s="1099" t="s">
        <v>46</v>
      </c>
      <c r="M2040" s="1099"/>
      <c r="N2040" s="1099"/>
      <c r="O2040" s="18" t="str">
        <f>E2040</f>
        <v>N/A</v>
      </c>
      <c r="P2040" s="19"/>
      <c r="Q2040" s="19"/>
      <c r="R2040" s="19"/>
      <c r="S2040" s="16"/>
    </row>
    <row r="2041" spans="1:19">
      <c r="A2041" s="21"/>
      <c r="B2041" s="120"/>
      <c r="C2041" s="120"/>
      <c r="D2041" s="120"/>
      <c r="E2041" s="120"/>
      <c r="F2041" s="114"/>
      <c r="G2041" s="114"/>
      <c r="H2041" s="114"/>
      <c r="I2041" s="16"/>
      <c r="K2041" s="21"/>
      <c r="L2041" s="120"/>
      <c r="M2041" s="120"/>
      <c r="N2041" s="120"/>
      <c r="O2041" s="120"/>
      <c r="P2041" s="114"/>
      <c r="Q2041" s="114"/>
      <c r="R2041" s="114"/>
      <c r="S2041" s="16"/>
    </row>
    <row r="2042" spans="1:19">
      <c r="A2042" s="21">
        <v>4</v>
      </c>
      <c r="B2042" s="1099" t="s">
        <v>47</v>
      </c>
      <c r="C2042" s="1099"/>
      <c r="D2042" s="1099"/>
      <c r="E2042" s="23" t="s">
        <v>48</v>
      </c>
      <c r="F2042" s="19"/>
      <c r="G2042" s="19"/>
      <c r="H2042" s="19"/>
      <c r="I2042" s="16"/>
      <c r="K2042" s="21">
        <v>4</v>
      </c>
      <c r="L2042" s="1099" t="s">
        <v>47</v>
      </c>
      <c r="M2042" s="1099"/>
      <c r="N2042" s="1099"/>
      <c r="O2042" s="23" t="s">
        <v>48</v>
      </c>
      <c r="P2042" s="19"/>
      <c r="Q2042" s="19"/>
      <c r="R2042" s="19"/>
      <c r="S2042" s="16"/>
    </row>
    <row r="2043" spans="1:19">
      <c r="A2043" s="21"/>
      <c r="B2043" s="120"/>
      <c r="C2043" s="120"/>
      <c r="D2043" s="120"/>
      <c r="E2043" s="120"/>
      <c r="F2043" s="114"/>
      <c r="G2043" s="114"/>
      <c r="H2043" s="114"/>
      <c r="I2043" s="16"/>
      <c r="K2043" s="21"/>
      <c r="L2043" s="120"/>
      <c r="M2043" s="120"/>
      <c r="N2043" s="120"/>
      <c r="O2043" s="120"/>
      <c r="P2043" s="114"/>
      <c r="Q2043" s="114"/>
      <c r="R2043" s="114"/>
      <c r="S2043" s="16"/>
    </row>
    <row r="2044" spans="1:19">
      <c r="A2044" s="21">
        <v>5</v>
      </c>
      <c r="B2044" s="1099" t="s">
        <v>49</v>
      </c>
      <c r="C2044" s="1099"/>
      <c r="D2044" s="1099"/>
      <c r="E2044" s="24">
        <f>Master!AK62</f>
        <v>11919.599999999999</v>
      </c>
      <c r="F2044" s="19"/>
      <c r="G2044" s="19"/>
      <c r="H2044" s="19"/>
      <c r="I2044" s="16"/>
      <c r="K2044" s="21">
        <v>5</v>
      </c>
      <c r="L2044" s="1099" t="s">
        <v>49</v>
      </c>
      <c r="M2044" s="1099"/>
      <c r="N2044" s="1099"/>
      <c r="O2044" s="24">
        <f>E2044</f>
        <v>11919.599999999999</v>
      </c>
      <c r="P2044" s="19"/>
      <c r="Q2044" s="19"/>
      <c r="R2044" s="19"/>
      <c r="S2044" s="16"/>
    </row>
    <row r="2045" spans="1:19">
      <c r="A2045" s="21"/>
      <c r="B2045" s="120"/>
      <c r="C2045" s="120"/>
      <c r="D2045" s="238" t="s">
        <v>50</v>
      </c>
      <c r="E2045" s="238" t="s">
        <v>23</v>
      </c>
      <c r="F2045" s="136" t="s">
        <v>25</v>
      </c>
      <c r="G2045" s="238" t="s">
        <v>26</v>
      </c>
      <c r="H2045" s="238" t="s">
        <v>202</v>
      </c>
      <c r="I2045" s="126" t="s">
        <v>51</v>
      </c>
      <c r="K2045" s="21"/>
      <c r="L2045" s="120"/>
      <c r="M2045" s="120"/>
      <c r="N2045" s="238" t="s">
        <v>50</v>
      </c>
      <c r="O2045" s="238" t="s">
        <v>23</v>
      </c>
      <c r="P2045" s="136" t="s">
        <v>25</v>
      </c>
      <c r="Q2045" s="238" t="s">
        <v>26</v>
      </c>
      <c r="R2045" s="238" t="str">
        <f>H2045</f>
        <v>ADV</v>
      </c>
      <c r="S2045" s="126" t="s">
        <v>51</v>
      </c>
    </row>
    <row r="2046" spans="1:19">
      <c r="A2046" s="21">
        <v>6</v>
      </c>
      <c r="B2046" s="468" t="s">
        <v>52</v>
      </c>
      <c r="C2046" s="468"/>
      <c r="D2046" s="335">
        <f>Master!AM62</f>
        <v>1430</v>
      </c>
      <c r="E2046" s="335">
        <f>Master!AL62</f>
        <v>90</v>
      </c>
      <c r="F2046" s="180">
        <f>Master!AN62</f>
        <v>0</v>
      </c>
      <c r="G2046" s="180">
        <f>Master!AO62</f>
        <v>0</v>
      </c>
      <c r="H2046" s="180">
        <f>Master!AP62</f>
        <v>0</v>
      </c>
      <c r="I2046" s="127">
        <f>D2046+E2046+F2046+G2046+H2046</f>
        <v>1520</v>
      </c>
      <c r="K2046" s="21">
        <v>6</v>
      </c>
      <c r="L2046" s="468" t="s">
        <v>52</v>
      </c>
      <c r="M2046" s="468"/>
      <c r="N2046" s="335">
        <f>D2046</f>
        <v>1430</v>
      </c>
      <c r="O2046" s="335">
        <f>E2046</f>
        <v>90</v>
      </c>
      <c r="P2046" s="180">
        <f>F2046</f>
        <v>0</v>
      </c>
      <c r="Q2046" s="180">
        <f>G2046</f>
        <v>0</v>
      </c>
      <c r="R2046" s="180">
        <f>H2046</f>
        <v>0</v>
      </c>
      <c r="S2046" s="127">
        <f>N2046+O2046+R2046</f>
        <v>1520</v>
      </c>
    </row>
    <row r="2047" spans="1:19">
      <c r="A2047" s="21"/>
      <c r="B2047" s="120"/>
      <c r="C2047" s="120"/>
      <c r="D2047" s="120"/>
      <c r="E2047" s="120"/>
      <c r="F2047" s="114"/>
      <c r="G2047" s="114"/>
      <c r="H2047" s="114"/>
      <c r="I2047" s="16"/>
      <c r="K2047" s="21"/>
      <c r="L2047" s="120"/>
      <c r="M2047" s="120"/>
      <c r="N2047" s="120"/>
      <c r="O2047" s="120"/>
      <c r="P2047" s="114"/>
      <c r="Q2047" s="114"/>
      <c r="R2047" s="114"/>
      <c r="S2047" s="16"/>
    </row>
    <row r="2048" spans="1:19">
      <c r="A2048" s="21">
        <v>7</v>
      </c>
      <c r="B2048" s="1099" t="s">
        <v>53</v>
      </c>
      <c r="C2048" s="1099"/>
      <c r="D2048" s="1099"/>
      <c r="E2048" s="24">
        <f>E2044-I2046+2</f>
        <v>10401.599999999999</v>
      </c>
      <c r="F2048" s="19"/>
      <c r="G2048" s="19"/>
      <c r="H2048" s="19"/>
      <c r="I2048" s="16"/>
      <c r="K2048" s="21">
        <v>7</v>
      </c>
      <c r="L2048" s="1099" t="s">
        <v>53</v>
      </c>
      <c r="M2048" s="1099"/>
      <c r="N2048" s="1099"/>
      <c r="O2048" s="24">
        <f>E2048</f>
        <v>10401.599999999999</v>
      </c>
      <c r="P2048" s="19"/>
      <c r="Q2048" s="19"/>
      <c r="R2048" s="19"/>
      <c r="S2048" s="16"/>
    </row>
    <row r="2049" spans="1:19">
      <c r="A2049" s="15"/>
      <c r="B2049" s="114"/>
      <c r="C2049" s="114"/>
      <c r="D2049" s="114"/>
      <c r="E2049" s="114"/>
      <c r="F2049" s="114"/>
      <c r="G2049" s="114"/>
      <c r="H2049" s="114"/>
      <c r="I2049" s="16"/>
      <c r="K2049" s="15"/>
      <c r="L2049" s="114"/>
      <c r="M2049" s="114"/>
      <c r="N2049" s="114"/>
      <c r="O2049" s="114"/>
      <c r="P2049" s="114"/>
      <c r="Q2049" s="114"/>
      <c r="R2049" s="114"/>
      <c r="S2049" s="16"/>
    </row>
    <row r="2050" spans="1:19">
      <c r="A2050" s="15"/>
      <c r="B2050" s="114"/>
      <c r="C2050" s="114"/>
      <c r="D2050" s="114"/>
      <c r="E2050" s="114"/>
      <c r="F2050" s="114"/>
      <c r="G2050" s="114"/>
      <c r="H2050" s="114"/>
      <c r="I2050" s="16"/>
      <c r="K2050" s="15"/>
      <c r="L2050" s="114"/>
      <c r="M2050" s="114"/>
      <c r="N2050" s="114"/>
      <c r="O2050" s="114"/>
      <c r="P2050" s="114"/>
      <c r="Q2050" s="114"/>
      <c r="R2050" s="114"/>
      <c r="S2050" s="16"/>
    </row>
    <row r="2051" spans="1:19" ht="15" thickBot="1">
      <c r="A2051" s="15"/>
      <c r="B2051" s="114"/>
      <c r="C2051" s="114"/>
      <c r="D2051" s="114"/>
      <c r="E2051" s="114"/>
      <c r="F2051" s="25"/>
      <c r="G2051" s="25"/>
      <c r="H2051" s="25"/>
      <c r="I2051" s="26"/>
      <c r="K2051" s="15"/>
      <c r="L2051" s="114"/>
      <c r="M2051" s="114"/>
      <c r="N2051" s="114"/>
      <c r="O2051" s="114"/>
      <c r="P2051" s="25"/>
      <c r="Q2051" s="25"/>
      <c r="R2051" s="25"/>
      <c r="S2051" s="26"/>
    </row>
    <row r="2052" spans="1:19" ht="15" thickBot="1">
      <c r="A2052" s="27"/>
      <c r="B2052" s="25"/>
      <c r="C2052" s="25"/>
      <c r="D2052" s="25"/>
      <c r="E2052" s="999" t="s">
        <v>54</v>
      </c>
      <c r="F2052" s="999"/>
      <c r="G2052" s="999"/>
      <c r="H2052" s="999"/>
      <c r="I2052" s="1100"/>
      <c r="K2052" s="27"/>
      <c r="L2052" s="25"/>
      <c r="M2052" s="25"/>
      <c r="N2052" s="25"/>
      <c r="O2052" s="28" t="s">
        <v>54</v>
      </c>
      <c r="P2052" s="25"/>
      <c r="Q2052" s="28"/>
      <c r="R2052" s="28"/>
      <c r="S2052" s="29"/>
    </row>
    <row r="2064" spans="1:19" ht="15" thickBot="1"/>
    <row r="2065" spans="1:19" ht="24.6">
      <c r="A2065" s="1091" t="s">
        <v>39</v>
      </c>
      <c r="B2065" s="1092"/>
      <c r="C2065" s="1092"/>
      <c r="D2065" s="1092"/>
      <c r="E2065" s="1092"/>
      <c r="F2065" s="1092"/>
      <c r="G2065" s="1092"/>
      <c r="H2065" s="1092"/>
      <c r="I2065" s="1093"/>
      <c r="K2065" s="1091" t="s">
        <v>39</v>
      </c>
      <c r="L2065" s="1092"/>
      <c r="M2065" s="1092"/>
      <c r="N2065" s="1092"/>
      <c r="O2065" s="1092"/>
      <c r="P2065" s="1092"/>
      <c r="Q2065" s="1092"/>
      <c r="R2065" s="1092"/>
      <c r="S2065" s="1093"/>
    </row>
    <row r="2066" spans="1:19">
      <c r="A2066" s="1094" t="s">
        <v>1075</v>
      </c>
      <c r="B2066" s="1095"/>
      <c r="C2066" s="1095"/>
      <c r="D2066" s="1095"/>
      <c r="E2066" s="1095"/>
      <c r="F2066" s="1095"/>
      <c r="G2066" s="1095"/>
      <c r="H2066" s="1095"/>
      <c r="I2066" s="1096"/>
      <c r="K2066" s="1094" t="str">
        <f>A2066</f>
        <v>[Vide rule 78 (1) (b) of the Contract Labour (Regulation and Abolition) Central and A.P.{T.S.}Rules, 1971]</v>
      </c>
      <c r="L2066" s="1095"/>
      <c r="M2066" s="1095"/>
      <c r="N2066" s="1095"/>
      <c r="O2066" s="1095"/>
      <c r="P2066" s="1095"/>
      <c r="Q2066" s="1095"/>
      <c r="R2066" s="1095"/>
      <c r="S2066" s="1096"/>
    </row>
    <row r="2067" spans="1:19">
      <c r="A2067" s="15"/>
      <c r="B2067" s="114"/>
      <c r="C2067" s="114"/>
      <c r="D2067" s="114"/>
      <c r="E2067" s="114"/>
      <c r="F2067" s="114"/>
      <c r="G2067" s="114"/>
      <c r="H2067" s="114"/>
      <c r="I2067" s="16"/>
      <c r="K2067" s="15"/>
      <c r="L2067" s="114"/>
      <c r="M2067" s="114"/>
      <c r="N2067" s="114"/>
      <c r="O2067" s="114"/>
      <c r="P2067" s="114"/>
      <c r="Q2067" s="114"/>
      <c r="R2067" s="114"/>
      <c r="S2067" s="16"/>
    </row>
    <row r="2068" spans="1:19">
      <c r="A2068" s="17" t="s">
        <v>40</v>
      </c>
      <c r="B2068" s="120"/>
      <c r="C2068" s="120"/>
      <c r="D2068" s="121" t="str">
        <f>Master!F5</f>
        <v>GROTECH LANDSCAPE DEVELOPERS PVT. LTD.</v>
      </c>
      <c r="E2068" s="114"/>
      <c r="F2068" s="114"/>
      <c r="G2068" s="114"/>
      <c r="H2068" s="114"/>
      <c r="I2068" s="16"/>
      <c r="K2068" s="17" t="s">
        <v>40</v>
      </c>
      <c r="L2068" s="120"/>
      <c r="M2068" s="120"/>
      <c r="N2068" s="121" t="str">
        <f>D2068</f>
        <v>GROTECH LANDSCAPE DEVELOPERS PVT. LTD.</v>
      </c>
      <c r="O2068" s="114"/>
      <c r="P2068" s="114"/>
      <c r="Q2068" s="114"/>
      <c r="R2068" s="114"/>
      <c r="S2068" s="16"/>
    </row>
    <row r="2069" spans="1:19">
      <c r="A2069" s="17"/>
      <c r="B2069" s="120" t="str">
        <f>Master!F6</f>
        <v>290/E, Khanapur Village, Gandipet Mandal, Ranga Reddy, Hyderabad-500075 T.S.</v>
      </c>
      <c r="C2069" s="120"/>
      <c r="D2069" s="114"/>
      <c r="E2069" s="114"/>
      <c r="F2069" s="114"/>
      <c r="G2069" s="114"/>
      <c r="H2069" s="114"/>
      <c r="I2069" s="16"/>
      <c r="K2069" s="17"/>
      <c r="L2069" s="120" t="str">
        <f>B2069</f>
        <v>290/E, Khanapur Village, Gandipet Mandal, Ranga Reddy, Hyderabad-500075 T.S.</v>
      </c>
      <c r="M2069" s="120"/>
      <c r="N2069" s="114"/>
      <c r="O2069" s="114"/>
      <c r="P2069" s="114"/>
      <c r="Q2069" s="114"/>
      <c r="R2069" s="114"/>
      <c r="S2069" s="16"/>
    </row>
    <row r="2070" spans="1:19">
      <c r="A2070" s="17"/>
      <c r="B2070" s="120"/>
      <c r="C2070" s="120"/>
      <c r="D2070" s="120"/>
      <c r="E2070" s="120"/>
      <c r="F2070" s="114"/>
      <c r="G2070" s="114"/>
      <c r="H2070" s="114"/>
      <c r="I2070" s="16"/>
      <c r="K2070" s="17"/>
      <c r="L2070" s="120"/>
      <c r="M2070" s="120"/>
      <c r="N2070" s="120"/>
      <c r="O2070" s="120"/>
      <c r="P2070" s="114"/>
      <c r="Q2070" s="114"/>
      <c r="R2070" s="114"/>
      <c r="S2070" s="16"/>
    </row>
    <row r="2071" spans="1:19">
      <c r="A2071" s="1097" t="s">
        <v>41</v>
      </c>
      <c r="B2071" s="1098"/>
      <c r="C2071" s="1098"/>
      <c r="D2071" s="1098"/>
      <c r="E2071" s="120"/>
      <c r="F2071" s="114"/>
      <c r="G2071" s="114"/>
      <c r="H2071" s="114"/>
      <c r="I2071" s="16"/>
      <c r="K2071" s="1097" t="s">
        <v>41</v>
      </c>
      <c r="L2071" s="1098"/>
      <c r="M2071" s="1098"/>
      <c r="N2071" s="1098"/>
      <c r="O2071" s="120"/>
      <c r="P2071" s="114"/>
      <c r="Q2071" s="114"/>
      <c r="R2071" s="114"/>
      <c r="S2071" s="16"/>
    </row>
    <row r="2072" spans="1:19">
      <c r="A2072" s="1097"/>
      <c r="B2072" s="1098"/>
      <c r="C2072" s="1098"/>
      <c r="D2072" s="1098"/>
      <c r="E2072" s="128" t="str">
        <f>Master!D63</f>
        <v>Chakali Narayana</v>
      </c>
      <c r="F2072" s="19"/>
      <c r="G2072" s="19"/>
      <c r="H2072" s="19" t="str">
        <f>Master!G63</f>
        <v>CHAKALI PETAIAH</v>
      </c>
      <c r="I2072" s="16"/>
      <c r="K2072" s="1097"/>
      <c r="L2072" s="1098"/>
      <c r="M2072" s="1098"/>
      <c r="N2072" s="1098"/>
      <c r="O2072" s="18" t="str">
        <f>E2072</f>
        <v>Chakali Narayana</v>
      </c>
      <c r="P2072" s="19"/>
      <c r="Q2072" s="19"/>
      <c r="R2072" s="19" t="str">
        <f>H2072</f>
        <v>CHAKALI PETAIAH</v>
      </c>
      <c r="S2072" s="16"/>
    </row>
    <row r="2073" spans="1:19">
      <c r="A2073" s="17"/>
      <c r="B2073" s="120"/>
      <c r="C2073" s="120"/>
      <c r="D2073" s="120"/>
      <c r="E2073" s="120"/>
      <c r="F2073" s="114"/>
      <c r="G2073" s="114"/>
      <c r="H2073" s="114"/>
      <c r="I2073" s="16"/>
      <c r="K2073" s="17"/>
      <c r="L2073" s="120"/>
      <c r="M2073" s="120"/>
      <c r="N2073" s="120"/>
      <c r="O2073" s="120"/>
      <c r="P2073" s="114"/>
      <c r="Q2073" s="114"/>
      <c r="R2073" s="114"/>
      <c r="S2073" s="16"/>
    </row>
    <row r="2074" spans="1:19">
      <c r="A2074" s="1101" t="s">
        <v>42</v>
      </c>
      <c r="B2074" s="1099"/>
      <c r="C2074" s="1099"/>
      <c r="D2074" s="1099"/>
      <c r="E2074" s="24" t="str">
        <f>Master!F8</f>
        <v>GARDENING SERVICES&amp;ISB HYDERABAD</v>
      </c>
      <c r="F2074" s="19"/>
      <c r="G2074" s="19"/>
      <c r="H2074" s="19"/>
      <c r="I2074" s="16"/>
      <c r="K2074" s="1101" t="s">
        <v>42</v>
      </c>
      <c r="L2074" s="1099"/>
      <c r="M2074" s="1099"/>
      <c r="N2074" s="1099"/>
      <c r="O2074" s="24" t="str">
        <f>E2074</f>
        <v>GARDENING SERVICES&amp;ISB HYDERABAD</v>
      </c>
      <c r="P2074" s="19"/>
      <c r="Q2074" s="19"/>
      <c r="R2074" s="19"/>
      <c r="S2074" s="16"/>
    </row>
    <row r="2075" spans="1:19">
      <c r="A2075" s="17"/>
      <c r="B2075" s="120"/>
      <c r="C2075" s="120"/>
      <c r="D2075" s="120"/>
      <c r="E2075" s="120"/>
      <c r="F2075" s="114"/>
      <c r="G2075" s="114"/>
      <c r="H2075" s="114"/>
      <c r="I2075" s="16"/>
      <c r="K2075" s="17"/>
      <c r="L2075" s="120"/>
      <c r="M2075" s="120"/>
      <c r="N2075" s="120"/>
      <c r="O2075" s="120"/>
      <c r="P2075" s="114"/>
      <c r="Q2075" s="114"/>
      <c r="R2075" s="114"/>
      <c r="S2075" s="16"/>
    </row>
    <row r="2076" spans="1:19">
      <c r="A2076" s="1101" t="s">
        <v>43</v>
      </c>
      <c r="B2076" s="1099"/>
      <c r="C2076" s="1099"/>
      <c r="D2076" s="1099"/>
      <c r="E2076" s="20">
        <f>Master!F10</f>
        <v>44652</v>
      </c>
      <c r="F2076" s="19"/>
      <c r="G2076" s="19"/>
      <c r="H2076" s="19"/>
      <c r="I2076" s="16"/>
      <c r="K2076" s="1101" t="s">
        <v>43</v>
      </c>
      <c r="L2076" s="1099"/>
      <c r="M2076" s="1099"/>
      <c r="N2076" s="1099"/>
      <c r="O2076" s="20">
        <f>E2076</f>
        <v>44652</v>
      </c>
      <c r="P2076" s="19"/>
      <c r="Q2076" s="19"/>
      <c r="R2076" s="19"/>
      <c r="S2076" s="16"/>
    </row>
    <row r="2077" spans="1:19">
      <c r="A2077" s="17"/>
      <c r="B2077" s="120"/>
      <c r="C2077" s="120"/>
      <c r="D2077" s="120"/>
      <c r="E2077" s="120"/>
      <c r="F2077" s="114"/>
      <c r="G2077" s="114"/>
      <c r="H2077" s="114"/>
      <c r="I2077" s="16"/>
      <c r="K2077" s="17"/>
      <c r="L2077" s="120"/>
      <c r="M2077" s="120"/>
      <c r="N2077" s="120"/>
      <c r="O2077" s="120"/>
      <c r="P2077" s="114"/>
      <c r="Q2077" s="114"/>
      <c r="R2077" s="114"/>
      <c r="S2077" s="16"/>
    </row>
    <row r="2078" spans="1:19">
      <c r="A2078" s="21">
        <v>1</v>
      </c>
      <c r="B2078" s="1099" t="s">
        <v>44</v>
      </c>
      <c r="C2078" s="1099"/>
      <c r="D2078" s="1099"/>
      <c r="E2078" s="22">
        <f>Master!AA63</f>
        <v>26</v>
      </c>
      <c r="F2078" s="19"/>
      <c r="G2078" s="19"/>
      <c r="H2078" s="19"/>
      <c r="I2078" s="16"/>
      <c r="K2078" s="21">
        <v>1</v>
      </c>
      <c r="L2078" s="1099" t="s">
        <v>44</v>
      </c>
      <c r="M2078" s="1099"/>
      <c r="N2078" s="1099"/>
      <c r="O2078" s="22">
        <f>E2078</f>
        <v>26</v>
      </c>
      <c r="P2078" s="19"/>
      <c r="Q2078" s="19"/>
      <c r="R2078" s="19"/>
      <c r="S2078" s="16"/>
    </row>
    <row r="2079" spans="1:19">
      <c r="A2079" s="21"/>
      <c r="B2079" s="120"/>
      <c r="C2079" s="120"/>
      <c r="D2079" s="120"/>
      <c r="E2079" s="120"/>
      <c r="F2079" s="114"/>
      <c r="G2079" s="114"/>
      <c r="H2079" s="114"/>
      <c r="I2079" s="16"/>
      <c r="K2079" s="21"/>
      <c r="L2079" s="120"/>
      <c r="M2079" s="120"/>
      <c r="N2079" s="120"/>
      <c r="O2079" s="120"/>
      <c r="P2079" s="114"/>
      <c r="Q2079" s="114"/>
      <c r="R2079" s="114"/>
      <c r="S2079" s="16"/>
    </row>
    <row r="2080" spans="1:19">
      <c r="A2080" s="21">
        <v>2</v>
      </c>
      <c r="B2080" s="1098" t="s">
        <v>45</v>
      </c>
      <c r="C2080" s="1098"/>
      <c r="D2080" s="1098"/>
      <c r="E2080" s="120"/>
      <c r="F2080" s="114"/>
      <c r="G2080" s="114"/>
      <c r="H2080" s="114"/>
      <c r="I2080" s="16"/>
      <c r="K2080" s="21">
        <v>2</v>
      </c>
      <c r="L2080" s="1098" t="s">
        <v>45</v>
      </c>
      <c r="M2080" s="1098"/>
      <c r="N2080" s="1098"/>
      <c r="O2080" s="120"/>
      <c r="P2080" s="114"/>
      <c r="Q2080" s="114"/>
      <c r="R2080" s="114"/>
      <c r="S2080" s="16"/>
    </row>
    <row r="2081" spans="1:19">
      <c r="A2081" s="21"/>
      <c r="B2081" s="1098"/>
      <c r="C2081" s="1098"/>
      <c r="D2081" s="1098"/>
      <c r="E2081" s="23" t="s">
        <v>28</v>
      </c>
      <c r="F2081" s="19"/>
      <c r="G2081" s="19"/>
      <c r="H2081" s="19"/>
      <c r="I2081" s="16"/>
      <c r="K2081" s="21"/>
      <c r="L2081" s="1098"/>
      <c r="M2081" s="1098"/>
      <c r="N2081" s="1098"/>
      <c r="O2081" s="23" t="s">
        <v>28</v>
      </c>
      <c r="P2081" s="19"/>
      <c r="Q2081" s="19"/>
      <c r="R2081" s="19"/>
      <c r="S2081" s="16"/>
    </row>
    <row r="2082" spans="1:19">
      <c r="A2082" s="21"/>
      <c r="B2082" s="120"/>
      <c r="C2082" s="120"/>
      <c r="D2082" s="120"/>
      <c r="E2082" s="120"/>
      <c r="F2082" s="114"/>
      <c r="G2082" s="114"/>
      <c r="H2082" s="114"/>
      <c r="I2082" s="16"/>
      <c r="K2082" s="21"/>
      <c r="L2082" s="120"/>
      <c r="M2082" s="120"/>
      <c r="N2082" s="120"/>
      <c r="O2082" s="120"/>
      <c r="P2082" s="114"/>
      <c r="Q2082" s="114"/>
      <c r="R2082" s="114"/>
      <c r="S2082" s="16"/>
    </row>
    <row r="2083" spans="1:19">
      <c r="A2083" s="21">
        <v>3</v>
      </c>
      <c r="B2083" s="1099" t="s">
        <v>46</v>
      </c>
      <c r="C2083" s="1099"/>
      <c r="D2083" s="1099"/>
      <c r="E2083" s="23" t="s">
        <v>28</v>
      </c>
      <c r="F2083" s="19"/>
      <c r="G2083" s="19"/>
      <c r="H2083" s="19"/>
      <c r="I2083" s="16"/>
      <c r="K2083" s="21">
        <v>3</v>
      </c>
      <c r="L2083" s="1099" t="s">
        <v>46</v>
      </c>
      <c r="M2083" s="1099"/>
      <c r="N2083" s="1099"/>
      <c r="O2083" s="18" t="str">
        <f>E2083</f>
        <v>N/A</v>
      </c>
      <c r="P2083" s="19"/>
      <c r="Q2083" s="19"/>
      <c r="R2083" s="19"/>
      <c r="S2083" s="16"/>
    </row>
    <row r="2084" spans="1:19">
      <c r="A2084" s="21"/>
      <c r="B2084" s="120"/>
      <c r="C2084" s="120"/>
      <c r="D2084" s="120"/>
      <c r="E2084" s="120"/>
      <c r="F2084" s="114"/>
      <c r="G2084" s="114"/>
      <c r="H2084" s="114"/>
      <c r="I2084" s="16"/>
      <c r="K2084" s="21"/>
      <c r="L2084" s="120"/>
      <c r="M2084" s="120"/>
      <c r="N2084" s="120"/>
      <c r="O2084" s="120"/>
      <c r="P2084" s="114"/>
      <c r="Q2084" s="114"/>
      <c r="R2084" s="114"/>
      <c r="S2084" s="16"/>
    </row>
    <row r="2085" spans="1:19">
      <c r="A2085" s="21">
        <v>4</v>
      </c>
      <c r="B2085" s="1099" t="s">
        <v>47</v>
      </c>
      <c r="C2085" s="1099"/>
      <c r="D2085" s="1099"/>
      <c r="E2085" s="23" t="s">
        <v>48</v>
      </c>
      <c r="F2085" s="19"/>
      <c r="G2085" s="19"/>
      <c r="H2085" s="19"/>
      <c r="I2085" s="16"/>
      <c r="K2085" s="21">
        <v>4</v>
      </c>
      <c r="L2085" s="1099" t="s">
        <v>47</v>
      </c>
      <c r="M2085" s="1099"/>
      <c r="N2085" s="1099"/>
      <c r="O2085" s="23" t="s">
        <v>48</v>
      </c>
      <c r="P2085" s="19"/>
      <c r="Q2085" s="19"/>
      <c r="R2085" s="19"/>
      <c r="S2085" s="16"/>
    </row>
    <row r="2086" spans="1:19">
      <c r="A2086" s="21"/>
      <c r="B2086" s="120"/>
      <c r="C2086" s="120"/>
      <c r="D2086" s="120"/>
      <c r="E2086" s="120"/>
      <c r="F2086" s="114"/>
      <c r="G2086" s="114"/>
      <c r="H2086" s="114"/>
      <c r="I2086" s="16"/>
      <c r="K2086" s="21"/>
      <c r="L2086" s="120"/>
      <c r="M2086" s="120"/>
      <c r="N2086" s="120"/>
      <c r="O2086" s="120"/>
      <c r="P2086" s="114"/>
      <c r="Q2086" s="114"/>
      <c r="R2086" s="114"/>
      <c r="S2086" s="16"/>
    </row>
    <row r="2087" spans="1:19">
      <c r="A2087" s="21">
        <v>5</v>
      </c>
      <c r="B2087" s="1099" t="s">
        <v>49</v>
      </c>
      <c r="C2087" s="1099"/>
      <c r="D2087" s="1099"/>
      <c r="E2087" s="24">
        <f>Master!AK63</f>
        <v>9932.4666666666653</v>
      </c>
      <c r="F2087" s="19"/>
      <c r="G2087" s="19"/>
      <c r="H2087" s="19"/>
      <c r="I2087" s="16"/>
      <c r="K2087" s="21">
        <v>5</v>
      </c>
      <c r="L2087" s="1099" t="s">
        <v>49</v>
      </c>
      <c r="M2087" s="1099"/>
      <c r="N2087" s="1099"/>
      <c r="O2087" s="24">
        <f>E2087</f>
        <v>9932.4666666666653</v>
      </c>
      <c r="P2087" s="19"/>
      <c r="Q2087" s="19"/>
      <c r="R2087" s="19"/>
      <c r="S2087" s="16"/>
    </row>
    <row r="2088" spans="1:19">
      <c r="A2088" s="21"/>
      <c r="B2088" s="120"/>
      <c r="C2088" s="120"/>
      <c r="D2088" s="238" t="s">
        <v>50</v>
      </c>
      <c r="E2088" s="238" t="s">
        <v>23</v>
      </c>
      <c r="F2088" s="136" t="s">
        <v>25</v>
      </c>
      <c r="G2088" s="238" t="s">
        <v>26</v>
      </c>
      <c r="H2088" s="238" t="s">
        <v>202</v>
      </c>
      <c r="I2088" s="126" t="s">
        <v>51</v>
      </c>
      <c r="K2088" s="21"/>
      <c r="L2088" s="120"/>
      <c r="M2088" s="120"/>
      <c r="N2088" s="238" t="s">
        <v>50</v>
      </c>
      <c r="O2088" s="238" t="s">
        <v>23</v>
      </c>
      <c r="P2088" s="136" t="s">
        <v>25</v>
      </c>
      <c r="Q2088" s="238" t="s">
        <v>26</v>
      </c>
      <c r="R2088" s="238" t="str">
        <f>H2088</f>
        <v>ADV</v>
      </c>
      <c r="S2088" s="126" t="s">
        <v>51</v>
      </c>
    </row>
    <row r="2089" spans="1:19">
      <c r="A2089" s="21">
        <v>6</v>
      </c>
      <c r="B2089" s="468" t="s">
        <v>52</v>
      </c>
      <c r="C2089" s="468"/>
      <c r="D2089" s="335">
        <f>Master!AM63</f>
        <v>1192</v>
      </c>
      <c r="E2089" s="335">
        <f>Master!AL63</f>
        <v>75</v>
      </c>
      <c r="F2089" s="180">
        <f>Master!AN63</f>
        <v>0</v>
      </c>
      <c r="G2089" s="180">
        <f>Master!AO63</f>
        <v>0</v>
      </c>
      <c r="H2089" s="180">
        <f>Master!AP63</f>
        <v>0</v>
      </c>
      <c r="I2089" s="127">
        <f>D2089+E2089+F2089+G2089+H2089</f>
        <v>1267</v>
      </c>
      <c r="K2089" s="21">
        <v>6</v>
      </c>
      <c r="L2089" s="468" t="s">
        <v>52</v>
      </c>
      <c r="M2089" s="468"/>
      <c r="N2089" s="335">
        <f>D2089</f>
        <v>1192</v>
      </c>
      <c r="O2089" s="335">
        <f>E2089</f>
        <v>75</v>
      </c>
      <c r="P2089" s="180">
        <f>F2089</f>
        <v>0</v>
      </c>
      <c r="Q2089" s="180">
        <f>G2089</f>
        <v>0</v>
      </c>
      <c r="R2089" s="180">
        <f>H2089</f>
        <v>0</v>
      </c>
      <c r="S2089" s="127">
        <f>N2089+O2089+R2089</f>
        <v>1267</v>
      </c>
    </row>
    <row r="2090" spans="1:19">
      <c r="A2090" s="21"/>
      <c r="B2090" s="120"/>
      <c r="C2090" s="120"/>
      <c r="D2090" s="120"/>
      <c r="E2090" s="120"/>
      <c r="F2090" s="114"/>
      <c r="G2090" s="114"/>
      <c r="H2090" s="114"/>
      <c r="I2090" s="16"/>
      <c r="K2090" s="21"/>
      <c r="L2090" s="120"/>
      <c r="M2090" s="120"/>
      <c r="N2090" s="120"/>
      <c r="O2090" s="120"/>
      <c r="P2090" s="114"/>
      <c r="Q2090" s="114"/>
      <c r="R2090" s="114"/>
      <c r="S2090" s="16"/>
    </row>
    <row r="2091" spans="1:19">
      <c r="A2091" s="21">
        <v>7</v>
      </c>
      <c r="B2091" s="1099" t="s">
        <v>53</v>
      </c>
      <c r="C2091" s="1099"/>
      <c r="D2091" s="1099"/>
      <c r="E2091" s="24">
        <f>E2087-I2089-1</f>
        <v>8664.4666666666653</v>
      </c>
      <c r="F2091" s="19"/>
      <c r="G2091" s="19"/>
      <c r="H2091" s="19"/>
      <c r="I2091" s="16"/>
      <c r="K2091" s="21">
        <v>7</v>
      </c>
      <c r="L2091" s="1099" t="s">
        <v>53</v>
      </c>
      <c r="M2091" s="1099"/>
      <c r="N2091" s="1099"/>
      <c r="O2091" s="24">
        <f>E2091</f>
        <v>8664.4666666666653</v>
      </c>
      <c r="P2091" s="19"/>
      <c r="Q2091" s="19"/>
      <c r="R2091" s="19"/>
      <c r="S2091" s="16"/>
    </row>
    <row r="2092" spans="1:19">
      <c r="A2092" s="15"/>
      <c r="B2092" s="114"/>
      <c r="C2092" s="114"/>
      <c r="D2092" s="114"/>
      <c r="E2092" s="114"/>
      <c r="F2092" s="114"/>
      <c r="G2092" s="114"/>
      <c r="H2092" s="114"/>
      <c r="I2092" s="16"/>
      <c r="K2092" s="15"/>
      <c r="L2092" s="114"/>
      <c r="M2092" s="114"/>
      <c r="N2092" s="114"/>
      <c r="O2092" s="114"/>
      <c r="P2092" s="114"/>
      <c r="Q2092" s="114"/>
      <c r="R2092" s="114"/>
      <c r="S2092" s="16"/>
    </row>
    <row r="2093" spans="1:19">
      <c r="A2093" s="15"/>
      <c r="B2093" s="114"/>
      <c r="C2093" s="114"/>
      <c r="D2093" s="114"/>
      <c r="E2093" s="114"/>
      <c r="F2093" s="114"/>
      <c r="G2093" s="114"/>
      <c r="H2093" s="114"/>
      <c r="I2093" s="16"/>
      <c r="K2093" s="15"/>
      <c r="L2093" s="114"/>
      <c r="M2093" s="114"/>
      <c r="N2093" s="114"/>
      <c r="O2093" s="114"/>
      <c r="P2093" s="114"/>
      <c r="Q2093" s="114"/>
      <c r="R2093" s="114"/>
      <c r="S2093" s="16"/>
    </row>
    <row r="2094" spans="1:19" ht="15" thickBot="1">
      <c r="A2094" s="15"/>
      <c r="B2094" s="114"/>
      <c r="C2094" s="114"/>
      <c r="D2094" s="114"/>
      <c r="E2094" s="114"/>
      <c r="F2094" s="25"/>
      <c r="G2094" s="25"/>
      <c r="H2094" s="25"/>
      <c r="I2094" s="26"/>
      <c r="K2094" s="15"/>
      <c r="L2094" s="114"/>
      <c r="M2094" s="114"/>
      <c r="N2094" s="114"/>
      <c r="O2094" s="114"/>
      <c r="P2094" s="25"/>
      <c r="Q2094" s="25"/>
      <c r="R2094" s="25"/>
      <c r="S2094" s="26"/>
    </row>
    <row r="2095" spans="1:19" ht="15" thickBot="1">
      <c r="A2095" s="27"/>
      <c r="B2095" s="25"/>
      <c r="C2095" s="25"/>
      <c r="D2095" s="25"/>
      <c r="E2095" s="999" t="s">
        <v>54</v>
      </c>
      <c r="F2095" s="999"/>
      <c r="G2095" s="999"/>
      <c r="H2095" s="999"/>
      <c r="I2095" s="1100"/>
      <c r="K2095" s="27"/>
      <c r="L2095" s="25"/>
      <c r="M2095" s="25"/>
      <c r="N2095" s="25"/>
      <c r="O2095" s="28" t="s">
        <v>54</v>
      </c>
      <c r="P2095" s="25"/>
      <c r="Q2095" s="28"/>
      <c r="R2095" s="28"/>
      <c r="S2095" s="29"/>
    </row>
    <row r="2107" spans="1:19" ht="15" thickBot="1"/>
    <row r="2108" spans="1:19" ht="24.6">
      <c r="A2108" s="1091" t="s">
        <v>39</v>
      </c>
      <c r="B2108" s="1092"/>
      <c r="C2108" s="1092"/>
      <c r="D2108" s="1092"/>
      <c r="E2108" s="1092"/>
      <c r="F2108" s="1092"/>
      <c r="G2108" s="1092"/>
      <c r="H2108" s="1092"/>
      <c r="I2108" s="1093"/>
      <c r="K2108" s="1091" t="s">
        <v>39</v>
      </c>
      <c r="L2108" s="1092"/>
      <c r="M2108" s="1092"/>
      <c r="N2108" s="1092"/>
      <c r="O2108" s="1092"/>
      <c r="P2108" s="1092"/>
      <c r="Q2108" s="1092"/>
      <c r="R2108" s="1092"/>
      <c r="S2108" s="1093"/>
    </row>
    <row r="2109" spans="1:19">
      <c r="A2109" s="1094" t="s">
        <v>1075</v>
      </c>
      <c r="B2109" s="1095"/>
      <c r="C2109" s="1095"/>
      <c r="D2109" s="1095"/>
      <c r="E2109" s="1095"/>
      <c r="F2109" s="1095"/>
      <c r="G2109" s="1095"/>
      <c r="H2109" s="1095"/>
      <c r="I2109" s="1096"/>
      <c r="K2109" s="1094" t="str">
        <f>A2109</f>
        <v>[Vide rule 78 (1) (b) of the Contract Labour (Regulation and Abolition) Central and A.P.{T.S.}Rules, 1971]</v>
      </c>
      <c r="L2109" s="1095"/>
      <c r="M2109" s="1095"/>
      <c r="N2109" s="1095"/>
      <c r="O2109" s="1095"/>
      <c r="P2109" s="1095"/>
      <c r="Q2109" s="1095"/>
      <c r="R2109" s="1095"/>
      <c r="S2109" s="1096"/>
    </row>
    <row r="2110" spans="1:19">
      <c r="A2110" s="15"/>
      <c r="B2110" s="114"/>
      <c r="C2110" s="114"/>
      <c r="D2110" s="114"/>
      <c r="E2110" s="114"/>
      <c r="F2110" s="114"/>
      <c r="G2110" s="114"/>
      <c r="H2110" s="114"/>
      <c r="I2110" s="16"/>
      <c r="K2110" s="15"/>
      <c r="L2110" s="114"/>
      <c r="M2110" s="114"/>
      <c r="N2110" s="114"/>
      <c r="O2110" s="114"/>
      <c r="P2110" s="114"/>
      <c r="Q2110" s="114"/>
      <c r="R2110" s="114"/>
      <c r="S2110" s="16"/>
    </row>
    <row r="2111" spans="1:19">
      <c r="A2111" s="17" t="s">
        <v>40</v>
      </c>
      <c r="B2111" s="120"/>
      <c r="C2111" s="120"/>
      <c r="D2111" s="121" t="str">
        <f>Master!F5</f>
        <v>GROTECH LANDSCAPE DEVELOPERS PVT. LTD.</v>
      </c>
      <c r="E2111" s="114"/>
      <c r="F2111" s="114"/>
      <c r="G2111" s="114"/>
      <c r="H2111" s="114"/>
      <c r="I2111" s="16"/>
      <c r="K2111" s="17" t="s">
        <v>40</v>
      </c>
      <c r="L2111" s="120"/>
      <c r="M2111" s="120"/>
      <c r="N2111" s="121" t="str">
        <f>D2111</f>
        <v>GROTECH LANDSCAPE DEVELOPERS PVT. LTD.</v>
      </c>
      <c r="O2111" s="114"/>
      <c r="P2111" s="114"/>
      <c r="Q2111" s="114"/>
      <c r="R2111" s="114"/>
      <c r="S2111" s="16"/>
    </row>
    <row r="2112" spans="1:19">
      <c r="A2112" s="17"/>
      <c r="B2112" s="120" t="str">
        <f>Master!F6</f>
        <v>290/E, Khanapur Village, Gandipet Mandal, Ranga Reddy, Hyderabad-500075 T.S.</v>
      </c>
      <c r="C2112" s="120"/>
      <c r="D2112" s="114"/>
      <c r="E2112" s="114"/>
      <c r="F2112" s="114"/>
      <c r="G2112" s="114"/>
      <c r="H2112" s="114"/>
      <c r="I2112" s="16"/>
      <c r="K2112" s="17"/>
      <c r="L2112" s="120" t="str">
        <f>B2112</f>
        <v>290/E, Khanapur Village, Gandipet Mandal, Ranga Reddy, Hyderabad-500075 T.S.</v>
      </c>
      <c r="M2112" s="120"/>
      <c r="N2112" s="114"/>
      <c r="O2112" s="114"/>
      <c r="P2112" s="114"/>
      <c r="Q2112" s="114"/>
      <c r="R2112" s="114"/>
      <c r="S2112" s="16"/>
    </row>
    <row r="2113" spans="1:19">
      <c r="A2113" s="17"/>
      <c r="B2113" s="120"/>
      <c r="C2113" s="120"/>
      <c r="D2113" s="120"/>
      <c r="E2113" s="120"/>
      <c r="F2113" s="114"/>
      <c r="G2113" s="114"/>
      <c r="H2113" s="114"/>
      <c r="I2113" s="16"/>
      <c r="K2113" s="17"/>
      <c r="L2113" s="120"/>
      <c r="M2113" s="120"/>
      <c r="N2113" s="120"/>
      <c r="O2113" s="120"/>
      <c r="P2113" s="114"/>
      <c r="Q2113" s="114"/>
      <c r="R2113" s="114"/>
      <c r="S2113" s="16"/>
    </row>
    <row r="2114" spans="1:19">
      <c r="A2114" s="1097" t="s">
        <v>41</v>
      </c>
      <c r="B2114" s="1098"/>
      <c r="C2114" s="1098"/>
      <c r="D2114" s="1098"/>
      <c r="E2114" s="120"/>
      <c r="F2114" s="114"/>
      <c r="G2114" s="114"/>
      <c r="H2114" s="114"/>
      <c r="I2114" s="16"/>
      <c r="K2114" s="1097" t="s">
        <v>41</v>
      </c>
      <c r="L2114" s="1098"/>
      <c r="M2114" s="1098"/>
      <c r="N2114" s="1098"/>
      <c r="O2114" s="120"/>
      <c r="P2114" s="114"/>
      <c r="Q2114" s="114"/>
      <c r="R2114" s="114"/>
      <c r="S2114" s="16"/>
    </row>
    <row r="2115" spans="1:19">
      <c r="A2115" s="1097"/>
      <c r="B2115" s="1098"/>
      <c r="C2115" s="1098"/>
      <c r="D2115" s="1098"/>
      <c r="E2115" s="128" t="str">
        <f>Master!D64</f>
        <v>Mutyala Poshavva</v>
      </c>
      <c r="F2115" s="19"/>
      <c r="G2115" s="19"/>
      <c r="H2115" s="19" t="str">
        <f>Master!G64</f>
        <v>MUTYALA BABU</v>
      </c>
      <c r="I2115" s="16"/>
      <c r="K2115" s="1097"/>
      <c r="L2115" s="1098"/>
      <c r="M2115" s="1098"/>
      <c r="N2115" s="1098"/>
      <c r="O2115" s="18" t="str">
        <f>E2115</f>
        <v>Mutyala Poshavva</v>
      </c>
      <c r="P2115" s="19"/>
      <c r="Q2115" s="19"/>
      <c r="R2115" s="19" t="str">
        <f>H2115</f>
        <v>MUTYALA BABU</v>
      </c>
      <c r="S2115" s="16"/>
    </row>
    <row r="2116" spans="1:19">
      <c r="A2116" s="17"/>
      <c r="B2116" s="120"/>
      <c r="C2116" s="120"/>
      <c r="D2116" s="120"/>
      <c r="E2116" s="120"/>
      <c r="F2116" s="114"/>
      <c r="G2116" s="114"/>
      <c r="H2116" s="114"/>
      <c r="I2116" s="16"/>
      <c r="K2116" s="17"/>
      <c r="L2116" s="120"/>
      <c r="M2116" s="120"/>
      <c r="N2116" s="120"/>
      <c r="O2116" s="120"/>
      <c r="P2116" s="114"/>
      <c r="Q2116" s="114"/>
      <c r="R2116" s="114"/>
      <c r="S2116" s="16"/>
    </row>
    <row r="2117" spans="1:19">
      <c r="A2117" s="1101" t="s">
        <v>42</v>
      </c>
      <c r="B2117" s="1099"/>
      <c r="C2117" s="1099"/>
      <c r="D2117" s="1099"/>
      <c r="E2117" s="24" t="str">
        <f>Master!F8</f>
        <v>GARDENING SERVICES&amp;ISB HYDERABAD</v>
      </c>
      <c r="F2117" s="19"/>
      <c r="G2117" s="19"/>
      <c r="H2117" s="19"/>
      <c r="I2117" s="16"/>
      <c r="K2117" s="1101" t="s">
        <v>42</v>
      </c>
      <c r="L2117" s="1099"/>
      <c r="M2117" s="1099"/>
      <c r="N2117" s="1099"/>
      <c r="O2117" s="24" t="str">
        <f>E2117</f>
        <v>GARDENING SERVICES&amp;ISB HYDERABAD</v>
      </c>
      <c r="P2117" s="19"/>
      <c r="Q2117" s="19"/>
      <c r="R2117" s="19"/>
      <c r="S2117" s="16"/>
    </row>
    <row r="2118" spans="1:19">
      <c r="A2118" s="17"/>
      <c r="B2118" s="120"/>
      <c r="C2118" s="120"/>
      <c r="D2118" s="120"/>
      <c r="E2118" s="120"/>
      <c r="F2118" s="114"/>
      <c r="G2118" s="114"/>
      <c r="H2118" s="114"/>
      <c r="I2118" s="16"/>
      <c r="K2118" s="17"/>
      <c r="L2118" s="120"/>
      <c r="M2118" s="120"/>
      <c r="N2118" s="120"/>
      <c r="O2118" s="120"/>
      <c r="P2118" s="114"/>
      <c r="Q2118" s="114"/>
      <c r="R2118" s="114"/>
      <c r="S2118" s="16"/>
    </row>
    <row r="2119" spans="1:19">
      <c r="A2119" s="1101" t="s">
        <v>43</v>
      </c>
      <c r="B2119" s="1099"/>
      <c r="C2119" s="1099"/>
      <c r="D2119" s="1099"/>
      <c r="E2119" s="20">
        <f>Master!F10</f>
        <v>44652</v>
      </c>
      <c r="F2119" s="19"/>
      <c r="G2119" s="19"/>
      <c r="H2119" s="19"/>
      <c r="I2119" s="16"/>
      <c r="K2119" s="1101" t="s">
        <v>43</v>
      </c>
      <c r="L2119" s="1099"/>
      <c r="M2119" s="1099"/>
      <c r="N2119" s="1099"/>
      <c r="O2119" s="20">
        <f>E2119</f>
        <v>44652</v>
      </c>
      <c r="P2119" s="19"/>
      <c r="Q2119" s="19"/>
      <c r="R2119" s="19"/>
      <c r="S2119" s="16"/>
    </row>
    <row r="2120" spans="1:19">
      <c r="A2120" s="17"/>
      <c r="B2120" s="120"/>
      <c r="C2120" s="120"/>
      <c r="D2120" s="120"/>
      <c r="E2120" s="120"/>
      <c r="F2120" s="114"/>
      <c r="G2120" s="114"/>
      <c r="H2120" s="114"/>
      <c r="I2120" s="16"/>
      <c r="K2120" s="17"/>
      <c r="L2120" s="120"/>
      <c r="M2120" s="120"/>
      <c r="N2120" s="120"/>
      <c r="O2120" s="120"/>
      <c r="P2120" s="114"/>
      <c r="Q2120" s="114"/>
      <c r="R2120" s="114"/>
      <c r="S2120" s="16"/>
    </row>
    <row r="2121" spans="1:19">
      <c r="A2121" s="21">
        <v>1</v>
      </c>
      <c r="B2121" s="1099" t="s">
        <v>44</v>
      </c>
      <c r="C2121" s="1099"/>
      <c r="D2121" s="1099"/>
      <c r="E2121" s="22">
        <f>Master!AA64</f>
        <v>0</v>
      </c>
      <c r="F2121" s="19"/>
      <c r="G2121" s="19"/>
      <c r="H2121" s="19"/>
      <c r="I2121" s="16"/>
      <c r="K2121" s="21">
        <v>1</v>
      </c>
      <c r="L2121" s="1099" t="s">
        <v>44</v>
      </c>
      <c r="M2121" s="1099"/>
      <c r="N2121" s="1099"/>
      <c r="O2121" s="22">
        <f>E2121</f>
        <v>0</v>
      </c>
      <c r="P2121" s="19"/>
      <c r="Q2121" s="19"/>
      <c r="R2121" s="19"/>
      <c r="S2121" s="16"/>
    </row>
    <row r="2122" spans="1:19">
      <c r="A2122" s="21"/>
      <c r="B2122" s="120"/>
      <c r="C2122" s="120"/>
      <c r="D2122" s="120"/>
      <c r="E2122" s="120"/>
      <c r="F2122" s="114"/>
      <c r="G2122" s="114"/>
      <c r="H2122" s="114"/>
      <c r="I2122" s="16"/>
      <c r="K2122" s="21"/>
      <c r="L2122" s="120"/>
      <c r="M2122" s="120"/>
      <c r="N2122" s="120"/>
      <c r="O2122" s="120"/>
      <c r="P2122" s="114"/>
      <c r="Q2122" s="114"/>
      <c r="R2122" s="114"/>
      <c r="S2122" s="16"/>
    </row>
    <row r="2123" spans="1:19">
      <c r="A2123" s="21">
        <v>2</v>
      </c>
      <c r="B2123" s="1098" t="s">
        <v>45</v>
      </c>
      <c r="C2123" s="1098"/>
      <c r="D2123" s="1098"/>
      <c r="E2123" s="120"/>
      <c r="F2123" s="114"/>
      <c r="G2123" s="114"/>
      <c r="H2123" s="114"/>
      <c r="I2123" s="16"/>
      <c r="K2123" s="21">
        <v>2</v>
      </c>
      <c r="L2123" s="1098" t="s">
        <v>45</v>
      </c>
      <c r="M2123" s="1098"/>
      <c r="N2123" s="1098"/>
      <c r="O2123" s="120"/>
      <c r="P2123" s="114"/>
      <c r="Q2123" s="114"/>
      <c r="R2123" s="114"/>
      <c r="S2123" s="16"/>
    </row>
    <row r="2124" spans="1:19">
      <c r="A2124" s="21"/>
      <c r="B2124" s="1098"/>
      <c r="C2124" s="1098"/>
      <c r="D2124" s="1098"/>
      <c r="E2124" s="23" t="s">
        <v>28</v>
      </c>
      <c r="F2124" s="19"/>
      <c r="G2124" s="19"/>
      <c r="H2124" s="19"/>
      <c r="I2124" s="16"/>
      <c r="K2124" s="21"/>
      <c r="L2124" s="1098"/>
      <c r="M2124" s="1098"/>
      <c r="N2124" s="1098"/>
      <c r="O2124" s="23" t="s">
        <v>28</v>
      </c>
      <c r="P2124" s="19"/>
      <c r="Q2124" s="19"/>
      <c r="R2124" s="19"/>
      <c r="S2124" s="16"/>
    </row>
    <row r="2125" spans="1:19">
      <c r="A2125" s="21"/>
      <c r="B2125" s="120"/>
      <c r="C2125" s="120"/>
      <c r="D2125" s="120"/>
      <c r="E2125" s="120"/>
      <c r="F2125" s="114"/>
      <c r="G2125" s="114"/>
      <c r="H2125" s="114"/>
      <c r="I2125" s="16"/>
      <c r="K2125" s="21"/>
      <c r="L2125" s="120"/>
      <c r="M2125" s="120"/>
      <c r="N2125" s="120"/>
      <c r="O2125" s="120"/>
      <c r="P2125" s="114"/>
      <c r="Q2125" s="114"/>
      <c r="R2125" s="114"/>
      <c r="S2125" s="16"/>
    </row>
    <row r="2126" spans="1:19">
      <c r="A2126" s="21">
        <v>3</v>
      </c>
      <c r="B2126" s="1099" t="s">
        <v>46</v>
      </c>
      <c r="C2126" s="1099"/>
      <c r="D2126" s="1099"/>
      <c r="E2126" s="23" t="s">
        <v>28</v>
      </c>
      <c r="F2126" s="19"/>
      <c r="G2126" s="19"/>
      <c r="H2126" s="19"/>
      <c r="I2126" s="16"/>
      <c r="K2126" s="21">
        <v>3</v>
      </c>
      <c r="L2126" s="1099" t="s">
        <v>46</v>
      </c>
      <c r="M2126" s="1099"/>
      <c r="N2126" s="1099"/>
      <c r="O2126" s="18" t="str">
        <f>E2126</f>
        <v>N/A</v>
      </c>
      <c r="P2126" s="19"/>
      <c r="Q2126" s="19"/>
      <c r="R2126" s="19"/>
      <c r="S2126" s="16"/>
    </row>
    <row r="2127" spans="1:19">
      <c r="A2127" s="21"/>
      <c r="B2127" s="120"/>
      <c r="C2127" s="120"/>
      <c r="D2127" s="120"/>
      <c r="E2127" s="120"/>
      <c r="F2127" s="114"/>
      <c r="G2127" s="114"/>
      <c r="H2127" s="114"/>
      <c r="I2127" s="16"/>
      <c r="K2127" s="21"/>
      <c r="L2127" s="120"/>
      <c r="M2127" s="120"/>
      <c r="N2127" s="120"/>
      <c r="O2127" s="120"/>
      <c r="P2127" s="114"/>
      <c r="Q2127" s="114"/>
      <c r="R2127" s="114"/>
      <c r="S2127" s="16"/>
    </row>
    <row r="2128" spans="1:19">
      <c r="A2128" s="21">
        <v>4</v>
      </c>
      <c r="B2128" s="1099" t="s">
        <v>47</v>
      </c>
      <c r="C2128" s="1099"/>
      <c r="D2128" s="1099"/>
      <c r="E2128" s="23" t="s">
        <v>48</v>
      </c>
      <c r="F2128" s="19"/>
      <c r="G2128" s="19"/>
      <c r="H2128" s="19"/>
      <c r="I2128" s="16"/>
      <c r="K2128" s="21">
        <v>4</v>
      </c>
      <c r="L2128" s="1099" t="s">
        <v>47</v>
      </c>
      <c r="M2128" s="1099"/>
      <c r="N2128" s="1099"/>
      <c r="O2128" s="23" t="s">
        <v>48</v>
      </c>
      <c r="P2128" s="19"/>
      <c r="Q2128" s="19"/>
      <c r="R2128" s="19"/>
      <c r="S2128" s="16"/>
    </row>
    <row r="2129" spans="1:19">
      <c r="A2129" s="21"/>
      <c r="B2129" s="120"/>
      <c r="C2129" s="120"/>
      <c r="D2129" s="120"/>
      <c r="E2129" s="120"/>
      <c r="F2129" s="114"/>
      <c r="G2129" s="114"/>
      <c r="H2129" s="114"/>
      <c r="I2129" s="16"/>
      <c r="K2129" s="21"/>
      <c r="L2129" s="120"/>
      <c r="M2129" s="120"/>
      <c r="N2129" s="120"/>
      <c r="O2129" s="120"/>
      <c r="P2129" s="114"/>
      <c r="Q2129" s="114"/>
      <c r="R2129" s="114"/>
      <c r="S2129" s="16"/>
    </row>
    <row r="2130" spans="1:19">
      <c r="A2130" s="21">
        <v>5</v>
      </c>
      <c r="B2130" s="1099" t="s">
        <v>49</v>
      </c>
      <c r="C2130" s="1099"/>
      <c r="D2130" s="1099"/>
      <c r="E2130" s="24">
        <f>Master!AK64</f>
        <v>0</v>
      </c>
      <c r="F2130" s="19"/>
      <c r="G2130" s="19"/>
      <c r="H2130" s="19"/>
      <c r="I2130" s="16"/>
      <c r="K2130" s="21">
        <v>5</v>
      </c>
      <c r="L2130" s="1099" t="s">
        <v>49</v>
      </c>
      <c r="M2130" s="1099"/>
      <c r="N2130" s="1099"/>
      <c r="O2130" s="24">
        <f>E2130</f>
        <v>0</v>
      </c>
      <c r="P2130" s="19"/>
      <c r="Q2130" s="19"/>
      <c r="R2130" s="19"/>
      <c r="S2130" s="16"/>
    </row>
    <row r="2131" spans="1:19">
      <c r="A2131" s="21"/>
      <c r="B2131" s="120"/>
      <c r="C2131" s="120"/>
      <c r="D2131" s="238" t="s">
        <v>50</v>
      </c>
      <c r="E2131" s="238" t="s">
        <v>23</v>
      </c>
      <c r="F2131" s="136" t="s">
        <v>25</v>
      </c>
      <c r="G2131" s="238" t="s">
        <v>26</v>
      </c>
      <c r="H2131" s="238" t="s">
        <v>202</v>
      </c>
      <c r="I2131" s="126" t="s">
        <v>51</v>
      </c>
      <c r="K2131" s="21"/>
      <c r="L2131" s="120"/>
      <c r="M2131" s="120"/>
      <c r="N2131" s="238" t="s">
        <v>50</v>
      </c>
      <c r="O2131" s="238" t="s">
        <v>23</v>
      </c>
      <c r="P2131" s="136" t="s">
        <v>25</v>
      </c>
      <c r="Q2131" s="238" t="s">
        <v>26</v>
      </c>
      <c r="R2131" s="238" t="str">
        <f>H2131</f>
        <v>ADV</v>
      </c>
      <c r="S2131" s="126" t="s">
        <v>51</v>
      </c>
    </row>
    <row r="2132" spans="1:19">
      <c r="A2132" s="21">
        <v>6</v>
      </c>
      <c r="B2132" s="468" t="s">
        <v>52</v>
      </c>
      <c r="C2132" s="468"/>
      <c r="D2132" s="335">
        <f>Master!AM64</f>
        <v>0</v>
      </c>
      <c r="E2132" s="335">
        <f>Master!AL64</f>
        <v>0</v>
      </c>
      <c r="F2132" s="180">
        <f>Master!AN1985</f>
        <v>0</v>
      </c>
      <c r="G2132" s="180">
        <f>Master!AO1985</f>
        <v>0</v>
      </c>
      <c r="H2132" s="180">
        <f>Master!AP1985</f>
        <v>0</v>
      </c>
      <c r="I2132" s="127">
        <f>D2132+E2132+F2132+G2132+H2132</f>
        <v>0</v>
      </c>
      <c r="K2132" s="21">
        <v>6</v>
      </c>
      <c r="L2132" s="468" t="s">
        <v>52</v>
      </c>
      <c r="M2132" s="468"/>
      <c r="N2132" s="335">
        <f>D2132</f>
        <v>0</v>
      </c>
      <c r="O2132" s="335">
        <f>E2132</f>
        <v>0</v>
      </c>
      <c r="P2132" s="180">
        <f>F2132</f>
        <v>0</v>
      </c>
      <c r="Q2132" s="180">
        <f>G2132</f>
        <v>0</v>
      </c>
      <c r="R2132" s="180">
        <f>H2132</f>
        <v>0</v>
      </c>
      <c r="S2132" s="127">
        <f>N2132+O2132+R2132</f>
        <v>0</v>
      </c>
    </row>
    <row r="2133" spans="1:19">
      <c r="A2133" s="21"/>
      <c r="B2133" s="120"/>
      <c r="C2133" s="120"/>
      <c r="D2133" s="120"/>
      <c r="E2133" s="120"/>
      <c r="F2133" s="114"/>
      <c r="G2133" s="114"/>
      <c r="H2133" s="114"/>
      <c r="I2133" s="16"/>
      <c r="K2133" s="21"/>
      <c r="L2133" s="120"/>
      <c r="M2133" s="120"/>
      <c r="N2133" s="120"/>
      <c r="O2133" s="120"/>
      <c r="P2133" s="114"/>
      <c r="Q2133" s="114"/>
      <c r="R2133" s="114"/>
      <c r="S2133" s="16"/>
    </row>
    <row r="2134" spans="1:19">
      <c r="A2134" s="21">
        <v>7</v>
      </c>
      <c r="B2134" s="1099" t="s">
        <v>53</v>
      </c>
      <c r="C2134" s="1099"/>
      <c r="D2134" s="1099"/>
      <c r="E2134" s="24">
        <f>E2130-I2132+1</f>
        <v>1</v>
      </c>
      <c r="F2134" s="19"/>
      <c r="G2134" s="19"/>
      <c r="H2134" s="19"/>
      <c r="I2134" s="16"/>
      <c r="K2134" s="21">
        <v>7</v>
      </c>
      <c r="L2134" s="1099" t="s">
        <v>53</v>
      </c>
      <c r="M2134" s="1099"/>
      <c r="N2134" s="1099"/>
      <c r="O2134" s="24">
        <f>E2134</f>
        <v>1</v>
      </c>
      <c r="P2134" s="19"/>
      <c r="Q2134" s="19"/>
      <c r="R2134" s="19"/>
      <c r="S2134" s="16"/>
    </row>
    <row r="2135" spans="1:19">
      <c r="A2135" s="15"/>
      <c r="B2135" s="114"/>
      <c r="C2135" s="114"/>
      <c r="D2135" s="114"/>
      <c r="E2135" s="114"/>
      <c r="F2135" s="114"/>
      <c r="G2135" s="114"/>
      <c r="H2135" s="114"/>
      <c r="I2135" s="16"/>
      <c r="K2135" s="15"/>
      <c r="L2135" s="114"/>
      <c r="M2135" s="114"/>
      <c r="N2135" s="114"/>
      <c r="O2135" s="114"/>
      <c r="P2135" s="114"/>
      <c r="Q2135" s="114"/>
      <c r="R2135" s="114"/>
      <c r="S2135" s="16"/>
    </row>
    <row r="2136" spans="1:19">
      <c r="A2136" s="15"/>
      <c r="B2136" s="114"/>
      <c r="C2136" s="114"/>
      <c r="D2136" s="114"/>
      <c r="E2136" s="114"/>
      <c r="F2136" s="114"/>
      <c r="G2136" s="114"/>
      <c r="H2136" s="114"/>
      <c r="I2136" s="16"/>
      <c r="K2136" s="15"/>
      <c r="L2136" s="114"/>
      <c r="M2136" s="114"/>
      <c r="N2136" s="114"/>
      <c r="O2136" s="114"/>
      <c r="P2136" s="114"/>
      <c r="Q2136" s="114"/>
      <c r="R2136" s="114"/>
      <c r="S2136" s="16"/>
    </row>
    <row r="2137" spans="1:19" ht="15" thickBot="1">
      <c r="A2137" s="15"/>
      <c r="B2137" s="114"/>
      <c r="C2137" s="114"/>
      <c r="D2137" s="114"/>
      <c r="E2137" s="114"/>
      <c r="F2137" s="25"/>
      <c r="G2137" s="25"/>
      <c r="H2137" s="25"/>
      <c r="I2137" s="26"/>
      <c r="K2137" s="15"/>
      <c r="L2137" s="114"/>
      <c r="M2137" s="114"/>
      <c r="N2137" s="114"/>
      <c r="O2137" s="114"/>
      <c r="P2137" s="25"/>
      <c r="Q2137" s="25"/>
      <c r="R2137" s="25"/>
      <c r="S2137" s="26"/>
    </row>
    <row r="2138" spans="1:19" ht="15" thickBot="1">
      <c r="A2138" s="27"/>
      <c r="B2138" s="25"/>
      <c r="C2138" s="25"/>
      <c r="D2138" s="25"/>
      <c r="E2138" s="999" t="s">
        <v>54</v>
      </c>
      <c r="F2138" s="999"/>
      <c r="G2138" s="999"/>
      <c r="H2138" s="999"/>
      <c r="I2138" s="1100"/>
      <c r="K2138" s="27"/>
      <c r="L2138" s="25"/>
      <c r="M2138" s="25"/>
      <c r="N2138" s="25"/>
      <c r="O2138" s="28" t="s">
        <v>54</v>
      </c>
      <c r="P2138" s="25"/>
      <c r="Q2138" s="28"/>
      <c r="R2138" s="28"/>
      <c r="S2138" s="29"/>
    </row>
    <row r="2150" spans="1:19" ht="15" thickBot="1"/>
    <row r="2151" spans="1:19" ht="24.6">
      <c r="A2151" s="1091" t="s">
        <v>39</v>
      </c>
      <c r="B2151" s="1092"/>
      <c r="C2151" s="1092"/>
      <c r="D2151" s="1092"/>
      <c r="E2151" s="1092"/>
      <c r="F2151" s="1092"/>
      <c r="G2151" s="1092"/>
      <c r="H2151" s="1092"/>
      <c r="I2151" s="1093"/>
      <c r="K2151" s="1091" t="s">
        <v>39</v>
      </c>
      <c r="L2151" s="1092"/>
      <c r="M2151" s="1092"/>
      <c r="N2151" s="1092"/>
      <c r="O2151" s="1092"/>
      <c r="P2151" s="1092"/>
      <c r="Q2151" s="1092"/>
      <c r="R2151" s="1092"/>
      <c r="S2151" s="1093"/>
    </row>
    <row r="2152" spans="1:19">
      <c r="A2152" s="1094" t="s">
        <v>1075</v>
      </c>
      <c r="B2152" s="1095"/>
      <c r="C2152" s="1095"/>
      <c r="D2152" s="1095"/>
      <c r="E2152" s="1095"/>
      <c r="F2152" s="1095"/>
      <c r="G2152" s="1095"/>
      <c r="H2152" s="1095"/>
      <c r="I2152" s="1096"/>
      <c r="K2152" s="1094" t="str">
        <f>A2152</f>
        <v>[Vide rule 78 (1) (b) of the Contract Labour (Regulation and Abolition) Central and A.P.{T.S.}Rules, 1971]</v>
      </c>
      <c r="L2152" s="1095"/>
      <c r="M2152" s="1095"/>
      <c r="N2152" s="1095"/>
      <c r="O2152" s="1095"/>
      <c r="P2152" s="1095"/>
      <c r="Q2152" s="1095"/>
      <c r="R2152" s="1095"/>
      <c r="S2152" s="1096"/>
    </row>
    <row r="2153" spans="1:19">
      <c r="A2153" s="15"/>
      <c r="B2153" s="114"/>
      <c r="C2153" s="114"/>
      <c r="D2153" s="114"/>
      <c r="E2153" s="114"/>
      <c r="F2153" s="114"/>
      <c r="G2153" s="114"/>
      <c r="H2153" s="114"/>
      <c r="I2153" s="16"/>
      <c r="K2153" s="15"/>
      <c r="L2153" s="114"/>
      <c r="M2153" s="114"/>
      <c r="N2153" s="114"/>
      <c r="O2153" s="114"/>
      <c r="P2153" s="114"/>
      <c r="Q2153" s="114"/>
      <c r="R2153" s="114"/>
      <c r="S2153" s="16"/>
    </row>
    <row r="2154" spans="1:19">
      <c r="A2154" s="17" t="s">
        <v>40</v>
      </c>
      <c r="B2154" s="120"/>
      <c r="C2154" s="120"/>
      <c r="D2154" s="121" t="str">
        <f>Master!F5</f>
        <v>GROTECH LANDSCAPE DEVELOPERS PVT. LTD.</v>
      </c>
      <c r="E2154" s="114"/>
      <c r="F2154" s="114"/>
      <c r="G2154" s="114"/>
      <c r="H2154" s="114"/>
      <c r="I2154" s="16"/>
      <c r="K2154" s="17" t="s">
        <v>40</v>
      </c>
      <c r="L2154" s="120"/>
      <c r="M2154" s="120"/>
      <c r="N2154" s="121" t="str">
        <f>D2154</f>
        <v>GROTECH LANDSCAPE DEVELOPERS PVT. LTD.</v>
      </c>
      <c r="O2154" s="114"/>
      <c r="P2154" s="114"/>
      <c r="Q2154" s="114"/>
      <c r="R2154" s="114"/>
      <c r="S2154" s="16"/>
    </row>
    <row r="2155" spans="1:19">
      <c r="A2155" s="17"/>
      <c r="B2155" s="120" t="str">
        <f>Master!F6</f>
        <v>290/E, Khanapur Village, Gandipet Mandal, Ranga Reddy, Hyderabad-500075 T.S.</v>
      </c>
      <c r="C2155" s="120"/>
      <c r="D2155" s="114"/>
      <c r="E2155" s="114"/>
      <c r="F2155" s="114"/>
      <c r="G2155" s="114"/>
      <c r="H2155" s="114"/>
      <c r="I2155" s="16"/>
      <c r="K2155" s="17"/>
      <c r="L2155" s="120" t="str">
        <f>B2155</f>
        <v>290/E, Khanapur Village, Gandipet Mandal, Ranga Reddy, Hyderabad-500075 T.S.</v>
      </c>
      <c r="M2155" s="120"/>
      <c r="N2155" s="114"/>
      <c r="O2155" s="114"/>
      <c r="P2155" s="114"/>
      <c r="Q2155" s="114"/>
      <c r="R2155" s="114"/>
      <c r="S2155" s="16"/>
    </row>
    <row r="2156" spans="1:19">
      <c r="A2156" s="17"/>
      <c r="B2156" s="120"/>
      <c r="C2156" s="120"/>
      <c r="D2156" s="120"/>
      <c r="E2156" s="120"/>
      <c r="F2156" s="114"/>
      <c r="G2156" s="114"/>
      <c r="H2156" s="114"/>
      <c r="I2156" s="16"/>
      <c r="K2156" s="17"/>
      <c r="L2156" s="120"/>
      <c r="M2156" s="120"/>
      <c r="N2156" s="120"/>
      <c r="O2156" s="120"/>
      <c r="P2156" s="114"/>
      <c r="Q2156" s="114"/>
      <c r="R2156" s="114"/>
      <c r="S2156" s="16"/>
    </row>
    <row r="2157" spans="1:19">
      <c r="A2157" s="1097" t="s">
        <v>41</v>
      </c>
      <c r="B2157" s="1098"/>
      <c r="C2157" s="1098"/>
      <c r="D2157" s="1098"/>
      <c r="E2157" s="120"/>
      <c r="F2157" s="114"/>
      <c r="G2157" s="114"/>
      <c r="H2157" s="114"/>
      <c r="I2157" s="16"/>
      <c r="K2157" s="1097" t="s">
        <v>41</v>
      </c>
      <c r="L2157" s="1098"/>
      <c r="M2157" s="1098"/>
      <c r="N2157" s="1098"/>
      <c r="O2157" s="120"/>
      <c r="P2157" s="114"/>
      <c r="Q2157" s="114"/>
      <c r="R2157" s="114"/>
      <c r="S2157" s="16"/>
    </row>
    <row r="2158" spans="1:19">
      <c r="A2158" s="1097"/>
      <c r="B2158" s="1098"/>
      <c r="C2158" s="1098"/>
      <c r="D2158" s="1098"/>
      <c r="E2158" s="128" t="e">
        <f>Master!#REF!</f>
        <v>#REF!</v>
      </c>
      <c r="F2158" s="19"/>
      <c r="G2158" s="19"/>
      <c r="H2158" s="19" t="e">
        <f>Master!#REF!</f>
        <v>#REF!</v>
      </c>
      <c r="I2158" s="16"/>
      <c r="K2158" s="1097"/>
      <c r="L2158" s="1098"/>
      <c r="M2158" s="1098"/>
      <c r="N2158" s="1098"/>
      <c r="O2158" s="18" t="e">
        <f>E2158</f>
        <v>#REF!</v>
      </c>
      <c r="P2158" s="19"/>
      <c r="Q2158" s="19"/>
      <c r="R2158" s="19" t="e">
        <f>H2158</f>
        <v>#REF!</v>
      </c>
      <c r="S2158" s="16"/>
    </row>
    <row r="2159" spans="1:19">
      <c r="A2159" s="17"/>
      <c r="B2159" s="120"/>
      <c r="C2159" s="120"/>
      <c r="D2159" s="120"/>
      <c r="E2159" s="120"/>
      <c r="F2159" s="114"/>
      <c r="G2159" s="114"/>
      <c r="H2159" s="114"/>
      <c r="I2159" s="16"/>
      <c r="K2159" s="17"/>
      <c r="L2159" s="120"/>
      <c r="M2159" s="120"/>
      <c r="N2159" s="120"/>
      <c r="O2159" s="120"/>
      <c r="P2159" s="114"/>
      <c r="Q2159" s="114"/>
      <c r="R2159" s="114"/>
      <c r="S2159" s="16"/>
    </row>
    <row r="2160" spans="1:19">
      <c r="A2160" s="1101" t="s">
        <v>42</v>
      </c>
      <c r="B2160" s="1099"/>
      <c r="C2160" s="1099"/>
      <c r="D2160" s="1099"/>
      <c r="E2160" s="24" t="str">
        <f>Master!F8</f>
        <v>GARDENING SERVICES&amp;ISB HYDERABAD</v>
      </c>
      <c r="F2160" s="19"/>
      <c r="G2160" s="19"/>
      <c r="H2160" s="19"/>
      <c r="I2160" s="16"/>
      <c r="K2160" s="1101" t="s">
        <v>42</v>
      </c>
      <c r="L2160" s="1099"/>
      <c r="M2160" s="1099"/>
      <c r="N2160" s="1099"/>
      <c r="O2160" s="24" t="str">
        <f>E2160</f>
        <v>GARDENING SERVICES&amp;ISB HYDERABAD</v>
      </c>
      <c r="P2160" s="19"/>
      <c r="Q2160" s="19"/>
      <c r="R2160" s="19"/>
      <c r="S2160" s="16"/>
    </row>
    <row r="2161" spans="1:19">
      <c r="A2161" s="17"/>
      <c r="B2161" s="120"/>
      <c r="C2161" s="120"/>
      <c r="D2161" s="120"/>
      <c r="E2161" s="120"/>
      <c r="F2161" s="114"/>
      <c r="G2161" s="114"/>
      <c r="H2161" s="114"/>
      <c r="I2161" s="16"/>
      <c r="K2161" s="17"/>
      <c r="L2161" s="120"/>
      <c r="M2161" s="120"/>
      <c r="N2161" s="120"/>
      <c r="O2161" s="120"/>
      <c r="P2161" s="114"/>
      <c r="Q2161" s="114"/>
      <c r="R2161" s="114"/>
      <c r="S2161" s="16"/>
    </row>
    <row r="2162" spans="1:19">
      <c r="A2162" s="1101" t="s">
        <v>43</v>
      </c>
      <c r="B2162" s="1099"/>
      <c r="C2162" s="1099"/>
      <c r="D2162" s="1099"/>
      <c r="E2162" s="20">
        <f>Master!F10</f>
        <v>44652</v>
      </c>
      <c r="F2162" s="19"/>
      <c r="G2162" s="19"/>
      <c r="H2162" s="19"/>
      <c r="I2162" s="16"/>
      <c r="K2162" s="1101" t="s">
        <v>43</v>
      </c>
      <c r="L2162" s="1099"/>
      <c r="M2162" s="1099"/>
      <c r="N2162" s="1099"/>
      <c r="O2162" s="20">
        <f>E2162</f>
        <v>44652</v>
      </c>
      <c r="P2162" s="19"/>
      <c r="Q2162" s="19"/>
      <c r="R2162" s="19"/>
      <c r="S2162" s="16"/>
    </row>
    <row r="2163" spans="1:19">
      <c r="A2163" s="17"/>
      <c r="B2163" s="120"/>
      <c r="C2163" s="120"/>
      <c r="D2163" s="120"/>
      <c r="E2163" s="120"/>
      <c r="F2163" s="114"/>
      <c r="G2163" s="114"/>
      <c r="H2163" s="114"/>
      <c r="I2163" s="16"/>
      <c r="K2163" s="17"/>
      <c r="L2163" s="120"/>
      <c r="M2163" s="120"/>
      <c r="N2163" s="120"/>
      <c r="O2163" s="120"/>
      <c r="P2163" s="114"/>
      <c r="Q2163" s="114"/>
      <c r="R2163" s="114"/>
      <c r="S2163" s="16"/>
    </row>
    <row r="2164" spans="1:19">
      <c r="A2164" s="21">
        <v>1</v>
      </c>
      <c r="B2164" s="1099" t="s">
        <v>44</v>
      </c>
      <c r="C2164" s="1099"/>
      <c r="D2164" s="1099"/>
      <c r="E2164" s="22" t="e">
        <f>Master!#REF!</f>
        <v>#REF!</v>
      </c>
      <c r="F2164" s="19"/>
      <c r="G2164" s="19"/>
      <c r="H2164" s="19"/>
      <c r="I2164" s="16"/>
      <c r="K2164" s="21">
        <v>1</v>
      </c>
      <c r="L2164" s="1099" t="s">
        <v>44</v>
      </c>
      <c r="M2164" s="1099"/>
      <c r="N2164" s="1099"/>
      <c r="O2164" s="22" t="e">
        <f>E2164</f>
        <v>#REF!</v>
      </c>
      <c r="P2164" s="19"/>
      <c r="Q2164" s="19"/>
      <c r="R2164" s="19"/>
      <c r="S2164" s="16"/>
    </row>
    <row r="2165" spans="1:19">
      <c r="A2165" s="21"/>
      <c r="B2165" s="120"/>
      <c r="C2165" s="120"/>
      <c r="D2165" s="120"/>
      <c r="E2165" s="120"/>
      <c r="F2165" s="114"/>
      <c r="G2165" s="114"/>
      <c r="H2165" s="114"/>
      <c r="I2165" s="16"/>
      <c r="K2165" s="21"/>
      <c r="L2165" s="120"/>
      <c r="M2165" s="120"/>
      <c r="N2165" s="120"/>
      <c r="O2165" s="120"/>
      <c r="P2165" s="114"/>
      <c r="Q2165" s="114"/>
      <c r="R2165" s="114"/>
      <c r="S2165" s="16"/>
    </row>
    <row r="2166" spans="1:19">
      <c r="A2166" s="21">
        <v>2</v>
      </c>
      <c r="B2166" s="1098" t="s">
        <v>45</v>
      </c>
      <c r="C2166" s="1098"/>
      <c r="D2166" s="1098"/>
      <c r="E2166" s="120"/>
      <c r="F2166" s="114"/>
      <c r="G2166" s="114"/>
      <c r="H2166" s="114"/>
      <c r="I2166" s="16"/>
      <c r="K2166" s="21">
        <v>2</v>
      </c>
      <c r="L2166" s="1098" t="s">
        <v>45</v>
      </c>
      <c r="M2166" s="1098"/>
      <c r="N2166" s="1098"/>
      <c r="O2166" s="120"/>
      <c r="P2166" s="114"/>
      <c r="Q2166" s="114"/>
      <c r="R2166" s="114"/>
      <c r="S2166" s="16"/>
    </row>
    <row r="2167" spans="1:19">
      <c r="A2167" s="21"/>
      <c r="B2167" s="1098"/>
      <c r="C2167" s="1098"/>
      <c r="D2167" s="1098"/>
      <c r="E2167" s="23" t="s">
        <v>28</v>
      </c>
      <c r="F2167" s="19"/>
      <c r="G2167" s="19"/>
      <c r="H2167" s="19"/>
      <c r="I2167" s="16"/>
      <c r="K2167" s="21"/>
      <c r="L2167" s="1098"/>
      <c r="M2167" s="1098"/>
      <c r="N2167" s="1098"/>
      <c r="O2167" s="23" t="s">
        <v>28</v>
      </c>
      <c r="P2167" s="19"/>
      <c r="Q2167" s="19"/>
      <c r="R2167" s="19"/>
      <c r="S2167" s="16"/>
    </row>
    <row r="2168" spans="1:19">
      <c r="A2168" s="21"/>
      <c r="B2168" s="120"/>
      <c r="C2168" s="120"/>
      <c r="D2168" s="120"/>
      <c r="E2168" s="120"/>
      <c r="F2168" s="114"/>
      <c r="G2168" s="114"/>
      <c r="H2168" s="114"/>
      <c r="I2168" s="16"/>
      <c r="K2168" s="21"/>
      <c r="L2168" s="120"/>
      <c r="M2168" s="120"/>
      <c r="N2168" s="120"/>
      <c r="O2168" s="120"/>
      <c r="P2168" s="114"/>
      <c r="Q2168" s="114"/>
      <c r="R2168" s="114"/>
      <c r="S2168" s="16"/>
    </row>
    <row r="2169" spans="1:19">
      <c r="A2169" s="21">
        <v>3</v>
      </c>
      <c r="B2169" s="1099" t="s">
        <v>46</v>
      </c>
      <c r="C2169" s="1099"/>
      <c r="D2169" s="1099"/>
      <c r="E2169" s="23" t="s">
        <v>28</v>
      </c>
      <c r="F2169" s="19"/>
      <c r="G2169" s="19"/>
      <c r="H2169" s="19"/>
      <c r="I2169" s="16"/>
      <c r="K2169" s="21">
        <v>3</v>
      </c>
      <c r="L2169" s="1099" t="s">
        <v>46</v>
      </c>
      <c r="M2169" s="1099"/>
      <c r="N2169" s="1099"/>
      <c r="O2169" s="18" t="str">
        <f>E2169</f>
        <v>N/A</v>
      </c>
      <c r="P2169" s="19"/>
      <c r="Q2169" s="19"/>
      <c r="R2169" s="19"/>
      <c r="S2169" s="16"/>
    </row>
    <row r="2170" spans="1:19">
      <c r="A2170" s="21"/>
      <c r="B2170" s="120"/>
      <c r="C2170" s="120"/>
      <c r="D2170" s="120"/>
      <c r="E2170" s="120"/>
      <c r="F2170" s="114"/>
      <c r="G2170" s="114"/>
      <c r="H2170" s="114"/>
      <c r="I2170" s="16"/>
      <c r="K2170" s="21"/>
      <c r="L2170" s="120"/>
      <c r="M2170" s="120"/>
      <c r="N2170" s="120"/>
      <c r="O2170" s="120"/>
      <c r="P2170" s="114"/>
      <c r="Q2170" s="114"/>
      <c r="R2170" s="114"/>
      <c r="S2170" s="16"/>
    </row>
    <row r="2171" spans="1:19">
      <c r="A2171" s="21">
        <v>4</v>
      </c>
      <c r="B2171" s="1099" t="s">
        <v>47</v>
      </c>
      <c r="C2171" s="1099"/>
      <c r="D2171" s="1099"/>
      <c r="E2171" s="23" t="s">
        <v>48</v>
      </c>
      <c r="F2171" s="19"/>
      <c r="G2171" s="19"/>
      <c r="H2171" s="19"/>
      <c r="I2171" s="16"/>
      <c r="K2171" s="21">
        <v>4</v>
      </c>
      <c r="L2171" s="1099" t="s">
        <v>47</v>
      </c>
      <c r="M2171" s="1099"/>
      <c r="N2171" s="1099"/>
      <c r="O2171" s="23" t="s">
        <v>48</v>
      </c>
      <c r="P2171" s="19"/>
      <c r="Q2171" s="19"/>
      <c r="R2171" s="19"/>
      <c r="S2171" s="16"/>
    </row>
    <row r="2172" spans="1:19">
      <c r="A2172" s="21"/>
      <c r="B2172" s="120"/>
      <c r="C2172" s="120"/>
      <c r="D2172" s="120"/>
      <c r="E2172" s="120"/>
      <c r="F2172" s="114"/>
      <c r="G2172" s="114"/>
      <c r="H2172" s="114"/>
      <c r="I2172" s="16"/>
      <c r="K2172" s="21"/>
      <c r="L2172" s="120"/>
      <c r="M2172" s="120"/>
      <c r="N2172" s="120"/>
      <c r="O2172" s="120"/>
      <c r="P2172" s="114"/>
      <c r="Q2172" s="114"/>
      <c r="R2172" s="114"/>
      <c r="S2172" s="16"/>
    </row>
    <row r="2173" spans="1:19">
      <c r="A2173" s="21">
        <v>5</v>
      </c>
      <c r="B2173" s="1099" t="s">
        <v>49</v>
      </c>
      <c r="C2173" s="1099"/>
      <c r="D2173" s="1099"/>
      <c r="E2173" s="24" t="e">
        <f>Master!#REF!</f>
        <v>#REF!</v>
      </c>
      <c r="F2173" s="19"/>
      <c r="G2173" s="19"/>
      <c r="H2173" s="19"/>
      <c r="I2173" s="16"/>
      <c r="K2173" s="21">
        <v>5</v>
      </c>
      <c r="L2173" s="1099" t="s">
        <v>49</v>
      </c>
      <c r="M2173" s="1099"/>
      <c r="N2173" s="1099"/>
      <c r="O2173" s="24" t="e">
        <f>E2173</f>
        <v>#REF!</v>
      </c>
      <c r="P2173" s="19"/>
      <c r="Q2173" s="19"/>
      <c r="R2173" s="19"/>
      <c r="S2173" s="16"/>
    </row>
    <row r="2174" spans="1:19">
      <c r="A2174" s="21"/>
      <c r="B2174" s="120"/>
      <c r="C2174" s="120"/>
      <c r="D2174" s="238" t="s">
        <v>50</v>
      </c>
      <c r="E2174" s="238" t="s">
        <v>23</v>
      </c>
      <c r="F2174" s="136" t="s">
        <v>25</v>
      </c>
      <c r="G2174" s="238" t="s">
        <v>26</v>
      </c>
      <c r="H2174" s="238" t="s">
        <v>202</v>
      </c>
      <c r="I2174" s="126" t="s">
        <v>51</v>
      </c>
      <c r="K2174" s="21"/>
      <c r="L2174" s="120"/>
      <c r="M2174" s="120"/>
      <c r="N2174" s="238" t="s">
        <v>50</v>
      </c>
      <c r="O2174" s="238" t="s">
        <v>23</v>
      </c>
      <c r="P2174" s="136" t="s">
        <v>25</v>
      </c>
      <c r="Q2174" s="238" t="s">
        <v>26</v>
      </c>
      <c r="R2174" s="238" t="str">
        <f>H2174</f>
        <v>ADV</v>
      </c>
      <c r="S2174" s="126" t="s">
        <v>51</v>
      </c>
    </row>
    <row r="2175" spans="1:19">
      <c r="A2175" s="21">
        <v>6</v>
      </c>
      <c r="B2175" s="468" t="s">
        <v>52</v>
      </c>
      <c r="C2175" s="468"/>
      <c r="D2175" s="335" t="e">
        <f>Master!#REF!</f>
        <v>#REF!</v>
      </c>
      <c r="E2175" s="335" t="e">
        <f>Master!#REF!</f>
        <v>#REF!</v>
      </c>
      <c r="F2175" s="180">
        <f>Master!AN2028</f>
        <v>0</v>
      </c>
      <c r="G2175" s="180">
        <f>Master!AO2028</f>
        <v>0</v>
      </c>
      <c r="H2175" s="180">
        <f>Master!AP2028</f>
        <v>0</v>
      </c>
      <c r="I2175" s="127" t="e">
        <f>D2175+E2175+F2175+G2175+H2175</f>
        <v>#REF!</v>
      </c>
      <c r="K2175" s="21">
        <v>6</v>
      </c>
      <c r="L2175" s="468" t="s">
        <v>52</v>
      </c>
      <c r="M2175" s="468"/>
      <c r="N2175" s="335" t="e">
        <f>D2175</f>
        <v>#REF!</v>
      </c>
      <c r="O2175" s="335" t="e">
        <f>E2175</f>
        <v>#REF!</v>
      </c>
      <c r="P2175" s="180">
        <f>F2175</f>
        <v>0</v>
      </c>
      <c r="Q2175" s="180">
        <f>G2175</f>
        <v>0</v>
      </c>
      <c r="R2175" s="180">
        <f>H2175</f>
        <v>0</v>
      </c>
      <c r="S2175" s="127" t="e">
        <f>N2175+O2175+R2175</f>
        <v>#REF!</v>
      </c>
    </row>
    <row r="2176" spans="1:19">
      <c r="A2176" s="21"/>
      <c r="B2176" s="120"/>
      <c r="C2176" s="120"/>
      <c r="D2176" s="120"/>
      <c r="E2176" s="120"/>
      <c r="F2176" s="114"/>
      <c r="G2176" s="114"/>
      <c r="H2176" s="114"/>
      <c r="I2176" s="16"/>
      <c r="K2176" s="21"/>
      <c r="L2176" s="120"/>
      <c r="M2176" s="120"/>
      <c r="N2176" s="120"/>
      <c r="O2176" s="120"/>
      <c r="P2176" s="114"/>
      <c r="Q2176" s="114"/>
      <c r="R2176" s="114"/>
      <c r="S2176" s="16"/>
    </row>
    <row r="2177" spans="1:19">
      <c r="A2177" s="21">
        <v>7</v>
      </c>
      <c r="B2177" s="1099" t="s">
        <v>53</v>
      </c>
      <c r="C2177" s="1099"/>
      <c r="D2177" s="1099"/>
      <c r="E2177" s="24" t="e">
        <f>E2173-I2175</f>
        <v>#REF!</v>
      </c>
      <c r="F2177" s="19"/>
      <c r="G2177" s="19"/>
      <c r="H2177" s="19"/>
      <c r="I2177" s="16"/>
      <c r="K2177" s="21">
        <v>7</v>
      </c>
      <c r="L2177" s="1099" t="s">
        <v>53</v>
      </c>
      <c r="M2177" s="1099"/>
      <c r="N2177" s="1099"/>
      <c r="O2177" s="24" t="e">
        <f>E2177</f>
        <v>#REF!</v>
      </c>
      <c r="P2177" s="19"/>
      <c r="Q2177" s="19"/>
      <c r="R2177" s="19"/>
      <c r="S2177" s="16"/>
    </row>
    <row r="2178" spans="1:19">
      <c r="A2178" s="15"/>
      <c r="B2178" s="114"/>
      <c r="C2178" s="114"/>
      <c r="D2178" s="114"/>
      <c r="E2178" s="114"/>
      <c r="F2178" s="114"/>
      <c r="G2178" s="114"/>
      <c r="H2178" s="114"/>
      <c r="I2178" s="16"/>
      <c r="K2178" s="15"/>
      <c r="L2178" s="114"/>
      <c r="M2178" s="114"/>
      <c r="N2178" s="114"/>
      <c r="O2178" s="114"/>
      <c r="P2178" s="114"/>
      <c r="Q2178" s="114"/>
      <c r="R2178" s="114"/>
      <c r="S2178" s="16"/>
    </row>
    <row r="2179" spans="1:19">
      <c r="A2179" s="15"/>
      <c r="B2179" s="114"/>
      <c r="C2179" s="114"/>
      <c r="D2179" s="114"/>
      <c r="E2179" s="114"/>
      <c r="F2179" s="114"/>
      <c r="G2179" s="114"/>
      <c r="H2179" s="114"/>
      <c r="I2179" s="16"/>
      <c r="K2179" s="15"/>
      <c r="L2179" s="114"/>
      <c r="M2179" s="114"/>
      <c r="N2179" s="114"/>
      <c r="O2179" s="114"/>
      <c r="P2179" s="114"/>
      <c r="Q2179" s="114"/>
      <c r="R2179" s="114"/>
      <c r="S2179" s="16"/>
    </row>
    <row r="2180" spans="1:19" ht="15" thickBot="1">
      <c r="A2180" s="15"/>
      <c r="B2180" s="114"/>
      <c r="C2180" s="114"/>
      <c r="D2180" s="114"/>
      <c r="E2180" s="114"/>
      <c r="F2180" s="25"/>
      <c r="G2180" s="25"/>
      <c r="H2180" s="25"/>
      <c r="I2180" s="26"/>
      <c r="K2180" s="15"/>
      <c r="L2180" s="114"/>
      <c r="M2180" s="114"/>
      <c r="N2180" s="114"/>
      <c r="O2180" s="114"/>
      <c r="P2180" s="25"/>
      <c r="Q2180" s="25"/>
      <c r="R2180" s="25"/>
      <c r="S2180" s="26"/>
    </row>
    <row r="2181" spans="1:19" ht="15" thickBot="1">
      <c r="A2181" s="27"/>
      <c r="B2181" s="25"/>
      <c r="C2181" s="25"/>
      <c r="D2181" s="25"/>
      <c r="E2181" s="999" t="s">
        <v>54</v>
      </c>
      <c r="F2181" s="999"/>
      <c r="G2181" s="999"/>
      <c r="H2181" s="999"/>
      <c r="I2181" s="1100"/>
      <c r="K2181" s="27"/>
      <c r="L2181" s="25"/>
      <c r="M2181" s="25"/>
      <c r="N2181" s="25"/>
      <c r="O2181" s="28" t="s">
        <v>54</v>
      </c>
      <c r="P2181" s="25"/>
      <c r="Q2181" s="28"/>
      <c r="R2181" s="28"/>
      <c r="S2181" s="29"/>
    </row>
    <row r="2193" spans="1:19" ht="15" thickBot="1"/>
    <row r="2194" spans="1:19" ht="24.6">
      <c r="A2194" s="1091" t="s">
        <v>39</v>
      </c>
      <c r="B2194" s="1092"/>
      <c r="C2194" s="1092"/>
      <c r="D2194" s="1092"/>
      <c r="E2194" s="1092"/>
      <c r="F2194" s="1092"/>
      <c r="G2194" s="1092"/>
      <c r="H2194" s="1092"/>
      <c r="I2194" s="1093"/>
      <c r="K2194" s="1091" t="s">
        <v>39</v>
      </c>
      <c r="L2194" s="1092"/>
      <c r="M2194" s="1092"/>
      <c r="N2194" s="1092"/>
      <c r="O2194" s="1092"/>
      <c r="P2194" s="1092"/>
      <c r="Q2194" s="1092"/>
      <c r="R2194" s="1092"/>
      <c r="S2194" s="1093"/>
    </row>
    <row r="2195" spans="1:19">
      <c r="A2195" s="1094" t="s">
        <v>1075</v>
      </c>
      <c r="B2195" s="1095"/>
      <c r="C2195" s="1095"/>
      <c r="D2195" s="1095"/>
      <c r="E2195" s="1095"/>
      <c r="F2195" s="1095"/>
      <c r="G2195" s="1095"/>
      <c r="H2195" s="1095"/>
      <c r="I2195" s="1096"/>
      <c r="K2195" s="1094" t="str">
        <f>A2195</f>
        <v>[Vide rule 78 (1) (b) of the Contract Labour (Regulation and Abolition) Central and A.P.{T.S.}Rules, 1971]</v>
      </c>
      <c r="L2195" s="1095"/>
      <c r="M2195" s="1095"/>
      <c r="N2195" s="1095"/>
      <c r="O2195" s="1095"/>
      <c r="P2195" s="1095"/>
      <c r="Q2195" s="1095"/>
      <c r="R2195" s="1095"/>
      <c r="S2195" s="1096"/>
    </row>
    <row r="2196" spans="1:19">
      <c r="A2196" s="15"/>
      <c r="B2196" s="114"/>
      <c r="C2196" s="114"/>
      <c r="D2196" s="114"/>
      <c r="E2196" s="114"/>
      <c r="F2196" s="114"/>
      <c r="G2196" s="114"/>
      <c r="H2196" s="114"/>
      <c r="I2196" s="16"/>
      <c r="K2196" s="15"/>
      <c r="L2196" s="114"/>
      <c r="M2196" s="114"/>
      <c r="N2196" s="114"/>
      <c r="O2196" s="114"/>
      <c r="P2196" s="114"/>
      <c r="Q2196" s="114"/>
      <c r="R2196" s="114"/>
      <c r="S2196" s="16"/>
    </row>
    <row r="2197" spans="1:19">
      <c r="A2197" s="17" t="s">
        <v>40</v>
      </c>
      <c r="B2197" s="120"/>
      <c r="C2197" s="120"/>
      <c r="D2197" s="121" t="str">
        <f>Master!F5</f>
        <v>GROTECH LANDSCAPE DEVELOPERS PVT. LTD.</v>
      </c>
      <c r="E2197" s="114"/>
      <c r="F2197" s="114"/>
      <c r="G2197" s="114"/>
      <c r="H2197" s="114"/>
      <c r="I2197" s="16"/>
      <c r="K2197" s="17" t="s">
        <v>40</v>
      </c>
      <c r="L2197" s="120"/>
      <c r="M2197" s="120"/>
      <c r="N2197" s="121" t="str">
        <f>D2197</f>
        <v>GROTECH LANDSCAPE DEVELOPERS PVT. LTD.</v>
      </c>
      <c r="O2197" s="114"/>
      <c r="P2197" s="114"/>
      <c r="Q2197" s="114"/>
      <c r="R2197" s="114"/>
      <c r="S2197" s="16"/>
    </row>
    <row r="2198" spans="1:19">
      <c r="A2198" s="17"/>
      <c r="B2198" s="120" t="str">
        <f>Master!F6</f>
        <v>290/E, Khanapur Village, Gandipet Mandal, Ranga Reddy, Hyderabad-500075 T.S.</v>
      </c>
      <c r="C2198" s="120"/>
      <c r="D2198" s="114"/>
      <c r="E2198" s="114"/>
      <c r="F2198" s="114"/>
      <c r="G2198" s="114"/>
      <c r="H2198" s="114"/>
      <c r="I2198" s="16"/>
      <c r="K2198" s="17"/>
      <c r="L2198" s="120" t="str">
        <f>B2198</f>
        <v>290/E, Khanapur Village, Gandipet Mandal, Ranga Reddy, Hyderabad-500075 T.S.</v>
      </c>
      <c r="M2198" s="120"/>
      <c r="N2198" s="114"/>
      <c r="O2198" s="114"/>
      <c r="P2198" s="114"/>
      <c r="Q2198" s="114"/>
      <c r="R2198" s="114"/>
      <c r="S2198" s="16"/>
    </row>
    <row r="2199" spans="1:19">
      <c r="A2199" s="17"/>
      <c r="B2199" s="120"/>
      <c r="C2199" s="120"/>
      <c r="D2199" s="120"/>
      <c r="E2199" s="120"/>
      <c r="F2199" s="114"/>
      <c r="G2199" s="114"/>
      <c r="H2199" s="114"/>
      <c r="I2199" s="16"/>
      <c r="K2199" s="17"/>
      <c r="L2199" s="120"/>
      <c r="M2199" s="120"/>
      <c r="N2199" s="120"/>
      <c r="O2199" s="120"/>
      <c r="P2199" s="114"/>
      <c r="Q2199" s="114"/>
      <c r="R2199" s="114"/>
      <c r="S2199" s="16"/>
    </row>
    <row r="2200" spans="1:19">
      <c r="A2200" s="1097" t="s">
        <v>41</v>
      </c>
      <c r="B2200" s="1098"/>
      <c r="C2200" s="1098"/>
      <c r="D2200" s="1098"/>
      <c r="E2200" s="120"/>
      <c r="F2200" s="114"/>
      <c r="G2200" s="114"/>
      <c r="H2200" s="114"/>
      <c r="I2200" s="16"/>
      <c r="K2200" s="1097" t="s">
        <v>41</v>
      </c>
      <c r="L2200" s="1098"/>
      <c r="M2200" s="1098"/>
      <c r="N2200" s="1098"/>
      <c r="O2200" s="120"/>
      <c r="P2200" s="114"/>
      <c r="Q2200" s="114"/>
      <c r="R2200" s="114"/>
      <c r="S2200" s="16"/>
    </row>
    <row r="2201" spans="1:19">
      <c r="A2201" s="1097"/>
      <c r="B2201" s="1098"/>
      <c r="C2201" s="1098"/>
      <c r="D2201" s="1098"/>
      <c r="E2201" s="128" t="e">
        <f>Master!#REF!</f>
        <v>#REF!</v>
      </c>
      <c r="F2201" s="19"/>
      <c r="G2201" s="19"/>
      <c r="H2201" s="19" t="e">
        <f>Master!#REF!</f>
        <v>#REF!</v>
      </c>
      <c r="I2201" s="16"/>
      <c r="K2201" s="1097"/>
      <c r="L2201" s="1098"/>
      <c r="M2201" s="1098"/>
      <c r="N2201" s="1098"/>
      <c r="O2201" s="18" t="e">
        <f>E2201</f>
        <v>#REF!</v>
      </c>
      <c r="P2201" s="19"/>
      <c r="Q2201" s="19"/>
      <c r="R2201" s="19" t="e">
        <f>H2201</f>
        <v>#REF!</v>
      </c>
      <c r="S2201" s="16"/>
    </row>
    <row r="2202" spans="1:19">
      <c r="A2202" s="17"/>
      <c r="B2202" s="120"/>
      <c r="C2202" s="120"/>
      <c r="D2202" s="120"/>
      <c r="E2202" s="120"/>
      <c r="F2202" s="114"/>
      <c r="G2202" s="114"/>
      <c r="H2202" s="114"/>
      <c r="I2202" s="16"/>
      <c r="K2202" s="17"/>
      <c r="L2202" s="120"/>
      <c r="M2202" s="120"/>
      <c r="N2202" s="120"/>
      <c r="O2202" s="120"/>
      <c r="P2202" s="114"/>
      <c r="Q2202" s="114"/>
      <c r="R2202" s="114"/>
      <c r="S2202" s="16"/>
    </row>
    <row r="2203" spans="1:19">
      <c r="A2203" s="1101" t="s">
        <v>42</v>
      </c>
      <c r="B2203" s="1099"/>
      <c r="C2203" s="1099"/>
      <c r="D2203" s="1099"/>
      <c r="E2203" s="24" t="str">
        <f>Master!F8</f>
        <v>GARDENING SERVICES&amp;ISB HYDERABAD</v>
      </c>
      <c r="F2203" s="19"/>
      <c r="G2203" s="19"/>
      <c r="H2203" s="19"/>
      <c r="I2203" s="16"/>
      <c r="K2203" s="1101" t="s">
        <v>42</v>
      </c>
      <c r="L2203" s="1099"/>
      <c r="M2203" s="1099"/>
      <c r="N2203" s="1099"/>
      <c r="O2203" s="24" t="str">
        <f>E2203</f>
        <v>GARDENING SERVICES&amp;ISB HYDERABAD</v>
      </c>
      <c r="P2203" s="19"/>
      <c r="Q2203" s="19"/>
      <c r="R2203" s="19"/>
      <c r="S2203" s="16"/>
    </row>
    <row r="2204" spans="1:19">
      <c r="A2204" s="17"/>
      <c r="B2204" s="120"/>
      <c r="C2204" s="120"/>
      <c r="D2204" s="120"/>
      <c r="E2204" s="120"/>
      <c r="F2204" s="114"/>
      <c r="G2204" s="114"/>
      <c r="H2204" s="114"/>
      <c r="I2204" s="16"/>
      <c r="K2204" s="17"/>
      <c r="L2204" s="120"/>
      <c r="M2204" s="120"/>
      <c r="N2204" s="120"/>
      <c r="O2204" s="120"/>
      <c r="P2204" s="114"/>
      <c r="Q2204" s="114"/>
      <c r="R2204" s="114"/>
      <c r="S2204" s="16"/>
    </row>
    <row r="2205" spans="1:19">
      <c r="A2205" s="1101" t="s">
        <v>43</v>
      </c>
      <c r="B2205" s="1099"/>
      <c r="C2205" s="1099"/>
      <c r="D2205" s="1099"/>
      <c r="E2205" s="20">
        <f>Master!F10</f>
        <v>44652</v>
      </c>
      <c r="F2205" s="19"/>
      <c r="G2205" s="19"/>
      <c r="H2205" s="19"/>
      <c r="I2205" s="16"/>
      <c r="K2205" s="1101" t="s">
        <v>43</v>
      </c>
      <c r="L2205" s="1099"/>
      <c r="M2205" s="1099"/>
      <c r="N2205" s="1099"/>
      <c r="O2205" s="20">
        <f>E2205</f>
        <v>44652</v>
      </c>
      <c r="P2205" s="19"/>
      <c r="Q2205" s="19"/>
      <c r="R2205" s="19"/>
      <c r="S2205" s="16"/>
    </row>
    <row r="2206" spans="1:19">
      <c r="A2206" s="17"/>
      <c r="B2206" s="120"/>
      <c r="C2206" s="120"/>
      <c r="D2206" s="120"/>
      <c r="E2206" s="120"/>
      <c r="F2206" s="114"/>
      <c r="G2206" s="114"/>
      <c r="H2206" s="114"/>
      <c r="I2206" s="16"/>
      <c r="K2206" s="17"/>
      <c r="L2206" s="120"/>
      <c r="M2206" s="120"/>
      <c r="N2206" s="120"/>
      <c r="O2206" s="120"/>
      <c r="P2206" s="114"/>
      <c r="Q2206" s="114"/>
      <c r="R2206" s="114"/>
      <c r="S2206" s="16"/>
    </row>
    <row r="2207" spans="1:19">
      <c r="A2207" s="21">
        <v>1</v>
      </c>
      <c r="B2207" s="1099" t="s">
        <v>44</v>
      </c>
      <c r="C2207" s="1099"/>
      <c r="D2207" s="1099"/>
      <c r="E2207" s="22" t="e">
        <f>Master!#REF!</f>
        <v>#REF!</v>
      </c>
      <c r="F2207" s="19"/>
      <c r="G2207" s="19"/>
      <c r="H2207" s="19"/>
      <c r="I2207" s="16"/>
      <c r="K2207" s="21">
        <v>1</v>
      </c>
      <c r="L2207" s="1099" t="s">
        <v>44</v>
      </c>
      <c r="M2207" s="1099"/>
      <c r="N2207" s="1099"/>
      <c r="O2207" s="22" t="e">
        <f>E2207</f>
        <v>#REF!</v>
      </c>
      <c r="P2207" s="19"/>
      <c r="Q2207" s="19"/>
      <c r="R2207" s="19"/>
      <c r="S2207" s="16"/>
    </row>
    <row r="2208" spans="1:19">
      <c r="A2208" s="21"/>
      <c r="B2208" s="120"/>
      <c r="C2208" s="120"/>
      <c r="D2208" s="120"/>
      <c r="E2208" s="120"/>
      <c r="F2208" s="114"/>
      <c r="G2208" s="114"/>
      <c r="H2208" s="114"/>
      <c r="I2208" s="16"/>
      <c r="K2208" s="21"/>
      <c r="L2208" s="120"/>
      <c r="M2208" s="120"/>
      <c r="N2208" s="120"/>
      <c r="O2208" s="120"/>
      <c r="P2208" s="114"/>
      <c r="Q2208" s="114"/>
      <c r="R2208" s="114"/>
      <c r="S2208" s="16"/>
    </row>
    <row r="2209" spans="1:19">
      <c r="A2209" s="21">
        <v>2</v>
      </c>
      <c r="B2209" s="1098" t="s">
        <v>45</v>
      </c>
      <c r="C2209" s="1098"/>
      <c r="D2209" s="1098"/>
      <c r="E2209" s="120"/>
      <c r="F2209" s="114"/>
      <c r="G2209" s="114"/>
      <c r="H2209" s="114"/>
      <c r="I2209" s="16"/>
      <c r="K2209" s="21">
        <v>2</v>
      </c>
      <c r="L2209" s="1098" t="s">
        <v>45</v>
      </c>
      <c r="M2209" s="1098"/>
      <c r="N2209" s="1098"/>
      <c r="O2209" s="120"/>
      <c r="P2209" s="114"/>
      <c r="Q2209" s="114"/>
      <c r="R2209" s="114"/>
      <c r="S2209" s="16"/>
    </row>
    <row r="2210" spans="1:19">
      <c r="A2210" s="21"/>
      <c r="B2210" s="1098"/>
      <c r="C2210" s="1098"/>
      <c r="D2210" s="1098"/>
      <c r="E2210" s="23" t="s">
        <v>28</v>
      </c>
      <c r="F2210" s="19"/>
      <c r="G2210" s="19"/>
      <c r="H2210" s="19"/>
      <c r="I2210" s="16"/>
      <c r="K2210" s="21"/>
      <c r="L2210" s="1098"/>
      <c r="M2210" s="1098"/>
      <c r="N2210" s="1098"/>
      <c r="O2210" s="23" t="s">
        <v>28</v>
      </c>
      <c r="P2210" s="19"/>
      <c r="Q2210" s="19"/>
      <c r="R2210" s="19"/>
      <c r="S2210" s="16"/>
    </row>
    <row r="2211" spans="1:19">
      <c r="A2211" s="21"/>
      <c r="B2211" s="120"/>
      <c r="C2211" s="120"/>
      <c r="D2211" s="120"/>
      <c r="E2211" s="120"/>
      <c r="F2211" s="114"/>
      <c r="G2211" s="114"/>
      <c r="H2211" s="114"/>
      <c r="I2211" s="16"/>
      <c r="K2211" s="21"/>
      <c r="L2211" s="120"/>
      <c r="M2211" s="120"/>
      <c r="N2211" s="120"/>
      <c r="O2211" s="120"/>
      <c r="P2211" s="114"/>
      <c r="Q2211" s="114"/>
      <c r="R2211" s="114"/>
      <c r="S2211" s="16"/>
    </row>
    <row r="2212" spans="1:19">
      <c r="A2212" s="21">
        <v>3</v>
      </c>
      <c r="B2212" s="1099" t="s">
        <v>46</v>
      </c>
      <c r="C2212" s="1099"/>
      <c r="D2212" s="1099"/>
      <c r="E2212" s="23" t="s">
        <v>28</v>
      </c>
      <c r="F2212" s="19"/>
      <c r="G2212" s="19"/>
      <c r="H2212" s="19"/>
      <c r="I2212" s="16"/>
      <c r="K2212" s="21">
        <v>3</v>
      </c>
      <c r="L2212" s="1099" t="s">
        <v>46</v>
      </c>
      <c r="M2212" s="1099"/>
      <c r="N2212" s="1099"/>
      <c r="O2212" s="18" t="str">
        <f>E2212</f>
        <v>N/A</v>
      </c>
      <c r="P2212" s="19"/>
      <c r="Q2212" s="19"/>
      <c r="R2212" s="19"/>
      <c r="S2212" s="16"/>
    </row>
    <row r="2213" spans="1:19">
      <c r="A2213" s="21"/>
      <c r="B2213" s="120"/>
      <c r="C2213" s="120"/>
      <c r="D2213" s="120"/>
      <c r="E2213" s="120"/>
      <c r="F2213" s="114"/>
      <c r="G2213" s="114"/>
      <c r="H2213" s="114"/>
      <c r="I2213" s="16"/>
      <c r="K2213" s="21"/>
      <c r="L2213" s="120"/>
      <c r="M2213" s="120"/>
      <c r="N2213" s="120"/>
      <c r="O2213" s="120"/>
      <c r="P2213" s="114"/>
      <c r="Q2213" s="114"/>
      <c r="R2213" s="114"/>
      <c r="S2213" s="16"/>
    </row>
    <row r="2214" spans="1:19">
      <c r="A2214" s="21">
        <v>4</v>
      </c>
      <c r="B2214" s="1099" t="s">
        <v>47</v>
      </c>
      <c r="C2214" s="1099"/>
      <c r="D2214" s="1099"/>
      <c r="E2214" s="23" t="s">
        <v>48</v>
      </c>
      <c r="F2214" s="19"/>
      <c r="G2214" s="19"/>
      <c r="H2214" s="19"/>
      <c r="I2214" s="16"/>
      <c r="K2214" s="21">
        <v>4</v>
      </c>
      <c r="L2214" s="1099" t="s">
        <v>47</v>
      </c>
      <c r="M2214" s="1099"/>
      <c r="N2214" s="1099"/>
      <c r="O2214" s="23" t="s">
        <v>48</v>
      </c>
      <c r="P2214" s="19"/>
      <c r="Q2214" s="19"/>
      <c r="R2214" s="19"/>
      <c r="S2214" s="16"/>
    </row>
    <row r="2215" spans="1:19">
      <c r="A2215" s="21"/>
      <c r="B2215" s="120"/>
      <c r="C2215" s="120"/>
      <c r="D2215" s="120"/>
      <c r="E2215" s="120"/>
      <c r="F2215" s="114"/>
      <c r="G2215" s="114"/>
      <c r="H2215" s="114"/>
      <c r="I2215" s="16"/>
      <c r="K2215" s="21"/>
      <c r="L2215" s="120"/>
      <c r="M2215" s="120"/>
      <c r="N2215" s="120"/>
      <c r="O2215" s="120"/>
      <c r="P2215" s="114"/>
      <c r="Q2215" s="114"/>
      <c r="R2215" s="114"/>
      <c r="S2215" s="16"/>
    </row>
    <row r="2216" spans="1:19">
      <c r="A2216" s="21">
        <v>5</v>
      </c>
      <c r="B2216" s="1099" t="s">
        <v>49</v>
      </c>
      <c r="C2216" s="1099"/>
      <c r="D2216" s="1099"/>
      <c r="E2216" s="24" t="e">
        <f>Master!#REF!</f>
        <v>#REF!</v>
      </c>
      <c r="F2216" s="19"/>
      <c r="G2216" s="19"/>
      <c r="H2216" s="19"/>
      <c r="I2216" s="16"/>
      <c r="K2216" s="21">
        <v>5</v>
      </c>
      <c r="L2216" s="1099" t="s">
        <v>49</v>
      </c>
      <c r="M2216" s="1099"/>
      <c r="N2216" s="1099"/>
      <c r="O2216" s="24" t="e">
        <f>E2216</f>
        <v>#REF!</v>
      </c>
      <c r="P2216" s="19"/>
      <c r="Q2216" s="19"/>
      <c r="R2216" s="19"/>
      <c r="S2216" s="16"/>
    </row>
    <row r="2217" spans="1:19">
      <c r="A2217" s="21"/>
      <c r="B2217" s="120"/>
      <c r="C2217" s="120"/>
      <c r="D2217" s="238" t="s">
        <v>50</v>
      </c>
      <c r="E2217" s="238" t="s">
        <v>23</v>
      </c>
      <c r="F2217" s="136" t="s">
        <v>25</v>
      </c>
      <c r="G2217" s="238" t="s">
        <v>26</v>
      </c>
      <c r="H2217" s="238" t="s">
        <v>202</v>
      </c>
      <c r="I2217" s="126" t="s">
        <v>51</v>
      </c>
      <c r="K2217" s="21"/>
      <c r="L2217" s="120"/>
      <c r="M2217" s="120"/>
      <c r="N2217" s="238" t="s">
        <v>50</v>
      </c>
      <c r="O2217" s="238" t="s">
        <v>23</v>
      </c>
      <c r="P2217" s="136" t="s">
        <v>25</v>
      </c>
      <c r="Q2217" s="238" t="s">
        <v>26</v>
      </c>
      <c r="R2217" s="238" t="str">
        <f>H2217</f>
        <v>ADV</v>
      </c>
      <c r="S2217" s="126" t="s">
        <v>51</v>
      </c>
    </row>
    <row r="2218" spans="1:19">
      <c r="A2218" s="21">
        <v>6</v>
      </c>
      <c r="B2218" s="468" t="s">
        <v>52</v>
      </c>
      <c r="C2218" s="468"/>
      <c r="D2218" s="335" t="e">
        <f>Master!#REF!</f>
        <v>#REF!</v>
      </c>
      <c r="E2218" s="335" t="e">
        <f>Master!#REF!</f>
        <v>#REF!</v>
      </c>
      <c r="F2218" s="180" t="e">
        <f>Master!#REF!</f>
        <v>#REF!</v>
      </c>
      <c r="G2218" s="180" t="e">
        <f>Master!#REF!</f>
        <v>#REF!</v>
      </c>
      <c r="H2218" s="180" t="e">
        <f>Master!#REF!</f>
        <v>#REF!</v>
      </c>
      <c r="I2218" s="127" t="e">
        <f>D2218+E2218+F2218+G2218+H2218</f>
        <v>#REF!</v>
      </c>
      <c r="K2218" s="21">
        <v>6</v>
      </c>
      <c r="L2218" s="468" t="s">
        <v>52</v>
      </c>
      <c r="M2218" s="468"/>
      <c r="N2218" s="335" t="e">
        <f>D2218</f>
        <v>#REF!</v>
      </c>
      <c r="O2218" s="335" t="e">
        <f>E2218</f>
        <v>#REF!</v>
      </c>
      <c r="P2218" s="180" t="e">
        <f>F2218</f>
        <v>#REF!</v>
      </c>
      <c r="Q2218" s="180" t="e">
        <f>G2218</f>
        <v>#REF!</v>
      </c>
      <c r="R2218" s="180" t="e">
        <f>H2218</f>
        <v>#REF!</v>
      </c>
      <c r="S2218" s="127" t="e">
        <f>N2218+O2218+R2218</f>
        <v>#REF!</v>
      </c>
    </row>
    <row r="2219" spans="1:19">
      <c r="A2219" s="21"/>
      <c r="B2219" s="120"/>
      <c r="C2219" s="120"/>
      <c r="D2219" s="120"/>
      <c r="E2219" s="120"/>
      <c r="F2219" s="114"/>
      <c r="G2219" s="114"/>
      <c r="H2219" s="114"/>
      <c r="I2219" s="16"/>
      <c r="K2219" s="21"/>
      <c r="L2219" s="120"/>
      <c r="M2219" s="120"/>
      <c r="N2219" s="120"/>
      <c r="O2219" s="120"/>
      <c r="P2219" s="114"/>
      <c r="Q2219" s="114"/>
      <c r="R2219" s="114"/>
      <c r="S2219" s="16"/>
    </row>
    <row r="2220" spans="1:19">
      <c r="A2220" s="21">
        <v>7</v>
      </c>
      <c r="B2220" s="1099" t="s">
        <v>53</v>
      </c>
      <c r="C2220" s="1099"/>
      <c r="D2220" s="1099"/>
      <c r="E2220" s="24" t="e">
        <f>E2216-I2218</f>
        <v>#REF!</v>
      </c>
      <c r="F2220" s="19"/>
      <c r="G2220" s="19"/>
      <c r="H2220" s="19"/>
      <c r="I2220" s="16"/>
      <c r="K2220" s="21">
        <v>7</v>
      </c>
      <c r="L2220" s="1099" t="s">
        <v>53</v>
      </c>
      <c r="M2220" s="1099"/>
      <c r="N2220" s="1099"/>
      <c r="O2220" s="24" t="e">
        <f>E2220</f>
        <v>#REF!</v>
      </c>
      <c r="P2220" s="19"/>
      <c r="Q2220" s="19"/>
      <c r="R2220" s="19"/>
      <c r="S2220" s="16"/>
    </row>
    <row r="2221" spans="1:19">
      <c r="A2221" s="15"/>
      <c r="B2221" s="114"/>
      <c r="C2221" s="114"/>
      <c r="D2221" s="114"/>
      <c r="E2221" s="114"/>
      <c r="F2221" s="114"/>
      <c r="G2221" s="114"/>
      <c r="H2221" s="114"/>
      <c r="I2221" s="16"/>
      <c r="K2221" s="15"/>
      <c r="L2221" s="114"/>
      <c r="M2221" s="114"/>
      <c r="N2221" s="114"/>
      <c r="O2221" s="114"/>
      <c r="P2221" s="114"/>
      <c r="Q2221" s="114"/>
      <c r="R2221" s="114"/>
      <c r="S2221" s="16"/>
    </row>
    <row r="2222" spans="1:19">
      <c r="A2222" s="15"/>
      <c r="B2222" s="114"/>
      <c r="C2222" s="114"/>
      <c r="D2222" s="114"/>
      <c r="E2222" s="114"/>
      <c r="F2222" s="114"/>
      <c r="G2222" s="114"/>
      <c r="H2222" s="114"/>
      <c r="I2222" s="16"/>
      <c r="K2222" s="15"/>
      <c r="L2222" s="114"/>
      <c r="M2222" s="114"/>
      <c r="N2222" s="114"/>
      <c r="O2222" s="114"/>
      <c r="P2222" s="114"/>
      <c r="Q2222" s="114"/>
      <c r="R2222" s="114"/>
      <c r="S2222" s="16"/>
    </row>
    <row r="2223" spans="1:19" ht="15" thickBot="1">
      <c r="A2223" s="15"/>
      <c r="B2223" s="114"/>
      <c r="C2223" s="114"/>
      <c r="D2223" s="114"/>
      <c r="E2223" s="114"/>
      <c r="F2223" s="25"/>
      <c r="G2223" s="25"/>
      <c r="H2223" s="25"/>
      <c r="I2223" s="26"/>
      <c r="K2223" s="15"/>
      <c r="L2223" s="114"/>
      <c r="M2223" s="114"/>
      <c r="N2223" s="114"/>
      <c r="O2223" s="114"/>
      <c r="P2223" s="25"/>
      <c r="Q2223" s="25"/>
      <c r="R2223" s="25"/>
      <c r="S2223" s="26"/>
    </row>
    <row r="2224" spans="1:19" ht="15" thickBot="1">
      <c r="A2224" s="27"/>
      <c r="B2224" s="25"/>
      <c r="C2224" s="25"/>
      <c r="D2224" s="25"/>
      <c r="E2224" s="999" t="s">
        <v>54</v>
      </c>
      <c r="F2224" s="999"/>
      <c r="G2224" s="999"/>
      <c r="H2224" s="999"/>
      <c r="I2224" s="1100"/>
      <c r="K2224" s="27"/>
      <c r="L2224" s="25"/>
      <c r="M2224" s="25"/>
      <c r="N2224" s="25"/>
      <c r="O2224" s="28" t="s">
        <v>54</v>
      </c>
      <c r="P2224" s="25"/>
      <c r="Q2224" s="28"/>
      <c r="R2224" s="28"/>
      <c r="S2224" s="29"/>
    </row>
  </sheetData>
  <mergeCells count="1196">
    <mergeCell ref="E2224:I2224"/>
    <mergeCell ref="B2209:D2210"/>
    <mergeCell ref="L2209:N2210"/>
    <mergeCell ref="B2212:D2212"/>
    <mergeCell ref="L2212:N2212"/>
    <mergeCell ref="B2214:D2214"/>
    <mergeCell ref="L2214:N2214"/>
    <mergeCell ref="B2216:D2216"/>
    <mergeCell ref="L2216:N2216"/>
    <mergeCell ref="B2220:D2220"/>
    <mergeCell ref="L2220:N2220"/>
    <mergeCell ref="A2195:I2195"/>
    <mergeCell ref="K2195:S2195"/>
    <mergeCell ref="A2200:D2201"/>
    <mergeCell ref="K2200:N2201"/>
    <mergeCell ref="A2203:D2203"/>
    <mergeCell ref="K2203:N2203"/>
    <mergeCell ref="A2205:D2205"/>
    <mergeCell ref="K2205:N2205"/>
    <mergeCell ref="B2207:D2207"/>
    <mergeCell ref="L2207:N2207"/>
    <mergeCell ref="B2171:D2171"/>
    <mergeCell ref="L2171:N2171"/>
    <mergeCell ref="B2173:D2173"/>
    <mergeCell ref="L2173:N2173"/>
    <mergeCell ref="B2177:D2177"/>
    <mergeCell ref="L2177:N2177"/>
    <mergeCell ref="E2181:I2181"/>
    <mergeCell ref="A2194:I2194"/>
    <mergeCell ref="K2194:S2194"/>
    <mergeCell ref="A2160:D2160"/>
    <mergeCell ref="K2160:N2160"/>
    <mergeCell ref="A2162:D2162"/>
    <mergeCell ref="K2162:N2162"/>
    <mergeCell ref="B2164:D2164"/>
    <mergeCell ref="L2164:N2164"/>
    <mergeCell ref="B2166:D2167"/>
    <mergeCell ref="L2166:N2167"/>
    <mergeCell ref="B2169:D2169"/>
    <mergeCell ref="L2169:N2169"/>
    <mergeCell ref="B2134:D2134"/>
    <mergeCell ref="L2134:N2134"/>
    <mergeCell ref="E2138:I2138"/>
    <mergeCell ref="A2151:I2151"/>
    <mergeCell ref="K2151:S2151"/>
    <mergeCell ref="A2152:I2152"/>
    <mergeCell ref="K2152:S2152"/>
    <mergeCell ref="A2157:D2158"/>
    <mergeCell ref="K2157:N2158"/>
    <mergeCell ref="B2121:D2121"/>
    <mergeCell ref="L2121:N2121"/>
    <mergeCell ref="B2123:D2124"/>
    <mergeCell ref="L2123:N2124"/>
    <mergeCell ref="B2126:D2126"/>
    <mergeCell ref="L2126:N2126"/>
    <mergeCell ref="B2128:D2128"/>
    <mergeCell ref="L2128:N2128"/>
    <mergeCell ref="B2130:D2130"/>
    <mergeCell ref="L2130:N2130"/>
    <mergeCell ref="A2108:I2108"/>
    <mergeCell ref="K2108:S2108"/>
    <mergeCell ref="A2109:I2109"/>
    <mergeCell ref="K2109:S2109"/>
    <mergeCell ref="A2114:D2115"/>
    <mergeCell ref="K2114:N2115"/>
    <mergeCell ref="A2117:D2117"/>
    <mergeCell ref="K2117:N2117"/>
    <mergeCell ref="A2119:D2119"/>
    <mergeCell ref="K2119:N2119"/>
    <mergeCell ref="B2083:D2083"/>
    <mergeCell ref="L2083:N2083"/>
    <mergeCell ref="B2085:D2085"/>
    <mergeCell ref="L2085:N2085"/>
    <mergeCell ref="B2087:D2087"/>
    <mergeCell ref="L2087:N2087"/>
    <mergeCell ref="B2091:D2091"/>
    <mergeCell ref="L2091:N2091"/>
    <mergeCell ref="E2095:I2095"/>
    <mergeCell ref="A2071:D2072"/>
    <mergeCell ref="K2071:N2072"/>
    <mergeCell ref="A2074:D2074"/>
    <mergeCell ref="K2074:N2074"/>
    <mergeCell ref="A2076:D2076"/>
    <mergeCell ref="K2076:N2076"/>
    <mergeCell ref="B2078:D2078"/>
    <mergeCell ref="L2078:N2078"/>
    <mergeCell ref="B2080:D2081"/>
    <mergeCell ref="L2080:N2081"/>
    <mergeCell ref="B2044:D2044"/>
    <mergeCell ref="L2044:N2044"/>
    <mergeCell ref="B2048:D2048"/>
    <mergeCell ref="L2048:N2048"/>
    <mergeCell ref="E2052:I2052"/>
    <mergeCell ref="A2065:I2065"/>
    <mergeCell ref="K2065:S2065"/>
    <mergeCell ref="A2066:I2066"/>
    <mergeCell ref="K2066:S2066"/>
    <mergeCell ref="A2033:D2033"/>
    <mergeCell ref="K2033:N2033"/>
    <mergeCell ref="B2035:D2035"/>
    <mergeCell ref="L2035:N2035"/>
    <mergeCell ref="B2037:D2038"/>
    <mergeCell ref="L2037:N2038"/>
    <mergeCell ref="B2040:D2040"/>
    <mergeCell ref="L2040:N2040"/>
    <mergeCell ref="B2042:D2042"/>
    <mergeCell ref="L2042:N2042"/>
    <mergeCell ref="E2009:I2009"/>
    <mergeCell ref="A2022:I2022"/>
    <mergeCell ref="K2022:S2022"/>
    <mergeCell ref="A2023:I2023"/>
    <mergeCell ref="K2023:S2023"/>
    <mergeCell ref="A2028:D2029"/>
    <mergeCell ref="K2028:N2029"/>
    <mergeCell ref="A2031:D2031"/>
    <mergeCell ref="K2031:N2031"/>
    <mergeCell ref="B1994:D1995"/>
    <mergeCell ref="L1994:N1995"/>
    <mergeCell ref="B1997:D1997"/>
    <mergeCell ref="L1997:N1997"/>
    <mergeCell ref="B1999:D1999"/>
    <mergeCell ref="L1999:N1999"/>
    <mergeCell ref="B2001:D2001"/>
    <mergeCell ref="L2001:N2001"/>
    <mergeCell ref="B2005:D2005"/>
    <mergeCell ref="L2005:N2005"/>
    <mergeCell ref="A1980:I1980"/>
    <mergeCell ref="K1980:S1980"/>
    <mergeCell ref="A1985:D1986"/>
    <mergeCell ref="K1985:N1986"/>
    <mergeCell ref="A1988:D1988"/>
    <mergeCell ref="K1988:N1988"/>
    <mergeCell ref="A1990:D1990"/>
    <mergeCell ref="K1990:N1990"/>
    <mergeCell ref="B1992:D1992"/>
    <mergeCell ref="L1992:N1992"/>
    <mergeCell ref="B1956:D1956"/>
    <mergeCell ref="L1956:N1956"/>
    <mergeCell ref="B1958:D1958"/>
    <mergeCell ref="L1958:N1958"/>
    <mergeCell ref="B1962:D1962"/>
    <mergeCell ref="L1962:N1962"/>
    <mergeCell ref="E1966:I1966"/>
    <mergeCell ref="A1979:I1979"/>
    <mergeCell ref="K1979:S1979"/>
    <mergeCell ref="A1945:D1945"/>
    <mergeCell ref="K1945:N1945"/>
    <mergeCell ref="A1947:D1947"/>
    <mergeCell ref="K1947:N1947"/>
    <mergeCell ref="B1949:D1949"/>
    <mergeCell ref="L1949:N1949"/>
    <mergeCell ref="B1951:D1952"/>
    <mergeCell ref="L1951:N1952"/>
    <mergeCell ref="B1954:D1954"/>
    <mergeCell ref="L1954:N1954"/>
    <mergeCell ref="B1919:D1919"/>
    <mergeCell ref="L1919:N1919"/>
    <mergeCell ref="E1923:I1923"/>
    <mergeCell ref="A1936:I1936"/>
    <mergeCell ref="K1936:S1936"/>
    <mergeCell ref="A1937:I1937"/>
    <mergeCell ref="K1937:S1937"/>
    <mergeCell ref="A1942:D1943"/>
    <mergeCell ref="K1942:N1943"/>
    <mergeCell ref="B1906:D1906"/>
    <mergeCell ref="L1906:N1906"/>
    <mergeCell ref="B1908:D1909"/>
    <mergeCell ref="L1908:N1909"/>
    <mergeCell ref="B1911:D1911"/>
    <mergeCell ref="L1911:N1911"/>
    <mergeCell ref="B1913:D1913"/>
    <mergeCell ref="L1913:N1913"/>
    <mergeCell ref="B1915:D1915"/>
    <mergeCell ref="L1915:N1915"/>
    <mergeCell ref="A1893:I1893"/>
    <mergeCell ref="K1893:S1893"/>
    <mergeCell ref="A1894:I1894"/>
    <mergeCell ref="K1894:S1894"/>
    <mergeCell ref="A1899:D1900"/>
    <mergeCell ref="K1899:N1900"/>
    <mergeCell ref="A1902:D1902"/>
    <mergeCell ref="K1902:N1902"/>
    <mergeCell ref="A1904:D1904"/>
    <mergeCell ref="K1904:N1904"/>
    <mergeCell ref="B1868:D1868"/>
    <mergeCell ref="L1868:N1868"/>
    <mergeCell ref="B1870:D1870"/>
    <mergeCell ref="L1870:N1870"/>
    <mergeCell ref="B1872:D1872"/>
    <mergeCell ref="L1872:N1872"/>
    <mergeCell ref="B1876:D1876"/>
    <mergeCell ref="L1876:N1876"/>
    <mergeCell ref="E1880:I1880"/>
    <mergeCell ref="A1856:D1857"/>
    <mergeCell ref="K1856:N1857"/>
    <mergeCell ref="A1859:D1859"/>
    <mergeCell ref="K1859:N1859"/>
    <mergeCell ref="A1861:D1861"/>
    <mergeCell ref="K1861:N1861"/>
    <mergeCell ref="B1863:D1863"/>
    <mergeCell ref="L1863:N1863"/>
    <mergeCell ref="B1865:D1866"/>
    <mergeCell ref="L1865:N1866"/>
    <mergeCell ref="B1829:D1829"/>
    <mergeCell ref="L1829:N1829"/>
    <mergeCell ref="B1833:D1833"/>
    <mergeCell ref="L1833:N1833"/>
    <mergeCell ref="E1837:I1837"/>
    <mergeCell ref="A1850:I1850"/>
    <mergeCell ref="K1850:S1850"/>
    <mergeCell ref="A1851:I1851"/>
    <mergeCell ref="K1851:S1851"/>
    <mergeCell ref="A1818:D1818"/>
    <mergeCell ref="K1818:N1818"/>
    <mergeCell ref="B1820:D1820"/>
    <mergeCell ref="L1820:N1820"/>
    <mergeCell ref="B1822:D1823"/>
    <mergeCell ref="L1822:N1823"/>
    <mergeCell ref="B1825:D1825"/>
    <mergeCell ref="L1825:N1825"/>
    <mergeCell ref="B1827:D1827"/>
    <mergeCell ref="L1827:N1827"/>
    <mergeCell ref="E1794:I1794"/>
    <mergeCell ref="A1807:I1807"/>
    <mergeCell ref="K1807:S1807"/>
    <mergeCell ref="A1808:I1808"/>
    <mergeCell ref="K1808:S1808"/>
    <mergeCell ref="A1813:D1814"/>
    <mergeCell ref="K1813:N1814"/>
    <mergeCell ref="A1816:D1816"/>
    <mergeCell ref="K1816:N1816"/>
    <mergeCell ref="B1779:D1780"/>
    <mergeCell ref="L1779:N1780"/>
    <mergeCell ref="B1782:D1782"/>
    <mergeCell ref="L1782:N1782"/>
    <mergeCell ref="B1784:D1784"/>
    <mergeCell ref="L1784:N1784"/>
    <mergeCell ref="B1786:D1786"/>
    <mergeCell ref="L1786:N1786"/>
    <mergeCell ref="B1790:D1790"/>
    <mergeCell ref="L1790:N1790"/>
    <mergeCell ref="A1765:I1765"/>
    <mergeCell ref="K1765:S1765"/>
    <mergeCell ref="A1770:D1771"/>
    <mergeCell ref="K1770:N1771"/>
    <mergeCell ref="A1773:D1773"/>
    <mergeCell ref="K1773:N1773"/>
    <mergeCell ref="A1775:D1775"/>
    <mergeCell ref="K1775:N1775"/>
    <mergeCell ref="B1777:D1777"/>
    <mergeCell ref="L1777:N1777"/>
    <mergeCell ref="B1741:D1741"/>
    <mergeCell ref="L1741:N1741"/>
    <mergeCell ref="B1743:D1743"/>
    <mergeCell ref="L1743:N1743"/>
    <mergeCell ref="B1747:D1747"/>
    <mergeCell ref="L1747:N1747"/>
    <mergeCell ref="E1751:I1751"/>
    <mergeCell ref="A1764:I1764"/>
    <mergeCell ref="K1764:S1764"/>
    <mergeCell ref="A1730:D1730"/>
    <mergeCell ref="K1730:N1730"/>
    <mergeCell ref="A1732:D1732"/>
    <mergeCell ref="K1732:N1732"/>
    <mergeCell ref="B1734:D1734"/>
    <mergeCell ref="L1734:N1734"/>
    <mergeCell ref="B1736:D1737"/>
    <mergeCell ref="L1736:N1737"/>
    <mergeCell ref="B1739:D1739"/>
    <mergeCell ref="L1739:N1739"/>
    <mergeCell ref="B1704:D1704"/>
    <mergeCell ref="L1704:N1704"/>
    <mergeCell ref="E1708:I1708"/>
    <mergeCell ref="A1721:I1721"/>
    <mergeCell ref="K1721:S1721"/>
    <mergeCell ref="A1722:I1722"/>
    <mergeCell ref="K1722:S1722"/>
    <mergeCell ref="A1727:D1728"/>
    <mergeCell ref="K1727:N1728"/>
    <mergeCell ref="B1691:D1691"/>
    <mergeCell ref="L1691:N1691"/>
    <mergeCell ref="B1693:D1694"/>
    <mergeCell ref="L1693:N1694"/>
    <mergeCell ref="B1696:D1696"/>
    <mergeCell ref="L1696:N1696"/>
    <mergeCell ref="B1698:D1698"/>
    <mergeCell ref="L1698:N1698"/>
    <mergeCell ref="B1700:D1700"/>
    <mergeCell ref="L1700:N1700"/>
    <mergeCell ref="A1678:I1678"/>
    <mergeCell ref="K1678:S1678"/>
    <mergeCell ref="A1679:I1679"/>
    <mergeCell ref="K1679:S1679"/>
    <mergeCell ref="A1684:D1685"/>
    <mergeCell ref="K1684:N1685"/>
    <mergeCell ref="A1687:D1687"/>
    <mergeCell ref="K1687:N1687"/>
    <mergeCell ref="A1689:D1689"/>
    <mergeCell ref="K1689:N1689"/>
    <mergeCell ref="B1653:D1653"/>
    <mergeCell ref="L1653:N1653"/>
    <mergeCell ref="B1655:D1655"/>
    <mergeCell ref="L1655:N1655"/>
    <mergeCell ref="B1657:D1657"/>
    <mergeCell ref="L1657:N1657"/>
    <mergeCell ref="B1661:D1661"/>
    <mergeCell ref="L1661:N1661"/>
    <mergeCell ref="E1665:I1665"/>
    <mergeCell ref="A1641:D1642"/>
    <mergeCell ref="K1641:N1642"/>
    <mergeCell ref="A1644:D1644"/>
    <mergeCell ref="K1644:N1644"/>
    <mergeCell ref="A1646:D1646"/>
    <mergeCell ref="K1646:N1646"/>
    <mergeCell ref="B1648:D1648"/>
    <mergeCell ref="L1648:N1648"/>
    <mergeCell ref="B1650:D1651"/>
    <mergeCell ref="L1650:N1651"/>
    <mergeCell ref="L1612:N1612"/>
    <mergeCell ref="B1614:D1614"/>
    <mergeCell ref="L1614:N1614"/>
    <mergeCell ref="B1618:D1618"/>
    <mergeCell ref="L1618:N1618"/>
    <mergeCell ref="E1622:I1622"/>
    <mergeCell ref="A1635:I1635"/>
    <mergeCell ref="K1635:S1635"/>
    <mergeCell ref="A1636:I1636"/>
    <mergeCell ref="K1636:S1636"/>
    <mergeCell ref="A1592:I1592"/>
    <mergeCell ref="K1592:S1592"/>
    <mergeCell ref="A1593:I1593"/>
    <mergeCell ref="K1593:S1593"/>
    <mergeCell ref="A1598:D1599"/>
    <mergeCell ref="K1598:N1599"/>
    <mergeCell ref="A1601:D1601"/>
    <mergeCell ref="K1601:N1601"/>
    <mergeCell ref="A1603:D1603"/>
    <mergeCell ref="K1603:N1603"/>
    <mergeCell ref="B1605:D1605"/>
    <mergeCell ref="L1605:N1605"/>
    <mergeCell ref="B1607:D1608"/>
    <mergeCell ref="L1607:N1608"/>
    <mergeCell ref="B1610:D1610"/>
    <mergeCell ref="L1610:N1610"/>
    <mergeCell ref="B1612:D1612"/>
    <mergeCell ref="B1575:D1575"/>
    <mergeCell ref="L1575:N1575"/>
    <mergeCell ref="E1579:I1579"/>
    <mergeCell ref="B1562:D1562"/>
    <mergeCell ref="L1562:N1562"/>
    <mergeCell ref="B1564:D1565"/>
    <mergeCell ref="L1564:N1565"/>
    <mergeCell ref="B1567:D1567"/>
    <mergeCell ref="L1567:N1567"/>
    <mergeCell ref="B1569:D1569"/>
    <mergeCell ref="L1569:N1569"/>
    <mergeCell ref="B1571:D1571"/>
    <mergeCell ref="L1571:N1571"/>
    <mergeCell ref="A1549:I1549"/>
    <mergeCell ref="K1549:S1549"/>
    <mergeCell ref="A1550:I1550"/>
    <mergeCell ref="K1550:S1550"/>
    <mergeCell ref="A1555:D1556"/>
    <mergeCell ref="K1555:N1556"/>
    <mergeCell ref="A1558:D1558"/>
    <mergeCell ref="K1558:N1558"/>
    <mergeCell ref="A1560:D1560"/>
    <mergeCell ref="K1560:N1560"/>
    <mergeCell ref="B1524:D1524"/>
    <mergeCell ref="L1524:N1524"/>
    <mergeCell ref="B1526:D1526"/>
    <mergeCell ref="L1526:N1526"/>
    <mergeCell ref="B1528:D1528"/>
    <mergeCell ref="L1528:N1528"/>
    <mergeCell ref="B1532:D1532"/>
    <mergeCell ref="L1532:N1532"/>
    <mergeCell ref="E1536:I1536"/>
    <mergeCell ref="B1485:D1485"/>
    <mergeCell ref="L1485:N1485"/>
    <mergeCell ref="B1489:D1489"/>
    <mergeCell ref="L1489:N1489"/>
    <mergeCell ref="E1493:I1493"/>
    <mergeCell ref="A1506:I1506"/>
    <mergeCell ref="K1506:S1506"/>
    <mergeCell ref="A1507:I1507"/>
    <mergeCell ref="K1507:S1507"/>
    <mergeCell ref="A1512:D1513"/>
    <mergeCell ref="K1512:N1513"/>
    <mergeCell ref="A1515:D1515"/>
    <mergeCell ref="K1515:N1515"/>
    <mergeCell ref="A1517:D1517"/>
    <mergeCell ref="K1517:N1517"/>
    <mergeCell ref="B1519:D1519"/>
    <mergeCell ref="L1519:N1519"/>
    <mergeCell ref="B1521:D1522"/>
    <mergeCell ref="L1521:N1522"/>
    <mergeCell ref="B1483:D1483"/>
    <mergeCell ref="L1483:N1483"/>
    <mergeCell ref="E1407:I1407"/>
    <mergeCell ref="A1420:I1420"/>
    <mergeCell ref="K1420:S1420"/>
    <mergeCell ref="A1421:I1421"/>
    <mergeCell ref="K1421:S1421"/>
    <mergeCell ref="A1426:D1427"/>
    <mergeCell ref="K1426:N1427"/>
    <mergeCell ref="A1429:D1429"/>
    <mergeCell ref="K1429:N1429"/>
    <mergeCell ref="A1463:I1463"/>
    <mergeCell ref="K1463:S1463"/>
    <mergeCell ref="A1464:I1464"/>
    <mergeCell ref="K1464:S1464"/>
    <mergeCell ref="A1469:D1470"/>
    <mergeCell ref="K1469:N1470"/>
    <mergeCell ref="A1472:D1472"/>
    <mergeCell ref="K1472:N1472"/>
    <mergeCell ref="E1450:I1450"/>
    <mergeCell ref="B1435:D1436"/>
    <mergeCell ref="L1435:N1436"/>
    <mergeCell ref="B1438:D1438"/>
    <mergeCell ref="L1438:N1438"/>
    <mergeCell ref="L1306:N1307"/>
    <mergeCell ref="B1309:D1309"/>
    <mergeCell ref="L1309:N1309"/>
    <mergeCell ref="B1311:D1311"/>
    <mergeCell ref="L1311:N1311"/>
    <mergeCell ref="B1313:D1313"/>
    <mergeCell ref="L1313:N1313"/>
    <mergeCell ref="B1317:D1317"/>
    <mergeCell ref="L1317:N1317"/>
    <mergeCell ref="A1474:D1474"/>
    <mergeCell ref="K1474:N1474"/>
    <mergeCell ref="B1476:D1476"/>
    <mergeCell ref="L1476:N1476"/>
    <mergeCell ref="B1478:D1479"/>
    <mergeCell ref="L1478:N1479"/>
    <mergeCell ref="B1481:D1481"/>
    <mergeCell ref="L1481:N1481"/>
    <mergeCell ref="B1440:D1440"/>
    <mergeCell ref="L1440:N1440"/>
    <mergeCell ref="B1442:D1442"/>
    <mergeCell ref="L1442:N1442"/>
    <mergeCell ref="B1446:D1446"/>
    <mergeCell ref="L1446:N1446"/>
    <mergeCell ref="A1431:D1431"/>
    <mergeCell ref="K1431:N1431"/>
    <mergeCell ref="B1433:D1433"/>
    <mergeCell ref="L1433:N1433"/>
    <mergeCell ref="B1395:D1395"/>
    <mergeCell ref="L1395:N1395"/>
    <mergeCell ref="B1397:D1397"/>
    <mergeCell ref="L1397:N1397"/>
    <mergeCell ref="B1399:D1399"/>
    <mergeCell ref="A1214:D1214"/>
    <mergeCell ref="K1214:N1214"/>
    <mergeCell ref="A1216:D1216"/>
    <mergeCell ref="K1216:N1216"/>
    <mergeCell ref="B1218:D1218"/>
    <mergeCell ref="L1218:N1218"/>
    <mergeCell ref="B1220:D1221"/>
    <mergeCell ref="L1220:N1221"/>
    <mergeCell ref="B1223:D1223"/>
    <mergeCell ref="L1223:N1223"/>
    <mergeCell ref="B1231:D1231"/>
    <mergeCell ref="L1231:N1231"/>
    <mergeCell ref="E1235:I1235"/>
    <mergeCell ref="B1225:D1225"/>
    <mergeCell ref="L1225:N1225"/>
    <mergeCell ref="B1227:D1227"/>
    <mergeCell ref="L1227:N1227"/>
    <mergeCell ref="B1059:D1059"/>
    <mergeCell ref="L1059:N1059"/>
    <mergeCell ref="E1063:I1063"/>
    <mergeCell ref="A1076:I1076"/>
    <mergeCell ref="K1076:S1076"/>
    <mergeCell ref="A1077:I1077"/>
    <mergeCell ref="K1077:S1077"/>
    <mergeCell ref="A1082:D1083"/>
    <mergeCell ref="K1082:N1083"/>
    <mergeCell ref="B1175:D1175"/>
    <mergeCell ref="L1175:N1175"/>
    <mergeCell ref="B1177:D1178"/>
    <mergeCell ref="L1177:N1178"/>
    <mergeCell ref="B1180:D1180"/>
    <mergeCell ref="L1180:N1180"/>
    <mergeCell ref="B1182:D1182"/>
    <mergeCell ref="L1182:N1182"/>
    <mergeCell ref="B1137:D1137"/>
    <mergeCell ref="L1137:N1137"/>
    <mergeCell ref="B1139:D1139"/>
    <mergeCell ref="L1139:N1139"/>
    <mergeCell ref="B1141:D1141"/>
    <mergeCell ref="L1141:N1141"/>
    <mergeCell ref="B1145:D1145"/>
    <mergeCell ref="L1145:N1145"/>
    <mergeCell ref="E1149:I1149"/>
    <mergeCell ref="A1162:I1162"/>
    <mergeCell ref="K1162:S1162"/>
    <mergeCell ref="A1163:I1163"/>
    <mergeCell ref="K1163:S1163"/>
    <mergeCell ref="A1125:D1126"/>
    <mergeCell ref="K1125:N1126"/>
    <mergeCell ref="B1051:D1051"/>
    <mergeCell ref="L1051:N1051"/>
    <mergeCell ref="B1053:D1053"/>
    <mergeCell ref="L1053:N1053"/>
    <mergeCell ref="B1055:D1055"/>
    <mergeCell ref="L1055:N1055"/>
    <mergeCell ref="E1020:I1020"/>
    <mergeCell ref="A1033:I1033"/>
    <mergeCell ref="K1033:S1033"/>
    <mergeCell ref="A1034:I1034"/>
    <mergeCell ref="K1034:S1034"/>
    <mergeCell ref="A1039:D1040"/>
    <mergeCell ref="K1039:N1040"/>
    <mergeCell ref="A1042:D1042"/>
    <mergeCell ref="K1042:N1042"/>
    <mergeCell ref="A1044:D1044"/>
    <mergeCell ref="K1044:N1044"/>
    <mergeCell ref="B930:D930"/>
    <mergeCell ref="L930:N930"/>
    <mergeCell ref="E934:I934"/>
    <mergeCell ref="B919:D920"/>
    <mergeCell ref="L919:N920"/>
    <mergeCell ref="B922:D922"/>
    <mergeCell ref="L922:N922"/>
    <mergeCell ref="B924:D924"/>
    <mergeCell ref="L924:N924"/>
    <mergeCell ref="B926:D926"/>
    <mergeCell ref="L926:N926"/>
    <mergeCell ref="A915:D915"/>
    <mergeCell ref="K915:N915"/>
    <mergeCell ref="B1046:D1046"/>
    <mergeCell ref="L1046:N1046"/>
    <mergeCell ref="B1048:D1049"/>
    <mergeCell ref="L1048:N1049"/>
    <mergeCell ref="B1010:D1010"/>
    <mergeCell ref="L1010:N1010"/>
    <mergeCell ref="B1012:D1012"/>
    <mergeCell ref="L1012:N1012"/>
    <mergeCell ref="B1016:D1016"/>
    <mergeCell ref="L1016:N1016"/>
    <mergeCell ref="A996:D997"/>
    <mergeCell ref="K996:N997"/>
    <mergeCell ref="A999:D999"/>
    <mergeCell ref="K999:N999"/>
    <mergeCell ref="A1001:D1001"/>
    <mergeCell ref="K1001:N1001"/>
    <mergeCell ref="B1003:D1003"/>
    <mergeCell ref="L1003:N1003"/>
    <mergeCell ref="B1005:D1006"/>
    <mergeCell ref="K786:N786"/>
    <mergeCell ref="B788:D788"/>
    <mergeCell ref="L788:N788"/>
    <mergeCell ref="B790:D791"/>
    <mergeCell ref="L790:N791"/>
    <mergeCell ref="B793:D793"/>
    <mergeCell ref="L793:N793"/>
    <mergeCell ref="B795:D795"/>
    <mergeCell ref="L795:N795"/>
    <mergeCell ref="B838:D838"/>
    <mergeCell ref="L838:N838"/>
    <mergeCell ref="B840:D840"/>
    <mergeCell ref="L840:N840"/>
    <mergeCell ref="B844:D844"/>
    <mergeCell ref="L844:N844"/>
    <mergeCell ref="E848:I848"/>
    <mergeCell ref="A861:I861"/>
    <mergeCell ref="K861:S861"/>
    <mergeCell ref="A827:D827"/>
    <mergeCell ref="K827:N827"/>
    <mergeCell ref="A829:D829"/>
    <mergeCell ref="K829:N829"/>
    <mergeCell ref="B831:D831"/>
    <mergeCell ref="L831:N831"/>
    <mergeCell ref="B833:D834"/>
    <mergeCell ref="L833:N834"/>
    <mergeCell ref="B836:D836"/>
    <mergeCell ref="L836:N836"/>
    <mergeCell ref="L616:N616"/>
    <mergeCell ref="B750:D750"/>
    <mergeCell ref="L750:N750"/>
    <mergeCell ref="B752:D752"/>
    <mergeCell ref="L752:N752"/>
    <mergeCell ref="B754:D754"/>
    <mergeCell ref="L754:N754"/>
    <mergeCell ref="B758:D758"/>
    <mergeCell ref="L758:N758"/>
    <mergeCell ref="E762:I762"/>
    <mergeCell ref="B672:D672"/>
    <mergeCell ref="L672:N672"/>
    <mergeCell ref="E676:I676"/>
    <mergeCell ref="A689:I689"/>
    <mergeCell ref="K689:S689"/>
    <mergeCell ref="A690:I690"/>
    <mergeCell ref="K690:S690"/>
    <mergeCell ref="A695:D696"/>
    <mergeCell ref="K695:N696"/>
    <mergeCell ref="A732:I732"/>
    <mergeCell ref="K732:S732"/>
    <mergeCell ref="A733:I733"/>
    <mergeCell ref="K733:S733"/>
    <mergeCell ref="B711:D711"/>
    <mergeCell ref="L711:N711"/>
    <mergeCell ref="B715:D715"/>
    <mergeCell ref="L715:N715"/>
    <mergeCell ref="E719:I719"/>
    <mergeCell ref="A700:D700"/>
    <mergeCell ref="K700:N700"/>
    <mergeCell ref="B702:D702"/>
    <mergeCell ref="L702:N702"/>
    <mergeCell ref="E547:I547"/>
    <mergeCell ref="E633:I633"/>
    <mergeCell ref="A646:I646"/>
    <mergeCell ref="K646:S646"/>
    <mergeCell ref="A647:I647"/>
    <mergeCell ref="K647:S647"/>
    <mergeCell ref="A652:D653"/>
    <mergeCell ref="K652:N653"/>
    <mergeCell ref="A655:D655"/>
    <mergeCell ref="K655:N655"/>
    <mergeCell ref="B586:D586"/>
    <mergeCell ref="L586:N586"/>
    <mergeCell ref="E590:I590"/>
    <mergeCell ref="A603:I603"/>
    <mergeCell ref="K603:S603"/>
    <mergeCell ref="A604:I604"/>
    <mergeCell ref="K604:S604"/>
    <mergeCell ref="A609:D610"/>
    <mergeCell ref="K609:N610"/>
    <mergeCell ref="B621:D621"/>
    <mergeCell ref="L621:N621"/>
    <mergeCell ref="B623:D623"/>
    <mergeCell ref="L623:N623"/>
    <mergeCell ref="B625:D625"/>
    <mergeCell ref="L625:N625"/>
    <mergeCell ref="B629:D629"/>
    <mergeCell ref="L629:N629"/>
    <mergeCell ref="A612:D612"/>
    <mergeCell ref="K612:N612"/>
    <mergeCell ref="A614:D614"/>
    <mergeCell ref="K614:N614"/>
    <mergeCell ref="B616:D616"/>
    <mergeCell ref="K523:N524"/>
    <mergeCell ref="A526:D526"/>
    <mergeCell ref="K526:N526"/>
    <mergeCell ref="A528:D528"/>
    <mergeCell ref="K528:N528"/>
    <mergeCell ref="B530:D530"/>
    <mergeCell ref="L530:N530"/>
    <mergeCell ref="B532:D533"/>
    <mergeCell ref="L532:N533"/>
    <mergeCell ref="B535:D535"/>
    <mergeCell ref="L535:N535"/>
    <mergeCell ref="B537:D537"/>
    <mergeCell ref="L537:N537"/>
    <mergeCell ref="B539:D539"/>
    <mergeCell ref="L539:N539"/>
    <mergeCell ref="B543:D543"/>
    <mergeCell ref="L543:N543"/>
    <mergeCell ref="L1399:N1399"/>
    <mergeCell ref="B1403:D1403"/>
    <mergeCell ref="L1403:N1403"/>
    <mergeCell ref="A1388:D1388"/>
    <mergeCell ref="K1388:N1388"/>
    <mergeCell ref="B1390:D1390"/>
    <mergeCell ref="L1390:N1390"/>
    <mergeCell ref="B1392:D1393"/>
    <mergeCell ref="L1392:N1393"/>
    <mergeCell ref="A1343:D1343"/>
    <mergeCell ref="K1343:N1343"/>
    <mergeCell ref="A1345:D1345"/>
    <mergeCell ref="K1345:N1345"/>
    <mergeCell ref="B1347:D1347"/>
    <mergeCell ref="L1347:N1347"/>
    <mergeCell ref="B1349:D1350"/>
    <mergeCell ref="L1349:N1350"/>
    <mergeCell ref="B1352:D1352"/>
    <mergeCell ref="L1352:N1352"/>
    <mergeCell ref="B1354:D1354"/>
    <mergeCell ref="L1354:N1354"/>
    <mergeCell ref="B1356:D1356"/>
    <mergeCell ref="L1356:N1356"/>
    <mergeCell ref="B1360:D1360"/>
    <mergeCell ref="L1360:N1360"/>
    <mergeCell ref="E1364:I1364"/>
    <mergeCell ref="A1377:I1377"/>
    <mergeCell ref="K1377:S1377"/>
    <mergeCell ref="A1378:I1378"/>
    <mergeCell ref="K1378:S1378"/>
    <mergeCell ref="A1248:I1248"/>
    <mergeCell ref="K1248:S1248"/>
    <mergeCell ref="A1249:I1249"/>
    <mergeCell ref="K1249:S1249"/>
    <mergeCell ref="B1266:D1266"/>
    <mergeCell ref="L1266:N1266"/>
    <mergeCell ref="B1268:D1268"/>
    <mergeCell ref="L1268:N1268"/>
    <mergeCell ref="B1270:D1270"/>
    <mergeCell ref="L1270:N1270"/>
    <mergeCell ref="B1274:D1274"/>
    <mergeCell ref="L1274:N1274"/>
    <mergeCell ref="E1278:I1278"/>
    <mergeCell ref="A1383:D1384"/>
    <mergeCell ref="K1383:N1384"/>
    <mergeCell ref="A1386:D1386"/>
    <mergeCell ref="K1386:N1386"/>
    <mergeCell ref="K1297:N1298"/>
    <mergeCell ref="A1300:D1300"/>
    <mergeCell ref="K1300:N1300"/>
    <mergeCell ref="A1302:D1302"/>
    <mergeCell ref="K1302:N1302"/>
    <mergeCell ref="B1304:D1304"/>
    <mergeCell ref="L1304:N1304"/>
    <mergeCell ref="A1334:I1334"/>
    <mergeCell ref="K1334:S1334"/>
    <mergeCell ref="A1335:I1335"/>
    <mergeCell ref="K1335:S1335"/>
    <mergeCell ref="A1340:D1341"/>
    <mergeCell ref="K1340:N1341"/>
    <mergeCell ref="E1321:I1321"/>
    <mergeCell ref="B1306:D1307"/>
    <mergeCell ref="A1292:I1292"/>
    <mergeCell ref="K1292:S1292"/>
    <mergeCell ref="A1297:D1298"/>
    <mergeCell ref="A1205:I1205"/>
    <mergeCell ref="K1205:S1205"/>
    <mergeCell ref="A1206:I1206"/>
    <mergeCell ref="K1206:S1206"/>
    <mergeCell ref="A1211:D1212"/>
    <mergeCell ref="K1211:N1212"/>
    <mergeCell ref="B1188:D1188"/>
    <mergeCell ref="L1188:N1188"/>
    <mergeCell ref="E1192:I1192"/>
    <mergeCell ref="A1168:D1169"/>
    <mergeCell ref="K1168:N1169"/>
    <mergeCell ref="A1171:D1171"/>
    <mergeCell ref="K1171:N1171"/>
    <mergeCell ref="A1173:D1173"/>
    <mergeCell ref="K1173:N1173"/>
    <mergeCell ref="B1184:D1184"/>
    <mergeCell ref="L1184:N1184"/>
    <mergeCell ref="A1291:I1291"/>
    <mergeCell ref="K1291:S1291"/>
    <mergeCell ref="A1254:D1255"/>
    <mergeCell ref="K1254:N1255"/>
    <mergeCell ref="A1257:D1257"/>
    <mergeCell ref="K1257:N1257"/>
    <mergeCell ref="A1259:D1259"/>
    <mergeCell ref="K1259:N1259"/>
    <mergeCell ref="B1261:D1261"/>
    <mergeCell ref="L1261:N1261"/>
    <mergeCell ref="B1263:D1264"/>
    <mergeCell ref="L1263:N1264"/>
    <mergeCell ref="A1128:D1128"/>
    <mergeCell ref="K1128:N1128"/>
    <mergeCell ref="A1130:D1130"/>
    <mergeCell ref="K1130:N1130"/>
    <mergeCell ref="B1132:D1132"/>
    <mergeCell ref="L1132:N1132"/>
    <mergeCell ref="B1134:D1135"/>
    <mergeCell ref="L1134:N1135"/>
    <mergeCell ref="A1120:I1120"/>
    <mergeCell ref="K1120:S1120"/>
    <mergeCell ref="A1085:D1085"/>
    <mergeCell ref="K1085:N1085"/>
    <mergeCell ref="A1087:D1087"/>
    <mergeCell ref="K1087:N1087"/>
    <mergeCell ref="B1089:D1089"/>
    <mergeCell ref="L1089:N1089"/>
    <mergeCell ref="B1091:D1092"/>
    <mergeCell ref="L1091:N1092"/>
    <mergeCell ref="B1094:D1094"/>
    <mergeCell ref="L1094:N1094"/>
    <mergeCell ref="B1096:D1096"/>
    <mergeCell ref="L1096:N1096"/>
    <mergeCell ref="B1098:D1098"/>
    <mergeCell ref="L1098:N1098"/>
    <mergeCell ref="B1102:D1102"/>
    <mergeCell ref="L1102:N1102"/>
    <mergeCell ref="E1106:I1106"/>
    <mergeCell ref="A1119:I1119"/>
    <mergeCell ref="K1119:S1119"/>
    <mergeCell ref="L1005:N1006"/>
    <mergeCell ref="B1008:D1008"/>
    <mergeCell ref="L1008:N1008"/>
    <mergeCell ref="A990:I990"/>
    <mergeCell ref="K990:S990"/>
    <mergeCell ref="A991:I991"/>
    <mergeCell ref="K991:S991"/>
    <mergeCell ref="B973:D973"/>
    <mergeCell ref="L973:N973"/>
    <mergeCell ref="E977:I977"/>
    <mergeCell ref="B967:D967"/>
    <mergeCell ref="L967:N967"/>
    <mergeCell ref="B969:D969"/>
    <mergeCell ref="L969:N969"/>
    <mergeCell ref="A947:I947"/>
    <mergeCell ref="K947:S947"/>
    <mergeCell ref="A948:I948"/>
    <mergeCell ref="K948:S948"/>
    <mergeCell ref="A953:D954"/>
    <mergeCell ref="K953:N954"/>
    <mergeCell ref="A956:D956"/>
    <mergeCell ref="K956:N956"/>
    <mergeCell ref="A958:D958"/>
    <mergeCell ref="K958:N958"/>
    <mergeCell ref="B960:D960"/>
    <mergeCell ref="L960:N960"/>
    <mergeCell ref="B962:D963"/>
    <mergeCell ref="L962:N963"/>
    <mergeCell ref="B965:D965"/>
    <mergeCell ref="L965:N965"/>
    <mergeCell ref="B917:D917"/>
    <mergeCell ref="L917:N917"/>
    <mergeCell ref="B879:D879"/>
    <mergeCell ref="L879:N879"/>
    <mergeCell ref="B881:D881"/>
    <mergeCell ref="L881:N881"/>
    <mergeCell ref="B883:D883"/>
    <mergeCell ref="L883:N883"/>
    <mergeCell ref="B887:D887"/>
    <mergeCell ref="L887:N887"/>
    <mergeCell ref="A867:D868"/>
    <mergeCell ref="K867:N868"/>
    <mergeCell ref="A870:D870"/>
    <mergeCell ref="K870:N870"/>
    <mergeCell ref="A872:D872"/>
    <mergeCell ref="K872:N872"/>
    <mergeCell ref="B874:D874"/>
    <mergeCell ref="L874:N874"/>
    <mergeCell ref="B876:D877"/>
    <mergeCell ref="L876:N877"/>
    <mergeCell ref="E891:I891"/>
    <mergeCell ref="A904:I904"/>
    <mergeCell ref="K904:S904"/>
    <mergeCell ref="A905:I905"/>
    <mergeCell ref="K905:S905"/>
    <mergeCell ref="A910:D911"/>
    <mergeCell ref="K910:N911"/>
    <mergeCell ref="A913:D913"/>
    <mergeCell ref="K913:N913"/>
    <mergeCell ref="A862:I862"/>
    <mergeCell ref="K862:S862"/>
    <mergeCell ref="B797:D797"/>
    <mergeCell ref="L797:N797"/>
    <mergeCell ref="A775:I775"/>
    <mergeCell ref="K775:S775"/>
    <mergeCell ref="A776:I776"/>
    <mergeCell ref="K776:S776"/>
    <mergeCell ref="A781:D782"/>
    <mergeCell ref="K781:N782"/>
    <mergeCell ref="A784:D784"/>
    <mergeCell ref="K784:N784"/>
    <mergeCell ref="A738:D739"/>
    <mergeCell ref="K738:N739"/>
    <mergeCell ref="A741:D741"/>
    <mergeCell ref="K741:N741"/>
    <mergeCell ref="A743:D743"/>
    <mergeCell ref="K743:N743"/>
    <mergeCell ref="B745:D745"/>
    <mergeCell ref="L745:N745"/>
    <mergeCell ref="B747:D748"/>
    <mergeCell ref="L747:N748"/>
    <mergeCell ref="B801:D801"/>
    <mergeCell ref="L801:N801"/>
    <mergeCell ref="E805:I805"/>
    <mergeCell ref="A818:I818"/>
    <mergeCell ref="K818:S818"/>
    <mergeCell ref="A819:I819"/>
    <mergeCell ref="K819:S819"/>
    <mergeCell ref="A824:D825"/>
    <mergeCell ref="K824:N825"/>
    <mergeCell ref="A786:D786"/>
    <mergeCell ref="L704:N705"/>
    <mergeCell ref="B707:D707"/>
    <mergeCell ref="L707:N707"/>
    <mergeCell ref="B709:D709"/>
    <mergeCell ref="L709:N709"/>
    <mergeCell ref="A698:D698"/>
    <mergeCell ref="K698:N698"/>
    <mergeCell ref="B661:D662"/>
    <mergeCell ref="L661:N662"/>
    <mergeCell ref="B664:D664"/>
    <mergeCell ref="L664:N664"/>
    <mergeCell ref="B666:D666"/>
    <mergeCell ref="L666:N666"/>
    <mergeCell ref="B668:D668"/>
    <mergeCell ref="L668:N668"/>
    <mergeCell ref="A657:D657"/>
    <mergeCell ref="K657:N657"/>
    <mergeCell ref="B659:D659"/>
    <mergeCell ref="L659:N659"/>
    <mergeCell ref="B704:D705"/>
    <mergeCell ref="B618:D619"/>
    <mergeCell ref="L618:N619"/>
    <mergeCell ref="B580:D580"/>
    <mergeCell ref="L580:N580"/>
    <mergeCell ref="B582:D582"/>
    <mergeCell ref="L582:N582"/>
    <mergeCell ref="A561:I561"/>
    <mergeCell ref="K561:S561"/>
    <mergeCell ref="A566:D567"/>
    <mergeCell ref="K566:N567"/>
    <mergeCell ref="A569:D569"/>
    <mergeCell ref="A560:I560"/>
    <mergeCell ref="K560:S560"/>
    <mergeCell ref="B496:D496"/>
    <mergeCell ref="L496:N496"/>
    <mergeCell ref="B500:D500"/>
    <mergeCell ref="L500:N500"/>
    <mergeCell ref="E504:I504"/>
    <mergeCell ref="K569:N569"/>
    <mergeCell ref="A571:D571"/>
    <mergeCell ref="K571:N571"/>
    <mergeCell ref="B573:D573"/>
    <mergeCell ref="L573:N573"/>
    <mergeCell ref="B575:D576"/>
    <mergeCell ref="L575:N576"/>
    <mergeCell ref="B578:D578"/>
    <mergeCell ref="L578:N578"/>
    <mergeCell ref="A517:I517"/>
    <mergeCell ref="K517:S517"/>
    <mergeCell ref="A518:I518"/>
    <mergeCell ref="K518:S518"/>
    <mergeCell ref="A523:D524"/>
    <mergeCell ref="B489:D490"/>
    <mergeCell ref="L489:N490"/>
    <mergeCell ref="B492:D492"/>
    <mergeCell ref="L492:N492"/>
    <mergeCell ref="B494:D494"/>
    <mergeCell ref="L494:N494"/>
    <mergeCell ref="A483:D483"/>
    <mergeCell ref="K483:N483"/>
    <mergeCell ref="A485:D485"/>
    <mergeCell ref="K485:N485"/>
    <mergeCell ref="B487:D487"/>
    <mergeCell ref="L487:N487"/>
    <mergeCell ref="A474:I474"/>
    <mergeCell ref="K474:S474"/>
    <mergeCell ref="A475:I475"/>
    <mergeCell ref="K475:S475"/>
    <mergeCell ref="A480:D481"/>
    <mergeCell ref="K480:N481"/>
    <mergeCell ref="B453:D453"/>
    <mergeCell ref="L453:N453"/>
    <mergeCell ref="B457:D457"/>
    <mergeCell ref="L457:N457"/>
    <mergeCell ref="E461:I461"/>
    <mergeCell ref="B446:D447"/>
    <mergeCell ref="L446:N447"/>
    <mergeCell ref="B449:D449"/>
    <mergeCell ref="L449:N449"/>
    <mergeCell ref="B451:D451"/>
    <mergeCell ref="L451:N451"/>
    <mergeCell ref="A440:D440"/>
    <mergeCell ref="K440:N440"/>
    <mergeCell ref="A442:D442"/>
    <mergeCell ref="K442:N442"/>
    <mergeCell ref="B444:D444"/>
    <mergeCell ref="L444:N444"/>
    <mergeCell ref="A431:I431"/>
    <mergeCell ref="K431:S431"/>
    <mergeCell ref="A432:I432"/>
    <mergeCell ref="K432:S432"/>
    <mergeCell ref="A437:D438"/>
    <mergeCell ref="K437:N438"/>
    <mergeCell ref="B410:D410"/>
    <mergeCell ref="L410:N410"/>
    <mergeCell ref="B414:D414"/>
    <mergeCell ref="L414:N414"/>
    <mergeCell ref="E418:I418"/>
    <mergeCell ref="B403:D404"/>
    <mergeCell ref="L403:N404"/>
    <mergeCell ref="B406:D406"/>
    <mergeCell ref="L406:N406"/>
    <mergeCell ref="B408:D408"/>
    <mergeCell ref="L408:N408"/>
    <mergeCell ref="A397:D397"/>
    <mergeCell ref="K397:N397"/>
    <mergeCell ref="A399:D399"/>
    <mergeCell ref="K399:N399"/>
    <mergeCell ref="B401:D401"/>
    <mergeCell ref="L401:N401"/>
    <mergeCell ref="A388:I388"/>
    <mergeCell ref="K388:S388"/>
    <mergeCell ref="A389:I389"/>
    <mergeCell ref="K389:S389"/>
    <mergeCell ref="A394:D395"/>
    <mergeCell ref="K394:N395"/>
    <mergeCell ref="B367:D367"/>
    <mergeCell ref="L367:N367"/>
    <mergeCell ref="B371:D371"/>
    <mergeCell ref="L371:N371"/>
    <mergeCell ref="E375:I375"/>
    <mergeCell ref="B360:D361"/>
    <mergeCell ref="L360:N361"/>
    <mergeCell ref="B363:D363"/>
    <mergeCell ref="L363:N363"/>
    <mergeCell ref="B365:D365"/>
    <mergeCell ref="L365:N365"/>
    <mergeCell ref="A354:D354"/>
    <mergeCell ref="K354:N354"/>
    <mergeCell ref="A356:D356"/>
    <mergeCell ref="K356:N356"/>
    <mergeCell ref="B358:D358"/>
    <mergeCell ref="L358:N358"/>
    <mergeCell ref="A345:I345"/>
    <mergeCell ref="K345:S345"/>
    <mergeCell ref="A346:I346"/>
    <mergeCell ref="K346:S346"/>
    <mergeCell ref="A351:D352"/>
    <mergeCell ref="K351:N352"/>
    <mergeCell ref="B324:D324"/>
    <mergeCell ref="L324:N324"/>
    <mergeCell ref="B328:D328"/>
    <mergeCell ref="L328:N328"/>
    <mergeCell ref="E332:I332"/>
    <mergeCell ref="B317:D318"/>
    <mergeCell ref="L317:N318"/>
    <mergeCell ref="B320:D320"/>
    <mergeCell ref="L320:N320"/>
    <mergeCell ref="B322:D322"/>
    <mergeCell ref="L322:N322"/>
    <mergeCell ref="A311:D311"/>
    <mergeCell ref="K311:N311"/>
    <mergeCell ref="A313:D313"/>
    <mergeCell ref="K313:N313"/>
    <mergeCell ref="B315:D315"/>
    <mergeCell ref="L315:N315"/>
    <mergeCell ref="A302:I302"/>
    <mergeCell ref="K302:S302"/>
    <mergeCell ref="A303:I303"/>
    <mergeCell ref="K303:S303"/>
    <mergeCell ref="A308:D309"/>
    <mergeCell ref="K308:N309"/>
    <mergeCell ref="B281:D281"/>
    <mergeCell ref="L281:N281"/>
    <mergeCell ref="B285:D285"/>
    <mergeCell ref="L285:N285"/>
    <mergeCell ref="E289:I289"/>
    <mergeCell ref="B274:D275"/>
    <mergeCell ref="L274:N275"/>
    <mergeCell ref="B277:D277"/>
    <mergeCell ref="L277:N277"/>
    <mergeCell ref="B279:D279"/>
    <mergeCell ref="L279:N279"/>
    <mergeCell ref="A268:D268"/>
    <mergeCell ref="K268:N268"/>
    <mergeCell ref="A270:D270"/>
    <mergeCell ref="K270:N270"/>
    <mergeCell ref="B272:D272"/>
    <mergeCell ref="L272:N272"/>
    <mergeCell ref="A259:I259"/>
    <mergeCell ref="K259:S259"/>
    <mergeCell ref="A260:I260"/>
    <mergeCell ref="K260:S260"/>
    <mergeCell ref="A265:D266"/>
    <mergeCell ref="K265:N266"/>
    <mergeCell ref="B238:D238"/>
    <mergeCell ref="L238:N238"/>
    <mergeCell ref="B242:D242"/>
    <mergeCell ref="L242:N242"/>
    <mergeCell ref="E246:I246"/>
    <mergeCell ref="B231:D232"/>
    <mergeCell ref="L231:N232"/>
    <mergeCell ref="B234:D234"/>
    <mergeCell ref="L234:N234"/>
    <mergeCell ref="B236:D236"/>
    <mergeCell ref="L236:N236"/>
    <mergeCell ref="A225:D225"/>
    <mergeCell ref="K225:N225"/>
    <mergeCell ref="A227:D227"/>
    <mergeCell ref="K227:N227"/>
    <mergeCell ref="B229:D229"/>
    <mergeCell ref="L229:N229"/>
    <mergeCell ref="A216:I216"/>
    <mergeCell ref="K216:S216"/>
    <mergeCell ref="A217:I217"/>
    <mergeCell ref="K217:S217"/>
    <mergeCell ref="A222:D223"/>
    <mergeCell ref="K222:N223"/>
    <mergeCell ref="B195:D195"/>
    <mergeCell ref="L195:N195"/>
    <mergeCell ref="B199:D199"/>
    <mergeCell ref="L199:N199"/>
    <mergeCell ref="E203:I203"/>
    <mergeCell ref="B188:D189"/>
    <mergeCell ref="L188:N189"/>
    <mergeCell ref="B191:D191"/>
    <mergeCell ref="L191:N191"/>
    <mergeCell ref="B193:D193"/>
    <mergeCell ref="L193:N193"/>
    <mergeCell ref="A182:D182"/>
    <mergeCell ref="K182:N182"/>
    <mergeCell ref="A184:D184"/>
    <mergeCell ref="K184:N184"/>
    <mergeCell ref="B186:D186"/>
    <mergeCell ref="L186:N186"/>
    <mergeCell ref="A173:I173"/>
    <mergeCell ref="K173:S173"/>
    <mergeCell ref="A174:I174"/>
    <mergeCell ref="K174:S174"/>
    <mergeCell ref="A179:D180"/>
    <mergeCell ref="K179:N180"/>
    <mergeCell ref="B152:D152"/>
    <mergeCell ref="L152:N152"/>
    <mergeCell ref="B156:D156"/>
    <mergeCell ref="L156:N156"/>
    <mergeCell ref="E160:I160"/>
    <mergeCell ref="B145:D146"/>
    <mergeCell ref="L145:N146"/>
    <mergeCell ref="B148:D148"/>
    <mergeCell ref="L148:N148"/>
    <mergeCell ref="B150:D150"/>
    <mergeCell ref="L150:N150"/>
    <mergeCell ref="A139:D139"/>
    <mergeCell ref="K139:N139"/>
    <mergeCell ref="A141:D141"/>
    <mergeCell ref="K141:N141"/>
    <mergeCell ref="B143:D143"/>
    <mergeCell ref="L143:N143"/>
    <mergeCell ref="A130:I130"/>
    <mergeCell ref="K130:S130"/>
    <mergeCell ref="A131:I131"/>
    <mergeCell ref="K131:S131"/>
    <mergeCell ref="A136:D137"/>
    <mergeCell ref="K136:N137"/>
    <mergeCell ref="B109:D109"/>
    <mergeCell ref="L109:N109"/>
    <mergeCell ref="B113:D113"/>
    <mergeCell ref="L113:N113"/>
    <mergeCell ref="E117:I117"/>
    <mergeCell ref="B102:D103"/>
    <mergeCell ref="L102:N103"/>
    <mergeCell ref="B105:D105"/>
    <mergeCell ref="L105:N105"/>
    <mergeCell ref="B107:D107"/>
    <mergeCell ref="L107:N107"/>
    <mergeCell ref="A96:D96"/>
    <mergeCell ref="K96:N96"/>
    <mergeCell ref="A98:D98"/>
    <mergeCell ref="K98:N98"/>
    <mergeCell ref="B100:D100"/>
    <mergeCell ref="L100:N100"/>
    <mergeCell ref="A87:I87"/>
    <mergeCell ref="K87:S87"/>
    <mergeCell ref="A88:I88"/>
    <mergeCell ref="K88:S88"/>
    <mergeCell ref="A93:D94"/>
    <mergeCell ref="K93:N94"/>
    <mergeCell ref="B66:D66"/>
    <mergeCell ref="L66:N66"/>
    <mergeCell ref="B70:D70"/>
    <mergeCell ref="L70:N70"/>
    <mergeCell ref="E74:I74"/>
    <mergeCell ref="B59:D60"/>
    <mergeCell ref="L59:N60"/>
    <mergeCell ref="B62:D62"/>
    <mergeCell ref="L62:N62"/>
    <mergeCell ref="B64:D64"/>
    <mergeCell ref="L64:N64"/>
    <mergeCell ref="A53:D53"/>
    <mergeCell ref="K53:N53"/>
    <mergeCell ref="A55:D55"/>
    <mergeCell ref="K55:N55"/>
    <mergeCell ref="B57:D57"/>
    <mergeCell ref="L57:N57"/>
    <mergeCell ref="A44:I44"/>
    <mergeCell ref="K44:S44"/>
    <mergeCell ref="A45:I45"/>
    <mergeCell ref="K45:S45"/>
    <mergeCell ref="A50:D51"/>
    <mergeCell ref="K50:N51"/>
    <mergeCell ref="B28:D28"/>
    <mergeCell ref="L28:N28"/>
    <mergeCell ref="E32:I32"/>
    <mergeCell ref="B22:D22"/>
    <mergeCell ref="L22:N22"/>
    <mergeCell ref="B24:D24"/>
    <mergeCell ref="L24:N24"/>
    <mergeCell ref="A2:I2"/>
    <mergeCell ref="K2:S2"/>
    <mergeCell ref="A3:I3"/>
    <mergeCell ref="K3:S3"/>
    <mergeCell ref="B15:D15"/>
    <mergeCell ref="L15:N15"/>
    <mergeCell ref="B17:D18"/>
    <mergeCell ref="L17:N18"/>
    <mergeCell ref="B20:D20"/>
    <mergeCell ref="L20:N20"/>
    <mergeCell ref="A8:D9"/>
    <mergeCell ref="K8:N9"/>
    <mergeCell ref="A11:D11"/>
    <mergeCell ref="K11:N11"/>
    <mergeCell ref="A13:D13"/>
    <mergeCell ref="K13:N13"/>
  </mergeCells>
  <pageMargins left="0.68" right="0.25" top="0.74" bottom="0.75" header="0.3" footer="0.3"/>
  <pageSetup paperSize="9" scale="75" orientation="landscape" verticalDpi="300" r:id="rId1"/>
</worksheet>
</file>

<file path=xl/worksheets/sheet10.xml><?xml version="1.0" encoding="utf-8"?>
<worksheet xmlns="http://schemas.openxmlformats.org/spreadsheetml/2006/main" xmlns:r="http://schemas.openxmlformats.org/officeDocument/2006/relationships">
  <sheetPr>
    <pageSetUpPr fitToPage="1"/>
  </sheetPr>
  <dimension ref="A1:I23"/>
  <sheetViews>
    <sheetView tabSelected="1" view="pageBreakPreview" zoomScaleSheetLayoutView="100" workbookViewId="0">
      <selection activeCell="F5" sqref="F5"/>
    </sheetView>
  </sheetViews>
  <sheetFormatPr defaultRowHeight="14.4"/>
  <cols>
    <col min="1" max="1" width="4.33203125" customWidth="1"/>
    <col min="2" max="2" width="15.44140625" customWidth="1"/>
    <col min="3" max="3" width="8.6640625" customWidth="1"/>
    <col min="6" max="6" width="12.33203125" customWidth="1"/>
    <col min="7" max="7" width="8.44140625" customWidth="1"/>
    <col min="8" max="8" width="14" customWidth="1"/>
    <col min="9" max="9" width="4.88671875" customWidth="1"/>
  </cols>
  <sheetData>
    <row r="1" spans="1:9" ht="26.25" customHeight="1">
      <c r="A1" s="867"/>
      <c r="B1" s="865"/>
      <c r="C1" s="866"/>
      <c r="D1" s="1435" t="s">
        <v>1149</v>
      </c>
      <c r="E1" s="1436"/>
      <c r="F1" s="1437"/>
      <c r="G1" s="1438">
        <f>Master!F10</f>
        <v>44652</v>
      </c>
      <c r="H1" s="1437"/>
      <c r="I1" s="867"/>
    </row>
    <row r="2" spans="1:9" ht="30.75" customHeight="1">
      <c r="A2" s="868"/>
      <c r="B2" s="1131" t="str">
        <f>Master!F5</f>
        <v>GROTECH LANDSCAPE DEVELOPERS PVT. LTD.</v>
      </c>
      <c r="C2" s="1132"/>
      <c r="D2" s="1132"/>
      <c r="E2" s="1132"/>
      <c r="F2" s="1132"/>
      <c r="G2" s="1132"/>
      <c r="H2" s="1132"/>
      <c r="I2" s="868"/>
    </row>
    <row r="3" spans="1:9" ht="25.5" customHeight="1">
      <c r="A3" s="868"/>
      <c r="B3" s="1102" t="str">
        <f>Master!F6</f>
        <v>290/E, Khanapur Village, Gandipet Mandal, Ranga Reddy, Hyderabad-500075 T.S.</v>
      </c>
      <c r="C3" s="1103"/>
      <c r="D3" s="1103"/>
      <c r="E3" s="1103"/>
      <c r="F3" s="1103"/>
      <c r="G3" s="1103"/>
      <c r="H3" s="1103"/>
      <c r="I3" s="868"/>
    </row>
    <row r="4" spans="1:9" ht="15.6">
      <c r="A4" s="868"/>
      <c r="B4" s="1118"/>
      <c r="C4" s="1119"/>
      <c r="D4" s="1119"/>
      <c r="E4" s="1119"/>
      <c r="F4" s="1119"/>
      <c r="G4" s="1119"/>
      <c r="H4" s="1119"/>
      <c r="I4" s="868"/>
    </row>
    <row r="5" spans="1:9" ht="24.9" customHeight="1">
      <c r="A5" s="868"/>
      <c r="B5" s="864" t="s">
        <v>1115</v>
      </c>
      <c r="C5" s="1133" t="s">
        <v>1116</v>
      </c>
      <c r="D5" s="1134"/>
      <c r="E5" s="1135"/>
      <c r="F5" s="857" t="s">
        <v>1180</v>
      </c>
      <c r="G5" s="1136">
        <v>30</v>
      </c>
      <c r="H5" s="1137"/>
      <c r="I5" s="868"/>
    </row>
    <row r="6" spans="1:9" ht="24.9" customHeight="1">
      <c r="A6" s="868"/>
      <c r="B6" s="864" t="s">
        <v>1117</v>
      </c>
      <c r="C6" s="1133" t="s">
        <v>1118</v>
      </c>
      <c r="D6" s="1134"/>
      <c r="E6" s="1135"/>
      <c r="F6" s="857" t="s">
        <v>1119</v>
      </c>
      <c r="G6" s="1136">
        <v>30</v>
      </c>
      <c r="H6" s="1137"/>
      <c r="I6" s="868"/>
    </row>
    <row r="7" spans="1:9" ht="24.9" customHeight="1">
      <c r="A7" s="868"/>
      <c r="B7" s="864" t="s">
        <v>1120</v>
      </c>
      <c r="C7" s="1133" t="s">
        <v>1121</v>
      </c>
      <c r="D7" s="1134"/>
      <c r="E7" s="1135"/>
      <c r="F7" s="857" t="s">
        <v>1150</v>
      </c>
      <c r="G7" s="1439" t="s">
        <v>1151</v>
      </c>
      <c r="H7" s="1440"/>
      <c r="I7" s="868"/>
    </row>
    <row r="8" spans="1:9" ht="24.9" customHeight="1">
      <c r="A8" s="868"/>
      <c r="B8" s="864" t="s">
        <v>1122</v>
      </c>
      <c r="C8" s="1133" t="s">
        <v>1123</v>
      </c>
      <c r="D8" s="1134"/>
      <c r="E8" s="1135"/>
      <c r="F8" s="857" t="s">
        <v>1124</v>
      </c>
      <c r="G8" s="1138" t="s">
        <v>1125</v>
      </c>
      <c r="H8" s="1139"/>
      <c r="I8" s="868"/>
    </row>
    <row r="9" spans="1:9" ht="24.9" customHeight="1">
      <c r="A9" s="868"/>
      <c r="B9" s="864" t="s">
        <v>246</v>
      </c>
      <c r="C9" s="1140">
        <v>43720</v>
      </c>
      <c r="D9" s="1141"/>
      <c r="E9" s="1142"/>
      <c r="F9" s="857" t="s">
        <v>1126</v>
      </c>
      <c r="G9" s="1136">
        <v>50100269606743</v>
      </c>
      <c r="H9" s="1137"/>
      <c r="I9" s="868"/>
    </row>
    <row r="10" spans="1:9" ht="24.9" customHeight="1">
      <c r="A10" s="868"/>
      <c r="B10" s="864" t="s">
        <v>1127</v>
      </c>
      <c r="C10" s="1143" t="str">
        <f>Master!X15</f>
        <v>N/A</v>
      </c>
      <c r="D10" s="1144"/>
      <c r="E10" s="1145"/>
      <c r="F10" s="857" t="s">
        <v>1143</v>
      </c>
      <c r="G10" s="1113">
        <f>Master!Y15</f>
        <v>2016384651</v>
      </c>
      <c r="H10" s="1114"/>
      <c r="I10" s="868"/>
    </row>
    <row r="11" spans="1:9" ht="15.6">
      <c r="A11" s="868"/>
      <c r="B11" s="1107"/>
      <c r="C11" s="1108"/>
      <c r="D11" s="1108"/>
      <c r="E11" s="1108"/>
      <c r="F11" s="1108"/>
      <c r="G11" s="1108"/>
      <c r="H11" s="1108"/>
      <c r="I11" s="868"/>
    </row>
    <row r="12" spans="1:9" ht="26.4">
      <c r="A12" s="868"/>
      <c r="B12" s="1109" t="s">
        <v>1128</v>
      </c>
      <c r="C12" s="1110"/>
      <c r="D12" s="858" t="s">
        <v>1129</v>
      </c>
      <c r="E12" s="859" t="s">
        <v>1130</v>
      </c>
      <c r="F12" s="1111" t="s">
        <v>1131</v>
      </c>
      <c r="G12" s="1112"/>
      <c r="H12" s="869" t="s">
        <v>1132</v>
      </c>
      <c r="I12" s="868"/>
    </row>
    <row r="13" spans="1:9" ht="15.6">
      <c r="A13" s="868"/>
      <c r="B13" s="1106" t="s">
        <v>1133</v>
      </c>
      <c r="C13" s="1105"/>
      <c r="D13" s="860">
        <v>40766.67</v>
      </c>
      <c r="E13" s="860">
        <v>40766.67</v>
      </c>
      <c r="F13" s="1104" t="s">
        <v>1144</v>
      </c>
      <c r="G13" s="1105"/>
      <c r="H13" s="870">
        <v>200</v>
      </c>
      <c r="I13" s="868"/>
    </row>
    <row r="14" spans="1:9" ht="15.6">
      <c r="A14" s="868"/>
      <c r="B14" s="1106" t="s">
        <v>1134</v>
      </c>
      <c r="C14" s="1105"/>
      <c r="D14" s="860">
        <v>16306.67</v>
      </c>
      <c r="E14" s="860">
        <v>16306.67</v>
      </c>
      <c r="F14" s="1104" t="s">
        <v>1145</v>
      </c>
      <c r="G14" s="1105"/>
      <c r="H14" s="870">
        <v>1800</v>
      </c>
      <c r="I14" s="868"/>
    </row>
    <row r="15" spans="1:9" ht="15.6">
      <c r="A15" s="868"/>
      <c r="B15" s="1106" t="s">
        <v>1135</v>
      </c>
      <c r="C15" s="1105"/>
      <c r="D15" s="860">
        <v>1600</v>
      </c>
      <c r="E15" s="860">
        <v>1600</v>
      </c>
      <c r="F15" s="1104" t="s">
        <v>25</v>
      </c>
      <c r="G15" s="1105"/>
      <c r="H15" s="870">
        <v>200</v>
      </c>
      <c r="I15" s="868"/>
    </row>
    <row r="16" spans="1:9" ht="15.6">
      <c r="A16" s="868"/>
      <c r="B16" s="1106" t="s">
        <v>1147</v>
      </c>
      <c r="C16" s="1122"/>
      <c r="D16" s="860">
        <v>22860</v>
      </c>
      <c r="E16" s="860">
        <v>22860</v>
      </c>
      <c r="F16" s="1104" t="s">
        <v>26</v>
      </c>
      <c r="G16" s="1105"/>
      <c r="H16" s="862">
        <v>0</v>
      </c>
      <c r="I16" s="868"/>
    </row>
    <row r="17" spans="1:9">
      <c r="A17" s="1433"/>
      <c r="B17" s="1106" t="s">
        <v>1142</v>
      </c>
      <c r="C17" s="1122"/>
      <c r="D17" s="863">
        <v>0</v>
      </c>
      <c r="E17" s="863">
        <v>0</v>
      </c>
      <c r="F17" s="1123" t="s">
        <v>686</v>
      </c>
      <c r="G17" s="1124"/>
      <c r="H17" s="862">
        <v>0</v>
      </c>
      <c r="I17" s="1433"/>
    </row>
    <row r="18" spans="1:9">
      <c r="A18" s="1433"/>
      <c r="B18" s="1106" t="s">
        <v>1148</v>
      </c>
      <c r="C18" s="1122"/>
      <c r="D18" s="863">
        <v>0</v>
      </c>
      <c r="E18" s="863">
        <v>0</v>
      </c>
      <c r="F18" s="1104" t="s">
        <v>1146</v>
      </c>
      <c r="G18" s="1105"/>
      <c r="H18" s="862">
        <v>0</v>
      </c>
      <c r="I18" s="1433"/>
    </row>
    <row r="19" spans="1:9">
      <c r="A19" s="1433"/>
      <c r="B19" s="1115" t="s">
        <v>1136</v>
      </c>
      <c r="C19" s="1116"/>
      <c r="D19" s="861">
        <v>81533.33</v>
      </c>
      <c r="E19" s="861">
        <v>81533</v>
      </c>
      <c r="F19" s="1117" t="s">
        <v>1137</v>
      </c>
      <c r="G19" s="1116"/>
      <c r="H19" s="871">
        <v>5500</v>
      </c>
      <c r="I19" s="1433"/>
    </row>
    <row r="20" spans="1:9">
      <c r="A20" s="1433"/>
      <c r="B20" s="1118"/>
      <c r="C20" s="1119"/>
      <c r="D20" s="1119"/>
      <c r="E20" s="1119"/>
      <c r="F20" s="1119"/>
      <c r="G20" s="1119"/>
      <c r="H20" s="1119"/>
      <c r="I20" s="1433"/>
    </row>
    <row r="21" spans="1:9">
      <c r="A21" s="1433"/>
      <c r="B21" s="1115" t="s">
        <v>1138</v>
      </c>
      <c r="C21" s="1116"/>
      <c r="D21" s="1120">
        <v>76033</v>
      </c>
      <c r="E21" s="1121"/>
      <c r="F21" s="1121"/>
      <c r="G21" s="1121"/>
      <c r="H21" s="1121"/>
      <c r="I21" s="1433"/>
    </row>
    <row r="22" spans="1:9">
      <c r="A22" s="1433"/>
      <c r="B22" s="1127" t="s">
        <v>1139</v>
      </c>
      <c r="C22" s="1128"/>
      <c r="D22" s="1129" t="s">
        <v>1140</v>
      </c>
      <c r="E22" s="1130"/>
      <c r="F22" s="1130"/>
      <c r="G22" s="1130"/>
      <c r="H22" s="1130"/>
      <c r="I22" s="1433"/>
    </row>
    <row r="23" spans="1:9" ht="15" thickBot="1">
      <c r="A23" s="1434"/>
      <c r="B23" s="1125" t="s">
        <v>1141</v>
      </c>
      <c r="C23" s="1126"/>
      <c r="D23" s="1126"/>
      <c r="E23" s="1126"/>
      <c r="F23" s="1126"/>
      <c r="G23" s="1126"/>
      <c r="H23" s="1126"/>
      <c r="I23" s="1434"/>
    </row>
  </sheetData>
  <mergeCells count="38">
    <mergeCell ref="B23:H23"/>
    <mergeCell ref="B22:C22"/>
    <mergeCell ref="D22:H22"/>
    <mergeCell ref="B2:H2"/>
    <mergeCell ref="B4:H4"/>
    <mergeCell ref="C5:E5"/>
    <mergeCell ref="G5:H5"/>
    <mergeCell ref="C6:E6"/>
    <mergeCell ref="G6:H6"/>
    <mergeCell ref="C7:E7"/>
    <mergeCell ref="G7:H7"/>
    <mergeCell ref="C8:E8"/>
    <mergeCell ref="G8:H8"/>
    <mergeCell ref="C9:E9"/>
    <mergeCell ref="G9:H9"/>
    <mergeCell ref="C10:E10"/>
    <mergeCell ref="B18:C18"/>
    <mergeCell ref="F18:G18"/>
    <mergeCell ref="B16:C16"/>
    <mergeCell ref="F16:G16"/>
    <mergeCell ref="B17:C17"/>
    <mergeCell ref="F17:G17"/>
    <mergeCell ref="B19:C19"/>
    <mergeCell ref="F19:G19"/>
    <mergeCell ref="B20:H20"/>
    <mergeCell ref="B21:C21"/>
    <mergeCell ref="D21:H21"/>
    <mergeCell ref="B3:H3"/>
    <mergeCell ref="F13:G13"/>
    <mergeCell ref="B14:C14"/>
    <mergeCell ref="F14:G14"/>
    <mergeCell ref="B15:C15"/>
    <mergeCell ref="F15:G15"/>
    <mergeCell ref="B11:H11"/>
    <mergeCell ref="B12:C12"/>
    <mergeCell ref="F12:G12"/>
    <mergeCell ref="B13:C13"/>
    <mergeCell ref="G10:H10"/>
  </mergeCells>
  <pageMargins left="0.6692913385826772" right="0.23622047244094491" top="0.74803149606299213" bottom="0.74803149606299213" header="0.31496062992125984" footer="0.31496062992125984"/>
  <pageSetup paperSize="9"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dimension ref="A1:M32"/>
  <sheetViews>
    <sheetView view="pageBreakPreview" zoomScaleSheetLayoutView="100" workbookViewId="0">
      <selection activeCell="H8" sqref="H8"/>
    </sheetView>
  </sheetViews>
  <sheetFormatPr defaultRowHeight="14.4"/>
  <cols>
    <col min="1" max="1" width="7.6640625" customWidth="1"/>
    <col min="2" max="2" width="12.6640625" customWidth="1"/>
    <col min="3" max="3" width="12.5546875" customWidth="1"/>
    <col min="4" max="4" width="39" customWidth="1"/>
    <col min="5" max="5" width="10.5546875" customWidth="1"/>
    <col min="7" max="7" width="10.5546875" customWidth="1"/>
    <col min="8" max="8" width="12.33203125" customWidth="1"/>
    <col min="9" max="9" width="10.5546875" customWidth="1"/>
    <col min="10" max="10" width="11" customWidth="1"/>
    <col min="11" max="12" width="10.6640625" customWidth="1"/>
    <col min="13" max="13" width="15.5546875" customWidth="1"/>
  </cols>
  <sheetData>
    <row r="1" spans="1:13" ht="47.4" customHeight="1">
      <c r="A1" s="1148" t="s">
        <v>55</v>
      </c>
      <c r="B1" s="1148"/>
      <c r="C1" s="1148"/>
      <c r="D1" s="1148"/>
      <c r="E1" s="1148"/>
      <c r="F1" s="1148"/>
      <c r="G1" s="1148"/>
      <c r="H1" s="1148"/>
      <c r="I1" s="1148"/>
      <c r="J1" s="1148"/>
      <c r="K1" s="1148"/>
      <c r="L1" s="1148"/>
      <c r="M1" s="1148"/>
    </row>
    <row r="2" spans="1:13" ht="20.399999999999999" customHeight="1">
      <c r="A2" s="1149" t="s">
        <v>1076</v>
      </c>
      <c r="B2" s="1149"/>
      <c r="C2" s="1149"/>
      <c r="D2" s="1149"/>
      <c r="E2" s="1149"/>
      <c r="F2" s="1149"/>
      <c r="G2" s="1149"/>
      <c r="H2" s="1149"/>
      <c r="I2" s="1149"/>
      <c r="J2" s="1149"/>
      <c r="K2" s="1149"/>
      <c r="L2" s="1149"/>
      <c r="M2" s="1149"/>
    </row>
    <row r="3" spans="1:13" ht="15" customHeight="1">
      <c r="A3" s="253" t="s">
        <v>199</v>
      </c>
      <c r="B3" s="254"/>
      <c r="C3" s="255"/>
      <c r="D3" s="610" t="str">
        <f>Master!F5</f>
        <v>GROTECH LANDSCAPE DEVELOPERS PVT. LTD.</v>
      </c>
      <c r="E3" s="38" t="s">
        <v>70</v>
      </c>
      <c r="F3" s="30"/>
      <c r="G3" s="30"/>
      <c r="H3" s="30"/>
      <c r="I3" s="30"/>
      <c r="J3" s="30"/>
      <c r="K3" s="30"/>
      <c r="L3" s="30"/>
      <c r="M3" s="56"/>
    </row>
    <row r="4" spans="1:13">
      <c r="A4" s="189"/>
      <c r="B4" s="254" t="str">
        <f>Master!F6</f>
        <v>290/E, Khanapur Village, Gandipet Mandal, Ranga Reddy, Hyderabad-500075 T.S.</v>
      </c>
      <c r="C4" s="254"/>
      <c r="D4" s="254"/>
      <c r="E4" s="421" t="str">
        <f>Master!AN5</f>
        <v>GROTECH LANDSCAPE DEVELOPERS PVT. LTD.</v>
      </c>
      <c r="F4" s="77"/>
      <c r="G4" s="77"/>
      <c r="H4" s="77"/>
      <c r="I4" s="77"/>
      <c r="J4" s="77"/>
      <c r="K4" s="77"/>
      <c r="L4" s="77"/>
      <c r="M4" s="56"/>
    </row>
    <row r="5" spans="1:13">
      <c r="A5" s="189"/>
      <c r="B5" s="254"/>
      <c r="C5" s="254"/>
      <c r="D5" s="254"/>
      <c r="E5" s="189" t="str">
        <f>Master!AN6</f>
        <v>290/E, Khanapur Village, Gandipet Mandal, Ranga Reddy, Hyderabad-500075 T.S.</v>
      </c>
      <c r="F5" s="254"/>
      <c r="G5" s="254"/>
      <c r="H5" s="254"/>
      <c r="I5" s="254"/>
      <c r="J5" s="254"/>
      <c r="K5" s="254"/>
      <c r="L5" s="254"/>
      <c r="M5" s="255"/>
    </row>
    <row r="6" spans="1:13">
      <c r="A6" s="189" t="s">
        <v>69</v>
      </c>
      <c r="B6" s="254"/>
      <c r="C6" s="255"/>
      <c r="D6" s="187" t="str">
        <f>Master!F8</f>
        <v>GARDENING SERVICES&amp;ISB HYDERABAD</v>
      </c>
      <c r="E6" s="32" t="s">
        <v>56</v>
      </c>
      <c r="F6" s="257"/>
      <c r="G6" s="257"/>
      <c r="H6" s="257"/>
      <c r="I6" s="257"/>
      <c r="J6" s="257"/>
      <c r="K6" s="257"/>
      <c r="L6" s="257"/>
      <c r="M6" s="34"/>
    </row>
    <row r="7" spans="1:13">
      <c r="A7" s="32"/>
      <c r="B7" s="33"/>
      <c r="C7" s="33"/>
      <c r="D7" s="34"/>
      <c r="E7" s="39" t="str">
        <f>Master!AN10</f>
        <v>INDIAN SCHOOL OF BUSINESS</v>
      </c>
      <c r="F7" s="33"/>
      <c r="G7" s="33"/>
      <c r="H7" s="33"/>
      <c r="I7" s="33"/>
      <c r="J7" s="33"/>
      <c r="K7" s="33"/>
      <c r="L7" s="33"/>
      <c r="M7" s="34"/>
    </row>
    <row r="8" spans="1:13">
      <c r="A8" s="32"/>
      <c r="B8" s="33"/>
      <c r="C8" s="33"/>
      <c r="D8" s="34"/>
      <c r="E8" s="32" t="str">
        <f>Master!AN11</f>
        <v>Opp.Infosys Limited,Gachibowli,Hyderabad</v>
      </c>
      <c r="F8" s="33"/>
      <c r="G8" s="33"/>
      <c r="H8" s="33"/>
      <c r="I8" s="33"/>
      <c r="J8" s="33"/>
      <c r="K8" s="33"/>
      <c r="L8" s="33"/>
      <c r="M8" s="34"/>
    </row>
    <row r="9" spans="1:13">
      <c r="A9" s="35"/>
      <c r="B9" s="36"/>
      <c r="C9" s="36"/>
      <c r="D9" s="37"/>
      <c r="E9" s="35"/>
      <c r="F9" s="36"/>
      <c r="G9" s="36"/>
      <c r="H9" s="36"/>
      <c r="I9" s="36"/>
      <c r="J9" s="36"/>
      <c r="K9" s="36"/>
      <c r="L9" s="36"/>
      <c r="M9" s="37"/>
    </row>
    <row r="10" spans="1:13" ht="39.6">
      <c r="A10" s="1147" t="s">
        <v>5</v>
      </c>
      <c r="B10" s="1147" t="s">
        <v>57</v>
      </c>
      <c r="C10" s="40" t="s">
        <v>58</v>
      </c>
      <c r="D10" s="1146" t="s">
        <v>59</v>
      </c>
      <c r="E10" s="1146" t="s">
        <v>271</v>
      </c>
      <c r="F10" s="1146" t="s">
        <v>60</v>
      </c>
      <c r="G10" s="1146" t="s">
        <v>61</v>
      </c>
      <c r="H10" s="1146" t="s">
        <v>62</v>
      </c>
      <c r="I10" s="1146" t="s">
        <v>63</v>
      </c>
      <c r="J10" s="1147" t="s">
        <v>64</v>
      </c>
      <c r="K10" s="1147"/>
      <c r="L10" s="1147"/>
      <c r="M10" s="41" t="s">
        <v>32</v>
      </c>
    </row>
    <row r="11" spans="1:13" ht="86.25" customHeight="1">
      <c r="A11" s="1147"/>
      <c r="B11" s="1147"/>
      <c r="C11" s="42"/>
      <c r="D11" s="1146"/>
      <c r="E11" s="1146"/>
      <c r="F11" s="1146"/>
      <c r="G11" s="1146"/>
      <c r="H11" s="1146"/>
      <c r="I11" s="1146"/>
      <c r="J11" s="43" t="s">
        <v>65</v>
      </c>
      <c r="K11" s="43" t="s">
        <v>66</v>
      </c>
      <c r="L11" s="43" t="s">
        <v>67</v>
      </c>
      <c r="M11" s="44"/>
    </row>
    <row r="12" spans="1:13">
      <c r="A12" s="45">
        <v>1</v>
      </c>
      <c r="B12" s="45">
        <v>2</v>
      </c>
      <c r="C12" s="45">
        <v>3</v>
      </c>
      <c r="D12" s="45">
        <v>4</v>
      </c>
      <c r="E12" s="45">
        <v>5</v>
      </c>
      <c r="F12" s="45">
        <v>6</v>
      </c>
      <c r="G12" s="45">
        <v>7</v>
      </c>
      <c r="H12" s="45">
        <v>8</v>
      </c>
      <c r="I12" s="45">
        <v>9</v>
      </c>
      <c r="J12" s="45">
        <v>10</v>
      </c>
      <c r="K12" s="45">
        <v>11</v>
      </c>
      <c r="L12" s="45">
        <v>12</v>
      </c>
      <c r="M12" s="45">
        <v>13</v>
      </c>
    </row>
    <row r="13" spans="1:13">
      <c r="A13" s="46"/>
      <c r="B13" s="46"/>
      <c r="C13" s="46"/>
      <c r="D13" s="46"/>
      <c r="E13" s="46"/>
      <c r="F13" s="46"/>
      <c r="G13" s="46"/>
      <c r="H13" s="46"/>
      <c r="I13" s="46"/>
      <c r="J13" s="46"/>
      <c r="K13" s="46"/>
      <c r="L13" s="46"/>
      <c r="M13" s="46"/>
    </row>
    <row r="14" spans="1:13">
      <c r="A14" s="46"/>
      <c r="B14" s="50"/>
      <c r="C14" s="50"/>
      <c r="D14" s="50"/>
      <c r="E14" s="50"/>
      <c r="F14" s="50"/>
      <c r="G14" s="50"/>
      <c r="H14" s="50"/>
      <c r="I14" s="50"/>
      <c r="J14" s="50"/>
      <c r="K14" s="50"/>
      <c r="L14" s="50"/>
      <c r="M14" s="50"/>
    </row>
    <row r="15" spans="1:13">
      <c r="A15" s="49"/>
      <c r="B15" s="189" t="s">
        <v>270</v>
      </c>
      <c r="C15" s="260"/>
      <c r="D15" s="258"/>
      <c r="E15" s="258"/>
      <c r="F15" s="258"/>
      <c r="G15" s="259"/>
      <c r="H15" s="422">
        <f>Master!F10</f>
        <v>44652</v>
      </c>
      <c r="I15" s="46"/>
      <c r="J15" s="46"/>
      <c r="K15" s="46"/>
      <c r="L15" s="46"/>
      <c r="M15" s="46"/>
    </row>
    <row r="16" spans="1:13">
      <c r="A16" s="46"/>
      <c r="B16" s="51"/>
      <c r="C16" s="51"/>
      <c r="D16" s="51"/>
      <c r="E16" s="51"/>
      <c r="F16" s="51"/>
      <c r="G16" s="51"/>
      <c r="H16" s="51"/>
      <c r="I16" s="51"/>
      <c r="J16" s="51"/>
      <c r="K16" s="51"/>
      <c r="L16" s="51"/>
      <c r="M16" s="51"/>
    </row>
    <row r="17" spans="1:13">
      <c r="A17" s="46"/>
      <c r="B17" s="46"/>
      <c r="C17" s="46"/>
      <c r="D17" s="46"/>
      <c r="E17" s="46"/>
      <c r="F17" s="46"/>
      <c r="G17" s="46"/>
      <c r="H17" s="46"/>
      <c r="I17" s="46"/>
      <c r="J17" s="46"/>
      <c r="K17" s="46"/>
      <c r="L17" s="46"/>
      <c r="M17" s="46"/>
    </row>
    <row r="18" spans="1:13">
      <c r="A18" s="46"/>
      <c r="B18" s="46"/>
      <c r="C18" s="46"/>
      <c r="D18" s="46"/>
      <c r="E18" s="46"/>
      <c r="F18" s="46"/>
      <c r="G18" s="46"/>
      <c r="H18" s="46"/>
      <c r="I18" s="46"/>
      <c r="J18" s="46"/>
      <c r="K18" s="46"/>
      <c r="L18" s="46"/>
      <c r="M18" s="46"/>
    </row>
    <row r="19" spans="1:13">
      <c r="A19" s="46"/>
      <c r="B19" s="48"/>
      <c r="C19" s="46"/>
      <c r="D19" s="46"/>
      <c r="E19" s="46"/>
      <c r="F19" s="46"/>
      <c r="G19" s="46"/>
      <c r="H19" s="46"/>
      <c r="I19" s="46"/>
      <c r="J19" s="46"/>
      <c r="K19" s="46"/>
      <c r="L19" s="46"/>
      <c r="M19" s="46"/>
    </row>
    <row r="20" spans="1:13">
      <c r="A20" s="46"/>
      <c r="B20" s="46"/>
      <c r="C20" s="46"/>
      <c r="D20" s="46"/>
      <c r="E20" s="46"/>
      <c r="F20" s="46"/>
      <c r="G20" s="46"/>
      <c r="H20" s="46"/>
      <c r="I20" s="46"/>
      <c r="J20" s="46"/>
      <c r="K20" s="46"/>
      <c r="L20" s="46"/>
      <c r="M20" s="46"/>
    </row>
    <row r="21" spans="1:13">
      <c r="A21" s="46"/>
      <c r="B21" s="47" t="s">
        <v>68</v>
      </c>
      <c r="C21" s="46"/>
      <c r="D21" s="46"/>
      <c r="E21" s="46"/>
      <c r="F21" s="46"/>
      <c r="G21" s="46"/>
      <c r="H21" s="46"/>
      <c r="I21" s="46"/>
      <c r="J21" s="46"/>
      <c r="K21" s="46"/>
      <c r="L21" s="46"/>
      <c r="M21" s="46"/>
    </row>
    <row r="22" spans="1:13">
      <c r="A22" s="46"/>
      <c r="B22" s="46"/>
      <c r="C22" s="46"/>
      <c r="D22" s="46"/>
      <c r="E22" s="46"/>
      <c r="F22" s="46"/>
      <c r="G22" s="46"/>
      <c r="H22" s="46"/>
      <c r="I22" s="46"/>
      <c r="J22" s="46"/>
      <c r="K22" s="46"/>
      <c r="L22" s="46"/>
      <c r="M22" s="46"/>
    </row>
    <row r="23" spans="1:13">
      <c r="A23" s="46"/>
      <c r="B23" s="46"/>
      <c r="C23" s="46"/>
      <c r="D23" s="46"/>
      <c r="E23" s="46"/>
      <c r="F23" s="46"/>
      <c r="G23" s="46"/>
      <c r="H23" s="46"/>
      <c r="I23" s="46"/>
      <c r="J23" s="46"/>
      <c r="K23" s="46"/>
      <c r="L23" s="46"/>
      <c r="M23" s="46"/>
    </row>
    <row r="24" spans="1:13">
      <c r="A24" s="46"/>
      <c r="B24" s="46"/>
      <c r="C24" s="46"/>
      <c r="D24" s="46"/>
      <c r="E24" s="46"/>
      <c r="F24" s="46"/>
      <c r="G24" s="46"/>
      <c r="H24" s="46"/>
      <c r="I24" s="46"/>
      <c r="J24" s="46"/>
      <c r="K24" s="46"/>
      <c r="L24" s="46"/>
      <c r="M24" s="46"/>
    </row>
    <row r="25" spans="1:13">
      <c r="A25" s="46"/>
      <c r="B25" s="46"/>
      <c r="C25" s="46"/>
      <c r="D25" s="46"/>
      <c r="E25" s="46"/>
      <c r="F25" s="46"/>
      <c r="G25" s="46"/>
      <c r="H25" s="46"/>
      <c r="I25" s="46"/>
      <c r="J25" s="46"/>
      <c r="K25" s="46"/>
      <c r="L25" s="46"/>
      <c r="M25" s="46"/>
    </row>
    <row r="26" spans="1:13">
      <c r="A26" s="46"/>
      <c r="B26" s="46"/>
      <c r="C26" s="46"/>
      <c r="D26" s="46"/>
      <c r="E26" s="46"/>
      <c r="F26" s="46"/>
      <c r="G26" s="46"/>
      <c r="H26" s="46"/>
      <c r="I26" s="46"/>
      <c r="J26" s="46"/>
      <c r="K26" s="46"/>
      <c r="L26" s="46"/>
      <c r="M26" s="46"/>
    </row>
    <row r="27" spans="1:13">
      <c r="A27" s="46"/>
      <c r="B27" s="46"/>
      <c r="C27" s="46"/>
      <c r="D27" s="46"/>
      <c r="E27" s="46"/>
      <c r="F27" s="46"/>
      <c r="G27" s="46"/>
      <c r="H27" s="46"/>
      <c r="I27" s="46"/>
      <c r="J27" s="46"/>
      <c r="K27" s="46"/>
      <c r="L27" s="46"/>
      <c r="M27" s="46"/>
    </row>
    <row r="28" spans="1:13">
      <c r="A28" s="46"/>
      <c r="B28" s="46"/>
      <c r="C28" s="46"/>
      <c r="D28" s="46"/>
      <c r="E28" s="46"/>
      <c r="F28" s="46"/>
      <c r="G28" s="46"/>
      <c r="H28" s="46"/>
      <c r="I28" s="46"/>
      <c r="J28" s="46"/>
      <c r="K28" s="46"/>
      <c r="L28" s="46"/>
      <c r="M28" s="46"/>
    </row>
    <row r="29" spans="1:13">
      <c r="A29" s="46"/>
      <c r="B29" s="46"/>
      <c r="C29" s="46"/>
      <c r="D29" s="46"/>
      <c r="E29" s="46"/>
      <c r="F29" s="46"/>
      <c r="G29" s="46"/>
      <c r="H29" s="46"/>
      <c r="I29" s="46"/>
      <c r="J29" s="46"/>
      <c r="K29" s="46"/>
      <c r="L29" s="46"/>
      <c r="M29" s="46"/>
    </row>
    <row r="30" spans="1:13">
      <c r="A30" s="46"/>
      <c r="B30" s="46"/>
      <c r="C30" s="46"/>
      <c r="D30" s="46"/>
      <c r="E30" s="46"/>
      <c r="F30" s="46"/>
      <c r="G30" s="46"/>
      <c r="H30" s="46"/>
      <c r="I30" s="46"/>
      <c r="J30" s="46"/>
      <c r="K30" s="46"/>
      <c r="L30" s="46"/>
      <c r="M30" s="46"/>
    </row>
    <row r="32" spans="1:13">
      <c r="F32" t="s">
        <v>29</v>
      </c>
    </row>
  </sheetData>
  <protectedRanges>
    <protectedRange password="CA4D" sqref="E4 A2:D12 E2:M2 E5:M12 A1:M1" name="Range1"/>
  </protectedRanges>
  <mergeCells count="11">
    <mergeCell ref="H10:H11"/>
    <mergeCell ref="I10:I11"/>
    <mergeCell ref="J10:L10"/>
    <mergeCell ref="A1:M1"/>
    <mergeCell ref="A2:M2"/>
    <mergeCell ref="A10:A11"/>
    <mergeCell ref="B10:B11"/>
    <mergeCell ref="D10:D11"/>
    <mergeCell ref="E10:E11"/>
    <mergeCell ref="F10:F11"/>
    <mergeCell ref="G10:G11"/>
  </mergeCells>
  <pageMargins left="0.45" right="0.25" top="0.75" bottom="0.75" header="0.37" footer="0.3"/>
  <pageSetup paperSize="9" scale="80" orientation="landscape" verticalDpi="300" r:id="rId1"/>
</worksheet>
</file>

<file path=xl/worksheets/sheet12.xml><?xml version="1.0" encoding="utf-8"?>
<worksheet xmlns="http://schemas.openxmlformats.org/spreadsheetml/2006/main" xmlns:r="http://schemas.openxmlformats.org/officeDocument/2006/relationships">
  <dimension ref="A1:L32"/>
  <sheetViews>
    <sheetView view="pageBreakPreview" zoomScaleSheetLayoutView="100" workbookViewId="0">
      <selection activeCell="F10" sqref="F10:F11"/>
    </sheetView>
  </sheetViews>
  <sheetFormatPr defaultRowHeight="14.4"/>
  <cols>
    <col min="1" max="1" width="7" customWidth="1"/>
    <col min="3" max="3" width="10.44140625" customWidth="1"/>
    <col min="4" max="4" width="47.88671875" customWidth="1"/>
    <col min="5" max="5" width="12.88671875" customWidth="1"/>
    <col min="8" max="8" width="11.88671875" customWidth="1"/>
    <col min="10" max="10" width="12.109375" customWidth="1"/>
    <col min="11" max="11" width="11.33203125" customWidth="1"/>
    <col min="12" max="12" width="14.5546875" customWidth="1"/>
  </cols>
  <sheetData>
    <row r="1" spans="1:12" ht="47.4" customHeight="1">
      <c r="A1" s="1148" t="s">
        <v>71</v>
      </c>
      <c r="B1" s="1148"/>
      <c r="C1" s="1148"/>
      <c r="D1" s="1148"/>
      <c r="E1" s="1148"/>
      <c r="F1" s="1148"/>
      <c r="G1" s="1148"/>
      <c r="H1" s="1148"/>
      <c r="I1" s="1148"/>
      <c r="J1" s="1148"/>
      <c r="K1" s="1148"/>
      <c r="L1" s="1148"/>
    </row>
    <row r="2" spans="1:12">
      <c r="A2" s="1149" t="s">
        <v>1077</v>
      </c>
      <c r="B2" s="1149"/>
      <c r="C2" s="1149"/>
      <c r="D2" s="1149"/>
      <c r="E2" s="1149"/>
      <c r="F2" s="1149"/>
      <c r="G2" s="1149"/>
      <c r="H2" s="1149"/>
      <c r="I2" s="1149"/>
      <c r="J2" s="1149"/>
      <c r="K2" s="1149"/>
      <c r="L2" s="1149"/>
    </row>
    <row r="3" spans="1:12" ht="15" customHeight="1">
      <c r="A3" s="253" t="s">
        <v>199</v>
      </c>
      <c r="B3" s="254"/>
      <c r="C3" s="255"/>
      <c r="D3" s="256" t="str">
        <f>Master!F5</f>
        <v>GROTECH LANDSCAPE DEVELOPERS PVT. LTD.</v>
      </c>
      <c r="E3" s="38" t="s">
        <v>70</v>
      </c>
      <c r="F3" s="30"/>
      <c r="G3" s="30"/>
      <c r="H3" s="30"/>
      <c r="I3" s="30"/>
      <c r="J3" s="30"/>
      <c r="K3" s="30"/>
      <c r="L3" s="56"/>
    </row>
    <row r="4" spans="1:12">
      <c r="A4" s="189"/>
      <c r="B4" s="254" t="str">
        <f>Master!F6</f>
        <v>290/E, Khanapur Village, Gandipet Mandal, Ranga Reddy, Hyderabad-500075 T.S.</v>
      </c>
      <c r="C4" s="254"/>
      <c r="D4" s="254"/>
      <c r="E4" s="421" t="str">
        <f>Master!AN5</f>
        <v>GROTECH LANDSCAPE DEVELOPERS PVT. LTD.</v>
      </c>
      <c r="F4" s="77"/>
      <c r="G4" s="77"/>
      <c r="H4" s="77"/>
      <c r="I4" s="77"/>
      <c r="J4" s="77"/>
      <c r="K4" s="77"/>
      <c r="L4" s="56"/>
    </row>
    <row r="5" spans="1:12">
      <c r="A5" s="189"/>
      <c r="B5" s="254"/>
      <c r="C5" s="254"/>
      <c r="D5" s="254"/>
      <c r="E5" s="189" t="str">
        <f>Master!AN6</f>
        <v>290/E, Khanapur Village, Gandipet Mandal, Ranga Reddy, Hyderabad-500075 T.S.</v>
      </c>
      <c r="F5" s="254"/>
      <c r="G5" s="254"/>
      <c r="H5" s="254"/>
      <c r="I5" s="254"/>
      <c r="J5" s="254"/>
      <c r="K5" s="254"/>
      <c r="L5" s="255"/>
    </row>
    <row r="6" spans="1:12">
      <c r="A6" s="189" t="s">
        <v>69</v>
      </c>
      <c r="B6" s="254"/>
      <c r="C6" s="255"/>
      <c r="D6" s="187" t="str">
        <f>Master!F8</f>
        <v>GARDENING SERVICES&amp;ISB HYDERABAD</v>
      </c>
      <c r="E6" s="32" t="s">
        <v>56</v>
      </c>
      <c r="F6" s="257"/>
      <c r="G6" s="257"/>
      <c r="H6" s="257"/>
      <c r="I6" s="257"/>
      <c r="J6" s="257"/>
      <c r="K6" s="257"/>
      <c r="L6" s="34"/>
    </row>
    <row r="7" spans="1:12">
      <c r="A7" s="32"/>
      <c r="B7" s="33"/>
      <c r="C7" s="33"/>
      <c r="D7" s="34"/>
      <c r="E7" s="39" t="str">
        <f>Master!AN10</f>
        <v>INDIAN SCHOOL OF BUSINESS</v>
      </c>
      <c r="F7" s="33"/>
      <c r="G7" s="33"/>
      <c r="H7" s="33"/>
      <c r="I7" s="33"/>
      <c r="J7" s="33"/>
      <c r="K7" s="33"/>
      <c r="L7" s="34"/>
    </row>
    <row r="8" spans="1:12">
      <c r="A8" s="32"/>
      <c r="B8" s="33"/>
      <c r="C8" s="33"/>
      <c r="D8" s="34"/>
      <c r="E8" s="32" t="str">
        <f>Master!AN11</f>
        <v>Opp.Infosys Limited,Gachibowli,Hyderabad</v>
      </c>
      <c r="F8" s="33"/>
      <c r="G8" s="33"/>
      <c r="H8" s="33"/>
      <c r="I8" s="33"/>
      <c r="J8" s="33"/>
      <c r="K8" s="33"/>
      <c r="L8" s="34"/>
    </row>
    <row r="9" spans="1:12">
      <c r="A9" s="32"/>
      <c r="B9" s="33"/>
      <c r="C9" s="33"/>
      <c r="D9" s="34"/>
      <c r="E9" s="32"/>
      <c r="F9" s="33"/>
      <c r="G9" s="33"/>
      <c r="H9" s="33"/>
      <c r="I9" s="33"/>
      <c r="J9" s="33"/>
      <c r="K9" s="33"/>
      <c r="L9" s="34"/>
    </row>
    <row r="10" spans="1:12" ht="51" customHeight="1">
      <c r="A10" s="1153" t="s">
        <v>5</v>
      </c>
      <c r="B10" s="1153" t="s">
        <v>57</v>
      </c>
      <c r="C10" s="261" t="s">
        <v>58</v>
      </c>
      <c r="D10" s="1155" t="s">
        <v>59</v>
      </c>
      <c r="E10" s="1155" t="s">
        <v>72</v>
      </c>
      <c r="F10" s="1155" t="s">
        <v>73</v>
      </c>
      <c r="G10" s="1155" t="s">
        <v>74</v>
      </c>
      <c r="H10" s="1155" t="s">
        <v>62</v>
      </c>
      <c r="I10" s="1155" t="s">
        <v>75</v>
      </c>
      <c r="J10" s="261" t="s">
        <v>76</v>
      </c>
      <c r="K10" s="1153" t="s">
        <v>77</v>
      </c>
      <c r="L10" s="1153" t="s">
        <v>32</v>
      </c>
    </row>
    <row r="11" spans="1:12" ht="71.25" customHeight="1">
      <c r="A11" s="1154"/>
      <c r="B11" s="1154"/>
      <c r="C11" s="42"/>
      <c r="D11" s="1156"/>
      <c r="E11" s="1156"/>
      <c r="F11" s="1156"/>
      <c r="G11" s="1156"/>
      <c r="H11" s="1156"/>
      <c r="I11" s="1156"/>
      <c r="J11" s="193"/>
      <c r="K11" s="1154"/>
      <c r="L11" s="1154"/>
    </row>
    <row r="12" spans="1:12" ht="15" customHeight="1">
      <c r="A12" s="52">
        <v>1</v>
      </c>
      <c r="B12" s="52">
        <v>2</v>
      </c>
      <c r="C12" s="52">
        <v>3</v>
      </c>
      <c r="D12" s="52">
        <v>4</v>
      </c>
      <c r="E12" s="52">
        <v>5</v>
      </c>
      <c r="F12" s="52">
        <v>6</v>
      </c>
      <c r="G12" s="52">
        <v>7</v>
      </c>
      <c r="H12" s="52">
        <v>8</v>
      </c>
      <c r="I12" s="52">
        <v>9</v>
      </c>
      <c r="J12" s="53">
        <v>10</v>
      </c>
      <c r="K12" s="54">
        <v>11</v>
      </c>
      <c r="L12" s="55">
        <v>12</v>
      </c>
    </row>
    <row r="13" spans="1:12">
      <c r="A13" s="46"/>
      <c r="B13" s="46"/>
      <c r="C13" s="46"/>
      <c r="D13" s="46"/>
      <c r="E13" s="46"/>
      <c r="F13" s="46"/>
      <c r="G13" s="46"/>
      <c r="H13" s="46"/>
      <c r="I13" s="46"/>
      <c r="J13" s="46"/>
      <c r="K13" s="51"/>
      <c r="L13" s="46"/>
    </row>
    <row r="14" spans="1:12">
      <c r="A14" s="46"/>
      <c r="B14" s="50"/>
      <c r="C14" s="50"/>
      <c r="D14" s="50"/>
      <c r="E14" s="50"/>
      <c r="F14" s="50"/>
      <c r="G14" s="50"/>
      <c r="H14" s="50"/>
      <c r="I14" s="50"/>
      <c r="J14" s="50"/>
      <c r="K14" s="50"/>
      <c r="L14" s="50"/>
    </row>
    <row r="15" spans="1:12">
      <c r="A15" s="49"/>
      <c r="B15" s="1150" t="s">
        <v>234</v>
      </c>
      <c r="C15" s="1151"/>
      <c r="D15" s="1151"/>
      <c r="E15" s="1151"/>
      <c r="F15" s="1151"/>
      <c r="G15" s="1152"/>
      <c r="H15" s="423">
        <f>Master!F10</f>
        <v>44652</v>
      </c>
      <c r="I15" s="46"/>
      <c r="J15" s="46"/>
      <c r="K15" s="46"/>
      <c r="L15" s="46"/>
    </row>
    <row r="16" spans="1:12">
      <c r="A16" s="46"/>
      <c r="B16" s="51"/>
      <c r="C16" s="51"/>
      <c r="D16" s="51"/>
      <c r="E16" s="51"/>
      <c r="F16" s="51"/>
      <c r="G16" s="51"/>
      <c r="H16" s="51"/>
      <c r="I16" s="51"/>
      <c r="J16" s="51"/>
      <c r="K16" s="51"/>
      <c r="L16" s="51"/>
    </row>
    <row r="17" spans="1:12">
      <c r="A17" s="46"/>
      <c r="B17" s="46"/>
      <c r="C17" s="46"/>
      <c r="D17" s="46"/>
      <c r="E17" s="46"/>
      <c r="F17" s="46"/>
      <c r="G17" s="46"/>
      <c r="H17" s="46"/>
      <c r="I17" s="46"/>
      <c r="J17" s="46"/>
      <c r="K17" s="46"/>
      <c r="L17" s="46"/>
    </row>
    <row r="18" spans="1:12">
      <c r="A18" s="46"/>
      <c r="B18" s="46"/>
      <c r="C18" s="46"/>
      <c r="D18" s="46"/>
      <c r="E18" s="46"/>
      <c r="F18" s="46"/>
      <c r="G18" s="46"/>
      <c r="H18" s="46"/>
      <c r="I18" s="46"/>
      <c r="J18" s="46"/>
      <c r="K18" s="46"/>
      <c r="L18" s="46"/>
    </row>
    <row r="19" spans="1:12">
      <c r="A19" s="46"/>
      <c r="B19" s="48"/>
      <c r="C19" s="46"/>
      <c r="D19" s="46"/>
      <c r="E19" s="46"/>
      <c r="F19" s="46"/>
      <c r="G19" s="46"/>
      <c r="H19" s="46"/>
      <c r="I19" s="46"/>
      <c r="J19" s="46"/>
      <c r="K19" s="46"/>
      <c r="L19" s="46"/>
    </row>
    <row r="20" spans="1:12">
      <c r="A20" s="46"/>
      <c r="B20" s="46"/>
      <c r="C20" s="46"/>
      <c r="D20" s="46"/>
      <c r="E20" s="46"/>
      <c r="F20" s="46"/>
      <c r="G20" s="46"/>
      <c r="H20" s="46"/>
      <c r="I20" s="46"/>
      <c r="J20" s="46"/>
      <c r="K20" s="46"/>
      <c r="L20" s="46"/>
    </row>
    <row r="21" spans="1:12">
      <c r="A21" s="46"/>
      <c r="B21" s="47" t="s">
        <v>68</v>
      </c>
      <c r="C21" s="46"/>
      <c r="D21" s="46"/>
      <c r="E21" s="46"/>
      <c r="F21" s="46"/>
      <c r="G21" s="46"/>
      <c r="H21" s="46"/>
      <c r="I21" s="46"/>
      <c r="J21" s="46"/>
      <c r="K21" s="46"/>
      <c r="L21" s="46"/>
    </row>
    <row r="22" spans="1:12">
      <c r="A22" s="46"/>
      <c r="B22" s="46"/>
      <c r="C22" s="46"/>
      <c r="D22" s="46"/>
      <c r="E22" s="46"/>
      <c r="F22" s="46"/>
      <c r="G22" s="46"/>
      <c r="H22" s="46"/>
      <c r="I22" s="46"/>
      <c r="J22" s="46"/>
      <c r="K22" s="46"/>
      <c r="L22" s="46"/>
    </row>
    <row r="23" spans="1:12">
      <c r="A23" s="46"/>
      <c r="B23" s="46"/>
      <c r="C23" s="46"/>
      <c r="D23" s="46"/>
      <c r="E23" s="46"/>
      <c r="F23" s="46"/>
      <c r="G23" s="46"/>
      <c r="H23" s="46"/>
      <c r="I23" s="46"/>
      <c r="J23" s="46"/>
      <c r="K23" s="46"/>
      <c r="L23" s="46"/>
    </row>
    <row r="24" spans="1:12">
      <c r="A24" s="46"/>
      <c r="B24" s="46"/>
      <c r="C24" s="46"/>
      <c r="D24" s="46"/>
      <c r="E24" s="46"/>
      <c r="F24" s="46"/>
      <c r="G24" s="46"/>
      <c r="H24" s="46"/>
      <c r="I24" s="46"/>
      <c r="J24" s="46"/>
      <c r="K24" s="46"/>
      <c r="L24" s="46"/>
    </row>
    <row r="25" spans="1:12">
      <c r="A25" s="46"/>
      <c r="B25" s="46"/>
      <c r="C25" s="46"/>
      <c r="D25" s="46"/>
      <c r="E25" s="46"/>
      <c r="F25" s="46"/>
      <c r="G25" s="46"/>
      <c r="H25" s="46"/>
      <c r="I25" s="46"/>
      <c r="J25" s="46"/>
      <c r="K25" s="46"/>
      <c r="L25" s="46"/>
    </row>
    <row r="26" spans="1:12">
      <c r="A26" s="46"/>
      <c r="B26" s="46"/>
      <c r="C26" s="46"/>
      <c r="D26" s="46"/>
      <c r="E26" s="46"/>
      <c r="F26" s="46"/>
      <c r="G26" s="46"/>
      <c r="H26" s="46"/>
      <c r="I26" s="46"/>
      <c r="J26" s="46"/>
      <c r="K26" s="46"/>
      <c r="L26" s="46"/>
    </row>
    <row r="27" spans="1:12">
      <c r="A27" s="46"/>
      <c r="B27" s="46"/>
      <c r="C27" s="46"/>
      <c r="D27" s="46"/>
      <c r="E27" s="46"/>
      <c r="F27" s="46"/>
      <c r="G27" s="46"/>
      <c r="H27" s="46"/>
      <c r="I27" s="46"/>
      <c r="J27" s="46"/>
      <c r="K27" s="46"/>
      <c r="L27" s="46"/>
    </row>
    <row r="28" spans="1:12">
      <c r="A28" s="46"/>
      <c r="B28" s="46"/>
      <c r="C28" s="46"/>
      <c r="D28" s="46"/>
      <c r="E28" s="46"/>
      <c r="F28" s="46"/>
      <c r="G28" s="46"/>
      <c r="H28" s="46"/>
      <c r="I28" s="46"/>
      <c r="J28" s="46"/>
      <c r="K28" s="46"/>
      <c r="L28" s="46"/>
    </row>
    <row r="29" spans="1:12">
      <c r="A29" s="46"/>
      <c r="B29" s="46"/>
      <c r="C29" s="46"/>
      <c r="D29" s="46"/>
      <c r="E29" s="46"/>
      <c r="F29" s="46"/>
      <c r="G29" s="46"/>
      <c r="H29" s="46"/>
      <c r="I29" s="46"/>
      <c r="J29" s="46"/>
      <c r="K29" s="46"/>
      <c r="L29" s="46"/>
    </row>
    <row r="30" spans="1:12">
      <c r="A30" s="46"/>
      <c r="B30" s="46"/>
      <c r="C30" s="46"/>
      <c r="D30" s="46"/>
      <c r="E30" s="46"/>
      <c r="F30" s="46"/>
      <c r="G30" s="46"/>
      <c r="H30" s="46"/>
      <c r="I30" s="46"/>
      <c r="J30" s="46"/>
      <c r="K30" s="46"/>
      <c r="L30" s="46"/>
    </row>
    <row r="32" spans="1:12">
      <c r="F32" t="s">
        <v>29</v>
      </c>
    </row>
  </sheetData>
  <protectedRanges>
    <protectedRange password="CA4D" sqref="E4 A2:D12 E5:L9 E2:L2 L10:L12 E12:J12 A1:L1" name="Range1"/>
  </protectedRanges>
  <mergeCells count="13">
    <mergeCell ref="B15:G15"/>
    <mergeCell ref="K10:K11"/>
    <mergeCell ref="L10:L11"/>
    <mergeCell ref="A1:L1"/>
    <mergeCell ref="A2:L2"/>
    <mergeCell ref="A10:A11"/>
    <mergeCell ref="B10:B11"/>
    <mergeCell ref="D10:D11"/>
    <mergeCell ref="E10:E11"/>
    <mergeCell ref="F10:F11"/>
    <mergeCell ref="G10:G11"/>
    <mergeCell ref="H10:H11"/>
    <mergeCell ref="I10:I11"/>
  </mergeCells>
  <pageMargins left="0.7" right="0.25" top="0.75" bottom="0.75" header="0.3" footer="0.3"/>
  <pageSetup paperSize="9" scale="80" orientation="landscape" verticalDpi="300" r:id="rId1"/>
</worksheet>
</file>

<file path=xl/worksheets/sheet13.xml><?xml version="1.0" encoding="utf-8"?>
<worksheet xmlns="http://schemas.openxmlformats.org/spreadsheetml/2006/main" xmlns:r="http://schemas.openxmlformats.org/officeDocument/2006/relationships">
  <dimension ref="A1:K39"/>
  <sheetViews>
    <sheetView view="pageBreakPreview" zoomScaleSheetLayoutView="100" workbookViewId="0">
      <selection activeCell="D13" sqref="D13"/>
    </sheetView>
  </sheetViews>
  <sheetFormatPr defaultRowHeight="14.4"/>
  <cols>
    <col min="1" max="1" width="9.33203125" bestFit="1" customWidth="1"/>
    <col min="2" max="2" width="16.109375" customWidth="1"/>
    <col min="3" max="3" width="12" customWidth="1"/>
    <col min="4" max="4" width="44.6640625" customWidth="1"/>
    <col min="5" max="5" width="9.33203125" bestFit="1" customWidth="1"/>
    <col min="6" max="6" width="9.44140625" bestFit="1" customWidth="1"/>
    <col min="7" max="7" width="10.6640625" customWidth="1"/>
    <col min="8" max="8" width="11.109375" customWidth="1"/>
    <col min="9" max="9" width="10.5546875" customWidth="1"/>
    <col min="10" max="10" width="23.109375" customWidth="1"/>
    <col min="11" max="11" width="14.6640625" customWidth="1"/>
  </cols>
  <sheetData>
    <row r="1" spans="1:11" ht="47.4" customHeight="1">
      <c r="A1" s="1148" t="s">
        <v>78</v>
      </c>
      <c r="B1" s="1148"/>
      <c r="C1" s="1148"/>
      <c r="D1" s="1148"/>
      <c r="E1" s="1148"/>
      <c r="F1" s="1148"/>
      <c r="G1" s="1148"/>
      <c r="H1" s="1148"/>
      <c r="I1" s="1148"/>
      <c r="J1" s="1148"/>
      <c r="K1" s="1148"/>
    </row>
    <row r="2" spans="1:11">
      <c r="A2" s="1149" t="s">
        <v>1077</v>
      </c>
      <c r="B2" s="1149"/>
      <c r="C2" s="1149"/>
      <c r="D2" s="1149"/>
      <c r="E2" s="1157"/>
      <c r="F2" s="1157"/>
      <c r="G2" s="1157"/>
      <c r="H2" s="1157"/>
      <c r="I2" s="1157"/>
      <c r="J2" s="1157"/>
      <c r="K2" s="1157"/>
    </row>
    <row r="3" spans="1:11" ht="15" customHeight="1">
      <c r="A3" s="253" t="s">
        <v>198</v>
      </c>
      <c r="B3" s="254"/>
      <c r="C3" s="255"/>
      <c r="D3" s="256" t="str">
        <f>Master!F5</f>
        <v>GROTECH LANDSCAPE DEVELOPERS PVT. LTD.</v>
      </c>
      <c r="E3" s="38" t="s">
        <v>70</v>
      </c>
      <c r="F3" s="30"/>
      <c r="G3" s="30"/>
      <c r="H3" s="30"/>
      <c r="I3" s="30"/>
      <c r="J3" s="30"/>
      <c r="K3" s="31"/>
    </row>
    <row r="4" spans="1:11">
      <c r="A4" s="189"/>
      <c r="B4" s="254" t="str">
        <f>Master!F6</f>
        <v>290/E, Khanapur Village, Gandipet Mandal, Ranga Reddy, Hyderabad-500075 T.S.</v>
      </c>
      <c r="C4" s="254"/>
      <c r="D4" s="254"/>
      <c r="E4" s="421" t="str">
        <f>Master!AN5</f>
        <v>GROTECH LANDSCAPE DEVELOPERS PVT. LTD.</v>
      </c>
      <c r="F4" s="77"/>
      <c r="G4" s="77"/>
      <c r="H4" s="77"/>
      <c r="I4" s="77"/>
      <c r="J4" s="77"/>
      <c r="K4" s="56"/>
    </row>
    <row r="5" spans="1:11">
      <c r="A5" s="189"/>
      <c r="C5" s="254"/>
      <c r="D5" s="254"/>
      <c r="E5" s="189" t="str">
        <f>Master!AN6</f>
        <v>290/E, Khanapur Village, Gandipet Mandal, Ranga Reddy, Hyderabad-500075 T.S.</v>
      </c>
      <c r="F5" s="254"/>
      <c r="G5" s="254"/>
      <c r="H5" s="254"/>
      <c r="I5" s="254"/>
      <c r="J5" s="254"/>
      <c r="K5" s="255"/>
    </row>
    <row r="6" spans="1:11">
      <c r="A6" s="189" t="s">
        <v>69</v>
      </c>
      <c r="B6" s="254"/>
      <c r="C6" s="255"/>
      <c r="D6" s="187" t="str">
        <f>Master!F8</f>
        <v>GARDENING SERVICES&amp;ISB HYDERABAD</v>
      </c>
      <c r="E6" s="32" t="s">
        <v>56</v>
      </c>
      <c r="F6" s="257"/>
      <c r="G6" s="257"/>
      <c r="H6" s="257"/>
      <c r="I6" s="257"/>
      <c r="J6" s="257"/>
      <c r="K6" s="34"/>
    </row>
    <row r="7" spans="1:11">
      <c r="A7" s="32"/>
      <c r="B7" s="33"/>
      <c r="C7" s="33"/>
      <c r="D7" s="34"/>
      <c r="E7" s="39" t="str">
        <f>Master!AN10</f>
        <v>INDIAN SCHOOL OF BUSINESS</v>
      </c>
      <c r="F7" s="33"/>
      <c r="G7" s="33"/>
      <c r="H7" s="33"/>
      <c r="I7" s="33"/>
      <c r="J7" s="33"/>
      <c r="K7" s="34"/>
    </row>
    <row r="8" spans="1:11">
      <c r="A8" s="32"/>
      <c r="B8" s="33"/>
      <c r="C8" s="33"/>
      <c r="D8" s="34"/>
      <c r="E8" s="32" t="str">
        <f>Master!AN11</f>
        <v>Opp.Infosys Limited,Gachibowli,Hyderabad</v>
      </c>
      <c r="F8" s="33"/>
      <c r="G8" s="33"/>
      <c r="H8" s="33"/>
      <c r="I8" s="33"/>
      <c r="J8" s="33"/>
      <c r="K8" s="34"/>
    </row>
    <row r="9" spans="1:11">
      <c r="A9" s="32"/>
      <c r="B9" s="33"/>
      <c r="C9" s="33"/>
      <c r="D9" s="34"/>
      <c r="E9" s="35"/>
      <c r="F9" s="36"/>
      <c r="G9" s="36"/>
      <c r="H9" s="36"/>
      <c r="I9" s="36"/>
      <c r="J9" s="36"/>
      <c r="K9" s="37"/>
    </row>
    <row r="10" spans="1:11">
      <c r="A10" s="1147" t="s">
        <v>5</v>
      </c>
      <c r="B10" s="1147" t="s">
        <v>57</v>
      </c>
      <c r="C10" s="1147" t="s">
        <v>58</v>
      </c>
      <c r="D10" s="1146" t="s">
        <v>59</v>
      </c>
      <c r="E10" s="1156" t="s">
        <v>79</v>
      </c>
      <c r="F10" s="1156" t="s">
        <v>80</v>
      </c>
      <c r="G10" s="1156" t="s">
        <v>81</v>
      </c>
      <c r="H10" s="1156" t="s">
        <v>82</v>
      </c>
      <c r="I10" s="1156" t="s">
        <v>83</v>
      </c>
      <c r="J10" s="1154" t="s">
        <v>84</v>
      </c>
      <c r="K10" s="1158" t="s">
        <v>32</v>
      </c>
    </row>
    <row r="11" spans="1:11" ht="65.25" customHeight="1">
      <c r="A11" s="1147"/>
      <c r="B11" s="1147"/>
      <c r="C11" s="1147"/>
      <c r="D11" s="1146"/>
      <c r="E11" s="1146"/>
      <c r="F11" s="1146"/>
      <c r="G11" s="1146"/>
      <c r="H11" s="1146"/>
      <c r="I11" s="1146"/>
      <c r="J11" s="1147"/>
      <c r="K11" s="1154"/>
    </row>
    <row r="12" spans="1:11">
      <c r="A12" s="45">
        <v>1</v>
      </c>
      <c r="B12" s="45">
        <v>2</v>
      </c>
      <c r="C12" s="45">
        <v>3</v>
      </c>
      <c r="D12" s="45">
        <v>4</v>
      </c>
      <c r="E12" s="45">
        <v>5</v>
      </c>
      <c r="F12" s="45">
        <v>6</v>
      </c>
      <c r="G12" s="45">
        <v>7</v>
      </c>
      <c r="H12" s="45">
        <v>8</v>
      </c>
      <c r="I12" s="45">
        <v>9</v>
      </c>
      <c r="J12" s="45">
        <v>10</v>
      </c>
      <c r="K12" s="45">
        <v>11</v>
      </c>
    </row>
    <row r="13" spans="1:11">
      <c r="A13" s="47"/>
      <c r="B13" s="47"/>
      <c r="C13" s="47"/>
      <c r="D13" s="47"/>
      <c r="E13" s="47"/>
      <c r="F13" s="47"/>
      <c r="G13" s="47"/>
      <c r="H13" s="47"/>
      <c r="I13" s="47"/>
      <c r="J13" s="47"/>
      <c r="K13" s="47"/>
    </row>
    <row r="14" spans="1:11">
      <c r="A14" s="47"/>
      <c r="B14" s="57"/>
      <c r="C14" s="57"/>
      <c r="D14" s="131" t="s">
        <v>204</v>
      </c>
      <c r="E14" s="423">
        <f>Master!F10</f>
        <v>44652</v>
      </c>
      <c r="F14" s="47"/>
      <c r="G14" s="47"/>
      <c r="H14" s="47"/>
      <c r="I14" s="47"/>
      <c r="J14" s="47"/>
      <c r="K14" s="47"/>
    </row>
    <row r="15" spans="1:11">
      <c r="A15" s="129"/>
      <c r="B15" s="130"/>
      <c r="C15" s="130"/>
      <c r="D15" s="130"/>
      <c r="E15" s="130"/>
      <c r="F15" s="107"/>
      <c r="G15" s="129"/>
      <c r="H15" s="129"/>
      <c r="I15" s="129"/>
      <c r="J15" s="129"/>
      <c r="K15" s="47"/>
    </row>
    <row r="16" spans="1:11">
      <c r="A16" s="47"/>
      <c r="B16" s="58"/>
      <c r="C16" s="58"/>
      <c r="D16" s="58"/>
      <c r="E16" s="58"/>
      <c r="F16" s="47"/>
      <c r="G16" s="47"/>
      <c r="H16" s="47"/>
      <c r="I16" s="47"/>
      <c r="J16" s="47"/>
      <c r="K16" s="47"/>
    </row>
    <row r="17" spans="1:11">
      <c r="A17" s="59"/>
      <c r="B17" s="47"/>
      <c r="C17" s="47"/>
      <c r="D17" s="47"/>
      <c r="E17" s="47"/>
      <c r="F17" s="47"/>
      <c r="G17" s="47"/>
      <c r="H17" s="47"/>
      <c r="I17" s="47"/>
      <c r="J17" s="47"/>
      <c r="K17" s="47"/>
    </row>
    <row r="18" spans="1:11">
      <c r="A18" s="47"/>
      <c r="B18" s="47"/>
      <c r="C18" s="47"/>
      <c r="D18" s="47"/>
      <c r="E18" s="47"/>
      <c r="F18" s="47"/>
      <c r="G18" s="47"/>
      <c r="H18" s="47"/>
      <c r="I18" s="47"/>
      <c r="J18" s="47"/>
      <c r="K18" s="47"/>
    </row>
    <row r="19" spans="1:11">
      <c r="A19" s="47"/>
      <c r="B19" s="47"/>
      <c r="C19" s="47"/>
      <c r="D19" s="47"/>
      <c r="E19" s="47"/>
      <c r="F19" s="47"/>
      <c r="G19" s="47"/>
      <c r="H19" s="47"/>
      <c r="I19" s="47"/>
      <c r="J19" s="47"/>
      <c r="K19" s="47"/>
    </row>
    <row r="20" spans="1:11">
      <c r="A20" s="47"/>
      <c r="B20" s="47"/>
      <c r="C20" s="47"/>
      <c r="D20" s="47"/>
      <c r="E20" s="47"/>
      <c r="F20" s="47"/>
      <c r="G20" s="47"/>
      <c r="H20" s="47"/>
      <c r="I20" s="47"/>
      <c r="J20" s="47"/>
      <c r="K20" s="47"/>
    </row>
    <row r="21" spans="1:11">
      <c r="A21" s="47"/>
      <c r="B21" s="47"/>
      <c r="C21" s="47"/>
      <c r="D21" s="47"/>
      <c r="E21" s="47"/>
      <c r="F21" s="47"/>
      <c r="G21" s="47"/>
      <c r="H21" s="47"/>
      <c r="I21" s="47"/>
      <c r="J21" s="47"/>
      <c r="K21" s="47"/>
    </row>
    <row r="22" spans="1:11">
      <c r="A22" s="47"/>
      <c r="B22" s="47"/>
      <c r="C22" s="47"/>
      <c r="D22" s="47"/>
      <c r="E22" s="47"/>
      <c r="F22" s="47"/>
      <c r="G22" s="47"/>
      <c r="H22" s="47"/>
      <c r="I22" s="47"/>
      <c r="J22" s="47"/>
      <c r="K22" s="47"/>
    </row>
    <row r="23" spans="1:11">
      <c r="A23" s="47"/>
      <c r="B23" s="47"/>
      <c r="C23" s="47"/>
      <c r="D23" s="47"/>
      <c r="E23" s="47"/>
      <c r="F23" s="47"/>
      <c r="G23" s="47"/>
      <c r="H23" s="47"/>
      <c r="I23" s="47"/>
      <c r="J23" s="47"/>
      <c r="K23" s="47"/>
    </row>
    <row r="24" spans="1:11">
      <c r="A24" s="47"/>
      <c r="B24" s="47"/>
      <c r="C24" s="47"/>
      <c r="D24" s="47"/>
      <c r="E24" s="47"/>
      <c r="F24" s="47"/>
      <c r="G24" s="47"/>
      <c r="H24" s="47"/>
      <c r="I24" s="47"/>
      <c r="J24" s="47"/>
      <c r="K24" s="47"/>
    </row>
    <row r="25" spans="1:11">
      <c r="A25" s="47"/>
      <c r="B25" s="47"/>
      <c r="C25" s="47"/>
      <c r="D25" s="47"/>
      <c r="E25" s="47"/>
      <c r="F25" s="47"/>
      <c r="G25" s="47"/>
      <c r="H25" s="47"/>
      <c r="I25" s="47"/>
      <c r="J25" s="47"/>
      <c r="K25" s="47"/>
    </row>
    <row r="26" spans="1:11">
      <c r="A26" s="47"/>
      <c r="B26" s="47"/>
      <c r="C26" s="47"/>
      <c r="D26" s="47"/>
      <c r="E26" s="47"/>
      <c r="F26" s="47"/>
      <c r="G26" s="47"/>
      <c r="H26" s="47"/>
      <c r="I26" s="47"/>
      <c r="J26" s="47"/>
      <c r="K26" s="47"/>
    </row>
    <row r="27" spans="1:11">
      <c r="A27" s="47"/>
      <c r="B27" s="47"/>
      <c r="C27" s="47"/>
      <c r="D27" s="47"/>
      <c r="E27" s="47"/>
      <c r="F27" s="47"/>
      <c r="G27" s="47"/>
      <c r="H27" s="47"/>
      <c r="I27" s="47"/>
      <c r="J27" s="47"/>
      <c r="K27" s="47"/>
    </row>
    <row r="28" spans="1:11">
      <c r="A28" s="47"/>
      <c r="B28" s="47"/>
      <c r="C28" s="47"/>
      <c r="D28" s="47"/>
      <c r="E28" s="47"/>
      <c r="F28" s="47"/>
      <c r="G28" s="47"/>
      <c r="H28" s="47"/>
      <c r="I28" s="47"/>
      <c r="J28" s="47"/>
      <c r="K28" s="47"/>
    </row>
    <row r="29" spans="1:11">
      <c r="A29" s="47"/>
      <c r="B29" s="47"/>
      <c r="C29" s="47"/>
      <c r="D29" s="47"/>
      <c r="E29" s="47"/>
      <c r="F29" s="47"/>
      <c r="G29" s="47"/>
      <c r="H29" s="47"/>
      <c r="I29" s="47"/>
      <c r="J29" s="47"/>
      <c r="K29" s="47"/>
    </row>
    <row r="30" spans="1:11">
      <c r="A30" s="47"/>
      <c r="B30" s="47"/>
      <c r="C30" s="47"/>
      <c r="D30" s="47"/>
      <c r="E30" s="47"/>
      <c r="F30" s="47"/>
      <c r="G30" s="47"/>
      <c r="H30" s="47"/>
      <c r="I30" s="47"/>
      <c r="J30" s="47"/>
      <c r="K30" s="47"/>
    </row>
    <row r="31" spans="1:11">
      <c r="A31" s="47"/>
      <c r="B31" s="47"/>
      <c r="C31" s="47"/>
      <c r="D31" s="47"/>
      <c r="E31" s="47"/>
      <c r="F31" s="47"/>
      <c r="G31" s="47"/>
      <c r="H31" s="47"/>
      <c r="I31" s="47"/>
      <c r="J31" s="47"/>
      <c r="K31" s="47"/>
    </row>
    <row r="32" spans="1:11">
      <c r="A32" s="47"/>
      <c r="B32" s="47"/>
      <c r="C32" s="47"/>
      <c r="D32" s="47"/>
      <c r="E32" s="47"/>
      <c r="F32" s="47"/>
      <c r="G32" s="47"/>
      <c r="H32" s="47"/>
      <c r="I32" s="47"/>
      <c r="J32" s="47"/>
      <c r="K32" s="47"/>
    </row>
    <row r="33" spans="1:11">
      <c r="A33" s="47"/>
      <c r="B33" s="47"/>
      <c r="C33" s="47"/>
      <c r="D33" s="47"/>
      <c r="E33" s="47"/>
      <c r="F33" s="47"/>
      <c r="G33" s="47"/>
      <c r="H33" s="47"/>
      <c r="I33" s="47"/>
      <c r="J33" s="47"/>
      <c r="K33" s="47"/>
    </row>
    <row r="34" spans="1:11">
      <c r="A34" s="47"/>
      <c r="B34" s="47"/>
      <c r="C34" s="47"/>
      <c r="D34" s="47"/>
      <c r="E34" s="47"/>
      <c r="F34" s="47"/>
      <c r="G34" s="47"/>
      <c r="H34" s="47"/>
      <c r="I34" s="47"/>
      <c r="J34" s="47"/>
      <c r="K34" s="47"/>
    </row>
    <row r="35" spans="1:11">
      <c r="A35" s="47"/>
      <c r="B35" s="47"/>
      <c r="C35" s="47"/>
      <c r="D35" s="47"/>
      <c r="E35" s="47"/>
      <c r="F35" s="47"/>
      <c r="G35" s="47"/>
      <c r="H35" s="47"/>
      <c r="I35" s="47"/>
      <c r="J35" s="47"/>
      <c r="K35" s="47"/>
    </row>
    <row r="36" spans="1:11">
      <c r="A36" s="47"/>
      <c r="B36" s="47"/>
      <c r="C36" s="47"/>
      <c r="D36" s="47"/>
      <c r="E36" s="47"/>
      <c r="F36" s="47"/>
      <c r="G36" s="47"/>
      <c r="H36" s="47"/>
      <c r="I36" s="47"/>
      <c r="J36" s="47"/>
      <c r="K36" s="47"/>
    </row>
    <row r="37" spans="1:11">
      <c r="A37" s="257"/>
      <c r="B37" s="257"/>
      <c r="C37" s="257"/>
      <c r="D37" s="257"/>
      <c r="E37" s="257"/>
      <c r="F37" s="257"/>
      <c r="G37" s="257"/>
      <c r="H37" s="257"/>
      <c r="I37" s="257"/>
      <c r="J37" s="257"/>
      <c r="K37" s="257"/>
    </row>
    <row r="38" spans="1:11">
      <c r="A38" s="257"/>
      <c r="B38" s="257"/>
      <c r="C38" s="257"/>
      <c r="D38" s="257"/>
      <c r="E38" s="257"/>
      <c r="F38" s="257"/>
      <c r="G38" s="257"/>
      <c r="H38" s="257"/>
      <c r="I38" s="257"/>
      <c r="J38" s="257"/>
      <c r="K38" s="257"/>
    </row>
    <row r="39" spans="1:11">
      <c r="G39" t="s">
        <v>29</v>
      </c>
    </row>
  </sheetData>
  <protectedRanges>
    <protectedRange password="CA4D" sqref="A10:K12 A1:K2" name="Range1"/>
    <protectedRange password="CA4D" sqref="E4 E5:K9 A3:A9 C3:D9 B3:B4 B6:B9" name="Range1_5"/>
  </protectedRanges>
  <mergeCells count="13">
    <mergeCell ref="A1:K1"/>
    <mergeCell ref="A2:K2"/>
    <mergeCell ref="A10:A11"/>
    <mergeCell ref="B10:B11"/>
    <mergeCell ref="C10:C11"/>
    <mergeCell ref="D10:D11"/>
    <mergeCell ref="E10:E11"/>
    <mergeCell ref="F10:F11"/>
    <mergeCell ref="G10:G11"/>
    <mergeCell ref="H10:H11"/>
    <mergeCell ref="I10:I11"/>
    <mergeCell ref="J10:J11"/>
    <mergeCell ref="K10:K11"/>
  </mergeCells>
  <pageMargins left="0.8" right="0.25" top="0.75" bottom="0.75" header="0.28000000000000003" footer="0.3"/>
  <pageSetup paperSize="9" scale="75" orientation="landscape" verticalDpi="300" r:id="rId1"/>
</worksheet>
</file>

<file path=xl/worksheets/sheet14.xml><?xml version="1.0" encoding="utf-8"?>
<worksheet xmlns="http://schemas.openxmlformats.org/spreadsheetml/2006/main" xmlns:r="http://schemas.openxmlformats.org/officeDocument/2006/relationships">
  <dimension ref="A1:L29"/>
  <sheetViews>
    <sheetView view="pageBreakPreview" zoomScaleSheetLayoutView="100" workbookViewId="0">
      <selection activeCell="G15" sqref="G15"/>
    </sheetView>
  </sheetViews>
  <sheetFormatPr defaultRowHeight="14.4"/>
  <cols>
    <col min="1" max="4" width="9.33203125" bestFit="1" customWidth="1"/>
    <col min="5" max="5" width="33.88671875" customWidth="1"/>
    <col min="6" max="6" width="9.44140625" bestFit="1" customWidth="1"/>
    <col min="7" max="7" width="11.109375" customWidth="1"/>
    <col min="8" max="11" width="9.33203125" bestFit="1" customWidth="1"/>
    <col min="12" max="12" width="10.44140625" customWidth="1"/>
  </cols>
  <sheetData>
    <row r="1" spans="1:12" ht="47.4" customHeight="1">
      <c r="A1" s="1159" t="s">
        <v>85</v>
      </c>
      <c r="B1" s="1160"/>
      <c r="C1" s="1160"/>
      <c r="D1" s="1160"/>
      <c r="E1" s="1160"/>
      <c r="F1" s="1160"/>
      <c r="G1" s="1160"/>
      <c r="H1" s="1160"/>
      <c r="I1" s="1160"/>
      <c r="J1" s="1160"/>
      <c r="K1" s="1160"/>
      <c r="L1" s="1161"/>
    </row>
    <row r="2" spans="1:12">
      <c r="A2" s="1162" t="s">
        <v>1077</v>
      </c>
      <c r="B2" s="1163"/>
      <c r="C2" s="1163"/>
      <c r="D2" s="1163"/>
      <c r="E2" s="1163"/>
      <c r="F2" s="1163"/>
      <c r="G2" s="1163"/>
      <c r="H2" s="1163"/>
      <c r="I2" s="1163"/>
      <c r="J2" s="1163"/>
      <c r="K2" s="1163"/>
      <c r="L2" s="1164"/>
    </row>
    <row r="3" spans="1:12" ht="15" customHeight="1">
      <c r="A3" s="262" t="s">
        <v>235</v>
      </c>
      <c r="B3" s="254"/>
      <c r="C3" s="255"/>
      <c r="D3" s="341" t="str">
        <f>Master!F5</f>
        <v>GROTECH LANDSCAPE DEVELOPERS PVT. LTD.</v>
      </c>
      <c r="E3" s="255"/>
      <c r="F3" s="189" t="s">
        <v>93</v>
      </c>
      <c r="G3" s="254"/>
      <c r="H3" s="254"/>
      <c r="I3" s="254"/>
      <c r="J3" s="254"/>
      <c r="K3" s="254"/>
      <c r="L3" s="263"/>
    </row>
    <row r="4" spans="1:12">
      <c r="A4" s="262"/>
      <c r="B4" s="254" t="str">
        <f>Master!F6</f>
        <v>290/E, Khanapur Village, Gandipet Mandal, Ranga Reddy, Hyderabad-500075 T.S.</v>
      </c>
      <c r="C4" s="254"/>
      <c r="D4" s="254"/>
      <c r="E4" s="255"/>
      <c r="F4" s="341" t="str">
        <f>Master!AN5</f>
        <v>GROTECH LANDSCAPE DEVELOPERS PVT. LTD.</v>
      </c>
      <c r="G4" s="254"/>
      <c r="H4" s="254"/>
      <c r="I4" s="254"/>
      <c r="J4" s="254"/>
      <c r="K4" s="254"/>
      <c r="L4" s="255"/>
    </row>
    <row r="5" spans="1:12">
      <c r="A5" s="262"/>
      <c r="B5" s="254"/>
      <c r="C5" s="254"/>
      <c r="D5" s="254"/>
      <c r="E5" s="255"/>
      <c r="F5" s="35" t="str">
        <f>Master!AN6</f>
        <v>290/E, Khanapur Village, Gandipet Mandal, Ranga Reddy, Hyderabad-500075 T.S.</v>
      </c>
      <c r="G5" s="36"/>
      <c r="H5" s="36"/>
      <c r="I5" s="36"/>
      <c r="J5" s="36"/>
      <c r="K5" s="36"/>
      <c r="L5" s="87"/>
    </row>
    <row r="6" spans="1:12">
      <c r="A6" s="264" t="s">
        <v>69</v>
      </c>
      <c r="B6" s="30"/>
      <c r="C6" s="30"/>
      <c r="D6" s="30" t="str">
        <f>Master!F8</f>
        <v>GARDENING SERVICES&amp;ISB HYDERABAD</v>
      </c>
      <c r="E6" s="31"/>
      <c r="F6" s="38" t="s">
        <v>56</v>
      </c>
      <c r="G6" s="30"/>
      <c r="H6" s="30"/>
      <c r="I6" s="30"/>
      <c r="J6" s="30"/>
      <c r="K6" s="30"/>
      <c r="L6" s="85"/>
    </row>
    <row r="7" spans="1:12">
      <c r="A7" s="265"/>
      <c r="B7" s="257"/>
      <c r="C7" s="257"/>
      <c r="D7" s="257"/>
      <c r="E7" s="34"/>
      <c r="F7" s="39" t="str">
        <f>Master!AN10</f>
        <v>INDIAN SCHOOL OF BUSINESS</v>
      </c>
      <c r="G7" s="257"/>
      <c r="H7" s="257"/>
      <c r="I7" s="257"/>
      <c r="J7" s="257"/>
      <c r="K7" s="257"/>
      <c r="L7" s="86"/>
    </row>
    <row r="8" spans="1:12">
      <c r="A8" s="265"/>
      <c r="B8" s="257"/>
      <c r="C8" s="257"/>
      <c r="D8" s="257"/>
      <c r="E8" s="34"/>
      <c r="F8" s="32" t="str">
        <f>Master!AN11</f>
        <v>Opp.Infosys Limited,Gachibowli,Hyderabad</v>
      </c>
      <c r="G8" s="257"/>
      <c r="H8" s="257"/>
      <c r="I8" s="257"/>
      <c r="J8" s="257"/>
      <c r="K8" s="257"/>
      <c r="L8" s="86"/>
    </row>
    <row r="9" spans="1:12">
      <c r="A9" s="266"/>
      <c r="B9" s="36"/>
      <c r="C9" s="36"/>
      <c r="D9" s="36"/>
      <c r="E9" s="37"/>
      <c r="F9" s="35"/>
      <c r="G9" s="36"/>
      <c r="H9" s="36"/>
      <c r="I9" s="36"/>
      <c r="J9" s="36"/>
      <c r="K9" s="36"/>
      <c r="L9" s="87"/>
    </row>
    <row r="10" spans="1:12">
      <c r="A10" s="1165" t="s">
        <v>5</v>
      </c>
      <c r="B10" s="1166" t="s">
        <v>57</v>
      </c>
      <c r="C10" s="1057" t="s">
        <v>58</v>
      </c>
      <c r="D10" s="261" t="s">
        <v>31</v>
      </c>
      <c r="E10" s="1167" t="s">
        <v>59</v>
      </c>
      <c r="F10" s="1168" t="s">
        <v>86</v>
      </c>
      <c r="G10" s="1168" t="s">
        <v>87</v>
      </c>
      <c r="H10" s="1168" t="s">
        <v>88</v>
      </c>
      <c r="I10" s="1168" t="s">
        <v>89</v>
      </c>
      <c r="J10" s="1168" t="s">
        <v>90</v>
      </c>
      <c r="K10" s="1166" t="s">
        <v>91</v>
      </c>
      <c r="L10" s="1169" t="s">
        <v>32</v>
      </c>
    </row>
    <row r="11" spans="1:12" ht="97.5" customHeight="1">
      <c r="A11" s="1165"/>
      <c r="B11" s="1166"/>
      <c r="C11" s="1057"/>
      <c r="D11" s="193"/>
      <c r="E11" s="1167"/>
      <c r="F11" s="1168"/>
      <c r="G11" s="1168"/>
      <c r="H11" s="1168"/>
      <c r="I11" s="1168"/>
      <c r="J11" s="1168"/>
      <c r="K11" s="1166"/>
      <c r="L11" s="1170"/>
    </row>
    <row r="12" spans="1:12">
      <c r="A12" s="267">
        <v>1</v>
      </c>
      <c r="B12" s="184">
        <v>2</v>
      </c>
      <c r="C12" s="184">
        <v>3</v>
      </c>
      <c r="D12" s="52">
        <v>4</v>
      </c>
      <c r="E12" s="184">
        <v>5</v>
      </c>
      <c r="F12" s="184">
        <v>6</v>
      </c>
      <c r="G12" s="184">
        <v>7</v>
      </c>
      <c r="H12" s="184">
        <v>8</v>
      </c>
      <c r="I12" s="184">
        <v>9</v>
      </c>
      <c r="J12" s="184">
        <v>10</v>
      </c>
      <c r="K12" s="184">
        <v>11</v>
      </c>
      <c r="L12" s="88">
        <v>12</v>
      </c>
    </row>
    <row r="13" spans="1:12">
      <c r="A13" s="268"/>
      <c r="B13" s="187"/>
      <c r="C13" s="187"/>
      <c r="D13" s="187"/>
      <c r="E13" s="187"/>
      <c r="F13" s="187"/>
      <c r="G13" s="187"/>
      <c r="H13" s="187"/>
      <c r="I13" s="187"/>
      <c r="J13" s="187"/>
      <c r="K13" s="187"/>
      <c r="L13" s="89"/>
    </row>
    <row r="14" spans="1:12">
      <c r="A14" s="268"/>
      <c r="B14" s="188"/>
      <c r="C14" s="188"/>
      <c r="D14" s="188"/>
      <c r="E14" s="188"/>
      <c r="F14" s="187"/>
      <c r="G14" s="187"/>
      <c r="H14" s="187"/>
      <c r="I14" s="187"/>
      <c r="J14" s="187"/>
      <c r="K14" s="187"/>
      <c r="L14" s="89"/>
    </row>
    <row r="15" spans="1:12">
      <c r="A15" s="262"/>
      <c r="B15" s="1150" t="s">
        <v>92</v>
      </c>
      <c r="C15" s="1151"/>
      <c r="D15" s="1151"/>
      <c r="E15" s="1152"/>
      <c r="F15" s="424">
        <f>Master!F10</f>
        <v>44652</v>
      </c>
      <c r="G15" s="187"/>
      <c r="H15" s="187"/>
      <c r="I15" s="187"/>
      <c r="J15" s="187"/>
      <c r="K15" s="187"/>
      <c r="L15" s="89"/>
    </row>
    <row r="16" spans="1:12">
      <c r="A16" s="268"/>
      <c r="B16" s="58"/>
      <c r="C16" s="58"/>
      <c r="D16" s="58"/>
      <c r="E16" s="58"/>
      <c r="F16" s="187"/>
      <c r="G16" s="187"/>
      <c r="H16" s="187"/>
      <c r="I16" s="187"/>
      <c r="J16" s="187"/>
      <c r="K16" s="187"/>
      <c r="L16" s="89"/>
    </row>
    <row r="17" spans="1:12">
      <c r="A17" s="268"/>
      <c r="B17" s="187"/>
      <c r="C17" s="187"/>
      <c r="D17" s="187"/>
      <c r="E17" s="187"/>
      <c r="F17" s="187"/>
      <c r="G17" s="187"/>
      <c r="H17" s="187"/>
      <c r="I17" s="187"/>
      <c r="J17" s="187"/>
      <c r="K17" s="187"/>
      <c r="L17" s="89"/>
    </row>
    <row r="18" spans="1:12">
      <c r="A18" s="268"/>
      <c r="B18" s="187"/>
      <c r="C18" s="187"/>
      <c r="D18" s="187"/>
      <c r="E18" s="187"/>
      <c r="F18" s="187"/>
      <c r="G18" s="187"/>
      <c r="H18" s="187"/>
      <c r="I18" s="187"/>
      <c r="J18" s="187"/>
      <c r="K18" s="187"/>
      <c r="L18" s="89"/>
    </row>
    <row r="19" spans="1:12">
      <c r="A19" s="268"/>
      <c r="B19" s="187"/>
      <c r="C19" s="187"/>
      <c r="D19" s="187"/>
      <c r="E19" s="187"/>
      <c r="F19" s="187"/>
      <c r="G19" s="187"/>
      <c r="H19" s="187"/>
      <c r="I19" s="187"/>
      <c r="J19" s="187"/>
      <c r="K19" s="187"/>
      <c r="L19" s="89"/>
    </row>
    <row r="20" spans="1:12">
      <c r="A20" s="268"/>
      <c r="B20" s="187"/>
      <c r="C20" s="187"/>
      <c r="D20" s="187"/>
      <c r="E20" s="187"/>
      <c r="F20" s="187"/>
      <c r="G20" s="187"/>
      <c r="H20" s="187"/>
      <c r="I20" s="187"/>
      <c r="J20" s="187"/>
      <c r="K20" s="187"/>
      <c r="L20" s="89"/>
    </row>
    <row r="21" spans="1:12">
      <c r="A21" s="268"/>
      <c r="B21" s="187"/>
      <c r="C21" s="187"/>
      <c r="D21" s="187"/>
      <c r="E21" s="187"/>
      <c r="F21" s="187"/>
      <c r="G21" s="187"/>
      <c r="H21" s="187"/>
      <c r="I21" s="187"/>
      <c r="J21" s="187"/>
      <c r="K21" s="187"/>
      <c r="L21" s="89"/>
    </row>
    <row r="22" spans="1:12">
      <c r="A22" s="268"/>
      <c r="B22" s="187"/>
      <c r="C22" s="187"/>
      <c r="D22" s="187"/>
      <c r="E22" s="187"/>
      <c r="F22" s="187"/>
      <c r="G22" s="187"/>
      <c r="H22" s="187"/>
      <c r="I22" s="187"/>
      <c r="J22" s="187"/>
      <c r="K22" s="187"/>
      <c r="L22" s="89"/>
    </row>
    <row r="23" spans="1:12">
      <c r="A23" s="268"/>
      <c r="B23" s="187"/>
      <c r="C23" s="187"/>
      <c r="D23" s="187"/>
      <c r="E23" s="187"/>
      <c r="F23" s="187"/>
      <c r="G23" s="187"/>
      <c r="H23" s="187"/>
      <c r="I23" s="187"/>
      <c r="J23" s="187"/>
      <c r="K23" s="187"/>
      <c r="L23" s="89"/>
    </row>
    <row r="24" spans="1:12">
      <c r="A24" s="268"/>
      <c r="B24" s="187"/>
      <c r="C24" s="187"/>
      <c r="D24" s="187"/>
      <c r="E24" s="187"/>
      <c r="F24" s="187"/>
      <c r="G24" s="187"/>
      <c r="H24" s="187"/>
      <c r="I24" s="187"/>
      <c r="J24" s="187"/>
      <c r="K24" s="187"/>
      <c r="L24" s="89"/>
    </row>
    <row r="25" spans="1:12">
      <c r="A25" s="268"/>
      <c r="B25" s="187"/>
      <c r="C25" s="187"/>
      <c r="D25" s="187"/>
      <c r="E25" s="187"/>
      <c r="F25" s="187"/>
      <c r="G25" s="187"/>
      <c r="H25" s="187"/>
      <c r="I25" s="187"/>
      <c r="J25" s="187"/>
      <c r="K25" s="187"/>
      <c r="L25" s="89"/>
    </row>
    <row r="26" spans="1:12">
      <c r="A26" s="268"/>
      <c r="B26" s="187"/>
      <c r="C26" s="187"/>
      <c r="D26" s="187"/>
      <c r="E26" s="187"/>
      <c r="F26" s="187"/>
      <c r="G26" s="187"/>
      <c r="H26" s="187"/>
      <c r="I26" s="187"/>
      <c r="J26" s="187"/>
      <c r="K26" s="187"/>
      <c r="L26" s="89"/>
    </row>
    <row r="27" spans="1:12">
      <c r="A27" s="268"/>
      <c r="B27" s="187"/>
      <c r="C27" s="187"/>
      <c r="D27" s="187"/>
      <c r="E27" s="187"/>
      <c r="F27" s="187"/>
      <c r="G27" s="187"/>
      <c r="H27" s="187"/>
      <c r="I27" s="187"/>
      <c r="J27" s="187"/>
      <c r="K27" s="187"/>
      <c r="L27" s="89"/>
    </row>
    <row r="28" spans="1:12">
      <c r="A28" s="265"/>
      <c r="B28" s="257"/>
      <c r="C28" s="257"/>
      <c r="D28" s="257"/>
      <c r="E28" s="257"/>
      <c r="F28" s="257"/>
      <c r="G28" s="257"/>
      <c r="H28" s="257"/>
      <c r="I28" s="257"/>
      <c r="J28" s="257"/>
      <c r="K28" s="257"/>
      <c r="L28" s="86"/>
    </row>
    <row r="29" spans="1:12" ht="15" thickBot="1">
      <c r="A29" s="27"/>
      <c r="B29" s="25"/>
      <c r="C29" s="25"/>
      <c r="D29" s="25"/>
      <c r="E29" s="25"/>
      <c r="F29" s="25"/>
      <c r="G29" s="25" t="s">
        <v>29</v>
      </c>
      <c r="H29" s="25"/>
      <c r="I29" s="25"/>
      <c r="J29" s="25"/>
      <c r="K29" s="25"/>
      <c r="L29" s="26"/>
    </row>
  </sheetData>
  <protectedRanges>
    <protectedRange password="CA4D" sqref="A10:L12 A3:E3 A5:E9 A4 E4 A1:L2" name="Range1"/>
    <protectedRange password="CA4D" sqref="F3:L5" name="Range1_2"/>
    <protectedRange password="CA4D" sqref="F6:L9" name="Range1_4"/>
    <protectedRange password="CA4D" sqref="B4:D4" name="Range1_1"/>
  </protectedRanges>
  <mergeCells count="14">
    <mergeCell ref="B15:E15"/>
    <mergeCell ref="A1:L1"/>
    <mergeCell ref="A2:L2"/>
    <mergeCell ref="A10:A11"/>
    <mergeCell ref="B10:B11"/>
    <mergeCell ref="C10:C11"/>
    <mergeCell ref="E10:E11"/>
    <mergeCell ref="F10:F11"/>
    <mergeCell ref="G10:G11"/>
    <mergeCell ref="H10:H11"/>
    <mergeCell ref="I10:I11"/>
    <mergeCell ref="J10:J11"/>
    <mergeCell ref="K10:K11"/>
    <mergeCell ref="L10:L11"/>
  </mergeCells>
  <pageMargins left="1" right="0.25" top="0.75" bottom="0.75" header="0.3" footer="0.3"/>
  <pageSetup paperSize="9" scale="90" orientation="landscape" verticalDpi="300" r:id="rId1"/>
</worksheet>
</file>

<file path=xl/worksheets/sheet15.xml><?xml version="1.0" encoding="utf-8"?>
<worksheet xmlns="http://schemas.openxmlformats.org/spreadsheetml/2006/main" xmlns:r="http://schemas.openxmlformats.org/officeDocument/2006/relationships">
  <dimension ref="A1:F170"/>
  <sheetViews>
    <sheetView workbookViewId="0">
      <selection activeCell="E3" sqref="E3"/>
    </sheetView>
  </sheetViews>
  <sheetFormatPr defaultColWidth="9.109375" defaultRowHeight="14.4"/>
  <cols>
    <col min="1" max="1" width="28.109375" style="659" customWidth="1"/>
    <col min="2" max="2" width="23.109375" style="659" customWidth="1"/>
    <col min="3" max="3" width="21" style="659" customWidth="1"/>
    <col min="4" max="4" width="19" style="660" customWidth="1"/>
    <col min="5" max="5" width="19.6640625" style="660" customWidth="1"/>
    <col min="6" max="6" width="8.88671875" customWidth="1"/>
    <col min="7" max="16384" width="9.109375" style="658"/>
  </cols>
  <sheetData>
    <row r="1" spans="1:5" ht="15" thickBot="1">
      <c r="A1" s="880" t="s">
        <v>1152</v>
      </c>
      <c r="B1" s="1171" t="str">
        <f>Master!F5</f>
        <v>GROTECH LANDSCAPE DEVELOPERS PVT. LTD.</v>
      </c>
      <c r="C1" s="1172"/>
      <c r="D1" s="881" t="s">
        <v>1153</v>
      </c>
      <c r="E1" s="889">
        <f>Master!F10</f>
        <v>44652</v>
      </c>
    </row>
    <row r="2" spans="1:5" ht="24" customHeight="1">
      <c r="A2" s="805" t="s">
        <v>800</v>
      </c>
      <c r="B2" s="806" t="s">
        <v>156</v>
      </c>
      <c r="C2" s="806" t="s">
        <v>801</v>
      </c>
      <c r="D2" s="806" t="s">
        <v>335</v>
      </c>
      <c r="E2" s="807" t="s">
        <v>336</v>
      </c>
    </row>
    <row r="3" spans="1:5">
      <c r="A3" s="808" t="str">
        <f>Master!Z15</f>
        <v>ARJUN KUMAR</v>
      </c>
      <c r="B3" s="872">
        <f>Master!AU15</f>
        <v>6912137285</v>
      </c>
      <c r="C3" s="660" t="str">
        <f>Master!AT15</f>
        <v>KKBK0000205</v>
      </c>
      <c r="D3" s="790">
        <f>Master!AR15</f>
        <v>19700</v>
      </c>
      <c r="E3" s="809" t="str">
        <f>Master!AS15</f>
        <v>7th May 2020</v>
      </c>
    </row>
    <row r="4" spans="1:5">
      <c r="A4" s="808" t="str">
        <f>Master!Z16</f>
        <v>GAJAN SINGH</v>
      </c>
      <c r="B4" s="872">
        <f>Master!AU16</f>
        <v>7513074030</v>
      </c>
      <c r="C4" s="660" t="str">
        <f>Master!AT16</f>
        <v>KKBK0000205</v>
      </c>
      <c r="D4" s="790">
        <f>Master!AR16</f>
        <v>13000</v>
      </c>
      <c r="E4" s="809" t="str">
        <f>Master!AS16</f>
        <v>7th May 2020</v>
      </c>
    </row>
    <row r="5" spans="1:5">
      <c r="A5" s="808" t="str">
        <f>Master!Z17</f>
        <v>GUDALA RUSHESHWAR SWAMY</v>
      </c>
      <c r="B5" s="872">
        <f>Master!AU17</f>
        <v>1912391941</v>
      </c>
      <c r="C5" s="660" t="str">
        <f>Master!AT17</f>
        <v>KKBK0007476</v>
      </c>
      <c r="D5" s="790">
        <f>Master!AR17</f>
        <v>16049</v>
      </c>
      <c r="E5" s="809" t="str">
        <f>Master!AS17</f>
        <v>7th May 2020</v>
      </c>
    </row>
    <row r="6" spans="1:5">
      <c r="A6" s="808" t="str">
        <f>Master!Z18</f>
        <v xml:space="preserve">KASALA NARSIMLU </v>
      </c>
      <c r="B6" s="872">
        <f>Master!AU18</f>
        <v>20201585355</v>
      </c>
      <c r="C6" s="660" t="str">
        <f>Master!AT18</f>
        <v>ICIC0000202</v>
      </c>
      <c r="D6" s="790">
        <f>Master!AR18</f>
        <v>10399.599999999999</v>
      </c>
      <c r="E6" s="809" t="str">
        <f>Master!AS18</f>
        <v>7th May 2020</v>
      </c>
    </row>
    <row r="7" spans="1:5">
      <c r="A7" s="808" t="str">
        <f>Master!Z19</f>
        <v>PITANI SATHYA NARAYANA</v>
      </c>
      <c r="B7" s="872">
        <f>Master!AU19</f>
        <v>141410100131316</v>
      </c>
      <c r="C7" s="660" t="str">
        <f>Master!AT19</f>
        <v>ANDB0001414</v>
      </c>
      <c r="D7" s="790">
        <f>Master!AR19</f>
        <v>8665.4666666666653</v>
      </c>
      <c r="E7" s="809" t="str">
        <f>Master!AS19</f>
        <v>7th May 2020</v>
      </c>
    </row>
    <row r="8" spans="1:5">
      <c r="A8" s="808" t="str">
        <f>Master!Z20</f>
        <v>SANGOLLA ASHOK</v>
      </c>
      <c r="B8" s="872">
        <f>Master!AU20</f>
        <v>62135175705</v>
      </c>
      <c r="C8" s="660" t="str">
        <f>Master!AT20</f>
        <v>SBIN0020106</v>
      </c>
      <c r="D8" s="790">
        <f>Master!AR20</f>
        <v>8665.4666666666653</v>
      </c>
      <c r="E8" s="809" t="str">
        <f>Master!AS20</f>
        <v>7th May 2020</v>
      </c>
    </row>
    <row r="9" spans="1:5">
      <c r="A9" s="808" t="str">
        <f>Master!Z21</f>
        <v>ASHOK LINGURAM GAIKWAD</v>
      </c>
      <c r="B9" s="872">
        <f>Master!AU21</f>
        <v>35398345250</v>
      </c>
      <c r="C9" s="660" t="str">
        <f>Master!AT21</f>
        <v>SBIN0014234</v>
      </c>
      <c r="D9" s="790">
        <f>Master!AR21</f>
        <v>8665.4666666666653</v>
      </c>
      <c r="E9" s="809" t="str">
        <f>Master!AS21</f>
        <v>7th May 2020</v>
      </c>
    </row>
    <row r="10" spans="1:5">
      <c r="A10" s="808" t="str">
        <f>Master!Z22</f>
        <v>MADHUKAR KAMTAM</v>
      </c>
      <c r="B10" s="872">
        <f>Master!AU22</f>
        <v>923249324</v>
      </c>
      <c r="C10" s="660" t="str">
        <f>Master!AT22</f>
        <v>IDIB000N116</v>
      </c>
      <c r="D10" s="790">
        <f>Master!AR22</f>
        <v>8665.4666666666653</v>
      </c>
      <c r="E10" s="809" t="str">
        <f>Master!AS22</f>
        <v>7th May 2020</v>
      </c>
    </row>
    <row r="11" spans="1:5">
      <c r="A11" s="808" t="str">
        <f>Master!Z23</f>
        <v>Ningolla Raju</v>
      </c>
      <c r="B11" s="872">
        <f>Master!AU23</f>
        <v>861410110009223</v>
      </c>
      <c r="C11" s="660" t="str">
        <f>Master!AT23</f>
        <v>BKID0008614</v>
      </c>
      <c r="D11" s="790">
        <f>Master!AR23</f>
        <v>8665.4666666666653</v>
      </c>
      <c r="E11" s="809" t="str">
        <f>Master!AS23</f>
        <v>7th May 2020</v>
      </c>
    </row>
    <row r="12" spans="1:5">
      <c r="A12" s="808" t="str">
        <f>Master!Z24</f>
        <v>Nagani pochaiah</v>
      </c>
      <c r="B12" s="872">
        <f>Master!AU24</f>
        <v>38228069327</v>
      </c>
      <c r="C12" s="660" t="str">
        <f>Master!AT24</f>
        <v>SBIN0014234</v>
      </c>
      <c r="D12" s="790">
        <f>Master!AR24</f>
        <v>8665.4666666666653</v>
      </c>
      <c r="E12" s="809" t="str">
        <f>Master!AS24</f>
        <v>7th May 2020</v>
      </c>
    </row>
    <row r="13" spans="1:5">
      <c r="A13" s="808" t="str">
        <f>Master!Z25</f>
        <v>Mutholla Mallesh</v>
      </c>
      <c r="B13" s="872">
        <f>Master!AU25</f>
        <v>20176301430</v>
      </c>
      <c r="C13" s="660" t="str">
        <f>Master!AT25</f>
        <v>SBIN0014234</v>
      </c>
      <c r="D13" s="790">
        <f>Master!AR25</f>
        <v>8665.4666666666653</v>
      </c>
      <c r="E13" s="809" t="str">
        <f>Master!AS25</f>
        <v>7th May 2020</v>
      </c>
    </row>
    <row r="14" spans="1:5">
      <c r="A14" s="808" t="str">
        <f>Master!Z26</f>
        <v>ALIJANA JAYARAMI REDDY</v>
      </c>
      <c r="B14" s="872">
        <f>Master!AU26</f>
        <v>33412525880</v>
      </c>
      <c r="C14" s="660" t="str">
        <f>Master!AT26</f>
        <v>SBIN0008495</v>
      </c>
      <c r="D14" s="790">
        <f>Master!AR26</f>
        <v>8665.4666666666653</v>
      </c>
      <c r="E14" s="809" t="str">
        <f>Master!AS26</f>
        <v>7th May 2020</v>
      </c>
    </row>
    <row r="15" spans="1:5">
      <c r="A15" s="808" t="str">
        <f>Master!Z27</f>
        <v>Kapil</v>
      </c>
      <c r="B15" s="872">
        <f>Master!AU27</f>
        <v>8512913818</v>
      </c>
      <c r="C15" s="660" t="str">
        <f>Master!AT27</f>
        <v>KKBK0007466</v>
      </c>
      <c r="D15" s="790">
        <f>Master!AR27</f>
        <v>0</v>
      </c>
      <c r="E15" s="809" t="str">
        <f>Master!AS27</f>
        <v>7th May 2020</v>
      </c>
    </row>
    <row r="16" spans="1:5">
      <c r="A16" s="808" t="str">
        <f>Master!Z28</f>
        <v xml:space="preserve">Bablu kumar </v>
      </c>
      <c r="B16" s="872">
        <f>Master!AU28</f>
        <v>8512913542</v>
      </c>
      <c r="C16" s="660" t="str">
        <f>Master!AT28</f>
        <v>KKBK0007466</v>
      </c>
      <c r="D16" s="790">
        <f>Master!AR28</f>
        <v>0</v>
      </c>
      <c r="E16" s="809" t="str">
        <f>Master!AS28</f>
        <v>7th May 2020</v>
      </c>
    </row>
    <row r="17" spans="1:5">
      <c r="A17" s="808" t="str">
        <f>Master!Z29</f>
        <v>Pradeep kumar</v>
      </c>
      <c r="B17" s="872">
        <f>Master!AU29</f>
        <v>8512913528</v>
      </c>
      <c r="C17" s="660" t="str">
        <f>Master!AT29</f>
        <v>KKBK0007466</v>
      </c>
      <c r="D17" s="790">
        <f>Master!AR29</f>
        <v>0</v>
      </c>
      <c r="E17" s="809" t="str">
        <f>Master!AS29</f>
        <v>7th May 2020</v>
      </c>
    </row>
    <row r="18" spans="1:5">
      <c r="A18" s="808" t="str">
        <f>Master!Z30</f>
        <v>SHAIK KULSUM BEE</v>
      </c>
      <c r="B18" s="872">
        <f>Master!AU30</f>
        <v>30144397282</v>
      </c>
      <c r="C18" s="660" t="str">
        <f>Master!AT30</f>
        <v>SBIN0005916</v>
      </c>
      <c r="D18" s="790">
        <f>Master!AR30</f>
        <v>8035.4</v>
      </c>
      <c r="E18" s="809" t="str">
        <f>Master!AS30</f>
        <v>7th May 2020</v>
      </c>
    </row>
    <row r="19" spans="1:5">
      <c r="A19" s="808" t="str">
        <f>Master!Z31</f>
        <v>S GOWRI</v>
      </c>
      <c r="B19" s="872">
        <f>Master!AU31</f>
        <v>35855410947</v>
      </c>
      <c r="C19" s="660" t="str">
        <f>Master!AT31</f>
        <v>SBIN0000957</v>
      </c>
      <c r="D19" s="790">
        <f>Master!AR31</f>
        <v>8035.4</v>
      </c>
      <c r="E19" s="809" t="str">
        <f>Master!AS31</f>
        <v>7th May 2020</v>
      </c>
    </row>
    <row r="20" spans="1:5">
      <c r="A20" s="808" t="str">
        <f>Master!Z32</f>
        <v>FARZANA BEGUM</v>
      </c>
      <c r="B20" s="872">
        <f>Master!AU32</f>
        <v>130610100075445</v>
      </c>
      <c r="C20" s="660" t="str">
        <f>Master!AT32</f>
        <v>ANDB0001306</v>
      </c>
      <c r="D20" s="790">
        <f>Master!AR32</f>
        <v>8035.4</v>
      </c>
      <c r="E20" s="809" t="str">
        <f>Master!AS32</f>
        <v>7th May 2020</v>
      </c>
    </row>
    <row r="21" spans="1:5">
      <c r="A21" s="808" t="str">
        <f>Master!Z33</f>
        <v>MANAGALI SUHASINI</v>
      </c>
      <c r="B21" s="872">
        <f>Master!AU33</f>
        <v>73138780593</v>
      </c>
      <c r="C21" s="660" t="str">
        <f>Master!AT33</f>
        <v>APGV0008110</v>
      </c>
      <c r="D21" s="790">
        <f>Master!AR33</f>
        <v>8035.4</v>
      </c>
      <c r="E21" s="809" t="str">
        <f>Master!AS33</f>
        <v>7th May 2020</v>
      </c>
    </row>
    <row r="22" spans="1:5">
      <c r="A22" s="808" t="str">
        <f>Master!Z34</f>
        <v>KONA SUJATHA</v>
      </c>
      <c r="B22" s="872">
        <f>Master!AU34</f>
        <v>30534600258</v>
      </c>
      <c r="C22" s="660" t="str">
        <f>Master!AT34</f>
        <v>SBIN0000957</v>
      </c>
      <c r="D22" s="790">
        <f>Master!AR34</f>
        <v>8035.4</v>
      </c>
      <c r="E22" s="809" t="str">
        <f>Master!AS34</f>
        <v>7th May 2020</v>
      </c>
    </row>
    <row r="23" spans="1:5">
      <c r="A23" s="808" t="str">
        <f>Master!Z35</f>
        <v>GOLLA UMA</v>
      </c>
      <c r="B23" s="872">
        <f>Master!AU35</f>
        <v>11107141688</v>
      </c>
      <c r="C23" s="660" t="str">
        <f>Master!AT35</f>
        <v>SBIN0000957</v>
      </c>
      <c r="D23" s="790">
        <f>Master!AR35</f>
        <v>8035.4</v>
      </c>
      <c r="E23" s="809" t="str">
        <f>Master!AS35</f>
        <v>7th May 2020</v>
      </c>
    </row>
    <row r="24" spans="1:5">
      <c r="A24" s="808" t="str">
        <f>Master!Z36</f>
        <v>SINGARAM BHAGYAMMA</v>
      </c>
      <c r="B24" s="872">
        <f>Master!AU36</f>
        <v>36363257786</v>
      </c>
      <c r="C24" s="660" t="str">
        <f>Master!AT36</f>
        <v>SBIN0014234</v>
      </c>
      <c r="D24" s="790">
        <f>Master!AR36</f>
        <v>8035.4</v>
      </c>
      <c r="E24" s="809" t="str">
        <f>Master!AS36</f>
        <v>7th May 2020</v>
      </c>
    </row>
    <row r="25" spans="1:5">
      <c r="A25" s="808" t="str">
        <f>Master!Z37</f>
        <v>KODICHERLA INDIRAMMA</v>
      </c>
      <c r="B25" s="872">
        <f>Master!AU37</f>
        <v>30181587428</v>
      </c>
      <c r="C25" s="660" t="str">
        <f>Master!AT37</f>
        <v>SBIN0005916</v>
      </c>
      <c r="D25" s="790">
        <f>Master!AR37</f>
        <v>8035.4</v>
      </c>
      <c r="E25" s="809" t="str">
        <f>Master!AS37</f>
        <v>7th May 2020</v>
      </c>
    </row>
    <row r="26" spans="1:5">
      <c r="A26" s="808" t="str">
        <f>Master!Z38</f>
        <v>SANGOLLA LAVANYA</v>
      </c>
      <c r="B26" s="872">
        <f>Master!AU38</f>
        <v>36071152580</v>
      </c>
      <c r="C26" s="660" t="str">
        <f>Master!AT38</f>
        <v>SBIN0014234</v>
      </c>
      <c r="D26" s="790">
        <f>Master!AR38</f>
        <v>8035.4</v>
      </c>
      <c r="E26" s="809" t="str">
        <f>Master!AS38</f>
        <v>7th May 2020</v>
      </c>
    </row>
    <row r="27" spans="1:5">
      <c r="A27" s="808" t="str">
        <f>Master!Z39</f>
        <v>MANGALI LAVANYA</v>
      </c>
      <c r="B27" s="872">
        <f>Master!AU39</f>
        <v>36071152502</v>
      </c>
      <c r="C27" s="660" t="str">
        <f>Master!AT39</f>
        <v>SBIN0014234</v>
      </c>
      <c r="D27" s="790">
        <f>Master!AR39</f>
        <v>8035.4</v>
      </c>
      <c r="E27" s="809" t="str">
        <f>Master!AS39</f>
        <v>7th May 2020</v>
      </c>
    </row>
    <row r="28" spans="1:5">
      <c r="A28" s="808" t="str">
        <f>Master!Z40</f>
        <v>MANGLI CHANDRAMMA</v>
      </c>
      <c r="B28" s="872">
        <f>Master!AU40</f>
        <v>73100389136</v>
      </c>
      <c r="C28" s="660" t="str">
        <f>Master!AT40</f>
        <v>APGV0008110</v>
      </c>
      <c r="D28" s="790">
        <f>Master!AR40</f>
        <v>8035.4</v>
      </c>
      <c r="E28" s="809" t="str">
        <f>Master!AS40</f>
        <v>7th May 2020</v>
      </c>
    </row>
    <row r="29" spans="1:5">
      <c r="A29" s="808" t="str">
        <f>Master!Z41</f>
        <v>DASARI SUVARNA</v>
      </c>
      <c r="B29" s="872">
        <f>Master!AU41</f>
        <v>141410100016831</v>
      </c>
      <c r="C29" s="660" t="str">
        <f>Master!AT41</f>
        <v>ANDB0001414</v>
      </c>
      <c r="D29" s="790">
        <f>Master!AR41</f>
        <v>0</v>
      </c>
      <c r="E29" s="809" t="str">
        <f>Master!AS41</f>
        <v>7th May 2020</v>
      </c>
    </row>
    <row r="30" spans="1:5">
      <c r="A30" s="808" t="str">
        <f>Master!Z42</f>
        <v>MARATHI CHANDRAKALA</v>
      </c>
      <c r="B30" s="872">
        <f>Master!AU42</f>
        <v>36363257797</v>
      </c>
      <c r="C30" s="660" t="str">
        <f>Master!AT42</f>
        <v>SBIN0014234</v>
      </c>
      <c r="D30" s="790">
        <f>Master!AR42</f>
        <v>8035.4</v>
      </c>
      <c r="E30" s="809" t="str">
        <f>Master!AS42</f>
        <v>7th May 2020</v>
      </c>
    </row>
    <row r="31" spans="1:5">
      <c r="A31" s="808" t="str">
        <f>Master!Z43</f>
        <v>ANKAGALLA YADAMMA</v>
      </c>
      <c r="B31" s="872">
        <f>Master!AU43</f>
        <v>20176302412</v>
      </c>
      <c r="C31" s="660" t="str">
        <f>Master!AT43</f>
        <v>SBIN0014234</v>
      </c>
      <c r="D31" s="790">
        <f>Master!AR43</f>
        <v>8035.4</v>
      </c>
      <c r="E31" s="809" t="str">
        <f>Master!AS43</f>
        <v>7th May 2020</v>
      </c>
    </row>
    <row r="32" spans="1:5">
      <c r="A32" s="808" t="str">
        <f>Master!Z44</f>
        <v xml:space="preserve">NINGAMMA </v>
      </c>
      <c r="B32" s="872">
        <f>Master!AU44</f>
        <v>16050100039723</v>
      </c>
      <c r="C32" s="660" t="str">
        <f>Master!AT44</f>
        <v>FDRL0001605</v>
      </c>
      <c r="D32" s="790">
        <f>Master!AR44</f>
        <v>8035.4</v>
      </c>
      <c r="E32" s="809" t="str">
        <f>Master!AS44</f>
        <v>7th May 2020</v>
      </c>
    </row>
    <row r="33" spans="1:5">
      <c r="A33" s="808" t="str">
        <f>Master!Z45</f>
        <v>V AMBAMMA</v>
      </c>
      <c r="B33" s="872">
        <f>Master!AU45</f>
        <v>111101515392</v>
      </c>
      <c r="C33" s="660" t="str">
        <f>Master!AT45</f>
        <v>ICIC0001111</v>
      </c>
      <c r="D33" s="790">
        <f>Master!AR45</f>
        <v>8035.4</v>
      </c>
      <c r="E33" s="809" t="str">
        <f>Master!AS45</f>
        <v>7th May 2020</v>
      </c>
    </row>
    <row r="34" spans="1:5">
      <c r="A34" s="808" t="str">
        <f>Master!Z46</f>
        <v>PALLAPU LAXMI</v>
      </c>
      <c r="B34" s="872" t="str">
        <f>Master!AU46</f>
        <v>7310404993-5</v>
      </c>
      <c r="C34" s="660" t="str">
        <f>Master!AT46</f>
        <v>APGV0008163</v>
      </c>
      <c r="D34" s="790">
        <f>Master!AR46</f>
        <v>8035.4</v>
      </c>
      <c r="E34" s="809" t="str">
        <f>Master!AS46</f>
        <v>7th May 2020</v>
      </c>
    </row>
    <row r="35" spans="1:5">
      <c r="A35" s="808" t="str">
        <f>Master!Z47</f>
        <v>Nagani laxmi</v>
      </c>
      <c r="B35" s="872">
        <f>Master!AU47</f>
        <v>38228068404</v>
      </c>
      <c r="C35" s="660" t="str">
        <f>Master!AT47</f>
        <v>SBIN0014234</v>
      </c>
      <c r="D35" s="790">
        <f>Master!AR47</f>
        <v>8035.4</v>
      </c>
      <c r="E35" s="809" t="str">
        <f>Master!AS47</f>
        <v>7th May 2020</v>
      </c>
    </row>
    <row r="36" spans="1:5">
      <c r="A36" s="808" t="str">
        <f>Master!Z48</f>
        <v>Lingola amrutha</v>
      </c>
      <c r="B36" s="872">
        <f>Master!AU48</f>
        <v>31891992373</v>
      </c>
      <c r="C36" s="660" t="str">
        <f>Master!AT48</f>
        <v>SBIN0014234</v>
      </c>
      <c r="D36" s="790">
        <f>Master!AR48</f>
        <v>8035.4</v>
      </c>
      <c r="E36" s="809" t="str">
        <f>Master!AS48</f>
        <v>7th May 2020</v>
      </c>
    </row>
    <row r="37" spans="1:5">
      <c r="A37" s="808" t="str">
        <f>Master!Z49</f>
        <v>Kuduru satyamma</v>
      </c>
      <c r="B37" s="872">
        <f>Master!AU49</f>
        <v>62409123202</v>
      </c>
      <c r="C37" s="660" t="str">
        <f>Master!AT49</f>
        <v>SBIN0016375</v>
      </c>
      <c r="D37" s="790">
        <f>Master!AR49</f>
        <v>8035.4</v>
      </c>
      <c r="E37" s="809" t="str">
        <f>Master!AS49</f>
        <v>7th May 2020</v>
      </c>
    </row>
    <row r="38" spans="1:5">
      <c r="A38" s="808" t="str">
        <f>Master!Z50</f>
        <v>Mangali Lakshmi</v>
      </c>
      <c r="B38" s="872">
        <f>Master!AU50</f>
        <v>73158532002</v>
      </c>
      <c r="C38" s="660" t="str">
        <f>Master!AT50</f>
        <v>APGV0008110</v>
      </c>
      <c r="D38" s="790">
        <f>Master!AR50</f>
        <v>8035.4</v>
      </c>
      <c r="E38" s="809" t="str">
        <f>Master!AS50</f>
        <v>7th May 2020</v>
      </c>
    </row>
    <row r="39" spans="1:5">
      <c r="A39" s="808" t="str">
        <f>Master!Z51</f>
        <v>Ningolla santhosha</v>
      </c>
      <c r="B39" s="872">
        <f>Master!AU51</f>
        <v>173022010000748</v>
      </c>
      <c r="C39" s="660" t="str">
        <f>Master!AT51</f>
        <v>TSAB0017030</v>
      </c>
      <c r="D39" s="790">
        <f>Master!AR51</f>
        <v>8035.4</v>
      </c>
      <c r="E39" s="809" t="str">
        <f>Master!AS51</f>
        <v>7th May 2020</v>
      </c>
    </row>
    <row r="40" spans="1:5">
      <c r="A40" s="808" t="str">
        <f>Master!Z52</f>
        <v>Mutholla Suneeta</v>
      </c>
      <c r="B40" s="872">
        <f>Master!AU52</f>
        <v>20163798424</v>
      </c>
      <c r="C40" s="660" t="str">
        <f>Master!AT52</f>
        <v>SBIN0014234</v>
      </c>
      <c r="D40" s="790">
        <f>Master!AR52</f>
        <v>8035.4</v>
      </c>
      <c r="E40" s="809" t="str">
        <f>Master!AS52</f>
        <v>7th May 2020</v>
      </c>
    </row>
    <row r="41" spans="1:5">
      <c r="A41" s="808" t="str">
        <f>Master!Z53</f>
        <v>Mutholla sushila</v>
      </c>
      <c r="B41" s="872">
        <f>Master!AU53</f>
        <v>33177853645</v>
      </c>
      <c r="C41" s="660" t="str">
        <f>Master!AT53</f>
        <v>SBIN0014234</v>
      </c>
      <c r="D41" s="790">
        <f>Master!AR53</f>
        <v>8035.4</v>
      </c>
      <c r="E41" s="809" t="str">
        <f>Master!AS53</f>
        <v>7th May 2020</v>
      </c>
    </row>
    <row r="42" spans="1:5">
      <c r="A42" s="808" t="str">
        <f>Master!Z54</f>
        <v>Kummari kalavathi</v>
      </c>
      <c r="B42" s="872">
        <f>Master!AU54</f>
        <v>33415863098</v>
      </c>
      <c r="C42" s="660" t="str">
        <f>Master!AT54</f>
        <v>SBIN0014234</v>
      </c>
      <c r="D42" s="790">
        <f>Master!AR54</f>
        <v>8035.4</v>
      </c>
      <c r="E42" s="809" t="str">
        <f>Master!AS54</f>
        <v>7th May 2020</v>
      </c>
    </row>
    <row r="43" spans="1:5">
      <c r="A43" s="808" t="str">
        <f>Master!Z55</f>
        <v xml:space="preserve">Vadla Naveena </v>
      </c>
      <c r="B43" s="872">
        <f>Master!AU55</f>
        <v>73097866350</v>
      </c>
      <c r="C43" s="660" t="str">
        <f>Master!AT55</f>
        <v>APGV0008110</v>
      </c>
      <c r="D43" s="790">
        <f>Master!AR55</f>
        <v>8035.4</v>
      </c>
      <c r="E43" s="809" t="str">
        <f>Master!AS55</f>
        <v>7th May 2020</v>
      </c>
    </row>
    <row r="44" spans="1:5">
      <c r="A44" s="808" t="str">
        <f>Master!Z56</f>
        <v>Nagani shantamma</v>
      </c>
      <c r="B44" s="872">
        <f>Master!AU56</f>
        <v>33400593738</v>
      </c>
      <c r="C44" s="660" t="str">
        <f>Master!AT56</f>
        <v>SBIN0014234</v>
      </c>
      <c r="D44" s="790">
        <f>Master!AR56</f>
        <v>8035.4</v>
      </c>
      <c r="E44" s="809" t="str">
        <f>Master!AS56</f>
        <v>7th May 2020</v>
      </c>
    </row>
    <row r="45" spans="1:5">
      <c r="A45" s="808" t="str">
        <f>Master!Z57</f>
        <v>Gaddmidi lakshmi</v>
      </c>
      <c r="B45" s="872">
        <f>Master!AU57</f>
        <v>35101295296</v>
      </c>
      <c r="C45" s="660" t="str">
        <f>Master!AT57</f>
        <v>SBIN0014234</v>
      </c>
      <c r="D45" s="790">
        <f>Master!AR57</f>
        <v>8035.4</v>
      </c>
      <c r="E45" s="809" t="str">
        <f>Master!AS57</f>
        <v>7th May 2020</v>
      </c>
    </row>
    <row r="46" spans="1:5">
      <c r="A46" s="808" t="str">
        <f>Master!Z58</f>
        <v>Gaddamidi raghu</v>
      </c>
      <c r="B46" s="872">
        <f>Master!AU58</f>
        <v>35200839277</v>
      </c>
      <c r="C46" s="660" t="str">
        <f>Master!AT58</f>
        <v>SBIN0014234</v>
      </c>
      <c r="D46" s="790">
        <f>Master!AR58</f>
        <v>8665.4666666666653</v>
      </c>
      <c r="E46" s="809" t="str">
        <f>Master!AS58</f>
        <v>7th May 2020</v>
      </c>
    </row>
    <row r="47" spans="1:5">
      <c r="A47" s="808" t="str">
        <f>Master!Z59</f>
        <v>Laxman</v>
      </c>
      <c r="B47" s="872">
        <f>Master!AU59</f>
        <v>3868101008111</v>
      </c>
      <c r="C47" s="660" t="str">
        <f>Master!AT59</f>
        <v>CNRB0003868</v>
      </c>
      <c r="D47" s="790">
        <f>Master!AR59</f>
        <v>8665.4666666666653</v>
      </c>
      <c r="E47" s="809" t="str">
        <f>Master!AS59</f>
        <v>7th May 2020</v>
      </c>
    </row>
    <row r="48" spans="1:5">
      <c r="A48" s="808" t="str">
        <f>Master!Z60</f>
        <v>VADLA JYOTHI</v>
      </c>
      <c r="B48" s="872" t="str">
        <f>Master!AU60</f>
        <v>0888104000048675'</v>
      </c>
      <c r="C48" s="660" t="str">
        <f>Master!AT60</f>
        <v>IBKL0000888</v>
      </c>
      <c r="D48" s="790">
        <f>Master!AR60</f>
        <v>8035.4</v>
      </c>
      <c r="E48" s="809" t="str">
        <f>Master!AS60</f>
        <v>7th May 2020</v>
      </c>
    </row>
    <row r="49" spans="1:6">
      <c r="A49" s="808" t="str">
        <f>Master!Z61</f>
        <v>Rupesh Chandra Jakhmola</v>
      </c>
      <c r="B49" s="872">
        <f>Master!AU61</f>
        <v>10024839331</v>
      </c>
      <c r="C49" s="660" t="str">
        <f>Master!AT61</f>
        <v>IDFB0021001</v>
      </c>
      <c r="D49" s="790">
        <f>Master!AR61</f>
        <v>25800</v>
      </c>
      <c r="E49" s="809" t="str">
        <f>Master!AS61</f>
        <v>7th May 2020</v>
      </c>
    </row>
    <row r="50" spans="1:6">
      <c r="A50" s="808" t="str">
        <f>Master!Z62</f>
        <v>Bakkani Mallaiah</v>
      </c>
      <c r="B50" s="872">
        <f>Master!AU62</f>
        <v>62325068437</v>
      </c>
      <c r="C50" s="660" t="str">
        <f>Master!AT62</f>
        <v>SBIN0020092</v>
      </c>
      <c r="D50" s="790">
        <f>Master!AR62</f>
        <v>10399.599999999999</v>
      </c>
      <c r="E50" s="809" t="str">
        <f>Master!AS62</f>
        <v>7th May 2020</v>
      </c>
    </row>
    <row r="51" spans="1:6">
      <c r="A51" s="808" t="str">
        <f>Master!Z63</f>
        <v>Chakali Narayana</v>
      </c>
      <c r="B51" s="872">
        <f>Master!AU63</f>
        <v>73067905502</v>
      </c>
      <c r="C51" s="660" t="str">
        <f>Master!AT63</f>
        <v>SBINORRAPGB</v>
      </c>
      <c r="D51" s="790">
        <f>Master!AR63</f>
        <v>8665.4666666666653</v>
      </c>
      <c r="E51" s="809" t="str">
        <f>Master!AS63</f>
        <v>7th May 2020</v>
      </c>
    </row>
    <row r="52" spans="1:6">
      <c r="A52" s="808" t="str">
        <f>Master!Z64</f>
        <v>Mutyala Poshavva</v>
      </c>
      <c r="B52" s="872" t="str">
        <f>Master!AU64</f>
        <v>Bank Cheque</v>
      </c>
      <c r="C52" s="660" t="str">
        <f>Master!AT64</f>
        <v>Bank Cheque</v>
      </c>
      <c r="D52" s="790">
        <f>Master!AR64</f>
        <v>0</v>
      </c>
      <c r="E52" s="809" t="str">
        <f>Master!AS64</f>
        <v>7th May 2020</v>
      </c>
    </row>
    <row r="53" spans="1:6" ht="15" thickBot="1">
      <c r="A53" s="810"/>
      <c r="B53" s="811"/>
      <c r="C53" s="811"/>
      <c r="D53" s="812"/>
      <c r="E53" s="813"/>
    </row>
    <row r="54" spans="1:6" s="804" customFormat="1">
      <c r="A54" s="802"/>
      <c r="B54" s="802"/>
      <c r="C54" s="802"/>
      <c r="D54" s="803"/>
      <c r="E54" s="803"/>
      <c r="F54" s="789"/>
    </row>
    <row r="55" spans="1:6" s="804" customFormat="1">
      <c r="A55" s="802"/>
      <c r="B55" s="802"/>
      <c r="C55" s="802"/>
      <c r="D55" s="803"/>
      <c r="E55" s="803"/>
      <c r="F55" s="789"/>
    </row>
    <row r="56" spans="1:6" s="804" customFormat="1">
      <c r="A56" s="802"/>
      <c r="B56" s="802"/>
      <c r="C56" s="802"/>
      <c r="D56" s="803"/>
      <c r="E56" s="803"/>
      <c r="F56" s="789"/>
    </row>
    <row r="57" spans="1:6" s="804" customFormat="1">
      <c r="A57" s="802"/>
      <c r="B57" s="802"/>
      <c r="C57" s="802"/>
      <c r="D57" s="803"/>
      <c r="E57" s="803"/>
      <c r="F57" s="789"/>
    </row>
    <row r="58" spans="1:6" s="804" customFormat="1">
      <c r="A58" s="802"/>
      <c r="B58" s="802"/>
      <c r="C58" s="802"/>
      <c r="D58" s="803"/>
      <c r="E58" s="803"/>
      <c r="F58" s="789"/>
    </row>
    <row r="59" spans="1:6" s="804" customFormat="1">
      <c r="A59" s="802"/>
      <c r="B59" s="802"/>
      <c r="C59" s="802"/>
      <c r="D59" s="803"/>
      <c r="E59" s="803"/>
      <c r="F59" s="789"/>
    </row>
    <row r="60" spans="1:6" s="804" customFormat="1">
      <c r="A60" s="802"/>
      <c r="B60" s="802"/>
      <c r="C60" s="802"/>
      <c r="D60" s="803"/>
      <c r="E60" s="803"/>
      <c r="F60" s="789"/>
    </row>
    <row r="61" spans="1:6" s="804" customFormat="1">
      <c r="A61" s="802"/>
      <c r="B61" s="802"/>
      <c r="C61" s="802"/>
      <c r="D61" s="803"/>
      <c r="E61" s="803"/>
      <c r="F61" s="789"/>
    </row>
    <row r="62" spans="1:6" s="804" customFormat="1">
      <c r="A62" s="802"/>
      <c r="B62" s="802"/>
      <c r="C62" s="802"/>
      <c r="D62" s="803"/>
      <c r="E62" s="803"/>
      <c r="F62" s="789"/>
    </row>
    <row r="63" spans="1:6" s="804" customFormat="1">
      <c r="A63" s="802"/>
      <c r="B63" s="802"/>
      <c r="C63" s="802"/>
      <c r="D63" s="803"/>
      <c r="E63" s="803"/>
      <c r="F63" s="789"/>
    </row>
    <row r="64" spans="1:6" s="804" customFormat="1">
      <c r="A64" s="802"/>
      <c r="B64" s="802"/>
      <c r="C64" s="802"/>
      <c r="D64" s="803"/>
      <c r="E64" s="803"/>
      <c r="F64" s="789"/>
    </row>
    <row r="65" spans="1:6" s="804" customFormat="1">
      <c r="A65" s="802"/>
      <c r="B65" s="802"/>
      <c r="C65" s="802"/>
      <c r="D65" s="803"/>
      <c r="E65" s="803"/>
      <c r="F65" s="789"/>
    </row>
    <row r="66" spans="1:6" s="804" customFormat="1">
      <c r="A66" s="802"/>
      <c r="B66" s="802"/>
      <c r="C66" s="802"/>
      <c r="D66" s="803"/>
      <c r="E66" s="803"/>
      <c r="F66" s="789"/>
    </row>
    <row r="67" spans="1:6" s="804" customFormat="1">
      <c r="A67" s="802"/>
      <c r="B67" s="802"/>
      <c r="C67" s="802"/>
      <c r="D67" s="803"/>
      <c r="E67" s="803"/>
      <c r="F67" s="789"/>
    </row>
    <row r="68" spans="1:6" s="804" customFormat="1">
      <c r="A68" s="802"/>
      <c r="B68" s="802"/>
      <c r="C68" s="802"/>
      <c r="D68" s="803"/>
      <c r="E68" s="803"/>
      <c r="F68" s="789"/>
    </row>
    <row r="69" spans="1:6" s="804" customFormat="1">
      <c r="A69" s="802"/>
      <c r="B69" s="802"/>
      <c r="C69" s="802"/>
      <c r="D69" s="803"/>
      <c r="E69" s="803"/>
      <c r="F69" s="789"/>
    </row>
    <row r="70" spans="1:6" s="804" customFormat="1">
      <c r="A70" s="802"/>
      <c r="B70" s="802"/>
      <c r="C70" s="802"/>
      <c r="D70" s="803"/>
      <c r="E70" s="803"/>
      <c r="F70" s="789"/>
    </row>
    <row r="71" spans="1:6" s="804" customFormat="1">
      <c r="A71" s="802"/>
      <c r="B71" s="802"/>
      <c r="C71" s="802"/>
      <c r="D71" s="803"/>
      <c r="E71" s="803"/>
      <c r="F71" s="789"/>
    </row>
    <row r="72" spans="1:6" s="804" customFormat="1">
      <c r="A72" s="802"/>
      <c r="B72" s="802"/>
      <c r="C72" s="802"/>
      <c r="D72" s="803"/>
      <c r="E72" s="803"/>
      <c r="F72" s="789"/>
    </row>
    <row r="73" spans="1:6" s="804" customFormat="1">
      <c r="A73" s="802"/>
      <c r="B73" s="802"/>
      <c r="C73" s="802"/>
      <c r="D73" s="803"/>
      <c r="E73" s="803"/>
      <c r="F73" s="789"/>
    </row>
    <row r="74" spans="1:6" s="804" customFormat="1">
      <c r="A74" s="802"/>
      <c r="B74" s="802"/>
      <c r="C74" s="802"/>
      <c r="D74" s="803"/>
      <c r="E74" s="803"/>
      <c r="F74" s="789"/>
    </row>
    <row r="75" spans="1:6" s="804" customFormat="1">
      <c r="A75" s="802"/>
      <c r="B75" s="802"/>
      <c r="C75" s="802"/>
      <c r="D75" s="803"/>
      <c r="E75" s="803"/>
      <c r="F75" s="789"/>
    </row>
    <row r="76" spans="1:6" s="804" customFormat="1">
      <c r="A76" s="802"/>
      <c r="B76" s="802"/>
      <c r="C76" s="802"/>
      <c r="D76" s="803"/>
      <c r="E76" s="803"/>
      <c r="F76" s="789"/>
    </row>
    <row r="77" spans="1:6" s="804" customFormat="1">
      <c r="A77" s="802"/>
      <c r="B77" s="802"/>
      <c r="C77" s="802"/>
      <c r="D77" s="803"/>
      <c r="E77" s="803"/>
      <c r="F77" s="789"/>
    </row>
    <row r="78" spans="1:6" s="804" customFormat="1">
      <c r="A78" s="802"/>
      <c r="B78" s="802"/>
      <c r="C78" s="802"/>
      <c r="D78" s="803"/>
      <c r="E78" s="803"/>
      <c r="F78" s="789"/>
    </row>
    <row r="79" spans="1:6" s="804" customFormat="1">
      <c r="A79" s="802"/>
      <c r="B79" s="802"/>
      <c r="C79" s="802"/>
      <c r="D79" s="803"/>
      <c r="E79" s="803"/>
      <c r="F79" s="789"/>
    </row>
    <row r="80" spans="1:6" s="804" customFormat="1">
      <c r="A80" s="802"/>
      <c r="B80" s="802"/>
      <c r="C80" s="802"/>
      <c r="D80" s="803"/>
      <c r="E80" s="803"/>
      <c r="F80" s="789"/>
    </row>
    <row r="81" spans="1:6" s="804" customFormat="1">
      <c r="A81" s="802"/>
      <c r="B81" s="802"/>
      <c r="C81" s="802"/>
      <c r="D81" s="803"/>
      <c r="E81" s="803"/>
      <c r="F81" s="789"/>
    </row>
    <row r="82" spans="1:6" s="804" customFormat="1">
      <c r="A82" s="802"/>
      <c r="B82" s="802"/>
      <c r="C82" s="802"/>
      <c r="D82" s="803"/>
      <c r="E82" s="803"/>
      <c r="F82" s="789"/>
    </row>
    <row r="83" spans="1:6" s="804" customFormat="1">
      <c r="A83" s="802"/>
      <c r="B83" s="802"/>
      <c r="C83" s="802"/>
      <c r="D83" s="803"/>
      <c r="E83" s="803"/>
      <c r="F83" s="789"/>
    </row>
    <row r="84" spans="1:6" s="804" customFormat="1">
      <c r="A84" s="802"/>
      <c r="B84" s="802"/>
      <c r="C84" s="802"/>
      <c r="D84" s="803"/>
      <c r="E84" s="803"/>
      <c r="F84" s="789"/>
    </row>
    <row r="85" spans="1:6" s="804" customFormat="1">
      <c r="A85" s="802"/>
      <c r="B85" s="802"/>
      <c r="C85" s="802"/>
      <c r="D85" s="803"/>
      <c r="E85" s="803"/>
      <c r="F85" s="789"/>
    </row>
    <row r="86" spans="1:6" s="804" customFormat="1">
      <c r="A86" s="802"/>
      <c r="B86" s="802"/>
      <c r="C86" s="802"/>
      <c r="D86" s="803"/>
      <c r="E86" s="803"/>
      <c r="F86" s="789"/>
    </row>
    <row r="87" spans="1:6" s="804" customFormat="1">
      <c r="A87" s="802"/>
      <c r="B87" s="802"/>
      <c r="C87" s="802"/>
      <c r="D87" s="803"/>
      <c r="E87" s="803"/>
      <c r="F87" s="789"/>
    </row>
    <row r="88" spans="1:6" s="804" customFormat="1">
      <c r="A88" s="802"/>
      <c r="B88" s="802"/>
      <c r="C88" s="802"/>
      <c r="D88" s="803"/>
      <c r="E88" s="803"/>
      <c r="F88" s="789"/>
    </row>
    <row r="89" spans="1:6" s="804" customFormat="1">
      <c r="A89" s="802"/>
      <c r="B89" s="802"/>
      <c r="C89" s="802"/>
      <c r="D89" s="803"/>
      <c r="E89" s="803"/>
      <c r="F89" s="789"/>
    </row>
    <row r="90" spans="1:6" s="804" customFormat="1">
      <c r="A90" s="802"/>
      <c r="B90" s="802"/>
      <c r="C90" s="802"/>
      <c r="D90" s="803"/>
      <c r="E90" s="803"/>
      <c r="F90" s="789"/>
    </row>
    <row r="91" spans="1:6" s="804" customFormat="1">
      <c r="A91" s="802"/>
      <c r="B91" s="802"/>
      <c r="C91" s="802"/>
      <c r="D91" s="803"/>
      <c r="E91" s="803"/>
      <c r="F91" s="789"/>
    </row>
    <row r="92" spans="1:6" s="804" customFormat="1">
      <c r="A92" s="802"/>
      <c r="B92" s="802"/>
      <c r="C92" s="802"/>
      <c r="D92" s="803"/>
      <c r="E92" s="803"/>
      <c r="F92" s="789"/>
    </row>
    <row r="93" spans="1:6" s="804" customFormat="1">
      <c r="A93" s="802"/>
      <c r="B93" s="802"/>
      <c r="C93" s="802"/>
      <c r="D93" s="803"/>
      <c r="E93" s="803"/>
      <c r="F93" s="789"/>
    </row>
    <row r="94" spans="1:6" s="804" customFormat="1">
      <c r="A94" s="802"/>
      <c r="B94" s="802"/>
      <c r="C94" s="802"/>
      <c r="D94" s="803"/>
      <c r="E94" s="803"/>
      <c r="F94" s="789"/>
    </row>
    <row r="95" spans="1:6" s="804" customFormat="1">
      <c r="A95" s="802"/>
      <c r="B95" s="802"/>
      <c r="C95" s="802"/>
      <c r="D95" s="803"/>
      <c r="E95" s="803"/>
      <c r="F95" s="789"/>
    </row>
    <row r="96" spans="1:6" s="804" customFormat="1">
      <c r="A96" s="802"/>
      <c r="B96" s="802"/>
      <c r="C96" s="802"/>
      <c r="D96" s="803"/>
      <c r="E96" s="803"/>
      <c r="F96" s="789"/>
    </row>
    <row r="97" spans="1:6" s="804" customFormat="1">
      <c r="A97" s="802"/>
      <c r="B97" s="802"/>
      <c r="C97" s="802"/>
      <c r="D97" s="803"/>
      <c r="E97" s="803"/>
      <c r="F97" s="789"/>
    </row>
    <row r="98" spans="1:6" s="804" customFormat="1">
      <c r="A98" s="802"/>
      <c r="B98" s="802"/>
      <c r="C98" s="802"/>
      <c r="D98" s="803"/>
      <c r="E98" s="803"/>
      <c r="F98" s="789"/>
    </row>
    <row r="99" spans="1:6" s="804" customFormat="1">
      <c r="A99" s="802"/>
      <c r="B99" s="802"/>
      <c r="C99" s="802"/>
      <c r="D99" s="803"/>
      <c r="E99" s="803"/>
      <c r="F99" s="789"/>
    </row>
    <row r="100" spans="1:6" s="804" customFormat="1">
      <c r="A100" s="802"/>
      <c r="B100" s="802"/>
      <c r="C100" s="802"/>
      <c r="D100" s="803"/>
      <c r="E100" s="803"/>
      <c r="F100" s="789"/>
    </row>
    <row r="101" spans="1:6" s="804" customFormat="1">
      <c r="A101" s="802"/>
      <c r="B101" s="802"/>
      <c r="C101" s="802"/>
      <c r="D101" s="803"/>
      <c r="E101" s="803"/>
      <c r="F101" s="789"/>
    </row>
    <row r="102" spans="1:6" s="804" customFormat="1">
      <c r="A102" s="802"/>
      <c r="B102" s="802"/>
      <c r="C102" s="802"/>
      <c r="D102" s="803"/>
      <c r="E102" s="803"/>
      <c r="F102" s="789"/>
    </row>
    <row r="103" spans="1:6" s="804" customFormat="1">
      <c r="A103" s="802"/>
      <c r="B103" s="802"/>
      <c r="C103" s="802"/>
      <c r="D103" s="803"/>
      <c r="E103" s="803"/>
      <c r="F103" s="789"/>
    </row>
    <row r="104" spans="1:6" s="804" customFormat="1">
      <c r="A104" s="802"/>
      <c r="B104" s="802"/>
      <c r="C104" s="802"/>
      <c r="D104" s="803"/>
      <c r="E104" s="803"/>
      <c r="F104" s="789"/>
    </row>
    <row r="105" spans="1:6" s="804" customFormat="1">
      <c r="A105" s="802"/>
      <c r="B105" s="802"/>
      <c r="C105" s="802"/>
      <c r="D105" s="803"/>
      <c r="E105" s="803"/>
      <c r="F105" s="789"/>
    </row>
    <row r="106" spans="1:6" s="804" customFormat="1">
      <c r="A106" s="802"/>
      <c r="B106" s="802"/>
      <c r="C106" s="802"/>
      <c r="D106" s="803"/>
      <c r="E106" s="803"/>
      <c r="F106" s="789"/>
    </row>
    <row r="107" spans="1:6" s="804" customFormat="1">
      <c r="A107" s="802"/>
      <c r="B107" s="802"/>
      <c r="C107" s="802"/>
      <c r="D107" s="803"/>
      <c r="E107" s="803"/>
      <c r="F107" s="789"/>
    </row>
    <row r="108" spans="1:6" s="804" customFormat="1">
      <c r="A108" s="802"/>
      <c r="B108" s="802"/>
      <c r="C108" s="802"/>
      <c r="D108" s="803"/>
      <c r="E108" s="803"/>
      <c r="F108" s="789"/>
    </row>
    <row r="109" spans="1:6" s="804" customFormat="1">
      <c r="A109" s="802"/>
      <c r="B109" s="802"/>
      <c r="C109" s="802"/>
      <c r="D109" s="803"/>
      <c r="E109" s="803"/>
      <c r="F109" s="789"/>
    </row>
    <row r="110" spans="1:6" s="804" customFormat="1">
      <c r="A110" s="802"/>
      <c r="B110" s="802"/>
      <c r="C110" s="802"/>
      <c r="D110" s="803"/>
      <c r="E110" s="803"/>
      <c r="F110" s="789"/>
    </row>
    <row r="111" spans="1:6" s="804" customFormat="1">
      <c r="A111" s="802"/>
      <c r="B111" s="802"/>
      <c r="C111" s="802"/>
      <c r="D111" s="803"/>
      <c r="E111" s="803"/>
      <c r="F111" s="789"/>
    </row>
    <row r="112" spans="1:6" s="804" customFormat="1">
      <c r="A112" s="802"/>
      <c r="B112" s="802"/>
      <c r="C112" s="802"/>
      <c r="D112" s="803"/>
      <c r="E112" s="803"/>
      <c r="F112" s="789"/>
    </row>
    <row r="113" spans="1:6" s="804" customFormat="1">
      <c r="A113" s="802"/>
      <c r="B113" s="802"/>
      <c r="C113" s="802"/>
      <c r="D113" s="803"/>
      <c r="E113" s="803"/>
      <c r="F113" s="789"/>
    </row>
    <row r="114" spans="1:6" s="804" customFormat="1">
      <c r="A114" s="802"/>
      <c r="B114" s="802"/>
      <c r="C114" s="802"/>
      <c r="D114" s="803"/>
      <c r="E114" s="803"/>
      <c r="F114" s="789"/>
    </row>
    <row r="115" spans="1:6" s="804" customFormat="1">
      <c r="A115" s="802"/>
      <c r="B115" s="802"/>
      <c r="C115" s="802"/>
      <c r="D115" s="803"/>
      <c r="E115" s="803"/>
      <c r="F115" s="789"/>
    </row>
    <row r="116" spans="1:6" s="804" customFormat="1">
      <c r="A116" s="802"/>
      <c r="B116" s="802"/>
      <c r="C116" s="802"/>
      <c r="D116" s="803"/>
      <c r="E116" s="803"/>
      <c r="F116" s="789"/>
    </row>
    <row r="117" spans="1:6" s="804" customFormat="1">
      <c r="A117" s="802"/>
      <c r="B117" s="802"/>
      <c r="C117" s="802"/>
      <c r="D117" s="803"/>
      <c r="E117" s="803"/>
      <c r="F117" s="789"/>
    </row>
    <row r="118" spans="1:6" s="804" customFormat="1">
      <c r="A118" s="802"/>
      <c r="B118" s="802"/>
      <c r="C118" s="802"/>
      <c r="D118" s="803"/>
      <c r="E118" s="803"/>
      <c r="F118" s="789"/>
    </row>
    <row r="119" spans="1:6" s="804" customFormat="1">
      <c r="A119" s="802"/>
      <c r="B119" s="802"/>
      <c r="C119" s="802"/>
      <c r="D119" s="803"/>
      <c r="E119" s="803"/>
      <c r="F119" s="789"/>
    </row>
    <row r="120" spans="1:6" s="804" customFormat="1">
      <c r="A120" s="802"/>
      <c r="B120" s="802"/>
      <c r="C120" s="802"/>
      <c r="D120" s="803"/>
      <c r="E120" s="803"/>
      <c r="F120" s="789"/>
    </row>
    <row r="121" spans="1:6" s="804" customFormat="1">
      <c r="A121" s="802"/>
      <c r="B121" s="802"/>
      <c r="C121" s="802"/>
      <c r="D121" s="803"/>
      <c r="E121" s="803"/>
      <c r="F121" s="789"/>
    </row>
    <row r="122" spans="1:6" s="804" customFormat="1">
      <c r="A122" s="802"/>
      <c r="B122" s="802"/>
      <c r="C122" s="802"/>
      <c r="D122" s="803"/>
      <c r="E122" s="803"/>
      <c r="F122" s="789"/>
    </row>
    <row r="123" spans="1:6" s="804" customFormat="1">
      <c r="A123" s="802"/>
      <c r="B123" s="802"/>
      <c r="C123" s="802"/>
      <c r="D123" s="803"/>
      <c r="E123" s="803"/>
      <c r="F123" s="789"/>
    </row>
    <row r="124" spans="1:6" s="804" customFormat="1">
      <c r="A124" s="802"/>
      <c r="B124" s="802"/>
      <c r="C124" s="802"/>
      <c r="D124" s="803"/>
      <c r="E124" s="803"/>
      <c r="F124" s="789"/>
    </row>
    <row r="125" spans="1:6" s="804" customFormat="1">
      <c r="A125" s="802"/>
      <c r="B125" s="802"/>
      <c r="C125" s="802"/>
      <c r="D125" s="803"/>
      <c r="E125" s="803"/>
      <c r="F125" s="789"/>
    </row>
    <row r="126" spans="1:6" s="804" customFormat="1">
      <c r="A126" s="802"/>
      <c r="B126" s="802"/>
      <c r="C126" s="802"/>
      <c r="D126" s="803"/>
      <c r="E126" s="803"/>
      <c r="F126" s="789"/>
    </row>
    <row r="127" spans="1:6" s="804" customFormat="1">
      <c r="A127" s="802"/>
      <c r="B127" s="802"/>
      <c r="C127" s="802"/>
      <c r="D127" s="803"/>
      <c r="E127" s="803"/>
      <c r="F127" s="789"/>
    </row>
    <row r="128" spans="1:6" s="804" customFormat="1">
      <c r="A128" s="802"/>
      <c r="B128" s="802"/>
      <c r="C128" s="802"/>
      <c r="D128" s="803"/>
      <c r="E128" s="803"/>
      <c r="F128" s="789"/>
    </row>
    <row r="129" spans="1:6" s="804" customFormat="1">
      <c r="A129" s="802"/>
      <c r="B129" s="802"/>
      <c r="C129" s="802"/>
      <c r="D129" s="803"/>
      <c r="E129" s="803"/>
      <c r="F129" s="789"/>
    </row>
    <row r="130" spans="1:6" s="804" customFormat="1">
      <c r="A130" s="802"/>
      <c r="B130" s="802"/>
      <c r="C130" s="802"/>
      <c r="D130" s="803"/>
      <c r="E130" s="803"/>
      <c r="F130" s="789"/>
    </row>
    <row r="131" spans="1:6" s="804" customFormat="1">
      <c r="A131" s="802"/>
      <c r="B131" s="802"/>
      <c r="C131" s="802"/>
      <c r="D131" s="803"/>
      <c r="E131" s="803"/>
      <c r="F131" s="789"/>
    </row>
    <row r="132" spans="1:6" s="804" customFormat="1">
      <c r="A132" s="802"/>
      <c r="B132" s="802"/>
      <c r="C132" s="802"/>
      <c r="D132" s="803"/>
      <c r="E132" s="803"/>
      <c r="F132" s="789"/>
    </row>
    <row r="133" spans="1:6" s="804" customFormat="1">
      <c r="A133" s="802"/>
      <c r="B133" s="802"/>
      <c r="C133" s="802"/>
      <c r="D133" s="803"/>
      <c r="E133" s="803"/>
      <c r="F133" s="789"/>
    </row>
    <row r="134" spans="1:6" s="804" customFormat="1">
      <c r="A134" s="802"/>
      <c r="B134" s="802"/>
      <c r="C134" s="802"/>
      <c r="D134" s="803"/>
      <c r="E134" s="803"/>
      <c r="F134" s="789"/>
    </row>
    <row r="135" spans="1:6" s="804" customFormat="1">
      <c r="A135" s="802"/>
      <c r="B135" s="802"/>
      <c r="C135" s="802"/>
      <c r="D135" s="803"/>
      <c r="E135" s="803"/>
      <c r="F135" s="789"/>
    </row>
    <row r="136" spans="1:6" s="804" customFormat="1">
      <c r="A136" s="802"/>
      <c r="B136" s="802"/>
      <c r="C136" s="802"/>
      <c r="D136" s="803"/>
      <c r="E136" s="803"/>
      <c r="F136" s="789"/>
    </row>
    <row r="137" spans="1:6" s="804" customFormat="1">
      <c r="A137" s="802"/>
      <c r="B137" s="802"/>
      <c r="C137" s="802"/>
      <c r="D137" s="803"/>
      <c r="E137" s="803"/>
      <c r="F137" s="789"/>
    </row>
    <row r="138" spans="1:6" s="804" customFormat="1">
      <c r="A138" s="802"/>
      <c r="B138" s="802"/>
      <c r="C138" s="802"/>
      <c r="D138" s="803"/>
      <c r="E138" s="803"/>
      <c r="F138" s="789"/>
    </row>
    <row r="139" spans="1:6" s="804" customFormat="1">
      <c r="A139" s="802"/>
      <c r="B139" s="802"/>
      <c r="C139" s="802"/>
      <c r="D139" s="803"/>
      <c r="E139" s="803"/>
      <c r="F139" s="789"/>
    </row>
    <row r="140" spans="1:6" s="804" customFormat="1">
      <c r="A140" s="802"/>
      <c r="B140" s="802"/>
      <c r="C140" s="802"/>
      <c r="D140" s="803"/>
      <c r="E140" s="803"/>
      <c r="F140" s="789"/>
    </row>
    <row r="141" spans="1:6" s="804" customFormat="1">
      <c r="A141" s="802"/>
      <c r="B141" s="802"/>
      <c r="C141" s="802"/>
      <c r="D141" s="803"/>
      <c r="E141" s="803"/>
      <c r="F141" s="789"/>
    </row>
    <row r="142" spans="1:6" s="804" customFormat="1">
      <c r="A142" s="802"/>
      <c r="B142" s="802"/>
      <c r="C142" s="802"/>
      <c r="D142" s="803"/>
      <c r="E142" s="803"/>
      <c r="F142" s="789"/>
    </row>
    <row r="143" spans="1:6" s="804" customFormat="1">
      <c r="A143" s="802"/>
      <c r="B143" s="802"/>
      <c r="C143" s="802"/>
      <c r="D143" s="803"/>
      <c r="E143" s="803"/>
      <c r="F143" s="789"/>
    </row>
    <row r="144" spans="1:6" s="804" customFormat="1">
      <c r="A144" s="802"/>
      <c r="B144" s="802"/>
      <c r="C144" s="802"/>
      <c r="D144" s="803"/>
      <c r="E144" s="803"/>
      <c r="F144" s="789"/>
    </row>
    <row r="145" spans="1:6" s="804" customFormat="1">
      <c r="A145" s="802"/>
      <c r="B145" s="802"/>
      <c r="C145" s="802"/>
      <c r="D145" s="803"/>
      <c r="E145" s="803"/>
      <c r="F145" s="789"/>
    </row>
    <row r="146" spans="1:6" s="804" customFormat="1">
      <c r="A146" s="802"/>
      <c r="B146" s="802"/>
      <c r="C146" s="802"/>
      <c r="D146" s="803"/>
      <c r="E146" s="803"/>
      <c r="F146" s="789"/>
    </row>
    <row r="147" spans="1:6" s="804" customFormat="1">
      <c r="A147" s="802"/>
      <c r="B147" s="802"/>
      <c r="C147" s="802"/>
      <c r="D147" s="803"/>
      <c r="E147" s="803"/>
      <c r="F147" s="789"/>
    </row>
    <row r="148" spans="1:6" s="804" customFormat="1">
      <c r="A148" s="802"/>
      <c r="B148" s="802"/>
      <c r="C148" s="802"/>
      <c r="D148" s="803"/>
      <c r="E148" s="803"/>
      <c r="F148" s="789"/>
    </row>
    <row r="149" spans="1:6" s="804" customFormat="1">
      <c r="A149" s="802"/>
      <c r="B149" s="802"/>
      <c r="C149" s="802"/>
      <c r="D149" s="803"/>
      <c r="E149" s="803"/>
      <c r="F149" s="789"/>
    </row>
    <row r="150" spans="1:6" s="804" customFormat="1">
      <c r="A150" s="802"/>
      <c r="B150" s="802"/>
      <c r="C150" s="802"/>
      <c r="D150" s="803"/>
      <c r="E150" s="803"/>
      <c r="F150" s="789"/>
    </row>
    <row r="151" spans="1:6" s="804" customFormat="1">
      <c r="A151" s="802"/>
      <c r="B151" s="802"/>
      <c r="C151" s="802"/>
      <c r="D151" s="803"/>
      <c r="E151" s="803"/>
      <c r="F151" s="789"/>
    </row>
    <row r="152" spans="1:6" s="804" customFormat="1">
      <c r="A152" s="802"/>
      <c r="B152" s="802"/>
      <c r="C152" s="802"/>
      <c r="D152" s="803"/>
      <c r="E152" s="803"/>
      <c r="F152" s="789"/>
    </row>
    <row r="153" spans="1:6" s="804" customFormat="1">
      <c r="A153" s="802"/>
      <c r="B153" s="802"/>
      <c r="C153" s="802"/>
      <c r="D153" s="803"/>
      <c r="E153" s="803"/>
      <c r="F153" s="789"/>
    </row>
    <row r="154" spans="1:6" s="804" customFormat="1">
      <c r="A154" s="802"/>
      <c r="B154" s="802"/>
      <c r="C154" s="802"/>
      <c r="D154" s="803"/>
      <c r="E154" s="803"/>
      <c r="F154" s="789"/>
    </row>
    <row r="155" spans="1:6" s="804" customFormat="1">
      <c r="A155" s="802"/>
      <c r="B155" s="802"/>
      <c r="C155" s="802"/>
      <c r="D155" s="803"/>
      <c r="E155" s="803"/>
      <c r="F155" s="789"/>
    </row>
    <row r="156" spans="1:6" s="804" customFormat="1">
      <c r="A156" s="802"/>
      <c r="B156" s="802"/>
      <c r="C156" s="802"/>
      <c r="D156" s="803"/>
      <c r="E156" s="803"/>
      <c r="F156" s="789"/>
    </row>
    <row r="157" spans="1:6" s="804" customFormat="1">
      <c r="A157" s="802"/>
      <c r="B157" s="802"/>
      <c r="C157" s="802"/>
      <c r="D157" s="803"/>
      <c r="E157" s="803"/>
      <c r="F157" s="789"/>
    </row>
    <row r="158" spans="1:6" s="804" customFormat="1">
      <c r="A158" s="802"/>
      <c r="B158" s="802"/>
      <c r="C158" s="802"/>
      <c r="D158" s="803"/>
      <c r="E158" s="803"/>
      <c r="F158" s="789"/>
    </row>
    <row r="159" spans="1:6" s="804" customFormat="1">
      <c r="A159" s="802"/>
      <c r="B159" s="802"/>
      <c r="C159" s="802"/>
      <c r="D159" s="803"/>
      <c r="E159" s="803"/>
      <c r="F159" s="789"/>
    </row>
    <row r="160" spans="1:6" s="804" customFormat="1">
      <c r="A160" s="802"/>
      <c r="B160" s="802"/>
      <c r="C160" s="802"/>
      <c r="D160" s="803"/>
      <c r="E160" s="803"/>
      <c r="F160" s="789"/>
    </row>
    <row r="161" spans="1:6" s="804" customFormat="1">
      <c r="A161" s="802"/>
      <c r="B161" s="802"/>
      <c r="C161" s="802"/>
      <c r="D161" s="803"/>
      <c r="E161" s="803"/>
      <c r="F161" s="789"/>
    </row>
    <row r="162" spans="1:6" s="804" customFormat="1">
      <c r="A162" s="802"/>
      <c r="B162" s="802"/>
      <c r="C162" s="802"/>
      <c r="D162" s="803"/>
      <c r="E162" s="803"/>
      <c r="F162" s="789"/>
    </row>
    <row r="163" spans="1:6" s="804" customFormat="1">
      <c r="A163" s="802"/>
      <c r="B163" s="802"/>
      <c r="C163" s="802"/>
      <c r="D163" s="803"/>
      <c r="E163" s="803"/>
      <c r="F163" s="789"/>
    </row>
    <row r="164" spans="1:6" s="804" customFormat="1">
      <c r="A164" s="802"/>
      <c r="B164" s="802"/>
      <c r="C164" s="802"/>
      <c r="D164" s="803"/>
      <c r="E164" s="803"/>
      <c r="F164" s="789"/>
    </row>
    <row r="165" spans="1:6" s="804" customFormat="1">
      <c r="A165" s="802"/>
      <c r="B165" s="802"/>
      <c r="C165" s="802"/>
      <c r="D165" s="803"/>
      <c r="E165" s="803"/>
      <c r="F165" s="789"/>
    </row>
    <row r="166" spans="1:6" s="804" customFormat="1">
      <c r="A166" s="802"/>
      <c r="B166" s="802"/>
      <c r="C166" s="802"/>
      <c r="D166" s="803"/>
      <c r="E166" s="803"/>
      <c r="F166" s="789"/>
    </row>
    <row r="167" spans="1:6" s="804" customFormat="1">
      <c r="A167" s="802"/>
      <c r="B167" s="802"/>
      <c r="C167" s="802"/>
      <c r="D167" s="803"/>
      <c r="E167" s="803"/>
      <c r="F167" s="789"/>
    </row>
    <row r="168" spans="1:6" s="804" customFormat="1">
      <c r="A168" s="802"/>
      <c r="B168" s="802"/>
      <c r="C168" s="802"/>
      <c r="D168" s="803"/>
      <c r="E168" s="803"/>
      <c r="F168" s="789"/>
    </row>
    <row r="169" spans="1:6" s="804" customFormat="1">
      <c r="A169" s="802"/>
      <c r="B169" s="802"/>
      <c r="C169" s="802"/>
      <c r="D169" s="803"/>
      <c r="E169" s="803"/>
      <c r="F169" s="789"/>
    </row>
    <row r="170" spans="1:6" s="804" customFormat="1">
      <c r="A170" s="802"/>
      <c r="B170" s="802"/>
      <c r="C170" s="802"/>
      <c r="D170" s="803"/>
      <c r="E170" s="803"/>
      <c r="F170" s="789"/>
    </row>
  </sheetData>
  <mergeCells count="1">
    <mergeCell ref="B1:C1"/>
  </mergeCells>
  <pageMargins left="0.7" right="0.7" top="0.75" bottom="0.75" header="0.3" footer="0.3"/>
  <pageSetup paperSize="9" scale="80" orientation="portrait" horizontalDpi="300" verticalDpi="300" r:id="rId1"/>
</worksheet>
</file>

<file path=xl/worksheets/sheet16.xml><?xml version="1.0" encoding="utf-8"?>
<worksheet xmlns="http://schemas.openxmlformats.org/spreadsheetml/2006/main" xmlns:r="http://schemas.openxmlformats.org/officeDocument/2006/relationships">
  <dimension ref="A1:G51"/>
  <sheetViews>
    <sheetView workbookViewId="0">
      <selection activeCell="D29" sqref="D29"/>
    </sheetView>
  </sheetViews>
  <sheetFormatPr defaultColWidth="9.109375" defaultRowHeight="14.4"/>
  <cols>
    <col min="1" max="1" width="17.109375" style="659" customWidth="1"/>
    <col min="2" max="2" width="28.33203125" style="659" customWidth="1"/>
    <col min="3" max="3" width="28.109375" style="660" customWidth="1"/>
    <col min="4" max="4" width="14.33203125" style="660" customWidth="1"/>
    <col min="5" max="5" width="30.5546875" style="660" customWidth="1"/>
    <col min="6" max="6" width="22.6640625" style="659" customWidth="1"/>
    <col min="7" max="7" width="8.88671875" customWidth="1"/>
    <col min="8" max="16384" width="9.109375" style="658"/>
  </cols>
  <sheetData>
    <row r="1" spans="1:6" ht="47.4" customHeight="1">
      <c r="A1" s="815" t="s">
        <v>748</v>
      </c>
      <c r="B1" s="816" t="s">
        <v>749</v>
      </c>
      <c r="C1" s="817" t="s">
        <v>750</v>
      </c>
      <c r="D1" s="816" t="s">
        <v>751</v>
      </c>
      <c r="E1" s="814" t="s">
        <v>752</v>
      </c>
      <c r="F1" s="657" t="s">
        <v>753</v>
      </c>
    </row>
    <row r="2" spans="1:6">
      <c r="A2" s="659">
        <f>Master!Y15</f>
        <v>2016384651</v>
      </c>
      <c r="B2" s="659" t="str">
        <f>Master!Z15</f>
        <v>ARJUN KUMAR</v>
      </c>
      <c r="C2" s="225">
        <f>Master!AA15</f>
        <v>30</v>
      </c>
      <c r="D2" s="225">
        <f>Master!AK15</f>
        <v>20000</v>
      </c>
    </row>
    <row r="3" spans="1:6">
      <c r="A3" s="659">
        <f>Master!Y16</f>
        <v>2017795829</v>
      </c>
      <c r="B3" s="659" t="str">
        <f>Master!Z16</f>
        <v>GAJAN SINGH</v>
      </c>
      <c r="C3" s="225">
        <f>Master!AA16</f>
        <v>30</v>
      </c>
      <c r="D3" s="225">
        <f>Master!AK16</f>
        <v>14900</v>
      </c>
    </row>
    <row r="4" spans="1:6">
      <c r="A4" s="659">
        <f>Master!Y17</f>
        <v>5216113872</v>
      </c>
      <c r="B4" s="659" t="str">
        <f>Master!Z17</f>
        <v>GUDALA RUSHESHWAR SWAMY</v>
      </c>
      <c r="C4" s="225">
        <f>Master!AA17</f>
        <v>30</v>
      </c>
      <c r="D4" s="225">
        <f>Master!AK17</f>
        <v>17918</v>
      </c>
    </row>
    <row r="5" spans="1:6">
      <c r="A5" s="659">
        <f>Master!Y18</f>
        <v>5216248033</v>
      </c>
      <c r="B5" s="659" t="str">
        <f>Master!Z18</f>
        <v xml:space="preserve">KASALA NARSIMLU </v>
      </c>
      <c r="C5" s="225">
        <f>Master!AA18</f>
        <v>26</v>
      </c>
      <c r="D5" s="225">
        <f>Master!AK18</f>
        <v>11919.599999999999</v>
      </c>
    </row>
    <row r="6" spans="1:6">
      <c r="A6" s="659">
        <f>Master!Y19</f>
        <v>5215982488</v>
      </c>
      <c r="B6" s="659" t="str">
        <f>Master!Z19</f>
        <v>PITANI SATHYA NARAYANA</v>
      </c>
      <c r="C6" s="225" t="str">
        <f>Master!AA19</f>
        <v>26</v>
      </c>
      <c r="D6" s="225">
        <f>Master!AK19</f>
        <v>9932.4666666666653</v>
      </c>
    </row>
    <row r="7" spans="1:6">
      <c r="A7" s="659">
        <f>Master!Y20</f>
        <v>5210317860</v>
      </c>
      <c r="B7" s="659" t="str">
        <f>Master!Z20</f>
        <v>SANGOLLA ASHOK</v>
      </c>
      <c r="C7" s="225">
        <f>Master!AA20</f>
        <v>26</v>
      </c>
      <c r="D7" s="225">
        <f>Master!AK20</f>
        <v>9932.4666666666653</v>
      </c>
    </row>
    <row r="8" spans="1:6">
      <c r="A8" s="659">
        <f>Master!Y21</f>
        <v>5211196939</v>
      </c>
      <c r="B8" s="659" t="str">
        <f>Master!Z21</f>
        <v>ASHOK LINGURAM GAIKWAD</v>
      </c>
      <c r="C8" s="225">
        <f>Master!AA21</f>
        <v>26</v>
      </c>
      <c r="D8" s="225">
        <f>Master!AK21</f>
        <v>9932.4666666666653</v>
      </c>
    </row>
    <row r="9" spans="1:6">
      <c r="A9" s="659">
        <f>Master!Y22</f>
        <v>5216116351</v>
      </c>
      <c r="B9" s="659" t="str">
        <f>Master!Z22</f>
        <v>MADHUKAR KAMTAM</v>
      </c>
      <c r="C9" s="225">
        <f>Master!AA22</f>
        <v>26</v>
      </c>
      <c r="D9" s="225">
        <f>Master!AK22</f>
        <v>9932.4666666666653</v>
      </c>
    </row>
    <row r="10" spans="1:6">
      <c r="A10" s="659">
        <f>Master!Y23</f>
        <v>5216340446</v>
      </c>
      <c r="B10" s="659" t="str">
        <f>Master!Z23</f>
        <v>Ningolla Raju</v>
      </c>
      <c r="C10" s="225">
        <f>Master!AA23</f>
        <v>26</v>
      </c>
      <c r="D10" s="225">
        <f>Master!AK23</f>
        <v>9932.4666666666653</v>
      </c>
    </row>
    <row r="11" spans="1:6">
      <c r="A11" s="659">
        <f>Master!Y24</f>
        <v>5212759307</v>
      </c>
      <c r="B11" s="659" t="str">
        <f>Master!Z24</f>
        <v>Nagani pochaiah</v>
      </c>
      <c r="C11" s="225">
        <f>Master!AA24</f>
        <v>26</v>
      </c>
      <c r="D11" s="225">
        <f>Master!AK24</f>
        <v>9932.4666666666653</v>
      </c>
    </row>
    <row r="12" spans="1:6">
      <c r="A12" s="659">
        <f>Master!Y25</f>
        <v>5216340493</v>
      </c>
      <c r="B12" s="659" t="str">
        <f>Master!Z25</f>
        <v>Mutholla Mallesh</v>
      </c>
      <c r="C12" s="225">
        <f>Master!AA25</f>
        <v>26</v>
      </c>
      <c r="D12" s="225">
        <f>Master!AK25</f>
        <v>9932.4666666666653</v>
      </c>
    </row>
    <row r="13" spans="1:6">
      <c r="A13" s="659">
        <f>Master!Y26</f>
        <v>5211482351</v>
      </c>
      <c r="B13" s="659" t="str">
        <f>Master!Z26</f>
        <v>ALIJANA JAYARAMI REDDY</v>
      </c>
      <c r="C13" s="225">
        <f>Master!AA26</f>
        <v>26</v>
      </c>
      <c r="D13" s="225">
        <f>Master!AK26</f>
        <v>9932.4666666666653</v>
      </c>
    </row>
    <row r="14" spans="1:6">
      <c r="A14" s="659">
        <f>Master!Y27</f>
        <v>5216340520</v>
      </c>
      <c r="B14" s="659" t="str">
        <f>Master!Z27</f>
        <v>Kapil</v>
      </c>
      <c r="C14" s="225">
        <f>Master!AA27</f>
        <v>0</v>
      </c>
      <c r="D14" s="225">
        <f>Master!AK27</f>
        <v>0</v>
      </c>
    </row>
    <row r="15" spans="1:6">
      <c r="A15" s="659">
        <f>Master!Y28</f>
        <v>5216340547</v>
      </c>
      <c r="B15" s="659" t="str">
        <f>Master!Z28</f>
        <v xml:space="preserve">Bablu kumar </v>
      </c>
      <c r="C15" s="225">
        <f>Master!AA28</f>
        <v>0</v>
      </c>
      <c r="D15" s="225">
        <f>Master!AK28</f>
        <v>0</v>
      </c>
    </row>
    <row r="16" spans="1:6">
      <c r="A16" s="659">
        <f>Master!Y29</f>
        <v>5216340569</v>
      </c>
      <c r="B16" s="659" t="str">
        <f>Master!Z29</f>
        <v>Pradeep kumar</v>
      </c>
      <c r="C16" s="225">
        <f>Master!AA29</f>
        <v>0</v>
      </c>
      <c r="D16" s="225">
        <f>Master!AK29</f>
        <v>0</v>
      </c>
    </row>
    <row r="17" spans="1:4">
      <c r="A17" s="659">
        <f>Master!Y30</f>
        <v>5210209502</v>
      </c>
      <c r="B17" s="659" t="str">
        <f>Master!Z30</f>
        <v>SHAIK KULSUM BEE</v>
      </c>
      <c r="C17" s="225">
        <f>Master!AA30</f>
        <v>26</v>
      </c>
      <c r="D17" s="225">
        <f>Master!AK30</f>
        <v>9210.4</v>
      </c>
    </row>
    <row r="18" spans="1:4">
      <c r="A18" s="659">
        <f>Master!Y31</f>
        <v>5215258577</v>
      </c>
      <c r="B18" s="659" t="str">
        <f>Master!Z31</f>
        <v>S GOWRI</v>
      </c>
      <c r="C18" s="225">
        <f>Master!AA31</f>
        <v>26</v>
      </c>
      <c r="D18" s="225">
        <f>Master!AK31</f>
        <v>9210.4</v>
      </c>
    </row>
    <row r="19" spans="1:4">
      <c r="A19" s="659">
        <f>Master!Y32</f>
        <v>5206265912</v>
      </c>
      <c r="B19" s="659" t="str">
        <f>Master!Z32</f>
        <v>FARZANA BEGUM</v>
      </c>
      <c r="C19" s="225">
        <f>Master!AA32</f>
        <v>26</v>
      </c>
      <c r="D19" s="225">
        <f>Master!AK32</f>
        <v>9210.4</v>
      </c>
    </row>
    <row r="20" spans="1:4">
      <c r="A20" s="659">
        <f>Master!Y33</f>
        <v>5214635168</v>
      </c>
      <c r="B20" s="659" t="str">
        <f>Master!Z33</f>
        <v>MANAGALI SUHASINI</v>
      </c>
      <c r="C20" s="225">
        <f>Master!AA33</f>
        <v>26</v>
      </c>
      <c r="D20" s="225">
        <f>Master!AK33</f>
        <v>9210.4</v>
      </c>
    </row>
    <row r="21" spans="1:4">
      <c r="A21" s="659">
        <f>Master!Y34</f>
        <v>5215374381</v>
      </c>
      <c r="B21" s="659" t="str">
        <f>Master!Z34</f>
        <v>KONA SUJATHA</v>
      </c>
      <c r="C21" s="225">
        <f>Master!AA34</f>
        <v>26</v>
      </c>
      <c r="D21" s="225">
        <f>Master!AK34</f>
        <v>9210.4</v>
      </c>
    </row>
    <row r="22" spans="1:4">
      <c r="A22" s="659">
        <f>Master!Y35</f>
        <v>5215258539</v>
      </c>
      <c r="B22" s="659" t="str">
        <f>Master!Z35</f>
        <v>GOLLA UMA</v>
      </c>
      <c r="C22" s="225">
        <f>Master!AA35</f>
        <v>26</v>
      </c>
      <c r="D22" s="225">
        <f>Master!AK35</f>
        <v>9210.4</v>
      </c>
    </row>
    <row r="23" spans="1:4">
      <c r="A23" s="659">
        <f>Master!Y36</f>
        <v>5216279786</v>
      </c>
      <c r="B23" s="659" t="str">
        <f>Master!Z36</f>
        <v>SINGARAM BHAGYAMMA</v>
      </c>
      <c r="C23" s="225">
        <f>Master!AA36</f>
        <v>26</v>
      </c>
      <c r="D23" s="225">
        <f>Master!AK36</f>
        <v>9210.4</v>
      </c>
    </row>
    <row r="24" spans="1:4">
      <c r="A24" s="659">
        <f>Master!Y37</f>
        <v>5209811859</v>
      </c>
      <c r="B24" s="659" t="str">
        <f>Master!Z37</f>
        <v>KODICHERLA INDIRAMMA</v>
      </c>
      <c r="C24" s="225">
        <f>Master!AA37</f>
        <v>26</v>
      </c>
      <c r="D24" s="225">
        <f>Master!AK37</f>
        <v>9210.4</v>
      </c>
    </row>
    <row r="25" spans="1:4">
      <c r="A25" s="659">
        <f>Master!Y38</f>
        <v>5212759301</v>
      </c>
      <c r="B25" s="659" t="str">
        <f>Master!Z38</f>
        <v>SANGOLLA LAVANYA</v>
      </c>
      <c r="C25" s="225">
        <f>Master!AA38</f>
        <v>26</v>
      </c>
      <c r="D25" s="225">
        <f>Master!AK38</f>
        <v>9210.4</v>
      </c>
    </row>
    <row r="26" spans="1:4">
      <c r="A26" s="659">
        <f>Master!Y39</f>
        <v>5214535728</v>
      </c>
      <c r="B26" s="659" t="str">
        <f>Master!Z39</f>
        <v>MANGALI LAVANYA</v>
      </c>
      <c r="C26" s="225">
        <f>Master!AA39</f>
        <v>26</v>
      </c>
      <c r="D26" s="225">
        <f>Master!AK39</f>
        <v>9210.4</v>
      </c>
    </row>
    <row r="27" spans="1:4">
      <c r="A27" s="659">
        <f>Master!Y40</f>
        <v>5216340615</v>
      </c>
      <c r="B27" s="659" t="str">
        <f>Master!Z40</f>
        <v>MANGLI CHANDRAMMA</v>
      </c>
      <c r="C27" s="225">
        <f>Master!AA40</f>
        <v>26</v>
      </c>
      <c r="D27" s="225">
        <f>Master!AK40</f>
        <v>9210.4</v>
      </c>
    </row>
    <row r="28" spans="1:4">
      <c r="A28" s="659">
        <f>Master!Y41</f>
        <v>5216116294</v>
      </c>
      <c r="B28" s="659" t="str">
        <f>Master!Z41</f>
        <v>DASARI SUVARNA</v>
      </c>
      <c r="C28" s="225">
        <f>Master!AA41</f>
        <v>0</v>
      </c>
      <c r="D28" s="225">
        <f>Master!AK41</f>
        <v>0</v>
      </c>
    </row>
    <row r="29" spans="1:4">
      <c r="A29" s="659">
        <f>Master!Y42</f>
        <v>5210266822</v>
      </c>
      <c r="B29" s="659" t="str">
        <f>Master!Z42</f>
        <v>MARATHI CHANDRAKALA</v>
      </c>
      <c r="C29" s="225">
        <f>Master!AA42</f>
        <v>26</v>
      </c>
      <c r="D29" s="225">
        <f>Master!AK42</f>
        <v>9210.4</v>
      </c>
    </row>
    <row r="30" spans="1:4">
      <c r="A30" s="659">
        <f>Master!Y43</f>
        <v>5216340696</v>
      </c>
      <c r="B30" s="659" t="str">
        <f>Master!Z43</f>
        <v>ANKAGALLA YADAMMA</v>
      </c>
      <c r="C30" s="225">
        <f>Master!AA43</f>
        <v>26</v>
      </c>
      <c r="D30" s="225">
        <f>Master!AK43</f>
        <v>9210.4</v>
      </c>
    </row>
    <row r="31" spans="1:4">
      <c r="A31" s="659">
        <f>Master!Y44</f>
        <v>5215200706</v>
      </c>
      <c r="B31" s="659" t="str">
        <f>Master!Z44</f>
        <v xml:space="preserve">NINGAMMA </v>
      </c>
      <c r="C31" s="225">
        <f>Master!AA44</f>
        <v>26</v>
      </c>
      <c r="D31" s="225">
        <f>Master!AK44</f>
        <v>9210.4</v>
      </c>
    </row>
    <row r="32" spans="1:4">
      <c r="A32" s="659">
        <f>Master!Y45</f>
        <v>5216116335</v>
      </c>
      <c r="B32" s="659" t="str">
        <f>Master!Z45</f>
        <v>V AMBAMMA</v>
      </c>
      <c r="C32" s="225">
        <f>Master!AA45</f>
        <v>26</v>
      </c>
      <c r="D32" s="225">
        <f>Master!AK45</f>
        <v>9210.4</v>
      </c>
    </row>
    <row r="33" spans="1:4">
      <c r="A33" s="659">
        <f>Master!Y46</f>
        <v>5215200729</v>
      </c>
      <c r="B33" s="659" t="str">
        <f>Master!Z46</f>
        <v>PALLAPU LAXMI</v>
      </c>
      <c r="C33" s="225">
        <f>Master!AA46</f>
        <v>26</v>
      </c>
      <c r="D33" s="225">
        <f>Master!AK46</f>
        <v>9210.4</v>
      </c>
    </row>
    <row r="34" spans="1:4">
      <c r="A34" s="659">
        <f>Master!Y47</f>
        <v>5213565032</v>
      </c>
      <c r="B34" s="659" t="str">
        <f>Master!Z47</f>
        <v>Nagani laxmi</v>
      </c>
      <c r="C34" s="225">
        <f>Master!AA47</f>
        <v>26</v>
      </c>
      <c r="D34" s="225">
        <f>Master!AK47</f>
        <v>9210.4</v>
      </c>
    </row>
    <row r="35" spans="1:4">
      <c r="A35" s="659">
        <f>Master!Y48</f>
        <v>5210209440</v>
      </c>
      <c r="B35" s="659" t="str">
        <f>Master!Z48</f>
        <v>Lingola amrutha</v>
      </c>
      <c r="C35" s="225">
        <f>Master!AA48</f>
        <v>26</v>
      </c>
      <c r="D35" s="225">
        <f>Master!AK48</f>
        <v>9210.4</v>
      </c>
    </row>
    <row r="36" spans="1:4">
      <c r="A36" s="659">
        <f>Master!Y49</f>
        <v>5216116222</v>
      </c>
      <c r="B36" s="659" t="str">
        <f>Master!Z49</f>
        <v>Kuduru satyamma</v>
      </c>
      <c r="C36" s="225">
        <f>Master!AA49</f>
        <v>26</v>
      </c>
      <c r="D36" s="225">
        <f>Master!AK49</f>
        <v>9210.4</v>
      </c>
    </row>
    <row r="37" spans="1:4">
      <c r="A37" s="659">
        <f>Master!Y50</f>
        <v>5216385030</v>
      </c>
      <c r="B37" s="659" t="str">
        <f>Master!Z50</f>
        <v>Mangali Lakshmi</v>
      </c>
      <c r="C37" s="225">
        <f>Master!AA50</f>
        <v>26</v>
      </c>
      <c r="D37" s="225">
        <f>Master!AK50</f>
        <v>9210.4</v>
      </c>
    </row>
    <row r="38" spans="1:4">
      <c r="A38" s="659">
        <f>Master!Y51</f>
        <v>5216385073</v>
      </c>
      <c r="B38" s="659" t="str">
        <f>Master!Z51</f>
        <v>Ningolla santhosha</v>
      </c>
      <c r="C38" s="225">
        <f>Master!AA51</f>
        <v>26</v>
      </c>
      <c r="D38" s="225">
        <f>Master!AK51</f>
        <v>9210.4</v>
      </c>
    </row>
    <row r="39" spans="1:4">
      <c r="A39" s="659">
        <f>Master!Y52</f>
        <v>5216385098</v>
      </c>
      <c r="B39" s="659" t="str">
        <f>Master!Z52</f>
        <v>Mutholla Suneeta</v>
      </c>
      <c r="C39" s="225">
        <f>Master!AA52</f>
        <v>26</v>
      </c>
      <c r="D39" s="225">
        <f>Master!AK52</f>
        <v>9210.4</v>
      </c>
    </row>
    <row r="40" spans="1:4">
      <c r="A40" s="659">
        <f>Master!Y53</f>
        <v>5216385125</v>
      </c>
      <c r="B40" s="659" t="str">
        <f>Master!Z53</f>
        <v>Mutholla sushila</v>
      </c>
      <c r="C40" s="225">
        <f>Master!AA53</f>
        <v>26</v>
      </c>
      <c r="D40" s="225">
        <f>Master!AK53</f>
        <v>9210.4</v>
      </c>
    </row>
    <row r="41" spans="1:4">
      <c r="A41" s="659">
        <f>Master!Y54</f>
        <v>5216385155</v>
      </c>
      <c r="B41" s="659" t="str">
        <f>Master!Z54</f>
        <v>Kummari kalavathi</v>
      </c>
      <c r="C41" s="225">
        <f>Master!AA54</f>
        <v>26</v>
      </c>
      <c r="D41" s="225">
        <f>Master!AK54</f>
        <v>9210.4</v>
      </c>
    </row>
    <row r="42" spans="1:4">
      <c r="A42" s="659">
        <f>Master!Y55</f>
        <v>5216385182</v>
      </c>
      <c r="B42" s="659" t="str">
        <f>Master!Z55</f>
        <v xml:space="preserve">Vadla Naveena </v>
      </c>
      <c r="C42" s="225">
        <f>Master!AA55</f>
        <v>26</v>
      </c>
      <c r="D42" s="225">
        <f>Master!AK55</f>
        <v>9210.4</v>
      </c>
    </row>
    <row r="43" spans="1:4">
      <c r="A43" s="659">
        <f>Master!Y56</f>
        <v>5209952214</v>
      </c>
      <c r="B43" s="659" t="str">
        <f>Master!Z56</f>
        <v>Nagani shantamma</v>
      </c>
      <c r="C43" s="225">
        <f>Master!AA56</f>
        <v>26</v>
      </c>
      <c r="D43" s="225">
        <f>Master!AK56</f>
        <v>9210.4</v>
      </c>
    </row>
    <row r="44" spans="1:4">
      <c r="A44" s="659">
        <f>Master!Y57</f>
        <v>5214349122</v>
      </c>
      <c r="B44" s="659" t="str">
        <f>Master!Z57</f>
        <v>Gaddmidi lakshmi</v>
      </c>
      <c r="C44" s="225">
        <f>Master!AA57</f>
        <v>26</v>
      </c>
      <c r="D44" s="225">
        <f>Master!AK57</f>
        <v>9210.4</v>
      </c>
    </row>
    <row r="45" spans="1:4">
      <c r="A45" s="659">
        <f>Master!Y58</f>
        <v>5216385272</v>
      </c>
      <c r="B45" s="659" t="str">
        <f>Master!Z58</f>
        <v>Gaddamidi raghu</v>
      </c>
      <c r="C45" s="225">
        <f>Master!AA58</f>
        <v>26</v>
      </c>
      <c r="D45" s="225">
        <f>Master!AK58</f>
        <v>9932.4666666666653</v>
      </c>
    </row>
    <row r="46" spans="1:4">
      <c r="A46" s="659">
        <f>Master!Y59</f>
        <v>5216434433</v>
      </c>
      <c r="B46" s="659" t="str">
        <f>Master!Z59</f>
        <v>Laxman</v>
      </c>
      <c r="C46" s="225">
        <f>Master!AA59</f>
        <v>26</v>
      </c>
      <c r="D46" s="225">
        <f>Master!AK59</f>
        <v>9932.4666666666653</v>
      </c>
    </row>
    <row r="47" spans="1:4">
      <c r="A47" s="659">
        <f>Master!Y60</f>
        <v>5216423961</v>
      </c>
      <c r="B47" s="659" t="str">
        <f>Master!Z60</f>
        <v>VADLA JYOTHI</v>
      </c>
      <c r="C47" s="225">
        <f>Master!AA60</f>
        <v>26</v>
      </c>
      <c r="D47" s="225">
        <f>Master!AK60</f>
        <v>9210.4</v>
      </c>
    </row>
    <row r="48" spans="1:4">
      <c r="A48" s="854" t="str">
        <f>Master!Y61</f>
        <v>N/A</v>
      </c>
      <c r="B48" s="659" t="str">
        <f>Master!Z61</f>
        <v>Rupesh Chandra Jakhmola</v>
      </c>
      <c r="C48" s="225">
        <f>Master!AA61</f>
        <v>30</v>
      </c>
      <c r="D48" s="225">
        <f>Master!AK61</f>
        <v>27800</v>
      </c>
    </row>
    <row r="49" spans="1:4">
      <c r="A49" s="659">
        <f>Master!Y62</f>
        <v>5216113931</v>
      </c>
      <c r="B49" s="659" t="str">
        <f>Master!Z62</f>
        <v>Bakkani Mallaiah</v>
      </c>
      <c r="C49" s="225">
        <f>Master!AA62</f>
        <v>26</v>
      </c>
      <c r="D49" s="225">
        <f>Master!AK62</f>
        <v>11919.599999999999</v>
      </c>
    </row>
    <row r="50" spans="1:4">
      <c r="A50" s="659">
        <f>Master!Y63</f>
        <v>5216452266</v>
      </c>
      <c r="B50" s="659" t="str">
        <f>Master!Z63</f>
        <v>Chakali Narayana</v>
      </c>
      <c r="C50" s="225">
        <f>Master!AA63</f>
        <v>26</v>
      </c>
      <c r="D50" s="225">
        <f>Master!AK63</f>
        <v>9932.4666666666653</v>
      </c>
    </row>
    <row r="51" spans="1:4">
      <c r="A51" s="659">
        <f>Master!Y64</f>
        <v>5216452300</v>
      </c>
      <c r="B51" s="659" t="str">
        <f>Master!Z64</f>
        <v>Mutyala Poshavva</v>
      </c>
      <c r="C51" s="225">
        <f>Master!AA64</f>
        <v>0</v>
      </c>
      <c r="D51" s="225">
        <f>Master!AK64</f>
        <v>0</v>
      </c>
    </row>
  </sheetData>
  <hyperlinks>
    <hyperlink ref="E1" location="Reason!A1" display="Reason!A1"/>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R20"/>
  <sheetViews>
    <sheetView view="pageBreakPreview" zoomScaleSheetLayoutView="100" workbookViewId="0">
      <selection activeCell="F11" sqref="F11"/>
    </sheetView>
  </sheetViews>
  <sheetFormatPr defaultRowHeight="14.4"/>
  <cols>
    <col min="1" max="1" width="7" customWidth="1"/>
    <col min="2" max="2" width="13.6640625" customWidth="1"/>
    <col min="3" max="3" width="15.5546875" customWidth="1"/>
    <col min="4" max="4" width="8.33203125" customWidth="1"/>
    <col min="5" max="5" width="15" customWidth="1"/>
    <col min="8" max="8" width="11.44140625" customWidth="1"/>
    <col min="16" max="16" width="11.109375" customWidth="1"/>
    <col min="17" max="17" width="11.5546875" customWidth="1"/>
  </cols>
  <sheetData>
    <row r="1" spans="1:18" ht="47.4" customHeight="1">
      <c r="A1" s="1173" t="s">
        <v>207</v>
      </c>
      <c r="B1" s="1174"/>
      <c r="C1" s="1174"/>
      <c r="D1" s="1174"/>
      <c r="E1" s="1174"/>
      <c r="F1" s="1174"/>
      <c r="G1" s="1174"/>
      <c r="H1" s="1174"/>
      <c r="I1" s="1174"/>
      <c r="J1" s="1174"/>
      <c r="K1" s="1174"/>
      <c r="L1" s="1174"/>
      <c r="M1" s="1174"/>
      <c r="N1" s="1174"/>
      <c r="O1" s="1174"/>
      <c r="P1" s="1174"/>
      <c r="Q1" s="1174"/>
      <c r="R1" s="1175"/>
    </row>
    <row r="2" spans="1:18" ht="22.5" customHeight="1">
      <c r="A2" s="1176" t="s">
        <v>208</v>
      </c>
      <c r="B2" s="1176"/>
      <c r="C2" s="1176"/>
      <c r="D2" s="1176"/>
      <c r="E2" s="1176"/>
      <c r="F2" s="1176"/>
      <c r="G2" s="1176"/>
      <c r="H2" s="1176"/>
      <c r="I2" s="1176"/>
      <c r="J2" s="1176"/>
      <c r="K2" s="1176"/>
      <c r="L2" s="1176"/>
      <c r="M2" s="1176"/>
      <c r="N2" s="1176"/>
      <c r="O2" s="1176"/>
      <c r="P2" s="1176"/>
      <c r="Q2" s="1176"/>
      <c r="R2" s="1176"/>
    </row>
    <row r="3" spans="1:18">
      <c r="A3" s="1177" t="s">
        <v>209</v>
      </c>
      <c r="B3" s="1177"/>
      <c r="C3" s="1177"/>
      <c r="D3" s="1177"/>
      <c r="E3" s="1177"/>
      <c r="F3" s="1177"/>
      <c r="G3" s="1177"/>
      <c r="H3" s="1177"/>
      <c r="I3" s="1177"/>
      <c r="J3" s="1177"/>
      <c r="K3" s="1177"/>
      <c r="L3" s="1177"/>
      <c r="M3" s="1177"/>
      <c r="N3" s="1177"/>
      <c r="O3" s="1177"/>
      <c r="P3" s="1177"/>
      <c r="Q3" s="1177"/>
      <c r="R3" s="1177"/>
    </row>
    <row r="4" spans="1:18">
      <c r="A4" s="182"/>
      <c r="B4" s="1177" t="s">
        <v>210</v>
      </c>
      <c r="C4" s="1177"/>
      <c r="D4" s="1177"/>
      <c r="E4" s="1177"/>
      <c r="F4" s="1177"/>
      <c r="G4" s="1177"/>
      <c r="H4" s="1177"/>
      <c r="I4" s="1177"/>
      <c r="J4" s="1177"/>
      <c r="K4" s="1177"/>
      <c r="L4" s="1177"/>
      <c r="M4" s="1177"/>
      <c r="N4" s="1177"/>
      <c r="O4" s="1177"/>
      <c r="P4" s="1177"/>
      <c r="Q4" s="1177"/>
      <c r="R4" s="1177"/>
    </row>
    <row r="5" spans="1:18">
      <c r="A5" s="1178"/>
      <c r="B5" s="1178"/>
      <c r="C5" s="1178"/>
      <c r="D5" s="1179"/>
      <c r="E5" s="1178"/>
      <c r="F5" s="35"/>
      <c r="G5" s="36"/>
      <c r="H5" s="36"/>
      <c r="I5" s="33"/>
      <c r="J5" s="33"/>
      <c r="K5" s="33"/>
      <c r="L5" s="33"/>
      <c r="M5" s="33"/>
      <c r="N5" s="33"/>
      <c r="O5" s="33"/>
      <c r="P5" s="36"/>
      <c r="Q5" s="36"/>
      <c r="R5" s="37"/>
    </row>
    <row r="6" spans="1:18" ht="15" customHeight="1">
      <c r="A6" s="1180" t="s">
        <v>5</v>
      </c>
      <c r="B6" s="1060" t="s">
        <v>211</v>
      </c>
      <c r="C6" s="1060" t="s">
        <v>212</v>
      </c>
      <c r="D6" s="1060" t="s">
        <v>213</v>
      </c>
      <c r="E6" s="1060" t="s">
        <v>31</v>
      </c>
      <c r="F6" s="1060" t="s">
        <v>94</v>
      </c>
      <c r="G6" s="183"/>
      <c r="H6" s="1060" t="s">
        <v>96</v>
      </c>
      <c r="I6" s="1186" t="s">
        <v>214</v>
      </c>
      <c r="J6" s="1187"/>
      <c r="K6" s="1187"/>
      <c r="L6" s="1187"/>
      <c r="M6" s="1188"/>
      <c r="N6" s="1060" t="s">
        <v>217</v>
      </c>
      <c r="O6" s="841"/>
      <c r="P6" s="1184" t="s">
        <v>215</v>
      </c>
      <c r="Q6" s="1184" t="s">
        <v>97</v>
      </c>
      <c r="R6" s="1060" t="s">
        <v>216</v>
      </c>
    </row>
    <row r="7" spans="1:18" ht="171.6">
      <c r="A7" s="1181"/>
      <c r="B7" s="1183"/>
      <c r="C7" s="1183"/>
      <c r="D7" s="1183"/>
      <c r="E7" s="1183"/>
      <c r="F7" s="1183"/>
      <c r="G7" s="1183" t="s">
        <v>95</v>
      </c>
      <c r="H7" s="1183"/>
      <c r="I7" s="1189"/>
      <c r="J7" s="1190"/>
      <c r="K7" s="1190"/>
      <c r="L7" s="1190"/>
      <c r="M7" s="1191"/>
      <c r="N7" s="1061"/>
      <c r="O7" s="842" t="s">
        <v>218</v>
      </c>
      <c r="P7" s="1185"/>
      <c r="Q7" s="1185"/>
      <c r="R7" s="1061"/>
    </row>
    <row r="8" spans="1:18" ht="62.25" customHeight="1">
      <c r="A8" s="1182"/>
      <c r="B8" s="1061"/>
      <c r="C8" s="1061"/>
      <c r="D8" s="1061"/>
      <c r="E8" s="1061"/>
      <c r="F8" s="1061"/>
      <c r="G8" s="1061"/>
      <c r="H8" s="1061"/>
      <c r="I8" s="840" t="s">
        <v>219</v>
      </c>
      <c r="J8" s="67" t="s">
        <v>220</v>
      </c>
      <c r="K8" s="836" t="s">
        <v>221</v>
      </c>
      <c r="L8" s="836" t="s">
        <v>222</v>
      </c>
      <c r="M8" s="836" t="s">
        <v>223</v>
      </c>
      <c r="N8" s="62"/>
      <c r="O8" s="62"/>
      <c r="P8" s="184"/>
      <c r="Q8" s="184"/>
      <c r="R8" s="184"/>
    </row>
    <row r="9" spans="1:18">
      <c r="A9" s="185">
        <v>1</v>
      </c>
      <c r="B9" s="185">
        <v>2</v>
      </c>
      <c r="C9" s="185">
        <v>3</v>
      </c>
      <c r="D9" s="185">
        <v>4</v>
      </c>
      <c r="E9" s="185">
        <v>5</v>
      </c>
      <c r="F9" s="185">
        <v>6</v>
      </c>
      <c r="G9" s="186">
        <v>7</v>
      </c>
      <c r="H9" s="186">
        <v>8</v>
      </c>
      <c r="I9" s="185">
        <v>9</v>
      </c>
      <c r="J9" s="185">
        <v>10</v>
      </c>
      <c r="K9" s="185">
        <v>11</v>
      </c>
      <c r="L9" s="185">
        <v>12</v>
      </c>
      <c r="M9" s="185">
        <v>13</v>
      </c>
      <c r="N9" s="185">
        <v>14</v>
      </c>
      <c r="O9" s="185">
        <v>15</v>
      </c>
      <c r="P9" s="185">
        <v>16</v>
      </c>
      <c r="Q9" s="185">
        <v>17</v>
      </c>
      <c r="R9" s="185">
        <v>18</v>
      </c>
    </row>
    <row r="10" spans="1:18" ht="15" thickBot="1">
      <c r="A10" s="187"/>
      <c r="B10" s="188"/>
      <c r="C10" s="188"/>
      <c r="D10" s="188"/>
      <c r="E10" s="188"/>
      <c r="F10" s="187"/>
      <c r="G10" s="187"/>
      <c r="H10" s="187"/>
      <c r="I10" s="187"/>
      <c r="J10" s="187"/>
      <c r="K10" s="187"/>
      <c r="L10" s="187"/>
      <c r="M10" s="187"/>
      <c r="N10" s="187"/>
      <c r="O10" s="187"/>
      <c r="P10" s="187"/>
      <c r="Q10" s="187"/>
      <c r="R10" s="187"/>
    </row>
    <row r="11" spans="1:18" ht="15" thickBot="1">
      <c r="A11" s="189"/>
      <c r="B11" s="64" t="s">
        <v>98</v>
      </c>
      <c r="C11" s="65"/>
      <c r="D11" s="65"/>
      <c r="E11" s="66"/>
      <c r="F11" s="424">
        <f>Master!F10</f>
        <v>44652</v>
      </c>
      <c r="G11" s="190"/>
      <c r="H11" s="187"/>
      <c r="I11" s="187"/>
      <c r="J11" s="187"/>
      <c r="K11" s="187"/>
      <c r="L11" s="187"/>
      <c r="M11" s="187"/>
      <c r="N11" s="187"/>
      <c r="O11" s="187"/>
      <c r="P11" s="187"/>
      <c r="Q11" s="187"/>
      <c r="R11" s="187"/>
    </row>
    <row r="12" spans="1:18">
      <c r="A12" s="187"/>
      <c r="B12" s="58"/>
      <c r="C12" s="58"/>
      <c r="D12" s="58"/>
      <c r="E12" s="58"/>
      <c r="F12" s="187"/>
      <c r="G12" s="187"/>
      <c r="H12" s="187"/>
      <c r="I12" s="187"/>
      <c r="J12" s="187"/>
      <c r="K12" s="187"/>
      <c r="L12" s="187"/>
      <c r="M12" s="187"/>
      <c r="N12" s="187"/>
      <c r="O12" s="187"/>
      <c r="P12" s="187"/>
      <c r="Q12" s="187"/>
      <c r="R12" s="187"/>
    </row>
    <row r="13" spans="1:18">
      <c r="A13" s="187"/>
      <c r="B13" s="187"/>
      <c r="C13" s="187"/>
      <c r="D13" s="187"/>
      <c r="E13" s="187"/>
      <c r="F13" s="187"/>
      <c r="G13" s="187"/>
      <c r="H13" s="187"/>
      <c r="I13" s="187"/>
      <c r="J13" s="187"/>
      <c r="K13" s="187"/>
      <c r="L13" s="187"/>
      <c r="M13" s="187"/>
      <c r="N13" s="187"/>
      <c r="O13" s="187"/>
      <c r="P13" s="187"/>
      <c r="Q13" s="187"/>
      <c r="R13" s="187"/>
    </row>
    <row r="14" spans="1:18">
      <c r="A14" s="187"/>
      <c r="B14" s="187"/>
      <c r="C14" s="187"/>
      <c r="D14" s="187"/>
      <c r="E14" s="187"/>
      <c r="F14" s="187"/>
      <c r="G14" s="187"/>
      <c r="H14" s="187"/>
      <c r="I14" s="187"/>
      <c r="J14" s="187"/>
      <c r="K14" s="187"/>
      <c r="L14" s="187"/>
      <c r="M14" s="187"/>
      <c r="N14" s="187"/>
      <c r="O14" s="187"/>
      <c r="P14" s="187"/>
      <c r="Q14" s="187"/>
      <c r="R14" s="187"/>
    </row>
    <row r="15" spans="1:18">
      <c r="A15" s="187"/>
      <c r="B15" s="187"/>
      <c r="C15" s="187"/>
      <c r="D15" s="187"/>
      <c r="E15" s="187"/>
      <c r="F15" s="187"/>
      <c r="G15" s="187"/>
      <c r="H15" s="187"/>
      <c r="I15" s="187"/>
      <c r="J15" s="187"/>
      <c r="K15" s="187"/>
      <c r="L15" s="187"/>
      <c r="M15" s="187"/>
      <c r="N15" s="187"/>
      <c r="O15" s="187"/>
      <c r="P15" s="187"/>
      <c r="Q15" s="187"/>
      <c r="R15" s="187"/>
    </row>
    <row r="16" spans="1:18">
      <c r="A16" s="187"/>
      <c r="B16" s="187"/>
      <c r="C16" s="187"/>
      <c r="D16" s="187"/>
      <c r="E16" s="187"/>
      <c r="F16" s="187"/>
      <c r="G16" s="187"/>
      <c r="H16" s="187"/>
      <c r="I16" s="187"/>
      <c r="J16" s="187"/>
      <c r="K16" s="187"/>
      <c r="L16" s="187"/>
      <c r="M16" s="187"/>
      <c r="N16" s="187"/>
      <c r="O16" s="187"/>
      <c r="P16" s="187"/>
      <c r="Q16" s="187"/>
      <c r="R16" s="187"/>
    </row>
    <row r="17" spans="1:18">
      <c r="A17" s="187"/>
      <c r="B17" s="187"/>
      <c r="C17" s="187"/>
      <c r="D17" s="187"/>
      <c r="E17" s="187"/>
      <c r="F17" s="187"/>
      <c r="G17" s="187"/>
      <c r="H17" s="187"/>
      <c r="I17" s="187"/>
      <c r="J17" s="187"/>
      <c r="K17" s="187"/>
      <c r="L17" s="187"/>
      <c r="M17" s="187"/>
      <c r="N17" s="187"/>
      <c r="O17" s="187"/>
      <c r="P17" s="187"/>
      <c r="Q17" s="187"/>
      <c r="R17" s="187"/>
    </row>
    <row r="18" spans="1:18">
      <c r="A18" s="187"/>
      <c r="B18" s="187"/>
      <c r="C18" s="187"/>
      <c r="D18" s="187"/>
      <c r="E18" s="187"/>
      <c r="F18" s="187"/>
      <c r="G18" s="187"/>
      <c r="H18" s="187"/>
      <c r="I18" s="187"/>
      <c r="J18" s="187"/>
      <c r="K18" s="187"/>
      <c r="L18" s="187"/>
      <c r="M18" s="187"/>
      <c r="N18" s="187"/>
      <c r="O18" s="187"/>
      <c r="P18" s="187"/>
      <c r="Q18" s="187"/>
      <c r="R18" s="187"/>
    </row>
    <row r="19" spans="1:18" ht="15" thickBot="1">
      <c r="A19" s="187"/>
      <c r="B19" s="187"/>
      <c r="C19" s="187"/>
      <c r="D19" s="187"/>
      <c r="E19" s="187"/>
      <c r="F19" s="187"/>
      <c r="G19" s="187"/>
      <c r="H19" s="187"/>
      <c r="I19" s="187"/>
      <c r="J19" s="187"/>
      <c r="K19" s="187"/>
      <c r="L19" s="72" t="s">
        <v>29</v>
      </c>
      <c r="M19" s="187"/>
      <c r="N19" s="187"/>
      <c r="O19" s="187"/>
      <c r="P19" s="187"/>
      <c r="Q19" s="187"/>
      <c r="R19" s="187"/>
    </row>
    <row r="20" spans="1:18">
      <c r="A20" s="187"/>
      <c r="B20" s="187"/>
      <c r="C20" s="187"/>
      <c r="D20" s="187"/>
      <c r="E20" s="187"/>
      <c r="F20" s="187"/>
      <c r="G20" s="187"/>
      <c r="H20" s="187"/>
      <c r="I20" s="187"/>
      <c r="J20" s="187"/>
      <c r="K20" s="187"/>
      <c r="L20" s="187"/>
      <c r="M20" s="187"/>
      <c r="N20" s="187"/>
      <c r="O20" s="187"/>
      <c r="P20" s="187"/>
      <c r="Q20" s="187"/>
      <c r="R20" s="187"/>
    </row>
  </sheetData>
  <protectedRanges>
    <protectedRange password="CA4D" sqref="A5:E5 A8:R8 A6:A7 N6 A1:R4 C6:M7 O6:R7" name="Range1_5"/>
    <protectedRange password="CA4D" sqref="F5:R5" name="Range1_4_1"/>
    <protectedRange password="CA4D" sqref="B6:B7" name="Range1_3_1"/>
  </protectedRanges>
  <mergeCells count="18">
    <mergeCell ref="R6:R7"/>
    <mergeCell ref="G7:G8"/>
    <mergeCell ref="F6:F8"/>
    <mergeCell ref="H6:H8"/>
    <mergeCell ref="P6:P7"/>
    <mergeCell ref="Q6:Q7"/>
    <mergeCell ref="I6:M7"/>
    <mergeCell ref="N6:N7"/>
    <mergeCell ref="A6:A8"/>
    <mergeCell ref="B6:B8"/>
    <mergeCell ref="C6:C8"/>
    <mergeCell ref="D6:D8"/>
    <mergeCell ref="E6:E8"/>
    <mergeCell ref="A1:R1"/>
    <mergeCell ref="A2:R2"/>
    <mergeCell ref="A3:R3"/>
    <mergeCell ref="B4:R4"/>
    <mergeCell ref="A5:E5"/>
  </mergeCells>
  <pageMargins left="0.56999999999999995" right="0.25" top="0.75" bottom="0.75" header="0.28999999999999998" footer="0.3"/>
  <pageSetup paperSize="9" scale="72" orientation="landscape" verticalDpi="300" r:id="rId1"/>
</worksheet>
</file>

<file path=xl/worksheets/sheet18.xml><?xml version="1.0" encoding="utf-8"?>
<worksheet xmlns="http://schemas.openxmlformats.org/spreadsheetml/2006/main" xmlns:r="http://schemas.openxmlformats.org/officeDocument/2006/relationships">
  <dimension ref="A1:L26"/>
  <sheetViews>
    <sheetView view="pageBreakPreview" zoomScaleSheetLayoutView="100" workbookViewId="0">
      <selection activeCell="E12" sqref="E12"/>
    </sheetView>
  </sheetViews>
  <sheetFormatPr defaultRowHeight="14.4"/>
  <cols>
    <col min="1" max="4" width="9.33203125" bestFit="1" customWidth="1"/>
    <col min="5" max="5" width="33.88671875" customWidth="1"/>
    <col min="6" max="6" width="9.44140625" bestFit="1" customWidth="1"/>
    <col min="7" max="7" width="11.109375" customWidth="1"/>
    <col min="8" max="11" width="9.33203125" bestFit="1" customWidth="1"/>
    <col min="12" max="12" width="10.44140625" customWidth="1"/>
  </cols>
  <sheetData>
    <row r="1" spans="1:12" ht="47.4" customHeight="1">
      <c r="A1" s="1159" t="s">
        <v>1078</v>
      </c>
      <c r="B1" s="1160"/>
      <c r="C1" s="1160"/>
      <c r="D1" s="1160"/>
      <c r="E1" s="1160"/>
      <c r="F1" s="1160"/>
      <c r="G1" s="1160"/>
      <c r="H1" s="1160"/>
      <c r="I1" s="1160"/>
      <c r="J1" s="1160"/>
      <c r="K1" s="1160"/>
      <c r="L1" s="1161"/>
    </row>
    <row r="2" spans="1:12" ht="15" customHeight="1">
      <c r="A2" s="262" t="s">
        <v>1079</v>
      </c>
      <c r="B2" s="254"/>
      <c r="C2" s="255"/>
      <c r="D2" s="341"/>
      <c r="E2" s="255"/>
      <c r="F2" s="189"/>
      <c r="G2" s="254"/>
      <c r="H2" s="254"/>
      <c r="I2" s="254"/>
      <c r="J2" s="254"/>
      <c r="K2" s="254"/>
      <c r="L2" s="263"/>
    </row>
    <row r="3" spans="1:12">
      <c r="A3" s="262" t="s">
        <v>1080</v>
      </c>
      <c r="B3" s="254"/>
      <c r="C3" s="254"/>
      <c r="D3" s="254"/>
      <c r="E3" s="255"/>
      <c r="F3" s="341" t="s">
        <v>222</v>
      </c>
      <c r="G3" s="254"/>
      <c r="H3" s="254"/>
      <c r="I3" s="254"/>
      <c r="J3" s="254"/>
      <c r="K3" s="254"/>
      <c r="L3" s="255"/>
    </row>
    <row r="4" spans="1:12">
      <c r="A4" s="262"/>
      <c r="B4" s="254"/>
      <c r="C4" s="254"/>
      <c r="D4" s="254"/>
      <c r="E4" s="255"/>
      <c r="F4" s="35"/>
      <c r="G4" s="36"/>
      <c r="H4" s="36"/>
      <c r="I4" s="36"/>
      <c r="J4" s="36"/>
      <c r="K4" s="36"/>
      <c r="L4" s="87"/>
    </row>
    <row r="5" spans="1:12">
      <c r="A5" s="264" t="s">
        <v>1081</v>
      </c>
      <c r="B5" s="30"/>
      <c r="C5" s="30"/>
      <c r="D5" s="30"/>
      <c r="E5" s="31"/>
      <c r="F5" s="38"/>
      <c r="G5" s="30"/>
      <c r="H5" s="30"/>
      <c r="I5" s="30"/>
      <c r="J5" s="30"/>
      <c r="K5" s="30"/>
      <c r="L5" s="85"/>
    </row>
    <row r="6" spans="1:12">
      <c r="A6" s="265"/>
      <c r="B6" s="257"/>
      <c r="C6" s="257"/>
      <c r="D6" s="257"/>
      <c r="E6" s="34"/>
      <c r="F6" s="39" t="str">
        <f>Master!AN10</f>
        <v>INDIAN SCHOOL OF BUSINESS</v>
      </c>
      <c r="G6" s="257"/>
      <c r="H6" s="257"/>
      <c r="I6" s="257"/>
      <c r="J6" s="257"/>
      <c r="K6" s="257"/>
      <c r="L6" s="86"/>
    </row>
    <row r="7" spans="1:12">
      <c r="A7" s="265"/>
      <c r="B7" s="257"/>
      <c r="C7" s="257"/>
      <c r="D7" s="257"/>
      <c r="E7" s="34"/>
      <c r="F7" s="32" t="str">
        <f>Master!AN11</f>
        <v>Opp.Infosys Limited,Gachibowli,Hyderabad</v>
      </c>
      <c r="G7" s="257"/>
      <c r="H7" s="257"/>
      <c r="I7" s="257"/>
      <c r="J7" s="257"/>
      <c r="K7" s="257"/>
      <c r="L7" s="86"/>
    </row>
    <row r="8" spans="1:12" ht="15" thickBot="1">
      <c r="A8" s="265"/>
      <c r="B8" s="257"/>
      <c r="C8" s="257"/>
      <c r="D8" s="257"/>
      <c r="E8" s="34"/>
      <c r="F8" s="32"/>
      <c r="G8" s="257"/>
      <c r="H8" s="257"/>
      <c r="I8" s="257"/>
      <c r="J8" s="257"/>
      <c r="K8" s="257"/>
      <c r="L8" s="86"/>
    </row>
    <row r="9" spans="1:12" ht="24.75" customHeight="1">
      <c r="A9" s="1192" t="s">
        <v>1082</v>
      </c>
      <c r="B9" s="1193"/>
      <c r="C9" s="1193"/>
      <c r="D9" s="1193"/>
      <c r="E9" s="1193"/>
      <c r="F9" s="1193"/>
      <c r="G9" s="1193"/>
      <c r="H9" s="1193"/>
      <c r="I9" s="1193"/>
      <c r="J9" s="1193"/>
      <c r="K9" s="1193"/>
      <c r="L9" s="1194"/>
    </row>
    <row r="10" spans="1:12" ht="20.100000000000001" customHeight="1">
      <c r="A10" s="189"/>
      <c r="B10" s="254"/>
      <c r="C10" s="254"/>
      <c r="D10" s="254"/>
      <c r="E10" s="254"/>
      <c r="F10" s="254"/>
      <c r="G10" s="254"/>
      <c r="H10" s="254"/>
      <c r="I10" s="254"/>
      <c r="J10" s="254"/>
      <c r="K10" s="254"/>
      <c r="L10" s="255"/>
    </row>
    <row r="11" spans="1:12" ht="20.100000000000001" customHeight="1">
      <c r="A11" s="189"/>
      <c r="B11" s="254"/>
      <c r="C11" s="254"/>
      <c r="D11" s="254"/>
      <c r="E11" s="254"/>
      <c r="F11" s="254"/>
      <c r="G11" s="254"/>
      <c r="H11" s="254"/>
      <c r="I11" s="254"/>
      <c r="J11" s="254"/>
      <c r="K11" s="254"/>
      <c r="L11" s="255"/>
    </row>
    <row r="12" spans="1:12" ht="20.100000000000001" customHeight="1">
      <c r="A12" s="189"/>
      <c r="B12" s="254"/>
      <c r="C12" s="254"/>
      <c r="D12" s="254"/>
      <c r="E12" s="254"/>
      <c r="F12" s="254"/>
      <c r="G12" s="254"/>
      <c r="H12" s="254"/>
      <c r="I12" s="254"/>
      <c r="J12" s="254"/>
      <c r="K12" s="254"/>
      <c r="L12" s="255"/>
    </row>
    <row r="13" spans="1:12" ht="20.100000000000001" customHeight="1">
      <c r="A13" s="189"/>
      <c r="B13" s="254"/>
      <c r="C13" s="254"/>
      <c r="D13" s="254"/>
      <c r="E13" s="254"/>
      <c r="F13" s="254"/>
      <c r="G13" s="254"/>
      <c r="H13" s="254"/>
      <c r="I13" s="254"/>
      <c r="J13" s="254"/>
      <c r="K13" s="254"/>
      <c r="L13" s="255"/>
    </row>
    <row r="14" spans="1:12" ht="20.100000000000001" customHeight="1">
      <c r="A14" s="189"/>
      <c r="B14" s="254"/>
      <c r="C14" s="254"/>
      <c r="D14" s="254"/>
      <c r="E14" s="254"/>
      <c r="F14" s="254"/>
      <c r="G14" s="254"/>
      <c r="H14" s="254"/>
      <c r="I14" s="254"/>
      <c r="J14" s="254"/>
      <c r="K14" s="254"/>
      <c r="L14" s="255"/>
    </row>
    <row r="15" spans="1:12" ht="20.100000000000001" customHeight="1">
      <c r="A15" s="189"/>
      <c r="B15" s="254"/>
      <c r="C15" s="254"/>
      <c r="D15" s="254"/>
      <c r="E15" s="254"/>
      <c r="F15" s="254"/>
      <c r="G15" s="254"/>
      <c r="H15" s="254"/>
      <c r="I15" s="254"/>
      <c r="J15" s="254"/>
      <c r="K15" s="254"/>
      <c r="L15" s="255"/>
    </row>
    <row r="16" spans="1:12" ht="20.100000000000001" customHeight="1">
      <c r="A16" s="189"/>
      <c r="B16" s="254"/>
      <c r="C16" s="254"/>
      <c r="D16" s="254"/>
      <c r="E16" s="254"/>
      <c r="F16" s="254"/>
      <c r="G16" s="254"/>
      <c r="H16" s="254"/>
      <c r="I16" s="254"/>
      <c r="J16" s="254"/>
      <c r="K16" s="254"/>
      <c r="L16" s="255"/>
    </row>
    <row r="17" spans="1:12" ht="20.100000000000001" customHeight="1">
      <c r="A17" s="189"/>
      <c r="B17" s="254"/>
      <c r="C17" s="254"/>
      <c r="D17" s="254"/>
      <c r="E17" s="254"/>
      <c r="F17" s="254"/>
      <c r="G17" s="254"/>
      <c r="H17" s="254"/>
      <c r="I17" s="254"/>
      <c r="J17" s="254"/>
      <c r="K17" s="254"/>
      <c r="L17" s="255"/>
    </row>
    <row r="18" spans="1:12" ht="20.100000000000001" customHeight="1">
      <c r="A18" s="189"/>
      <c r="B18" s="254"/>
      <c r="C18" s="254"/>
      <c r="D18" s="254"/>
      <c r="E18" s="254"/>
      <c r="F18" s="254"/>
      <c r="G18" s="254"/>
      <c r="H18" s="254"/>
      <c r="I18" s="254"/>
      <c r="J18" s="254"/>
      <c r="K18" s="254"/>
      <c r="L18" s="255"/>
    </row>
    <row r="19" spans="1:12" ht="20.100000000000001" customHeight="1">
      <c r="A19" s="189"/>
      <c r="B19" s="254"/>
      <c r="C19" s="254"/>
      <c r="D19" s="254"/>
      <c r="E19" s="254"/>
      <c r="F19" s="254"/>
      <c r="G19" s="254"/>
      <c r="H19" s="254"/>
      <c r="I19" s="254"/>
      <c r="J19" s="254"/>
      <c r="K19" s="254"/>
      <c r="L19" s="255"/>
    </row>
    <row r="20" spans="1:12" ht="20.100000000000001" customHeight="1">
      <c r="A20" s="189"/>
      <c r="B20" s="254"/>
      <c r="C20" s="254"/>
      <c r="D20" s="254"/>
      <c r="E20" s="254"/>
      <c r="F20" s="254"/>
      <c r="G20" s="254"/>
      <c r="H20" s="254"/>
      <c r="I20" s="254"/>
      <c r="J20" s="254"/>
      <c r="K20" s="254"/>
      <c r="L20" s="255"/>
    </row>
    <row r="21" spans="1:12" ht="20.100000000000001" customHeight="1">
      <c r="A21" s="189"/>
      <c r="B21" s="254"/>
      <c r="C21" s="254"/>
      <c r="D21" s="254"/>
      <c r="E21" s="254"/>
      <c r="F21" s="254"/>
      <c r="G21" s="254"/>
      <c r="H21" s="254"/>
      <c r="I21" s="254"/>
      <c r="J21" s="254"/>
      <c r="K21" s="254"/>
      <c r="L21" s="255"/>
    </row>
    <row r="22" spans="1:12" ht="20.100000000000001" customHeight="1">
      <c r="A22" s="189"/>
      <c r="B22" s="254"/>
      <c r="C22" s="254"/>
      <c r="D22" s="254"/>
      <c r="E22" s="254"/>
      <c r="F22" s="254"/>
      <c r="G22" s="254"/>
      <c r="H22" s="254"/>
      <c r="I22" s="254"/>
      <c r="J22" s="254"/>
      <c r="K22" s="254"/>
      <c r="L22" s="255"/>
    </row>
    <row r="23" spans="1:12" ht="20.100000000000001" customHeight="1">
      <c r="A23" s="189"/>
      <c r="B23" s="254"/>
      <c r="C23" s="254"/>
      <c r="D23" s="254"/>
      <c r="E23" s="254"/>
      <c r="F23" s="254"/>
      <c r="G23" s="254"/>
      <c r="H23" s="254"/>
      <c r="I23" s="254"/>
      <c r="J23" s="254"/>
      <c r="K23" s="254"/>
      <c r="L23" s="255"/>
    </row>
    <row r="24" spans="1:12" ht="20.100000000000001" customHeight="1">
      <c r="A24" s="189"/>
      <c r="B24" s="254"/>
      <c r="C24" s="254"/>
      <c r="D24" s="254"/>
      <c r="E24" s="254"/>
      <c r="F24" s="254"/>
      <c r="G24" s="254"/>
      <c r="H24" s="254"/>
      <c r="I24" s="254"/>
      <c r="J24" s="254"/>
      <c r="K24" s="254"/>
      <c r="L24" s="255"/>
    </row>
    <row r="25" spans="1:12" ht="20.100000000000001" customHeight="1">
      <c r="A25" s="189"/>
      <c r="B25" s="254"/>
      <c r="C25" s="254"/>
      <c r="D25" s="254"/>
      <c r="E25" s="254"/>
      <c r="F25" s="254"/>
      <c r="G25" s="254"/>
      <c r="H25" s="254"/>
      <c r="I25" s="254"/>
      <c r="J25" s="254"/>
      <c r="K25" s="254"/>
      <c r="L25" s="255"/>
    </row>
    <row r="26" spans="1:12" ht="15" thickBot="1">
      <c r="A26" s="27"/>
      <c r="B26" s="25"/>
      <c r="C26" s="25"/>
      <c r="D26" s="25"/>
      <c r="E26" s="25"/>
      <c r="F26" s="25"/>
      <c r="G26" s="25"/>
      <c r="H26" s="25"/>
      <c r="I26" s="25"/>
      <c r="J26" s="25"/>
      <c r="K26" s="25"/>
      <c r="L26" s="26"/>
    </row>
  </sheetData>
  <protectedRanges>
    <protectedRange password="CA4D" sqref="A2:E2 A4:E8 A3 E3 A1:L1 A9:L9" name="Range1"/>
    <protectedRange password="CA4D" sqref="F2:L4" name="Range1_2"/>
    <protectedRange password="CA4D" sqref="F5:L8" name="Range1_4"/>
    <protectedRange password="CA4D" sqref="B3:D3" name="Range1_1"/>
  </protectedRanges>
  <mergeCells count="2">
    <mergeCell ref="A9:L9"/>
    <mergeCell ref="A1:L1"/>
  </mergeCells>
  <pageMargins left="1" right="0.25" top="0.75" bottom="0.75" header="0.3" footer="0.3"/>
  <pageSetup paperSize="9" scale="90" orientation="landscape" verticalDpi="300" r:id="rId1"/>
</worksheet>
</file>

<file path=xl/worksheets/sheet19.xml><?xml version="1.0" encoding="utf-8"?>
<worksheet xmlns="http://schemas.openxmlformats.org/spreadsheetml/2006/main" xmlns:r="http://schemas.openxmlformats.org/officeDocument/2006/relationships">
  <dimension ref="A1:K51"/>
  <sheetViews>
    <sheetView topLeftCell="A28" workbookViewId="0">
      <selection activeCell="C45" sqref="C45"/>
    </sheetView>
  </sheetViews>
  <sheetFormatPr defaultColWidth="31.109375" defaultRowHeight="14.4"/>
  <cols>
    <col min="1" max="1" width="16.5546875" customWidth="1"/>
    <col min="2" max="2" width="30.44140625" customWidth="1"/>
    <col min="3" max="3" width="19.33203125" customWidth="1"/>
    <col min="4" max="4" width="18.88671875" customWidth="1"/>
    <col min="5" max="5" width="16.109375" customWidth="1"/>
    <col min="6" max="6" width="18.33203125" customWidth="1"/>
    <col min="7" max="7" width="21.88671875" customWidth="1"/>
    <col min="8" max="8" width="20.44140625" customWidth="1"/>
    <col min="9" max="9" width="20.88671875" customWidth="1"/>
    <col min="10" max="10" width="15" customWidth="1"/>
    <col min="11" max="11" width="22.44140625" customWidth="1"/>
  </cols>
  <sheetData>
    <row r="1" spans="1:11" ht="47.4" customHeight="1">
      <c r="A1" s="818" t="s">
        <v>754</v>
      </c>
      <c r="B1" s="818" t="s">
        <v>755</v>
      </c>
      <c r="C1" s="818" t="s">
        <v>756</v>
      </c>
      <c r="D1" s="818" t="s">
        <v>757</v>
      </c>
      <c r="E1" s="818" t="s">
        <v>758</v>
      </c>
      <c r="F1" s="818" t="s">
        <v>759</v>
      </c>
      <c r="G1" s="818" t="s">
        <v>760</v>
      </c>
      <c r="H1" s="818" t="s">
        <v>761</v>
      </c>
      <c r="I1" s="818" t="s">
        <v>762</v>
      </c>
      <c r="J1" s="818" t="s">
        <v>763</v>
      </c>
      <c r="K1" s="818" t="s">
        <v>764</v>
      </c>
    </row>
    <row r="2" spans="1:11">
      <c r="A2" s="180" t="str">
        <f>Master!X15</f>
        <v>N/A</v>
      </c>
      <c r="B2" s="661" t="str">
        <f>Master!Z15</f>
        <v>ARJUN KUMAR</v>
      </c>
      <c r="C2" s="180">
        <f>Master!AK15</f>
        <v>20000</v>
      </c>
      <c r="D2" s="180">
        <f>100*Master!AM15/12</f>
        <v>0</v>
      </c>
      <c r="E2" s="180">
        <f t="shared" ref="E2:F21" si="0">D2</f>
        <v>0</v>
      </c>
      <c r="F2" s="180">
        <f t="shared" si="0"/>
        <v>0</v>
      </c>
      <c r="G2" s="136">
        <f>ROUND(D2*12/100,0)</f>
        <v>0</v>
      </c>
      <c r="H2" s="136">
        <f>ROUND(E2*8.33/100,0)</f>
        <v>0</v>
      </c>
      <c r="I2" s="136">
        <f>G2-H2</f>
        <v>0</v>
      </c>
      <c r="J2" s="890">
        <f>30-Master!AA15</f>
        <v>0</v>
      </c>
      <c r="K2" s="136">
        <v>0</v>
      </c>
    </row>
    <row r="3" spans="1:11">
      <c r="A3" s="180" t="str">
        <f>Master!X16</f>
        <v>101252819921</v>
      </c>
      <c r="B3" s="661" t="str">
        <f>Master!Z16</f>
        <v>GAJAN SINGH</v>
      </c>
      <c r="C3" s="180">
        <f>Master!AK16</f>
        <v>14900</v>
      </c>
      <c r="D3" s="180">
        <f>100*Master!AM16/12</f>
        <v>14900</v>
      </c>
      <c r="E3" s="180">
        <f t="shared" si="0"/>
        <v>14900</v>
      </c>
      <c r="F3" s="180">
        <f t="shared" si="0"/>
        <v>14900</v>
      </c>
      <c r="G3" s="136">
        <f t="shared" ref="G3:G51" si="1">ROUND(D3*12/100,0)</f>
        <v>1788</v>
      </c>
      <c r="H3" s="136">
        <f t="shared" ref="H3:H51" si="2">ROUND(E3*8.33/100,0)</f>
        <v>1241</v>
      </c>
      <c r="I3" s="136">
        <f t="shared" ref="I3:I51" si="3">G3-H3</f>
        <v>547</v>
      </c>
      <c r="J3" s="890">
        <f>30-Master!AA16</f>
        <v>0</v>
      </c>
      <c r="K3" s="136">
        <v>0</v>
      </c>
    </row>
    <row r="4" spans="1:11">
      <c r="A4" s="180" t="str">
        <f>Master!X17</f>
        <v>100025787555</v>
      </c>
      <c r="B4" s="661" t="str">
        <f>Master!Z17</f>
        <v>GUDALA RUSHESHWAR SWAMY</v>
      </c>
      <c r="C4" s="180">
        <f>Master!AK17</f>
        <v>17918</v>
      </c>
      <c r="D4" s="180">
        <f>100*Master!AM17/12</f>
        <v>13200</v>
      </c>
      <c r="E4" s="180">
        <f t="shared" si="0"/>
        <v>13200</v>
      </c>
      <c r="F4" s="180">
        <f t="shared" si="0"/>
        <v>13200</v>
      </c>
      <c r="G4" s="136">
        <f t="shared" si="1"/>
        <v>1584</v>
      </c>
      <c r="H4" s="136">
        <f t="shared" si="2"/>
        <v>1100</v>
      </c>
      <c r="I4" s="136">
        <f t="shared" si="3"/>
        <v>484</v>
      </c>
      <c r="J4" s="890">
        <f>30-Master!AA17</f>
        <v>0</v>
      </c>
      <c r="K4" s="136">
        <v>0</v>
      </c>
    </row>
    <row r="5" spans="1:11">
      <c r="A5" s="180" t="str">
        <f>Master!X18</f>
        <v>101335495091</v>
      </c>
      <c r="B5" s="661" t="str">
        <f>Master!Z18</f>
        <v xml:space="preserve">KASALA NARSIMLU </v>
      </c>
      <c r="C5" s="180">
        <f>Master!AK18</f>
        <v>11919.599999999999</v>
      </c>
      <c r="D5" s="180">
        <f>100*Master!AM18/12</f>
        <v>11916.666666666666</v>
      </c>
      <c r="E5" s="180">
        <f t="shared" si="0"/>
        <v>11916.666666666666</v>
      </c>
      <c r="F5" s="180">
        <f t="shared" si="0"/>
        <v>11916.666666666666</v>
      </c>
      <c r="G5" s="136">
        <f t="shared" si="1"/>
        <v>1430</v>
      </c>
      <c r="H5" s="136">
        <f t="shared" si="2"/>
        <v>993</v>
      </c>
      <c r="I5" s="136">
        <f t="shared" si="3"/>
        <v>437</v>
      </c>
      <c r="J5" s="890">
        <f>30-Master!AA18</f>
        <v>4</v>
      </c>
      <c r="K5" s="136">
        <v>0</v>
      </c>
    </row>
    <row r="6" spans="1:11">
      <c r="A6" s="180" t="str">
        <f>Master!X19</f>
        <v>101423797426</v>
      </c>
      <c r="B6" s="661" t="str">
        <f>Master!Z19</f>
        <v>PITANI SATHYA NARAYANA</v>
      </c>
      <c r="C6" s="180">
        <f>Master!AK19</f>
        <v>9932.4666666666653</v>
      </c>
      <c r="D6" s="180">
        <f>100*Master!AM19/12</f>
        <v>9933.3333333333339</v>
      </c>
      <c r="E6" s="180">
        <f t="shared" si="0"/>
        <v>9933.3333333333339</v>
      </c>
      <c r="F6" s="180">
        <f t="shared" si="0"/>
        <v>9933.3333333333339</v>
      </c>
      <c r="G6" s="136">
        <f t="shared" si="1"/>
        <v>1192</v>
      </c>
      <c r="H6" s="136">
        <f t="shared" si="2"/>
        <v>827</v>
      </c>
      <c r="I6" s="136">
        <f t="shared" si="3"/>
        <v>365</v>
      </c>
      <c r="J6" s="890">
        <f>30-Master!AA19</f>
        <v>4</v>
      </c>
      <c r="K6" s="136">
        <v>0</v>
      </c>
    </row>
    <row r="7" spans="1:11">
      <c r="A7" s="180" t="str">
        <f>Master!X20</f>
        <v>100321400080</v>
      </c>
      <c r="B7" s="661" t="str">
        <f>Master!Z20</f>
        <v>SANGOLLA ASHOK</v>
      </c>
      <c r="C7" s="180">
        <f>Master!AK20</f>
        <v>9932.4666666666653</v>
      </c>
      <c r="D7" s="180">
        <f>100*Master!AM20/12</f>
        <v>9933.3333333333339</v>
      </c>
      <c r="E7" s="180">
        <f t="shared" si="0"/>
        <v>9933.3333333333339</v>
      </c>
      <c r="F7" s="180">
        <f t="shared" si="0"/>
        <v>9933.3333333333339</v>
      </c>
      <c r="G7" s="136">
        <f t="shared" si="1"/>
        <v>1192</v>
      </c>
      <c r="H7" s="136">
        <f t="shared" si="2"/>
        <v>827</v>
      </c>
      <c r="I7" s="136">
        <f t="shared" si="3"/>
        <v>365</v>
      </c>
      <c r="J7" s="890">
        <f>30-Master!AA20</f>
        <v>4</v>
      </c>
      <c r="K7" s="136">
        <v>0</v>
      </c>
    </row>
    <row r="8" spans="1:11">
      <c r="A8" s="180" t="str">
        <f>Master!X21</f>
        <v>100807941415</v>
      </c>
      <c r="B8" s="661" t="str">
        <f>Master!Z21</f>
        <v>ASHOK LINGURAM GAIKWAD</v>
      </c>
      <c r="C8" s="180">
        <f>Master!AK21</f>
        <v>9932.4666666666653</v>
      </c>
      <c r="D8" s="180">
        <f>100*Master!AM21/12</f>
        <v>9933.3333333333339</v>
      </c>
      <c r="E8" s="180">
        <f t="shared" si="0"/>
        <v>9933.3333333333339</v>
      </c>
      <c r="F8" s="180">
        <f t="shared" si="0"/>
        <v>9933.3333333333339</v>
      </c>
      <c r="G8" s="136">
        <f t="shared" si="1"/>
        <v>1192</v>
      </c>
      <c r="H8" s="136">
        <f t="shared" si="2"/>
        <v>827</v>
      </c>
      <c r="I8" s="136">
        <f t="shared" si="3"/>
        <v>365</v>
      </c>
      <c r="J8" s="890">
        <f>30-Master!AA21</f>
        <v>4</v>
      </c>
      <c r="K8" s="136">
        <v>0</v>
      </c>
    </row>
    <row r="9" spans="1:11">
      <c r="A9" s="180" t="str">
        <f>Master!X22</f>
        <v>101438575409</v>
      </c>
      <c r="B9" s="661" t="str">
        <f>Master!Z22</f>
        <v>MADHUKAR KAMTAM</v>
      </c>
      <c r="C9" s="180">
        <f>Master!AK22</f>
        <v>9932.4666666666653</v>
      </c>
      <c r="D9" s="180">
        <f>100*Master!AM22/12</f>
        <v>9933.3333333333339</v>
      </c>
      <c r="E9" s="180">
        <f t="shared" si="0"/>
        <v>9933.3333333333339</v>
      </c>
      <c r="F9" s="180">
        <f t="shared" si="0"/>
        <v>9933.3333333333339</v>
      </c>
      <c r="G9" s="136">
        <f t="shared" si="1"/>
        <v>1192</v>
      </c>
      <c r="H9" s="136">
        <f t="shared" si="2"/>
        <v>827</v>
      </c>
      <c r="I9" s="136">
        <f t="shared" si="3"/>
        <v>365</v>
      </c>
      <c r="J9" s="890">
        <f>30-Master!AA22</f>
        <v>4</v>
      </c>
      <c r="K9" s="136">
        <v>0</v>
      </c>
    </row>
    <row r="10" spans="1:11">
      <c r="A10" s="180" t="str">
        <f>Master!X23</f>
        <v>100043556888</v>
      </c>
      <c r="B10" s="661" t="str">
        <f>Master!Z23</f>
        <v>Ningolla Raju</v>
      </c>
      <c r="C10" s="180">
        <f>Master!AK23</f>
        <v>9932.4666666666653</v>
      </c>
      <c r="D10" s="180">
        <f>100*Master!AM23/12</f>
        <v>9933.3333333333339</v>
      </c>
      <c r="E10" s="180">
        <f t="shared" si="0"/>
        <v>9933.3333333333339</v>
      </c>
      <c r="F10" s="180">
        <f t="shared" si="0"/>
        <v>9933.3333333333339</v>
      </c>
      <c r="G10" s="136">
        <f t="shared" si="1"/>
        <v>1192</v>
      </c>
      <c r="H10" s="136">
        <f t="shared" si="2"/>
        <v>827</v>
      </c>
      <c r="I10" s="136">
        <f t="shared" si="3"/>
        <v>365</v>
      </c>
      <c r="J10" s="890">
        <f>30-Master!AA23</f>
        <v>4</v>
      </c>
      <c r="K10" s="136">
        <v>0</v>
      </c>
    </row>
    <row r="11" spans="1:11">
      <c r="A11" s="180" t="str">
        <f>Master!X24</f>
        <v>100993759408</v>
      </c>
      <c r="B11" s="661" t="str">
        <f>Master!Z24</f>
        <v>Nagani pochaiah</v>
      </c>
      <c r="C11" s="180">
        <f>Master!AK24</f>
        <v>9932.4666666666653</v>
      </c>
      <c r="D11" s="180">
        <f>100*Master!AM24/12</f>
        <v>9933.3333333333339</v>
      </c>
      <c r="E11" s="180">
        <f t="shared" si="0"/>
        <v>9933.3333333333339</v>
      </c>
      <c r="F11" s="180">
        <f t="shared" si="0"/>
        <v>9933.3333333333339</v>
      </c>
      <c r="G11" s="136">
        <f t="shared" si="1"/>
        <v>1192</v>
      </c>
      <c r="H11" s="136">
        <f t="shared" si="2"/>
        <v>827</v>
      </c>
      <c r="I11" s="136">
        <f t="shared" si="3"/>
        <v>365</v>
      </c>
      <c r="J11" s="890">
        <f>30-Master!AA24</f>
        <v>4</v>
      </c>
      <c r="K11" s="136">
        <v>0</v>
      </c>
    </row>
    <row r="12" spans="1:11">
      <c r="A12" s="180" t="str">
        <f>Master!X25</f>
        <v>101196116055</v>
      </c>
      <c r="B12" s="661" t="str">
        <f>Master!Z25</f>
        <v>Mutholla Mallesh</v>
      </c>
      <c r="C12" s="180">
        <f>Master!AK25</f>
        <v>9932.4666666666653</v>
      </c>
      <c r="D12" s="180">
        <f>100*Master!AM25/12</f>
        <v>9933.3333333333339</v>
      </c>
      <c r="E12" s="180">
        <f t="shared" si="0"/>
        <v>9933.3333333333339</v>
      </c>
      <c r="F12" s="180">
        <f t="shared" si="0"/>
        <v>9933.3333333333339</v>
      </c>
      <c r="G12" s="136">
        <f t="shared" si="1"/>
        <v>1192</v>
      </c>
      <c r="H12" s="136">
        <f t="shared" si="2"/>
        <v>827</v>
      </c>
      <c r="I12" s="136">
        <f t="shared" si="3"/>
        <v>365</v>
      </c>
      <c r="J12" s="890">
        <f>30-Master!AA25</f>
        <v>4</v>
      </c>
      <c r="K12" s="136">
        <v>0</v>
      </c>
    </row>
    <row r="13" spans="1:11">
      <c r="A13" s="180" t="str">
        <f>Master!X26</f>
        <v>100844389108</v>
      </c>
      <c r="B13" s="661" t="str">
        <f>Master!Z26</f>
        <v>ALIJANA JAYARAMI REDDY</v>
      </c>
      <c r="C13" s="180">
        <f>Master!AK26</f>
        <v>9932.4666666666653</v>
      </c>
      <c r="D13" s="180">
        <f>100*Master!AM26/12</f>
        <v>9933.3333333333339</v>
      </c>
      <c r="E13" s="180">
        <f t="shared" si="0"/>
        <v>9933.3333333333339</v>
      </c>
      <c r="F13" s="180">
        <f t="shared" si="0"/>
        <v>9933.3333333333339</v>
      </c>
      <c r="G13" s="136">
        <f t="shared" si="1"/>
        <v>1192</v>
      </c>
      <c r="H13" s="136">
        <f t="shared" si="2"/>
        <v>827</v>
      </c>
      <c r="I13" s="136">
        <f t="shared" si="3"/>
        <v>365</v>
      </c>
      <c r="J13" s="890">
        <f>30-Master!AA26</f>
        <v>4</v>
      </c>
      <c r="K13" s="136">
        <v>0</v>
      </c>
    </row>
    <row r="14" spans="1:11">
      <c r="A14" s="180" t="str">
        <f>Master!X27</f>
        <v>101554508977</v>
      </c>
      <c r="B14" s="661" t="str">
        <f>Master!Z27</f>
        <v>Kapil</v>
      </c>
      <c r="C14" s="180">
        <f>Master!AK27</f>
        <v>0</v>
      </c>
      <c r="D14" s="180">
        <f>100*Master!AM27/12</f>
        <v>0</v>
      </c>
      <c r="E14" s="180">
        <f t="shared" si="0"/>
        <v>0</v>
      </c>
      <c r="F14" s="180">
        <f t="shared" si="0"/>
        <v>0</v>
      </c>
      <c r="G14" s="136">
        <f t="shared" si="1"/>
        <v>0</v>
      </c>
      <c r="H14" s="136">
        <f t="shared" si="2"/>
        <v>0</v>
      </c>
      <c r="I14" s="136">
        <f t="shared" si="3"/>
        <v>0</v>
      </c>
      <c r="J14" s="890">
        <f>30-Master!AA27</f>
        <v>30</v>
      </c>
      <c r="K14" s="136">
        <v>0</v>
      </c>
    </row>
    <row r="15" spans="1:11">
      <c r="A15" s="180" t="str">
        <f>Master!X28</f>
        <v>101554509007</v>
      </c>
      <c r="B15" s="661" t="str">
        <f>Master!Z28</f>
        <v xml:space="preserve">Bablu kumar </v>
      </c>
      <c r="C15" s="180">
        <f>Master!AK28</f>
        <v>0</v>
      </c>
      <c r="D15" s="180">
        <f>100*Master!AM28/12</f>
        <v>0</v>
      </c>
      <c r="E15" s="180">
        <f t="shared" si="0"/>
        <v>0</v>
      </c>
      <c r="F15" s="180">
        <f t="shared" si="0"/>
        <v>0</v>
      </c>
      <c r="G15" s="136">
        <f t="shared" si="1"/>
        <v>0</v>
      </c>
      <c r="H15" s="136">
        <f t="shared" si="2"/>
        <v>0</v>
      </c>
      <c r="I15" s="136">
        <f t="shared" si="3"/>
        <v>0</v>
      </c>
      <c r="J15" s="890">
        <f>30-Master!AA28</f>
        <v>30</v>
      </c>
      <c r="K15" s="136">
        <v>0</v>
      </c>
    </row>
    <row r="16" spans="1:11">
      <c r="A16" s="180" t="str">
        <f>Master!X29</f>
        <v>101554508996</v>
      </c>
      <c r="B16" s="661" t="str">
        <f>Master!Z29</f>
        <v>Pradeep kumar</v>
      </c>
      <c r="C16" s="180">
        <f>Master!AK29</f>
        <v>0</v>
      </c>
      <c r="D16" s="180">
        <f>100*Master!AM29/12</f>
        <v>0</v>
      </c>
      <c r="E16" s="180">
        <f t="shared" si="0"/>
        <v>0</v>
      </c>
      <c r="F16" s="180">
        <f t="shared" si="0"/>
        <v>0</v>
      </c>
      <c r="G16" s="136">
        <f t="shared" si="1"/>
        <v>0</v>
      </c>
      <c r="H16" s="136">
        <f t="shared" si="2"/>
        <v>0</v>
      </c>
      <c r="I16" s="136">
        <f t="shared" si="3"/>
        <v>0</v>
      </c>
      <c r="J16" s="890">
        <f>30-Master!AA29</f>
        <v>30</v>
      </c>
      <c r="K16" s="136">
        <v>0</v>
      </c>
    </row>
    <row r="17" spans="1:11">
      <c r="A17" s="180" t="str">
        <f>Master!X30</f>
        <v>100201354809</v>
      </c>
      <c r="B17" s="661" t="str">
        <f>Master!Z30</f>
        <v>SHAIK KULSUM BEE</v>
      </c>
      <c r="C17" s="180">
        <f>Master!AK30</f>
        <v>9210.4</v>
      </c>
      <c r="D17" s="180">
        <f>100*Master!AM30/12</f>
        <v>9208.3333333333339</v>
      </c>
      <c r="E17" s="180">
        <f t="shared" si="0"/>
        <v>9208.3333333333339</v>
      </c>
      <c r="F17" s="180">
        <f t="shared" si="0"/>
        <v>9208.3333333333339</v>
      </c>
      <c r="G17" s="136">
        <f t="shared" si="1"/>
        <v>1105</v>
      </c>
      <c r="H17" s="136">
        <f t="shared" si="2"/>
        <v>767</v>
      </c>
      <c r="I17" s="136">
        <f t="shared" si="3"/>
        <v>338</v>
      </c>
      <c r="J17" s="890">
        <f>30-Master!AA30</f>
        <v>4</v>
      </c>
      <c r="K17" s="136">
        <v>0</v>
      </c>
    </row>
    <row r="18" spans="1:11">
      <c r="A18" s="180" t="str">
        <f>Master!X31</f>
        <v>101412580029</v>
      </c>
      <c r="B18" s="661" t="str">
        <f>Master!Z31</f>
        <v>S GOWRI</v>
      </c>
      <c r="C18" s="180">
        <f>Master!AK31</f>
        <v>9210.4</v>
      </c>
      <c r="D18" s="180">
        <f>100*Master!AM31/12</f>
        <v>9208.3333333333339</v>
      </c>
      <c r="E18" s="180">
        <f t="shared" si="0"/>
        <v>9208.3333333333339</v>
      </c>
      <c r="F18" s="180">
        <f t="shared" si="0"/>
        <v>9208.3333333333339</v>
      </c>
      <c r="G18" s="136">
        <f t="shared" si="1"/>
        <v>1105</v>
      </c>
      <c r="H18" s="136">
        <f t="shared" si="2"/>
        <v>767</v>
      </c>
      <c r="I18" s="136">
        <f t="shared" si="3"/>
        <v>338</v>
      </c>
      <c r="J18" s="890">
        <f>30-Master!AA31</f>
        <v>4</v>
      </c>
      <c r="K18" s="136">
        <v>0</v>
      </c>
    </row>
    <row r="19" spans="1:11">
      <c r="A19" s="180" t="str">
        <f>Master!X32</f>
        <v>100146756163</v>
      </c>
      <c r="B19" s="661" t="str">
        <f>Master!Z32</f>
        <v>FARZANA BEGUM</v>
      </c>
      <c r="C19" s="180">
        <f>Master!AK32</f>
        <v>9210.4</v>
      </c>
      <c r="D19" s="180">
        <f>100*Master!AM32/12</f>
        <v>9208.3333333333339</v>
      </c>
      <c r="E19" s="180">
        <f t="shared" si="0"/>
        <v>9208.3333333333339</v>
      </c>
      <c r="F19" s="180">
        <f t="shared" si="0"/>
        <v>9208.3333333333339</v>
      </c>
      <c r="G19" s="136">
        <f t="shared" si="1"/>
        <v>1105</v>
      </c>
      <c r="H19" s="136">
        <f t="shared" si="2"/>
        <v>767</v>
      </c>
      <c r="I19" s="136">
        <f t="shared" si="3"/>
        <v>338</v>
      </c>
      <c r="J19" s="890">
        <f>30-Master!AA32</f>
        <v>4</v>
      </c>
      <c r="K19" s="136">
        <v>0</v>
      </c>
    </row>
    <row r="20" spans="1:11">
      <c r="A20" s="180" t="str">
        <f>Master!X33</f>
        <v>101257341492</v>
      </c>
      <c r="B20" s="661" t="str">
        <f>Master!Z33</f>
        <v>MANAGALI SUHASINI</v>
      </c>
      <c r="C20" s="180">
        <f>Master!AK33</f>
        <v>9210.4</v>
      </c>
      <c r="D20" s="180">
        <f>100*Master!AM33/12</f>
        <v>9208.3333333333339</v>
      </c>
      <c r="E20" s="180">
        <f t="shared" si="0"/>
        <v>9208.3333333333339</v>
      </c>
      <c r="F20" s="180">
        <f t="shared" si="0"/>
        <v>9208.3333333333339</v>
      </c>
      <c r="G20" s="136">
        <f t="shared" si="1"/>
        <v>1105</v>
      </c>
      <c r="H20" s="136">
        <f t="shared" si="2"/>
        <v>767</v>
      </c>
      <c r="I20" s="136">
        <f t="shared" si="3"/>
        <v>338</v>
      </c>
      <c r="J20" s="890">
        <f>30-Master!AA33</f>
        <v>4</v>
      </c>
      <c r="K20" s="136">
        <v>0</v>
      </c>
    </row>
    <row r="21" spans="1:11">
      <c r="A21" s="180" t="str">
        <f>Master!X34</f>
        <v>101421043457</v>
      </c>
      <c r="B21" s="661" t="str">
        <f>Master!Z34</f>
        <v>KONA SUJATHA</v>
      </c>
      <c r="C21" s="180">
        <f>Master!AK34</f>
        <v>9210.4</v>
      </c>
      <c r="D21" s="180">
        <f>100*Master!AM34/12</f>
        <v>9208.3333333333339</v>
      </c>
      <c r="E21" s="180">
        <f t="shared" si="0"/>
        <v>9208.3333333333339</v>
      </c>
      <c r="F21" s="180">
        <f t="shared" si="0"/>
        <v>9208.3333333333339</v>
      </c>
      <c r="G21" s="136">
        <f t="shared" si="1"/>
        <v>1105</v>
      </c>
      <c r="H21" s="136">
        <f t="shared" si="2"/>
        <v>767</v>
      </c>
      <c r="I21" s="136">
        <f t="shared" si="3"/>
        <v>338</v>
      </c>
      <c r="J21" s="890">
        <f>30-Master!AA34</f>
        <v>4</v>
      </c>
      <c r="K21" s="136">
        <v>0</v>
      </c>
    </row>
    <row r="22" spans="1:11">
      <c r="A22" s="180" t="str">
        <f>Master!X35</f>
        <v>101412580017</v>
      </c>
      <c r="B22" s="661" t="str">
        <f>Master!Z35</f>
        <v>GOLLA UMA</v>
      </c>
      <c r="C22" s="180">
        <f>Master!AK35</f>
        <v>9210.4</v>
      </c>
      <c r="D22" s="180">
        <f>100*Master!AM35/12</f>
        <v>9208.3333333333339</v>
      </c>
      <c r="E22" s="180">
        <f t="shared" ref="E22:F41" si="4">D22</f>
        <v>9208.3333333333339</v>
      </c>
      <c r="F22" s="180">
        <f t="shared" si="4"/>
        <v>9208.3333333333339</v>
      </c>
      <c r="G22" s="136">
        <f t="shared" si="1"/>
        <v>1105</v>
      </c>
      <c r="H22" s="136">
        <f t="shared" si="2"/>
        <v>767</v>
      </c>
      <c r="I22" s="136">
        <f t="shared" si="3"/>
        <v>338</v>
      </c>
      <c r="J22" s="890">
        <f>30-Master!AA35</f>
        <v>4</v>
      </c>
      <c r="K22" s="136">
        <v>0</v>
      </c>
    </row>
    <row r="23" spans="1:11">
      <c r="A23" s="180" t="str">
        <f>Master!X36</f>
        <v>100118386595</v>
      </c>
      <c r="B23" s="661" t="str">
        <f>Master!Z36</f>
        <v>SINGARAM BHAGYAMMA</v>
      </c>
      <c r="C23" s="180">
        <f>Master!AK36</f>
        <v>9210.4</v>
      </c>
      <c r="D23" s="180">
        <f>100*Master!AM36/12</f>
        <v>9208.3333333333339</v>
      </c>
      <c r="E23" s="180">
        <f t="shared" si="4"/>
        <v>9208.3333333333339</v>
      </c>
      <c r="F23" s="180">
        <f t="shared" si="4"/>
        <v>9208.3333333333339</v>
      </c>
      <c r="G23" s="136">
        <f t="shared" si="1"/>
        <v>1105</v>
      </c>
      <c r="H23" s="136">
        <f t="shared" si="2"/>
        <v>767</v>
      </c>
      <c r="I23" s="136">
        <f t="shared" si="3"/>
        <v>338</v>
      </c>
      <c r="J23" s="890">
        <f>30-Master!AA36</f>
        <v>4</v>
      </c>
      <c r="K23" s="136">
        <v>0</v>
      </c>
    </row>
    <row r="24" spans="1:11">
      <c r="A24" s="180" t="str">
        <f>Master!X37</f>
        <v>100181240855</v>
      </c>
      <c r="B24" s="661" t="str">
        <f>Master!Z37</f>
        <v>KODICHERLA INDIRAMMA</v>
      </c>
      <c r="C24" s="180">
        <f>Master!AK37</f>
        <v>9210.4</v>
      </c>
      <c r="D24" s="180">
        <f>100*Master!AM37/12</f>
        <v>9208.3333333333339</v>
      </c>
      <c r="E24" s="180">
        <f t="shared" si="4"/>
        <v>9208.3333333333339</v>
      </c>
      <c r="F24" s="180">
        <f t="shared" si="4"/>
        <v>9208.3333333333339</v>
      </c>
      <c r="G24" s="136">
        <f t="shared" si="1"/>
        <v>1105</v>
      </c>
      <c r="H24" s="136">
        <f t="shared" si="2"/>
        <v>767</v>
      </c>
      <c r="I24" s="136">
        <f t="shared" si="3"/>
        <v>338</v>
      </c>
      <c r="J24" s="890">
        <f>30-Master!AA37</f>
        <v>4</v>
      </c>
      <c r="K24" s="136">
        <v>0</v>
      </c>
    </row>
    <row r="25" spans="1:11">
      <c r="A25" s="180" t="str">
        <f>Master!X38</f>
        <v>100993758799</v>
      </c>
      <c r="B25" s="661" t="str">
        <f>Master!Z38</f>
        <v>SANGOLLA LAVANYA</v>
      </c>
      <c r="C25" s="180">
        <f>Master!AK38</f>
        <v>9210.4</v>
      </c>
      <c r="D25" s="180">
        <f>100*Master!AM38/12</f>
        <v>9208.3333333333339</v>
      </c>
      <c r="E25" s="180">
        <f t="shared" si="4"/>
        <v>9208.3333333333339</v>
      </c>
      <c r="F25" s="180">
        <f t="shared" si="4"/>
        <v>9208.3333333333339</v>
      </c>
      <c r="G25" s="136">
        <f t="shared" si="1"/>
        <v>1105</v>
      </c>
      <c r="H25" s="136">
        <f t="shared" si="2"/>
        <v>767</v>
      </c>
      <c r="I25" s="136">
        <f t="shared" si="3"/>
        <v>338</v>
      </c>
      <c r="J25" s="890">
        <f>30-Master!AA38</f>
        <v>4</v>
      </c>
      <c r="K25" s="136">
        <v>0</v>
      </c>
    </row>
    <row r="26" spans="1:11">
      <c r="A26" s="180" t="str">
        <f>Master!X39</f>
        <v>101269710584</v>
      </c>
      <c r="B26" s="661" t="str">
        <f>Master!Z39</f>
        <v>MANGALI LAVANYA</v>
      </c>
      <c r="C26" s="180">
        <f>Master!AK39</f>
        <v>9210.4</v>
      </c>
      <c r="D26" s="180">
        <f>100*Master!AM39/12</f>
        <v>9208.3333333333339</v>
      </c>
      <c r="E26" s="180">
        <f t="shared" si="4"/>
        <v>9208.3333333333339</v>
      </c>
      <c r="F26" s="180">
        <f t="shared" si="4"/>
        <v>9208.3333333333339</v>
      </c>
      <c r="G26" s="136">
        <f t="shared" si="1"/>
        <v>1105</v>
      </c>
      <c r="H26" s="136">
        <f t="shared" si="2"/>
        <v>767</v>
      </c>
      <c r="I26" s="136">
        <f t="shared" si="3"/>
        <v>338</v>
      </c>
      <c r="J26" s="890">
        <f>30-Master!AA39</f>
        <v>4</v>
      </c>
      <c r="K26" s="136">
        <v>0</v>
      </c>
    </row>
    <row r="27" spans="1:11">
      <c r="A27" s="180" t="str">
        <f>Master!X40</f>
        <v>101554508983</v>
      </c>
      <c r="B27" s="661" t="str">
        <f>Master!Z40</f>
        <v>MANGLI CHANDRAMMA</v>
      </c>
      <c r="C27" s="180">
        <f>Master!AK40</f>
        <v>9210.4</v>
      </c>
      <c r="D27" s="180">
        <f>100*Master!AM40/12</f>
        <v>9208.3333333333339</v>
      </c>
      <c r="E27" s="180">
        <f t="shared" si="4"/>
        <v>9208.3333333333339</v>
      </c>
      <c r="F27" s="180">
        <f t="shared" si="4"/>
        <v>9208.3333333333339</v>
      </c>
      <c r="G27" s="136">
        <f t="shared" si="1"/>
        <v>1105</v>
      </c>
      <c r="H27" s="136">
        <f t="shared" si="2"/>
        <v>767</v>
      </c>
      <c r="I27" s="136">
        <f t="shared" si="3"/>
        <v>338</v>
      </c>
      <c r="J27" s="890">
        <f>30-Master!AA40</f>
        <v>4</v>
      </c>
      <c r="K27" s="136">
        <v>0</v>
      </c>
    </row>
    <row r="28" spans="1:11">
      <c r="A28" s="180" t="str">
        <f>Master!X41</f>
        <v>101521098686</v>
      </c>
      <c r="B28" s="661" t="str">
        <f>Master!Z41</f>
        <v>DASARI SUVARNA</v>
      </c>
      <c r="C28" s="180">
        <f>Master!AK41</f>
        <v>0</v>
      </c>
      <c r="D28" s="180">
        <f>100*Master!AM41/12</f>
        <v>0</v>
      </c>
      <c r="E28" s="180">
        <f t="shared" si="4"/>
        <v>0</v>
      </c>
      <c r="F28" s="180">
        <f t="shared" si="4"/>
        <v>0</v>
      </c>
      <c r="G28" s="136">
        <f t="shared" si="1"/>
        <v>0</v>
      </c>
      <c r="H28" s="136">
        <f t="shared" si="2"/>
        <v>0</v>
      </c>
      <c r="I28" s="136">
        <f t="shared" si="3"/>
        <v>0</v>
      </c>
      <c r="J28" s="890">
        <f>30-Master!AA41</f>
        <v>30</v>
      </c>
      <c r="K28" s="136">
        <v>0</v>
      </c>
    </row>
    <row r="29" spans="1:11">
      <c r="A29" s="180" t="str">
        <f>Master!X42</f>
        <v>100127755377</v>
      </c>
      <c r="B29" s="661" t="str">
        <f>Master!Z42</f>
        <v>MARATHI CHANDRAKALA</v>
      </c>
      <c r="C29" s="180">
        <f>Master!AK42</f>
        <v>9210.4</v>
      </c>
      <c r="D29" s="180">
        <f>100*Master!AM42/12</f>
        <v>9208.3333333333339</v>
      </c>
      <c r="E29" s="180">
        <f t="shared" si="4"/>
        <v>9208.3333333333339</v>
      </c>
      <c r="F29" s="180">
        <f t="shared" si="4"/>
        <v>9208.3333333333339</v>
      </c>
      <c r="G29" s="136">
        <f t="shared" si="1"/>
        <v>1105</v>
      </c>
      <c r="H29" s="136">
        <f t="shared" si="2"/>
        <v>767</v>
      </c>
      <c r="I29" s="136">
        <f t="shared" si="3"/>
        <v>338</v>
      </c>
      <c r="J29" s="890">
        <f>30-Master!AA42</f>
        <v>4</v>
      </c>
      <c r="K29" s="136">
        <v>0</v>
      </c>
    </row>
    <row r="30" spans="1:11">
      <c r="A30" s="180" t="str">
        <f>Master!X43</f>
        <v>101553811711</v>
      </c>
      <c r="B30" s="661" t="str">
        <f>Master!Z43</f>
        <v>ANKAGALLA YADAMMA</v>
      </c>
      <c r="C30" s="180">
        <f>Master!AK43</f>
        <v>9210.4</v>
      </c>
      <c r="D30" s="180">
        <f>100*Master!AM43/12</f>
        <v>9208.3333333333339</v>
      </c>
      <c r="E30" s="180">
        <f t="shared" si="4"/>
        <v>9208.3333333333339</v>
      </c>
      <c r="F30" s="180">
        <f t="shared" si="4"/>
        <v>9208.3333333333339</v>
      </c>
      <c r="G30" s="136">
        <f t="shared" si="1"/>
        <v>1105</v>
      </c>
      <c r="H30" s="136">
        <f t="shared" si="2"/>
        <v>767</v>
      </c>
      <c r="I30" s="136">
        <f t="shared" si="3"/>
        <v>338</v>
      </c>
      <c r="J30" s="890">
        <f>30-Master!AA43</f>
        <v>4</v>
      </c>
      <c r="K30" s="136">
        <v>0</v>
      </c>
    </row>
    <row r="31" spans="1:11">
      <c r="A31" s="180" t="str">
        <f>Master!X44</f>
        <v>101381353296</v>
      </c>
      <c r="B31" s="661" t="str">
        <f>Master!Z44</f>
        <v xml:space="preserve">NINGAMMA </v>
      </c>
      <c r="C31" s="180">
        <f>Master!AK44</f>
        <v>9210.4</v>
      </c>
      <c r="D31" s="180">
        <f>100*Master!AM44/12</f>
        <v>9208.3333333333339</v>
      </c>
      <c r="E31" s="180">
        <f t="shared" si="4"/>
        <v>9208.3333333333339</v>
      </c>
      <c r="F31" s="180">
        <f t="shared" si="4"/>
        <v>9208.3333333333339</v>
      </c>
      <c r="G31" s="136">
        <f t="shared" si="1"/>
        <v>1105</v>
      </c>
      <c r="H31" s="136">
        <f t="shared" si="2"/>
        <v>767</v>
      </c>
      <c r="I31" s="136">
        <f t="shared" si="3"/>
        <v>338</v>
      </c>
      <c r="J31" s="890">
        <f>30-Master!AA44</f>
        <v>4</v>
      </c>
      <c r="K31" s="136">
        <v>0</v>
      </c>
    </row>
    <row r="32" spans="1:11">
      <c r="A32" s="180" t="str">
        <f>Master!X45</f>
        <v>101362702317</v>
      </c>
      <c r="B32" s="661" t="str">
        <f>Master!Z45</f>
        <v>V AMBAMMA</v>
      </c>
      <c r="C32" s="180">
        <f>Master!AK45</f>
        <v>9210.4</v>
      </c>
      <c r="D32" s="180">
        <f>100*Master!AM45/12</f>
        <v>9208.3333333333339</v>
      </c>
      <c r="E32" s="180">
        <f t="shared" si="4"/>
        <v>9208.3333333333339</v>
      </c>
      <c r="F32" s="180">
        <f t="shared" si="4"/>
        <v>9208.3333333333339</v>
      </c>
      <c r="G32" s="136">
        <f t="shared" si="1"/>
        <v>1105</v>
      </c>
      <c r="H32" s="136">
        <f t="shared" si="2"/>
        <v>767</v>
      </c>
      <c r="I32" s="136">
        <f t="shared" si="3"/>
        <v>338</v>
      </c>
      <c r="J32" s="890">
        <f>30-Master!AA45</f>
        <v>4</v>
      </c>
      <c r="K32" s="136">
        <v>0</v>
      </c>
    </row>
    <row r="33" spans="1:11">
      <c r="A33" s="180" t="str">
        <f>Master!X46</f>
        <v>101362702340</v>
      </c>
      <c r="B33" s="661" t="str">
        <f>Master!Z46</f>
        <v>PALLAPU LAXMI</v>
      </c>
      <c r="C33" s="180">
        <f>Master!AK46</f>
        <v>9210.4</v>
      </c>
      <c r="D33" s="180">
        <f>100*Master!AM46/12</f>
        <v>9208.3333333333339</v>
      </c>
      <c r="E33" s="180">
        <f t="shared" si="4"/>
        <v>9208.3333333333339</v>
      </c>
      <c r="F33" s="180">
        <f t="shared" si="4"/>
        <v>9208.3333333333339</v>
      </c>
      <c r="G33" s="136">
        <f t="shared" si="1"/>
        <v>1105</v>
      </c>
      <c r="H33" s="136">
        <f t="shared" si="2"/>
        <v>767</v>
      </c>
      <c r="I33" s="136">
        <f t="shared" si="3"/>
        <v>338</v>
      </c>
      <c r="J33" s="890">
        <f>30-Master!AA46</f>
        <v>4</v>
      </c>
      <c r="K33" s="136">
        <v>0</v>
      </c>
    </row>
    <row r="34" spans="1:11">
      <c r="A34" s="180" t="str">
        <f>Master!X47</f>
        <v>100245723121</v>
      </c>
      <c r="B34" s="661" t="str">
        <f>Master!Z47</f>
        <v>Nagani laxmi</v>
      </c>
      <c r="C34" s="180">
        <f>Master!AK47</f>
        <v>9210.4</v>
      </c>
      <c r="D34" s="180">
        <f>100*Master!AM47/12</f>
        <v>9208.3333333333339</v>
      </c>
      <c r="E34" s="180">
        <f t="shared" si="4"/>
        <v>9208.3333333333339</v>
      </c>
      <c r="F34" s="180">
        <f t="shared" si="4"/>
        <v>9208.3333333333339</v>
      </c>
      <c r="G34" s="136">
        <f t="shared" si="1"/>
        <v>1105</v>
      </c>
      <c r="H34" s="136">
        <f t="shared" si="2"/>
        <v>767</v>
      </c>
      <c r="I34" s="136">
        <f t="shared" si="3"/>
        <v>338</v>
      </c>
      <c r="J34" s="890">
        <f>30-Master!AA47</f>
        <v>4</v>
      </c>
      <c r="K34" s="136">
        <v>0</v>
      </c>
    </row>
    <row r="35" spans="1:11">
      <c r="A35" s="180" t="str">
        <f>Master!X48</f>
        <v>100201625830</v>
      </c>
      <c r="B35" s="661" t="str">
        <f>Master!Z48</f>
        <v>Lingola amrutha</v>
      </c>
      <c r="C35" s="180">
        <f>Master!AK48</f>
        <v>9210.4</v>
      </c>
      <c r="D35" s="180">
        <f>100*Master!AM48/12</f>
        <v>9208.3333333333339</v>
      </c>
      <c r="E35" s="180">
        <f t="shared" si="4"/>
        <v>9208.3333333333339</v>
      </c>
      <c r="F35" s="180">
        <f t="shared" si="4"/>
        <v>9208.3333333333339</v>
      </c>
      <c r="G35" s="136">
        <f t="shared" si="1"/>
        <v>1105</v>
      </c>
      <c r="H35" s="136">
        <f t="shared" si="2"/>
        <v>767</v>
      </c>
      <c r="I35" s="136">
        <f t="shared" si="3"/>
        <v>338</v>
      </c>
      <c r="J35" s="890">
        <f>30-Master!AA48</f>
        <v>4</v>
      </c>
      <c r="K35" s="136">
        <v>0</v>
      </c>
    </row>
    <row r="36" spans="1:11">
      <c r="A36" s="180" t="str">
        <f>Master!X49</f>
        <v>101440681199</v>
      </c>
      <c r="B36" s="661" t="str">
        <f>Master!Z49</f>
        <v>Kuduru satyamma</v>
      </c>
      <c r="C36" s="180">
        <f>Master!AK49</f>
        <v>9210.4</v>
      </c>
      <c r="D36" s="180">
        <f>100*Master!AM49/12</f>
        <v>9208.3333333333339</v>
      </c>
      <c r="E36" s="180">
        <f t="shared" si="4"/>
        <v>9208.3333333333339</v>
      </c>
      <c r="F36" s="180">
        <f t="shared" si="4"/>
        <v>9208.3333333333339</v>
      </c>
      <c r="G36" s="136">
        <f t="shared" si="1"/>
        <v>1105</v>
      </c>
      <c r="H36" s="136">
        <f t="shared" si="2"/>
        <v>767</v>
      </c>
      <c r="I36" s="136">
        <f t="shared" si="3"/>
        <v>338</v>
      </c>
      <c r="J36" s="890">
        <f>30-Master!AA49</f>
        <v>4</v>
      </c>
      <c r="K36" s="136">
        <v>0</v>
      </c>
    </row>
    <row r="37" spans="1:11">
      <c r="A37" s="180" t="str">
        <f>Master!X50</f>
        <v>101556794449</v>
      </c>
      <c r="B37" s="661" t="str">
        <f>Master!Z50</f>
        <v>Mangali Lakshmi</v>
      </c>
      <c r="C37" s="180">
        <f>Master!AK50</f>
        <v>9210.4</v>
      </c>
      <c r="D37" s="180">
        <f>100*Master!AM50/12</f>
        <v>9208.3333333333339</v>
      </c>
      <c r="E37" s="180">
        <f t="shared" si="4"/>
        <v>9208.3333333333339</v>
      </c>
      <c r="F37" s="180">
        <f t="shared" si="4"/>
        <v>9208.3333333333339</v>
      </c>
      <c r="G37" s="136">
        <f t="shared" si="1"/>
        <v>1105</v>
      </c>
      <c r="H37" s="136">
        <f t="shared" si="2"/>
        <v>767</v>
      </c>
      <c r="I37" s="136">
        <f t="shared" si="3"/>
        <v>338</v>
      </c>
      <c r="J37" s="890">
        <f>30-Master!AA50</f>
        <v>4</v>
      </c>
      <c r="K37" s="136">
        <v>0</v>
      </c>
    </row>
    <row r="38" spans="1:11">
      <c r="A38" s="180" t="str">
        <f>Master!X51</f>
        <v>101344596547</v>
      </c>
      <c r="B38" s="661" t="str">
        <f>Master!Z51</f>
        <v>Ningolla santhosha</v>
      </c>
      <c r="C38" s="180">
        <f>Master!AK51</f>
        <v>9210.4</v>
      </c>
      <c r="D38" s="180">
        <f>100*Master!AM51/12</f>
        <v>9208.3333333333339</v>
      </c>
      <c r="E38" s="180">
        <f t="shared" si="4"/>
        <v>9208.3333333333339</v>
      </c>
      <c r="F38" s="180">
        <f t="shared" si="4"/>
        <v>9208.3333333333339</v>
      </c>
      <c r="G38" s="136">
        <f t="shared" si="1"/>
        <v>1105</v>
      </c>
      <c r="H38" s="136">
        <f t="shared" si="2"/>
        <v>767</v>
      </c>
      <c r="I38" s="136">
        <f t="shared" si="3"/>
        <v>338</v>
      </c>
      <c r="J38" s="890">
        <f>30-Master!AA51</f>
        <v>4</v>
      </c>
      <c r="K38" s="136">
        <v>0</v>
      </c>
    </row>
    <row r="39" spans="1:11">
      <c r="A39" s="180" t="str">
        <f>Master!X52</f>
        <v>101556794454</v>
      </c>
      <c r="B39" s="661" t="str">
        <f>Master!Z52</f>
        <v>Mutholla Suneeta</v>
      </c>
      <c r="C39" s="180">
        <f>Master!AK52</f>
        <v>9210.4</v>
      </c>
      <c r="D39" s="180">
        <f>100*Master!AM52/12</f>
        <v>9208.3333333333339</v>
      </c>
      <c r="E39" s="180">
        <f t="shared" si="4"/>
        <v>9208.3333333333339</v>
      </c>
      <c r="F39" s="180">
        <f t="shared" si="4"/>
        <v>9208.3333333333339</v>
      </c>
      <c r="G39" s="136">
        <f t="shared" si="1"/>
        <v>1105</v>
      </c>
      <c r="H39" s="136">
        <f t="shared" si="2"/>
        <v>767</v>
      </c>
      <c r="I39" s="136">
        <f t="shared" si="3"/>
        <v>338</v>
      </c>
      <c r="J39" s="890">
        <f>30-Master!AA52</f>
        <v>4</v>
      </c>
      <c r="K39" s="136">
        <v>0</v>
      </c>
    </row>
    <row r="40" spans="1:11">
      <c r="A40" s="180" t="str">
        <f>Master!X53</f>
        <v>100209063448</v>
      </c>
      <c r="B40" s="661" t="str">
        <f>Master!Z53</f>
        <v>Mutholla sushila</v>
      </c>
      <c r="C40" s="180">
        <f>Master!AK53</f>
        <v>9210.4</v>
      </c>
      <c r="D40" s="180">
        <f>100*Master!AM53/12</f>
        <v>9208.3333333333339</v>
      </c>
      <c r="E40" s="180">
        <f t="shared" si="4"/>
        <v>9208.3333333333339</v>
      </c>
      <c r="F40" s="180">
        <f t="shared" si="4"/>
        <v>9208.3333333333339</v>
      </c>
      <c r="G40" s="136">
        <f t="shared" si="1"/>
        <v>1105</v>
      </c>
      <c r="H40" s="136">
        <f t="shared" si="2"/>
        <v>767</v>
      </c>
      <c r="I40" s="136">
        <f t="shared" si="3"/>
        <v>338</v>
      </c>
      <c r="J40" s="890">
        <f>30-Master!AA53</f>
        <v>4</v>
      </c>
      <c r="K40" s="136">
        <v>0</v>
      </c>
    </row>
    <row r="41" spans="1:11">
      <c r="A41" s="180" t="str">
        <f>Master!X54</f>
        <v>101322441815</v>
      </c>
      <c r="B41" s="661" t="str">
        <f>Master!Z54</f>
        <v>Kummari kalavathi</v>
      </c>
      <c r="C41" s="180">
        <f>Master!AK54</f>
        <v>9210.4</v>
      </c>
      <c r="D41" s="180">
        <f>100*Master!AM54/12</f>
        <v>9208.3333333333339</v>
      </c>
      <c r="E41" s="180">
        <f t="shared" si="4"/>
        <v>9208.3333333333339</v>
      </c>
      <c r="F41" s="180">
        <f t="shared" si="4"/>
        <v>9208.3333333333339</v>
      </c>
      <c r="G41" s="136">
        <f t="shared" si="1"/>
        <v>1105</v>
      </c>
      <c r="H41" s="136">
        <f t="shared" si="2"/>
        <v>767</v>
      </c>
      <c r="I41" s="136">
        <f t="shared" si="3"/>
        <v>338</v>
      </c>
      <c r="J41" s="890">
        <f>30-Master!AA54</f>
        <v>4</v>
      </c>
      <c r="K41" s="136">
        <v>0</v>
      </c>
    </row>
    <row r="42" spans="1:11">
      <c r="A42" s="180" t="str">
        <f>Master!X55</f>
        <v>101458887492</v>
      </c>
      <c r="B42" s="661" t="str">
        <f>Master!Z55</f>
        <v xml:space="preserve">Vadla Naveena </v>
      </c>
      <c r="C42" s="180">
        <f>Master!AK55</f>
        <v>9210.4</v>
      </c>
      <c r="D42" s="180">
        <f>100*Master!AM55/12</f>
        <v>9208.3333333333339</v>
      </c>
      <c r="E42" s="180">
        <f t="shared" ref="E42:F51" si="5">D42</f>
        <v>9208.3333333333339</v>
      </c>
      <c r="F42" s="180">
        <f t="shared" si="5"/>
        <v>9208.3333333333339</v>
      </c>
      <c r="G42" s="136">
        <f t="shared" si="1"/>
        <v>1105</v>
      </c>
      <c r="H42" s="136">
        <f t="shared" si="2"/>
        <v>767</v>
      </c>
      <c r="I42" s="136">
        <f t="shared" si="3"/>
        <v>338</v>
      </c>
      <c r="J42" s="890">
        <f>30-Master!AA55</f>
        <v>4</v>
      </c>
      <c r="K42" s="136">
        <v>0</v>
      </c>
    </row>
    <row r="43" spans="1:11">
      <c r="A43" s="180" t="str">
        <f>Master!X56</f>
        <v>100246061839</v>
      </c>
      <c r="B43" s="661" t="str">
        <f>Master!Z56</f>
        <v>Nagani shantamma</v>
      </c>
      <c r="C43" s="180">
        <f>Master!AK56</f>
        <v>9210.4</v>
      </c>
      <c r="D43" s="180">
        <f>100*Master!AM56/12</f>
        <v>9208.3333333333339</v>
      </c>
      <c r="E43" s="180">
        <f t="shared" si="5"/>
        <v>9208.3333333333339</v>
      </c>
      <c r="F43" s="180">
        <f t="shared" si="5"/>
        <v>9208.3333333333339</v>
      </c>
      <c r="G43" s="136">
        <f t="shared" si="1"/>
        <v>1105</v>
      </c>
      <c r="H43" s="136">
        <f t="shared" si="2"/>
        <v>767</v>
      </c>
      <c r="I43" s="136">
        <f t="shared" si="3"/>
        <v>338</v>
      </c>
      <c r="J43" s="890">
        <f>30-Master!AA56</f>
        <v>4</v>
      </c>
      <c r="K43" s="136">
        <v>0</v>
      </c>
    </row>
    <row r="44" spans="1:11">
      <c r="A44" s="662">
        <f>Master!X57</f>
        <v>101277064828</v>
      </c>
      <c r="B44" s="661" t="str">
        <f>Master!Z57</f>
        <v>Gaddmidi lakshmi</v>
      </c>
      <c r="C44" s="180">
        <f>Master!AK57</f>
        <v>9210.4</v>
      </c>
      <c r="D44" s="180">
        <f>100*Master!AM57/12</f>
        <v>9208.3333333333339</v>
      </c>
      <c r="E44" s="180">
        <f t="shared" si="5"/>
        <v>9208.3333333333339</v>
      </c>
      <c r="F44" s="180">
        <f t="shared" si="5"/>
        <v>9208.3333333333339</v>
      </c>
      <c r="G44" s="136">
        <f t="shared" si="1"/>
        <v>1105</v>
      </c>
      <c r="H44" s="136">
        <f t="shared" si="2"/>
        <v>767</v>
      </c>
      <c r="I44" s="136">
        <f t="shared" si="3"/>
        <v>338</v>
      </c>
      <c r="J44" s="890">
        <f>30-Master!AA57</f>
        <v>4</v>
      </c>
      <c r="K44" s="136">
        <v>0</v>
      </c>
    </row>
    <row r="45" spans="1:11">
      <c r="A45" s="662" t="str">
        <f>Master!X58</f>
        <v>101170655221</v>
      </c>
      <c r="B45" s="661" t="str">
        <f>Master!Z58</f>
        <v>Gaddamidi raghu</v>
      </c>
      <c r="C45" s="180">
        <f>Master!AK58</f>
        <v>9932.4666666666653</v>
      </c>
      <c r="D45" s="180">
        <f>100*Master!AM58/12</f>
        <v>9933.3333333333339</v>
      </c>
      <c r="E45" s="180">
        <f t="shared" si="5"/>
        <v>9933.3333333333339</v>
      </c>
      <c r="F45" s="180">
        <f t="shared" si="5"/>
        <v>9933.3333333333339</v>
      </c>
      <c r="G45" s="136">
        <f t="shared" si="1"/>
        <v>1192</v>
      </c>
      <c r="H45" s="136">
        <f t="shared" si="2"/>
        <v>827</v>
      </c>
      <c r="I45" s="136">
        <f t="shared" si="3"/>
        <v>365</v>
      </c>
      <c r="J45" s="890">
        <f>30-Master!AA58</f>
        <v>4</v>
      </c>
      <c r="K45" s="136">
        <v>0</v>
      </c>
    </row>
    <row r="46" spans="1:11">
      <c r="A46" s="662" t="str">
        <f>Master!X59</f>
        <v>101563813332</v>
      </c>
      <c r="B46" s="661" t="str">
        <f>Master!Z59</f>
        <v>Laxman</v>
      </c>
      <c r="C46" s="180">
        <f>Master!AK59</f>
        <v>9932.4666666666653</v>
      </c>
      <c r="D46" s="180">
        <f>100*Master!AM59/12</f>
        <v>9933.3333333333339</v>
      </c>
      <c r="E46" s="180">
        <f t="shared" si="5"/>
        <v>9933.3333333333339</v>
      </c>
      <c r="F46" s="180">
        <f t="shared" si="5"/>
        <v>9933.3333333333339</v>
      </c>
      <c r="G46" s="136">
        <f t="shared" si="1"/>
        <v>1192</v>
      </c>
      <c r="H46" s="136">
        <f t="shared" si="2"/>
        <v>827</v>
      </c>
      <c r="I46" s="136">
        <f t="shared" si="3"/>
        <v>365</v>
      </c>
      <c r="J46" s="890">
        <f>30-Master!AA59</f>
        <v>4</v>
      </c>
      <c r="K46" s="136">
        <v>0</v>
      </c>
    </row>
    <row r="47" spans="1:11">
      <c r="A47" s="662">
        <f>Master!X60</f>
        <v>100692721860</v>
      </c>
      <c r="B47" s="661" t="str">
        <f>Master!Z60</f>
        <v>VADLA JYOTHI</v>
      </c>
      <c r="C47" s="180">
        <f>Master!AK60</f>
        <v>9210.4</v>
      </c>
      <c r="D47" s="180">
        <f>100*Master!AM60/12</f>
        <v>9208.3333333333339</v>
      </c>
      <c r="E47" s="180">
        <f t="shared" si="5"/>
        <v>9208.3333333333339</v>
      </c>
      <c r="F47" s="180">
        <f t="shared" si="5"/>
        <v>9208.3333333333339</v>
      </c>
      <c r="G47" s="136">
        <f t="shared" si="1"/>
        <v>1105</v>
      </c>
      <c r="H47" s="136">
        <f t="shared" si="2"/>
        <v>767</v>
      </c>
      <c r="I47" s="136">
        <f t="shared" si="3"/>
        <v>338</v>
      </c>
      <c r="J47" s="890">
        <f>30-Master!AA60</f>
        <v>4</v>
      </c>
      <c r="K47" s="136">
        <v>0</v>
      </c>
    </row>
    <row r="48" spans="1:11">
      <c r="A48" s="662">
        <f>Master!X61</f>
        <v>101318416076</v>
      </c>
      <c r="B48" s="661" t="str">
        <f>Master!Z61</f>
        <v>Rupesh Chandra Jakhmola</v>
      </c>
      <c r="C48" s="180">
        <f>Master!AK61</f>
        <v>27800</v>
      </c>
      <c r="D48" s="180">
        <f>100*Master!AM61/12</f>
        <v>15000</v>
      </c>
      <c r="E48" s="180">
        <f t="shared" si="5"/>
        <v>15000</v>
      </c>
      <c r="F48" s="180">
        <f t="shared" si="5"/>
        <v>15000</v>
      </c>
      <c r="G48" s="663">
        <v>1800</v>
      </c>
      <c r="H48" s="136">
        <f t="shared" si="2"/>
        <v>1250</v>
      </c>
      <c r="I48" s="136">
        <f t="shared" si="3"/>
        <v>550</v>
      </c>
      <c r="J48" s="890">
        <f>30-Master!AA61</f>
        <v>0</v>
      </c>
      <c r="K48" s="136">
        <v>0</v>
      </c>
    </row>
    <row r="49" spans="1:11">
      <c r="A49" s="662">
        <f>Master!X62</f>
        <v>101567297449</v>
      </c>
      <c r="B49" s="661" t="str">
        <f>Master!Z62</f>
        <v>Bakkani Mallaiah</v>
      </c>
      <c r="C49" s="180">
        <f>Master!AK62</f>
        <v>11919.599999999999</v>
      </c>
      <c r="D49" s="180">
        <f>100*Master!AM62/12</f>
        <v>11916.666666666666</v>
      </c>
      <c r="E49" s="180">
        <f t="shared" si="5"/>
        <v>11916.666666666666</v>
      </c>
      <c r="F49" s="180">
        <f t="shared" si="5"/>
        <v>11916.666666666666</v>
      </c>
      <c r="G49" s="136">
        <f t="shared" si="1"/>
        <v>1430</v>
      </c>
      <c r="H49" s="136">
        <f t="shared" si="2"/>
        <v>993</v>
      </c>
      <c r="I49" s="136">
        <f t="shared" si="3"/>
        <v>437</v>
      </c>
      <c r="J49" s="890">
        <f>30-Master!AA62</f>
        <v>4</v>
      </c>
      <c r="K49" s="136">
        <v>0</v>
      </c>
    </row>
    <row r="50" spans="1:11">
      <c r="A50" s="662">
        <f>Master!X63</f>
        <v>101567297431</v>
      </c>
      <c r="B50" s="661" t="str">
        <f>Master!Z63</f>
        <v>Chakali Narayana</v>
      </c>
      <c r="C50" s="180">
        <f>Master!AK63</f>
        <v>9932.4666666666653</v>
      </c>
      <c r="D50" s="180">
        <f>100*Master!AM63/12</f>
        <v>9933.3333333333339</v>
      </c>
      <c r="E50" s="180">
        <f t="shared" si="5"/>
        <v>9933.3333333333339</v>
      </c>
      <c r="F50" s="180">
        <f t="shared" si="5"/>
        <v>9933.3333333333339</v>
      </c>
      <c r="G50" s="136">
        <f t="shared" si="1"/>
        <v>1192</v>
      </c>
      <c r="H50" s="136">
        <f t="shared" si="2"/>
        <v>827</v>
      </c>
      <c r="I50" s="136">
        <f t="shared" si="3"/>
        <v>365</v>
      </c>
      <c r="J50" s="890">
        <f>30-Master!AA63</f>
        <v>4</v>
      </c>
      <c r="K50" s="136">
        <v>0</v>
      </c>
    </row>
    <row r="51" spans="1:11">
      <c r="A51" s="662">
        <f>Master!X64</f>
        <v>100644249379</v>
      </c>
      <c r="B51" s="661" t="str">
        <f>Master!Z64</f>
        <v>Mutyala Poshavva</v>
      </c>
      <c r="C51" s="180">
        <f>Master!AK64</f>
        <v>0</v>
      </c>
      <c r="D51" s="180">
        <f>100*Master!AM64/12</f>
        <v>0</v>
      </c>
      <c r="E51" s="180">
        <f t="shared" si="5"/>
        <v>0</v>
      </c>
      <c r="F51" s="180">
        <f t="shared" si="5"/>
        <v>0</v>
      </c>
      <c r="G51" s="136">
        <f t="shared" si="1"/>
        <v>0</v>
      </c>
      <c r="H51" s="136">
        <f t="shared" si="2"/>
        <v>0</v>
      </c>
      <c r="I51" s="136">
        <f t="shared" si="3"/>
        <v>0</v>
      </c>
      <c r="J51" s="890">
        <f>30-Master!AA64</f>
        <v>30</v>
      </c>
      <c r="K51" s="136">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32"/>
  <sheetViews>
    <sheetView workbookViewId="0">
      <selection activeCell="E19" sqref="E19:G19"/>
    </sheetView>
  </sheetViews>
  <sheetFormatPr defaultRowHeight="14.4"/>
  <cols>
    <col min="1" max="1" width="5.109375" customWidth="1"/>
    <col min="2" max="2" width="14.33203125" customWidth="1"/>
    <col min="3" max="3" width="23.6640625" customWidth="1"/>
    <col min="4" max="4" width="8.109375" customWidth="1"/>
    <col min="5" max="5" width="10.6640625" bestFit="1" customWidth="1"/>
    <col min="7" max="7" width="9.44140625" customWidth="1"/>
    <col min="8" max="8" width="34.6640625" customWidth="1"/>
    <col min="9" max="9" width="5.44140625" customWidth="1"/>
  </cols>
  <sheetData>
    <row r="1" spans="1:9" ht="15" thickBot="1"/>
    <row r="2" spans="1:9" ht="57.6" customHeight="1">
      <c r="A2" s="68"/>
      <c r="B2" s="1197" t="s">
        <v>1097</v>
      </c>
      <c r="C2" s="1198"/>
      <c r="D2" s="1198"/>
      <c r="E2" s="1198"/>
      <c r="F2" s="1198"/>
      <c r="G2" s="1198"/>
      <c r="H2" s="1199"/>
      <c r="I2" s="69"/>
    </row>
    <row r="3" spans="1:9" ht="26.25" customHeight="1">
      <c r="A3" s="15"/>
      <c r="B3" s="1209" t="s">
        <v>1098</v>
      </c>
      <c r="C3" s="1210"/>
      <c r="D3" s="1210"/>
      <c r="E3" s="1210"/>
      <c r="F3" s="1210"/>
      <c r="G3" s="1210"/>
      <c r="H3" s="1211"/>
      <c r="I3" s="16"/>
    </row>
    <row r="4" spans="1:9">
      <c r="A4" s="15"/>
      <c r="B4" s="719"/>
      <c r="C4" s="716"/>
      <c r="D4" s="717"/>
      <c r="E4" s="715"/>
      <c r="F4" s="716"/>
      <c r="G4" s="716"/>
      <c r="H4" s="720"/>
      <c r="I4" s="16"/>
    </row>
    <row r="5" spans="1:9">
      <c r="A5" s="15"/>
      <c r="B5" s="382"/>
      <c r="C5" s="77"/>
      <c r="D5" s="222"/>
      <c r="E5" s="76"/>
      <c r="F5" s="77"/>
      <c r="G5" s="77"/>
      <c r="H5" s="78"/>
      <c r="I5" s="16"/>
    </row>
    <row r="6" spans="1:9">
      <c r="A6" s="15"/>
      <c r="B6" s="70" t="s">
        <v>805</v>
      </c>
      <c r="C6" s="875"/>
      <c r="D6" s="407"/>
      <c r="E6" s="381" t="str">
        <f>Master!AN5</f>
        <v>GROTECH LANDSCAPE DEVELOPERS PVT. LTD.</v>
      </c>
      <c r="F6" s="875"/>
      <c r="G6" s="875"/>
      <c r="H6" s="16"/>
      <c r="I6" s="16"/>
    </row>
    <row r="7" spans="1:9">
      <c r="A7" s="15"/>
      <c r="B7" s="15"/>
      <c r="C7" s="875" t="s">
        <v>1099</v>
      </c>
      <c r="D7" s="407"/>
      <c r="E7" s="380"/>
      <c r="F7" s="875"/>
      <c r="G7" s="875"/>
      <c r="H7" s="16"/>
      <c r="I7" s="16"/>
    </row>
    <row r="8" spans="1:9">
      <c r="A8" s="15"/>
      <c r="B8" s="70" t="s">
        <v>771</v>
      </c>
      <c r="C8" s="875"/>
      <c r="D8" s="407"/>
      <c r="E8" s="632" t="str">
        <f>Master!AN6</f>
        <v>290/E, Khanapur Village, Gandipet Mandal, Ranga Reddy, Hyderabad-500075 T.S.</v>
      </c>
      <c r="F8" s="875"/>
      <c r="G8" s="875"/>
      <c r="H8" s="16"/>
      <c r="I8" s="16"/>
    </row>
    <row r="9" spans="1:9">
      <c r="A9" s="15"/>
      <c r="B9" s="15"/>
      <c r="C9" s="875"/>
      <c r="D9" s="407"/>
      <c r="E9" s="380"/>
      <c r="F9" s="875"/>
      <c r="G9" s="875"/>
      <c r="H9" s="16"/>
      <c r="I9" s="16"/>
    </row>
    <row r="10" spans="1:9">
      <c r="A10" s="15"/>
      <c r="B10" s="15"/>
      <c r="C10" s="875"/>
      <c r="D10" s="407"/>
      <c r="E10" s="60"/>
      <c r="F10" s="19"/>
      <c r="G10" s="19"/>
      <c r="H10" s="81"/>
      <c r="I10" s="16"/>
    </row>
    <row r="11" spans="1:9">
      <c r="A11" s="15"/>
      <c r="B11" s="382"/>
      <c r="C11" s="77"/>
      <c r="D11" s="222"/>
      <c r="E11" s="76"/>
      <c r="F11" s="77"/>
      <c r="G11" s="77"/>
      <c r="H11" s="78"/>
      <c r="I11" s="16"/>
    </row>
    <row r="12" spans="1:9">
      <c r="A12" s="15"/>
      <c r="B12" s="15"/>
      <c r="C12" s="875"/>
      <c r="D12" s="407"/>
      <c r="E12" s="380"/>
      <c r="F12" s="875"/>
      <c r="G12" s="875"/>
      <c r="H12" s="16"/>
      <c r="I12" s="16"/>
    </row>
    <row r="13" spans="1:9">
      <c r="A13" s="15"/>
      <c r="B13" s="70" t="s">
        <v>1100</v>
      </c>
      <c r="C13" s="875"/>
      <c r="D13" s="407"/>
      <c r="E13" s="1212" t="s">
        <v>804</v>
      </c>
      <c r="F13" s="1213"/>
      <c r="G13" s="875"/>
      <c r="H13" s="16"/>
      <c r="I13" s="16"/>
    </row>
    <row r="14" spans="1:9" ht="15" thickBot="1">
      <c r="A14" s="15"/>
      <c r="B14" s="15"/>
      <c r="C14" s="875"/>
      <c r="D14" s="407"/>
      <c r="E14" s="380"/>
      <c r="F14" s="875"/>
      <c r="G14" s="875"/>
      <c r="H14" s="16"/>
      <c r="I14" s="16"/>
    </row>
    <row r="15" spans="1:9" ht="15" customHeight="1">
      <c r="A15" s="15"/>
      <c r="B15" s="1200" t="s">
        <v>1101</v>
      </c>
      <c r="C15" s="1007" t="s">
        <v>1102</v>
      </c>
      <c r="D15" s="1002"/>
      <c r="E15" s="1007" t="s">
        <v>1103</v>
      </c>
      <c r="F15" s="1000"/>
      <c r="G15" s="1002"/>
      <c r="H15" s="1206" t="s">
        <v>1104</v>
      </c>
      <c r="I15" s="16"/>
    </row>
    <row r="16" spans="1:9">
      <c r="A16" s="15"/>
      <c r="B16" s="1201"/>
      <c r="C16" s="1008"/>
      <c r="D16" s="1003"/>
      <c r="E16" s="1008"/>
      <c r="F16" s="1001"/>
      <c r="G16" s="1003"/>
      <c r="H16" s="1207"/>
      <c r="I16" s="16"/>
    </row>
    <row r="17" spans="1:9" ht="15" thickBot="1">
      <c r="A17" s="15"/>
      <c r="B17" s="1202"/>
      <c r="C17" s="1203"/>
      <c r="D17" s="1204"/>
      <c r="E17" s="1203"/>
      <c r="F17" s="1205"/>
      <c r="G17" s="1204"/>
      <c r="H17" s="1208"/>
      <c r="I17" s="16"/>
    </row>
    <row r="18" spans="1:9" ht="25.2" customHeight="1">
      <c r="A18" s="15"/>
      <c r="B18" s="837">
        <v>1</v>
      </c>
      <c r="C18" s="1196">
        <v>2</v>
      </c>
      <c r="D18" s="1196"/>
      <c r="E18" s="1196">
        <v>3</v>
      </c>
      <c r="F18" s="1196"/>
      <c r="G18" s="1196"/>
      <c r="H18" s="838">
        <v>4</v>
      </c>
      <c r="I18" s="16"/>
    </row>
    <row r="19" spans="1:9" ht="50.1" customHeight="1">
      <c r="A19" s="15"/>
      <c r="B19" s="105"/>
      <c r="C19" s="998"/>
      <c r="D19" s="998"/>
      <c r="E19" s="998"/>
      <c r="F19" s="998"/>
      <c r="G19" s="998"/>
      <c r="H19" s="721"/>
      <c r="I19" s="16"/>
    </row>
    <row r="20" spans="1:9" ht="50.1" customHeight="1">
      <c r="A20" s="15"/>
      <c r="B20" s="105"/>
      <c r="C20" s="998"/>
      <c r="D20" s="998"/>
      <c r="E20" s="998"/>
      <c r="F20" s="998"/>
      <c r="G20" s="998"/>
      <c r="H20" s="106"/>
      <c r="I20" s="16"/>
    </row>
    <row r="21" spans="1:9" ht="50.1" customHeight="1">
      <c r="A21" s="15"/>
      <c r="B21" s="105"/>
      <c r="C21" s="998"/>
      <c r="D21" s="998"/>
      <c r="E21" s="998"/>
      <c r="F21" s="998"/>
      <c r="G21" s="998"/>
      <c r="H21" s="106"/>
      <c r="I21" s="16"/>
    </row>
    <row r="22" spans="1:9" ht="50.1" customHeight="1">
      <c r="A22" s="15"/>
      <c r="B22" s="105"/>
      <c r="C22" s="998"/>
      <c r="D22" s="998"/>
      <c r="E22" s="998"/>
      <c r="F22" s="998"/>
      <c r="G22" s="998"/>
      <c r="H22" s="436"/>
      <c r="I22" s="16"/>
    </row>
    <row r="23" spans="1:9" ht="50.1" customHeight="1">
      <c r="A23" s="15"/>
      <c r="B23" s="105"/>
      <c r="C23" s="998"/>
      <c r="D23" s="998"/>
      <c r="E23" s="998"/>
      <c r="F23" s="998"/>
      <c r="G23" s="998"/>
      <c r="H23" s="436"/>
      <c r="I23" s="16"/>
    </row>
    <row r="24" spans="1:9" ht="50.1" customHeight="1">
      <c r="A24" s="15"/>
      <c r="B24" s="105"/>
      <c r="C24" s="998"/>
      <c r="D24" s="998"/>
      <c r="E24" s="998"/>
      <c r="F24" s="998"/>
      <c r="G24" s="998"/>
      <c r="H24" s="436"/>
      <c r="I24" s="16"/>
    </row>
    <row r="25" spans="1:9" ht="50.1" customHeight="1">
      <c r="A25" s="15"/>
      <c r="B25" s="105"/>
      <c r="C25" s="998"/>
      <c r="D25" s="998"/>
      <c r="E25" s="998"/>
      <c r="F25" s="998"/>
      <c r="G25" s="998"/>
      <c r="H25" s="436"/>
      <c r="I25" s="16"/>
    </row>
    <row r="26" spans="1:9" ht="50.1" customHeight="1">
      <c r="A26" s="15"/>
      <c r="B26" s="105"/>
      <c r="C26" s="998"/>
      <c r="D26" s="998"/>
      <c r="E26" s="998"/>
      <c r="F26" s="998"/>
      <c r="G26" s="998"/>
      <c r="H26" s="436"/>
      <c r="I26" s="16"/>
    </row>
    <row r="27" spans="1:9" ht="50.1" customHeight="1">
      <c r="A27" s="15"/>
      <c r="B27" s="105"/>
      <c r="C27" s="998"/>
      <c r="D27" s="998"/>
      <c r="E27" s="998"/>
      <c r="F27" s="998"/>
      <c r="G27" s="998"/>
      <c r="H27" s="436"/>
      <c r="I27" s="16"/>
    </row>
    <row r="28" spans="1:9" ht="50.1" customHeight="1">
      <c r="A28" s="15"/>
      <c r="B28" s="105"/>
      <c r="C28" s="998"/>
      <c r="D28" s="998"/>
      <c r="E28" s="998"/>
      <c r="F28" s="998"/>
      <c r="G28" s="998"/>
      <c r="H28" s="436"/>
      <c r="I28" s="16"/>
    </row>
    <row r="29" spans="1:9" ht="50.1" customHeight="1" thickBot="1">
      <c r="A29" s="15"/>
      <c r="B29" s="839"/>
      <c r="C29" s="1195"/>
      <c r="D29" s="1195"/>
      <c r="E29" s="1195"/>
      <c r="F29" s="1195"/>
      <c r="G29" s="1195"/>
      <c r="H29" s="722"/>
      <c r="I29" s="16"/>
    </row>
    <row r="30" spans="1:9" ht="25.2" customHeight="1">
      <c r="A30" s="15"/>
      <c r="B30" s="823"/>
      <c r="C30" s="824"/>
      <c r="D30" s="824"/>
      <c r="E30" s="824"/>
      <c r="F30" s="824"/>
      <c r="G30" s="824"/>
      <c r="H30" s="823"/>
      <c r="I30" s="16"/>
    </row>
    <row r="31" spans="1:9">
      <c r="A31" s="15"/>
      <c r="B31" s="115"/>
      <c r="C31" s="823"/>
      <c r="D31" s="823"/>
      <c r="E31" s="823"/>
      <c r="F31" s="448"/>
      <c r="G31" s="448"/>
      <c r="H31" s="448"/>
      <c r="I31" s="16"/>
    </row>
    <row r="32" spans="1:9" ht="23.4" customHeight="1" thickBot="1">
      <c r="A32" s="27"/>
      <c r="B32" s="72"/>
      <c r="C32" s="25"/>
      <c r="D32" s="25"/>
      <c r="E32" s="25"/>
      <c r="F32" s="718"/>
      <c r="G32" s="25"/>
      <c r="H32" s="25"/>
      <c r="I32" s="26"/>
    </row>
  </sheetData>
  <mergeCells count="31">
    <mergeCell ref="B2:H2"/>
    <mergeCell ref="B15:B17"/>
    <mergeCell ref="C15:D17"/>
    <mergeCell ref="E15:G17"/>
    <mergeCell ref="H15:H17"/>
    <mergeCell ref="B3:H3"/>
    <mergeCell ref="E13:F13"/>
    <mergeCell ref="C18:D18"/>
    <mergeCell ref="E18:G18"/>
    <mergeCell ref="C19:D19"/>
    <mergeCell ref="E19:G19"/>
    <mergeCell ref="C20:D20"/>
    <mergeCell ref="E20:G20"/>
    <mergeCell ref="C21:D21"/>
    <mergeCell ref="E21:G21"/>
    <mergeCell ref="C22:D22"/>
    <mergeCell ref="E22:G22"/>
    <mergeCell ref="C23:D23"/>
    <mergeCell ref="E23:G23"/>
    <mergeCell ref="C27:D27"/>
    <mergeCell ref="E27:G27"/>
    <mergeCell ref="C28:D28"/>
    <mergeCell ref="E28:G28"/>
    <mergeCell ref="C29:D29"/>
    <mergeCell ref="E29:G29"/>
    <mergeCell ref="C24:D24"/>
    <mergeCell ref="E24:G24"/>
    <mergeCell ref="C25:D25"/>
    <mergeCell ref="E25:G25"/>
    <mergeCell ref="C26:D26"/>
    <mergeCell ref="E26:G26"/>
  </mergeCells>
  <pageMargins left="1.1000000000000001" right="0.70866141732283505" top="0.74803149606299202" bottom="0.74803149606299202" header="0.31496062992126" footer="0.31496062992126"/>
  <pageSetup scale="70" orientation="portrait" r:id="rId1"/>
</worksheet>
</file>

<file path=xl/worksheets/sheet21.xml><?xml version="1.0" encoding="utf-8"?>
<worksheet xmlns="http://schemas.openxmlformats.org/spreadsheetml/2006/main" xmlns:r="http://schemas.openxmlformats.org/officeDocument/2006/relationships">
  <dimension ref="A1:Z42"/>
  <sheetViews>
    <sheetView zoomScaleSheetLayoutView="100" workbookViewId="0">
      <selection activeCell="C13" sqref="C13"/>
    </sheetView>
  </sheetViews>
  <sheetFormatPr defaultRowHeight="14.4"/>
  <cols>
    <col min="1" max="1" width="43.88671875" customWidth="1"/>
    <col min="2" max="2" width="14.33203125" customWidth="1"/>
    <col min="3" max="3" width="14.88671875" customWidth="1"/>
    <col min="4" max="4" width="22.5546875" customWidth="1"/>
    <col min="6" max="6" width="5.33203125" customWidth="1"/>
    <col min="7" max="13" width="9.109375" hidden="1" customWidth="1"/>
    <col min="14" max="14" width="5.33203125" hidden="1" customWidth="1"/>
    <col min="19" max="19" width="6.5546875" customWidth="1"/>
    <col min="20" max="22" width="9.109375" hidden="1" customWidth="1"/>
    <col min="25" max="25" width="0.109375" customWidth="1"/>
    <col min="26" max="26" width="9.109375" hidden="1" customWidth="1"/>
  </cols>
  <sheetData>
    <row r="1" spans="1:4" ht="47.4" customHeight="1" thickBot="1">
      <c r="A1" s="1217" t="s">
        <v>765</v>
      </c>
      <c r="B1" s="1218"/>
      <c r="C1" s="1218"/>
      <c r="D1" s="1219"/>
    </row>
    <row r="2" spans="1:4">
      <c r="A2" s="1220" t="s">
        <v>766</v>
      </c>
      <c r="B2" s="1221"/>
      <c r="C2" s="1221"/>
      <c r="D2" s="1222"/>
    </row>
    <row r="3" spans="1:4" ht="15.6">
      <c r="A3" s="1223" t="s">
        <v>767</v>
      </c>
      <c r="B3" s="1224"/>
      <c r="C3" s="1224"/>
      <c r="D3" s="1225"/>
    </row>
    <row r="4" spans="1:4" ht="15" customHeight="1">
      <c r="A4" s="1226" t="s">
        <v>768</v>
      </c>
      <c r="B4" s="1227"/>
      <c r="C4" s="1227"/>
      <c r="D4" s="1228"/>
    </row>
    <row r="5" spans="1:4">
      <c r="A5" s="664"/>
      <c r="B5" s="665"/>
      <c r="C5" s="665"/>
      <c r="D5" s="666"/>
    </row>
    <row r="6" spans="1:4">
      <c r="A6" s="664" t="s">
        <v>769</v>
      </c>
      <c r="B6" s="701">
        <f>Master!F10</f>
        <v>44652</v>
      </c>
      <c r="C6" s="667"/>
      <c r="D6" s="666"/>
    </row>
    <row r="7" spans="1:4">
      <c r="A7" s="664"/>
      <c r="B7" s="665"/>
      <c r="C7" s="665"/>
      <c r="D7" s="666"/>
    </row>
    <row r="8" spans="1:4">
      <c r="A8" s="664" t="s">
        <v>770</v>
      </c>
      <c r="B8" s="702" t="str">
        <f>Master!F5</f>
        <v>GROTECH LANDSCAPE DEVELOPERS PVT. LTD.</v>
      </c>
      <c r="C8" s="665"/>
      <c r="D8" s="666"/>
    </row>
    <row r="9" spans="1:4">
      <c r="A9" s="15"/>
      <c r="B9" s="114"/>
      <c r="C9" s="665"/>
      <c r="D9" s="666"/>
    </row>
    <row r="10" spans="1:4">
      <c r="A10" s="664" t="s">
        <v>771</v>
      </c>
      <c r="B10" s="702"/>
      <c r="C10" s="665"/>
      <c r="D10" s="666"/>
    </row>
    <row r="11" spans="1:4">
      <c r="A11" s="703" t="str">
        <f>Master!F6</f>
        <v>290/E, Khanapur Village, Gandipet Mandal, Ranga Reddy, Hyderabad-500075 T.S.</v>
      </c>
      <c r="B11" s="702"/>
      <c r="C11" s="665"/>
      <c r="D11" s="666"/>
    </row>
    <row r="12" spans="1:4">
      <c r="A12" s="664" t="s">
        <v>772</v>
      </c>
      <c r="B12" s="708">
        <v>36942211242</v>
      </c>
      <c r="C12" s="714" t="s">
        <v>804</v>
      </c>
      <c r="D12" s="666"/>
    </row>
    <row r="13" spans="1:4">
      <c r="A13" s="664"/>
      <c r="B13" s="667"/>
      <c r="C13" s="665"/>
      <c r="D13" s="666"/>
    </row>
    <row r="14" spans="1:4">
      <c r="A14" s="664" t="s">
        <v>773</v>
      </c>
      <c r="B14" s="665"/>
      <c r="C14" s="665"/>
      <c r="D14" s="666"/>
    </row>
    <row r="15" spans="1:4" ht="15" thickBot="1">
      <c r="A15" s="664"/>
      <c r="B15" s="665"/>
      <c r="C15" s="665"/>
      <c r="D15" s="666"/>
    </row>
    <row r="16" spans="1:4" ht="28.5" customHeight="1" thickBot="1">
      <c r="A16" s="668" t="s">
        <v>774</v>
      </c>
      <c r="B16" s="669" t="s">
        <v>775</v>
      </c>
      <c r="C16" s="669" t="s">
        <v>776</v>
      </c>
      <c r="D16" s="670" t="s">
        <v>777</v>
      </c>
    </row>
    <row r="17" spans="1:4" ht="23.25" customHeight="1">
      <c r="A17" s="671"/>
      <c r="B17" s="672"/>
      <c r="C17" s="672"/>
      <c r="D17" s="673"/>
    </row>
    <row r="18" spans="1:4" ht="35.1" customHeight="1">
      <c r="A18" s="704" t="s">
        <v>797</v>
      </c>
      <c r="B18" s="674">
        <v>49</v>
      </c>
      <c r="C18" s="697">
        <v>0</v>
      </c>
      <c r="D18" s="698">
        <f>B18*C18</f>
        <v>0</v>
      </c>
    </row>
    <row r="19" spans="1:4" ht="35.1" customHeight="1">
      <c r="A19" s="704" t="s">
        <v>798</v>
      </c>
      <c r="B19" s="676">
        <v>2</v>
      </c>
      <c r="C19" s="675">
        <v>150</v>
      </c>
      <c r="D19" s="698">
        <f>B19*C19</f>
        <v>300</v>
      </c>
    </row>
    <row r="20" spans="1:4" ht="35.1" customHeight="1">
      <c r="A20" s="704" t="s">
        <v>799</v>
      </c>
      <c r="B20" s="676">
        <v>1</v>
      </c>
      <c r="C20" s="675">
        <v>200</v>
      </c>
      <c r="D20" s="698">
        <f>B20*C20</f>
        <v>200</v>
      </c>
    </row>
    <row r="21" spans="1:4" ht="35.1" customHeight="1">
      <c r="A21" s="677" t="s">
        <v>778</v>
      </c>
      <c r="B21" s="678"/>
      <c r="C21" s="679"/>
      <c r="D21" s="699">
        <f>SUM(D18:D20)</f>
        <v>500</v>
      </c>
    </row>
    <row r="22" spans="1:4" ht="54" customHeight="1">
      <c r="A22" s="680" t="s">
        <v>779</v>
      </c>
      <c r="B22" s="681"/>
      <c r="C22" s="681"/>
      <c r="D22" s="682"/>
    </row>
    <row r="23" spans="1:4" ht="24.75" customHeight="1" thickBot="1">
      <c r="A23" s="683"/>
      <c r="B23" s="684"/>
      <c r="C23" s="684"/>
      <c r="D23" s="685"/>
    </row>
    <row r="24" spans="1:4" ht="23.25" customHeight="1" thickBot="1">
      <c r="A24" s="686" t="s">
        <v>780</v>
      </c>
      <c r="B24" s="687"/>
      <c r="C24" s="687"/>
      <c r="D24" s="700">
        <f>D21</f>
        <v>500</v>
      </c>
    </row>
    <row r="25" spans="1:4">
      <c r="A25" s="664"/>
      <c r="B25" s="665"/>
      <c r="C25" s="665"/>
      <c r="D25" s="666"/>
    </row>
    <row r="26" spans="1:4">
      <c r="A26" s="664" t="s">
        <v>781</v>
      </c>
      <c r="B26" s="665" t="s">
        <v>782</v>
      </c>
      <c r="C26" s="688"/>
      <c r="D26" s="689" t="s">
        <v>783</v>
      </c>
    </row>
    <row r="27" spans="1:4" ht="15" customHeight="1">
      <c r="A27" s="1229" t="s">
        <v>784</v>
      </c>
      <c r="B27" s="1230"/>
      <c r="C27" s="1230"/>
      <c r="D27" s="1231"/>
    </row>
    <row r="28" spans="1:4">
      <c r="A28" s="664"/>
      <c r="B28" s="665"/>
      <c r="C28" s="665"/>
      <c r="D28" s="666"/>
    </row>
    <row r="29" spans="1:4" ht="15" customHeight="1">
      <c r="A29" s="1232" t="s">
        <v>785</v>
      </c>
      <c r="B29" s="1233"/>
      <c r="C29" s="1233"/>
      <c r="D29" s="1234"/>
    </row>
    <row r="30" spans="1:4">
      <c r="A30" s="664"/>
      <c r="B30" s="665"/>
      <c r="C30" s="665"/>
      <c r="D30" s="666"/>
    </row>
    <row r="31" spans="1:4">
      <c r="A31" s="664" t="s">
        <v>786</v>
      </c>
      <c r="B31" s="665"/>
      <c r="C31" s="665" t="s">
        <v>787</v>
      </c>
      <c r="D31" s="666"/>
    </row>
    <row r="32" spans="1:4">
      <c r="A32" s="690" t="s">
        <v>788</v>
      </c>
      <c r="B32" s="665"/>
      <c r="C32" s="665" t="s">
        <v>789</v>
      </c>
      <c r="D32" s="666"/>
    </row>
    <row r="33" spans="1:4">
      <c r="A33" s="664"/>
      <c r="B33" s="665"/>
      <c r="C33" s="665"/>
      <c r="D33" s="666"/>
    </row>
    <row r="34" spans="1:4">
      <c r="A34" s="1214" t="s">
        <v>790</v>
      </c>
      <c r="B34" s="1215"/>
      <c r="C34" s="1215"/>
      <c r="D34" s="1216"/>
    </row>
    <row r="35" spans="1:4">
      <c r="A35" s="691"/>
      <c r="B35" s="692"/>
      <c r="C35" s="692"/>
      <c r="D35" s="693"/>
    </row>
    <row r="36" spans="1:4">
      <c r="A36" s="664" t="s">
        <v>791</v>
      </c>
      <c r="B36" s="665"/>
      <c r="C36" s="665"/>
      <c r="D36" s="666"/>
    </row>
    <row r="37" spans="1:4">
      <c r="A37" s="664"/>
      <c r="B37" s="665"/>
      <c r="C37" s="665"/>
      <c r="D37" s="666"/>
    </row>
    <row r="38" spans="1:4">
      <c r="A38" s="675" t="s">
        <v>792</v>
      </c>
      <c r="B38" s="665" t="s">
        <v>793</v>
      </c>
      <c r="C38" s="675"/>
      <c r="D38" s="666"/>
    </row>
    <row r="39" spans="1:4">
      <c r="A39" s="675" t="s">
        <v>794</v>
      </c>
      <c r="B39" s="665" t="s">
        <v>793</v>
      </c>
      <c r="C39" s="675"/>
      <c r="D39" s="666"/>
    </row>
    <row r="40" spans="1:4">
      <c r="A40" s="675" t="s">
        <v>795</v>
      </c>
      <c r="B40" s="665" t="s">
        <v>793</v>
      </c>
      <c r="C40" s="675"/>
      <c r="D40" s="666"/>
    </row>
    <row r="41" spans="1:4">
      <c r="A41" s="664"/>
      <c r="B41" s="665"/>
      <c r="C41" s="665"/>
      <c r="D41" s="666"/>
    </row>
    <row r="42" spans="1:4" ht="25.5" customHeight="1" thickBot="1">
      <c r="A42" s="694"/>
      <c r="B42" s="695"/>
      <c r="C42" s="695" t="s">
        <v>796</v>
      </c>
      <c r="D42" s="696"/>
    </row>
  </sheetData>
  <mergeCells count="7">
    <mergeCell ref="A34:D34"/>
    <mergeCell ref="A1:D1"/>
    <mergeCell ref="A2:D2"/>
    <mergeCell ref="A3:D3"/>
    <mergeCell ref="A4:D4"/>
    <mergeCell ref="A27:D27"/>
    <mergeCell ref="A29:D29"/>
  </mergeCells>
  <pageMargins left="0.85" right="0.7" top="0.75" bottom="0.75" header="0.3" footer="0.3"/>
  <pageSetup paperSize="9" scale="90" orientation="portrait" horizontalDpi="300" verticalDpi="300" r:id="rId1"/>
</worksheet>
</file>

<file path=xl/worksheets/sheet22.xml><?xml version="1.0" encoding="utf-8"?>
<worksheet xmlns="http://schemas.openxmlformats.org/spreadsheetml/2006/main" xmlns:r="http://schemas.openxmlformats.org/officeDocument/2006/relationships">
  <dimension ref="A2:K32"/>
  <sheetViews>
    <sheetView topLeftCell="C1" workbookViewId="0">
      <selection activeCell="J3" sqref="J3"/>
    </sheetView>
  </sheetViews>
  <sheetFormatPr defaultRowHeight="14.4"/>
  <cols>
    <col min="1" max="1" width="6.5546875" customWidth="1"/>
    <col min="2" max="2" width="27.33203125" customWidth="1"/>
    <col min="3" max="3" width="17.44140625" customWidth="1"/>
    <col min="4" max="4" width="23.44140625" customWidth="1"/>
    <col min="5" max="5" width="26.6640625" customWidth="1"/>
    <col min="6" max="6" width="18.33203125" customWidth="1"/>
    <col min="7" max="7" width="16.88671875" customWidth="1"/>
    <col min="8" max="9" width="17.5546875" customWidth="1"/>
    <col min="10" max="10" width="21.33203125" customWidth="1"/>
    <col min="11" max="11" width="14.44140625" customWidth="1"/>
  </cols>
  <sheetData>
    <row r="2" spans="1:11">
      <c r="A2" s="855" t="s">
        <v>251</v>
      </c>
      <c r="B2" s="855" t="s">
        <v>1106</v>
      </c>
      <c r="C2" s="855" t="s">
        <v>1105</v>
      </c>
      <c r="D2" s="855" t="s">
        <v>1107</v>
      </c>
      <c r="E2" s="855" t="s">
        <v>1114</v>
      </c>
      <c r="F2" s="855" t="s">
        <v>1108</v>
      </c>
      <c r="G2" s="855" t="s">
        <v>1109</v>
      </c>
      <c r="H2" s="855" t="s">
        <v>1110</v>
      </c>
      <c r="I2" s="855" t="s">
        <v>1112</v>
      </c>
      <c r="J2" s="855" t="s">
        <v>1111</v>
      </c>
      <c r="K2" s="855" t="s">
        <v>1113</v>
      </c>
    </row>
    <row r="3" spans="1:11">
      <c r="A3" s="136"/>
      <c r="B3" s="136"/>
      <c r="C3" s="136"/>
      <c r="D3" s="136"/>
      <c r="E3" s="136"/>
      <c r="F3" s="136"/>
      <c r="G3" s="136"/>
      <c r="H3" s="136"/>
      <c r="I3" s="136"/>
      <c r="J3" s="136"/>
      <c r="K3" s="136"/>
    </row>
    <row r="4" spans="1:11">
      <c r="A4" s="136"/>
      <c r="B4" s="136"/>
      <c r="C4" s="136"/>
      <c r="D4" s="136"/>
      <c r="E4" s="136"/>
      <c r="F4" s="136"/>
      <c r="G4" s="136"/>
      <c r="H4" s="136"/>
      <c r="I4" s="136"/>
      <c r="J4" s="136"/>
      <c r="K4" s="136"/>
    </row>
    <row r="5" spans="1:11">
      <c r="A5" s="136"/>
      <c r="B5" s="136"/>
      <c r="C5" s="136"/>
      <c r="D5" s="136"/>
      <c r="E5" s="136"/>
      <c r="F5" s="136"/>
      <c r="G5" s="136"/>
      <c r="H5" s="136"/>
      <c r="I5" s="136"/>
      <c r="J5" s="136"/>
      <c r="K5" s="136"/>
    </row>
    <row r="6" spans="1:11">
      <c r="A6" s="136"/>
      <c r="B6" s="136"/>
      <c r="C6" s="136"/>
      <c r="D6" s="136"/>
      <c r="E6" s="136"/>
      <c r="F6" s="136"/>
      <c r="G6" s="136"/>
      <c r="H6" s="136"/>
      <c r="I6" s="136"/>
      <c r="J6" s="136"/>
      <c r="K6" s="136"/>
    </row>
    <row r="7" spans="1:11">
      <c r="A7" s="136"/>
      <c r="B7" s="136"/>
      <c r="C7" s="136"/>
      <c r="D7" s="136"/>
      <c r="E7" s="136"/>
      <c r="F7" s="136"/>
      <c r="G7" s="136"/>
      <c r="H7" s="136"/>
      <c r="I7" s="136"/>
      <c r="J7" s="136"/>
      <c r="K7" s="136"/>
    </row>
    <row r="8" spans="1:11">
      <c r="A8" s="136"/>
      <c r="B8" s="136"/>
      <c r="C8" s="136"/>
      <c r="D8" s="136"/>
      <c r="E8" s="136"/>
      <c r="F8" s="136"/>
      <c r="G8" s="136"/>
      <c r="H8" s="136"/>
      <c r="I8" s="136"/>
      <c r="J8" s="136"/>
      <c r="K8" s="136"/>
    </row>
    <row r="9" spans="1:11">
      <c r="A9" s="136"/>
      <c r="B9" s="136"/>
      <c r="C9" s="136"/>
      <c r="D9" s="136"/>
      <c r="E9" s="136"/>
      <c r="F9" s="136"/>
      <c r="G9" s="136"/>
      <c r="H9" s="136"/>
      <c r="I9" s="136"/>
      <c r="J9" s="136"/>
      <c r="K9" s="136"/>
    </row>
    <row r="10" spans="1:11">
      <c r="A10" s="136"/>
      <c r="B10" s="136"/>
      <c r="C10" s="136"/>
      <c r="D10" s="136"/>
      <c r="E10" s="136"/>
      <c r="F10" s="136"/>
      <c r="G10" s="136"/>
      <c r="H10" s="136"/>
      <c r="I10" s="136"/>
      <c r="J10" s="136"/>
      <c r="K10" s="136"/>
    </row>
    <row r="11" spans="1:11">
      <c r="A11" s="136"/>
      <c r="B11" s="136"/>
      <c r="C11" s="136"/>
      <c r="D11" s="136"/>
      <c r="E11" s="136"/>
      <c r="F11" s="136"/>
      <c r="G11" s="136"/>
      <c r="H11" s="136"/>
      <c r="I11" s="136"/>
      <c r="J11" s="136"/>
      <c r="K11" s="136"/>
    </row>
    <row r="12" spans="1:11">
      <c r="A12" s="136"/>
      <c r="B12" s="136"/>
      <c r="C12" s="136"/>
      <c r="D12" s="136"/>
      <c r="E12" s="136"/>
      <c r="F12" s="136"/>
      <c r="G12" s="136"/>
      <c r="H12" s="136"/>
      <c r="I12" s="136"/>
      <c r="J12" s="136"/>
      <c r="K12" s="136"/>
    </row>
    <row r="13" spans="1:11">
      <c r="A13" s="136"/>
      <c r="B13" s="136"/>
      <c r="C13" s="136"/>
      <c r="D13" s="136"/>
      <c r="E13" s="136"/>
      <c r="F13" s="136"/>
      <c r="G13" s="136"/>
      <c r="H13" s="136"/>
      <c r="I13" s="136"/>
      <c r="J13" s="136"/>
      <c r="K13" s="136"/>
    </row>
    <row r="14" spans="1:11">
      <c r="A14" s="136"/>
      <c r="B14" s="136"/>
      <c r="C14" s="136"/>
      <c r="D14" s="136"/>
      <c r="E14" s="136"/>
      <c r="F14" s="136"/>
      <c r="G14" s="136"/>
      <c r="H14" s="136"/>
      <c r="I14" s="136"/>
      <c r="J14" s="136"/>
      <c r="K14" s="136"/>
    </row>
    <row r="15" spans="1:11">
      <c r="A15" s="136"/>
      <c r="B15" s="136"/>
      <c r="C15" s="136"/>
      <c r="D15" s="136"/>
      <c r="E15" s="136"/>
      <c r="F15" s="136"/>
      <c r="G15" s="136"/>
      <c r="H15" s="136"/>
      <c r="I15" s="136"/>
      <c r="J15" s="136"/>
      <c r="K15" s="136"/>
    </row>
    <row r="16" spans="1:11">
      <c r="A16" s="136"/>
      <c r="B16" s="136"/>
      <c r="C16" s="136"/>
      <c r="D16" s="136"/>
      <c r="E16" s="136"/>
      <c r="F16" s="136"/>
      <c r="G16" s="136"/>
      <c r="H16" s="136"/>
      <c r="I16" s="136"/>
      <c r="J16" s="136"/>
      <c r="K16" s="136"/>
    </row>
    <row r="17" spans="1:11">
      <c r="A17" s="136"/>
      <c r="B17" s="136"/>
      <c r="C17" s="136"/>
      <c r="D17" s="136"/>
      <c r="E17" s="136"/>
      <c r="F17" s="136"/>
      <c r="G17" s="136"/>
      <c r="H17" s="136"/>
      <c r="I17" s="136"/>
      <c r="J17" s="136"/>
      <c r="K17" s="136"/>
    </row>
    <row r="18" spans="1:11">
      <c r="A18" s="136"/>
      <c r="B18" s="136"/>
      <c r="C18" s="136"/>
      <c r="D18" s="136"/>
      <c r="E18" s="136"/>
      <c r="F18" s="136"/>
      <c r="G18" s="136"/>
      <c r="H18" s="136"/>
      <c r="I18" s="136"/>
      <c r="J18" s="136"/>
      <c r="K18" s="136"/>
    </row>
    <row r="19" spans="1:11">
      <c r="A19" s="136"/>
      <c r="B19" s="136"/>
      <c r="C19" s="136"/>
      <c r="D19" s="136"/>
      <c r="E19" s="136"/>
      <c r="F19" s="136"/>
      <c r="G19" s="136"/>
      <c r="H19" s="136"/>
      <c r="I19" s="136"/>
      <c r="J19" s="136"/>
      <c r="K19" s="136"/>
    </row>
    <row r="20" spans="1:11">
      <c r="A20" s="136"/>
      <c r="B20" s="136"/>
      <c r="C20" s="136"/>
      <c r="D20" s="136"/>
      <c r="E20" s="136"/>
      <c r="F20" s="136"/>
      <c r="G20" s="136"/>
      <c r="H20" s="136"/>
      <c r="I20" s="136"/>
      <c r="J20" s="136"/>
      <c r="K20" s="136"/>
    </row>
    <row r="21" spans="1:11">
      <c r="A21" s="136"/>
      <c r="B21" s="136"/>
      <c r="C21" s="136"/>
      <c r="D21" s="136"/>
      <c r="E21" s="136"/>
      <c r="F21" s="136"/>
      <c r="G21" s="136"/>
      <c r="H21" s="136"/>
      <c r="I21" s="136"/>
      <c r="J21" s="136"/>
      <c r="K21" s="136"/>
    </row>
    <row r="22" spans="1:11">
      <c r="A22" s="136"/>
      <c r="B22" s="136"/>
      <c r="C22" s="136"/>
      <c r="D22" s="136"/>
      <c r="E22" s="136"/>
      <c r="F22" s="136"/>
      <c r="G22" s="136"/>
      <c r="H22" s="136"/>
      <c r="I22" s="136"/>
      <c r="J22" s="136"/>
      <c r="K22" s="136"/>
    </row>
    <row r="23" spans="1:11">
      <c r="A23" s="136"/>
      <c r="B23" s="136"/>
      <c r="C23" s="136"/>
      <c r="D23" s="136"/>
      <c r="E23" s="136"/>
      <c r="F23" s="136"/>
      <c r="G23" s="136"/>
      <c r="H23" s="136"/>
      <c r="I23" s="136"/>
      <c r="J23" s="136"/>
      <c r="K23" s="136"/>
    </row>
    <row r="24" spans="1:11">
      <c r="A24" s="136"/>
      <c r="B24" s="136"/>
      <c r="C24" s="136"/>
      <c r="D24" s="136"/>
      <c r="E24" s="136"/>
      <c r="F24" s="136"/>
      <c r="G24" s="136"/>
      <c r="H24" s="136"/>
      <c r="I24" s="136"/>
      <c r="J24" s="136"/>
      <c r="K24" s="136"/>
    </row>
    <row r="25" spans="1:11">
      <c r="A25" s="136"/>
      <c r="B25" s="136"/>
      <c r="C25" s="136"/>
      <c r="D25" s="136"/>
      <c r="E25" s="136"/>
      <c r="F25" s="136"/>
      <c r="G25" s="136"/>
      <c r="H25" s="136"/>
      <c r="I25" s="136"/>
      <c r="J25" s="136"/>
      <c r="K25" s="136"/>
    </row>
    <row r="26" spans="1:11">
      <c r="A26" s="136"/>
      <c r="B26" s="136"/>
      <c r="C26" s="136"/>
      <c r="D26" s="136"/>
      <c r="E26" s="136"/>
      <c r="F26" s="136"/>
      <c r="G26" s="136"/>
      <c r="H26" s="136"/>
      <c r="I26" s="136"/>
      <c r="J26" s="136"/>
      <c r="K26" s="136"/>
    </row>
    <row r="27" spans="1:11">
      <c r="A27" s="136"/>
      <c r="B27" s="136"/>
      <c r="C27" s="136"/>
      <c r="D27" s="136"/>
      <c r="E27" s="136"/>
      <c r="F27" s="136"/>
      <c r="G27" s="136"/>
      <c r="H27" s="136"/>
      <c r="I27" s="136"/>
      <c r="J27" s="136"/>
      <c r="K27" s="136"/>
    </row>
    <row r="28" spans="1:11">
      <c r="A28" s="136"/>
      <c r="B28" s="136"/>
      <c r="C28" s="136"/>
      <c r="D28" s="136"/>
      <c r="E28" s="136"/>
      <c r="F28" s="136"/>
      <c r="G28" s="136"/>
      <c r="H28" s="136"/>
      <c r="I28" s="136"/>
      <c r="J28" s="136"/>
      <c r="K28" s="136"/>
    </row>
    <row r="29" spans="1:11">
      <c r="A29" s="136"/>
      <c r="B29" s="136"/>
      <c r="C29" s="136"/>
      <c r="D29" s="136"/>
      <c r="E29" s="136"/>
      <c r="F29" s="136"/>
      <c r="G29" s="136"/>
      <c r="H29" s="136"/>
      <c r="I29" s="136"/>
      <c r="J29" s="136"/>
      <c r="K29" s="136"/>
    </row>
    <row r="30" spans="1:11">
      <c r="A30" s="136"/>
      <c r="B30" s="136"/>
      <c r="C30" s="136"/>
      <c r="D30" s="136"/>
      <c r="E30" s="136"/>
      <c r="F30" s="136"/>
      <c r="G30" s="136"/>
      <c r="H30" s="136"/>
      <c r="I30" s="136"/>
      <c r="J30" s="136"/>
      <c r="K30" s="136"/>
    </row>
    <row r="31" spans="1:11">
      <c r="A31" s="136"/>
      <c r="B31" s="136"/>
      <c r="C31" s="136"/>
      <c r="D31" s="136"/>
      <c r="E31" s="136"/>
      <c r="F31" s="136"/>
      <c r="G31" s="136"/>
      <c r="H31" s="136"/>
      <c r="I31" s="136"/>
      <c r="J31" s="136"/>
      <c r="K31" s="136"/>
    </row>
    <row r="32" spans="1:11">
      <c r="A32" s="136"/>
      <c r="B32" s="136"/>
      <c r="C32" s="136"/>
      <c r="D32" s="136"/>
      <c r="E32" s="136"/>
      <c r="F32" s="136"/>
      <c r="G32" s="136"/>
      <c r="H32" s="136"/>
      <c r="I32" s="136"/>
      <c r="J32" s="136"/>
      <c r="K32" s="136"/>
    </row>
  </sheetData>
  <pageMargins left="0.7" right="0.7" top="0.75" bottom="0.75" header="0.3" footer="0.3"/>
  <pageSetup scale="60" orientation="landscape" horizontalDpi="300" verticalDpi="300" r:id="rId1"/>
</worksheet>
</file>

<file path=xl/worksheets/sheet23.xml><?xml version="1.0" encoding="utf-8"?>
<worksheet xmlns="http://schemas.openxmlformats.org/spreadsheetml/2006/main" xmlns:r="http://schemas.openxmlformats.org/officeDocument/2006/relationships">
  <dimension ref="A1:R78"/>
  <sheetViews>
    <sheetView view="pageBreakPreview" zoomScaleSheetLayoutView="100" workbookViewId="0">
      <selection activeCell="B9" sqref="B9"/>
    </sheetView>
  </sheetViews>
  <sheetFormatPr defaultRowHeight="14.4"/>
  <cols>
    <col min="1" max="1" width="7.5546875" customWidth="1"/>
    <col min="2" max="2" width="30.6640625" customWidth="1"/>
    <col min="3" max="3" width="24.6640625" customWidth="1"/>
    <col min="4" max="4" width="10.33203125" customWidth="1"/>
    <col min="5" max="5" width="19" customWidth="1"/>
    <col min="6" max="11" width="9.33203125" bestFit="1" customWidth="1"/>
    <col min="12" max="12" width="9.88671875" bestFit="1" customWidth="1"/>
    <col min="13" max="14" width="9.33203125" bestFit="1" customWidth="1"/>
    <col min="15" max="15" width="10.6640625" customWidth="1"/>
    <col min="16" max="16" width="14.44140625" customWidth="1"/>
    <col min="17" max="17" width="22.88671875" customWidth="1"/>
    <col min="18" max="18" width="8.88671875" hidden="1" customWidth="1"/>
  </cols>
  <sheetData>
    <row r="1" spans="1:17" s="819" customFormat="1" ht="47.4" customHeight="1">
      <c r="A1" s="1237" t="s">
        <v>1084</v>
      </c>
      <c r="B1" s="1238"/>
      <c r="C1" s="1238"/>
      <c r="D1" s="1238"/>
      <c r="E1" s="1238"/>
      <c r="F1" s="1238"/>
      <c r="G1" s="1238"/>
      <c r="H1" s="1238"/>
      <c r="I1" s="1238"/>
      <c r="J1" s="1238"/>
      <c r="K1" s="1238"/>
      <c r="L1" s="1238"/>
      <c r="M1" s="1238"/>
      <c r="N1" s="1238"/>
      <c r="O1" s="1238"/>
      <c r="P1" s="1238"/>
      <c r="Q1" s="825" t="s">
        <v>1172</v>
      </c>
    </row>
    <row r="2" spans="1:17" ht="15.6">
      <c r="A2" s="1239" t="s">
        <v>1083</v>
      </c>
      <c r="B2" s="1240"/>
      <c r="C2" s="1240"/>
      <c r="D2" s="1240"/>
      <c r="E2" s="1240"/>
      <c r="F2" s="1240"/>
      <c r="G2" s="1240"/>
      <c r="H2" s="1240"/>
      <c r="I2" s="1240"/>
      <c r="J2" s="1240"/>
      <c r="K2" s="1240"/>
      <c r="L2" s="1240"/>
      <c r="M2" s="1240"/>
      <c r="N2" s="1240"/>
      <c r="O2" s="1240"/>
      <c r="P2" s="1240"/>
      <c r="Q2" s="619"/>
    </row>
    <row r="3" spans="1:17">
      <c r="A3" s="620"/>
      <c r="B3" s="611"/>
      <c r="C3" s="153"/>
      <c r="D3" s="153"/>
      <c r="E3" s="588"/>
      <c r="F3" s="588"/>
      <c r="G3" s="588"/>
      <c r="H3" s="235"/>
      <c r="I3" s="201"/>
      <c r="J3" s="235"/>
      <c r="K3" s="201"/>
      <c r="L3" s="136"/>
      <c r="M3" s="235"/>
      <c r="N3" s="153"/>
      <c r="O3" s="153"/>
      <c r="P3" s="153"/>
      <c r="Q3" s="621"/>
    </row>
    <row r="4" spans="1:17" ht="15.6">
      <c r="A4" s="321" t="s">
        <v>236</v>
      </c>
      <c r="B4" s="314"/>
      <c r="C4" s="317" t="str">
        <f>Master!F5</f>
        <v>GROTECH LANDSCAPE DEVELOPERS PVT. LTD.</v>
      </c>
      <c r="D4" s="153"/>
      <c r="E4" s="315"/>
      <c r="F4" s="315"/>
      <c r="G4" s="316"/>
      <c r="H4" s="334"/>
      <c r="I4" s="316"/>
      <c r="J4" s="319" t="s">
        <v>200</v>
      </c>
      <c r="K4" s="61"/>
      <c r="L4" s="320">
        <f>Master!F10</f>
        <v>44652</v>
      </c>
      <c r="M4" s="235"/>
      <c r="N4" s="315"/>
      <c r="O4" s="315"/>
      <c r="P4" s="315"/>
      <c r="Q4" s="622"/>
    </row>
    <row r="5" spans="1:17">
      <c r="A5" s="623"/>
      <c r="B5" s="612"/>
      <c r="C5" s="613" t="str">
        <f>Master!F6</f>
        <v>290/E, Khanapur Village, Gandipet Mandal, Ranga Reddy, Hyderabad-500075 T.S.</v>
      </c>
      <c r="D5" s="614"/>
      <c r="E5" s="615"/>
      <c r="F5" s="615"/>
      <c r="G5" s="616"/>
      <c r="H5" s="613"/>
      <c r="I5" s="617"/>
      <c r="J5" s="613"/>
      <c r="K5" s="617"/>
      <c r="L5" s="618"/>
      <c r="M5" s="613"/>
      <c r="N5" s="614"/>
      <c r="O5" s="614"/>
      <c r="P5" s="614"/>
      <c r="Q5" s="624"/>
    </row>
    <row r="6" spans="1:17">
      <c r="A6" s="1241" t="s">
        <v>139</v>
      </c>
      <c r="B6" s="1243" t="s">
        <v>140</v>
      </c>
      <c r="C6" s="1243" t="s">
        <v>141</v>
      </c>
      <c r="D6" s="1244" t="s">
        <v>142</v>
      </c>
      <c r="E6" s="1235" t="s">
        <v>143</v>
      </c>
      <c r="F6" s="1235" t="s">
        <v>144</v>
      </c>
      <c r="G6" s="1235" t="s">
        <v>145</v>
      </c>
      <c r="H6" s="1244" t="s">
        <v>146</v>
      </c>
      <c r="I6" s="1245" t="s">
        <v>147</v>
      </c>
      <c r="J6" s="1245"/>
      <c r="K6" s="1245"/>
      <c r="L6" s="1235" t="s">
        <v>148</v>
      </c>
      <c r="M6" s="1235" t="s">
        <v>149</v>
      </c>
      <c r="N6" s="1235" t="s">
        <v>150</v>
      </c>
      <c r="O6" s="1235" t="s">
        <v>151</v>
      </c>
      <c r="P6" s="1235" t="s">
        <v>152</v>
      </c>
      <c r="Q6" s="625"/>
    </row>
    <row r="7" spans="1:17" ht="123.75" customHeight="1">
      <c r="A7" s="1242"/>
      <c r="B7" s="1243"/>
      <c r="C7" s="1243"/>
      <c r="D7" s="1244"/>
      <c r="E7" s="1236"/>
      <c r="F7" s="1236"/>
      <c r="G7" s="1236"/>
      <c r="H7" s="1244"/>
      <c r="I7" s="313" t="s">
        <v>153</v>
      </c>
      <c r="J7" s="313" t="s">
        <v>154</v>
      </c>
      <c r="K7" s="313" t="s">
        <v>155</v>
      </c>
      <c r="L7" s="1236"/>
      <c r="M7" s="1236"/>
      <c r="N7" s="1236"/>
      <c r="O7" s="1236"/>
      <c r="P7" s="1236"/>
      <c r="Q7" s="626" t="s">
        <v>156</v>
      </c>
    </row>
    <row r="8" spans="1:17">
      <c r="A8" s="308">
        <v>1</v>
      </c>
      <c r="B8" s="309">
        <v>2</v>
      </c>
      <c r="C8" s="310">
        <v>3</v>
      </c>
      <c r="D8" s="310">
        <v>4</v>
      </c>
      <c r="E8" s="310">
        <v>5</v>
      </c>
      <c r="F8" s="310">
        <v>6</v>
      </c>
      <c r="G8" s="310">
        <v>7</v>
      </c>
      <c r="H8" s="310">
        <v>8</v>
      </c>
      <c r="I8" s="310">
        <v>9</v>
      </c>
      <c r="J8" s="310">
        <v>10</v>
      </c>
      <c r="K8" s="310">
        <v>11</v>
      </c>
      <c r="L8" s="310">
        <v>12</v>
      </c>
      <c r="M8" s="310">
        <v>13</v>
      </c>
      <c r="N8" s="310">
        <v>14</v>
      </c>
      <c r="O8" s="310">
        <v>15</v>
      </c>
      <c r="P8" s="310">
        <v>16</v>
      </c>
      <c r="Q8" s="437"/>
    </row>
    <row r="9" spans="1:17" ht="30" customHeight="1">
      <c r="A9" s="311">
        <v>1</v>
      </c>
      <c r="B9" s="301" t="str">
        <f>Master!D15</f>
        <v>ARJUN KUMAR</v>
      </c>
      <c r="C9" s="302" t="str">
        <f>Master!G15</f>
        <v xml:space="preserve">kallu </v>
      </c>
      <c r="D9" s="300" t="s">
        <v>157</v>
      </c>
      <c r="E9" s="303" t="str">
        <f>Master!J15</f>
        <v>Supervisor</v>
      </c>
      <c r="F9" s="304">
        <f>Master!W15</f>
        <v>0</v>
      </c>
      <c r="G9" s="304">
        <f>Master!AG15</f>
        <v>0</v>
      </c>
      <c r="H9" s="304">
        <v>1442</v>
      </c>
      <c r="I9" s="300" t="s">
        <v>28</v>
      </c>
      <c r="J9" s="300" t="s">
        <v>28</v>
      </c>
      <c r="K9" s="300" t="s">
        <v>28</v>
      </c>
      <c r="L9" s="300" t="s">
        <v>28</v>
      </c>
      <c r="M9" s="304">
        <f>H9</f>
        <v>1442</v>
      </c>
      <c r="N9" s="304">
        <f>M9</f>
        <v>1442</v>
      </c>
      <c r="O9" s="305">
        <f>Master!AO15</f>
        <v>0</v>
      </c>
      <c r="P9" s="301">
        <f>Master!AP15</f>
        <v>0</v>
      </c>
      <c r="Q9" s="627">
        <f>Master!AU15</f>
        <v>6912137285</v>
      </c>
    </row>
    <row r="10" spans="1:17" ht="30" customHeight="1">
      <c r="A10" s="311">
        <v>2</v>
      </c>
      <c r="B10" s="301" t="str">
        <f>Master!D16</f>
        <v>GAJAN SINGH</v>
      </c>
      <c r="C10" s="302" t="str">
        <f>Master!G16</f>
        <v>Chandrapal singh</v>
      </c>
      <c r="D10" s="300" t="s">
        <v>157</v>
      </c>
      <c r="E10" s="303" t="str">
        <f>Master!J16</f>
        <v>Supervisor</v>
      </c>
      <c r="F10" s="304">
        <f>Master!W16</f>
        <v>0</v>
      </c>
      <c r="G10" s="304">
        <f>Master!AG16</f>
        <v>0</v>
      </c>
      <c r="H10" s="304">
        <v>1442</v>
      </c>
      <c r="I10" s="300" t="s">
        <v>28</v>
      </c>
      <c r="J10" s="300" t="s">
        <v>28</v>
      </c>
      <c r="K10" s="300" t="s">
        <v>28</v>
      </c>
      <c r="L10" s="300" t="s">
        <v>28</v>
      </c>
      <c r="M10" s="304">
        <f t="shared" ref="M10:M58" si="0">H10</f>
        <v>1442</v>
      </c>
      <c r="N10" s="304">
        <f t="shared" ref="N10:N58" si="1">M10</f>
        <v>1442</v>
      </c>
      <c r="O10" s="305">
        <f>Master!AO16</f>
        <v>0</v>
      </c>
      <c r="P10" s="301">
        <f>Master!AP16</f>
        <v>0</v>
      </c>
      <c r="Q10" s="627">
        <f>Master!AU16</f>
        <v>7513074030</v>
      </c>
    </row>
    <row r="11" spans="1:17" ht="30" customHeight="1">
      <c r="A11" s="311">
        <v>3</v>
      </c>
      <c r="B11" s="301" t="str">
        <f>Master!D17</f>
        <v>GUDALA RUSHESHWAR SWAMY</v>
      </c>
      <c r="C11" s="302" t="str">
        <f>Master!G17</f>
        <v>GUDALA KRISHANA MURTHY</v>
      </c>
      <c r="D11" s="300" t="s">
        <v>157</v>
      </c>
      <c r="E11" s="303" t="str">
        <f>Master!J17</f>
        <v>Supervisor</v>
      </c>
      <c r="F11" s="304">
        <f>Master!W17</f>
        <v>0</v>
      </c>
      <c r="G11" s="304">
        <f>Master!AG17</f>
        <v>4721</v>
      </c>
      <c r="H11" s="304">
        <v>1442</v>
      </c>
      <c r="I11" s="300" t="s">
        <v>28</v>
      </c>
      <c r="J11" s="300" t="s">
        <v>28</v>
      </c>
      <c r="K11" s="300" t="s">
        <v>28</v>
      </c>
      <c r="L11" s="300" t="s">
        <v>28</v>
      </c>
      <c r="M11" s="304">
        <f t="shared" si="0"/>
        <v>1442</v>
      </c>
      <c r="N11" s="304">
        <f t="shared" si="1"/>
        <v>1442</v>
      </c>
      <c r="O11" s="305">
        <f>Master!AO17</f>
        <v>0</v>
      </c>
      <c r="P11" s="301">
        <f>Master!AP17</f>
        <v>0</v>
      </c>
      <c r="Q11" s="627">
        <f>Master!AU17</f>
        <v>1912391941</v>
      </c>
    </row>
    <row r="12" spans="1:17" ht="30" customHeight="1">
      <c r="A12" s="311">
        <v>4</v>
      </c>
      <c r="B12" s="301" t="str">
        <f>Master!D18</f>
        <v xml:space="preserve">KASALA NARSIMLU </v>
      </c>
      <c r="C12" s="302" t="str">
        <f>Master!G18</f>
        <v>KASALA POCHAIAH</v>
      </c>
      <c r="D12" s="300" t="s">
        <v>157</v>
      </c>
      <c r="E12" s="303" t="str">
        <f>Master!J18</f>
        <v>Semi Skilled Gardner</v>
      </c>
      <c r="F12" s="304">
        <f>Master!W18</f>
        <v>0</v>
      </c>
      <c r="G12" s="304">
        <f>Master!AG18</f>
        <v>0</v>
      </c>
      <c r="H12" s="304">
        <v>1442</v>
      </c>
      <c r="I12" s="300" t="s">
        <v>28</v>
      </c>
      <c r="J12" s="300" t="s">
        <v>28</v>
      </c>
      <c r="K12" s="300" t="s">
        <v>28</v>
      </c>
      <c r="L12" s="300" t="s">
        <v>28</v>
      </c>
      <c r="M12" s="304">
        <f t="shared" si="0"/>
        <v>1442</v>
      </c>
      <c r="N12" s="304">
        <f t="shared" si="1"/>
        <v>1442</v>
      </c>
      <c r="O12" s="305">
        <f>Master!AO18</f>
        <v>0</v>
      </c>
      <c r="P12" s="301">
        <f>Master!AP18</f>
        <v>0</v>
      </c>
      <c r="Q12" s="627">
        <f>Master!AU18</f>
        <v>20201585355</v>
      </c>
    </row>
    <row r="13" spans="1:17" ht="30" customHeight="1">
      <c r="A13" s="311">
        <v>5</v>
      </c>
      <c r="B13" s="301" t="str">
        <f>Master!D19</f>
        <v>PITANI SATHYA NARAYANA</v>
      </c>
      <c r="C13" s="302" t="str">
        <f>Master!G19</f>
        <v>P SURYANARAYANA</v>
      </c>
      <c r="D13" s="300" t="s">
        <v>157</v>
      </c>
      <c r="E13" s="303" t="str">
        <f>Master!J19</f>
        <v>Semi Skilled Gardner</v>
      </c>
      <c r="F13" s="304">
        <f>Master!W19</f>
        <v>0</v>
      </c>
      <c r="G13" s="304">
        <f>Master!AG19</f>
        <v>0</v>
      </c>
      <c r="H13" s="304">
        <v>1442</v>
      </c>
      <c r="I13" s="300" t="s">
        <v>28</v>
      </c>
      <c r="J13" s="300" t="s">
        <v>28</v>
      </c>
      <c r="K13" s="300" t="s">
        <v>28</v>
      </c>
      <c r="L13" s="300" t="s">
        <v>28</v>
      </c>
      <c r="M13" s="304">
        <f t="shared" si="0"/>
        <v>1442</v>
      </c>
      <c r="N13" s="304">
        <f t="shared" si="1"/>
        <v>1442</v>
      </c>
      <c r="O13" s="305">
        <f>Master!AO19</f>
        <v>0</v>
      </c>
      <c r="P13" s="301">
        <f>Master!AP19</f>
        <v>0</v>
      </c>
      <c r="Q13" s="627">
        <f>Master!AU19</f>
        <v>141410100131316</v>
      </c>
    </row>
    <row r="14" spans="1:17" ht="30" customHeight="1">
      <c r="A14" s="311">
        <v>6</v>
      </c>
      <c r="B14" s="301" t="str">
        <f>Master!D20</f>
        <v>SANGOLLA ASHOK</v>
      </c>
      <c r="C14" s="302" t="str">
        <f>Master!G20</f>
        <v>SANGOLLA ESWARAIAH</v>
      </c>
      <c r="D14" s="300" t="s">
        <v>157</v>
      </c>
      <c r="E14" s="303" t="str">
        <f>Master!J20</f>
        <v>Semi Skilled Gardner</v>
      </c>
      <c r="F14" s="304">
        <f>Master!W20</f>
        <v>0</v>
      </c>
      <c r="G14" s="304">
        <f>Master!AG20</f>
        <v>0</v>
      </c>
      <c r="H14" s="304">
        <v>1442</v>
      </c>
      <c r="I14" s="300" t="s">
        <v>28</v>
      </c>
      <c r="J14" s="300" t="s">
        <v>28</v>
      </c>
      <c r="K14" s="300" t="s">
        <v>28</v>
      </c>
      <c r="L14" s="300" t="s">
        <v>28</v>
      </c>
      <c r="M14" s="304">
        <f t="shared" si="0"/>
        <v>1442</v>
      </c>
      <c r="N14" s="304">
        <f t="shared" si="1"/>
        <v>1442</v>
      </c>
      <c r="O14" s="305">
        <f>Master!AO20</f>
        <v>0</v>
      </c>
      <c r="P14" s="301">
        <f>Master!AP20</f>
        <v>0</v>
      </c>
      <c r="Q14" s="627">
        <f>Master!AU20</f>
        <v>62135175705</v>
      </c>
    </row>
    <row r="15" spans="1:17" ht="30" customHeight="1">
      <c r="A15" s="311">
        <v>7</v>
      </c>
      <c r="B15" s="301" t="str">
        <f>Master!D21</f>
        <v>ASHOK LINGURAM GAIKWAD</v>
      </c>
      <c r="C15" s="302" t="str">
        <f>Master!G21</f>
        <v>M LINGRAM</v>
      </c>
      <c r="D15" s="300" t="s">
        <v>157</v>
      </c>
      <c r="E15" s="303" t="str">
        <f>Master!J21</f>
        <v>Semi Skilled Gardner</v>
      </c>
      <c r="F15" s="304">
        <f>Master!W21</f>
        <v>0</v>
      </c>
      <c r="G15" s="304">
        <f>Master!AG21</f>
        <v>0</v>
      </c>
      <c r="H15" s="304">
        <v>1442</v>
      </c>
      <c r="I15" s="300" t="s">
        <v>28</v>
      </c>
      <c r="J15" s="300" t="s">
        <v>28</v>
      </c>
      <c r="K15" s="300" t="s">
        <v>28</v>
      </c>
      <c r="L15" s="300" t="s">
        <v>28</v>
      </c>
      <c r="M15" s="304">
        <f t="shared" si="0"/>
        <v>1442</v>
      </c>
      <c r="N15" s="304">
        <f t="shared" si="1"/>
        <v>1442</v>
      </c>
      <c r="O15" s="305">
        <f>Master!AO21</f>
        <v>0</v>
      </c>
      <c r="P15" s="301">
        <f>Master!AP21</f>
        <v>0</v>
      </c>
      <c r="Q15" s="627">
        <f>Master!AU21</f>
        <v>35398345250</v>
      </c>
    </row>
    <row r="16" spans="1:17" ht="30" customHeight="1">
      <c r="A16" s="311">
        <v>8</v>
      </c>
      <c r="B16" s="301" t="str">
        <f>Master!D22</f>
        <v>MADHUKAR KAMTAM</v>
      </c>
      <c r="C16" s="302" t="str">
        <f>Master!G22</f>
        <v>KAMTAM KISHAN</v>
      </c>
      <c r="D16" s="300" t="s">
        <v>157</v>
      </c>
      <c r="E16" s="303" t="str">
        <f>Master!J22</f>
        <v>Semi Skilled Gardner</v>
      </c>
      <c r="F16" s="304">
        <f>Master!W22</f>
        <v>0</v>
      </c>
      <c r="G16" s="304">
        <f>Master!AG22</f>
        <v>0</v>
      </c>
      <c r="H16" s="304">
        <v>1442</v>
      </c>
      <c r="I16" s="300" t="s">
        <v>28</v>
      </c>
      <c r="J16" s="300" t="s">
        <v>28</v>
      </c>
      <c r="K16" s="300" t="s">
        <v>28</v>
      </c>
      <c r="L16" s="300" t="s">
        <v>28</v>
      </c>
      <c r="M16" s="304">
        <f t="shared" si="0"/>
        <v>1442</v>
      </c>
      <c r="N16" s="304">
        <f t="shared" si="1"/>
        <v>1442</v>
      </c>
      <c r="O16" s="305">
        <f>Master!AO22</f>
        <v>0</v>
      </c>
      <c r="P16" s="301">
        <f>Master!AP22</f>
        <v>0</v>
      </c>
      <c r="Q16" s="627">
        <f>Master!AU22</f>
        <v>923249324</v>
      </c>
    </row>
    <row r="17" spans="1:17" ht="30" customHeight="1">
      <c r="A17" s="311">
        <v>9</v>
      </c>
      <c r="B17" s="301" t="str">
        <f>Master!D23</f>
        <v>Ningolla Raju</v>
      </c>
      <c r="C17" s="302" t="str">
        <f>Master!G23</f>
        <v>ningolla pochaiah</v>
      </c>
      <c r="D17" s="300" t="s">
        <v>157</v>
      </c>
      <c r="E17" s="303" t="str">
        <f>Master!J23</f>
        <v>Semi Skilled Gardner</v>
      </c>
      <c r="F17" s="304">
        <f>Master!W23</f>
        <v>0</v>
      </c>
      <c r="G17" s="304">
        <f>Master!AG23</f>
        <v>0</v>
      </c>
      <c r="H17" s="304">
        <v>1442</v>
      </c>
      <c r="I17" s="300" t="s">
        <v>28</v>
      </c>
      <c r="J17" s="300" t="s">
        <v>28</v>
      </c>
      <c r="K17" s="300" t="s">
        <v>28</v>
      </c>
      <c r="L17" s="300" t="s">
        <v>28</v>
      </c>
      <c r="M17" s="304">
        <f t="shared" si="0"/>
        <v>1442</v>
      </c>
      <c r="N17" s="304">
        <f t="shared" si="1"/>
        <v>1442</v>
      </c>
      <c r="O17" s="305">
        <f>Master!AO23</f>
        <v>0</v>
      </c>
      <c r="P17" s="301">
        <f>Master!AP23</f>
        <v>0</v>
      </c>
      <c r="Q17" s="627">
        <f>Master!AU23</f>
        <v>861410110009223</v>
      </c>
    </row>
    <row r="18" spans="1:17" ht="30" customHeight="1">
      <c r="A18" s="311">
        <v>10</v>
      </c>
      <c r="B18" s="301" t="str">
        <f>Master!D24</f>
        <v>Nagani pochaiah</v>
      </c>
      <c r="C18" s="302" t="str">
        <f>Master!G24</f>
        <v>Nagani mallaiah</v>
      </c>
      <c r="D18" s="300" t="s">
        <v>157</v>
      </c>
      <c r="E18" s="303" t="str">
        <f>Master!J24</f>
        <v>Semi Skilled Gardner</v>
      </c>
      <c r="F18" s="304">
        <f>Master!W24</f>
        <v>0</v>
      </c>
      <c r="G18" s="304">
        <f>Master!AG24</f>
        <v>0</v>
      </c>
      <c r="H18" s="304">
        <v>1442</v>
      </c>
      <c r="I18" s="300" t="s">
        <v>28</v>
      </c>
      <c r="J18" s="300" t="s">
        <v>28</v>
      </c>
      <c r="K18" s="300" t="s">
        <v>28</v>
      </c>
      <c r="L18" s="300" t="s">
        <v>28</v>
      </c>
      <c r="M18" s="304">
        <f t="shared" si="0"/>
        <v>1442</v>
      </c>
      <c r="N18" s="304">
        <f t="shared" si="1"/>
        <v>1442</v>
      </c>
      <c r="O18" s="305">
        <f>Master!AO24</f>
        <v>0</v>
      </c>
      <c r="P18" s="301">
        <f>Master!AP24</f>
        <v>0</v>
      </c>
      <c r="Q18" s="627">
        <f>Master!AU24</f>
        <v>38228069327</v>
      </c>
    </row>
    <row r="19" spans="1:17" ht="30" customHeight="1">
      <c r="A19" s="311">
        <v>11</v>
      </c>
      <c r="B19" s="301" t="str">
        <f>Master!D25</f>
        <v>Mutholla Mallesh</v>
      </c>
      <c r="C19" s="302" t="str">
        <f>Master!G25</f>
        <v>Mutholla balaiah</v>
      </c>
      <c r="D19" s="300" t="s">
        <v>157</v>
      </c>
      <c r="E19" s="303" t="str">
        <f>Master!J25</f>
        <v>Semi Skilled Gardner</v>
      </c>
      <c r="F19" s="304">
        <f>Master!W25</f>
        <v>0</v>
      </c>
      <c r="G19" s="304">
        <f>Master!AG25</f>
        <v>0</v>
      </c>
      <c r="H19" s="304">
        <v>1442</v>
      </c>
      <c r="I19" s="300" t="s">
        <v>28</v>
      </c>
      <c r="J19" s="300" t="s">
        <v>28</v>
      </c>
      <c r="K19" s="300" t="s">
        <v>28</v>
      </c>
      <c r="L19" s="300" t="s">
        <v>28</v>
      </c>
      <c r="M19" s="304">
        <f t="shared" si="0"/>
        <v>1442</v>
      </c>
      <c r="N19" s="304">
        <f t="shared" si="1"/>
        <v>1442</v>
      </c>
      <c r="O19" s="305">
        <f>Master!AO25</f>
        <v>0</v>
      </c>
      <c r="P19" s="301">
        <f>Master!AP25</f>
        <v>0</v>
      </c>
      <c r="Q19" s="627">
        <f>Master!AU25</f>
        <v>20176301430</v>
      </c>
    </row>
    <row r="20" spans="1:17" ht="30" customHeight="1">
      <c r="A20" s="311">
        <v>12</v>
      </c>
      <c r="B20" s="301" t="str">
        <f>Master!D26</f>
        <v>ALIJANA JAYARAMI REDDY</v>
      </c>
      <c r="C20" s="302" t="str">
        <f>Master!G26</f>
        <v>ALIJANA OBULU REDDY</v>
      </c>
      <c r="D20" s="300" t="s">
        <v>157</v>
      </c>
      <c r="E20" s="303" t="str">
        <f>Master!J26</f>
        <v>Semi Skilled Gardner</v>
      </c>
      <c r="F20" s="304">
        <f>Master!W26</f>
        <v>0</v>
      </c>
      <c r="G20" s="304">
        <f>Master!AG26</f>
        <v>0</v>
      </c>
      <c r="H20" s="304">
        <v>1442</v>
      </c>
      <c r="I20" s="300" t="s">
        <v>28</v>
      </c>
      <c r="J20" s="300" t="s">
        <v>28</v>
      </c>
      <c r="K20" s="300" t="s">
        <v>28</v>
      </c>
      <c r="L20" s="300" t="s">
        <v>28</v>
      </c>
      <c r="M20" s="304">
        <f t="shared" si="0"/>
        <v>1442</v>
      </c>
      <c r="N20" s="304">
        <f t="shared" si="1"/>
        <v>1442</v>
      </c>
      <c r="O20" s="305">
        <f>Master!AO26</f>
        <v>0</v>
      </c>
      <c r="P20" s="301">
        <f>Master!AP26</f>
        <v>0</v>
      </c>
      <c r="Q20" s="627">
        <f>Master!AU26</f>
        <v>33412525880</v>
      </c>
    </row>
    <row r="21" spans="1:17" ht="30" customHeight="1">
      <c r="A21" s="311">
        <v>13</v>
      </c>
      <c r="B21" s="301" t="str">
        <f>Master!D27</f>
        <v>Kapil</v>
      </c>
      <c r="C21" s="302" t="str">
        <f>Master!G27</f>
        <v>Ganesh lal</v>
      </c>
      <c r="D21" s="300" t="s">
        <v>157</v>
      </c>
      <c r="E21" s="303" t="str">
        <f>Master!J27</f>
        <v>Semi Skilled Gardner</v>
      </c>
      <c r="F21" s="304">
        <f>Master!W27</f>
        <v>0</v>
      </c>
      <c r="G21" s="304">
        <f>Master!AG27</f>
        <v>0</v>
      </c>
      <c r="H21" s="304">
        <v>1442</v>
      </c>
      <c r="I21" s="300" t="s">
        <v>28</v>
      </c>
      <c r="J21" s="300" t="s">
        <v>28</v>
      </c>
      <c r="K21" s="300" t="s">
        <v>28</v>
      </c>
      <c r="L21" s="300" t="s">
        <v>28</v>
      </c>
      <c r="M21" s="304">
        <f t="shared" si="0"/>
        <v>1442</v>
      </c>
      <c r="N21" s="304">
        <f t="shared" si="1"/>
        <v>1442</v>
      </c>
      <c r="O21" s="305">
        <f>Master!AO27</f>
        <v>0</v>
      </c>
      <c r="P21" s="301">
        <f>Master!AP27</f>
        <v>0</v>
      </c>
      <c r="Q21" s="627">
        <f>Master!AU27</f>
        <v>8512913818</v>
      </c>
    </row>
    <row r="22" spans="1:17" ht="30" customHeight="1">
      <c r="A22" s="311">
        <v>14</v>
      </c>
      <c r="B22" s="301" t="str">
        <f>Master!D28</f>
        <v xml:space="preserve">Bablu kumar </v>
      </c>
      <c r="C22" s="302" t="str">
        <f>Master!G28</f>
        <v>Harilal</v>
      </c>
      <c r="D22" s="300" t="s">
        <v>157</v>
      </c>
      <c r="E22" s="303" t="str">
        <f>Master!J28</f>
        <v>Semi Skilled Gardner</v>
      </c>
      <c r="F22" s="304">
        <f>Master!W28</f>
        <v>0</v>
      </c>
      <c r="G22" s="304">
        <f>Master!AG28</f>
        <v>0</v>
      </c>
      <c r="H22" s="304">
        <v>1442</v>
      </c>
      <c r="I22" s="300" t="s">
        <v>28</v>
      </c>
      <c r="J22" s="300" t="s">
        <v>28</v>
      </c>
      <c r="K22" s="300" t="s">
        <v>28</v>
      </c>
      <c r="L22" s="300" t="s">
        <v>28</v>
      </c>
      <c r="M22" s="304">
        <f t="shared" si="0"/>
        <v>1442</v>
      </c>
      <c r="N22" s="304">
        <f t="shared" si="1"/>
        <v>1442</v>
      </c>
      <c r="O22" s="305">
        <f>Master!AO28</f>
        <v>0</v>
      </c>
      <c r="P22" s="301">
        <f>Master!AP28</f>
        <v>0</v>
      </c>
      <c r="Q22" s="627">
        <f>Master!AU28</f>
        <v>8512913542</v>
      </c>
    </row>
    <row r="23" spans="1:17" ht="30" customHeight="1">
      <c r="A23" s="311">
        <v>15</v>
      </c>
      <c r="B23" s="301" t="str">
        <f>Master!D29</f>
        <v>Pradeep kumar</v>
      </c>
      <c r="C23" s="302" t="str">
        <f>Master!G29</f>
        <v>Jagdev</v>
      </c>
      <c r="D23" s="300" t="s">
        <v>157</v>
      </c>
      <c r="E23" s="303" t="str">
        <f>Master!J29</f>
        <v>Semi Skilled Gardner</v>
      </c>
      <c r="F23" s="304">
        <f>Master!W29</f>
        <v>0</v>
      </c>
      <c r="G23" s="304">
        <f>Master!AG29</f>
        <v>0</v>
      </c>
      <c r="H23" s="304">
        <v>1442</v>
      </c>
      <c r="I23" s="300" t="s">
        <v>28</v>
      </c>
      <c r="J23" s="300" t="s">
        <v>28</v>
      </c>
      <c r="K23" s="300" t="s">
        <v>28</v>
      </c>
      <c r="L23" s="300" t="s">
        <v>28</v>
      </c>
      <c r="M23" s="304">
        <f t="shared" si="0"/>
        <v>1442</v>
      </c>
      <c r="N23" s="304">
        <f t="shared" si="1"/>
        <v>1442</v>
      </c>
      <c r="O23" s="305">
        <f>Master!AO29</f>
        <v>0</v>
      </c>
      <c r="P23" s="301">
        <f>Master!AP29</f>
        <v>0</v>
      </c>
      <c r="Q23" s="627">
        <f>Master!AU29</f>
        <v>8512913528</v>
      </c>
    </row>
    <row r="24" spans="1:17" ht="30" customHeight="1">
      <c r="A24" s="311">
        <v>16</v>
      </c>
      <c r="B24" s="301" t="str">
        <f>Master!D30</f>
        <v>SHAIK KULSUM BEE</v>
      </c>
      <c r="C24" s="302" t="str">
        <f>Master!G30</f>
        <v xml:space="preserve">SHAIK LALA </v>
      </c>
      <c r="D24" s="300" t="s">
        <v>157</v>
      </c>
      <c r="E24" s="303" t="str">
        <f>Master!J30</f>
        <v>Unskilled Gardner</v>
      </c>
      <c r="F24" s="304">
        <f>Master!W30</f>
        <v>0</v>
      </c>
      <c r="G24" s="304">
        <f>Master!AG30</f>
        <v>0</v>
      </c>
      <c r="H24" s="304">
        <v>1442</v>
      </c>
      <c r="I24" s="300" t="s">
        <v>28</v>
      </c>
      <c r="J24" s="300" t="s">
        <v>28</v>
      </c>
      <c r="K24" s="300" t="s">
        <v>28</v>
      </c>
      <c r="L24" s="300" t="s">
        <v>28</v>
      </c>
      <c r="M24" s="304">
        <f t="shared" si="0"/>
        <v>1442</v>
      </c>
      <c r="N24" s="304">
        <f t="shared" si="1"/>
        <v>1442</v>
      </c>
      <c r="O24" s="305">
        <f>Master!AO30</f>
        <v>0</v>
      </c>
      <c r="P24" s="301">
        <f>Master!AP30</f>
        <v>0</v>
      </c>
      <c r="Q24" s="627">
        <f>Master!AU30</f>
        <v>30144397282</v>
      </c>
    </row>
    <row r="25" spans="1:17" ht="30" customHeight="1">
      <c r="A25" s="311">
        <v>17</v>
      </c>
      <c r="B25" s="301" t="str">
        <f>Master!D31</f>
        <v>S GOWRI</v>
      </c>
      <c r="C25" s="302" t="str">
        <f>Master!G31</f>
        <v>S SURYANARAYANA</v>
      </c>
      <c r="D25" s="300" t="s">
        <v>157</v>
      </c>
      <c r="E25" s="303" t="str">
        <f>Master!J31</f>
        <v>Unskilled Gardner</v>
      </c>
      <c r="F25" s="304">
        <f>Master!W31</f>
        <v>0</v>
      </c>
      <c r="G25" s="304">
        <f>Master!AG31</f>
        <v>0</v>
      </c>
      <c r="H25" s="304">
        <v>1442</v>
      </c>
      <c r="I25" s="300" t="s">
        <v>28</v>
      </c>
      <c r="J25" s="300" t="s">
        <v>28</v>
      </c>
      <c r="K25" s="300" t="s">
        <v>28</v>
      </c>
      <c r="L25" s="300" t="s">
        <v>28</v>
      </c>
      <c r="M25" s="304">
        <f t="shared" si="0"/>
        <v>1442</v>
      </c>
      <c r="N25" s="304">
        <f t="shared" si="1"/>
        <v>1442</v>
      </c>
      <c r="O25" s="305">
        <f>Master!AO31</f>
        <v>0</v>
      </c>
      <c r="P25" s="301">
        <f>Master!AP31</f>
        <v>0</v>
      </c>
      <c r="Q25" s="627">
        <f>Master!AU31</f>
        <v>35855410947</v>
      </c>
    </row>
    <row r="26" spans="1:17" ht="30" customHeight="1">
      <c r="A26" s="311">
        <v>18</v>
      </c>
      <c r="B26" s="301" t="str">
        <f>Master!D32</f>
        <v>FARZANA BEGUM</v>
      </c>
      <c r="C26" s="302" t="str">
        <f>Master!G32</f>
        <v>SHAIK MASTAN WALI</v>
      </c>
      <c r="D26" s="300" t="s">
        <v>157</v>
      </c>
      <c r="E26" s="303" t="str">
        <f>Master!J32</f>
        <v>Unskilled Gardner</v>
      </c>
      <c r="F26" s="304">
        <f>Master!W32</f>
        <v>0</v>
      </c>
      <c r="G26" s="304">
        <f>Master!AG32</f>
        <v>0</v>
      </c>
      <c r="H26" s="304">
        <v>1442</v>
      </c>
      <c r="I26" s="300" t="s">
        <v>28</v>
      </c>
      <c r="J26" s="300" t="s">
        <v>28</v>
      </c>
      <c r="K26" s="300" t="s">
        <v>28</v>
      </c>
      <c r="L26" s="300" t="s">
        <v>28</v>
      </c>
      <c r="M26" s="304">
        <f t="shared" si="0"/>
        <v>1442</v>
      </c>
      <c r="N26" s="304">
        <f t="shared" si="1"/>
        <v>1442</v>
      </c>
      <c r="O26" s="305">
        <f>Master!AO32</f>
        <v>0</v>
      </c>
      <c r="P26" s="301">
        <f>Master!AP32</f>
        <v>0</v>
      </c>
      <c r="Q26" s="627">
        <f>Master!AU32</f>
        <v>130610100075445</v>
      </c>
    </row>
    <row r="27" spans="1:17" ht="30" customHeight="1">
      <c r="A27" s="311">
        <v>19</v>
      </c>
      <c r="B27" s="301" t="str">
        <f>Master!D33</f>
        <v>MANAGALI SUHASINI</v>
      </c>
      <c r="C27" s="302" t="str">
        <f>Master!G33</f>
        <v>MANGALI RAJU</v>
      </c>
      <c r="D27" s="300" t="s">
        <v>157</v>
      </c>
      <c r="E27" s="303" t="str">
        <f>Master!J33</f>
        <v>Unskilled Gardner</v>
      </c>
      <c r="F27" s="304">
        <f>Master!W33</f>
        <v>0</v>
      </c>
      <c r="G27" s="304">
        <f>Master!AG33</f>
        <v>0</v>
      </c>
      <c r="H27" s="304">
        <v>1442</v>
      </c>
      <c r="I27" s="300" t="s">
        <v>28</v>
      </c>
      <c r="J27" s="300" t="s">
        <v>28</v>
      </c>
      <c r="K27" s="300" t="s">
        <v>28</v>
      </c>
      <c r="L27" s="300" t="s">
        <v>28</v>
      </c>
      <c r="M27" s="304">
        <f t="shared" si="0"/>
        <v>1442</v>
      </c>
      <c r="N27" s="304">
        <f t="shared" si="1"/>
        <v>1442</v>
      </c>
      <c r="O27" s="305">
        <f>Master!AO33</f>
        <v>0</v>
      </c>
      <c r="P27" s="301">
        <f>Master!AP33</f>
        <v>0</v>
      </c>
      <c r="Q27" s="627">
        <f>Master!AU33</f>
        <v>73138780593</v>
      </c>
    </row>
    <row r="28" spans="1:17" ht="30" customHeight="1">
      <c r="A28" s="311">
        <v>20</v>
      </c>
      <c r="B28" s="301" t="str">
        <f>Master!D34</f>
        <v>KONA SUJATHA</v>
      </c>
      <c r="C28" s="302" t="str">
        <f>Master!G34</f>
        <v>KONA SURYANARAYANA</v>
      </c>
      <c r="D28" s="300" t="s">
        <v>157</v>
      </c>
      <c r="E28" s="303" t="str">
        <f>Master!J34</f>
        <v>Unskilled Gardner</v>
      </c>
      <c r="F28" s="304">
        <f>Master!W34</f>
        <v>0</v>
      </c>
      <c r="G28" s="304">
        <f>Master!AG34</f>
        <v>0</v>
      </c>
      <c r="H28" s="304">
        <v>1442</v>
      </c>
      <c r="I28" s="300" t="s">
        <v>28</v>
      </c>
      <c r="J28" s="300" t="s">
        <v>28</v>
      </c>
      <c r="K28" s="300" t="s">
        <v>28</v>
      </c>
      <c r="L28" s="300" t="s">
        <v>28</v>
      </c>
      <c r="M28" s="304">
        <f t="shared" si="0"/>
        <v>1442</v>
      </c>
      <c r="N28" s="304">
        <f t="shared" si="1"/>
        <v>1442</v>
      </c>
      <c r="O28" s="305">
        <f>Master!AO34</f>
        <v>0</v>
      </c>
      <c r="P28" s="301">
        <f>Master!AP34</f>
        <v>0</v>
      </c>
      <c r="Q28" s="627">
        <f>Master!AU34</f>
        <v>30534600258</v>
      </c>
    </row>
    <row r="29" spans="1:17" ht="30" customHeight="1">
      <c r="A29" s="311">
        <v>21</v>
      </c>
      <c r="B29" s="301" t="str">
        <f>Master!D35</f>
        <v>GOLLA UMA</v>
      </c>
      <c r="C29" s="302" t="str">
        <f>Master!G35</f>
        <v>GOLLA ONURU SWAMY</v>
      </c>
      <c r="D29" s="300" t="s">
        <v>157</v>
      </c>
      <c r="E29" s="303" t="str">
        <f>Master!J35</f>
        <v>Unskilled Gardner</v>
      </c>
      <c r="F29" s="304">
        <f>Master!W35</f>
        <v>0</v>
      </c>
      <c r="G29" s="304">
        <f>Master!AG35</f>
        <v>0</v>
      </c>
      <c r="H29" s="304">
        <v>1442</v>
      </c>
      <c r="I29" s="300" t="s">
        <v>28</v>
      </c>
      <c r="J29" s="300" t="s">
        <v>28</v>
      </c>
      <c r="K29" s="300" t="s">
        <v>28</v>
      </c>
      <c r="L29" s="300" t="s">
        <v>28</v>
      </c>
      <c r="M29" s="304">
        <f t="shared" si="0"/>
        <v>1442</v>
      </c>
      <c r="N29" s="304">
        <f t="shared" si="1"/>
        <v>1442</v>
      </c>
      <c r="O29" s="305">
        <f>Master!AO35</f>
        <v>0</v>
      </c>
      <c r="P29" s="301">
        <f>Master!AP35</f>
        <v>0</v>
      </c>
      <c r="Q29" s="627">
        <f>Master!AU35</f>
        <v>11107141688</v>
      </c>
    </row>
    <row r="30" spans="1:17" ht="30" customHeight="1">
      <c r="A30" s="311">
        <v>22</v>
      </c>
      <c r="B30" s="301" t="str">
        <f>Master!D36</f>
        <v>SINGARAM BHAGYAMMA</v>
      </c>
      <c r="C30" s="302" t="str">
        <f>Master!G36</f>
        <v>SINGARAM NARSIMULU</v>
      </c>
      <c r="D30" s="300" t="s">
        <v>157</v>
      </c>
      <c r="E30" s="303" t="str">
        <f>Master!J36</f>
        <v>Unskilled Gardner</v>
      </c>
      <c r="F30" s="304">
        <f>Master!W36</f>
        <v>0</v>
      </c>
      <c r="G30" s="304">
        <f>Master!AG36</f>
        <v>0</v>
      </c>
      <c r="H30" s="304">
        <v>1442</v>
      </c>
      <c r="I30" s="300" t="s">
        <v>28</v>
      </c>
      <c r="J30" s="300" t="s">
        <v>28</v>
      </c>
      <c r="K30" s="300" t="s">
        <v>28</v>
      </c>
      <c r="L30" s="300" t="s">
        <v>28</v>
      </c>
      <c r="M30" s="304">
        <f t="shared" si="0"/>
        <v>1442</v>
      </c>
      <c r="N30" s="304">
        <f t="shared" si="1"/>
        <v>1442</v>
      </c>
      <c r="O30" s="305">
        <f>Master!AO36</f>
        <v>0</v>
      </c>
      <c r="P30" s="301">
        <f>Master!AP36</f>
        <v>0</v>
      </c>
      <c r="Q30" s="627">
        <f>Master!AU36</f>
        <v>36363257786</v>
      </c>
    </row>
    <row r="31" spans="1:17" ht="30" customHeight="1">
      <c r="A31" s="311">
        <v>23</v>
      </c>
      <c r="B31" s="301" t="str">
        <f>Master!D37</f>
        <v>KODICHERLA INDIRAMMA</v>
      </c>
      <c r="C31" s="302" t="str">
        <f>Master!G37</f>
        <v xml:space="preserve">BABAIAH </v>
      </c>
      <c r="D31" s="300" t="s">
        <v>157</v>
      </c>
      <c r="E31" s="303" t="str">
        <f>Master!J37</f>
        <v>Unskilled Gardner</v>
      </c>
      <c r="F31" s="304">
        <f>Master!W37</f>
        <v>0</v>
      </c>
      <c r="G31" s="304">
        <f>Master!AG37</f>
        <v>0</v>
      </c>
      <c r="H31" s="304">
        <v>1442</v>
      </c>
      <c r="I31" s="300" t="s">
        <v>28</v>
      </c>
      <c r="J31" s="300" t="s">
        <v>28</v>
      </c>
      <c r="K31" s="300" t="s">
        <v>28</v>
      </c>
      <c r="L31" s="300" t="s">
        <v>28</v>
      </c>
      <c r="M31" s="304">
        <f t="shared" si="0"/>
        <v>1442</v>
      </c>
      <c r="N31" s="304">
        <f t="shared" si="1"/>
        <v>1442</v>
      </c>
      <c r="O31" s="305">
        <f>Master!AO37</f>
        <v>0</v>
      </c>
      <c r="P31" s="301">
        <f>Master!AP37</f>
        <v>0</v>
      </c>
      <c r="Q31" s="627">
        <f>Master!AU37</f>
        <v>30181587428</v>
      </c>
    </row>
    <row r="32" spans="1:17" ht="30" customHeight="1">
      <c r="A32" s="311">
        <v>24</v>
      </c>
      <c r="B32" s="301" t="str">
        <f>Master!D38</f>
        <v>SANGOLLA LAVANYA</v>
      </c>
      <c r="C32" s="302" t="str">
        <f>Master!G38</f>
        <v>SANGOLLA ASHOK</v>
      </c>
      <c r="D32" s="300" t="s">
        <v>157</v>
      </c>
      <c r="E32" s="303" t="str">
        <f>Master!J38</f>
        <v>Unskilled Gardner</v>
      </c>
      <c r="F32" s="304">
        <f>Master!W38</f>
        <v>0</v>
      </c>
      <c r="G32" s="304">
        <f>Master!AG38</f>
        <v>0</v>
      </c>
      <c r="H32" s="304">
        <v>1442</v>
      </c>
      <c r="I32" s="300" t="s">
        <v>28</v>
      </c>
      <c r="J32" s="300" t="s">
        <v>28</v>
      </c>
      <c r="K32" s="300" t="s">
        <v>28</v>
      </c>
      <c r="L32" s="300" t="s">
        <v>28</v>
      </c>
      <c r="M32" s="304">
        <f t="shared" si="0"/>
        <v>1442</v>
      </c>
      <c r="N32" s="304">
        <f t="shared" si="1"/>
        <v>1442</v>
      </c>
      <c r="O32" s="305">
        <f>Master!AO38</f>
        <v>0</v>
      </c>
      <c r="P32" s="301">
        <f>Master!AP38</f>
        <v>0</v>
      </c>
      <c r="Q32" s="627">
        <f>Master!AU38</f>
        <v>36071152580</v>
      </c>
    </row>
    <row r="33" spans="1:17" ht="30" customHeight="1">
      <c r="A33" s="311">
        <v>25</v>
      </c>
      <c r="B33" s="301" t="str">
        <f>Master!D39</f>
        <v>MANGALI LAVANYA</v>
      </c>
      <c r="C33" s="302" t="str">
        <f>Master!G39</f>
        <v>MANGALI PANDU</v>
      </c>
      <c r="D33" s="300" t="s">
        <v>157</v>
      </c>
      <c r="E33" s="303" t="str">
        <f>Master!J39</f>
        <v>Unskilled Gardner</v>
      </c>
      <c r="F33" s="304">
        <f>Master!W39</f>
        <v>0</v>
      </c>
      <c r="G33" s="304">
        <f>Master!AG39</f>
        <v>0</v>
      </c>
      <c r="H33" s="304">
        <v>1442</v>
      </c>
      <c r="I33" s="300" t="s">
        <v>28</v>
      </c>
      <c r="J33" s="300" t="s">
        <v>28</v>
      </c>
      <c r="K33" s="300" t="s">
        <v>28</v>
      </c>
      <c r="L33" s="300" t="s">
        <v>28</v>
      </c>
      <c r="M33" s="304">
        <f t="shared" si="0"/>
        <v>1442</v>
      </c>
      <c r="N33" s="304">
        <f t="shared" si="1"/>
        <v>1442</v>
      </c>
      <c r="O33" s="305">
        <f>Master!AO39</f>
        <v>0</v>
      </c>
      <c r="P33" s="301">
        <f>Master!AP39</f>
        <v>0</v>
      </c>
      <c r="Q33" s="627">
        <f>Master!AU39</f>
        <v>36071152502</v>
      </c>
    </row>
    <row r="34" spans="1:17" ht="30" customHeight="1">
      <c r="A34" s="311">
        <v>26</v>
      </c>
      <c r="B34" s="301" t="str">
        <f>Master!D40</f>
        <v>MANGLI CHANDRAMMA</v>
      </c>
      <c r="C34" s="302" t="str">
        <f>Master!G40</f>
        <v>MANGALI VENKATESH</v>
      </c>
      <c r="D34" s="300" t="s">
        <v>157</v>
      </c>
      <c r="E34" s="303" t="str">
        <f>Master!J40</f>
        <v>Unskilled Gardner</v>
      </c>
      <c r="F34" s="304">
        <f>Master!W40</f>
        <v>0</v>
      </c>
      <c r="G34" s="304">
        <f>Master!AG40</f>
        <v>0</v>
      </c>
      <c r="H34" s="304">
        <v>1442</v>
      </c>
      <c r="I34" s="300" t="s">
        <v>28</v>
      </c>
      <c r="J34" s="300" t="s">
        <v>28</v>
      </c>
      <c r="K34" s="300" t="s">
        <v>28</v>
      </c>
      <c r="L34" s="300" t="s">
        <v>28</v>
      </c>
      <c r="M34" s="304">
        <f t="shared" si="0"/>
        <v>1442</v>
      </c>
      <c r="N34" s="304">
        <f t="shared" si="1"/>
        <v>1442</v>
      </c>
      <c r="O34" s="305">
        <f>Master!AO40</f>
        <v>0</v>
      </c>
      <c r="P34" s="301">
        <f>Master!AP40</f>
        <v>0</v>
      </c>
      <c r="Q34" s="627">
        <f>Master!AU40</f>
        <v>73100389136</v>
      </c>
    </row>
    <row r="35" spans="1:17" ht="30" customHeight="1">
      <c r="A35" s="311">
        <v>27</v>
      </c>
      <c r="B35" s="301" t="str">
        <f>Master!D41</f>
        <v>DASARI SUVARNA</v>
      </c>
      <c r="C35" s="302" t="str">
        <f>Master!G41</f>
        <v>DASARI RAVINDAR</v>
      </c>
      <c r="D35" s="300" t="s">
        <v>157</v>
      </c>
      <c r="E35" s="303" t="str">
        <f>Master!J41</f>
        <v>Unskilled Gardner</v>
      </c>
      <c r="F35" s="304">
        <f>Master!W41</f>
        <v>0</v>
      </c>
      <c r="G35" s="304">
        <f>Master!AG41</f>
        <v>0</v>
      </c>
      <c r="H35" s="304">
        <v>1442</v>
      </c>
      <c r="I35" s="300" t="s">
        <v>28</v>
      </c>
      <c r="J35" s="300" t="s">
        <v>28</v>
      </c>
      <c r="K35" s="300" t="s">
        <v>28</v>
      </c>
      <c r="L35" s="300" t="s">
        <v>28</v>
      </c>
      <c r="M35" s="304">
        <f t="shared" si="0"/>
        <v>1442</v>
      </c>
      <c r="N35" s="304">
        <f t="shared" si="1"/>
        <v>1442</v>
      </c>
      <c r="O35" s="305">
        <f>Master!AO41</f>
        <v>0</v>
      </c>
      <c r="P35" s="301">
        <f>Master!AP41</f>
        <v>0</v>
      </c>
      <c r="Q35" s="627">
        <f>Master!AU41</f>
        <v>141410100016831</v>
      </c>
    </row>
    <row r="36" spans="1:17" ht="30" customHeight="1">
      <c r="A36" s="311">
        <v>28</v>
      </c>
      <c r="B36" s="301" t="str">
        <f>Master!D42</f>
        <v>MARATHI CHANDRAKALA</v>
      </c>
      <c r="C36" s="302" t="str">
        <f>Master!G42</f>
        <v>M ASHOKS</v>
      </c>
      <c r="D36" s="300" t="s">
        <v>157</v>
      </c>
      <c r="E36" s="303" t="str">
        <f>Master!J42</f>
        <v>Unskilled Gardner</v>
      </c>
      <c r="F36" s="304">
        <f>Master!W42</f>
        <v>0</v>
      </c>
      <c r="G36" s="304">
        <f>Master!AG42</f>
        <v>0</v>
      </c>
      <c r="H36" s="304">
        <v>1442</v>
      </c>
      <c r="I36" s="300" t="s">
        <v>28</v>
      </c>
      <c r="J36" s="300" t="s">
        <v>28</v>
      </c>
      <c r="K36" s="300" t="s">
        <v>28</v>
      </c>
      <c r="L36" s="300" t="s">
        <v>28</v>
      </c>
      <c r="M36" s="304">
        <f t="shared" si="0"/>
        <v>1442</v>
      </c>
      <c r="N36" s="304">
        <f t="shared" si="1"/>
        <v>1442</v>
      </c>
      <c r="O36" s="305">
        <f>Master!AO42</f>
        <v>0</v>
      </c>
      <c r="P36" s="301">
        <f>Master!AP42</f>
        <v>0</v>
      </c>
      <c r="Q36" s="627">
        <f>Master!AU42</f>
        <v>36363257797</v>
      </c>
    </row>
    <row r="37" spans="1:17" ht="30" customHeight="1">
      <c r="A37" s="311">
        <v>29</v>
      </c>
      <c r="B37" s="301" t="str">
        <f>Master!D43</f>
        <v>ANKAGALLA YADAMMA</v>
      </c>
      <c r="C37" s="302" t="str">
        <f>Master!G43</f>
        <v>ANKAGALLA YADAGIRI</v>
      </c>
      <c r="D37" s="300" t="s">
        <v>157</v>
      </c>
      <c r="E37" s="303" t="str">
        <f>Master!J43</f>
        <v>Unskilled Gardner</v>
      </c>
      <c r="F37" s="304">
        <f>Master!W43</f>
        <v>0</v>
      </c>
      <c r="G37" s="304">
        <f>Master!AG43</f>
        <v>0</v>
      </c>
      <c r="H37" s="304">
        <v>1442</v>
      </c>
      <c r="I37" s="300" t="s">
        <v>28</v>
      </c>
      <c r="J37" s="300" t="s">
        <v>28</v>
      </c>
      <c r="K37" s="300" t="s">
        <v>28</v>
      </c>
      <c r="L37" s="300" t="s">
        <v>28</v>
      </c>
      <c r="M37" s="304">
        <f t="shared" si="0"/>
        <v>1442</v>
      </c>
      <c r="N37" s="304">
        <f t="shared" si="1"/>
        <v>1442</v>
      </c>
      <c r="O37" s="305">
        <f>Master!AO43</f>
        <v>0</v>
      </c>
      <c r="P37" s="301">
        <f>Master!AP43</f>
        <v>0</v>
      </c>
      <c r="Q37" s="627">
        <f>Master!AU43</f>
        <v>20176302412</v>
      </c>
    </row>
    <row r="38" spans="1:17" ht="30" customHeight="1">
      <c r="A38" s="311">
        <v>30</v>
      </c>
      <c r="B38" s="301" t="str">
        <f>Master!D44</f>
        <v xml:space="preserve">NINGAMMA </v>
      </c>
      <c r="C38" s="302" t="str">
        <f>Master!G44</f>
        <v>RAMANNA</v>
      </c>
      <c r="D38" s="300" t="s">
        <v>157</v>
      </c>
      <c r="E38" s="303" t="str">
        <f>Master!J44</f>
        <v>Unskilled Gardner</v>
      </c>
      <c r="F38" s="304">
        <f>Master!W44</f>
        <v>0</v>
      </c>
      <c r="G38" s="304">
        <f>Master!AG44</f>
        <v>0</v>
      </c>
      <c r="H38" s="304">
        <v>1442</v>
      </c>
      <c r="I38" s="300" t="s">
        <v>28</v>
      </c>
      <c r="J38" s="300" t="s">
        <v>28</v>
      </c>
      <c r="K38" s="300" t="s">
        <v>28</v>
      </c>
      <c r="L38" s="300" t="s">
        <v>28</v>
      </c>
      <c r="M38" s="304">
        <f t="shared" si="0"/>
        <v>1442</v>
      </c>
      <c r="N38" s="304">
        <f t="shared" si="1"/>
        <v>1442</v>
      </c>
      <c r="O38" s="305">
        <f>Master!AO44</f>
        <v>0</v>
      </c>
      <c r="P38" s="301">
        <f>Master!AP44</f>
        <v>0</v>
      </c>
      <c r="Q38" s="627">
        <f>Master!AU44</f>
        <v>16050100039723</v>
      </c>
    </row>
    <row r="39" spans="1:17" ht="30" customHeight="1">
      <c r="A39" s="311">
        <v>31</v>
      </c>
      <c r="B39" s="301" t="str">
        <f>Master!D45</f>
        <v>V AMBAMMA</v>
      </c>
      <c r="C39" s="302" t="str">
        <f>Master!G45</f>
        <v>V YELLAIAH</v>
      </c>
      <c r="D39" s="300" t="s">
        <v>157</v>
      </c>
      <c r="E39" s="303" t="str">
        <f>Master!J45</f>
        <v>Unskilled Gardner</v>
      </c>
      <c r="F39" s="304">
        <f>Master!W45</f>
        <v>0</v>
      </c>
      <c r="G39" s="304">
        <f>Master!AG45</f>
        <v>0</v>
      </c>
      <c r="H39" s="304">
        <v>1442</v>
      </c>
      <c r="I39" s="300" t="s">
        <v>28</v>
      </c>
      <c r="J39" s="300" t="s">
        <v>28</v>
      </c>
      <c r="K39" s="300" t="s">
        <v>28</v>
      </c>
      <c r="L39" s="300" t="s">
        <v>28</v>
      </c>
      <c r="M39" s="304">
        <f t="shared" si="0"/>
        <v>1442</v>
      </c>
      <c r="N39" s="304">
        <f t="shared" si="1"/>
        <v>1442</v>
      </c>
      <c r="O39" s="305">
        <f>Master!AO45</f>
        <v>0</v>
      </c>
      <c r="P39" s="301">
        <f>Master!AP45</f>
        <v>0</v>
      </c>
      <c r="Q39" s="627">
        <f>Master!AU45</f>
        <v>111101515392</v>
      </c>
    </row>
    <row r="40" spans="1:17" ht="30" customHeight="1">
      <c r="A40" s="311">
        <v>32</v>
      </c>
      <c r="B40" s="301" t="str">
        <f>Master!D46</f>
        <v>PALLAPU LAXMI</v>
      </c>
      <c r="C40" s="302" t="str">
        <f>Master!G46</f>
        <v>VENAKAIAH</v>
      </c>
      <c r="D40" s="300" t="s">
        <v>157</v>
      </c>
      <c r="E40" s="303" t="str">
        <f>Master!J46</f>
        <v>Unskilled Gardner</v>
      </c>
      <c r="F40" s="304">
        <f>Master!W46</f>
        <v>0</v>
      </c>
      <c r="G40" s="304">
        <f>Master!AG46</f>
        <v>0</v>
      </c>
      <c r="H40" s="304">
        <v>1442</v>
      </c>
      <c r="I40" s="300" t="s">
        <v>28</v>
      </c>
      <c r="J40" s="300" t="s">
        <v>28</v>
      </c>
      <c r="K40" s="300" t="s">
        <v>28</v>
      </c>
      <c r="L40" s="300" t="s">
        <v>28</v>
      </c>
      <c r="M40" s="304">
        <f t="shared" si="0"/>
        <v>1442</v>
      </c>
      <c r="N40" s="304">
        <f t="shared" si="1"/>
        <v>1442</v>
      </c>
      <c r="O40" s="305">
        <f>Master!AO46</f>
        <v>0</v>
      </c>
      <c r="P40" s="301">
        <f>Master!AP46</f>
        <v>0</v>
      </c>
      <c r="Q40" s="627" t="str">
        <f>Master!AU46</f>
        <v>7310404993-5</v>
      </c>
    </row>
    <row r="41" spans="1:17" ht="30" customHeight="1">
      <c r="A41" s="311">
        <v>33</v>
      </c>
      <c r="B41" s="301" t="str">
        <f>Master!D47</f>
        <v>Nagani laxmi</v>
      </c>
      <c r="C41" s="302" t="str">
        <f>Master!G47</f>
        <v>Nagani pochaiah</v>
      </c>
      <c r="D41" s="300" t="s">
        <v>157</v>
      </c>
      <c r="E41" s="303" t="str">
        <f>Master!J47</f>
        <v>Unskilled Gardner</v>
      </c>
      <c r="F41" s="304">
        <f>Master!W47</f>
        <v>0</v>
      </c>
      <c r="G41" s="304">
        <f>Master!AG47</f>
        <v>0</v>
      </c>
      <c r="H41" s="304">
        <v>1442</v>
      </c>
      <c r="I41" s="300" t="s">
        <v>28</v>
      </c>
      <c r="J41" s="300" t="s">
        <v>28</v>
      </c>
      <c r="K41" s="300" t="s">
        <v>28</v>
      </c>
      <c r="L41" s="300" t="s">
        <v>28</v>
      </c>
      <c r="M41" s="304">
        <f t="shared" si="0"/>
        <v>1442</v>
      </c>
      <c r="N41" s="304">
        <f t="shared" si="1"/>
        <v>1442</v>
      </c>
      <c r="O41" s="305">
        <f>Master!AO47</f>
        <v>0</v>
      </c>
      <c r="P41" s="301">
        <f>Master!AP47</f>
        <v>0</v>
      </c>
      <c r="Q41" s="627">
        <f>Master!AU47</f>
        <v>38228068404</v>
      </c>
    </row>
    <row r="42" spans="1:17" ht="30" customHeight="1">
      <c r="A42" s="311">
        <v>34</v>
      </c>
      <c r="B42" s="301" t="str">
        <f>Master!D48</f>
        <v>Lingola amrutha</v>
      </c>
      <c r="C42" s="302" t="str">
        <f>Master!G48</f>
        <v>Ningolla swamy</v>
      </c>
      <c r="D42" s="300" t="s">
        <v>157</v>
      </c>
      <c r="E42" s="303" t="str">
        <f>Master!J48</f>
        <v>Unskilled Gardner</v>
      </c>
      <c r="F42" s="304">
        <f>Master!W48</f>
        <v>0</v>
      </c>
      <c r="G42" s="304">
        <f>Master!AG48</f>
        <v>0</v>
      </c>
      <c r="H42" s="304">
        <v>1442</v>
      </c>
      <c r="I42" s="300" t="s">
        <v>28</v>
      </c>
      <c r="J42" s="300" t="s">
        <v>28</v>
      </c>
      <c r="K42" s="300" t="s">
        <v>28</v>
      </c>
      <c r="L42" s="300" t="s">
        <v>28</v>
      </c>
      <c r="M42" s="304">
        <f t="shared" si="0"/>
        <v>1442</v>
      </c>
      <c r="N42" s="304">
        <f t="shared" si="1"/>
        <v>1442</v>
      </c>
      <c r="O42" s="305">
        <f>Master!AO48</f>
        <v>0</v>
      </c>
      <c r="P42" s="301">
        <f>Master!AP48</f>
        <v>0</v>
      </c>
      <c r="Q42" s="627">
        <f>Master!AU48</f>
        <v>31891992373</v>
      </c>
    </row>
    <row r="43" spans="1:17" ht="30" customHeight="1">
      <c r="A43" s="311">
        <v>35</v>
      </c>
      <c r="B43" s="301" t="str">
        <f>Master!D49</f>
        <v>Kuduru satyamma</v>
      </c>
      <c r="C43" s="302" t="str">
        <f>Master!G49</f>
        <v xml:space="preserve">NARAYANA </v>
      </c>
      <c r="D43" s="300" t="s">
        <v>157</v>
      </c>
      <c r="E43" s="303" t="str">
        <f>Master!J49</f>
        <v>Unskilled Gardner</v>
      </c>
      <c r="F43" s="304">
        <f>Master!W49</f>
        <v>0</v>
      </c>
      <c r="G43" s="304">
        <f>Master!AG49</f>
        <v>0</v>
      </c>
      <c r="H43" s="304">
        <v>1442</v>
      </c>
      <c r="I43" s="300" t="s">
        <v>28</v>
      </c>
      <c r="J43" s="300" t="s">
        <v>28</v>
      </c>
      <c r="K43" s="300" t="s">
        <v>28</v>
      </c>
      <c r="L43" s="300" t="s">
        <v>28</v>
      </c>
      <c r="M43" s="304">
        <f t="shared" si="0"/>
        <v>1442</v>
      </c>
      <c r="N43" s="304">
        <f t="shared" si="1"/>
        <v>1442</v>
      </c>
      <c r="O43" s="305">
        <f>Master!AO49</f>
        <v>0</v>
      </c>
      <c r="P43" s="301">
        <f>Master!AP49</f>
        <v>0</v>
      </c>
      <c r="Q43" s="627">
        <f>Master!AU49</f>
        <v>62409123202</v>
      </c>
    </row>
    <row r="44" spans="1:17" ht="30" customHeight="1">
      <c r="A44" s="311">
        <v>36</v>
      </c>
      <c r="B44" s="301" t="str">
        <f>Master!D50</f>
        <v>Mangali Lakshmi</v>
      </c>
      <c r="C44" s="302" t="str">
        <f>Master!G50</f>
        <v>MANGALI PEDDA</v>
      </c>
      <c r="D44" s="300" t="s">
        <v>157</v>
      </c>
      <c r="E44" s="303" t="str">
        <f>Master!J50</f>
        <v>Unskilled Gardner</v>
      </c>
      <c r="F44" s="304">
        <f>Master!W50</f>
        <v>0</v>
      </c>
      <c r="G44" s="304">
        <f>Master!AG50</f>
        <v>0</v>
      </c>
      <c r="H44" s="304">
        <v>1442</v>
      </c>
      <c r="I44" s="300" t="s">
        <v>28</v>
      </c>
      <c r="J44" s="300" t="s">
        <v>28</v>
      </c>
      <c r="K44" s="300" t="s">
        <v>28</v>
      </c>
      <c r="L44" s="300" t="s">
        <v>28</v>
      </c>
      <c r="M44" s="304">
        <f t="shared" si="0"/>
        <v>1442</v>
      </c>
      <c r="N44" s="304">
        <f t="shared" si="1"/>
        <v>1442</v>
      </c>
      <c r="O44" s="305">
        <f>Master!AO50</f>
        <v>0</v>
      </c>
      <c r="P44" s="301">
        <f>Master!AP50</f>
        <v>0</v>
      </c>
      <c r="Q44" s="627">
        <f>Master!AU50</f>
        <v>73158532002</v>
      </c>
    </row>
    <row r="45" spans="1:17" ht="30" customHeight="1">
      <c r="A45" s="311">
        <v>37</v>
      </c>
      <c r="B45" s="301" t="str">
        <f>Master!D51</f>
        <v>Ningolla santhosha</v>
      </c>
      <c r="C45" s="302" t="str">
        <f>Master!G51</f>
        <v>NINGOLLA RAJU</v>
      </c>
      <c r="D45" s="300" t="s">
        <v>157</v>
      </c>
      <c r="E45" s="303" t="str">
        <f>Master!J51</f>
        <v>Unskilled Gardner</v>
      </c>
      <c r="F45" s="304">
        <f>Master!W51</f>
        <v>0</v>
      </c>
      <c r="G45" s="304">
        <f>Master!AG51</f>
        <v>0</v>
      </c>
      <c r="H45" s="304">
        <v>1442</v>
      </c>
      <c r="I45" s="300" t="s">
        <v>28</v>
      </c>
      <c r="J45" s="300" t="s">
        <v>28</v>
      </c>
      <c r="K45" s="300" t="s">
        <v>28</v>
      </c>
      <c r="L45" s="300" t="s">
        <v>28</v>
      </c>
      <c r="M45" s="304">
        <f t="shared" si="0"/>
        <v>1442</v>
      </c>
      <c r="N45" s="304">
        <f t="shared" si="1"/>
        <v>1442</v>
      </c>
      <c r="O45" s="305">
        <f>Master!AO51</f>
        <v>0</v>
      </c>
      <c r="P45" s="301">
        <f>Master!AP51</f>
        <v>0</v>
      </c>
      <c r="Q45" s="627">
        <f>Master!AU51</f>
        <v>173022010000748</v>
      </c>
    </row>
    <row r="46" spans="1:17" ht="30" customHeight="1">
      <c r="A46" s="311">
        <v>38</v>
      </c>
      <c r="B46" s="301" t="str">
        <f>Master!D52</f>
        <v>Mutholla Suneeta</v>
      </c>
      <c r="C46" s="302" t="str">
        <f>Master!G52</f>
        <v>MUTHOLLA MALLESH</v>
      </c>
      <c r="D46" s="300" t="s">
        <v>157</v>
      </c>
      <c r="E46" s="303" t="str">
        <f>Master!J52</f>
        <v>Unskilled Gardner</v>
      </c>
      <c r="F46" s="304">
        <f>Master!W52</f>
        <v>0</v>
      </c>
      <c r="G46" s="304">
        <f>Master!AG52</f>
        <v>0</v>
      </c>
      <c r="H46" s="304">
        <v>1442</v>
      </c>
      <c r="I46" s="300" t="s">
        <v>28</v>
      </c>
      <c r="J46" s="300" t="s">
        <v>28</v>
      </c>
      <c r="K46" s="300" t="s">
        <v>28</v>
      </c>
      <c r="L46" s="300" t="s">
        <v>28</v>
      </c>
      <c r="M46" s="304">
        <f t="shared" si="0"/>
        <v>1442</v>
      </c>
      <c r="N46" s="304">
        <f t="shared" si="1"/>
        <v>1442</v>
      </c>
      <c r="O46" s="305">
        <f>Master!AO52</f>
        <v>0</v>
      </c>
      <c r="P46" s="301">
        <f>Master!AP52</f>
        <v>0</v>
      </c>
      <c r="Q46" s="627">
        <f>Master!AU52</f>
        <v>20163798424</v>
      </c>
    </row>
    <row r="47" spans="1:17" ht="30" customHeight="1">
      <c r="A47" s="311">
        <v>39</v>
      </c>
      <c r="B47" s="301" t="str">
        <f>Master!D53</f>
        <v>Mutholla sushila</v>
      </c>
      <c r="C47" s="302" t="str">
        <f>Master!G53</f>
        <v>MUTHOLLA CHANDRA</v>
      </c>
      <c r="D47" s="300" t="s">
        <v>157</v>
      </c>
      <c r="E47" s="303" t="str">
        <f>Master!J53</f>
        <v>Unskilled Gardner</v>
      </c>
      <c r="F47" s="304">
        <f>Master!W53</f>
        <v>0</v>
      </c>
      <c r="G47" s="304">
        <f>Master!AG53</f>
        <v>0</v>
      </c>
      <c r="H47" s="304">
        <v>1442</v>
      </c>
      <c r="I47" s="300" t="s">
        <v>28</v>
      </c>
      <c r="J47" s="300" t="s">
        <v>28</v>
      </c>
      <c r="K47" s="300" t="s">
        <v>28</v>
      </c>
      <c r="L47" s="300" t="s">
        <v>28</v>
      </c>
      <c r="M47" s="304">
        <f t="shared" si="0"/>
        <v>1442</v>
      </c>
      <c r="N47" s="304">
        <f t="shared" si="1"/>
        <v>1442</v>
      </c>
      <c r="O47" s="305">
        <f>Master!AO53</f>
        <v>0</v>
      </c>
      <c r="P47" s="301">
        <f>Master!AP53</f>
        <v>0</v>
      </c>
      <c r="Q47" s="627">
        <f>Master!AU53</f>
        <v>33177853645</v>
      </c>
    </row>
    <row r="48" spans="1:17" ht="30" customHeight="1">
      <c r="A48" s="311">
        <v>40</v>
      </c>
      <c r="B48" s="301" t="str">
        <f>Master!D54</f>
        <v>Kummari kalavathi</v>
      </c>
      <c r="C48" s="302" t="str">
        <f>Master!G54</f>
        <v>KUMARI KRISHNA</v>
      </c>
      <c r="D48" s="300" t="s">
        <v>157</v>
      </c>
      <c r="E48" s="303" t="str">
        <f>Master!J54</f>
        <v>Unskilled Gardner</v>
      </c>
      <c r="F48" s="304">
        <f>Master!W54</f>
        <v>0</v>
      </c>
      <c r="G48" s="304">
        <f>Master!AG54</f>
        <v>0</v>
      </c>
      <c r="H48" s="304">
        <v>1442</v>
      </c>
      <c r="I48" s="300" t="s">
        <v>28</v>
      </c>
      <c r="J48" s="300" t="s">
        <v>28</v>
      </c>
      <c r="K48" s="300" t="s">
        <v>28</v>
      </c>
      <c r="L48" s="300" t="s">
        <v>28</v>
      </c>
      <c r="M48" s="304">
        <f t="shared" si="0"/>
        <v>1442</v>
      </c>
      <c r="N48" s="304">
        <f t="shared" si="1"/>
        <v>1442</v>
      </c>
      <c r="O48" s="305">
        <f>Master!AO54</f>
        <v>0</v>
      </c>
      <c r="P48" s="301">
        <f>Master!AP54</f>
        <v>0</v>
      </c>
      <c r="Q48" s="627">
        <f>Master!AU54</f>
        <v>33415863098</v>
      </c>
    </row>
    <row r="49" spans="1:17" ht="30" customHeight="1">
      <c r="A49" s="311">
        <v>41</v>
      </c>
      <c r="B49" s="301" t="str">
        <f>Master!D55</f>
        <v xml:space="preserve">Vadla Naveena </v>
      </c>
      <c r="C49" s="302" t="str">
        <f>Master!G55</f>
        <v>VADLA BHASHKAR</v>
      </c>
      <c r="D49" s="300" t="s">
        <v>157</v>
      </c>
      <c r="E49" s="303" t="str">
        <f>Master!J55</f>
        <v>Unskilled Gardner</v>
      </c>
      <c r="F49" s="304">
        <f>Master!W55</f>
        <v>0</v>
      </c>
      <c r="G49" s="304">
        <f>Master!AG55</f>
        <v>0</v>
      </c>
      <c r="H49" s="304">
        <v>1442</v>
      </c>
      <c r="I49" s="300" t="s">
        <v>28</v>
      </c>
      <c r="J49" s="300" t="s">
        <v>28</v>
      </c>
      <c r="K49" s="300" t="s">
        <v>28</v>
      </c>
      <c r="L49" s="300" t="s">
        <v>28</v>
      </c>
      <c r="M49" s="304">
        <f t="shared" si="0"/>
        <v>1442</v>
      </c>
      <c r="N49" s="304">
        <f t="shared" si="1"/>
        <v>1442</v>
      </c>
      <c r="O49" s="305">
        <f>Master!AO55</f>
        <v>0</v>
      </c>
      <c r="P49" s="301">
        <f>Master!AP55</f>
        <v>0</v>
      </c>
      <c r="Q49" s="627">
        <f>Master!AU55</f>
        <v>73097866350</v>
      </c>
    </row>
    <row r="50" spans="1:17" ht="30" customHeight="1">
      <c r="A50" s="311">
        <v>42</v>
      </c>
      <c r="B50" s="301" t="str">
        <f>Master!D56</f>
        <v>Nagani shantamma</v>
      </c>
      <c r="C50" s="302" t="str">
        <f>Master!G56</f>
        <v>NANGANI VEERAIAH</v>
      </c>
      <c r="D50" s="300" t="s">
        <v>157</v>
      </c>
      <c r="E50" s="303" t="str">
        <f>Master!J56</f>
        <v>Unskilled Gardner</v>
      </c>
      <c r="F50" s="304">
        <f>Master!W56</f>
        <v>0</v>
      </c>
      <c r="G50" s="304">
        <f>Master!AG56</f>
        <v>0</v>
      </c>
      <c r="H50" s="304">
        <v>1442</v>
      </c>
      <c r="I50" s="300" t="s">
        <v>28</v>
      </c>
      <c r="J50" s="300" t="s">
        <v>28</v>
      </c>
      <c r="K50" s="300" t="s">
        <v>28</v>
      </c>
      <c r="L50" s="300" t="s">
        <v>28</v>
      </c>
      <c r="M50" s="304">
        <f t="shared" si="0"/>
        <v>1442</v>
      </c>
      <c r="N50" s="304">
        <f t="shared" si="1"/>
        <v>1442</v>
      </c>
      <c r="O50" s="305">
        <f>Master!AO56</f>
        <v>0</v>
      </c>
      <c r="P50" s="301">
        <f>Master!AP56</f>
        <v>0</v>
      </c>
      <c r="Q50" s="627">
        <f>Master!AU56</f>
        <v>33400593738</v>
      </c>
    </row>
    <row r="51" spans="1:17" ht="30" customHeight="1">
      <c r="A51" s="311">
        <v>43</v>
      </c>
      <c r="B51" s="301" t="str">
        <f>Master!D57</f>
        <v>Gaddmidi lakshmi</v>
      </c>
      <c r="C51" s="302" t="str">
        <f>Master!G57</f>
        <v>GADDAMIDI RAGHU</v>
      </c>
      <c r="D51" s="300" t="s">
        <v>157</v>
      </c>
      <c r="E51" s="303" t="str">
        <f>Master!J57</f>
        <v>Unskilled Gardner</v>
      </c>
      <c r="F51" s="304">
        <f>Master!W57</f>
        <v>0</v>
      </c>
      <c r="G51" s="304">
        <f>Master!AG57</f>
        <v>0</v>
      </c>
      <c r="H51" s="304">
        <v>1442</v>
      </c>
      <c r="I51" s="300" t="s">
        <v>28</v>
      </c>
      <c r="J51" s="300" t="s">
        <v>28</v>
      </c>
      <c r="K51" s="300" t="s">
        <v>28</v>
      </c>
      <c r="L51" s="300" t="s">
        <v>28</v>
      </c>
      <c r="M51" s="304">
        <f t="shared" si="0"/>
        <v>1442</v>
      </c>
      <c r="N51" s="304">
        <f t="shared" si="1"/>
        <v>1442</v>
      </c>
      <c r="O51" s="305">
        <f>Master!AO57</f>
        <v>0</v>
      </c>
      <c r="P51" s="301">
        <f>Master!AP57</f>
        <v>0</v>
      </c>
      <c r="Q51" s="627">
        <f>Master!AU57</f>
        <v>35101295296</v>
      </c>
    </row>
    <row r="52" spans="1:17" ht="30" customHeight="1">
      <c r="A52" s="311">
        <v>44</v>
      </c>
      <c r="B52" s="301" t="str">
        <f>Master!D58</f>
        <v>Gaddamidi raghu</v>
      </c>
      <c r="C52" s="302" t="str">
        <f>Master!G58</f>
        <v>GADDAMIDI BALAIAH</v>
      </c>
      <c r="D52" s="300" t="s">
        <v>157</v>
      </c>
      <c r="E52" s="303" t="str">
        <f>Master!J58</f>
        <v>Semi Skilled Gardner</v>
      </c>
      <c r="F52" s="304">
        <f>Master!W58</f>
        <v>0</v>
      </c>
      <c r="G52" s="304">
        <f>Master!AG58</f>
        <v>0</v>
      </c>
      <c r="H52" s="304">
        <v>1442</v>
      </c>
      <c r="I52" s="300" t="s">
        <v>28</v>
      </c>
      <c r="J52" s="300" t="s">
        <v>28</v>
      </c>
      <c r="K52" s="300" t="s">
        <v>28</v>
      </c>
      <c r="L52" s="300" t="s">
        <v>28</v>
      </c>
      <c r="M52" s="304">
        <f t="shared" si="0"/>
        <v>1442</v>
      </c>
      <c r="N52" s="304">
        <f t="shared" si="1"/>
        <v>1442</v>
      </c>
      <c r="O52" s="305">
        <f>Master!AO58</f>
        <v>0</v>
      </c>
      <c r="P52" s="301">
        <f>Master!AP58</f>
        <v>0</v>
      </c>
      <c r="Q52" s="627">
        <f>Master!AU58</f>
        <v>35200839277</v>
      </c>
    </row>
    <row r="53" spans="1:17" ht="30" customHeight="1">
      <c r="A53" s="311">
        <v>45</v>
      </c>
      <c r="B53" s="301" t="str">
        <f>Master!D59</f>
        <v>Laxman</v>
      </c>
      <c r="C53" s="302" t="str">
        <f>Master!G59</f>
        <v>IRAPPA</v>
      </c>
      <c r="D53" s="300" t="s">
        <v>157</v>
      </c>
      <c r="E53" s="303" t="str">
        <f>Master!J59</f>
        <v>Semi Skilled Gardner</v>
      </c>
      <c r="F53" s="304">
        <f>Master!W59</f>
        <v>0</v>
      </c>
      <c r="G53" s="304">
        <f>Master!AG59</f>
        <v>0</v>
      </c>
      <c r="H53" s="304">
        <v>1442</v>
      </c>
      <c r="I53" s="300" t="s">
        <v>28</v>
      </c>
      <c r="J53" s="300" t="s">
        <v>28</v>
      </c>
      <c r="K53" s="300" t="s">
        <v>28</v>
      </c>
      <c r="L53" s="300" t="s">
        <v>28</v>
      </c>
      <c r="M53" s="304">
        <f t="shared" si="0"/>
        <v>1442</v>
      </c>
      <c r="N53" s="304">
        <f t="shared" si="1"/>
        <v>1442</v>
      </c>
      <c r="O53" s="305">
        <f>Master!AO59</f>
        <v>0</v>
      </c>
      <c r="P53" s="301">
        <f>Master!AP59</f>
        <v>0</v>
      </c>
      <c r="Q53" s="627">
        <f>Master!AU59</f>
        <v>3868101008111</v>
      </c>
    </row>
    <row r="54" spans="1:17" ht="30" customHeight="1">
      <c r="A54" s="311">
        <v>46</v>
      </c>
      <c r="B54" s="301" t="str">
        <f>Master!D60</f>
        <v>VADLA JYOTHI</v>
      </c>
      <c r="C54" s="302" t="str">
        <f>Master!G60</f>
        <v>VADLA SHANKAR CHARY</v>
      </c>
      <c r="D54" s="300" t="s">
        <v>157</v>
      </c>
      <c r="E54" s="303" t="str">
        <f>Master!J60</f>
        <v>Unskilled Gardner</v>
      </c>
      <c r="F54" s="304">
        <f>Master!W60</f>
        <v>0</v>
      </c>
      <c r="G54" s="304">
        <f>Master!AG60</f>
        <v>0</v>
      </c>
      <c r="H54" s="304">
        <v>1442</v>
      </c>
      <c r="I54" s="300" t="s">
        <v>28</v>
      </c>
      <c r="J54" s="300" t="s">
        <v>28</v>
      </c>
      <c r="K54" s="300" t="s">
        <v>28</v>
      </c>
      <c r="L54" s="300" t="s">
        <v>28</v>
      </c>
      <c r="M54" s="304">
        <f t="shared" si="0"/>
        <v>1442</v>
      </c>
      <c r="N54" s="304">
        <f t="shared" si="1"/>
        <v>1442</v>
      </c>
      <c r="O54" s="305">
        <f>Master!AO60</f>
        <v>0</v>
      </c>
      <c r="P54" s="301">
        <f>Master!AP60</f>
        <v>0</v>
      </c>
      <c r="Q54" s="627" t="str">
        <f>Master!AU60</f>
        <v>0888104000048675'</v>
      </c>
    </row>
    <row r="55" spans="1:17" ht="30" customHeight="1">
      <c r="A55" s="311">
        <v>47</v>
      </c>
      <c r="B55" s="301" t="str">
        <f>Master!D61</f>
        <v>Rupesh Chandra Jakhmola</v>
      </c>
      <c r="C55" s="302" t="str">
        <f>Master!G61</f>
        <v>RAJENDRA PRASAD</v>
      </c>
      <c r="D55" s="300" t="s">
        <v>157</v>
      </c>
      <c r="E55" s="303" t="str">
        <f>Master!J61</f>
        <v>Manager</v>
      </c>
      <c r="F55" s="304">
        <f>Master!W61</f>
        <v>0</v>
      </c>
      <c r="G55" s="304">
        <f>Master!AG61</f>
        <v>0</v>
      </c>
      <c r="H55" s="304">
        <v>1442</v>
      </c>
      <c r="I55" s="300" t="s">
        <v>28</v>
      </c>
      <c r="J55" s="300" t="s">
        <v>28</v>
      </c>
      <c r="K55" s="300" t="s">
        <v>28</v>
      </c>
      <c r="L55" s="300" t="s">
        <v>28</v>
      </c>
      <c r="M55" s="304">
        <f t="shared" si="0"/>
        <v>1442</v>
      </c>
      <c r="N55" s="304">
        <f t="shared" si="1"/>
        <v>1442</v>
      </c>
      <c r="O55" s="305">
        <f>Master!AO61</f>
        <v>0</v>
      </c>
      <c r="P55" s="301">
        <f>Master!AP61</f>
        <v>0</v>
      </c>
      <c r="Q55" s="627">
        <f>Master!AU61</f>
        <v>10024839331</v>
      </c>
    </row>
    <row r="56" spans="1:17" ht="30" customHeight="1">
      <c r="A56" s="311">
        <v>48</v>
      </c>
      <c r="B56" s="301" t="str">
        <f>Master!D62</f>
        <v>Bakkani Mallaiah</v>
      </c>
      <c r="C56" s="302" t="str">
        <f>Master!G62</f>
        <v>BAKKANI HANMAIH</v>
      </c>
      <c r="D56" s="300" t="s">
        <v>157</v>
      </c>
      <c r="E56" s="303" t="str">
        <f>Master!J62</f>
        <v>Semi Skilled Gardner</v>
      </c>
      <c r="F56" s="304">
        <f>Master!W62</f>
        <v>0</v>
      </c>
      <c r="G56" s="304">
        <f>Master!AG62</f>
        <v>0</v>
      </c>
      <c r="H56" s="304">
        <v>1442</v>
      </c>
      <c r="I56" s="300" t="s">
        <v>28</v>
      </c>
      <c r="J56" s="300" t="s">
        <v>28</v>
      </c>
      <c r="K56" s="300" t="s">
        <v>28</v>
      </c>
      <c r="L56" s="300" t="s">
        <v>28</v>
      </c>
      <c r="M56" s="304">
        <f t="shared" si="0"/>
        <v>1442</v>
      </c>
      <c r="N56" s="304">
        <f t="shared" si="1"/>
        <v>1442</v>
      </c>
      <c r="O56" s="305">
        <f>Master!AO62</f>
        <v>0</v>
      </c>
      <c r="P56" s="301">
        <f>Master!AP62</f>
        <v>0</v>
      </c>
      <c r="Q56" s="627">
        <f>Master!AU62</f>
        <v>62325068437</v>
      </c>
    </row>
    <row r="57" spans="1:17" ht="30" customHeight="1">
      <c r="A57" s="311">
        <v>49</v>
      </c>
      <c r="B57" s="301" t="str">
        <f>Master!D63</f>
        <v>Chakali Narayana</v>
      </c>
      <c r="C57" s="302" t="str">
        <f>Master!G63</f>
        <v>CHAKALI PETAIAH</v>
      </c>
      <c r="D57" s="300" t="s">
        <v>157</v>
      </c>
      <c r="E57" s="303" t="str">
        <f>Master!J63</f>
        <v>Semi Skilled Gardner</v>
      </c>
      <c r="F57" s="304">
        <f>Master!W63</f>
        <v>0</v>
      </c>
      <c r="G57" s="304">
        <f>Master!AG63</f>
        <v>0</v>
      </c>
      <c r="H57" s="304">
        <v>1442</v>
      </c>
      <c r="I57" s="300" t="s">
        <v>28</v>
      </c>
      <c r="J57" s="300" t="s">
        <v>28</v>
      </c>
      <c r="K57" s="300" t="s">
        <v>28</v>
      </c>
      <c r="L57" s="300" t="s">
        <v>28</v>
      </c>
      <c r="M57" s="304">
        <f t="shared" si="0"/>
        <v>1442</v>
      </c>
      <c r="N57" s="304">
        <f t="shared" si="1"/>
        <v>1442</v>
      </c>
      <c r="O57" s="305">
        <f>Master!AO63</f>
        <v>0</v>
      </c>
      <c r="P57" s="301">
        <f>Master!AP63</f>
        <v>0</v>
      </c>
      <c r="Q57" s="627">
        <f>Master!AU63</f>
        <v>73067905502</v>
      </c>
    </row>
    <row r="58" spans="1:17" ht="30" customHeight="1">
      <c r="A58" s="311">
        <v>50</v>
      </c>
      <c r="B58" s="301" t="str">
        <f>Master!D64</f>
        <v>Mutyala Poshavva</v>
      </c>
      <c r="C58" s="302" t="str">
        <f>Master!G64</f>
        <v>MUTYALA BABU</v>
      </c>
      <c r="D58" s="300" t="s">
        <v>157</v>
      </c>
      <c r="E58" s="303" t="str">
        <f>Master!J64</f>
        <v>Unskilled Gardner</v>
      </c>
      <c r="F58" s="304">
        <f>Master!W64</f>
        <v>0</v>
      </c>
      <c r="G58" s="304">
        <f>Master!AG64</f>
        <v>0</v>
      </c>
      <c r="H58" s="304">
        <v>1442</v>
      </c>
      <c r="I58" s="300" t="s">
        <v>28</v>
      </c>
      <c r="J58" s="300" t="s">
        <v>28</v>
      </c>
      <c r="K58" s="300" t="s">
        <v>28</v>
      </c>
      <c r="L58" s="300" t="s">
        <v>28</v>
      </c>
      <c r="M58" s="304">
        <f t="shared" si="0"/>
        <v>1442</v>
      </c>
      <c r="N58" s="304">
        <f t="shared" si="1"/>
        <v>1442</v>
      </c>
      <c r="O58" s="305">
        <f>Master!AO64</f>
        <v>0</v>
      </c>
      <c r="P58" s="301">
        <f>Master!AP64</f>
        <v>0</v>
      </c>
      <c r="Q58" s="627" t="str">
        <f>Master!AU64</f>
        <v>Bank Cheque</v>
      </c>
    </row>
    <row r="59" spans="1:17">
      <c r="A59" s="195"/>
      <c r="B59" s="306"/>
      <c r="C59" s="114"/>
      <c r="D59" s="114"/>
      <c r="E59" s="325"/>
      <c r="F59" s="886">
        <f>SUM(F9:F58)</f>
        <v>0</v>
      </c>
      <c r="G59" s="886">
        <f>SUM(G9:G58)</f>
        <v>4721</v>
      </c>
      <c r="H59" s="886">
        <f>SUM(H9:H58)</f>
        <v>72100</v>
      </c>
      <c r="I59" s="887"/>
      <c r="J59" s="887"/>
      <c r="K59" s="887"/>
      <c r="L59" s="887"/>
      <c r="M59" s="886">
        <f>SUM(M9:M58)</f>
        <v>72100</v>
      </c>
      <c r="N59" s="886">
        <f>SUM(N9:N58)</f>
        <v>72100</v>
      </c>
      <c r="O59" s="886"/>
      <c r="P59" s="886"/>
      <c r="Q59" s="16"/>
    </row>
    <row r="60" spans="1:17">
      <c r="A60" s="195"/>
      <c r="B60" s="306"/>
      <c r="C60" s="875"/>
      <c r="D60" s="875"/>
      <c r="E60" s="874"/>
      <c r="F60" s="874"/>
      <c r="G60" s="874"/>
      <c r="H60" s="875"/>
      <c r="I60" s="875"/>
      <c r="J60" s="875"/>
      <c r="K60" s="875"/>
      <c r="L60" s="875"/>
      <c r="M60" s="875"/>
      <c r="N60" s="875"/>
      <c r="O60" s="875"/>
      <c r="P60" s="875"/>
      <c r="Q60" s="16"/>
    </row>
    <row r="61" spans="1:17">
      <c r="A61" s="195"/>
      <c r="B61" s="306"/>
      <c r="C61" s="875"/>
      <c r="D61" s="875"/>
      <c r="E61" s="874"/>
      <c r="F61" s="874"/>
      <c r="G61" s="874"/>
      <c r="H61" s="875"/>
      <c r="I61" s="875"/>
      <c r="J61" s="875"/>
      <c r="K61" s="875"/>
      <c r="L61" s="875"/>
      <c r="M61" s="875"/>
      <c r="N61" s="875"/>
      <c r="O61" s="875"/>
      <c r="P61" s="875"/>
      <c r="Q61" s="16"/>
    </row>
    <row r="62" spans="1:17" ht="15" thickBot="1">
      <c r="A62" s="246"/>
      <c r="B62" s="312"/>
      <c r="C62" s="25"/>
      <c r="D62" s="25"/>
      <c r="E62" s="589"/>
      <c r="F62" s="589"/>
      <c r="G62" s="589"/>
      <c r="H62" s="25"/>
      <c r="I62" s="25"/>
      <c r="J62" s="25"/>
      <c r="K62" s="25"/>
      <c r="L62" s="25" t="s">
        <v>29</v>
      </c>
      <c r="M62" s="25"/>
      <c r="N62" s="25"/>
      <c r="O62" s="25"/>
      <c r="P62" s="25"/>
      <c r="Q62" s="26"/>
    </row>
    <row r="63" spans="1:17">
      <c r="A63" s="7"/>
      <c r="B63" s="14"/>
      <c r="E63" s="7"/>
      <c r="F63" s="7"/>
      <c r="G63" s="7"/>
    </row>
    <row r="64" spans="1:17">
      <c r="A64" s="7"/>
      <c r="B64" s="14"/>
      <c r="E64" s="7"/>
      <c r="F64" s="7"/>
      <c r="G64" s="7"/>
    </row>
    <row r="65" spans="1:7">
      <c r="A65" s="7"/>
      <c r="B65" s="14"/>
      <c r="E65" s="7"/>
      <c r="F65" s="7"/>
      <c r="G65" s="7"/>
    </row>
    <row r="66" spans="1:7">
      <c r="A66" s="7"/>
      <c r="B66" s="14"/>
      <c r="E66" s="7"/>
      <c r="F66" s="7"/>
      <c r="G66" s="7"/>
    </row>
    <row r="67" spans="1:7">
      <c r="A67" s="7"/>
      <c r="B67" s="14"/>
      <c r="E67" s="7"/>
      <c r="F67" s="7"/>
      <c r="G67" s="7"/>
    </row>
    <row r="68" spans="1:7">
      <c r="A68" s="7"/>
      <c r="B68" s="14"/>
      <c r="E68" s="7"/>
      <c r="F68" s="7"/>
      <c r="G68" s="7"/>
    </row>
    <row r="69" spans="1:7">
      <c r="A69" s="7"/>
      <c r="B69" s="14"/>
      <c r="E69" s="7"/>
      <c r="F69" s="7"/>
      <c r="G69" s="7"/>
    </row>
    <row r="70" spans="1:7">
      <c r="A70" s="7"/>
      <c r="B70" s="14"/>
      <c r="E70" s="7"/>
      <c r="F70" s="7"/>
      <c r="G70" s="7"/>
    </row>
    <row r="71" spans="1:7">
      <c r="A71" s="7"/>
      <c r="B71" s="14"/>
      <c r="E71" s="7"/>
      <c r="F71" s="7"/>
      <c r="G71" s="7"/>
    </row>
    <row r="72" spans="1:7">
      <c r="A72" s="7"/>
      <c r="B72" s="14"/>
      <c r="E72" s="7"/>
      <c r="F72" s="7"/>
      <c r="G72" s="7"/>
    </row>
    <row r="73" spans="1:7">
      <c r="A73" s="7"/>
      <c r="B73" s="14"/>
      <c r="E73" s="7"/>
      <c r="F73" s="7"/>
      <c r="G73" s="7"/>
    </row>
    <row r="74" spans="1:7">
      <c r="A74" s="7"/>
      <c r="B74" s="14"/>
      <c r="E74" s="7"/>
      <c r="F74" s="7"/>
      <c r="G74" s="7"/>
    </row>
    <row r="75" spans="1:7">
      <c r="A75" s="7"/>
      <c r="B75" s="14"/>
      <c r="E75" s="7"/>
      <c r="F75" s="7"/>
      <c r="G75" s="7"/>
    </row>
    <row r="76" spans="1:7">
      <c r="A76" s="7"/>
      <c r="B76" s="14"/>
      <c r="E76" s="7"/>
      <c r="F76" s="7"/>
      <c r="G76" s="7"/>
    </row>
    <row r="77" spans="1:7">
      <c r="A77" s="7"/>
      <c r="B77" s="14"/>
      <c r="E77" s="7"/>
      <c r="F77" s="7"/>
      <c r="G77" s="7"/>
    </row>
    <row r="78" spans="1:7">
      <c r="A78" s="7"/>
      <c r="B78" s="14"/>
      <c r="E78" s="7"/>
      <c r="F78" s="7"/>
      <c r="G78" s="7"/>
    </row>
  </sheetData>
  <mergeCells count="16">
    <mergeCell ref="P6:P7"/>
    <mergeCell ref="A1:P1"/>
    <mergeCell ref="A2:P2"/>
    <mergeCell ref="A6:A7"/>
    <mergeCell ref="B6:B7"/>
    <mergeCell ref="C6:C7"/>
    <mergeCell ref="D6:D7"/>
    <mergeCell ref="E6:E7"/>
    <mergeCell ref="F6:F7"/>
    <mergeCell ref="G6:G7"/>
    <mergeCell ref="H6:H7"/>
    <mergeCell ref="I6:K6"/>
    <mergeCell ref="L6:L7"/>
    <mergeCell ref="M6:M7"/>
    <mergeCell ref="N6:N7"/>
    <mergeCell ref="O6:O7"/>
  </mergeCells>
  <pageMargins left="0.48" right="0.25" top="0.75" bottom="0.75" header="0.3" footer="0.3"/>
  <pageSetup paperSize="9" scale="60" orientation="landscape" verticalDpi="300" r:id="rId1"/>
</worksheet>
</file>

<file path=xl/worksheets/sheet24.xml><?xml version="1.0" encoding="utf-8"?>
<worksheet xmlns="http://schemas.openxmlformats.org/spreadsheetml/2006/main" xmlns:r="http://schemas.openxmlformats.org/officeDocument/2006/relationships">
  <dimension ref="A1:K29"/>
  <sheetViews>
    <sheetView view="pageBreakPreview" topLeftCell="A7" zoomScale="90" zoomScaleSheetLayoutView="90" workbookViewId="0">
      <selection activeCell="H19" sqref="H19"/>
    </sheetView>
  </sheetViews>
  <sheetFormatPr defaultRowHeight="14.4"/>
  <cols>
    <col min="1" max="1" width="26.33203125" customWidth="1"/>
    <col min="2" max="2" width="23.6640625" customWidth="1"/>
    <col min="3" max="3" width="11.33203125" customWidth="1"/>
    <col min="4" max="4" width="11.88671875" customWidth="1"/>
    <col min="6" max="6" width="10" customWidth="1"/>
    <col min="7" max="7" width="10.5546875" customWidth="1"/>
    <col min="8" max="8" width="11.109375" customWidth="1"/>
    <col min="9" max="9" width="13" bestFit="1" customWidth="1"/>
    <col min="10" max="10" width="15" customWidth="1"/>
    <col min="11" max="11" width="19.6640625" bestFit="1" customWidth="1"/>
  </cols>
  <sheetData>
    <row r="1" spans="1:11" ht="50.1" customHeight="1">
      <c r="A1" s="1259" t="s">
        <v>250</v>
      </c>
      <c r="B1" s="1260"/>
      <c r="C1" s="1260"/>
      <c r="D1" s="1260"/>
      <c r="E1" s="1260"/>
      <c r="F1" s="1260"/>
      <c r="G1" s="1260"/>
      <c r="H1" s="1260"/>
      <c r="I1" s="1260"/>
      <c r="J1" s="342"/>
      <c r="K1" s="343"/>
    </row>
    <row r="2" spans="1:11" s="194" customFormat="1" ht="20.100000000000001" customHeight="1">
      <c r="A2" s="1261" t="s">
        <v>158</v>
      </c>
      <c r="B2" s="1262"/>
      <c r="C2" s="1262"/>
      <c r="D2" s="1262"/>
      <c r="E2" s="1262"/>
      <c r="F2" s="1262"/>
      <c r="G2" s="1262"/>
      <c r="H2" s="1262"/>
      <c r="I2" s="1262"/>
      <c r="J2" s="277"/>
      <c r="K2" s="90"/>
    </row>
    <row r="3" spans="1:11" ht="15" customHeight="1">
      <c r="A3" s="1264" t="s">
        <v>159</v>
      </c>
      <c r="B3" s="1265"/>
      <c r="C3" s="1265"/>
      <c r="D3" s="1265"/>
      <c r="E3" s="1265"/>
      <c r="F3" s="1265"/>
      <c r="G3" s="1265"/>
      <c r="H3" s="1265"/>
      <c r="I3" s="1265"/>
      <c r="J3" s="1265"/>
      <c r="K3" s="1266"/>
    </row>
    <row r="4" spans="1:11">
      <c r="A4" s="199"/>
      <c r="B4" s="278"/>
      <c r="C4" s="278"/>
      <c r="D4" s="278"/>
      <c r="E4" s="278"/>
      <c r="F4" s="278"/>
      <c r="G4" s="278"/>
      <c r="H4" s="278"/>
      <c r="I4" s="278"/>
      <c r="J4" s="278"/>
      <c r="K4" s="91"/>
    </row>
    <row r="5" spans="1:11" ht="18">
      <c r="A5" s="92"/>
      <c r="B5" s="279"/>
      <c r="C5" s="279"/>
      <c r="D5" s="1263">
        <f>Master!F10</f>
        <v>44652</v>
      </c>
      <c r="E5" s="1263"/>
      <c r="F5" s="279"/>
      <c r="G5" s="279"/>
      <c r="H5" s="279"/>
      <c r="I5" s="279"/>
      <c r="J5" s="279"/>
      <c r="K5" s="93"/>
    </row>
    <row r="6" spans="1:11">
      <c r="A6" s="199"/>
      <c r="B6" s="278"/>
      <c r="C6" s="278"/>
      <c r="D6" s="278"/>
      <c r="E6" s="278"/>
      <c r="F6" s="278"/>
      <c r="G6" s="278"/>
      <c r="H6" s="278"/>
      <c r="I6" s="278"/>
      <c r="J6" s="278"/>
      <c r="K6" s="91"/>
    </row>
    <row r="7" spans="1:11">
      <c r="A7" s="280" t="s">
        <v>160</v>
      </c>
      <c r="B7" s="269"/>
      <c r="C7" s="269"/>
      <c r="D7" s="270"/>
      <c r="E7" s="281"/>
      <c r="F7" s="1252" t="str">
        <f>Master!F5</f>
        <v>GROTECH LANDSCAPE DEVELOPERS PVT. LTD.</v>
      </c>
      <c r="G7" s="1253"/>
      <c r="H7" s="1253"/>
      <c r="I7" s="1253"/>
      <c r="J7" s="1253"/>
      <c r="K7" s="1254"/>
    </row>
    <row r="8" spans="1:11">
      <c r="A8" s="94"/>
      <c r="B8" s="282"/>
      <c r="C8" s="283"/>
      <c r="D8" s="284"/>
      <c r="E8" s="284"/>
      <c r="F8" s="1249" t="str">
        <f>Master!AN6</f>
        <v>290/E, Khanapur Village, Gandipet Mandal, Ranga Reddy, Hyderabad-500075 T.S.</v>
      </c>
      <c r="G8" s="1250"/>
      <c r="H8" s="1250"/>
      <c r="I8" s="1250"/>
      <c r="J8" s="1250"/>
      <c r="K8" s="1251"/>
    </row>
    <row r="9" spans="1:11">
      <c r="A9" s="280" t="s">
        <v>161</v>
      </c>
      <c r="B9" s="269"/>
      <c r="C9" s="269"/>
      <c r="D9" s="270"/>
      <c r="E9" s="281"/>
      <c r="F9" s="114"/>
      <c r="G9" s="114"/>
      <c r="H9" s="114"/>
      <c r="I9" s="114"/>
      <c r="J9" s="114"/>
      <c r="K9" s="16"/>
    </row>
    <row r="10" spans="1:11">
      <c r="A10" s="94"/>
      <c r="B10" s="282"/>
      <c r="C10" s="282"/>
      <c r="D10" s="282"/>
      <c r="E10" s="285"/>
      <c r="F10" s="285"/>
      <c r="G10" s="282"/>
      <c r="H10" s="282"/>
      <c r="I10" s="282"/>
      <c r="J10" s="285"/>
      <c r="K10" s="95"/>
    </row>
    <row r="11" spans="1:11">
      <c r="A11" s="280" t="s">
        <v>162</v>
      </c>
      <c r="B11" s="269"/>
      <c r="C11" s="269"/>
      <c r="D11" s="270"/>
      <c r="E11" s="281"/>
      <c r="F11" s="1252" t="str">
        <f>Master!AN10</f>
        <v>INDIAN SCHOOL OF BUSINESS</v>
      </c>
      <c r="G11" s="1253"/>
      <c r="H11" s="1253"/>
      <c r="I11" s="1253"/>
      <c r="J11" s="1253"/>
      <c r="K11" s="1254"/>
    </row>
    <row r="12" spans="1:11" ht="21">
      <c r="A12" s="96"/>
      <c r="B12" s="286"/>
      <c r="C12" s="286"/>
      <c r="D12" s="286"/>
      <c r="E12" s="287"/>
      <c r="F12" s="271" t="str">
        <f>Master!AN11</f>
        <v>Opp.Infosys Limited,Gachibowli,Hyderabad</v>
      </c>
      <c r="G12" s="272"/>
      <c r="H12" s="272"/>
      <c r="I12" s="272"/>
      <c r="J12" s="273"/>
      <c r="K12" s="288"/>
    </row>
    <row r="13" spans="1:11">
      <c r="A13" s="1255" t="s">
        <v>163</v>
      </c>
      <c r="B13" s="1256"/>
      <c r="C13" s="274">
        <f>D21</f>
        <v>2</v>
      </c>
      <c r="D13" s="289"/>
      <c r="E13" s="289"/>
      <c r="F13" s="289"/>
      <c r="G13" s="289"/>
      <c r="H13" s="289"/>
      <c r="I13" s="289"/>
      <c r="J13" s="290"/>
      <c r="K13" s="97"/>
    </row>
    <row r="14" spans="1:11">
      <c r="A14" s="198"/>
      <c r="B14" s="291"/>
      <c r="C14" s="289"/>
      <c r="D14" s="289"/>
      <c r="E14" s="289"/>
      <c r="F14" s="289"/>
      <c r="G14" s="289"/>
      <c r="H14" s="289"/>
      <c r="I14" s="289"/>
      <c r="J14" s="290"/>
      <c r="K14" s="97"/>
    </row>
    <row r="15" spans="1:11">
      <c r="A15" s="1255" t="s">
        <v>164</v>
      </c>
      <c r="B15" s="1256"/>
      <c r="C15" s="274">
        <f>C21</f>
        <v>0</v>
      </c>
      <c r="D15" s="289"/>
      <c r="E15" s="289"/>
      <c r="F15" s="289"/>
      <c r="G15" s="289"/>
      <c r="H15" s="289"/>
      <c r="I15" s="289"/>
      <c r="J15" s="290"/>
      <c r="K15" s="97"/>
    </row>
    <row r="16" spans="1:11">
      <c r="A16" s="1257"/>
      <c r="B16" s="1258"/>
      <c r="C16" s="1258"/>
      <c r="D16" s="1258"/>
      <c r="E16" s="1258"/>
      <c r="F16" s="1258"/>
      <c r="G16" s="1258"/>
      <c r="H16" s="1258"/>
      <c r="I16" s="1258"/>
      <c r="J16" s="292"/>
      <c r="K16" s="98"/>
    </row>
    <row r="17" spans="1:11">
      <c r="A17" s="293"/>
      <c r="B17" s="276"/>
      <c r="C17" s="1246" t="s">
        <v>165</v>
      </c>
      <c r="D17" s="1247"/>
      <c r="E17" s="1247"/>
      <c r="F17" s="1247"/>
      <c r="G17" s="1247"/>
      <c r="H17" s="1247"/>
      <c r="I17" s="1248"/>
      <c r="J17" s="275"/>
      <c r="K17" s="294"/>
    </row>
    <row r="18" spans="1:11" ht="51">
      <c r="A18" s="318" t="s">
        <v>166</v>
      </c>
      <c r="B18" s="295" t="s">
        <v>167</v>
      </c>
      <c r="C18" s="295" t="s">
        <v>168</v>
      </c>
      <c r="D18" s="295" t="s">
        <v>169</v>
      </c>
      <c r="E18" s="295" t="s">
        <v>170</v>
      </c>
      <c r="F18" s="295" t="s">
        <v>171</v>
      </c>
      <c r="G18" s="295" t="s">
        <v>172</v>
      </c>
      <c r="H18" s="295" t="s">
        <v>173</v>
      </c>
      <c r="I18" s="295" t="s">
        <v>174</v>
      </c>
      <c r="J18" s="295" t="s">
        <v>175</v>
      </c>
      <c r="K18" s="99" t="s">
        <v>176</v>
      </c>
    </row>
    <row r="19" spans="1:11">
      <c r="A19" s="100" t="str">
        <f>Master!J15</f>
        <v>Supervisor</v>
      </c>
      <c r="B19" s="296" t="s">
        <v>197</v>
      </c>
      <c r="C19" s="296">
        <v>0</v>
      </c>
      <c r="D19" s="296">
        <v>1</v>
      </c>
      <c r="E19" s="297">
        <f>Master!AK15</f>
        <v>20000</v>
      </c>
      <c r="F19" s="298">
        <f>Master!AD15</f>
        <v>20000</v>
      </c>
      <c r="G19" s="298">
        <f>Master!AG15</f>
        <v>0</v>
      </c>
      <c r="H19" s="298">
        <f>E19-(F19+G19)</f>
        <v>0</v>
      </c>
      <c r="I19" s="299">
        <v>0</v>
      </c>
      <c r="J19" s="296" t="s">
        <v>177</v>
      </c>
      <c r="K19" s="101" t="s">
        <v>178</v>
      </c>
    </row>
    <row r="20" spans="1:11">
      <c r="A20" s="100" t="str">
        <f>Master!J16</f>
        <v>Supervisor</v>
      </c>
      <c r="B20" s="296" t="s">
        <v>197</v>
      </c>
      <c r="C20" s="296">
        <v>0</v>
      </c>
      <c r="D20" s="296">
        <v>1</v>
      </c>
      <c r="E20" s="297">
        <f>Master!AK16</f>
        <v>14900</v>
      </c>
      <c r="F20" s="298">
        <f>Master!AD16</f>
        <v>11900</v>
      </c>
      <c r="G20" s="298">
        <f>Master!AG16</f>
        <v>0</v>
      </c>
      <c r="H20" s="298">
        <f>E20-(F20+G20)</f>
        <v>3000</v>
      </c>
      <c r="I20" s="299">
        <v>0</v>
      </c>
      <c r="J20" s="296"/>
      <c r="K20" s="101" t="s">
        <v>201</v>
      </c>
    </row>
    <row r="21" spans="1:11">
      <c r="A21" s="15"/>
      <c r="B21" s="114"/>
      <c r="C21" s="102">
        <f>C19+C22</f>
        <v>0</v>
      </c>
      <c r="D21" s="102">
        <f>SUM(D19:D20)</f>
        <v>2</v>
      </c>
      <c r="E21" s="114"/>
      <c r="F21" s="114"/>
      <c r="G21" s="114"/>
      <c r="H21" s="114"/>
      <c r="I21" s="114"/>
      <c r="J21" s="114"/>
      <c r="K21" s="16"/>
    </row>
    <row r="22" spans="1:11">
      <c r="A22" s="15"/>
      <c r="B22" s="114"/>
      <c r="C22" s="114"/>
      <c r="D22" s="114"/>
      <c r="E22" s="114"/>
      <c r="F22" s="114"/>
      <c r="G22" s="114"/>
      <c r="H22" s="114"/>
      <c r="I22" s="114"/>
      <c r="J22" s="114"/>
      <c r="K22" s="16"/>
    </row>
    <row r="23" spans="1:11">
      <c r="A23" s="15"/>
      <c r="B23" s="114"/>
      <c r="C23" s="114"/>
      <c r="D23" s="114"/>
      <c r="E23" s="114"/>
      <c r="F23" s="114"/>
      <c r="G23" s="114"/>
      <c r="H23" s="114"/>
      <c r="I23" s="114"/>
      <c r="J23" s="114"/>
      <c r="K23" s="16"/>
    </row>
    <row r="24" spans="1:11">
      <c r="A24" s="15"/>
      <c r="B24" s="114"/>
      <c r="C24" s="114"/>
      <c r="D24" s="114"/>
      <c r="E24" s="114"/>
      <c r="F24" s="114"/>
      <c r="G24" s="114"/>
      <c r="H24" s="114"/>
      <c r="I24" s="114"/>
      <c r="J24" s="114"/>
      <c r="K24" s="16"/>
    </row>
    <row r="25" spans="1:11">
      <c r="A25" s="15"/>
      <c r="B25" s="114"/>
      <c r="C25" s="114"/>
      <c r="D25" s="114"/>
      <c r="E25" s="115" t="s">
        <v>29</v>
      </c>
      <c r="F25" s="114"/>
      <c r="G25" s="114"/>
      <c r="H25" s="114"/>
      <c r="I25" s="114"/>
      <c r="J25" s="114"/>
      <c r="K25" s="16"/>
    </row>
    <row r="26" spans="1:11">
      <c r="A26" s="15"/>
      <c r="B26" s="114"/>
      <c r="C26" s="114"/>
      <c r="D26" s="114"/>
      <c r="E26" s="114"/>
      <c r="F26" s="114"/>
      <c r="G26" s="114"/>
      <c r="H26" s="114"/>
      <c r="I26" s="114"/>
      <c r="J26" s="114"/>
      <c r="K26" s="16"/>
    </row>
    <row r="27" spans="1:11">
      <c r="A27" s="15"/>
      <c r="B27" s="114"/>
      <c r="C27" s="114"/>
      <c r="D27" s="114"/>
      <c r="E27" s="114"/>
      <c r="F27" s="114"/>
      <c r="G27" s="114"/>
      <c r="H27" s="114"/>
      <c r="I27" s="114"/>
      <c r="J27" s="114"/>
      <c r="K27" s="16"/>
    </row>
    <row r="28" spans="1:11">
      <c r="A28" s="15"/>
      <c r="B28" s="114"/>
      <c r="C28" s="114"/>
      <c r="D28" s="114"/>
      <c r="E28" s="114"/>
      <c r="F28" s="114"/>
      <c r="G28" s="114"/>
      <c r="H28" s="114"/>
      <c r="I28" s="114"/>
      <c r="J28" s="114"/>
      <c r="K28" s="16"/>
    </row>
    <row r="29" spans="1:11" ht="15" thickBot="1">
      <c r="A29" s="27"/>
      <c r="B29" s="25"/>
      <c r="C29" s="25"/>
      <c r="D29" s="25"/>
      <c r="E29" s="25"/>
      <c r="F29" s="25"/>
      <c r="G29" s="25"/>
      <c r="H29" s="25"/>
      <c r="I29" s="25"/>
      <c r="J29" s="25"/>
      <c r="K29" s="26"/>
    </row>
  </sheetData>
  <mergeCells count="11">
    <mergeCell ref="F7:K7"/>
    <mergeCell ref="A1:I1"/>
    <mergeCell ref="A2:I2"/>
    <mergeCell ref="D5:E5"/>
    <mergeCell ref="A3:K3"/>
    <mergeCell ref="C17:I17"/>
    <mergeCell ref="F8:K8"/>
    <mergeCell ref="F11:K11"/>
    <mergeCell ref="A13:B13"/>
    <mergeCell ref="A15:B15"/>
    <mergeCell ref="A16:I16"/>
  </mergeCells>
  <pageMargins left="0.82" right="0.25" top="0.75" bottom="0.75" header="0.3" footer="0.3"/>
  <pageSetup paperSize="9" scale="80" orientation="landscape" verticalDpi="300" r:id="rId1"/>
</worksheet>
</file>

<file path=xl/worksheets/sheet25.xml><?xml version="1.0" encoding="utf-8"?>
<worksheet xmlns="http://schemas.openxmlformats.org/spreadsheetml/2006/main" xmlns:r="http://schemas.openxmlformats.org/officeDocument/2006/relationships">
  <dimension ref="B1:G38"/>
  <sheetViews>
    <sheetView workbookViewId="0">
      <selection activeCell="B34" sqref="B34:F34"/>
    </sheetView>
  </sheetViews>
  <sheetFormatPr defaultRowHeight="14.4"/>
  <cols>
    <col min="3" max="3" width="19.6640625" customWidth="1"/>
    <col min="4" max="5" width="24.33203125" customWidth="1"/>
    <col min="6" max="6" width="25.88671875" customWidth="1"/>
    <col min="7" max="7" width="20.5546875" customWidth="1"/>
  </cols>
  <sheetData>
    <row r="1" spans="2:7" ht="22.95" customHeight="1">
      <c r="B1" s="1269" t="s">
        <v>272</v>
      </c>
      <c r="C1" s="1270"/>
      <c r="D1" s="1270"/>
      <c r="E1" s="1270"/>
      <c r="F1" s="1270"/>
      <c r="G1" s="1271"/>
    </row>
    <row r="2" spans="2:7" ht="15.6">
      <c r="B2" s="1272" t="s">
        <v>304</v>
      </c>
      <c r="C2" s="1273"/>
      <c r="D2" s="1273"/>
      <c r="E2" s="1273"/>
      <c r="F2" s="1273"/>
      <c r="G2" s="1274"/>
    </row>
    <row r="3" spans="2:7" ht="15.6">
      <c r="B3" s="1275" t="s">
        <v>273</v>
      </c>
      <c r="C3" s="1276"/>
      <c r="D3" s="1276"/>
      <c r="E3" s="1276"/>
      <c r="F3" s="1276"/>
      <c r="G3" s="1277"/>
    </row>
    <row r="4" spans="2:7">
      <c r="B4" s="445" t="s">
        <v>305</v>
      </c>
      <c r="C4" s="114"/>
      <c r="D4" s="604" t="str">
        <f>Master!F5</f>
        <v>GROTECH LANDSCAPE DEVELOPERS PVT. LTD.</v>
      </c>
      <c r="E4" s="443" t="str">
        <f>Master!F6</f>
        <v>290/E, Khanapur Village, Gandipet Mandal, Ranga Reddy, Hyderabad-500075 T.S.</v>
      </c>
      <c r="F4" s="443"/>
      <c r="G4" s="16"/>
    </row>
    <row r="5" spans="2:7">
      <c r="B5" s="195">
        <v>1</v>
      </c>
      <c r="C5" s="1278" t="s">
        <v>274</v>
      </c>
      <c r="D5" s="1279"/>
      <c r="E5" s="1279"/>
      <c r="F5" s="1279"/>
      <c r="G5" s="16"/>
    </row>
    <row r="6" spans="2:7">
      <c r="B6" s="195">
        <v>2</v>
      </c>
      <c r="C6" s="1278" t="s">
        <v>275</v>
      </c>
      <c r="D6" s="1279"/>
      <c r="E6" s="1279"/>
      <c r="F6" s="114"/>
      <c r="G6" s="16"/>
    </row>
    <row r="7" spans="2:7">
      <c r="B7" s="195">
        <v>3</v>
      </c>
      <c r="C7" s="1278" t="s">
        <v>276</v>
      </c>
      <c r="D7" s="1279"/>
      <c r="E7" s="1279"/>
      <c r="F7" s="1279"/>
      <c r="G7" s="16"/>
    </row>
    <row r="8" spans="2:7" ht="15.6">
      <c r="B8" s="195">
        <v>4</v>
      </c>
      <c r="C8" s="307" t="s">
        <v>277</v>
      </c>
      <c r="D8" s="114"/>
      <c r="E8" s="114"/>
      <c r="F8" s="114"/>
      <c r="G8" s="16"/>
    </row>
    <row r="9" spans="2:7" ht="15.6">
      <c r="B9" s="195">
        <v>5</v>
      </c>
      <c r="C9" s="307" t="s">
        <v>278</v>
      </c>
      <c r="D9" s="114"/>
      <c r="E9" s="114"/>
      <c r="F9" s="114"/>
      <c r="G9" s="16"/>
    </row>
    <row r="10" spans="2:7" s="434" customFormat="1" ht="13.8">
      <c r="B10" s="431"/>
      <c r="C10" s="432" t="s">
        <v>279</v>
      </c>
      <c r="D10" s="432" t="s">
        <v>280</v>
      </c>
      <c r="E10" s="432" t="s">
        <v>281</v>
      </c>
      <c r="F10" s="432" t="s">
        <v>282</v>
      </c>
      <c r="G10" s="433" t="s">
        <v>32</v>
      </c>
    </row>
    <row r="11" spans="2:7">
      <c r="B11" s="435"/>
      <c r="C11" s="136"/>
      <c r="D11" s="136"/>
      <c r="E11" s="136"/>
      <c r="F11" s="136"/>
      <c r="G11" s="436"/>
    </row>
    <row r="12" spans="2:7">
      <c r="B12" s="435"/>
      <c r="C12" s="136"/>
      <c r="D12" s="136"/>
      <c r="E12" s="136"/>
      <c r="F12" s="136"/>
      <c r="G12" s="436"/>
    </row>
    <row r="13" spans="2:7">
      <c r="B13" s="435"/>
      <c r="C13" s="136"/>
      <c r="D13" s="136"/>
      <c r="E13" s="136"/>
      <c r="F13" s="136"/>
      <c r="G13" s="436"/>
    </row>
    <row r="14" spans="2:7">
      <c r="B14" s="435"/>
      <c r="C14" s="136"/>
      <c r="D14" s="136"/>
      <c r="E14" s="136"/>
      <c r="F14" s="136"/>
      <c r="G14" s="436"/>
    </row>
    <row r="15" spans="2:7">
      <c r="B15" s="435"/>
      <c r="C15" s="136"/>
      <c r="D15" s="136"/>
      <c r="E15" s="136"/>
      <c r="F15" s="136"/>
      <c r="G15" s="436"/>
    </row>
    <row r="16" spans="2:7">
      <c r="B16" s="435"/>
      <c r="C16" s="136"/>
      <c r="D16" s="136"/>
      <c r="E16" s="136"/>
      <c r="F16" s="136"/>
      <c r="G16" s="436"/>
    </row>
    <row r="17" spans="2:7" ht="15.6">
      <c r="B17" s="435">
        <v>6</v>
      </c>
      <c r="C17" s="334" t="s">
        <v>283</v>
      </c>
      <c r="D17" s="153"/>
      <c r="E17" s="153"/>
      <c r="F17" s="201"/>
      <c r="G17" s="437"/>
    </row>
    <row r="18" spans="2:7" ht="15.6">
      <c r="B18" s="435">
        <v>7</v>
      </c>
      <c r="C18" s="307" t="s">
        <v>284</v>
      </c>
      <c r="D18" s="153"/>
      <c r="E18" s="153"/>
      <c r="F18" s="201"/>
      <c r="G18" s="437"/>
    </row>
    <row r="19" spans="2:7" ht="15.6">
      <c r="B19" s="435">
        <v>8</v>
      </c>
      <c r="C19" s="438" t="s">
        <v>285</v>
      </c>
      <c r="D19" s="77"/>
      <c r="E19" s="77"/>
      <c r="F19" s="56"/>
      <c r="G19" s="437"/>
    </row>
    <row r="20" spans="2:7" ht="15.6">
      <c r="B20" s="435">
        <v>9</v>
      </c>
      <c r="C20" s="334" t="s">
        <v>286</v>
      </c>
      <c r="D20" s="77"/>
      <c r="E20" s="77"/>
      <c r="F20" s="56"/>
      <c r="G20" s="437"/>
    </row>
    <row r="21" spans="2:7" ht="15.6">
      <c r="B21" s="435">
        <v>10</v>
      </c>
      <c r="C21" s="1282" t="s">
        <v>287</v>
      </c>
      <c r="D21" s="1283"/>
      <c r="E21" s="1283"/>
      <c r="F21" s="1284"/>
      <c r="G21" s="437"/>
    </row>
    <row r="22" spans="2:7" ht="15.6">
      <c r="B22" s="435">
        <v>11</v>
      </c>
      <c r="C22" s="334" t="s">
        <v>288</v>
      </c>
      <c r="D22" s="153"/>
      <c r="E22" s="153"/>
      <c r="F22" s="201"/>
      <c r="G22" s="437"/>
    </row>
    <row r="23" spans="2:7" ht="15.6">
      <c r="B23" s="435">
        <v>12</v>
      </c>
      <c r="C23" s="334" t="s">
        <v>289</v>
      </c>
      <c r="D23" s="153"/>
      <c r="E23" s="153"/>
      <c r="F23" s="201"/>
      <c r="G23" s="437"/>
    </row>
    <row r="24" spans="2:7" ht="15.6">
      <c r="B24" s="435">
        <v>13</v>
      </c>
      <c r="C24" s="334" t="s">
        <v>290</v>
      </c>
      <c r="D24" s="153"/>
      <c r="E24" s="153"/>
      <c r="F24" s="201"/>
      <c r="G24" s="437"/>
    </row>
    <row r="25" spans="2:7" ht="15.6">
      <c r="B25" s="435">
        <v>14</v>
      </c>
      <c r="C25" s="334" t="s">
        <v>291</v>
      </c>
      <c r="D25" s="153"/>
      <c r="E25" s="153"/>
      <c r="F25" s="201"/>
      <c r="G25" s="437"/>
    </row>
    <row r="26" spans="2:7" ht="15.6">
      <c r="B26" s="435">
        <v>15</v>
      </c>
      <c r="C26" s="307" t="s">
        <v>292</v>
      </c>
      <c r="D26" s="114"/>
      <c r="E26" s="114"/>
      <c r="F26" s="379"/>
      <c r="G26" s="437"/>
    </row>
    <row r="27" spans="2:7" ht="15.6">
      <c r="B27" s="439" t="s">
        <v>293</v>
      </c>
      <c r="C27" s="334" t="s">
        <v>294</v>
      </c>
      <c r="D27" s="153"/>
      <c r="E27" s="153"/>
      <c r="F27" s="201"/>
      <c r="G27" s="437"/>
    </row>
    <row r="28" spans="2:7" ht="15.6">
      <c r="B28" s="435">
        <v>16</v>
      </c>
      <c r="C28" s="334" t="s">
        <v>295</v>
      </c>
      <c r="D28" s="153"/>
      <c r="E28" s="153"/>
      <c r="F28" s="201"/>
      <c r="G28" s="437"/>
    </row>
    <row r="29" spans="2:7" ht="15.6">
      <c r="B29" s="435">
        <v>17</v>
      </c>
      <c r="C29" s="334" t="s">
        <v>296</v>
      </c>
      <c r="D29" s="153"/>
      <c r="E29" s="153"/>
      <c r="F29" s="201"/>
      <c r="G29" s="437"/>
    </row>
    <row r="30" spans="2:7" ht="15.6">
      <c r="B30" s="435">
        <v>18</v>
      </c>
      <c r="C30" s="1282" t="s">
        <v>297</v>
      </c>
      <c r="D30" s="1283"/>
      <c r="E30" s="1283"/>
      <c r="F30" s="1284"/>
      <c r="G30" s="437"/>
    </row>
    <row r="31" spans="2:7" ht="15.6">
      <c r="B31" s="435">
        <v>19</v>
      </c>
      <c r="C31" s="1282" t="s">
        <v>298</v>
      </c>
      <c r="D31" s="1283"/>
      <c r="E31" s="1283"/>
      <c r="F31" s="1284"/>
      <c r="G31" s="16"/>
    </row>
    <row r="32" spans="2:7" ht="18">
      <c r="B32" s="435">
        <v>20</v>
      </c>
      <c r="C32" s="307" t="s">
        <v>299</v>
      </c>
      <c r="D32" s="19"/>
      <c r="E32" s="19"/>
      <c r="F32" s="61"/>
      <c r="G32" s="16"/>
    </row>
    <row r="33" spans="2:7">
      <c r="B33" s="435">
        <v>21</v>
      </c>
      <c r="C33" s="1285" t="s">
        <v>300</v>
      </c>
      <c r="D33" s="1286"/>
      <c r="E33" s="1286"/>
      <c r="F33" s="1286"/>
      <c r="G33" s="1287"/>
    </row>
    <row r="34" spans="2:7">
      <c r="B34" s="1280" t="s">
        <v>301</v>
      </c>
      <c r="C34" s="1281"/>
      <c r="D34" s="1281"/>
      <c r="E34" s="1281"/>
      <c r="F34" s="1281"/>
      <c r="G34" s="446">
        <f>Master!F10</f>
        <v>44652</v>
      </c>
    </row>
    <row r="35" spans="2:7">
      <c r="B35" s="15"/>
      <c r="C35" s="114"/>
      <c r="D35" s="114"/>
      <c r="E35" s="114"/>
      <c r="F35" s="114"/>
      <c r="G35" s="16"/>
    </row>
    <row r="36" spans="2:7">
      <c r="B36" s="15"/>
      <c r="C36" s="114"/>
      <c r="D36" s="114"/>
      <c r="E36" s="440" t="s">
        <v>302</v>
      </c>
      <c r="F36" s="1267" t="str">
        <f>Master!F5</f>
        <v>GROTECH LANDSCAPE DEVELOPERS PVT. LTD.</v>
      </c>
      <c r="G36" s="1268"/>
    </row>
    <row r="37" spans="2:7">
      <c r="B37" s="15"/>
      <c r="C37" s="114"/>
      <c r="D37" s="114"/>
      <c r="E37" s="114"/>
      <c r="F37" s="114"/>
      <c r="G37" s="16"/>
    </row>
    <row r="38" spans="2:7" ht="15" thickBot="1">
      <c r="B38" s="27"/>
      <c r="C38" s="25"/>
      <c r="D38" s="25"/>
      <c r="E38" s="442"/>
      <c r="F38" s="441" t="s">
        <v>303</v>
      </c>
      <c r="G38" s="26"/>
    </row>
  </sheetData>
  <mergeCells count="12">
    <mergeCell ref="F36:G36"/>
    <mergeCell ref="B1:G1"/>
    <mergeCell ref="B2:G2"/>
    <mergeCell ref="B3:G3"/>
    <mergeCell ref="C5:F5"/>
    <mergeCell ref="B34:F34"/>
    <mergeCell ref="C6:E6"/>
    <mergeCell ref="C7:F7"/>
    <mergeCell ref="C21:F21"/>
    <mergeCell ref="C30:F30"/>
    <mergeCell ref="C31:F31"/>
    <mergeCell ref="C33:G33"/>
  </mergeCells>
  <pageMargins left="0.7" right="0.7" top="0.75" bottom="0.75" header="0.3" footer="0.3"/>
  <pageSetup scale="85" orientation="landscape" horizontalDpi="300" verticalDpi="300" r:id="rId1"/>
</worksheet>
</file>

<file path=xl/worksheets/sheet26.xml><?xml version="1.0" encoding="utf-8"?>
<worksheet xmlns="http://schemas.openxmlformats.org/spreadsheetml/2006/main" xmlns:r="http://schemas.openxmlformats.org/officeDocument/2006/relationships">
  <dimension ref="A1:G32"/>
  <sheetViews>
    <sheetView workbookViewId="0">
      <selection activeCell="P12" sqref="P12"/>
    </sheetView>
  </sheetViews>
  <sheetFormatPr defaultRowHeight="14.4"/>
  <cols>
    <col min="1" max="1" width="8.6640625" customWidth="1"/>
    <col min="3" max="3" width="19.6640625" customWidth="1"/>
    <col min="4" max="5" width="24.33203125" customWidth="1"/>
    <col min="6" max="6" width="25.88671875" customWidth="1"/>
    <col min="7" max="7" width="21.6640625" customWidth="1"/>
  </cols>
  <sheetData>
    <row r="1" spans="1:7" ht="22.95" customHeight="1" thickBot="1">
      <c r="B1" s="1294" t="s">
        <v>306</v>
      </c>
      <c r="C1" s="1295"/>
      <c r="D1" s="1295"/>
      <c r="E1" s="1295"/>
      <c r="F1" s="1295"/>
      <c r="G1" s="1296"/>
    </row>
    <row r="2" spans="1:7" ht="21.6" customHeight="1" thickBot="1">
      <c r="B2" s="1297" t="s">
        <v>307</v>
      </c>
      <c r="C2" s="1298"/>
      <c r="D2" s="1298"/>
      <c r="E2" s="1298"/>
      <c r="F2" s="1298"/>
      <c r="G2" s="1299"/>
    </row>
    <row r="3" spans="1:7">
      <c r="B3" s="724" t="s">
        <v>305</v>
      </c>
      <c r="C3" s="712"/>
      <c r="D3" s="725" t="str">
        <f>Master!F5</f>
        <v>GROTECH LANDSCAPE DEVELOPERS PVT. LTD.</v>
      </c>
      <c r="E3" s="726" t="str">
        <f>Master!F6</f>
        <v>290/E, Khanapur Village, Gandipet Mandal, Ranga Reddy, Hyderabad-500075 T.S.</v>
      </c>
      <c r="F3" s="726"/>
      <c r="G3" s="69"/>
    </row>
    <row r="4" spans="1:7">
      <c r="B4" s="195"/>
      <c r="C4" s="1278"/>
      <c r="D4" s="1279"/>
      <c r="E4" s="1279"/>
      <c r="F4" s="1279"/>
      <c r="G4" s="16"/>
    </row>
    <row r="5" spans="1:7">
      <c r="B5" s="195"/>
      <c r="C5" s="1278"/>
      <c r="D5" s="1279"/>
      <c r="E5" s="1279"/>
      <c r="F5" s="114"/>
      <c r="G5" s="16"/>
    </row>
    <row r="6" spans="1:7" ht="15.6">
      <c r="B6" s="452" t="s">
        <v>311</v>
      </c>
      <c r="C6" s="449"/>
      <c r="D6" s="448"/>
      <c r="E6" s="448"/>
      <c r="F6" s="448"/>
      <c r="G6" s="453"/>
    </row>
    <row r="7" spans="1:7" ht="15.6">
      <c r="A7" s="723"/>
      <c r="B7" s="454"/>
      <c r="C7" s="114"/>
      <c r="D7" s="325" t="s">
        <v>806</v>
      </c>
      <c r="E7" s="114"/>
      <c r="F7" s="114"/>
      <c r="G7" s="16"/>
    </row>
    <row r="8" spans="1:7">
      <c r="B8" s="455" t="s">
        <v>312</v>
      </c>
      <c r="C8" s="114"/>
      <c r="D8" s="114"/>
      <c r="E8" s="114"/>
      <c r="F8" s="114"/>
      <c r="G8" s="16"/>
    </row>
    <row r="9" spans="1:7" s="434" customFormat="1">
      <c r="B9" s="1291" t="s">
        <v>313</v>
      </c>
      <c r="C9" s="1292"/>
      <c r="D9" s="1292"/>
      <c r="E9" s="1292"/>
      <c r="F9" s="1292"/>
      <c r="G9" s="1293"/>
    </row>
    <row r="10" spans="1:7">
      <c r="B10" s="456" t="s">
        <v>314</v>
      </c>
      <c r="C10" s="114"/>
      <c r="D10" s="114"/>
      <c r="E10" s="114"/>
      <c r="F10" s="114"/>
      <c r="G10" s="16"/>
    </row>
    <row r="11" spans="1:7">
      <c r="B11" s="195"/>
      <c r="C11" s="114"/>
      <c r="D11" s="114"/>
      <c r="E11" s="114"/>
      <c r="F11" s="114"/>
      <c r="G11" s="16"/>
    </row>
    <row r="12" spans="1:7">
      <c r="B12" s="195"/>
      <c r="C12" s="114"/>
      <c r="D12" s="457" t="s">
        <v>315</v>
      </c>
      <c r="E12" s="114"/>
      <c r="F12" s="114"/>
      <c r="G12" s="16"/>
    </row>
    <row r="13" spans="1:7">
      <c r="B13" s="195"/>
      <c r="C13" s="114"/>
      <c r="D13" s="114"/>
      <c r="E13" s="114"/>
      <c r="F13" s="114"/>
      <c r="G13" s="16"/>
    </row>
    <row r="14" spans="1:7">
      <c r="B14" s="195"/>
      <c r="C14" s="114"/>
      <c r="D14" s="114"/>
      <c r="E14" s="114"/>
      <c r="F14" s="114"/>
      <c r="G14" s="16"/>
    </row>
    <row r="15" spans="1:7">
      <c r="B15" s="456" t="s">
        <v>308</v>
      </c>
      <c r="C15" s="114"/>
      <c r="D15" s="114"/>
      <c r="E15" s="114"/>
      <c r="F15" s="114"/>
      <c r="G15" s="16"/>
    </row>
    <row r="16" spans="1:7">
      <c r="B16" s="456" t="s">
        <v>309</v>
      </c>
      <c r="C16" s="114"/>
      <c r="D16" s="114"/>
      <c r="E16" s="114"/>
      <c r="F16" s="114"/>
      <c r="G16" s="16"/>
    </row>
    <row r="17" spans="2:7" ht="15.6">
      <c r="B17" s="456" t="s">
        <v>310</v>
      </c>
      <c r="C17" s="307"/>
      <c r="D17" s="114"/>
      <c r="E17" s="114"/>
      <c r="F17" s="114"/>
      <c r="G17" s="196"/>
    </row>
    <row r="18" spans="2:7" ht="15.6">
      <c r="B18" s="456" t="s">
        <v>316</v>
      </c>
      <c r="C18" s="307"/>
      <c r="D18" s="114"/>
      <c r="E18" s="114"/>
      <c r="F18" s="114"/>
      <c r="G18" s="196"/>
    </row>
    <row r="19" spans="2:7" ht="15.6">
      <c r="B19" s="456" t="s">
        <v>317</v>
      </c>
      <c r="C19" s="307"/>
      <c r="D19" s="114"/>
      <c r="E19" s="114"/>
      <c r="F19" s="114"/>
      <c r="G19" s="196"/>
    </row>
    <row r="20" spans="2:7" ht="15.6">
      <c r="B20" s="458" t="s">
        <v>318</v>
      </c>
      <c r="C20" s="307"/>
      <c r="D20" s="114"/>
      <c r="E20" s="114"/>
      <c r="F20" s="114"/>
      <c r="G20" s="196"/>
    </row>
    <row r="21" spans="2:7" ht="15.6">
      <c r="B21" s="195"/>
      <c r="C21" s="1290"/>
      <c r="D21" s="1290"/>
      <c r="E21" s="1290"/>
      <c r="F21" s="1290"/>
      <c r="G21" s="196"/>
    </row>
    <row r="22" spans="2:7">
      <c r="B22" s="1280" t="s">
        <v>301</v>
      </c>
      <c r="C22" s="1281"/>
      <c r="D22" s="1281"/>
      <c r="E22" s="1281"/>
      <c r="F22" s="1281"/>
      <c r="G22" s="446">
        <f>Master!F10</f>
        <v>44652</v>
      </c>
    </row>
    <row r="23" spans="2:7" ht="15.6">
      <c r="B23" s="195"/>
      <c r="C23" s="307"/>
      <c r="D23" s="114"/>
      <c r="E23" s="114"/>
      <c r="F23" s="114"/>
      <c r="G23" s="196"/>
    </row>
    <row r="24" spans="2:7" ht="15.6">
      <c r="B24" s="195"/>
      <c r="C24" s="307"/>
      <c r="D24" s="114"/>
      <c r="E24" s="114"/>
      <c r="F24" s="114"/>
      <c r="G24" s="196"/>
    </row>
    <row r="25" spans="2:7" ht="15.6">
      <c r="B25" s="195"/>
      <c r="C25" s="307"/>
      <c r="D25" s="114"/>
      <c r="E25" s="440" t="s">
        <v>302</v>
      </c>
      <c r="F25" s="1288" t="str">
        <f>Master!F5</f>
        <v>GROTECH LANDSCAPE DEVELOPERS PVT. LTD.</v>
      </c>
      <c r="G25" s="1289"/>
    </row>
    <row r="26" spans="2:7" ht="15.6">
      <c r="B26" s="195"/>
      <c r="C26" s="307"/>
      <c r="D26" s="114"/>
      <c r="E26" s="114"/>
      <c r="F26" s="114"/>
      <c r="G26" s="16"/>
    </row>
    <row r="27" spans="2:7" ht="15.6">
      <c r="B27" s="459"/>
      <c r="C27" s="307"/>
      <c r="D27" s="114"/>
      <c r="E27" s="440"/>
      <c r="F27" s="461" t="s">
        <v>303</v>
      </c>
      <c r="G27" s="16"/>
    </row>
    <row r="28" spans="2:7" ht="15.6">
      <c r="B28" s="195"/>
      <c r="C28" s="307"/>
      <c r="D28" s="114"/>
      <c r="E28" s="114"/>
      <c r="F28" s="114"/>
      <c r="G28" s="196"/>
    </row>
    <row r="29" spans="2:7">
      <c r="B29" s="15"/>
      <c r="C29" s="114"/>
      <c r="D29" s="114"/>
      <c r="E29" s="114"/>
      <c r="F29" s="114"/>
      <c r="G29" s="16"/>
    </row>
    <row r="30" spans="2:7">
      <c r="B30" s="15"/>
      <c r="C30" s="114"/>
      <c r="D30" s="114"/>
      <c r="E30" s="440"/>
      <c r="F30" s="460"/>
      <c r="G30" s="196"/>
    </row>
    <row r="31" spans="2:7">
      <c r="B31" s="15"/>
      <c r="C31" s="114"/>
      <c r="D31" s="114"/>
      <c r="E31" s="114"/>
      <c r="F31" s="114"/>
      <c r="G31" s="16"/>
    </row>
    <row r="32" spans="2:7" ht="15" thickBot="1">
      <c r="B32" s="27"/>
      <c r="C32" s="25"/>
      <c r="D32" s="25"/>
      <c r="E32" s="442"/>
      <c r="F32" s="441"/>
      <c r="G32" s="26"/>
    </row>
  </sheetData>
  <mergeCells count="8">
    <mergeCell ref="F25:G25"/>
    <mergeCell ref="C21:F21"/>
    <mergeCell ref="B9:G9"/>
    <mergeCell ref="B22:F22"/>
    <mergeCell ref="B1:G1"/>
    <mergeCell ref="B2:G2"/>
    <mergeCell ref="C4:F4"/>
    <mergeCell ref="C5:E5"/>
  </mergeCells>
  <pageMargins left="0.63" right="0.7" top="0.75" bottom="0.75" header="0.3" footer="0.3"/>
  <pageSetup scale="85" orientation="landscape" horizontalDpi="300" verticalDpi="300" r:id="rId1"/>
</worksheet>
</file>

<file path=xl/worksheets/sheet27.xml><?xml version="1.0" encoding="utf-8"?>
<worksheet xmlns="http://schemas.openxmlformats.org/spreadsheetml/2006/main" xmlns:r="http://schemas.openxmlformats.org/officeDocument/2006/relationships">
  <dimension ref="B1:G28"/>
  <sheetViews>
    <sheetView workbookViewId="0">
      <selection activeCell="C6" sqref="C6:E6"/>
    </sheetView>
  </sheetViews>
  <sheetFormatPr defaultRowHeight="14.4"/>
  <cols>
    <col min="1" max="1" width="8.6640625" customWidth="1"/>
    <col min="3" max="3" width="19.6640625" customWidth="1"/>
    <col min="4" max="5" width="24.33203125" customWidth="1"/>
    <col min="6" max="6" width="25.88671875" customWidth="1"/>
    <col min="7" max="7" width="20.44140625" customWidth="1"/>
  </cols>
  <sheetData>
    <row r="1" spans="2:7" ht="22.95" customHeight="1" thickBot="1">
      <c r="B1" s="1294" t="s">
        <v>319</v>
      </c>
      <c r="C1" s="1295"/>
      <c r="D1" s="1295"/>
      <c r="E1" s="1295"/>
      <c r="F1" s="1295"/>
      <c r="G1" s="1296"/>
    </row>
    <row r="2" spans="2:7" ht="15.6">
      <c r="B2" s="1300" t="s">
        <v>320</v>
      </c>
      <c r="C2" s="1301"/>
      <c r="D2" s="1301"/>
      <c r="E2" s="1301"/>
      <c r="F2" s="1301"/>
      <c r="G2" s="1302"/>
    </row>
    <row r="3" spans="2:7" ht="10.95" customHeight="1" thickBot="1">
      <c r="B3" s="606"/>
      <c r="C3" s="607"/>
      <c r="D3" s="607"/>
      <c r="E3" s="607"/>
      <c r="F3" s="607"/>
      <c r="G3" s="608"/>
    </row>
    <row r="4" spans="2:7">
      <c r="B4" s="463" t="s">
        <v>305</v>
      </c>
      <c r="C4" s="114"/>
      <c r="D4" s="605" t="str">
        <f>Master!F5</f>
        <v>GROTECH LANDSCAPE DEVELOPERS PVT. LTD.</v>
      </c>
      <c r="E4" s="448" t="str">
        <f>Master!F6</f>
        <v>290/E, Khanapur Village, Gandipet Mandal, Ranga Reddy, Hyderabad-500075 T.S.</v>
      </c>
      <c r="F4" s="448"/>
      <c r="G4" s="16"/>
    </row>
    <row r="5" spans="2:7">
      <c r="B5" s="195"/>
      <c r="C5" s="1278"/>
      <c r="D5" s="1279"/>
      <c r="E5" s="1279"/>
      <c r="F5" s="1279"/>
      <c r="G5" s="16"/>
    </row>
    <row r="6" spans="2:7">
      <c r="B6" s="195"/>
      <c r="C6" s="1278"/>
      <c r="D6" s="1279"/>
      <c r="E6" s="1279"/>
      <c r="F6" s="114"/>
      <c r="G6" s="16"/>
    </row>
    <row r="7" spans="2:7" ht="15.6">
      <c r="B7" s="452" t="s">
        <v>321</v>
      </c>
      <c r="C7" s="449"/>
      <c r="D7" s="448"/>
      <c r="E7" s="448"/>
      <c r="F7" s="448"/>
      <c r="G7" s="453"/>
    </row>
    <row r="8" spans="2:7" ht="15.6">
      <c r="B8" s="454" t="s">
        <v>322</v>
      </c>
      <c r="C8" s="114"/>
      <c r="D8" s="325"/>
      <c r="E8" s="114"/>
      <c r="F8" s="114"/>
      <c r="G8" s="16"/>
    </row>
    <row r="9" spans="2:7" ht="15.6">
      <c r="B9" s="462" t="s">
        <v>323</v>
      </c>
      <c r="C9" s="114"/>
      <c r="D9" s="114"/>
      <c r="E9" s="114"/>
      <c r="F9" s="114"/>
      <c r="G9" s="16"/>
    </row>
    <row r="10" spans="2:7" s="434" customFormat="1">
      <c r="B10" s="1291"/>
      <c r="C10" s="1292"/>
      <c r="D10" s="1292"/>
      <c r="E10" s="1292"/>
      <c r="F10" s="1292"/>
      <c r="G10" s="1293"/>
    </row>
    <row r="11" spans="2:7">
      <c r="B11" s="456"/>
      <c r="C11" s="114"/>
      <c r="D11" s="114"/>
      <c r="E11" s="114"/>
      <c r="F11" s="114"/>
      <c r="G11" s="16"/>
    </row>
    <row r="12" spans="2:7">
      <c r="B12" s="195"/>
      <c r="C12" s="114"/>
      <c r="D12" s="114"/>
      <c r="E12" s="114"/>
      <c r="F12" s="114"/>
      <c r="G12" s="16"/>
    </row>
    <row r="13" spans="2:7">
      <c r="B13" s="195"/>
      <c r="C13" s="114"/>
      <c r="D13" s="457" t="s">
        <v>315</v>
      </c>
      <c r="E13" s="114"/>
      <c r="F13" s="114"/>
      <c r="G13" s="16"/>
    </row>
    <row r="14" spans="2:7">
      <c r="B14" s="195"/>
      <c r="C14" s="114"/>
      <c r="D14" s="114"/>
      <c r="E14" s="114"/>
      <c r="F14" s="114"/>
      <c r="G14" s="16"/>
    </row>
    <row r="15" spans="2:7">
      <c r="B15" s="195"/>
      <c r="C15" s="451" t="s">
        <v>324</v>
      </c>
      <c r="D15" s="114"/>
      <c r="E15" s="114"/>
      <c r="F15" s="114"/>
      <c r="G15" s="16"/>
    </row>
    <row r="16" spans="2:7" ht="15.6">
      <c r="B16" s="195"/>
      <c r="C16" s="1290"/>
      <c r="D16" s="1290"/>
      <c r="E16" s="1290"/>
      <c r="F16" s="1290"/>
      <c r="G16" s="196"/>
    </row>
    <row r="17" spans="2:7">
      <c r="B17" s="1280" t="s">
        <v>301</v>
      </c>
      <c r="C17" s="1281"/>
      <c r="D17" s="1281"/>
      <c r="E17" s="1281"/>
      <c r="F17" s="1281"/>
      <c r="G17" s="446">
        <f>Master!F10</f>
        <v>44652</v>
      </c>
    </row>
    <row r="18" spans="2:7" ht="15.6">
      <c r="B18" s="195"/>
      <c r="C18" s="307"/>
      <c r="D18" s="114"/>
      <c r="E18" s="114"/>
      <c r="F18" s="114"/>
      <c r="G18" s="196"/>
    </row>
    <row r="19" spans="2:7" ht="15.6">
      <c r="B19" s="195"/>
      <c r="C19" s="307"/>
      <c r="D19" s="114"/>
      <c r="E19" s="114"/>
      <c r="F19" s="114"/>
      <c r="G19" s="196"/>
    </row>
    <row r="20" spans="2:7" ht="15.6">
      <c r="B20" s="195"/>
      <c r="C20" s="307"/>
      <c r="D20" s="114"/>
      <c r="E20" s="440" t="s">
        <v>302</v>
      </c>
      <c r="F20" s="1303" t="str">
        <f>Master!F5</f>
        <v>GROTECH LANDSCAPE DEVELOPERS PVT. LTD.</v>
      </c>
      <c r="G20" s="1304"/>
    </row>
    <row r="21" spans="2:7" ht="15.6">
      <c r="B21" s="195"/>
      <c r="C21" s="307"/>
      <c r="D21" s="114"/>
      <c r="E21" s="114"/>
      <c r="F21" s="114"/>
      <c r="G21" s="16"/>
    </row>
    <row r="22" spans="2:7" ht="15.6">
      <c r="B22" s="459"/>
      <c r="C22" s="307"/>
      <c r="D22" s="114"/>
      <c r="E22" s="440"/>
      <c r="F22" s="461" t="s">
        <v>303</v>
      </c>
      <c r="G22" s="16"/>
    </row>
    <row r="23" spans="2:7" ht="15.6">
      <c r="B23" s="195"/>
      <c r="C23" s="307"/>
      <c r="D23" s="114"/>
      <c r="E23" s="114"/>
      <c r="F23" s="114"/>
      <c r="G23" s="196"/>
    </row>
    <row r="24" spans="2:7">
      <c r="B24" s="1280"/>
      <c r="C24" s="1281"/>
      <c r="D24" s="1281"/>
      <c r="E24" s="1281"/>
      <c r="F24" s="1281"/>
      <c r="G24" s="446"/>
    </row>
    <row r="25" spans="2:7">
      <c r="B25" s="15"/>
      <c r="C25" s="114"/>
      <c r="D25" s="114"/>
      <c r="E25" s="114"/>
      <c r="F25" s="114"/>
      <c r="G25" s="16"/>
    </row>
    <row r="26" spans="2:7">
      <c r="B26" s="15"/>
      <c r="C26" s="114"/>
      <c r="D26" s="114"/>
      <c r="E26" s="440"/>
      <c r="F26" s="460"/>
      <c r="G26" s="196"/>
    </row>
    <row r="27" spans="2:7">
      <c r="B27" s="15"/>
      <c r="C27" s="114"/>
      <c r="D27" s="114"/>
      <c r="E27" s="114"/>
      <c r="F27" s="114"/>
      <c r="G27" s="16"/>
    </row>
    <row r="28" spans="2:7" ht="15" thickBot="1">
      <c r="B28" s="27"/>
      <c r="C28" s="25"/>
      <c r="D28" s="25"/>
      <c r="E28" s="442"/>
      <c r="F28" s="441"/>
      <c r="G28" s="26"/>
    </row>
  </sheetData>
  <mergeCells count="9">
    <mergeCell ref="C16:F16"/>
    <mergeCell ref="B17:F17"/>
    <mergeCell ref="B24:F24"/>
    <mergeCell ref="B1:G1"/>
    <mergeCell ref="B2:G2"/>
    <mergeCell ref="C5:F5"/>
    <mergeCell ref="C6:E6"/>
    <mergeCell ref="B10:G10"/>
    <mergeCell ref="F20:G20"/>
  </mergeCells>
  <pageMargins left="0.7" right="0.7" top="0.75" bottom="0.75" header="0.3" footer="0.3"/>
  <pageSetup scale="85" orientation="landscape" horizontalDpi="300" verticalDpi="300" r:id="rId1"/>
</worksheet>
</file>

<file path=xl/worksheets/sheet28.xml><?xml version="1.0" encoding="utf-8"?>
<worksheet xmlns="http://schemas.openxmlformats.org/spreadsheetml/2006/main" xmlns:r="http://schemas.openxmlformats.org/officeDocument/2006/relationships">
  <dimension ref="B1:G37"/>
  <sheetViews>
    <sheetView workbookViewId="0">
      <selection activeCell="D15" sqref="D15"/>
    </sheetView>
  </sheetViews>
  <sheetFormatPr defaultRowHeight="14.4"/>
  <cols>
    <col min="1" max="1" width="8.6640625" customWidth="1"/>
    <col min="3" max="3" width="19.6640625" customWidth="1"/>
    <col min="4" max="5" width="24.33203125" customWidth="1"/>
    <col min="6" max="6" width="25.88671875" customWidth="1"/>
    <col min="7" max="7" width="20.44140625" customWidth="1"/>
  </cols>
  <sheetData>
    <row r="1" spans="2:7" ht="22.95" customHeight="1" thickBot="1">
      <c r="B1" s="1294" t="s">
        <v>325</v>
      </c>
      <c r="C1" s="1295"/>
      <c r="D1" s="1295"/>
      <c r="E1" s="1295"/>
      <c r="F1" s="1295"/>
      <c r="G1" s="1296"/>
    </row>
    <row r="2" spans="2:7" ht="15.6">
      <c r="B2" s="1300" t="s">
        <v>326</v>
      </c>
      <c r="C2" s="1301"/>
      <c r="D2" s="1301"/>
      <c r="E2" s="1301"/>
      <c r="F2" s="1301"/>
      <c r="G2" s="1302"/>
    </row>
    <row r="3" spans="2:7" ht="10.95" customHeight="1" thickBot="1">
      <c r="B3" s="606"/>
      <c r="C3" s="607"/>
      <c r="D3" s="607"/>
      <c r="E3" s="607"/>
      <c r="F3" s="607"/>
      <c r="G3" s="608"/>
    </row>
    <row r="4" spans="2:7">
      <c r="B4" s="463" t="s">
        <v>305</v>
      </c>
      <c r="C4" s="114"/>
      <c r="D4" s="605" t="str">
        <f>Master!F5</f>
        <v>GROTECH LANDSCAPE DEVELOPERS PVT. LTD.</v>
      </c>
      <c r="E4" s="448" t="str">
        <f>Master!F6</f>
        <v>290/E, Khanapur Village, Gandipet Mandal, Ranga Reddy, Hyderabad-500075 T.S.</v>
      </c>
      <c r="F4" s="448"/>
      <c r="G4" s="16"/>
    </row>
    <row r="5" spans="2:7">
      <c r="B5" s="195"/>
      <c r="C5" s="1278"/>
      <c r="D5" s="1279"/>
      <c r="E5" s="1279"/>
      <c r="F5" s="1279"/>
      <c r="G5" s="16"/>
    </row>
    <row r="6" spans="2:7">
      <c r="B6" s="195"/>
      <c r="C6" s="1278"/>
      <c r="D6" s="1279"/>
      <c r="E6" s="1279"/>
      <c r="F6" s="114"/>
      <c r="G6" s="16"/>
    </row>
    <row r="7" spans="2:7" ht="15.6">
      <c r="B7" s="452" t="s">
        <v>327</v>
      </c>
      <c r="C7" s="449"/>
      <c r="D7" s="448"/>
      <c r="E7" s="448"/>
      <c r="F7" s="448"/>
      <c r="G7" s="453"/>
    </row>
    <row r="8" spans="2:7" ht="15.6">
      <c r="B8" s="454" t="s">
        <v>328</v>
      </c>
      <c r="C8" s="114"/>
      <c r="D8" s="325"/>
      <c r="E8" s="114"/>
      <c r="F8" s="114"/>
      <c r="G8" s="16"/>
    </row>
    <row r="9" spans="2:7" ht="15.6">
      <c r="B9" s="462"/>
      <c r="C9" s="114"/>
      <c r="D9" s="114"/>
      <c r="E9" s="114"/>
      <c r="F9" s="114"/>
      <c r="G9" s="16"/>
    </row>
    <row r="10" spans="2:7" s="434" customFormat="1">
      <c r="B10" s="1291"/>
      <c r="C10" s="1292"/>
      <c r="D10" s="1292"/>
      <c r="E10" s="1292"/>
      <c r="F10" s="1292"/>
      <c r="G10" s="1293"/>
    </row>
    <row r="11" spans="2:7">
      <c r="B11" s="456"/>
      <c r="C11" s="114"/>
      <c r="D11" s="114"/>
      <c r="E11" s="457" t="s">
        <v>329</v>
      </c>
      <c r="F11" s="114"/>
      <c r="G11" s="16"/>
    </row>
    <row r="12" spans="2:7">
      <c r="B12" s="456"/>
      <c r="C12" s="114"/>
      <c r="D12" s="114"/>
      <c r="E12" s="457"/>
      <c r="F12" s="114"/>
      <c r="G12" s="16"/>
    </row>
    <row r="13" spans="2:7">
      <c r="B13" s="456"/>
      <c r="C13" s="450" t="s">
        <v>330</v>
      </c>
      <c r="D13" s="114"/>
      <c r="E13" s="457"/>
      <c r="F13" s="114"/>
      <c r="G13" s="16"/>
    </row>
    <row r="14" spans="2:7">
      <c r="B14" s="456"/>
      <c r="C14" s="450" t="s">
        <v>331</v>
      </c>
      <c r="D14" s="114"/>
      <c r="E14" s="457"/>
      <c r="F14" s="114"/>
      <c r="G14" s="16"/>
    </row>
    <row r="15" spans="2:7">
      <c r="B15" s="456"/>
      <c r="C15" s="464" t="s">
        <v>310</v>
      </c>
      <c r="D15" s="114"/>
      <c r="E15" s="457"/>
      <c r="F15" s="114"/>
      <c r="G15" s="16"/>
    </row>
    <row r="16" spans="2:7">
      <c r="B16" s="456"/>
      <c r="C16" s="464" t="s">
        <v>332</v>
      </c>
      <c r="D16" s="114"/>
      <c r="E16" s="457"/>
      <c r="F16" s="114"/>
      <c r="G16" s="16"/>
    </row>
    <row r="17" spans="2:7">
      <c r="B17" s="195"/>
      <c r="C17" s="464" t="s">
        <v>333</v>
      </c>
      <c r="D17" s="114"/>
      <c r="E17" s="114"/>
      <c r="F17" s="114"/>
      <c r="G17" s="16"/>
    </row>
    <row r="18" spans="2:7">
      <c r="B18" s="195"/>
      <c r="C18" s="114"/>
      <c r="E18" s="114"/>
      <c r="F18" s="114"/>
      <c r="G18" s="16"/>
    </row>
    <row r="19" spans="2:7">
      <c r="B19" s="195"/>
      <c r="C19" s="114"/>
      <c r="D19" s="114"/>
      <c r="E19" s="114"/>
      <c r="F19" s="114"/>
      <c r="G19" s="16"/>
    </row>
    <row r="20" spans="2:7">
      <c r="B20" s="195"/>
      <c r="C20" s="464" t="s">
        <v>334</v>
      </c>
      <c r="D20" s="114"/>
      <c r="E20" s="114"/>
      <c r="F20" s="114"/>
      <c r="G20" s="16"/>
    </row>
    <row r="21" spans="2:7" ht="15.6">
      <c r="B21" s="195"/>
      <c r="C21" s="1290"/>
      <c r="D21" s="1290"/>
      <c r="E21" s="1290"/>
      <c r="F21" s="1290"/>
      <c r="G21" s="196"/>
    </row>
    <row r="22" spans="2:7">
      <c r="B22" s="1280" t="s">
        <v>301</v>
      </c>
      <c r="C22" s="1281"/>
      <c r="D22" s="1281"/>
      <c r="E22" s="1281"/>
      <c r="F22" s="1281"/>
      <c r="G22" s="446">
        <f>Master!F10</f>
        <v>44652</v>
      </c>
    </row>
    <row r="23" spans="2:7" ht="15.6">
      <c r="B23" s="195"/>
      <c r="C23" s="307"/>
      <c r="D23" s="114"/>
      <c r="E23" s="114"/>
      <c r="F23" s="114"/>
      <c r="G23" s="196"/>
    </row>
    <row r="24" spans="2:7" ht="15.6">
      <c r="B24" s="195"/>
      <c r="C24" s="307"/>
      <c r="D24" s="114"/>
      <c r="E24" s="114"/>
      <c r="F24" s="114"/>
      <c r="G24" s="196"/>
    </row>
    <row r="25" spans="2:7" ht="15.6">
      <c r="B25" s="195"/>
      <c r="C25" s="307"/>
      <c r="D25" s="114"/>
      <c r="E25" s="440" t="s">
        <v>302</v>
      </c>
      <c r="F25" s="1303" t="str">
        <f>Master!F5</f>
        <v>GROTECH LANDSCAPE DEVELOPERS PVT. LTD.</v>
      </c>
      <c r="G25" s="1304"/>
    </row>
    <row r="26" spans="2:7" ht="15.6">
      <c r="B26" s="195"/>
      <c r="C26" s="307"/>
      <c r="D26" s="114"/>
      <c r="E26" s="114"/>
      <c r="F26" s="114"/>
      <c r="G26" s="16"/>
    </row>
    <row r="27" spans="2:7" ht="15.6">
      <c r="B27" s="459"/>
      <c r="C27" s="307"/>
      <c r="D27" s="114"/>
      <c r="E27" s="440"/>
      <c r="F27" s="461" t="s">
        <v>303</v>
      </c>
      <c r="G27" s="16"/>
    </row>
    <row r="28" spans="2:7" ht="15.6">
      <c r="B28" s="195"/>
      <c r="C28" s="307"/>
      <c r="D28" s="114"/>
      <c r="E28" s="114"/>
      <c r="F28" s="114"/>
      <c r="G28" s="196"/>
    </row>
    <row r="29" spans="2:7" ht="15.6">
      <c r="B29" s="195"/>
      <c r="C29" s="307"/>
      <c r="D29" s="114"/>
      <c r="E29" s="114"/>
      <c r="F29" s="114"/>
      <c r="G29" s="196"/>
    </row>
    <row r="30" spans="2:7" ht="15.6">
      <c r="B30" s="195"/>
      <c r="C30" s="1290"/>
      <c r="D30" s="1290"/>
      <c r="E30" s="1290"/>
      <c r="F30" s="1290"/>
      <c r="G30" s="16"/>
    </row>
    <row r="31" spans="2:7" ht="15.6">
      <c r="B31" s="195"/>
      <c r="C31" s="307"/>
      <c r="D31" s="114"/>
      <c r="E31" s="114"/>
      <c r="F31" s="114"/>
      <c r="G31" s="16"/>
    </row>
    <row r="32" spans="2:7">
      <c r="B32" s="195"/>
      <c r="C32" s="1305"/>
      <c r="D32" s="1306"/>
      <c r="E32" s="1306"/>
      <c r="F32" s="1306"/>
      <c r="G32" s="1307"/>
    </row>
    <row r="33" spans="2:7">
      <c r="B33" s="1280"/>
      <c r="C33" s="1281"/>
      <c r="D33" s="1281"/>
      <c r="E33" s="1281"/>
      <c r="F33" s="1281"/>
      <c r="G33" s="446"/>
    </row>
    <row r="34" spans="2:7">
      <c r="B34" s="15"/>
      <c r="C34" s="114"/>
      <c r="D34" s="114"/>
      <c r="E34" s="114"/>
      <c r="F34" s="114"/>
      <c r="G34" s="16"/>
    </row>
    <row r="35" spans="2:7">
      <c r="B35" s="15"/>
      <c r="C35" s="114"/>
      <c r="D35" s="114"/>
      <c r="E35" s="440"/>
      <c r="F35" s="460"/>
      <c r="G35" s="196"/>
    </row>
    <row r="36" spans="2:7">
      <c r="B36" s="15"/>
      <c r="C36" s="114"/>
      <c r="D36" s="114"/>
      <c r="E36" s="114"/>
      <c r="F36" s="114"/>
      <c r="G36" s="16"/>
    </row>
    <row r="37" spans="2:7" ht="15" thickBot="1">
      <c r="B37" s="27"/>
      <c r="C37" s="25"/>
      <c r="D37" s="25"/>
      <c r="E37" s="442"/>
      <c r="F37" s="441"/>
      <c r="G37" s="26"/>
    </row>
  </sheetData>
  <mergeCells count="11">
    <mergeCell ref="B22:F22"/>
    <mergeCell ref="C30:F30"/>
    <mergeCell ref="C32:G32"/>
    <mergeCell ref="B33:F33"/>
    <mergeCell ref="B1:G1"/>
    <mergeCell ref="B2:G2"/>
    <mergeCell ref="C5:F5"/>
    <mergeCell ref="C6:E6"/>
    <mergeCell ref="B10:G10"/>
    <mergeCell ref="C21:F21"/>
    <mergeCell ref="F25:G25"/>
  </mergeCells>
  <pageMargins left="0.7" right="0.7" top="0.75" bottom="0.75" header="0.3" footer="0.3"/>
  <pageSetup scale="85" orientation="landscape" horizontalDpi="300" verticalDpi="300" r:id="rId1"/>
</worksheet>
</file>

<file path=xl/worksheets/sheet29.xml><?xml version="1.0" encoding="utf-8"?>
<worksheet xmlns="http://schemas.openxmlformats.org/spreadsheetml/2006/main" xmlns:r="http://schemas.openxmlformats.org/officeDocument/2006/relationships">
  <dimension ref="A1:J20"/>
  <sheetViews>
    <sheetView workbookViewId="0">
      <selection activeCell="D6" sqref="D6:D7"/>
    </sheetView>
  </sheetViews>
  <sheetFormatPr defaultRowHeight="14.4"/>
  <cols>
    <col min="1" max="1" width="1.109375" customWidth="1"/>
    <col min="4" max="4" width="49.109375" bestFit="1" customWidth="1"/>
    <col min="5" max="5" width="12.33203125" customWidth="1"/>
    <col min="6" max="6" width="13.33203125" customWidth="1"/>
    <col min="7" max="7" width="12.6640625" customWidth="1"/>
    <col min="8" max="8" width="13.5546875" customWidth="1"/>
  </cols>
  <sheetData>
    <row r="1" spans="1:10" ht="16.2" thickBot="1">
      <c r="A1" s="344"/>
      <c r="B1" s="344"/>
      <c r="C1" s="344"/>
      <c r="D1" s="344"/>
      <c r="E1" s="344"/>
      <c r="F1" s="344"/>
      <c r="G1" s="344"/>
      <c r="H1" s="344"/>
      <c r="I1" s="344"/>
      <c r="J1" s="344"/>
    </row>
    <row r="2" spans="1:10" ht="29.4" customHeight="1" thickBot="1">
      <c r="A2" s="344"/>
      <c r="B2" s="345"/>
      <c r="C2" s="1311" t="s">
        <v>254</v>
      </c>
      <c r="D2" s="1312"/>
      <c r="E2" s="1312"/>
      <c r="F2" s="1312"/>
      <c r="G2" s="1312"/>
      <c r="H2" s="1313"/>
      <c r="I2" s="346"/>
      <c r="J2" s="344"/>
    </row>
    <row r="3" spans="1:10" ht="19.95" customHeight="1" thickBot="1">
      <c r="A3" s="344"/>
      <c r="B3" s="347"/>
      <c r="C3" s="1314" t="s">
        <v>255</v>
      </c>
      <c r="D3" s="1315"/>
      <c r="E3" s="1315"/>
      <c r="F3" s="1315"/>
      <c r="G3" s="1315"/>
      <c r="H3" s="1316"/>
      <c r="I3" s="348"/>
      <c r="J3" s="344"/>
    </row>
    <row r="4" spans="1:10" ht="19.95" customHeight="1">
      <c r="A4" s="344"/>
      <c r="B4" s="347"/>
      <c r="C4" s="349"/>
      <c r="D4" s="1317" t="s">
        <v>1154</v>
      </c>
      <c r="E4" s="1317"/>
      <c r="F4" s="1317"/>
      <c r="G4" s="1317"/>
      <c r="H4" s="350"/>
      <c r="I4" s="351"/>
      <c r="J4" s="344"/>
    </row>
    <row r="5" spans="1:10" ht="15.6">
      <c r="A5" s="344"/>
      <c r="B5" s="347"/>
      <c r="C5" s="352"/>
      <c r="D5" s="353"/>
      <c r="E5" s="353"/>
      <c r="F5" s="353"/>
      <c r="G5" s="353"/>
      <c r="H5" s="354"/>
      <c r="I5" s="355"/>
      <c r="J5" s="344"/>
    </row>
    <row r="6" spans="1:10" ht="15.6">
      <c r="A6" s="344"/>
      <c r="B6" s="347"/>
      <c r="C6" s="1318" t="s">
        <v>256</v>
      </c>
      <c r="D6" s="1320"/>
      <c r="E6" s="1322" t="s">
        <v>257</v>
      </c>
      <c r="F6" s="1323"/>
      <c r="G6" s="1323"/>
      <c r="H6" s="1324"/>
      <c r="I6" s="355"/>
      <c r="J6" s="344"/>
    </row>
    <row r="7" spans="1:10" ht="46.8">
      <c r="A7" s="344"/>
      <c r="B7" s="347"/>
      <c r="C7" s="1319"/>
      <c r="D7" s="1321"/>
      <c r="E7" s="356" t="s">
        <v>258</v>
      </c>
      <c r="F7" s="356" t="s">
        <v>259</v>
      </c>
      <c r="G7" s="356" t="s">
        <v>260</v>
      </c>
      <c r="H7" s="357" t="s">
        <v>261</v>
      </c>
      <c r="I7" s="355"/>
      <c r="J7" s="344"/>
    </row>
    <row r="8" spans="1:10" ht="15.6">
      <c r="A8" s="344"/>
      <c r="B8" s="347"/>
      <c r="C8" s="358">
        <v>1</v>
      </c>
      <c r="D8" s="359">
        <v>2</v>
      </c>
      <c r="E8" s="359">
        <v>3</v>
      </c>
      <c r="F8" s="359">
        <v>4</v>
      </c>
      <c r="G8" s="359">
        <v>5</v>
      </c>
      <c r="H8" s="360">
        <v>6</v>
      </c>
      <c r="I8" s="348"/>
      <c r="J8" s="344"/>
    </row>
    <row r="9" spans="1:10" ht="24.9" customHeight="1">
      <c r="A9" s="344"/>
      <c r="B9" s="347"/>
      <c r="C9" s="361">
        <v>1</v>
      </c>
      <c r="D9" s="362" t="s">
        <v>262</v>
      </c>
      <c r="E9" s="363" t="s">
        <v>263</v>
      </c>
      <c r="F9" s="363" t="s">
        <v>263</v>
      </c>
      <c r="G9" s="363" t="s">
        <v>263</v>
      </c>
      <c r="H9" s="363" t="s">
        <v>263</v>
      </c>
      <c r="I9" s="364"/>
      <c r="J9" s="344"/>
    </row>
    <row r="10" spans="1:10" ht="24.9" customHeight="1">
      <c r="A10" s="344"/>
      <c r="B10" s="347"/>
      <c r="C10" s="361">
        <v>2</v>
      </c>
      <c r="D10" s="362" t="s">
        <v>264</v>
      </c>
      <c r="E10" s="136"/>
      <c r="F10" s="136"/>
      <c r="G10" s="136"/>
      <c r="H10" s="136"/>
      <c r="I10" s="364"/>
      <c r="J10" s="344"/>
    </row>
    <row r="11" spans="1:10" ht="24.9" customHeight="1">
      <c r="A11" s="344"/>
      <c r="B11" s="347"/>
      <c r="C11" s="361"/>
      <c r="D11" s="362" t="s">
        <v>265</v>
      </c>
      <c r="E11" s="363" t="s">
        <v>263</v>
      </c>
      <c r="F11" s="363" t="s">
        <v>263</v>
      </c>
      <c r="G11" s="363" t="s">
        <v>263</v>
      </c>
      <c r="H11" s="363" t="s">
        <v>263</v>
      </c>
      <c r="I11" s="364"/>
      <c r="J11" s="344"/>
    </row>
    <row r="12" spans="1:10" ht="24.9" customHeight="1">
      <c r="A12" s="344"/>
      <c r="B12" s="347"/>
      <c r="C12" s="361"/>
      <c r="D12" s="362" t="s">
        <v>266</v>
      </c>
      <c r="E12" s="363" t="s">
        <v>263</v>
      </c>
      <c r="F12" s="363" t="s">
        <v>263</v>
      </c>
      <c r="G12" s="363" t="s">
        <v>263</v>
      </c>
      <c r="H12" s="363" t="s">
        <v>263</v>
      </c>
      <c r="I12" s="364"/>
      <c r="J12" s="344"/>
    </row>
    <row r="13" spans="1:10" ht="24.9" customHeight="1">
      <c r="A13" s="344"/>
      <c r="B13" s="347"/>
      <c r="C13" s="361"/>
      <c r="D13" s="362" t="s">
        <v>267</v>
      </c>
      <c r="E13" s="363" t="s">
        <v>263</v>
      </c>
      <c r="F13" s="363" t="s">
        <v>263</v>
      </c>
      <c r="G13" s="363" t="s">
        <v>263</v>
      </c>
      <c r="H13" s="363" t="s">
        <v>263</v>
      </c>
      <c r="I13" s="364"/>
      <c r="J13" s="344"/>
    </row>
    <row r="14" spans="1:10" ht="24.9" customHeight="1">
      <c r="A14" s="344"/>
      <c r="B14" s="347"/>
      <c r="C14" s="365"/>
      <c r="D14" s="365"/>
      <c r="E14" s="366"/>
      <c r="F14" s="366"/>
      <c r="G14" s="366"/>
      <c r="H14" s="367"/>
      <c r="I14" s="364"/>
      <c r="J14" s="344"/>
    </row>
    <row r="15" spans="1:10" ht="24.9" customHeight="1">
      <c r="A15" s="344"/>
      <c r="B15" s="347"/>
      <c r="C15" s="365"/>
      <c r="D15" s="365"/>
      <c r="E15" s="367"/>
      <c r="F15" s="367"/>
      <c r="G15" s="367"/>
      <c r="H15" s="367"/>
      <c r="I15" s="364"/>
      <c r="J15" s="344"/>
    </row>
    <row r="16" spans="1:10" ht="24.9" customHeight="1">
      <c r="A16" s="344"/>
      <c r="B16" s="347"/>
      <c r="C16" s="365"/>
      <c r="D16" s="368" t="s">
        <v>268</v>
      </c>
      <c r="E16" s="367"/>
      <c r="F16" s="367"/>
      <c r="G16" s="367"/>
      <c r="H16" s="367"/>
      <c r="I16" s="364"/>
      <c r="J16" s="344"/>
    </row>
    <row r="17" spans="1:10" ht="24.9" customHeight="1">
      <c r="A17" s="344"/>
      <c r="B17" s="347"/>
      <c r="C17" s="1308" t="s">
        <v>269</v>
      </c>
      <c r="D17" s="1309"/>
      <c r="E17" s="1309"/>
      <c r="F17" s="1309"/>
      <c r="G17" s="1309"/>
      <c r="H17" s="1310"/>
      <c r="I17" s="369"/>
      <c r="J17" s="344"/>
    </row>
    <row r="18" spans="1:10" ht="15.6">
      <c r="A18" s="344"/>
      <c r="B18" s="347"/>
      <c r="C18" s="370"/>
      <c r="D18" s="370"/>
      <c r="E18" s="370"/>
      <c r="F18" s="370"/>
      <c r="G18" s="370"/>
      <c r="H18" s="370"/>
      <c r="I18" s="369"/>
      <c r="J18" s="344"/>
    </row>
    <row r="19" spans="1:10" ht="15.6">
      <c r="A19" s="344"/>
      <c r="B19" s="347"/>
      <c r="C19" s="370"/>
      <c r="D19" s="430" t="str">
        <f>Master!F5</f>
        <v>GROTECH LANDSCAPE DEVELOPERS PVT. LTD.</v>
      </c>
      <c r="E19" s="370"/>
      <c r="F19" s="371" t="s">
        <v>196</v>
      </c>
      <c r="G19" s="371"/>
      <c r="H19" s="371"/>
      <c r="I19" s="369"/>
      <c r="J19" s="344"/>
    </row>
    <row r="20" spans="1:10" ht="16.2" thickBot="1">
      <c r="A20" s="344"/>
      <c r="B20" s="372"/>
      <c r="C20" s="373"/>
      <c r="D20" s="373" t="str">
        <f>Master!F6</f>
        <v>290/E, Khanapur Village, Gandipet Mandal, Ranga Reddy, Hyderabad-500075 T.S.</v>
      </c>
      <c r="E20" s="373"/>
      <c r="F20" s="373"/>
      <c r="G20" s="373"/>
      <c r="H20" s="373"/>
      <c r="I20" s="374"/>
      <c r="J20" s="344"/>
    </row>
  </sheetData>
  <mergeCells count="7">
    <mergeCell ref="C17:H17"/>
    <mergeCell ref="C2:H2"/>
    <mergeCell ref="C3:H3"/>
    <mergeCell ref="D4:G4"/>
    <mergeCell ref="C6:C7"/>
    <mergeCell ref="D6:D7"/>
    <mergeCell ref="E6:H6"/>
  </mergeCells>
  <pageMargins left="0.7" right="0.7" top="0.75" bottom="0.75" header="0.3" footer="0.3"/>
  <pageSetup paperSize="9" orientation="landscape" horizontalDpi="300" verticalDpi="300" r:id="rId1"/>
</worksheet>
</file>

<file path=xl/worksheets/sheet30.xml><?xml version="1.0" encoding="utf-8"?>
<worksheet xmlns="http://schemas.openxmlformats.org/spreadsheetml/2006/main" xmlns:r="http://schemas.openxmlformats.org/officeDocument/2006/relationships">
  <dimension ref="A1:J17"/>
  <sheetViews>
    <sheetView workbookViewId="0">
      <selection activeCell="D5" sqref="D5:J5"/>
    </sheetView>
  </sheetViews>
  <sheetFormatPr defaultColWidth="8" defaultRowHeight="14.4"/>
  <cols>
    <col min="1" max="1" width="8" style="705"/>
    <col min="2" max="2" width="24" style="705" customWidth="1"/>
    <col min="3" max="3" width="18.6640625" style="705" customWidth="1"/>
    <col min="4" max="4" width="4" style="705" customWidth="1"/>
    <col min="5" max="5" width="9" style="705" customWidth="1"/>
    <col min="6" max="6" width="5.88671875" style="705" customWidth="1"/>
    <col min="7" max="7" width="5" style="705" customWidth="1"/>
    <col min="8" max="8" width="1.88671875" style="705" customWidth="1"/>
    <col min="9" max="9" width="25" style="705" customWidth="1"/>
    <col min="10" max="10" width="6.33203125" style="705" customWidth="1"/>
    <col min="11" max="16384" width="8" style="705"/>
  </cols>
  <sheetData>
    <row r="1" spans="1:10" ht="27" customHeight="1">
      <c r="A1" s="798"/>
      <c r="B1" s="1331" t="str">
        <f>Master!F5</f>
        <v>GROTECH LANDSCAPE DEVELOPERS PVT. LTD.</v>
      </c>
      <c r="C1" s="1332"/>
      <c r="D1" s="1332"/>
      <c r="E1" s="1332"/>
      <c r="F1" s="1332"/>
      <c r="G1" s="1332"/>
      <c r="H1" s="1332"/>
      <c r="I1" s="1332"/>
      <c r="J1" s="1333"/>
    </row>
    <row r="2" spans="1:10" ht="31.5" customHeight="1">
      <c r="A2" s="798"/>
      <c r="B2" s="1335" t="s">
        <v>1059</v>
      </c>
      <c r="C2" s="1335"/>
      <c r="D2" s="1335"/>
      <c r="E2" s="1335"/>
      <c r="F2" s="1335"/>
      <c r="G2" s="1335"/>
      <c r="H2" s="1335"/>
      <c r="I2" s="1335"/>
      <c r="J2" s="1336"/>
    </row>
    <row r="3" spans="1:10" ht="27.75" customHeight="1">
      <c r="A3" s="705" t="s">
        <v>251</v>
      </c>
      <c r="B3" s="793" t="s">
        <v>1060</v>
      </c>
      <c r="C3" s="794"/>
      <c r="D3" s="794"/>
      <c r="E3" s="796" t="s">
        <v>803</v>
      </c>
      <c r="F3" s="797"/>
      <c r="G3" s="794"/>
      <c r="H3" s="794"/>
      <c r="I3" s="882">
        <f>Master!F10</f>
        <v>44652</v>
      </c>
      <c r="J3" s="795"/>
    </row>
    <row r="4" spans="1:10" ht="24.9" customHeight="1">
      <c r="A4" s="798">
        <v>1</v>
      </c>
      <c r="B4" s="799" t="s">
        <v>1156</v>
      </c>
      <c r="C4" s="706"/>
      <c r="D4" s="1325">
        <f>Master!AA65</f>
        <v>1160</v>
      </c>
      <c r="E4" s="1326"/>
      <c r="F4" s="1326"/>
      <c r="G4" s="1326"/>
      <c r="H4" s="1326"/>
      <c r="I4" s="1326"/>
      <c r="J4" s="1327"/>
    </row>
    <row r="5" spans="1:10" ht="24.9" customHeight="1">
      <c r="A5" s="798">
        <v>2</v>
      </c>
      <c r="B5" s="799" t="s">
        <v>1061</v>
      </c>
      <c r="C5" s="706"/>
      <c r="D5" s="1334">
        <f>Master!AK65</f>
        <v>471605.53333333362</v>
      </c>
      <c r="E5" s="1326"/>
      <c r="F5" s="1326"/>
      <c r="G5" s="1326"/>
      <c r="H5" s="1326"/>
      <c r="I5" s="1326"/>
      <c r="J5" s="1327"/>
    </row>
    <row r="6" spans="1:10" ht="24.9" customHeight="1">
      <c r="A6" s="798">
        <v>3</v>
      </c>
      <c r="B6" s="799" t="s">
        <v>1157</v>
      </c>
      <c r="C6" s="706"/>
      <c r="D6" s="1334">
        <f>Master!AL65</f>
        <v>3362</v>
      </c>
      <c r="E6" s="1326"/>
      <c r="F6" s="1326"/>
      <c r="G6" s="1326"/>
      <c r="H6" s="1326"/>
      <c r="I6" s="1326"/>
      <c r="J6" s="1327"/>
    </row>
    <row r="7" spans="1:10" ht="24.9" customHeight="1">
      <c r="A7" s="798">
        <v>4</v>
      </c>
      <c r="B7" s="799" t="s">
        <v>1063</v>
      </c>
      <c r="C7" s="706"/>
      <c r="D7" s="1334">
        <f>3.25*D6/0.75</f>
        <v>14568.666666666666</v>
      </c>
      <c r="E7" s="1326"/>
      <c r="F7" s="1326"/>
      <c r="G7" s="1326"/>
      <c r="H7" s="1326"/>
      <c r="I7" s="1326"/>
      <c r="J7" s="1327"/>
    </row>
    <row r="8" spans="1:10" ht="24.9" customHeight="1">
      <c r="A8" s="798">
        <v>5</v>
      </c>
      <c r="B8" s="799" t="s">
        <v>1159</v>
      </c>
      <c r="C8" s="706"/>
      <c r="D8" s="1334">
        <f>Master!AM65</f>
        <v>52084</v>
      </c>
      <c r="E8" s="1326"/>
      <c r="F8" s="1326"/>
      <c r="G8" s="1326"/>
      <c r="H8" s="1326"/>
      <c r="I8" s="1326"/>
      <c r="J8" s="1327"/>
    </row>
    <row r="9" spans="1:10" ht="24.9" customHeight="1">
      <c r="A9" s="798">
        <v>6</v>
      </c>
      <c r="B9" s="799" t="s">
        <v>1158</v>
      </c>
      <c r="C9" s="706"/>
      <c r="D9" s="1334">
        <f>13*D8/12</f>
        <v>56424.333333333336</v>
      </c>
      <c r="E9" s="1326"/>
      <c r="F9" s="1326"/>
      <c r="G9" s="1326"/>
      <c r="H9" s="1326"/>
      <c r="I9" s="1326"/>
      <c r="J9" s="1327"/>
    </row>
    <row r="10" spans="1:10" ht="24.9" customHeight="1">
      <c r="A10" s="798">
        <v>7</v>
      </c>
      <c r="B10" s="799" t="s">
        <v>1064</v>
      </c>
      <c r="C10" s="706"/>
      <c r="D10" s="1325" t="s">
        <v>263</v>
      </c>
      <c r="E10" s="1326"/>
      <c r="F10" s="1326"/>
      <c r="G10" s="1326"/>
      <c r="H10" s="1326"/>
      <c r="I10" s="1326"/>
      <c r="J10" s="1327"/>
    </row>
    <row r="11" spans="1:10" ht="24.9" customHeight="1">
      <c r="A11" s="798">
        <v>8</v>
      </c>
      <c r="B11" s="799" t="s">
        <v>1065</v>
      </c>
      <c r="C11" s="706"/>
      <c r="D11" s="1325" t="s">
        <v>263</v>
      </c>
      <c r="E11" s="1326"/>
      <c r="F11" s="1326"/>
      <c r="G11" s="1326"/>
      <c r="H11" s="1326"/>
      <c r="I11" s="1326"/>
      <c r="J11" s="1327"/>
    </row>
    <row r="12" spans="1:10" ht="24.9" customHeight="1">
      <c r="A12" s="798">
        <v>9</v>
      </c>
      <c r="B12" s="1337" t="s">
        <v>1066</v>
      </c>
      <c r="C12" s="1338"/>
      <c r="D12" s="1334">
        <f>'PT-FormV'!D24</f>
        <v>500</v>
      </c>
      <c r="E12" s="1326"/>
      <c r="F12" s="1326"/>
      <c r="G12" s="1326"/>
      <c r="H12" s="1326"/>
      <c r="I12" s="1326"/>
      <c r="J12" s="1327"/>
    </row>
    <row r="13" spans="1:10" ht="24.9" customHeight="1">
      <c r="A13" s="798">
        <v>10</v>
      </c>
      <c r="B13" s="1337" t="s">
        <v>1067</v>
      </c>
      <c r="C13" s="1338"/>
      <c r="D13" s="1325">
        <f>Master!AO65</f>
        <v>0</v>
      </c>
      <c r="E13" s="1326"/>
      <c r="F13" s="1326"/>
      <c r="G13" s="1326"/>
      <c r="H13" s="1326"/>
      <c r="I13" s="1326"/>
      <c r="J13" s="1327"/>
    </row>
    <row r="14" spans="1:10" ht="24.9" customHeight="1">
      <c r="A14" s="798">
        <v>11</v>
      </c>
      <c r="B14" s="799" t="s">
        <v>1062</v>
      </c>
      <c r="C14" s="706"/>
      <c r="D14" s="1334">
        <f>Master!AR65</f>
        <v>415659.53333333344</v>
      </c>
      <c r="E14" s="1326"/>
      <c r="F14" s="1326"/>
      <c r="G14" s="1326"/>
      <c r="H14" s="1326"/>
      <c r="I14" s="1326"/>
      <c r="J14" s="1327"/>
    </row>
    <row r="15" spans="1:10" ht="24.9" customHeight="1">
      <c r="A15" s="798">
        <v>12</v>
      </c>
      <c r="B15" s="800" t="s">
        <v>1068</v>
      </c>
      <c r="C15" s="707"/>
      <c r="D15" s="1325">
        <f>'Bonus-C'!H59</f>
        <v>72100</v>
      </c>
      <c r="E15" s="1326"/>
      <c r="F15" s="1326"/>
      <c r="G15" s="1326"/>
      <c r="H15" s="1326"/>
      <c r="I15" s="1326"/>
      <c r="J15" s="1327"/>
    </row>
    <row r="16" spans="1:10" ht="24.9" customHeight="1" thickBot="1">
      <c r="A16" s="798">
        <v>13</v>
      </c>
      <c r="B16" s="801" t="s">
        <v>1069</v>
      </c>
      <c r="C16" s="711"/>
      <c r="D16" s="1328" t="s">
        <v>263</v>
      </c>
      <c r="E16" s="1329"/>
      <c r="F16" s="1329"/>
      <c r="G16" s="1329"/>
      <c r="H16" s="1329"/>
      <c r="I16" s="1329"/>
      <c r="J16" s="1330"/>
    </row>
    <row r="17" spans="4:8" ht="35.1" customHeight="1">
      <c r="D17" s="709"/>
      <c r="E17" s="709"/>
      <c r="F17" s="709"/>
      <c r="G17" s="709"/>
      <c r="H17" s="710"/>
    </row>
  </sheetData>
  <mergeCells count="17">
    <mergeCell ref="B1:J1"/>
    <mergeCell ref="D5:J5"/>
    <mergeCell ref="D14:J14"/>
    <mergeCell ref="D6:J6"/>
    <mergeCell ref="B2:J2"/>
    <mergeCell ref="D4:J4"/>
    <mergeCell ref="D7:J7"/>
    <mergeCell ref="D8:J8"/>
    <mergeCell ref="D9:J9"/>
    <mergeCell ref="B12:C12"/>
    <mergeCell ref="D12:J12"/>
    <mergeCell ref="B13:C13"/>
    <mergeCell ref="D13:J13"/>
    <mergeCell ref="D16:J16"/>
    <mergeCell ref="D15:J15"/>
    <mergeCell ref="D10:J10"/>
    <mergeCell ref="D11:J11"/>
  </mergeCells>
  <pageMargins left="1.27" right="0.7" top="0.75" bottom="0.75" header="0.3" footer="0.3"/>
  <pageSetup scale="80" orientation="portrait" horizontalDpi="300" verticalDpi="300" r:id="rId1"/>
</worksheet>
</file>

<file path=xl/worksheets/sheet31.xml><?xml version="1.0" encoding="utf-8"?>
<worksheet xmlns="http://schemas.openxmlformats.org/spreadsheetml/2006/main" xmlns:r="http://schemas.openxmlformats.org/officeDocument/2006/relationships">
  <dimension ref="A1:M189"/>
  <sheetViews>
    <sheetView workbookViewId="0">
      <selection activeCell="G6" sqref="G6:M6"/>
    </sheetView>
  </sheetViews>
  <sheetFormatPr defaultRowHeight="14.4"/>
  <cols>
    <col min="1" max="1" width="7.33203125" customWidth="1"/>
    <col min="13" max="13" width="7.6640625" customWidth="1"/>
  </cols>
  <sheetData>
    <row r="1" spans="1:13" ht="15.6">
      <c r="A1" s="729"/>
      <c r="B1" s="730"/>
      <c r="C1" s="730"/>
      <c r="D1" s="730"/>
      <c r="E1" s="730"/>
      <c r="F1" s="730"/>
      <c r="G1" s="730"/>
      <c r="H1" s="730"/>
      <c r="I1" s="730"/>
      <c r="J1" s="730"/>
      <c r="K1" s="730"/>
      <c r="L1" s="730"/>
      <c r="M1" s="731"/>
    </row>
    <row r="2" spans="1:13" ht="24.75" customHeight="1">
      <c r="A2" s="1413" t="s">
        <v>811</v>
      </c>
      <c r="B2" s="1414"/>
      <c r="C2" s="1414"/>
      <c r="D2" s="1414"/>
      <c r="E2" s="1414"/>
      <c r="F2" s="1414"/>
      <c r="G2" s="1414"/>
      <c r="H2" s="1414"/>
      <c r="I2" s="1414"/>
      <c r="J2" s="1414"/>
      <c r="K2" s="1414"/>
      <c r="L2" s="1414"/>
      <c r="M2" s="1415"/>
    </row>
    <row r="3" spans="1:13" ht="15.6">
      <c r="A3" s="737" t="s">
        <v>1019</v>
      </c>
      <c r="B3" s="738"/>
      <c r="C3" s="738"/>
      <c r="D3" s="738"/>
      <c r="E3" s="738"/>
      <c r="F3" s="738"/>
      <c r="G3" s="738"/>
      <c r="H3" s="738"/>
      <c r="I3" s="738"/>
      <c r="J3" s="740" t="s">
        <v>1020</v>
      </c>
      <c r="K3" s="738"/>
      <c r="L3" s="738"/>
      <c r="M3" s="739"/>
    </row>
    <row r="4" spans="1:13" ht="15.6">
      <c r="A4" s="1416" t="s">
        <v>812</v>
      </c>
      <c r="B4" s="1417"/>
      <c r="C4" s="1417"/>
      <c r="D4" s="1417"/>
      <c r="E4" s="1417"/>
      <c r="F4" s="1417"/>
      <c r="G4" s="1417"/>
      <c r="H4" s="1417"/>
      <c r="I4" s="1417"/>
      <c r="J4" s="1417"/>
      <c r="K4" s="1417"/>
      <c r="L4" s="1417"/>
      <c r="M4" s="1418"/>
    </row>
    <row r="5" spans="1:13" ht="15.6">
      <c r="A5" s="754">
        <v>1</v>
      </c>
      <c r="B5" s="1362" t="s">
        <v>813</v>
      </c>
      <c r="C5" s="1362"/>
      <c r="D5" s="1362"/>
      <c r="E5" s="1362"/>
      <c r="F5" s="1362"/>
      <c r="G5" s="1362"/>
      <c r="H5" s="1362"/>
      <c r="I5" s="1362"/>
      <c r="J5" s="1362"/>
      <c r="K5" s="1362"/>
      <c r="L5" s="1362"/>
      <c r="M5" s="1363"/>
    </row>
    <row r="6" spans="1:13" ht="15.6">
      <c r="A6" s="754" t="s">
        <v>807</v>
      </c>
      <c r="B6" s="1393" t="s">
        <v>179</v>
      </c>
      <c r="C6" s="1394"/>
      <c r="D6" s="1394"/>
      <c r="E6" s="1394"/>
      <c r="F6" s="1374"/>
      <c r="G6" s="1419" t="str">
        <f>Master!F5</f>
        <v>GROTECH LANDSCAPE DEVELOPERS PVT. LTD.</v>
      </c>
      <c r="H6" s="1419"/>
      <c r="I6" s="1419"/>
      <c r="J6" s="1419"/>
      <c r="K6" s="1419"/>
      <c r="L6" s="1419"/>
      <c r="M6" s="1420"/>
    </row>
    <row r="7" spans="1:13" ht="15.6">
      <c r="A7" s="879"/>
      <c r="B7" s="876"/>
      <c r="C7" s="877"/>
      <c r="D7" s="877"/>
      <c r="E7" s="877"/>
      <c r="F7" s="878"/>
      <c r="G7" s="1421" t="str">
        <f>Master!F6</f>
        <v>290/E, Khanapur Village, Gandipet Mandal, Ranga Reddy, Hyderabad-500075 T.S.</v>
      </c>
      <c r="H7" s="1421"/>
      <c r="I7" s="1421"/>
      <c r="J7" s="1421"/>
      <c r="K7" s="1421"/>
      <c r="L7" s="1421"/>
      <c r="M7" s="1422"/>
    </row>
    <row r="8" spans="1:13" ht="15.6">
      <c r="A8" s="879"/>
      <c r="B8" s="876"/>
      <c r="C8" s="877"/>
      <c r="D8" s="877"/>
      <c r="E8" s="877"/>
      <c r="F8" s="878"/>
      <c r="G8" s="1375"/>
      <c r="H8" s="1375"/>
      <c r="I8" s="1375"/>
      <c r="J8" s="1375"/>
      <c r="K8" s="1375"/>
      <c r="L8" s="1375"/>
      <c r="M8" s="1385"/>
    </row>
    <row r="9" spans="1:13" ht="15.6">
      <c r="A9" s="754" t="s">
        <v>808</v>
      </c>
      <c r="B9" s="1393" t="s">
        <v>814</v>
      </c>
      <c r="C9" s="1394"/>
      <c r="D9" s="1394"/>
      <c r="E9" s="1394"/>
      <c r="F9" s="1374"/>
      <c r="G9" s="1375"/>
      <c r="H9" s="1375"/>
      <c r="I9" s="1375"/>
      <c r="J9" s="1375"/>
      <c r="K9" s="1375"/>
      <c r="L9" s="1375"/>
      <c r="M9" s="1385"/>
    </row>
    <row r="10" spans="1:13" ht="15.6">
      <c r="A10" s="1364" t="s">
        <v>815</v>
      </c>
      <c r="B10" s="1366" t="s">
        <v>816</v>
      </c>
      <c r="C10" s="1366"/>
      <c r="D10" s="1366"/>
      <c r="E10" s="1366"/>
      <c r="F10" s="1366"/>
      <c r="G10" s="1375"/>
      <c r="H10" s="1375"/>
      <c r="I10" s="1375"/>
      <c r="J10" s="1375"/>
      <c r="K10" s="1375"/>
      <c r="L10" s="1375"/>
      <c r="M10" s="1385"/>
    </row>
    <row r="11" spans="1:13" ht="15.6">
      <c r="A11" s="1365"/>
      <c r="B11" s="1366" t="s">
        <v>817</v>
      </c>
      <c r="C11" s="1366"/>
      <c r="D11" s="1366"/>
      <c r="E11" s="1366"/>
      <c r="F11" s="1366"/>
      <c r="G11" s="1375"/>
      <c r="H11" s="1375"/>
      <c r="I11" s="1375"/>
      <c r="J11" s="1375"/>
      <c r="K11" s="1375"/>
      <c r="L11" s="1375"/>
      <c r="M11" s="1385"/>
    </row>
    <row r="12" spans="1:13" ht="15.6">
      <c r="A12" s="1365"/>
      <c r="B12" s="1393" t="s">
        <v>818</v>
      </c>
      <c r="C12" s="1394"/>
      <c r="D12" s="1394"/>
      <c r="E12" s="1394"/>
      <c r="F12" s="1374"/>
      <c r="G12" s="1375"/>
      <c r="H12" s="1375"/>
      <c r="I12" s="1375"/>
      <c r="J12" s="1375"/>
      <c r="K12" s="1375"/>
      <c r="L12" s="1375"/>
      <c r="M12" s="1385"/>
    </row>
    <row r="13" spans="1:13" ht="15.6">
      <c r="A13" s="1365"/>
      <c r="B13" s="742" t="s">
        <v>819</v>
      </c>
      <c r="C13" s="742"/>
      <c r="D13" s="742"/>
      <c r="E13" s="742"/>
      <c r="F13" s="742"/>
      <c r="G13" s="1375"/>
      <c r="H13" s="1375"/>
      <c r="I13" s="1375"/>
      <c r="J13" s="1375"/>
      <c r="K13" s="1375"/>
      <c r="L13" s="1375"/>
      <c r="M13" s="1385"/>
    </row>
    <row r="14" spans="1:13" ht="15.6">
      <c r="A14" s="1386"/>
      <c r="B14" s="1393" t="s">
        <v>820</v>
      </c>
      <c r="C14" s="1394"/>
      <c r="D14" s="1394"/>
      <c r="E14" s="1394"/>
      <c r="F14" s="1374"/>
      <c r="G14" s="1375" t="s">
        <v>1155</v>
      </c>
      <c r="H14" s="1375"/>
      <c r="I14" s="1375"/>
      <c r="J14" s="1375"/>
      <c r="K14" s="1375"/>
      <c r="L14" s="1375"/>
      <c r="M14" s="1385"/>
    </row>
    <row r="15" spans="1:13" ht="15.6">
      <c r="A15" s="754" t="s">
        <v>809</v>
      </c>
      <c r="B15" s="1393" t="s">
        <v>821</v>
      </c>
      <c r="C15" s="1394"/>
      <c r="D15" s="1394"/>
      <c r="E15" s="1394"/>
      <c r="F15" s="1374"/>
      <c r="G15" s="1375"/>
      <c r="H15" s="1375"/>
      <c r="I15" s="1375"/>
      <c r="J15" s="1375"/>
      <c r="K15" s="1375"/>
      <c r="L15" s="1375"/>
      <c r="M15" s="1385"/>
    </row>
    <row r="16" spans="1:13" ht="15.6">
      <c r="A16" s="754" t="s">
        <v>810</v>
      </c>
      <c r="B16" s="1393" t="s">
        <v>822</v>
      </c>
      <c r="C16" s="1394"/>
      <c r="D16" s="1394"/>
      <c r="E16" s="1394"/>
      <c r="F16" s="1374"/>
      <c r="G16" s="1375"/>
      <c r="H16" s="1375"/>
      <c r="I16" s="1375"/>
      <c r="J16" s="1375"/>
      <c r="K16" s="1375"/>
      <c r="L16" s="1375"/>
      <c r="M16" s="1385"/>
    </row>
    <row r="17" spans="1:13" ht="15.6">
      <c r="A17" s="754" t="s">
        <v>823</v>
      </c>
      <c r="B17" s="1393" t="s">
        <v>824</v>
      </c>
      <c r="C17" s="1394"/>
      <c r="D17" s="1394"/>
      <c r="E17" s="1394"/>
      <c r="F17" s="1374"/>
      <c r="G17" s="1375"/>
      <c r="H17" s="1375"/>
      <c r="I17" s="1375"/>
      <c r="J17" s="1375"/>
      <c r="K17" s="1375"/>
      <c r="L17" s="1375"/>
      <c r="M17" s="1385"/>
    </row>
    <row r="18" spans="1:13" ht="15.6">
      <c r="A18" s="1364" t="s">
        <v>825</v>
      </c>
      <c r="B18" s="1393" t="s">
        <v>826</v>
      </c>
      <c r="C18" s="1394"/>
      <c r="D18" s="1394"/>
      <c r="E18" s="1394"/>
      <c r="F18" s="1374"/>
      <c r="G18" s="1375"/>
      <c r="H18" s="1375"/>
      <c r="I18" s="1375"/>
      <c r="J18" s="1375"/>
      <c r="K18" s="1375"/>
      <c r="L18" s="1375"/>
      <c r="M18" s="1385"/>
    </row>
    <row r="19" spans="1:13" ht="15.6">
      <c r="A19" s="1386"/>
      <c r="B19" s="743"/>
      <c r="C19" s="744"/>
      <c r="D19" s="744"/>
      <c r="E19" s="744" t="s">
        <v>827</v>
      </c>
      <c r="F19" s="745"/>
      <c r="G19" s="1367"/>
      <c r="H19" s="1368"/>
      <c r="I19" s="1368"/>
      <c r="J19" s="1368"/>
      <c r="K19" s="1368"/>
      <c r="L19" s="1368"/>
      <c r="M19" s="1369"/>
    </row>
    <row r="20" spans="1:13" ht="15.6">
      <c r="A20" s="754" t="s">
        <v>828</v>
      </c>
      <c r="B20" s="1393" t="s">
        <v>829</v>
      </c>
      <c r="C20" s="1394"/>
      <c r="D20" s="1394"/>
      <c r="E20" s="1394"/>
      <c r="F20" s="1374"/>
      <c r="G20" s="1375"/>
      <c r="H20" s="1375"/>
      <c r="I20" s="1375"/>
      <c r="J20" s="1375"/>
      <c r="K20" s="1375"/>
      <c r="L20" s="1375"/>
      <c r="M20" s="1385"/>
    </row>
    <row r="21" spans="1:13" ht="15.6">
      <c r="A21" s="754" t="s">
        <v>830</v>
      </c>
      <c r="B21" s="1412" t="s">
        <v>831</v>
      </c>
      <c r="C21" s="1412"/>
      <c r="D21" s="1412"/>
      <c r="E21" s="1412"/>
      <c r="F21" s="1412"/>
      <c r="G21" s="1375"/>
      <c r="H21" s="1375"/>
      <c r="I21" s="1375"/>
      <c r="J21" s="1375"/>
      <c r="K21" s="1375"/>
      <c r="L21" s="1375"/>
      <c r="M21" s="1385"/>
    </row>
    <row r="22" spans="1:13" ht="15.6">
      <c r="A22" s="754" t="s">
        <v>832</v>
      </c>
      <c r="B22" s="746" t="s">
        <v>833</v>
      </c>
      <c r="C22" s="746"/>
      <c r="D22" s="746"/>
      <c r="E22" s="746"/>
      <c r="F22" s="746"/>
      <c r="G22" s="1375"/>
      <c r="H22" s="1375"/>
      <c r="I22" s="1375"/>
      <c r="J22" s="1375"/>
      <c r="K22" s="1375"/>
      <c r="L22" s="1375"/>
      <c r="M22" s="1385"/>
    </row>
    <row r="23" spans="1:13" ht="15.6">
      <c r="A23" s="754">
        <v>2</v>
      </c>
      <c r="B23" s="1362" t="s">
        <v>834</v>
      </c>
      <c r="C23" s="1362"/>
      <c r="D23" s="1362"/>
      <c r="E23" s="1362"/>
      <c r="F23" s="1362"/>
      <c r="G23" s="1362"/>
      <c r="H23" s="1362"/>
      <c r="I23" s="1362"/>
      <c r="J23" s="1362"/>
      <c r="K23" s="1362"/>
      <c r="L23" s="1362"/>
      <c r="M23" s="1363"/>
    </row>
    <row r="24" spans="1:13" ht="15.6">
      <c r="A24" s="754"/>
      <c r="B24" s="1409" t="s">
        <v>835</v>
      </c>
      <c r="C24" s="1410"/>
      <c r="D24" s="1410"/>
      <c r="E24" s="1410"/>
      <c r="F24" s="1411"/>
      <c r="G24" s="1367"/>
      <c r="H24" s="1368"/>
      <c r="I24" s="1368"/>
      <c r="J24" s="1368"/>
      <c r="K24" s="1368"/>
      <c r="L24" s="1368"/>
      <c r="M24" s="1369"/>
    </row>
    <row r="25" spans="1:13" ht="15.6">
      <c r="A25" s="754" t="s">
        <v>256</v>
      </c>
      <c r="B25" s="1375" t="s">
        <v>836</v>
      </c>
      <c r="C25" s="1375"/>
      <c r="D25" s="1375"/>
      <c r="E25" s="1375"/>
      <c r="F25" s="1375" t="s">
        <v>837</v>
      </c>
      <c r="G25" s="1375"/>
      <c r="H25" s="1375"/>
      <c r="I25" s="1375"/>
      <c r="J25" s="1375" t="s">
        <v>838</v>
      </c>
      <c r="K25" s="1375"/>
      <c r="L25" s="1375"/>
      <c r="M25" s="1385"/>
    </row>
    <row r="26" spans="1:13" ht="15.6">
      <c r="A26" s="754">
        <v>1</v>
      </c>
      <c r="B26" s="1376">
        <v>2</v>
      </c>
      <c r="C26" s="1376"/>
      <c r="D26" s="1376"/>
      <c r="E26" s="1376"/>
      <c r="F26" s="1376">
        <v>3</v>
      </c>
      <c r="G26" s="1376"/>
      <c r="H26" s="1376"/>
      <c r="I26" s="1376"/>
      <c r="J26" s="1376">
        <v>4</v>
      </c>
      <c r="K26" s="1376"/>
      <c r="L26" s="1376"/>
      <c r="M26" s="1377"/>
    </row>
    <row r="27" spans="1:13" ht="15.6">
      <c r="A27" s="754" t="s">
        <v>839</v>
      </c>
      <c r="B27" s="1407" t="s">
        <v>840</v>
      </c>
      <c r="C27" s="1407"/>
      <c r="D27" s="1407"/>
      <c r="E27" s="1407"/>
      <c r="F27" s="1390"/>
      <c r="G27" s="1390"/>
      <c r="H27" s="1390"/>
      <c r="I27" s="1390"/>
      <c r="J27" s="1375"/>
      <c r="K27" s="1375"/>
      <c r="L27" s="1375"/>
      <c r="M27" s="1385"/>
    </row>
    <row r="28" spans="1:13" ht="15.6">
      <c r="A28" s="754" t="s">
        <v>841</v>
      </c>
      <c r="B28" s="1366" t="s">
        <v>842</v>
      </c>
      <c r="C28" s="1366"/>
      <c r="D28" s="1366"/>
      <c r="E28" s="1366"/>
      <c r="F28" s="1390"/>
      <c r="G28" s="1390"/>
      <c r="H28" s="1390"/>
      <c r="I28" s="1390"/>
      <c r="J28" s="1375"/>
      <c r="K28" s="1375"/>
      <c r="L28" s="1375"/>
      <c r="M28" s="1385"/>
    </row>
    <row r="29" spans="1:13" ht="15.6">
      <c r="A29" s="754" t="s">
        <v>843</v>
      </c>
      <c r="B29" s="1408" t="s">
        <v>844</v>
      </c>
      <c r="C29" s="1408"/>
      <c r="D29" s="1408"/>
      <c r="E29" s="1408"/>
      <c r="F29" s="1390"/>
      <c r="G29" s="1390"/>
      <c r="H29" s="1390"/>
      <c r="I29" s="1390"/>
      <c r="J29" s="1375"/>
      <c r="K29" s="1375"/>
      <c r="L29" s="1375"/>
      <c r="M29" s="1385"/>
    </row>
    <row r="30" spans="1:13" ht="15.6">
      <c r="A30" s="754">
        <v>3</v>
      </c>
      <c r="B30" s="1362" t="s">
        <v>845</v>
      </c>
      <c r="C30" s="1362"/>
      <c r="D30" s="1362"/>
      <c r="E30" s="1362"/>
      <c r="F30" s="1362"/>
      <c r="G30" s="1362"/>
      <c r="H30" s="1362"/>
      <c r="I30" s="1362"/>
      <c r="J30" s="1362"/>
      <c r="K30" s="1362"/>
      <c r="L30" s="1362"/>
      <c r="M30" s="1363"/>
    </row>
    <row r="31" spans="1:13" ht="15.6">
      <c r="A31" s="754" t="s">
        <v>807</v>
      </c>
      <c r="B31" s="1362" t="s">
        <v>846</v>
      </c>
      <c r="C31" s="1362"/>
      <c r="D31" s="1362"/>
      <c r="E31" s="1362"/>
      <c r="F31" s="1362"/>
      <c r="G31" s="1362"/>
      <c r="H31" s="1362"/>
      <c r="I31" s="1362"/>
      <c r="J31" s="1362"/>
      <c r="K31" s="1362"/>
      <c r="L31" s="1362"/>
      <c r="M31" s="1363"/>
    </row>
    <row r="32" spans="1:13" ht="15.6">
      <c r="A32" s="754" t="s">
        <v>808</v>
      </c>
      <c r="B32" s="1362" t="s">
        <v>847</v>
      </c>
      <c r="C32" s="1362"/>
      <c r="D32" s="1362"/>
      <c r="E32" s="1362"/>
      <c r="F32" s="1362"/>
      <c r="G32" s="1362"/>
      <c r="H32" s="1362"/>
      <c r="I32" s="1362"/>
      <c r="J32" s="1362"/>
      <c r="K32" s="1362"/>
      <c r="L32" s="1362"/>
      <c r="M32" s="1363"/>
    </row>
    <row r="33" spans="1:13" ht="15.6">
      <c r="A33" s="1364" t="s">
        <v>815</v>
      </c>
      <c r="B33" s="1362" t="s">
        <v>848</v>
      </c>
      <c r="C33" s="1362"/>
      <c r="D33" s="1362"/>
      <c r="E33" s="1362"/>
      <c r="F33" s="1362"/>
      <c r="G33" s="1362"/>
      <c r="H33" s="1362"/>
      <c r="I33" s="1362"/>
      <c r="J33" s="1362"/>
      <c r="K33" s="1362"/>
      <c r="L33" s="1362"/>
      <c r="M33" s="1363"/>
    </row>
    <row r="34" spans="1:13" ht="15.6">
      <c r="A34" s="1365"/>
      <c r="B34" s="1362" t="s">
        <v>849</v>
      </c>
      <c r="C34" s="1362"/>
      <c r="D34" s="1362"/>
      <c r="E34" s="1362"/>
      <c r="F34" s="1362"/>
      <c r="G34" s="1362"/>
      <c r="H34" s="1362"/>
      <c r="I34" s="1362"/>
      <c r="J34" s="1362"/>
      <c r="K34" s="1362"/>
      <c r="L34" s="1362"/>
      <c r="M34" s="1363"/>
    </row>
    <row r="35" spans="1:13" ht="15.6">
      <c r="A35" s="1365"/>
      <c r="B35" s="1362" t="s">
        <v>850</v>
      </c>
      <c r="C35" s="1362"/>
      <c r="D35" s="1362"/>
      <c r="E35" s="1362"/>
      <c r="F35" s="1362"/>
      <c r="G35" s="1362"/>
      <c r="H35" s="1362"/>
      <c r="I35" s="1362"/>
      <c r="J35" s="1362"/>
      <c r="K35" s="1362"/>
      <c r="L35" s="1362"/>
      <c r="M35" s="1363"/>
    </row>
    <row r="36" spans="1:13" ht="15.6">
      <c r="A36" s="1365"/>
      <c r="B36" s="1362" t="s">
        <v>851</v>
      </c>
      <c r="C36" s="1362"/>
      <c r="D36" s="1362"/>
      <c r="E36" s="1362"/>
      <c r="F36" s="1362"/>
      <c r="G36" s="1362"/>
      <c r="H36" s="1362"/>
      <c r="I36" s="1362"/>
      <c r="J36" s="1362"/>
      <c r="K36" s="1362"/>
      <c r="L36" s="1362"/>
      <c r="M36" s="1363"/>
    </row>
    <row r="37" spans="1:13" ht="15.6">
      <c r="A37" s="1365"/>
      <c r="B37" s="1362" t="s">
        <v>852</v>
      </c>
      <c r="C37" s="1362"/>
      <c r="D37" s="1362"/>
      <c r="E37" s="1362"/>
      <c r="F37" s="1362"/>
      <c r="G37" s="1362"/>
      <c r="H37" s="1362"/>
      <c r="I37" s="1362"/>
      <c r="J37" s="1362"/>
      <c r="K37" s="1362"/>
      <c r="L37" s="1362"/>
      <c r="M37" s="1363"/>
    </row>
    <row r="38" spans="1:13" ht="15.6">
      <c r="A38" s="1386"/>
      <c r="B38" s="1395" t="s">
        <v>853</v>
      </c>
      <c r="C38" s="1395"/>
      <c r="D38" s="1395"/>
      <c r="E38" s="1395"/>
      <c r="F38" s="1375"/>
      <c r="G38" s="1375"/>
      <c r="H38" s="1375"/>
      <c r="I38" s="1375"/>
      <c r="J38" s="1375"/>
      <c r="K38" s="1375"/>
      <c r="L38" s="1375"/>
      <c r="M38" s="1385"/>
    </row>
    <row r="39" spans="1:13" ht="15.6">
      <c r="A39" s="1364" t="s">
        <v>809</v>
      </c>
      <c r="B39" s="1362" t="s">
        <v>854</v>
      </c>
      <c r="C39" s="1362"/>
      <c r="D39" s="1362"/>
      <c r="E39" s="1362"/>
      <c r="F39" s="1362"/>
      <c r="G39" s="1362"/>
      <c r="H39" s="1362"/>
      <c r="I39" s="1362"/>
      <c r="J39" s="1362"/>
      <c r="K39" s="1362"/>
      <c r="L39" s="1362"/>
      <c r="M39" s="1363"/>
    </row>
    <row r="40" spans="1:13" ht="15.6">
      <c r="A40" s="1386"/>
      <c r="B40" s="1362" t="s">
        <v>855</v>
      </c>
      <c r="C40" s="1362"/>
      <c r="D40" s="1362"/>
      <c r="E40" s="1362"/>
      <c r="F40" s="1362"/>
      <c r="G40" s="1362"/>
      <c r="H40" s="1362"/>
      <c r="I40" s="1362"/>
      <c r="J40" s="1362"/>
      <c r="K40" s="1362"/>
      <c r="L40" s="1362"/>
      <c r="M40" s="1363"/>
    </row>
    <row r="41" spans="1:13" ht="15.6">
      <c r="A41" s="1364" t="s">
        <v>810</v>
      </c>
      <c r="B41" s="1405" t="s">
        <v>856</v>
      </c>
      <c r="C41" s="1405"/>
      <c r="D41" s="1405"/>
      <c r="E41" s="1405"/>
      <c r="F41" s="1405"/>
      <c r="G41" s="1405"/>
      <c r="H41" s="1405"/>
      <c r="I41" s="1405"/>
      <c r="J41" s="1405"/>
      <c r="K41" s="1405"/>
      <c r="L41" s="1405"/>
      <c r="M41" s="1406"/>
    </row>
    <row r="42" spans="1:13" ht="15.6">
      <c r="A42" s="1365"/>
      <c r="B42" s="1362" t="s">
        <v>857</v>
      </c>
      <c r="C42" s="1362"/>
      <c r="D42" s="1362"/>
      <c r="E42" s="1362"/>
      <c r="F42" s="1375" t="s">
        <v>858</v>
      </c>
      <c r="G42" s="1375"/>
      <c r="H42" s="1375"/>
      <c r="I42" s="1375"/>
      <c r="J42" s="1375" t="s">
        <v>859</v>
      </c>
      <c r="K42" s="1375"/>
      <c r="L42" s="1375"/>
      <c r="M42" s="1385"/>
    </row>
    <row r="43" spans="1:13" ht="15.6">
      <c r="A43" s="1365"/>
      <c r="B43" s="1362" t="s">
        <v>860</v>
      </c>
      <c r="C43" s="1362"/>
      <c r="D43" s="1362"/>
      <c r="E43" s="1362"/>
      <c r="F43" s="1375" t="s">
        <v>858</v>
      </c>
      <c r="G43" s="1375"/>
      <c r="H43" s="1375"/>
      <c r="I43" s="1375"/>
      <c r="J43" s="1375" t="s">
        <v>859</v>
      </c>
      <c r="K43" s="1375"/>
      <c r="L43" s="1375"/>
      <c r="M43" s="1385"/>
    </row>
    <row r="44" spans="1:13" ht="15.6">
      <c r="A44" s="1365"/>
      <c r="B44" s="1362" t="s">
        <v>861</v>
      </c>
      <c r="C44" s="1362"/>
      <c r="D44" s="1362"/>
      <c r="E44" s="1362"/>
      <c r="F44" s="1375" t="s">
        <v>858</v>
      </c>
      <c r="G44" s="1375"/>
      <c r="H44" s="1375"/>
      <c r="I44" s="1375"/>
      <c r="J44" s="1375" t="s">
        <v>859</v>
      </c>
      <c r="K44" s="1375"/>
      <c r="L44" s="1375"/>
      <c r="M44" s="1385"/>
    </row>
    <row r="45" spans="1:13" ht="15.6">
      <c r="A45" s="1365"/>
      <c r="B45" s="1362" t="s">
        <v>862</v>
      </c>
      <c r="C45" s="1362"/>
      <c r="D45" s="1362"/>
      <c r="E45" s="1362"/>
      <c r="F45" s="1375"/>
      <c r="G45" s="1375"/>
      <c r="H45" s="1375"/>
      <c r="I45" s="1375"/>
      <c r="J45" s="1375"/>
      <c r="K45" s="1375"/>
      <c r="L45" s="1375"/>
      <c r="M45" s="1385"/>
    </row>
    <row r="46" spans="1:13" ht="15.6">
      <c r="A46" s="1365"/>
      <c r="B46" s="1362" t="s">
        <v>863</v>
      </c>
      <c r="C46" s="1362"/>
      <c r="D46" s="1362"/>
      <c r="E46" s="1362"/>
      <c r="F46" s="1375" t="s">
        <v>858</v>
      </c>
      <c r="G46" s="1375"/>
      <c r="H46" s="1375"/>
      <c r="I46" s="1375"/>
      <c r="J46" s="1375" t="s">
        <v>859</v>
      </c>
      <c r="K46" s="1375"/>
      <c r="L46" s="1375"/>
      <c r="M46" s="1385"/>
    </row>
    <row r="47" spans="1:13" ht="15.6">
      <c r="A47" s="1386"/>
      <c r="B47" s="1362" t="s">
        <v>862</v>
      </c>
      <c r="C47" s="1362"/>
      <c r="D47" s="1362"/>
      <c r="E47" s="1362"/>
      <c r="F47" s="1375"/>
      <c r="G47" s="1375"/>
      <c r="H47" s="1375"/>
      <c r="I47" s="1375"/>
      <c r="J47" s="1375"/>
      <c r="K47" s="1375"/>
      <c r="L47" s="1375"/>
      <c r="M47" s="1385"/>
    </row>
    <row r="48" spans="1:13" ht="15.6">
      <c r="A48" s="755" t="s">
        <v>823</v>
      </c>
      <c r="B48" s="1362" t="s">
        <v>864</v>
      </c>
      <c r="C48" s="1362"/>
      <c r="D48" s="1362"/>
      <c r="E48" s="1362"/>
      <c r="F48" s="1362"/>
      <c r="G48" s="1362"/>
      <c r="H48" s="1362"/>
      <c r="I48" s="1362"/>
      <c r="J48" s="1362"/>
      <c r="K48" s="1362"/>
      <c r="L48" s="1362"/>
      <c r="M48" s="1363"/>
    </row>
    <row r="49" spans="1:13" ht="15.6">
      <c r="A49" s="756">
        <v>4</v>
      </c>
      <c r="B49" s="1374" t="s">
        <v>865</v>
      </c>
      <c r="C49" s="1362"/>
      <c r="D49" s="1362"/>
      <c r="E49" s="1362"/>
      <c r="F49" s="1362"/>
      <c r="G49" s="1362"/>
      <c r="H49" s="1362"/>
      <c r="I49" s="1362"/>
      <c r="J49" s="1362"/>
      <c r="K49" s="1362"/>
      <c r="L49" s="1362"/>
      <c r="M49" s="1363"/>
    </row>
    <row r="50" spans="1:13" ht="15.6">
      <c r="A50" s="1401"/>
      <c r="B50" s="1381" t="s">
        <v>866</v>
      </c>
      <c r="C50" s="1381"/>
      <c r="D50" s="1390" t="s">
        <v>867</v>
      </c>
      <c r="E50" s="1390"/>
      <c r="F50" s="1390"/>
      <c r="G50" s="1390"/>
      <c r="H50" s="1390"/>
      <c r="I50" s="1390"/>
      <c r="J50" s="1390"/>
      <c r="K50" s="1390"/>
      <c r="L50" s="1381" t="s">
        <v>868</v>
      </c>
      <c r="M50" s="1382"/>
    </row>
    <row r="51" spans="1:13" ht="46.8">
      <c r="A51" s="1365"/>
      <c r="B51" s="1381"/>
      <c r="C51" s="1381"/>
      <c r="D51" s="741" t="s">
        <v>869</v>
      </c>
      <c r="E51" s="741" t="s">
        <v>870</v>
      </c>
      <c r="F51" s="1390" t="s">
        <v>871</v>
      </c>
      <c r="G51" s="1390"/>
      <c r="H51" s="1381" t="s">
        <v>872</v>
      </c>
      <c r="I51" s="1381"/>
      <c r="J51" s="741" t="s">
        <v>778</v>
      </c>
      <c r="K51" s="748" t="s">
        <v>44</v>
      </c>
      <c r="L51" s="1381"/>
      <c r="M51" s="1382"/>
    </row>
    <row r="52" spans="1:13" ht="15.6">
      <c r="A52" s="1365"/>
      <c r="B52" s="1390">
        <v>1</v>
      </c>
      <c r="C52" s="1390"/>
      <c r="D52" s="1390">
        <v>2</v>
      </c>
      <c r="E52" s="1390"/>
      <c r="F52" s="1390"/>
      <c r="G52" s="1390"/>
      <c r="H52" s="1390"/>
      <c r="I52" s="1390"/>
      <c r="J52" s="1390"/>
      <c r="K52" s="1390"/>
      <c r="L52" s="1390">
        <v>3</v>
      </c>
      <c r="M52" s="1391"/>
    </row>
    <row r="53" spans="1:13" ht="15.6">
      <c r="A53" s="1365"/>
      <c r="B53" s="1402"/>
      <c r="C53" s="1403"/>
      <c r="D53" s="1402"/>
      <c r="E53" s="1403"/>
      <c r="F53" s="1402"/>
      <c r="G53" s="1403"/>
      <c r="H53" s="1402"/>
      <c r="I53" s="1403"/>
      <c r="J53" s="1402"/>
      <c r="K53" s="1403"/>
      <c r="L53" s="1402"/>
      <c r="M53" s="1404"/>
    </row>
    <row r="54" spans="1:13" ht="15.6">
      <c r="A54" s="1365"/>
      <c r="B54" s="1375"/>
      <c r="C54" s="1375"/>
      <c r="D54" s="1375"/>
      <c r="E54" s="1375"/>
      <c r="F54" s="1375"/>
      <c r="G54" s="1375"/>
      <c r="H54" s="1375"/>
      <c r="I54" s="1375"/>
      <c r="J54" s="742"/>
      <c r="K54" s="742"/>
      <c r="L54" s="1375"/>
      <c r="M54" s="1385"/>
    </row>
    <row r="55" spans="1:13" ht="15.6">
      <c r="A55" s="1386"/>
      <c r="B55" s="1375"/>
      <c r="C55" s="1375"/>
      <c r="D55" s="1375"/>
      <c r="E55" s="1375"/>
      <c r="F55" s="1375"/>
      <c r="G55" s="1375"/>
      <c r="H55" s="1375"/>
      <c r="I55" s="1375"/>
      <c r="J55" s="742"/>
      <c r="K55" s="742"/>
      <c r="L55" s="1375"/>
      <c r="M55" s="1385"/>
    </row>
    <row r="56" spans="1:13" ht="15.6">
      <c r="A56" s="754">
        <v>5</v>
      </c>
      <c r="B56" s="1366" t="s">
        <v>873</v>
      </c>
      <c r="C56" s="1366"/>
      <c r="D56" s="1366"/>
      <c r="E56" s="1366"/>
      <c r="F56" s="1366"/>
      <c r="G56" s="1366"/>
      <c r="H56" s="1366"/>
      <c r="I56" s="1366"/>
      <c r="J56" s="1366"/>
      <c r="K56" s="1366"/>
      <c r="L56" s="1366"/>
      <c r="M56" s="1384"/>
    </row>
    <row r="57" spans="1:13" ht="15.6">
      <c r="A57" s="1364"/>
      <c r="B57" s="1381" t="s">
        <v>869</v>
      </c>
      <c r="C57" s="1381"/>
      <c r="D57" s="1381" t="s">
        <v>870</v>
      </c>
      <c r="E57" s="1381"/>
      <c r="F57" s="1381" t="s">
        <v>874</v>
      </c>
      <c r="G57" s="1381"/>
      <c r="H57" s="1381"/>
      <c r="I57" s="1381"/>
      <c r="J57" s="1390" t="s">
        <v>875</v>
      </c>
      <c r="K57" s="1390"/>
      <c r="L57" s="1381" t="s">
        <v>778</v>
      </c>
      <c r="M57" s="1382"/>
    </row>
    <row r="58" spans="1:13" ht="15.6">
      <c r="A58" s="1365"/>
      <c r="B58" s="1375">
        <v>1</v>
      </c>
      <c r="C58" s="1375"/>
      <c r="D58" s="1375">
        <v>2</v>
      </c>
      <c r="E58" s="1375"/>
      <c r="F58" s="1375">
        <v>3</v>
      </c>
      <c r="G58" s="1375"/>
      <c r="H58" s="1375"/>
      <c r="I58" s="1375"/>
      <c r="J58" s="1375">
        <v>4</v>
      </c>
      <c r="K58" s="1375"/>
      <c r="L58" s="1375">
        <v>5</v>
      </c>
      <c r="M58" s="1385"/>
    </row>
    <row r="59" spans="1:13" ht="15.6">
      <c r="A59" s="1365"/>
      <c r="B59" s="1375"/>
      <c r="C59" s="1375"/>
      <c r="D59" s="1375"/>
      <c r="E59" s="1375"/>
      <c r="F59" s="1375"/>
      <c r="G59" s="1375"/>
      <c r="H59" s="1375"/>
      <c r="I59" s="1375"/>
      <c r="J59" s="1375"/>
      <c r="K59" s="1375"/>
      <c r="L59" s="1375"/>
      <c r="M59" s="1385"/>
    </row>
    <row r="60" spans="1:13" ht="15.6">
      <c r="A60" s="1365"/>
      <c r="B60" s="1375"/>
      <c r="C60" s="1375"/>
      <c r="D60" s="1375"/>
      <c r="E60" s="1375"/>
      <c r="F60" s="1375"/>
      <c r="G60" s="1375"/>
      <c r="H60" s="1375"/>
      <c r="I60" s="1375"/>
      <c r="J60" s="1375"/>
      <c r="K60" s="1375"/>
      <c r="L60" s="1390"/>
      <c r="M60" s="1391"/>
    </row>
    <row r="61" spans="1:13" ht="15.6">
      <c r="A61" s="1400"/>
      <c r="B61" s="1375"/>
      <c r="C61" s="1375"/>
      <c r="D61" s="1375"/>
      <c r="E61" s="1375"/>
      <c r="F61" s="1375"/>
      <c r="G61" s="1375"/>
      <c r="H61" s="1375"/>
      <c r="I61" s="1375"/>
      <c r="J61" s="1375"/>
      <c r="K61" s="1375"/>
      <c r="L61" s="1375"/>
      <c r="M61" s="1385"/>
    </row>
    <row r="62" spans="1:13" ht="15.6">
      <c r="A62" s="756">
        <v>6</v>
      </c>
      <c r="B62" s="1374" t="s">
        <v>876</v>
      </c>
      <c r="C62" s="1362"/>
      <c r="D62" s="1362"/>
      <c r="E62" s="1362"/>
      <c r="F62" s="1362"/>
      <c r="G62" s="1362"/>
      <c r="H62" s="1362"/>
      <c r="I62" s="1362"/>
      <c r="J62" s="1362"/>
      <c r="K62" s="1362"/>
      <c r="L62" s="1362"/>
      <c r="M62" s="1363"/>
    </row>
    <row r="63" spans="1:13" ht="15.6">
      <c r="A63" s="1365"/>
      <c r="B63" s="1375" t="s">
        <v>877</v>
      </c>
      <c r="C63" s="1375"/>
      <c r="D63" s="1375"/>
      <c r="E63" s="1375"/>
      <c r="F63" s="1375"/>
      <c r="G63" s="1375"/>
      <c r="H63" s="1375"/>
      <c r="I63" s="1375"/>
      <c r="J63" s="1375"/>
      <c r="K63" s="1381" t="s">
        <v>878</v>
      </c>
      <c r="L63" s="1381"/>
      <c r="M63" s="1382"/>
    </row>
    <row r="64" spans="1:13">
      <c r="A64" s="1365"/>
      <c r="B64" s="1390" t="s">
        <v>879</v>
      </c>
      <c r="C64" s="1390"/>
      <c r="D64" s="1390" t="s">
        <v>880</v>
      </c>
      <c r="E64" s="1390"/>
      <c r="F64" s="1390"/>
      <c r="G64" s="1381" t="s">
        <v>881</v>
      </c>
      <c r="H64" s="1381"/>
      <c r="I64" s="1390" t="s">
        <v>882</v>
      </c>
      <c r="J64" s="1390"/>
      <c r="K64" s="1381"/>
      <c r="L64" s="1381"/>
      <c r="M64" s="1382"/>
    </row>
    <row r="65" spans="1:13">
      <c r="A65" s="1365"/>
      <c r="B65" s="1390"/>
      <c r="C65" s="1390"/>
      <c r="D65" s="1390"/>
      <c r="E65" s="1390"/>
      <c r="F65" s="1390"/>
      <c r="G65" s="1381"/>
      <c r="H65" s="1381"/>
      <c r="I65" s="1390"/>
      <c r="J65" s="1390"/>
      <c r="K65" s="1381"/>
      <c r="L65" s="1381"/>
      <c r="M65" s="1382"/>
    </row>
    <row r="66" spans="1:13" ht="15.6">
      <c r="A66" s="1365"/>
      <c r="B66" s="1390">
        <v>1</v>
      </c>
      <c r="C66" s="1390"/>
      <c r="D66" s="1390"/>
      <c r="E66" s="1390"/>
      <c r="F66" s="1390"/>
      <c r="G66" s="1390"/>
      <c r="H66" s="1390"/>
      <c r="I66" s="1390"/>
      <c r="J66" s="1390"/>
      <c r="K66" s="1381">
        <v>2</v>
      </c>
      <c r="L66" s="1381"/>
      <c r="M66" s="1382"/>
    </row>
    <row r="67" spans="1:13" ht="15.6">
      <c r="A67" s="1386"/>
      <c r="B67" s="1367"/>
      <c r="C67" s="1383"/>
      <c r="D67" s="1367"/>
      <c r="E67" s="1368"/>
      <c r="F67" s="1383"/>
      <c r="G67" s="1367"/>
      <c r="H67" s="1383"/>
      <c r="I67" s="1367"/>
      <c r="J67" s="1383"/>
      <c r="K67" s="1381"/>
      <c r="L67" s="1381"/>
      <c r="M67" s="1382"/>
    </row>
    <row r="68" spans="1:13" ht="15.6">
      <c r="A68" s="754">
        <v>7</v>
      </c>
      <c r="B68" s="1362" t="s">
        <v>883</v>
      </c>
      <c r="C68" s="1362"/>
      <c r="D68" s="1362"/>
      <c r="E68" s="1362"/>
      <c r="F68" s="1362"/>
      <c r="G68" s="1362"/>
      <c r="H68" s="1362"/>
      <c r="I68" s="1362"/>
      <c r="J68" s="1362"/>
      <c r="K68" s="1362"/>
      <c r="L68" s="1362"/>
      <c r="M68" s="1363"/>
    </row>
    <row r="69" spans="1:13" ht="15.6">
      <c r="A69" s="754" t="s">
        <v>256</v>
      </c>
      <c r="B69" s="1390" t="s">
        <v>884</v>
      </c>
      <c r="C69" s="1390"/>
      <c r="D69" s="1390"/>
      <c r="E69" s="1390" t="s">
        <v>885</v>
      </c>
      <c r="F69" s="1390"/>
      <c r="G69" s="1390"/>
      <c r="H69" s="1390" t="s">
        <v>886</v>
      </c>
      <c r="I69" s="1390"/>
      <c r="J69" s="1390"/>
      <c r="K69" s="1390" t="s">
        <v>887</v>
      </c>
      <c r="L69" s="1390"/>
      <c r="M69" s="1391"/>
    </row>
    <row r="70" spans="1:13" ht="15.6">
      <c r="A70" s="754">
        <v>1</v>
      </c>
      <c r="B70" s="1381">
        <v>2</v>
      </c>
      <c r="C70" s="1381"/>
      <c r="D70" s="1381"/>
      <c r="E70" s="1396">
        <v>3</v>
      </c>
      <c r="F70" s="1397"/>
      <c r="G70" s="1398"/>
      <c r="H70" s="1396">
        <v>4</v>
      </c>
      <c r="I70" s="1397"/>
      <c r="J70" s="1398"/>
      <c r="K70" s="1396">
        <v>5</v>
      </c>
      <c r="L70" s="1397"/>
      <c r="M70" s="1399"/>
    </row>
    <row r="71" spans="1:13" ht="15.6">
      <c r="A71" s="754" t="s">
        <v>807</v>
      </c>
      <c r="B71" s="1362" t="s">
        <v>888</v>
      </c>
      <c r="C71" s="1362"/>
      <c r="D71" s="1362"/>
      <c r="E71" s="1367"/>
      <c r="F71" s="1368"/>
      <c r="G71" s="1383"/>
      <c r="H71" s="1393"/>
      <c r="I71" s="1394"/>
      <c r="J71" s="1374"/>
      <c r="K71" s="1367"/>
      <c r="L71" s="1368"/>
      <c r="M71" s="1369"/>
    </row>
    <row r="72" spans="1:13" ht="15.6">
      <c r="A72" s="754" t="s">
        <v>808</v>
      </c>
      <c r="B72" s="1362" t="s">
        <v>889</v>
      </c>
      <c r="C72" s="1362"/>
      <c r="D72" s="1362"/>
      <c r="E72" s="1367"/>
      <c r="F72" s="1368"/>
      <c r="G72" s="1383"/>
      <c r="H72" s="1393"/>
      <c r="I72" s="1394"/>
      <c r="J72" s="1374"/>
      <c r="K72" s="1367"/>
      <c r="L72" s="1368"/>
      <c r="M72" s="1369"/>
    </row>
    <row r="73" spans="1:13" ht="15.6">
      <c r="A73" s="754" t="s">
        <v>815</v>
      </c>
      <c r="B73" s="1362" t="s">
        <v>890</v>
      </c>
      <c r="C73" s="1362"/>
      <c r="D73" s="1362"/>
      <c r="E73" s="1367"/>
      <c r="F73" s="1368"/>
      <c r="G73" s="1383"/>
      <c r="H73" s="1393"/>
      <c r="I73" s="1394"/>
      <c r="J73" s="1374"/>
      <c r="K73" s="1367"/>
      <c r="L73" s="1368"/>
      <c r="M73" s="1369"/>
    </row>
    <row r="74" spans="1:13" ht="15.6">
      <c r="A74" s="754" t="s">
        <v>809</v>
      </c>
      <c r="B74" s="1362" t="s">
        <v>891</v>
      </c>
      <c r="C74" s="1362"/>
      <c r="D74" s="1362"/>
      <c r="E74" s="1367"/>
      <c r="F74" s="1368"/>
      <c r="G74" s="1383"/>
      <c r="H74" s="1393"/>
      <c r="I74" s="1394"/>
      <c r="J74" s="1374"/>
      <c r="K74" s="1367"/>
      <c r="L74" s="1368"/>
      <c r="M74" s="1369"/>
    </row>
    <row r="75" spans="1:13" ht="15.6">
      <c r="A75" s="754" t="s">
        <v>810</v>
      </c>
      <c r="B75" s="1362" t="s">
        <v>892</v>
      </c>
      <c r="C75" s="1362"/>
      <c r="D75" s="1362"/>
      <c r="E75" s="1367"/>
      <c r="F75" s="1368"/>
      <c r="G75" s="1383"/>
      <c r="H75" s="1393"/>
      <c r="I75" s="1394"/>
      <c r="J75" s="1374"/>
      <c r="K75" s="1367"/>
      <c r="L75" s="1368"/>
      <c r="M75" s="1369"/>
    </row>
    <row r="76" spans="1:13" ht="15.6">
      <c r="A76" s="754" t="s">
        <v>823</v>
      </c>
      <c r="B76" s="1366" t="s">
        <v>893</v>
      </c>
      <c r="C76" s="1366"/>
      <c r="D76" s="1366"/>
      <c r="E76" s="1367"/>
      <c r="F76" s="1368"/>
      <c r="G76" s="1383"/>
      <c r="H76" s="1393"/>
      <c r="I76" s="1394"/>
      <c r="J76" s="1374"/>
      <c r="K76" s="1367"/>
      <c r="L76" s="1368"/>
      <c r="M76" s="1369"/>
    </row>
    <row r="77" spans="1:13" ht="15.6">
      <c r="A77" s="754" t="s">
        <v>825</v>
      </c>
      <c r="B77" s="1362" t="s">
        <v>894</v>
      </c>
      <c r="C77" s="1362"/>
      <c r="D77" s="1362"/>
      <c r="E77" s="1367"/>
      <c r="F77" s="1368"/>
      <c r="G77" s="1383"/>
      <c r="H77" s="1393"/>
      <c r="I77" s="1394"/>
      <c r="J77" s="1374"/>
      <c r="K77" s="1367"/>
      <c r="L77" s="1368"/>
      <c r="M77" s="1369"/>
    </row>
    <row r="78" spans="1:13" ht="15.6">
      <c r="A78" s="755"/>
      <c r="B78" s="1395" t="s">
        <v>853</v>
      </c>
      <c r="C78" s="1395"/>
      <c r="D78" s="1395"/>
      <c r="E78" s="1367"/>
      <c r="F78" s="1368"/>
      <c r="G78" s="1383"/>
      <c r="H78" s="1393"/>
      <c r="I78" s="1394"/>
      <c r="J78" s="1374"/>
      <c r="K78" s="1367"/>
      <c r="L78" s="1368"/>
      <c r="M78" s="1369"/>
    </row>
    <row r="79" spans="1:13" ht="15.6">
      <c r="A79" s="757">
        <v>8</v>
      </c>
      <c r="B79" s="1374" t="s">
        <v>895</v>
      </c>
      <c r="C79" s="1362"/>
      <c r="D79" s="1362"/>
      <c r="E79" s="1362"/>
      <c r="F79" s="1362"/>
      <c r="G79" s="1362"/>
      <c r="H79" s="1362"/>
      <c r="I79" s="1362"/>
      <c r="J79" s="1362"/>
      <c r="K79" s="1362"/>
      <c r="L79" s="1362"/>
      <c r="M79" s="1363"/>
    </row>
    <row r="80" spans="1:13" ht="15.6">
      <c r="A80" s="1378"/>
      <c r="B80" s="1381" t="s">
        <v>896</v>
      </c>
      <c r="C80" s="1381" t="s">
        <v>897</v>
      </c>
      <c r="D80" s="1375" t="s">
        <v>898</v>
      </c>
      <c r="E80" s="1375"/>
      <c r="F80" s="1375"/>
      <c r="G80" s="1375"/>
      <c r="H80" s="1375"/>
      <c r="I80" s="1375"/>
      <c r="J80" s="1375"/>
      <c r="K80" s="1375"/>
      <c r="L80" s="1375"/>
      <c r="M80" s="1385"/>
    </row>
    <row r="81" spans="1:13" ht="31.2">
      <c r="A81" s="1379"/>
      <c r="B81" s="1381"/>
      <c r="C81" s="1381"/>
      <c r="D81" s="741" t="s">
        <v>181</v>
      </c>
      <c r="E81" s="741" t="s">
        <v>370</v>
      </c>
      <c r="F81" s="741" t="s">
        <v>899</v>
      </c>
      <c r="G81" s="749" t="s">
        <v>900</v>
      </c>
      <c r="H81" s="741" t="s">
        <v>778</v>
      </c>
      <c r="I81" s="741" t="s">
        <v>181</v>
      </c>
      <c r="J81" s="741" t="s">
        <v>370</v>
      </c>
      <c r="K81" s="741" t="s">
        <v>899</v>
      </c>
      <c r="L81" s="749" t="s">
        <v>900</v>
      </c>
      <c r="M81" s="758" t="s">
        <v>778</v>
      </c>
    </row>
    <row r="82" spans="1:13" ht="15.6">
      <c r="A82" s="1379"/>
      <c r="B82" s="741">
        <v>1</v>
      </c>
      <c r="C82" s="741">
        <v>2</v>
      </c>
      <c r="D82" s="1376">
        <v>3</v>
      </c>
      <c r="E82" s="1376"/>
      <c r="F82" s="1376"/>
      <c r="G82" s="1376"/>
      <c r="H82" s="1376"/>
      <c r="I82" s="1376"/>
      <c r="J82" s="1376"/>
      <c r="K82" s="1376"/>
      <c r="L82" s="1376"/>
      <c r="M82" s="1377"/>
    </row>
    <row r="83" spans="1:13" ht="31.2">
      <c r="A83" s="1379"/>
      <c r="B83" s="750" t="s">
        <v>901</v>
      </c>
      <c r="C83" s="742"/>
      <c r="D83" s="742"/>
      <c r="E83" s="742"/>
      <c r="F83" s="742"/>
      <c r="G83" s="742"/>
      <c r="H83" s="742"/>
      <c r="I83" s="742"/>
      <c r="J83" s="742"/>
      <c r="K83" s="742"/>
      <c r="L83" s="742"/>
      <c r="M83" s="759"/>
    </row>
    <row r="84" spans="1:13" ht="15.6">
      <c r="A84" s="1379"/>
      <c r="B84" s="751" t="s">
        <v>902</v>
      </c>
      <c r="C84" s="742"/>
      <c r="D84" s="742"/>
      <c r="E84" s="742"/>
      <c r="F84" s="742"/>
      <c r="G84" s="742"/>
      <c r="H84" s="742"/>
      <c r="I84" s="742"/>
      <c r="J84" s="742"/>
      <c r="K84" s="742"/>
      <c r="L84" s="742"/>
      <c r="M84" s="759"/>
    </row>
    <row r="85" spans="1:13" ht="31.2">
      <c r="A85" s="1379"/>
      <c r="B85" s="750" t="s">
        <v>903</v>
      </c>
      <c r="C85" s="742"/>
      <c r="D85" s="742"/>
      <c r="E85" s="742"/>
      <c r="F85" s="742"/>
      <c r="G85" s="742"/>
      <c r="H85" s="742"/>
      <c r="I85" s="742"/>
      <c r="J85" s="742"/>
      <c r="K85" s="742"/>
      <c r="L85" s="742"/>
      <c r="M85" s="759"/>
    </row>
    <row r="86" spans="1:13" ht="31.2">
      <c r="A86" s="1379"/>
      <c r="B86" s="750" t="s">
        <v>904</v>
      </c>
      <c r="C86" s="742"/>
      <c r="D86" s="742"/>
      <c r="E86" s="742"/>
      <c r="F86" s="742"/>
      <c r="G86" s="742"/>
      <c r="H86" s="742"/>
      <c r="I86" s="742"/>
      <c r="J86" s="742"/>
      <c r="K86" s="742"/>
      <c r="L86" s="742"/>
      <c r="M86" s="759"/>
    </row>
    <row r="87" spans="1:13" ht="15.6">
      <c r="A87" s="1380"/>
      <c r="B87" s="742" t="s">
        <v>778</v>
      </c>
      <c r="C87" s="742"/>
      <c r="D87" s="742"/>
      <c r="E87" s="742"/>
      <c r="F87" s="742"/>
      <c r="G87" s="742"/>
      <c r="H87" s="742"/>
      <c r="I87" s="742"/>
      <c r="J87" s="742"/>
      <c r="K87" s="742"/>
      <c r="L87" s="742"/>
      <c r="M87" s="759"/>
    </row>
    <row r="88" spans="1:13" ht="15.6">
      <c r="A88" s="754" t="s">
        <v>905</v>
      </c>
      <c r="B88" s="1362" t="s">
        <v>906</v>
      </c>
      <c r="C88" s="1362"/>
      <c r="D88" s="1362"/>
      <c r="E88" s="1362"/>
      <c r="F88" s="1362"/>
      <c r="G88" s="1362"/>
      <c r="H88" s="1362"/>
      <c r="I88" s="1362"/>
      <c r="J88" s="1362"/>
      <c r="K88" s="1362"/>
      <c r="L88" s="1362"/>
      <c r="M88" s="1363"/>
    </row>
    <row r="89" spans="1:13" ht="15.6">
      <c r="A89" s="754" t="s">
        <v>907</v>
      </c>
      <c r="B89" s="1362" t="s">
        <v>908</v>
      </c>
      <c r="C89" s="1362"/>
      <c r="D89" s="1362"/>
      <c r="E89" s="1362"/>
      <c r="F89" s="1362"/>
      <c r="G89" s="1362"/>
      <c r="H89" s="1362"/>
      <c r="I89" s="1362"/>
      <c r="J89" s="1362"/>
      <c r="K89" s="1362"/>
      <c r="L89" s="1362"/>
      <c r="M89" s="1363"/>
    </row>
    <row r="90" spans="1:13" ht="15.6">
      <c r="A90" s="754" t="s">
        <v>909</v>
      </c>
      <c r="B90" s="1362" t="s">
        <v>910</v>
      </c>
      <c r="C90" s="1362"/>
      <c r="D90" s="1362"/>
      <c r="E90" s="1362"/>
      <c r="F90" s="1362"/>
      <c r="G90" s="1362"/>
      <c r="H90" s="1362"/>
      <c r="I90" s="1362"/>
      <c r="J90" s="1362"/>
      <c r="K90" s="1362"/>
      <c r="L90" s="1362"/>
      <c r="M90" s="1363"/>
    </row>
    <row r="91" spans="1:13" ht="15.6">
      <c r="A91" s="754" t="s">
        <v>911</v>
      </c>
      <c r="B91" s="1362" t="s">
        <v>912</v>
      </c>
      <c r="C91" s="1362"/>
      <c r="D91" s="1362"/>
      <c r="E91" s="1362"/>
      <c r="F91" s="1362"/>
      <c r="G91" s="1362"/>
      <c r="H91" s="1362"/>
      <c r="I91" s="1362"/>
      <c r="J91" s="1362"/>
      <c r="K91" s="1362"/>
      <c r="L91" s="1362"/>
      <c r="M91" s="1363"/>
    </row>
    <row r="92" spans="1:13" ht="15.6">
      <c r="A92" s="754" t="s">
        <v>913</v>
      </c>
      <c r="B92" s="1362" t="s">
        <v>914</v>
      </c>
      <c r="C92" s="1362"/>
      <c r="D92" s="1362"/>
      <c r="E92" s="1362"/>
      <c r="F92" s="1362"/>
      <c r="G92" s="1362"/>
      <c r="H92" s="1362"/>
      <c r="I92" s="1362"/>
      <c r="J92" s="1362"/>
      <c r="K92" s="1362"/>
      <c r="L92" s="1362"/>
      <c r="M92" s="1363"/>
    </row>
    <row r="93" spans="1:13" ht="15.6">
      <c r="A93" s="1392"/>
      <c r="B93" s="1362" t="s">
        <v>915</v>
      </c>
      <c r="C93" s="1362"/>
      <c r="D93" s="1362"/>
      <c r="E93" s="1362"/>
      <c r="F93" s="1362"/>
      <c r="G93" s="1362"/>
      <c r="H93" s="1362"/>
      <c r="I93" s="1362"/>
      <c r="J93" s="1362"/>
      <c r="K93" s="1362"/>
      <c r="L93" s="1362"/>
      <c r="M93" s="1363"/>
    </row>
    <row r="94" spans="1:13" ht="15.6">
      <c r="A94" s="1380"/>
      <c r="B94" s="1362" t="s">
        <v>916</v>
      </c>
      <c r="C94" s="1362"/>
      <c r="D94" s="1362"/>
      <c r="E94" s="1362"/>
      <c r="F94" s="1362"/>
      <c r="G94" s="1362"/>
      <c r="H94" s="1362"/>
      <c r="I94" s="1362"/>
      <c r="J94" s="1362"/>
      <c r="K94" s="1362"/>
      <c r="L94" s="1362"/>
      <c r="M94" s="1363"/>
    </row>
    <row r="95" spans="1:13" ht="15.6">
      <c r="A95" s="754">
        <v>9</v>
      </c>
      <c r="B95" s="1366" t="s">
        <v>917</v>
      </c>
      <c r="C95" s="1366"/>
      <c r="D95" s="1366"/>
      <c r="E95" s="1366"/>
      <c r="F95" s="1366"/>
      <c r="G95" s="1366"/>
      <c r="H95" s="1366"/>
      <c r="I95" s="1366"/>
      <c r="J95" s="1366"/>
      <c r="K95" s="1366"/>
      <c r="L95" s="1366"/>
      <c r="M95" s="1384"/>
    </row>
    <row r="96" spans="1:13" ht="15.6">
      <c r="A96" s="1364"/>
      <c r="B96" s="1376" t="s">
        <v>918</v>
      </c>
      <c r="C96" s="1376"/>
      <c r="D96" s="1376"/>
      <c r="E96" s="1375" t="s">
        <v>919</v>
      </c>
      <c r="F96" s="1375"/>
      <c r="G96" s="1375"/>
      <c r="H96" s="1375"/>
      <c r="I96" s="1375"/>
      <c r="J96" s="1390" t="s">
        <v>920</v>
      </c>
      <c r="K96" s="1390"/>
      <c r="L96" s="1390"/>
      <c r="M96" s="1391"/>
    </row>
    <row r="97" spans="1:13" ht="15.6">
      <c r="A97" s="1365"/>
      <c r="B97" s="1375">
        <v>1</v>
      </c>
      <c r="C97" s="1375"/>
      <c r="D97" s="1375"/>
      <c r="E97" s="1390">
        <v>2</v>
      </c>
      <c r="F97" s="1390"/>
      <c r="G97" s="1390"/>
      <c r="H97" s="1390"/>
      <c r="I97" s="1390"/>
      <c r="J97" s="1381">
        <v>3</v>
      </c>
      <c r="K97" s="1381"/>
      <c r="L97" s="1381"/>
      <c r="M97" s="1382"/>
    </row>
    <row r="98" spans="1:13" ht="15.6">
      <c r="A98" s="1365"/>
      <c r="B98" s="741" t="s">
        <v>921</v>
      </c>
      <c r="C98" s="1376" t="s">
        <v>922</v>
      </c>
      <c r="D98" s="1376"/>
      <c r="E98" s="741" t="s">
        <v>923</v>
      </c>
      <c r="F98" s="1381" t="s">
        <v>924</v>
      </c>
      <c r="G98" s="1381"/>
      <c r="H98" s="1381" t="s">
        <v>925</v>
      </c>
      <c r="I98" s="1381"/>
      <c r="J98" s="1381" t="s">
        <v>921</v>
      </c>
      <c r="K98" s="1381"/>
      <c r="L98" s="1381" t="s">
        <v>922</v>
      </c>
      <c r="M98" s="1382"/>
    </row>
    <row r="99" spans="1:13" ht="15.6">
      <c r="A99" s="1365"/>
      <c r="B99" s="742"/>
      <c r="C99" s="1375"/>
      <c r="D99" s="1375"/>
      <c r="E99" s="750"/>
      <c r="F99" s="1390"/>
      <c r="G99" s="1390"/>
      <c r="H99" s="1390"/>
      <c r="I99" s="1390"/>
      <c r="J99" s="1375"/>
      <c r="K99" s="1375"/>
      <c r="L99" s="1375"/>
      <c r="M99" s="1385"/>
    </row>
    <row r="100" spans="1:13" ht="15.6">
      <c r="A100" s="1386"/>
      <c r="B100" s="742"/>
      <c r="C100" s="1375"/>
      <c r="D100" s="1375"/>
      <c r="E100" s="750"/>
      <c r="F100" s="1390"/>
      <c r="G100" s="1390"/>
      <c r="H100" s="1390"/>
      <c r="I100" s="1390"/>
      <c r="J100" s="1375"/>
      <c r="K100" s="1375"/>
      <c r="L100" s="1375"/>
      <c r="M100" s="1385"/>
    </row>
    <row r="101" spans="1:13" ht="15.6">
      <c r="A101" s="754">
        <v>10</v>
      </c>
      <c r="B101" s="1362" t="s">
        <v>926</v>
      </c>
      <c r="C101" s="1362"/>
      <c r="D101" s="1362"/>
      <c r="E101" s="1362"/>
      <c r="F101" s="1362"/>
      <c r="G101" s="1362"/>
      <c r="H101" s="1362"/>
      <c r="I101" s="1362"/>
      <c r="J101" s="1362"/>
      <c r="K101" s="1362"/>
      <c r="L101" s="1362"/>
      <c r="M101" s="1363"/>
    </row>
    <row r="102" spans="1:13" ht="15.6">
      <c r="A102" s="1389"/>
      <c r="B102" s="1362" t="s">
        <v>927</v>
      </c>
      <c r="C102" s="1362"/>
      <c r="D102" s="1362"/>
      <c r="E102" s="1362"/>
      <c r="F102" s="1362"/>
      <c r="G102" s="1362"/>
      <c r="H102" s="1362"/>
      <c r="I102" s="1362"/>
      <c r="J102" s="1362"/>
      <c r="K102" s="1362"/>
      <c r="L102" s="1362"/>
      <c r="M102" s="1363"/>
    </row>
    <row r="103" spans="1:13" ht="15.6">
      <c r="A103" s="1389"/>
      <c r="B103" s="1362" t="s">
        <v>928</v>
      </c>
      <c r="C103" s="1362"/>
      <c r="D103" s="1362"/>
      <c r="E103" s="1362"/>
      <c r="F103" s="1362"/>
      <c r="G103" s="1362"/>
      <c r="H103" s="1362"/>
      <c r="I103" s="1362"/>
      <c r="J103" s="1362"/>
      <c r="K103" s="1362"/>
      <c r="L103" s="1362"/>
      <c r="M103" s="1363"/>
    </row>
    <row r="104" spans="1:13" ht="15.6">
      <c r="A104" s="1389"/>
      <c r="B104" s="1362" t="s">
        <v>929</v>
      </c>
      <c r="C104" s="1362"/>
      <c r="D104" s="1362"/>
      <c r="E104" s="1362"/>
      <c r="F104" s="1362"/>
      <c r="G104" s="1362"/>
      <c r="H104" s="1362"/>
      <c r="I104" s="1362"/>
      <c r="J104" s="1362"/>
      <c r="K104" s="1362"/>
      <c r="L104" s="1362"/>
      <c r="M104" s="1363"/>
    </row>
    <row r="105" spans="1:13" ht="15.6">
      <c r="A105" s="1389"/>
      <c r="B105" s="1362" t="s">
        <v>930</v>
      </c>
      <c r="C105" s="1362"/>
      <c r="D105" s="1362"/>
      <c r="E105" s="1362"/>
      <c r="F105" s="1362"/>
      <c r="G105" s="1362"/>
      <c r="H105" s="1362"/>
      <c r="I105" s="1362"/>
      <c r="J105" s="1362"/>
      <c r="K105" s="1362"/>
      <c r="L105" s="1362"/>
      <c r="M105" s="1363"/>
    </row>
    <row r="106" spans="1:13" ht="15.6">
      <c r="A106" s="1389"/>
      <c r="B106" s="1362" t="s">
        <v>931</v>
      </c>
      <c r="C106" s="1362"/>
      <c r="D106" s="1362"/>
      <c r="E106" s="1362"/>
      <c r="F106" s="1362"/>
      <c r="G106" s="1362"/>
      <c r="H106" s="1362"/>
      <c r="I106" s="1362"/>
      <c r="J106" s="1362"/>
      <c r="K106" s="1362"/>
      <c r="L106" s="1362"/>
      <c r="M106" s="1363"/>
    </row>
    <row r="107" spans="1:13" ht="15.6">
      <c r="A107" s="1389"/>
      <c r="B107" s="1362" t="s">
        <v>932</v>
      </c>
      <c r="C107" s="1362"/>
      <c r="D107" s="1362"/>
      <c r="E107" s="1362"/>
      <c r="F107" s="1362"/>
      <c r="G107" s="1362"/>
      <c r="H107" s="1362"/>
      <c r="I107" s="1362"/>
      <c r="J107" s="1362"/>
      <c r="K107" s="1362"/>
      <c r="L107" s="1362"/>
      <c r="M107" s="1363"/>
    </row>
    <row r="108" spans="1:13" ht="15.6">
      <c r="A108" s="1364">
        <v>11</v>
      </c>
      <c r="B108" s="1362" t="s">
        <v>933</v>
      </c>
      <c r="C108" s="1362"/>
      <c r="D108" s="1362"/>
      <c r="E108" s="1362"/>
      <c r="F108" s="1362"/>
      <c r="G108" s="1362"/>
      <c r="H108" s="1362"/>
      <c r="I108" s="1362"/>
      <c r="J108" s="1362"/>
      <c r="K108" s="1362"/>
      <c r="L108" s="1362"/>
      <c r="M108" s="1363"/>
    </row>
    <row r="109" spans="1:13" ht="15.6">
      <c r="A109" s="1386"/>
      <c r="B109" s="1362" t="s">
        <v>934</v>
      </c>
      <c r="C109" s="1362"/>
      <c r="D109" s="1362"/>
      <c r="E109" s="1362"/>
      <c r="F109" s="1362"/>
      <c r="G109" s="1362"/>
      <c r="H109" s="1362"/>
      <c r="I109" s="1362"/>
      <c r="J109" s="1362"/>
      <c r="K109" s="1362"/>
      <c r="L109" s="1362"/>
      <c r="M109" s="1363"/>
    </row>
    <row r="110" spans="1:13" ht="93.6">
      <c r="A110" s="760" t="s">
        <v>935</v>
      </c>
      <c r="B110" s="749" t="s">
        <v>936</v>
      </c>
      <c r="C110" s="749" t="s">
        <v>937</v>
      </c>
      <c r="D110" s="1387" t="s">
        <v>938</v>
      </c>
      <c r="E110" s="1388"/>
      <c r="F110" s="1381" t="s">
        <v>939</v>
      </c>
      <c r="G110" s="1381"/>
      <c r="H110" s="749" t="s">
        <v>252</v>
      </c>
      <c r="I110" s="749" t="s">
        <v>253</v>
      </c>
      <c r="J110" s="1381" t="s">
        <v>940</v>
      </c>
      <c r="K110" s="1381"/>
      <c r="L110" s="1381" t="s">
        <v>941</v>
      </c>
      <c r="M110" s="1382"/>
    </row>
    <row r="111" spans="1:13" ht="15.6">
      <c r="A111" s="754">
        <v>1</v>
      </c>
      <c r="B111" s="741">
        <v>2</v>
      </c>
      <c r="C111" s="741">
        <v>3</v>
      </c>
      <c r="D111" s="1376">
        <v>4</v>
      </c>
      <c r="E111" s="1376"/>
      <c r="F111" s="1376">
        <v>5</v>
      </c>
      <c r="G111" s="1376"/>
      <c r="H111" s="741">
        <v>6</v>
      </c>
      <c r="I111" s="741">
        <v>7</v>
      </c>
      <c r="J111" s="1376">
        <v>8</v>
      </c>
      <c r="K111" s="1376"/>
      <c r="L111" s="1376">
        <v>9</v>
      </c>
      <c r="M111" s="1377"/>
    </row>
    <row r="112" spans="1:13" ht="15.6">
      <c r="A112" s="754"/>
      <c r="B112" s="741"/>
      <c r="C112" s="741"/>
      <c r="D112" s="1375"/>
      <c r="E112" s="1375"/>
      <c r="F112" s="1375"/>
      <c r="G112" s="1375"/>
      <c r="H112" s="741"/>
      <c r="I112" s="741"/>
      <c r="J112" s="1375"/>
      <c r="K112" s="1375"/>
      <c r="L112" s="1375"/>
      <c r="M112" s="1385"/>
    </row>
    <row r="113" spans="1:13" ht="15.6">
      <c r="A113" s="754"/>
      <c r="B113" s="741"/>
      <c r="C113" s="741"/>
      <c r="D113" s="1375"/>
      <c r="E113" s="1375"/>
      <c r="F113" s="1375"/>
      <c r="G113" s="1375"/>
      <c r="H113" s="741"/>
      <c r="I113" s="741"/>
      <c r="J113" s="1375"/>
      <c r="K113" s="1375"/>
      <c r="L113" s="1375"/>
      <c r="M113" s="1385"/>
    </row>
    <row r="114" spans="1:13" ht="15.6">
      <c r="A114" s="754"/>
      <c r="B114" s="741"/>
      <c r="C114" s="741"/>
      <c r="D114" s="1375"/>
      <c r="E114" s="1375"/>
      <c r="F114" s="1375"/>
      <c r="G114" s="1375"/>
      <c r="H114" s="741"/>
      <c r="I114" s="741"/>
      <c r="J114" s="1375"/>
      <c r="K114" s="1375"/>
      <c r="L114" s="1375"/>
      <c r="M114" s="1385"/>
    </row>
    <row r="115" spans="1:13" ht="15.6">
      <c r="A115" s="754"/>
      <c r="B115" s="741"/>
      <c r="C115" s="741"/>
      <c r="D115" s="1375"/>
      <c r="E115" s="1375"/>
      <c r="F115" s="1375"/>
      <c r="G115" s="1375"/>
      <c r="H115" s="741"/>
      <c r="I115" s="741"/>
      <c r="J115" s="1375"/>
      <c r="K115" s="1375"/>
      <c r="L115" s="1375"/>
      <c r="M115" s="1385"/>
    </row>
    <row r="116" spans="1:13" ht="15.6">
      <c r="A116" s="754"/>
      <c r="B116" s="742"/>
      <c r="C116" s="742"/>
      <c r="D116" s="1375"/>
      <c r="E116" s="1375"/>
      <c r="F116" s="1375"/>
      <c r="G116" s="1375"/>
      <c r="H116" s="742"/>
      <c r="I116" s="742"/>
      <c r="J116" s="1375"/>
      <c r="K116" s="1375"/>
      <c r="L116" s="1375"/>
      <c r="M116" s="1385"/>
    </row>
    <row r="117" spans="1:13" ht="15.6">
      <c r="A117" s="754">
        <v>12</v>
      </c>
      <c r="B117" s="1366" t="s">
        <v>942</v>
      </c>
      <c r="C117" s="1366"/>
      <c r="D117" s="1366"/>
      <c r="E117" s="1366"/>
      <c r="F117" s="1366"/>
      <c r="G117" s="1366"/>
      <c r="H117" s="1366"/>
      <c r="I117" s="1366"/>
      <c r="J117" s="1366"/>
      <c r="K117" s="1366"/>
      <c r="L117" s="1366"/>
      <c r="M117" s="1384"/>
    </row>
    <row r="118" spans="1:13" ht="62.4">
      <c r="A118" s="760" t="s">
        <v>943</v>
      </c>
      <c r="B118" s="749" t="s">
        <v>944</v>
      </c>
      <c r="C118" s="1381" t="s">
        <v>945</v>
      </c>
      <c r="D118" s="1381"/>
      <c r="E118" s="1381" t="s">
        <v>946</v>
      </c>
      <c r="F118" s="1381"/>
      <c r="G118" s="1381" t="s">
        <v>947</v>
      </c>
      <c r="H118" s="1381"/>
      <c r="I118" s="1381" t="s">
        <v>948</v>
      </c>
      <c r="J118" s="1381"/>
      <c r="K118" s="749" t="s">
        <v>949</v>
      </c>
      <c r="L118" s="749" t="s">
        <v>336</v>
      </c>
      <c r="M118" s="761" t="s">
        <v>950</v>
      </c>
    </row>
    <row r="119" spans="1:13" ht="15.6">
      <c r="A119" s="754">
        <v>1</v>
      </c>
      <c r="B119" s="741">
        <v>2</v>
      </c>
      <c r="C119" s="1376">
        <v>3</v>
      </c>
      <c r="D119" s="1376"/>
      <c r="E119" s="1376">
        <v>4</v>
      </c>
      <c r="F119" s="1376"/>
      <c r="G119" s="1376">
        <v>5</v>
      </c>
      <c r="H119" s="1376"/>
      <c r="I119" s="1376">
        <v>6</v>
      </c>
      <c r="J119" s="1376"/>
      <c r="K119" s="741">
        <v>7</v>
      </c>
      <c r="L119" s="741">
        <v>8</v>
      </c>
      <c r="M119" s="758">
        <v>9</v>
      </c>
    </row>
    <row r="120" spans="1:13" ht="15.6">
      <c r="A120" s="754"/>
      <c r="B120" s="741"/>
      <c r="C120" s="1376"/>
      <c r="D120" s="1376"/>
      <c r="E120" s="1376"/>
      <c r="F120" s="1376"/>
      <c r="G120" s="1376"/>
      <c r="H120" s="1376"/>
      <c r="I120" s="1376"/>
      <c r="J120" s="1376"/>
      <c r="K120" s="741"/>
      <c r="L120" s="741"/>
      <c r="M120" s="758"/>
    </row>
    <row r="121" spans="1:13" ht="15.6">
      <c r="A121" s="754"/>
      <c r="B121" s="741"/>
      <c r="C121" s="1376"/>
      <c r="D121" s="1376"/>
      <c r="E121" s="1376"/>
      <c r="F121" s="1376"/>
      <c r="G121" s="1376"/>
      <c r="H121" s="1376"/>
      <c r="I121" s="1376"/>
      <c r="J121" s="1376"/>
      <c r="K121" s="741"/>
      <c r="L121" s="741"/>
      <c r="M121" s="758"/>
    </row>
    <row r="122" spans="1:13" ht="15.6">
      <c r="A122" s="755"/>
      <c r="B122" s="742"/>
      <c r="C122" s="1376"/>
      <c r="D122" s="1376"/>
      <c r="E122" s="1376"/>
      <c r="F122" s="1376"/>
      <c r="G122" s="1376"/>
      <c r="H122" s="1376"/>
      <c r="I122" s="1376"/>
      <c r="J122" s="1376"/>
      <c r="K122" s="742"/>
      <c r="L122" s="742"/>
      <c r="M122" s="759"/>
    </row>
    <row r="123" spans="1:13" ht="15.6">
      <c r="A123" s="757">
        <v>13</v>
      </c>
      <c r="B123" s="1374" t="s">
        <v>951</v>
      </c>
      <c r="C123" s="1362"/>
      <c r="D123" s="1362"/>
      <c r="E123" s="1362"/>
      <c r="F123" s="1362"/>
      <c r="G123" s="1362"/>
      <c r="H123" s="1362"/>
      <c r="I123" s="1362"/>
      <c r="J123" s="1362"/>
      <c r="K123" s="1362"/>
      <c r="L123" s="1362"/>
      <c r="M123" s="1363"/>
    </row>
    <row r="124" spans="1:13" ht="15.6">
      <c r="A124" s="1378"/>
      <c r="B124" s="1381" t="s">
        <v>952</v>
      </c>
      <c r="C124" s="1381"/>
      <c r="D124" s="1381" t="s">
        <v>953</v>
      </c>
      <c r="E124" s="1381"/>
      <c r="F124" s="1381"/>
      <c r="G124" s="1381"/>
      <c r="H124" s="1381"/>
      <c r="I124" s="1381"/>
      <c r="J124" s="1381"/>
      <c r="K124" s="1381"/>
      <c r="L124" s="1381"/>
      <c r="M124" s="1382"/>
    </row>
    <row r="125" spans="1:13" ht="15.6">
      <c r="A125" s="1379"/>
      <c r="B125" s="1381"/>
      <c r="C125" s="1381"/>
      <c r="D125" s="1381" t="s">
        <v>954</v>
      </c>
      <c r="E125" s="1381"/>
      <c r="F125" s="1381" t="s">
        <v>955</v>
      </c>
      <c r="G125" s="1381"/>
      <c r="H125" s="1381" t="s">
        <v>956</v>
      </c>
      <c r="I125" s="1381"/>
      <c r="J125" s="1381"/>
      <c r="K125" s="1381" t="s">
        <v>957</v>
      </c>
      <c r="L125" s="1381"/>
      <c r="M125" s="1382"/>
    </row>
    <row r="126" spans="1:13" ht="15.6">
      <c r="A126" s="1379"/>
      <c r="B126" s="1375">
        <v>1</v>
      </c>
      <c r="C126" s="1375"/>
      <c r="D126" s="1375">
        <v>2</v>
      </c>
      <c r="E126" s="1375"/>
      <c r="F126" s="1375">
        <v>3</v>
      </c>
      <c r="G126" s="1375"/>
      <c r="H126" s="1367">
        <v>4</v>
      </c>
      <c r="I126" s="1368"/>
      <c r="J126" s="1383"/>
      <c r="K126" s="1376">
        <v>5</v>
      </c>
      <c r="L126" s="1376"/>
      <c r="M126" s="1377"/>
    </row>
    <row r="127" spans="1:13" ht="15.6">
      <c r="A127" s="1379"/>
      <c r="B127" s="1375"/>
      <c r="C127" s="1375"/>
      <c r="D127" s="1375"/>
      <c r="E127" s="1375"/>
      <c r="F127" s="1375"/>
      <c r="G127" s="1375"/>
      <c r="H127" s="1375"/>
      <c r="I127" s="1375"/>
      <c r="J127" s="1375"/>
      <c r="K127" s="1376"/>
      <c r="L127" s="1376"/>
      <c r="M127" s="1377"/>
    </row>
    <row r="128" spans="1:13" ht="15.6">
      <c r="A128" s="1380"/>
      <c r="B128" s="1375"/>
      <c r="C128" s="1375"/>
      <c r="D128" s="1375"/>
      <c r="E128" s="1375"/>
      <c r="F128" s="1375"/>
      <c r="G128" s="1375"/>
      <c r="H128" s="1375"/>
      <c r="I128" s="1375"/>
      <c r="J128" s="1375"/>
      <c r="K128" s="1376"/>
      <c r="L128" s="1376"/>
      <c r="M128" s="1377"/>
    </row>
    <row r="129" spans="1:13" ht="15.6">
      <c r="A129" s="754">
        <v>14</v>
      </c>
      <c r="B129" s="1362" t="s">
        <v>958</v>
      </c>
      <c r="C129" s="1362"/>
      <c r="D129" s="1362"/>
      <c r="E129" s="1362"/>
      <c r="F129" s="1362"/>
      <c r="G129" s="1362"/>
      <c r="H129" s="1362"/>
      <c r="I129" s="1362"/>
      <c r="J129" s="1362"/>
      <c r="K129" s="1362"/>
      <c r="L129" s="1362"/>
      <c r="M129" s="1363"/>
    </row>
    <row r="130" spans="1:13" ht="15.6">
      <c r="A130" s="1364" t="s">
        <v>959</v>
      </c>
      <c r="B130" s="1362" t="s">
        <v>960</v>
      </c>
      <c r="C130" s="1362"/>
      <c r="D130" s="1362"/>
      <c r="E130" s="1362"/>
      <c r="F130" s="1362"/>
      <c r="G130" s="1362"/>
      <c r="H130" s="1362"/>
      <c r="I130" s="1362"/>
      <c r="J130" s="1362"/>
      <c r="K130" s="1362"/>
      <c r="L130" s="1362"/>
      <c r="M130" s="1363"/>
    </row>
    <row r="131" spans="1:13" ht="15.6">
      <c r="A131" s="1365"/>
      <c r="B131" s="1366" t="s">
        <v>961</v>
      </c>
      <c r="C131" s="1366"/>
      <c r="D131" s="1366"/>
      <c r="E131" s="1366"/>
      <c r="F131" s="1366"/>
      <c r="G131" s="1367"/>
      <c r="H131" s="1368"/>
      <c r="I131" s="1368"/>
      <c r="J131" s="1368"/>
      <c r="K131" s="1368"/>
      <c r="L131" s="1368"/>
      <c r="M131" s="1369"/>
    </row>
    <row r="132" spans="1:13" ht="15.6">
      <c r="A132" s="1365"/>
      <c r="B132" s="1362" t="s">
        <v>962</v>
      </c>
      <c r="C132" s="1362"/>
      <c r="D132" s="1362"/>
      <c r="E132" s="1362"/>
      <c r="F132" s="1362"/>
      <c r="G132" s="1367"/>
      <c r="H132" s="1368"/>
      <c r="I132" s="1368"/>
      <c r="J132" s="1368"/>
      <c r="K132" s="1368"/>
      <c r="L132" s="1368"/>
      <c r="M132" s="1369"/>
    </row>
    <row r="133" spans="1:13" ht="15.6">
      <c r="A133" s="1365"/>
      <c r="B133" s="1370" t="s">
        <v>963</v>
      </c>
      <c r="C133" s="1370"/>
      <c r="D133" s="1370"/>
      <c r="E133" s="1370"/>
      <c r="F133" s="1370"/>
      <c r="G133" s="1371"/>
      <c r="H133" s="1372"/>
      <c r="I133" s="1372"/>
      <c r="J133" s="1372"/>
      <c r="K133" s="1372"/>
      <c r="L133" s="1372"/>
      <c r="M133" s="1373"/>
    </row>
    <row r="134" spans="1:13" ht="15.6">
      <c r="A134" s="1341" t="s">
        <v>964</v>
      </c>
      <c r="B134" s="1339" t="s">
        <v>965</v>
      </c>
      <c r="C134" s="1339"/>
      <c r="D134" s="1339"/>
      <c r="E134" s="1339"/>
      <c r="F134" s="1339"/>
      <c r="G134" s="1339"/>
      <c r="H134" s="1339"/>
      <c r="I134" s="1339"/>
      <c r="J134" s="1339"/>
      <c r="K134" s="1339"/>
      <c r="L134" s="1339"/>
      <c r="M134" s="1340"/>
    </row>
    <row r="135" spans="1:13" ht="15.6">
      <c r="A135" s="1341"/>
      <c r="B135" s="1353" t="s">
        <v>966</v>
      </c>
      <c r="C135" s="1353"/>
      <c r="D135" s="1353"/>
      <c r="E135" s="1353"/>
      <c r="F135" s="1353"/>
      <c r="G135" s="1346"/>
      <c r="H135" s="1346"/>
      <c r="I135" s="1346"/>
      <c r="J135" s="1346"/>
      <c r="K135" s="1346"/>
      <c r="L135" s="1346"/>
      <c r="M135" s="1361"/>
    </row>
    <row r="136" spans="1:13" ht="15.6">
      <c r="A136" s="1341"/>
      <c r="B136" s="1339" t="s">
        <v>967</v>
      </c>
      <c r="C136" s="1339"/>
      <c r="D136" s="1339"/>
      <c r="E136" s="1339"/>
      <c r="F136" s="1339"/>
      <c r="G136" s="1346"/>
      <c r="H136" s="1346"/>
      <c r="I136" s="1346"/>
      <c r="J136" s="1346"/>
      <c r="K136" s="1346"/>
      <c r="L136" s="1346"/>
      <c r="M136" s="1361"/>
    </row>
    <row r="137" spans="1:13" ht="15.6">
      <c r="A137" s="1341"/>
      <c r="B137" s="1353" t="s">
        <v>968</v>
      </c>
      <c r="C137" s="1353"/>
      <c r="D137" s="1353"/>
      <c r="E137" s="1353"/>
      <c r="F137" s="1353"/>
      <c r="G137" s="1346"/>
      <c r="H137" s="1346"/>
      <c r="I137" s="1346"/>
      <c r="J137" s="1346"/>
      <c r="K137" s="1346"/>
      <c r="L137" s="1346"/>
      <c r="M137" s="1361"/>
    </row>
    <row r="138" spans="1:13" ht="15.6">
      <c r="A138" s="1341"/>
      <c r="B138" s="1353" t="s">
        <v>969</v>
      </c>
      <c r="C138" s="1353"/>
      <c r="D138" s="1353"/>
      <c r="E138" s="1353"/>
      <c r="F138" s="1353"/>
      <c r="G138" s="1346"/>
      <c r="H138" s="1346"/>
      <c r="I138" s="1346"/>
      <c r="J138" s="1346"/>
      <c r="K138" s="1346"/>
      <c r="L138" s="1346"/>
      <c r="M138" s="1361"/>
    </row>
    <row r="139" spans="1:13" ht="15.6">
      <c r="A139" s="1341"/>
      <c r="B139" s="1339" t="s">
        <v>970</v>
      </c>
      <c r="C139" s="1339"/>
      <c r="D139" s="1339"/>
      <c r="E139" s="1339"/>
      <c r="F139" s="1339"/>
      <c r="G139" s="1346"/>
      <c r="H139" s="1346"/>
      <c r="I139" s="1346"/>
      <c r="J139" s="1346"/>
      <c r="K139" s="1346"/>
      <c r="L139" s="1346"/>
      <c r="M139" s="1361"/>
    </row>
    <row r="140" spans="1:13" ht="15.6">
      <c r="A140" s="1341"/>
      <c r="B140" s="1353" t="s">
        <v>971</v>
      </c>
      <c r="C140" s="1353"/>
      <c r="D140" s="1353"/>
      <c r="E140" s="1353"/>
      <c r="F140" s="1353"/>
      <c r="G140" s="1346"/>
      <c r="H140" s="1346"/>
      <c r="I140" s="1346"/>
      <c r="J140" s="1346"/>
      <c r="K140" s="1346"/>
      <c r="L140" s="1346"/>
      <c r="M140" s="1361"/>
    </row>
    <row r="141" spans="1:13" ht="15.6">
      <c r="A141" s="1341"/>
      <c r="B141" s="1339" t="s">
        <v>972</v>
      </c>
      <c r="C141" s="1339"/>
      <c r="D141" s="1339"/>
      <c r="E141" s="1339"/>
      <c r="F141" s="1339"/>
      <c r="G141" s="1346"/>
      <c r="H141" s="1346"/>
      <c r="I141" s="1346"/>
      <c r="J141" s="1346"/>
      <c r="K141" s="1346"/>
      <c r="L141" s="1346"/>
      <c r="M141" s="1361"/>
    </row>
    <row r="142" spans="1:13" ht="15.6">
      <c r="A142" s="1341"/>
      <c r="B142" s="1357" t="s">
        <v>973</v>
      </c>
      <c r="C142" s="1357"/>
      <c r="D142" s="1357"/>
      <c r="E142" s="1357"/>
      <c r="F142" s="1357"/>
      <c r="G142" s="1346"/>
      <c r="H142" s="1346"/>
      <c r="I142" s="1346"/>
      <c r="J142" s="1346"/>
      <c r="K142" s="1346"/>
      <c r="L142" s="1346"/>
      <c r="M142" s="1361"/>
    </row>
    <row r="143" spans="1:13" ht="15.6">
      <c r="A143" s="1341"/>
      <c r="B143" s="1339" t="s">
        <v>974</v>
      </c>
      <c r="C143" s="1339"/>
      <c r="D143" s="1339"/>
      <c r="E143" s="1339"/>
      <c r="F143" s="1339"/>
      <c r="G143" s="1346"/>
      <c r="H143" s="1346"/>
      <c r="I143" s="1346"/>
      <c r="J143" s="1346"/>
      <c r="K143" s="1346"/>
      <c r="L143" s="1346"/>
      <c r="M143" s="1361"/>
    </row>
    <row r="144" spans="1:13" ht="15.6">
      <c r="A144" s="1341"/>
      <c r="B144" s="1353" t="s">
        <v>975</v>
      </c>
      <c r="C144" s="1353"/>
      <c r="D144" s="1353"/>
      <c r="E144" s="1353"/>
      <c r="F144" s="1353"/>
      <c r="G144" s="1346"/>
      <c r="H144" s="1346"/>
      <c r="I144" s="1346"/>
      <c r="J144" s="1346"/>
      <c r="K144" s="1346"/>
      <c r="L144" s="1346"/>
      <c r="M144" s="1361"/>
    </row>
    <row r="145" spans="1:13" ht="15.6">
      <c r="A145" s="1341"/>
      <c r="B145" s="1353" t="s">
        <v>976</v>
      </c>
      <c r="C145" s="1353"/>
      <c r="D145" s="1353"/>
      <c r="E145" s="1353"/>
      <c r="F145" s="1353"/>
      <c r="G145" s="1346"/>
      <c r="H145" s="1346"/>
      <c r="I145" s="1346"/>
      <c r="J145" s="1346"/>
      <c r="K145" s="1346"/>
      <c r="L145" s="1346"/>
      <c r="M145" s="1361"/>
    </row>
    <row r="146" spans="1:13" ht="15.6">
      <c r="A146" s="756">
        <v>15</v>
      </c>
      <c r="B146" s="1339" t="s">
        <v>977</v>
      </c>
      <c r="C146" s="1339"/>
      <c r="D146" s="1339"/>
      <c r="E146" s="1339"/>
      <c r="F146" s="1339"/>
      <c r="G146" s="1339"/>
      <c r="H146" s="1339"/>
      <c r="I146" s="1339"/>
      <c r="J146" s="1339"/>
      <c r="K146" s="1339"/>
      <c r="L146" s="1339"/>
      <c r="M146" s="1340"/>
    </row>
    <row r="147" spans="1:13" ht="15.6">
      <c r="A147" s="756" t="s">
        <v>959</v>
      </c>
      <c r="B147" s="1339" t="s">
        <v>978</v>
      </c>
      <c r="C147" s="1339"/>
      <c r="D147" s="1339"/>
      <c r="E147" s="1339"/>
      <c r="F147" s="1339"/>
      <c r="G147" s="1339"/>
      <c r="H147" s="1339"/>
      <c r="I147" s="1339"/>
      <c r="J147" s="1339"/>
      <c r="K147" s="1339"/>
      <c r="L147" s="1339"/>
      <c r="M147" s="1340"/>
    </row>
    <row r="148" spans="1:13" ht="15.6">
      <c r="A148" s="1341" t="s">
        <v>964</v>
      </c>
      <c r="B148" s="1339" t="s">
        <v>979</v>
      </c>
      <c r="C148" s="1339"/>
      <c r="D148" s="1339"/>
      <c r="E148" s="1339"/>
      <c r="F148" s="1339"/>
      <c r="G148" s="1339"/>
      <c r="H148" s="1339"/>
      <c r="I148" s="1339"/>
      <c r="J148" s="1339"/>
      <c r="K148" s="1339"/>
      <c r="L148" s="1339"/>
      <c r="M148" s="1340"/>
    </row>
    <row r="149" spans="1:13" ht="15.6">
      <c r="A149" s="1341"/>
      <c r="B149" s="1339" t="s">
        <v>980</v>
      </c>
      <c r="C149" s="1339"/>
      <c r="D149" s="1339"/>
      <c r="E149" s="1339"/>
      <c r="F149" s="1339"/>
      <c r="G149" s="1339"/>
      <c r="H149" s="1339"/>
      <c r="I149" s="1339"/>
      <c r="J149" s="1339"/>
      <c r="K149" s="1339"/>
      <c r="L149" s="1339"/>
      <c r="M149" s="1340"/>
    </row>
    <row r="150" spans="1:13" ht="15.6">
      <c r="A150" s="1341" t="s">
        <v>830</v>
      </c>
      <c r="B150" s="1353" t="s">
        <v>981</v>
      </c>
      <c r="C150" s="1353"/>
      <c r="D150" s="1353"/>
      <c r="E150" s="1353"/>
      <c r="F150" s="1353"/>
      <c r="G150" s="1347"/>
      <c r="H150" s="968"/>
      <c r="I150" s="968"/>
      <c r="J150" s="968"/>
      <c r="K150" s="968"/>
      <c r="L150" s="968"/>
      <c r="M150" s="969"/>
    </row>
    <row r="151" spans="1:13" ht="15.6">
      <c r="A151" s="1341"/>
      <c r="B151" s="1353" t="s">
        <v>982</v>
      </c>
      <c r="C151" s="1353"/>
      <c r="D151" s="1353"/>
      <c r="E151" s="1353"/>
      <c r="F151" s="1353"/>
      <c r="G151" s="1347"/>
      <c r="H151" s="968"/>
      <c r="I151" s="968"/>
      <c r="J151" s="968"/>
      <c r="K151" s="968"/>
      <c r="L151" s="968"/>
      <c r="M151" s="969"/>
    </row>
    <row r="152" spans="1:13" ht="15.6">
      <c r="A152" s="1341"/>
      <c r="B152" s="1353" t="s">
        <v>983</v>
      </c>
      <c r="C152" s="1353"/>
      <c r="D152" s="1353"/>
      <c r="E152" s="1353"/>
      <c r="F152" s="1353"/>
      <c r="G152" s="1347"/>
      <c r="H152" s="968"/>
      <c r="I152" s="968"/>
      <c r="J152" s="968"/>
      <c r="K152" s="968"/>
      <c r="L152" s="968"/>
      <c r="M152" s="969"/>
    </row>
    <row r="153" spans="1:13" ht="15.6">
      <c r="A153" s="1341"/>
      <c r="B153" s="1339" t="s">
        <v>984</v>
      </c>
      <c r="C153" s="1339"/>
      <c r="D153" s="1339"/>
      <c r="E153" s="1339"/>
      <c r="F153" s="1339"/>
      <c r="G153" s="1339"/>
      <c r="H153" s="1339"/>
      <c r="I153" s="1339"/>
      <c r="J153" s="1339"/>
      <c r="K153" s="1339"/>
      <c r="L153" s="1339"/>
      <c r="M153" s="1340"/>
    </row>
    <row r="154" spans="1:13" ht="15.6">
      <c r="A154" s="1341" t="s">
        <v>985</v>
      </c>
      <c r="B154" s="1353" t="s">
        <v>986</v>
      </c>
      <c r="C154" s="1353"/>
      <c r="D154" s="1353"/>
      <c r="E154" s="1353"/>
      <c r="F154" s="1353"/>
      <c r="G154" s="1347"/>
      <c r="H154" s="968"/>
      <c r="I154" s="968"/>
      <c r="J154" s="968"/>
      <c r="K154" s="968"/>
      <c r="L154" s="968"/>
      <c r="M154" s="969"/>
    </row>
    <row r="155" spans="1:13" ht="15.6">
      <c r="A155" s="1341"/>
      <c r="B155" s="1339" t="s">
        <v>982</v>
      </c>
      <c r="C155" s="1339"/>
      <c r="D155" s="1339"/>
      <c r="E155" s="1339"/>
      <c r="F155" s="1339"/>
      <c r="G155" s="1347"/>
      <c r="H155" s="968"/>
      <c r="I155" s="968"/>
      <c r="J155" s="968"/>
      <c r="K155" s="968"/>
      <c r="L155" s="968"/>
      <c r="M155" s="969"/>
    </row>
    <row r="156" spans="1:13" ht="15.6">
      <c r="A156" s="1341"/>
      <c r="B156" s="1353" t="s">
        <v>987</v>
      </c>
      <c r="C156" s="1353"/>
      <c r="D156" s="1353"/>
      <c r="E156" s="1353"/>
      <c r="F156" s="1353"/>
      <c r="G156" s="1347"/>
      <c r="H156" s="968"/>
      <c r="I156" s="968"/>
      <c r="J156" s="968"/>
      <c r="K156" s="968"/>
      <c r="L156" s="968"/>
      <c r="M156" s="969"/>
    </row>
    <row r="157" spans="1:13" ht="15.6">
      <c r="A157" s="1341"/>
      <c r="B157" s="1339" t="s">
        <v>988</v>
      </c>
      <c r="C157" s="1339"/>
      <c r="D157" s="1339"/>
      <c r="E157" s="1339"/>
      <c r="F157" s="1339"/>
      <c r="G157" s="1339"/>
      <c r="H157" s="1339"/>
      <c r="I157" s="1339"/>
      <c r="J157" s="1339"/>
      <c r="K157" s="1339"/>
      <c r="L157" s="1339"/>
      <c r="M157" s="1340"/>
    </row>
    <row r="158" spans="1:13" ht="15.6">
      <c r="A158" s="1341" t="s">
        <v>989</v>
      </c>
      <c r="B158" s="1353" t="s">
        <v>990</v>
      </c>
      <c r="C158" s="1353"/>
      <c r="D158" s="1353"/>
      <c r="E158" s="1353"/>
      <c r="F158" s="1353"/>
      <c r="G158" s="1347"/>
      <c r="H158" s="968"/>
      <c r="I158" s="968"/>
      <c r="J158" s="968"/>
      <c r="K158" s="968"/>
      <c r="L158" s="968"/>
      <c r="M158" s="969"/>
    </row>
    <row r="159" spans="1:13" ht="15.6">
      <c r="A159" s="1341"/>
      <c r="B159" s="1339" t="s">
        <v>982</v>
      </c>
      <c r="C159" s="1339"/>
      <c r="D159" s="1339"/>
      <c r="E159" s="1339"/>
      <c r="F159" s="1339"/>
      <c r="G159" s="1347"/>
      <c r="H159" s="968"/>
      <c r="I159" s="968"/>
      <c r="J159" s="968"/>
      <c r="K159" s="968"/>
      <c r="L159" s="968"/>
      <c r="M159" s="969"/>
    </row>
    <row r="160" spans="1:13" ht="15.6">
      <c r="A160" s="1341"/>
      <c r="B160" s="1353" t="s">
        <v>987</v>
      </c>
      <c r="C160" s="1353"/>
      <c r="D160" s="1353"/>
      <c r="E160" s="1353"/>
      <c r="F160" s="1353"/>
      <c r="G160" s="1347"/>
      <c r="H160" s="968"/>
      <c r="I160" s="968"/>
      <c r="J160" s="968"/>
      <c r="K160" s="968"/>
      <c r="L160" s="968"/>
      <c r="M160" s="969"/>
    </row>
    <row r="161" spans="1:13" ht="15.6">
      <c r="A161" s="1341"/>
      <c r="B161" s="1339" t="s">
        <v>991</v>
      </c>
      <c r="C161" s="1339"/>
      <c r="D161" s="1339"/>
      <c r="E161" s="1339"/>
      <c r="F161" s="1339"/>
      <c r="G161" s="1339"/>
      <c r="H161" s="1339"/>
      <c r="I161" s="1339"/>
      <c r="J161" s="1339"/>
      <c r="K161" s="1339"/>
      <c r="L161" s="1339"/>
      <c r="M161" s="1340"/>
    </row>
    <row r="162" spans="1:13" ht="15.6">
      <c r="A162" s="756" t="s">
        <v>992</v>
      </c>
      <c r="B162" s="1357" t="s">
        <v>993</v>
      </c>
      <c r="C162" s="1357"/>
      <c r="D162" s="1357"/>
      <c r="E162" s="1357"/>
      <c r="F162" s="1357"/>
      <c r="G162" s="1347"/>
      <c r="H162" s="968"/>
      <c r="I162" s="968"/>
      <c r="J162" s="968"/>
      <c r="K162" s="968"/>
      <c r="L162" s="968"/>
      <c r="M162" s="969"/>
    </row>
    <row r="163" spans="1:13" ht="15.6">
      <c r="A163" s="1341" t="s">
        <v>994</v>
      </c>
      <c r="B163" s="1339" t="s">
        <v>995</v>
      </c>
      <c r="C163" s="1339"/>
      <c r="D163" s="1339"/>
      <c r="E163" s="1339"/>
      <c r="F163" s="1339"/>
      <c r="G163" s="1339"/>
      <c r="H163" s="1339"/>
      <c r="I163" s="1339"/>
      <c r="J163" s="1339"/>
      <c r="K163" s="1339"/>
      <c r="L163" s="1339"/>
      <c r="M163" s="1340"/>
    </row>
    <row r="164" spans="1:13" ht="15.6">
      <c r="A164" s="1341"/>
      <c r="B164" s="1357" t="s">
        <v>996</v>
      </c>
      <c r="C164" s="1357"/>
      <c r="D164" s="1357"/>
      <c r="E164" s="1357"/>
      <c r="F164" s="1357"/>
      <c r="G164" s="1357"/>
      <c r="H164" s="1357"/>
      <c r="I164" s="1357"/>
      <c r="J164" s="1357"/>
      <c r="K164" s="1357"/>
      <c r="L164" s="1357"/>
      <c r="M164" s="1358"/>
    </row>
    <row r="165" spans="1:13" ht="15.6">
      <c r="A165" s="1341"/>
      <c r="B165" s="1359" t="s">
        <v>997</v>
      </c>
      <c r="C165" s="1359"/>
      <c r="D165" s="1359"/>
      <c r="E165" s="1359"/>
      <c r="F165" s="1343" t="s">
        <v>998</v>
      </c>
      <c r="G165" s="1343"/>
      <c r="H165" s="1343"/>
      <c r="I165" s="1343"/>
      <c r="J165" s="1359" t="s">
        <v>999</v>
      </c>
      <c r="K165" s="1359"/>
      <c r="L165" s="1359"/>
      <c r="M165" s="1360"/>
    </row>
    <row r="166" spans="1:13" ht="15.6">
      <c r="A166" s="1341"/>
      <c r="B166" s="1346">
        <v>1</v>
      </c>
      <c r="C166" s="1346"/>
      <c r="D166" s="1346"/>
      <c r="E166" s="1346"/>
      <c r="F166" s="1346">
        <v>2</v>
      </c>
      <c r="G166" s="1346"/>
      <c r="H166" s="1346"/>
      <c r="I166" s="1346"/>
      <c r="J166" s="1346">
        <v>3</v>
      </c>
      <c r="K166" s="1346"/>
      <c r="L166" s="1346"/>
      <c r="M166" s="1361"/>
    </row>
    <row r="167" spans="1:13" ht="15.6">
      <c r="A167" s="1341"/>
      <c r="B167" s="1346"/>
      <c r="C167" s="1346"/>
      <c r="D167" s="1346"/>
      <c r="E167" s="1346"/>
      <c r="F167" s="1346"/>
      <c r="G167" s="1346"/>
      <c r="H167" s="1346"/>
      <c r="I167" s="1346"/>
      <c r="J167" s="1346"/>
      <c r="K167" s="1346"/>
      <c r="L167" s="1346"/>
      <c r="M167" s="1361"/>
    </row>
    <row r="168" spans="1:13" ht="15.6">
      <c r="A168" s="1354" t="s">
        <v>1000</v>
      </c>
      <c r="B168" s="1339" t="s">
        <v>1001</v>
      </c>
      <c r="C168" s="1339"/>
      <c r="D168" s="1339"/>
      <c r="E168" s="1339"/>
      <c r="F168" s="1339"/>
      <c r="G168" s="1339"/>
      <c r="H168" s="1339"/>
      <c r="I168" s="1339"/>
      <c r="J168" s="1339"/>
      <c r="K168" s="1339"/>
      <c r="L168" s="1339"/>
      <c r="M168" s="1340"/>
    </row>
    <row r="169" spans="1:13" ht="15.6">
      <c r="A169" s="1355"/>
      <c r="B169" s="1353" t="s">
        <v>1002</v>
      </c>
      <c r="C169" s="1353"/>
      <c r="D169" s="1353"/>
      <c r="E169" s="1353"/>
      <c r="F169" s="1353"/>
      <c r="G169" s="1347"/>
      <c r="H169" s="968"/>
      <c r="I169" s="968"/>
      <c r="J169" s="968"/>
      <c r="K169" s="968"/>
      <c r="L169" s="968"/>
      <c r="M169" s="969"/>
    </row>
    <row r="170" spans="1:13" ht="15.6">
      <c r="A170" s="1356"/>
      <c r="B170" s="1353" t="s">
        <v>1003</v>
      </c>
      <c r="C170" s="1353"/>
      <c r="D170" s="1353"/>
      <c r="E170" s="1353"/>
      <c r="F170" s="1353"/>
      <c r="G170" s="1347"/>
      <c r="H170" s="968"/>
      <c r="I170" s="968"/>
      <c r="J170" s="968"/>
      <c r="K170" s="968"/>
      <c r="L170" s="968"/>
      <c r="M170" s="969"/>
    </row>
    <row r="171" spans="1:13" ht="15.6">
      <c r="A171" s="756">
        <v>16</v>
      </c>
      <c r="B171" s="1339" t="s">
        <v>1004</v>
      </c>
      <c r="C171" s="1339"/>
      <c r="D171" s="1339"/>
      <c r="E171" s="1339"/>
      <c r="F171" s="1339"/>
      <c r="G171" s="1339"/>
      <c r="H171" s="1339"/>
      <c r="I171" s="1339"/>
      <c r="J171" s="1339"/>
      <c r="K171" s="1339"/>
      <c r="L171" s="1339"/>
      <c r="M171" s="1340"/>
    </row>
    <row r="172" spans="1:13" ht="15.6">
      <c r="A172" s="1354">
        <v>1</v>
      </c>
      <c r="B172" s="1353" t="s">
        <v>1005</v>
      </c>
      <c r="C172" s="1353"/>
      <c r="D172" s="1353"/>
      <c r="E172" s="1353"/>
      <c r="F172" s="1353"/>
      <c r="G172" s="1347"/>
      <c r="H172" s="968"/>
      <c r="I172" s="968"/>
      <c r="J172" s="968"/>
      <c r="K172" s="968"/>
      <c r="L172" s="968"/>
      <c r="M172" s="969"/>
    </row>
    <row r="173" spans="1:13" ht="15.6">
      <c r="A173" s="1355"/>
      <c r="B173" s="728" t="s">
        <v>1006</v>
      </c>
      <c r="C173" s="728"/>
      <c r="D173" s="728"/>
      <c r="E173" s="728"/>
      <c r="F173" s="728"/>
      <c r="G173" s="1347"/>
      <c r="H173" s="968"/>
      <c r="I173" s="968"/>
      <c r="J173" s="968"/>
      <c r="K173" s="968"/>
      <c r="L173" s="968"/>
      <c r="M173" s="969"/>
    </row>
    <row r="174" spans="1:13" ht="15.6">
      <c r="A174" s="1355"/>
      <c r="B174" s="1339" t="s">
        <v>1007</v>
      </c>
      <c r="C174" s="1339"/>
      <c r="D174" s="1339"/>
      <c r="E174" s="1339"/>
      <c r="F174" s="1339"/>
      <c r="G174" s="1347"/>
      <c r="H174" s="968"/>
      <c r="I174" s="968"/>
      <c r="J174" s="968"/>
      <c r="K174" s="968"/>
      <c r="L174" s="968"/>
      <c r="M174" s="969"/>
    </row>
    <row r="175" spans="1:13" ht="15.6">
      <c r="A175" s="1355"/>
      <c r="B175" s="1353" t="s">
        <v>1008</v>
      </c>
      <c r="C175" s="1353"/>
      <c r="D175" s="1353"/>
      <c r="E175" s="1353"/>
      <c r="F175" s="1353"/>
      <c r="G175" s="1347"/>
      <c r="H175" s="968"/>
      <c r="I175" s="968"/>
      <c r="J175" s="968"/>
      <c r="K175" s="968"/>
      <c r="L175" s="968"/>
      <c r="M175" s="969"/>
    </row>
    <row r="176" spans="1:13" ht="15.6">
      <c r="A176" s="1355"/>
      <c r="B176" s="1353" t="s">
        <v>1009</v>
      </c>
      <c r="C176" s="1353"/>
      <c r="D176" s="1353"/>
      <c r="E176" s="1353"/>
      <c r="F176" s="1353"/>
      <c r="G176" s="1347"/>
      <c r="H176" s="968"/>
      <c r="I176" s="968"/>
      <c r="J176" s="968"/>
      <c r="K176" s="968"/>
      <c r="L176" s="968"/>
      <c r="M176" s="969"/>
    </row>
    <row r="177" spans="1:13" ht="15.6">
      <c r="A177" s="1356"/>
      <c r="B177" s="1353" t="s">
        <v>1010</v>
      </c>
      <c r="C177" s="1353"/>
      <c r="D177" s="1353"/>
      <c r="E177" s="1353"/>
      <c r="F177" s="1353"/>
      <c r="G177" s="1347"/>
      <c r="H177" s="968"/>
      <c r="I177" s="968"/>
      <c r="J177" s="968"/>
      <c r="K177" s="968"/>
      <c r="L177" s="968"/>
      <c r="M177" s="969"/>
    </row>
    <row r="178" spans="1:13" ht="15.6">
      <c r="A178" s="756">
        <v>2</v>
      </c>
      <c r="B178" s="1353" t="s">
        <v>1011</v>
      </c>
      <c r="C178" s="1353"/>
      <c r="D178" s="1353"/>
      <c r="E178" s="1353"/>
      <c r="F178" s="1353"/>
      <c r="G178" s="1347"/>
      <c r="H178" s="968"/>
      <c r="I178" s="968"/>
      <c r="J178" s="968"/>
      <c r="K178" s="968"/>
      <c r="L178" s="968"/>
      <c r="M178" s="969"/>
    </row>
    <row r="179" spans="1:13" ht="15.6">
      <c r="A179" s="756">
        <v>3</v>
      </c>
      <c r="B179" s="1339" t="s">
        <v>1012</v>
      </c>
      <c r="C179" s="1339"/>
      <c r="D179" s="1339"/>
      <c r="E179" s="1339"/>
      <c r="F179" s="1339"/>
      <c r="G179" s="1347"/>
      <c r="H179" s="968"/>
      <c r="I179" s="968"/>
      <c r="J179" s="968"/>
      <c r="K179" s="968"/>
      <c r="L179" s="968"/>
      <c r="M179" s="969"/>
    </row>
    <row r="180" spans="1:13" ht="15.6">
      <c r="A180" s="762">
        <v>17</v>
      </c>
      <c r="B180" s="1339" t="s">
        <v>1013</v>
      </c>
      <c r="C180" s="1339"/>
      <c r="D180" s="1339"/>
      <c r="E180" s="1339"/>
      <c r="F180" s="1339"/>
      <c r="G180" s="1339"/>
      <c r="H180" s="1339"/>
      <c r="I180" s="1339"/>
      <c r="J180" s="1339"/>
      <c r="K180" s="1339"/>
      <c r="L180" s="1339"/>
      <c r="M180" s="1340"/>
    </row>
    <row r="181" spans="1:13" ht="15.6">
      <c r="A181" s="1341"/>
      <c r="B181" s="747" t="s">
        <v>869</v>
      </c>
      <c r="C181" s="747" t="s">
        <v>870</v>
      </c>
      <c r="D181" s="1343" t="s">
        <v>874</v>
      </c>
      <c r="E181" s="1343"/>
      <c r="F181" s="1343"/>
      <c r="G181" s="1344" t="s">
        <v>875</v>
      </c>
      <c r="H181" s="1344"/>
      <c r="I181" s="1344"/>
      <c r="J181" s="1343" t="s">
        <v>778</v>
      </c>
      <c r="K181" s="1343"/>
      <c r="L181" s="1343" t="s">
        <v>1014</v>
      </c>
      <c r="M181" s="1345"/>
    </row>
    <row r="182" spans="1:13" ht="15.6">
      <c r="A182" s="1341"/>
      <c r="B182" s="520">
        <v>1</v>
      </c>
      <c r="C182" s="520">
        <v>2</v>
      </c>
      <c r="D182" s="1346">
        <v>3</v>
      </c>
      <c r="E182" s="1346"/>
      <c r="F182" s="1346"/>
      <c r="G182" s="1346">
        <v>4</v>
      </c>
      <c r="H182" s="1346"/>
      <c r="I182" s="1346"/>
      <c r="J182" s="1347">
        <v>5</v>
      </c>
      <c r="K182" s="1348"/>
      <c r="L182" s="1347">
        <v>6</v>
      </c>
      <c r="M182" s="969"/>
    </row>
    <row r="183" spans="1:13" ht="15.6">
      <c r="A183" s="1341"/>
      <c r="B183" s="728"/>
      <c r="C183" s="728"/>
      <c r="D183" s="1347"/>
      <c r="E183" s="968"/>
      <c r="F183" s="1348"/>
      <c r="G183" s="1347"/>
      <c r="H183" s="968"/>
      <c r="I183" s="1348"/>
      <c r="J183" s="1347"/>
      <c r="K183" s="1348"/>
      <c r="L183" s="1347"/>
      <c r="M183" s="969"/>
    </row>
    <row r="184" spans="1:13" ht="15.6">
      <c r="A184" s="1341"/>
      <c r="B184" s="728"/>
      <c r="C184" s="728"/>
      <c r="D184" s="1347"/>
      <c r="E184" s="968"/>
      <c r="F184" s="1348"/>
      <c r="G184" s="1347"/>
      <c r="H184" s="968"/>
      <c r="I184" s="1348"/>
      <c r="J184" s="1347"/>
      <c r="K184" s="1348"/>
      <c r="L184" s="1347"/>
      <c r="M184" s="969"/>
    </row>
    <row r="185" spans="1:13" ht="15.6">
      <c r="A185" s="1342"/>
      <c r="B185" s="752"/>
      <c r="C185" s="752"/>
      <c r="D185" s="1349"/>
      <c r="E185" s="1350"/>
      <c r="F185" s="1351"/>
      <c r="G185" s="1349"/>
      <c r="H185" s="1350"/>
      <c r="I185" s="1351"/>
      <c r="J185" s="1349"/>
      <c r="K185" s="1351"/>
      <c r="L185" s="1349"/>
      <c r="M185" s="1352"/>
    </row>
    <row r="186" spans="1:13" ht="15.6">
      <c r="A186" s="763" t="s">
        <v>1015</v>
      </c>
      <c r="B186" s="753"/>
      <c r="C186" s="753"/>
      <c r="D186" s="753"/>
      <c r="E186" s="753"/>
      <c r="F186" s="753"/>
      <c r="G186" s="753"/>
      <c r="H186" s="753"/>
      <c r="I186" s="753"/>
      <c r="J186" s="753"/>
      <c r="K186" s="753"/>
      <c r="L186" s="753"/>
      <c r="M186" s="764"/>
    </row>
    <row r="187" spans="1:13" ht="15.6">
      <c r="A187" s="732" t="s">
        <v>788</v>
      </c>
      <c r="B187" s="162"/>
      <c r="C187" s="162"/>
      <c r="D187" s="162"/>
      <c r="E187" s="162"/>
      <c r="F187" s="162"/>
      <c r="G187" s="162"/>
      <c r="H187" s="162"/>
      <c r="I187" s="162"/>
      <c r="J187" s="713" t="s">
        <v>1016</v>
      </c>
      <c r="K187" s="162"/>
      <c r="L187" s="162"/>
      <c r="M187" s="765"/>
    </row>
    <row r="188" spans="1:13" ht="15.6">
      <c r="A188" s="733" t="s">
        <v>1017</v>
      </c>
      <c r="B188" s="162"/>
      <c r="C188" s="162"/>
      <c r="D188" s="162"/>
      <c r="E188" s="162"/>
      <c r="F188" s="162"/>
      <c r="G188" s="766" t="s">
        <v>1018</v>
      </c>
      <c r="H188" s="162"/>
      <c r="I188" s="162"/>
      <c r="J188" s="162"/>
      <c r="K188" s="162"/>
      <c r="L188" s="162"/>
      <c r="M188" s="765"/>
    </row>
    <row r="189" spans="1:13" ht="16.2" thickBot="1">
      <c r="A189" s="734"/>
      <c r="B189" s="735"/>
      <c r="C189" s="735"/>
      <c r="D189" s="735"/>
      <c r="E189" s="735"/>
      <c r="F189" s="735"/>
      <c r="G189" s="735"/>
      <c r="H189" s="735"/>
      <c r="I189" s="735"/>
      <c r="J189" s="735"/>
      <c r="K189" s="735"/>
      <c r="L189" s="735"/>
      <c r="M189" s="736"/>
    </row>
  </sheetData>
  <mergeCells count="433">
    <mergeCell ref="A2:M2"/>
    <mergeCell ref="A4:M4"/>
    <mergeCell ref="B5:M5"/>
    <mergeCell ref="B6:F6"/>
    <mergeCell ref="G6:M6"/>
    <mergeCell ref="B14:F14"/>
    <mergeCell ref="G14:M14"/>
    <mergeCell ref="B15:F15"/>
    <mergeCell ref="G15:M15"/>
    <mergeCell ref="G7:M7"/>
    <mergeCell ref="G8:M8"/>
    <mergeCell ref="B16:F16"/>
    <mergeCell ref="G16:M16"/>
    <mergeCell ref="B9:F9"/>
    <mergeCell ref="G9:M9"/>
    <mergeCell ref="A10:A14"/>
    <mergeCell ref="B10:F10"/>
    <mergeCell ref="G10:M10"/>
    <mergeCell ref="B11:F11"/>
    <mergeCell ref="G11:M11"/>
    <mergeCell ref="B12:F12"/>
    <mergeCell ref="G12:M12"/>
    <mergeCell ref="G13:M13"/>
    <mergeCell ref="B20:F20"/>
    <mergeCell ref="G20:M20"/>
    <mergeCell ref="B21:F21"/>
    <mergeCell ref="G21:M21"/>
    <mergeCell ref="G22:M22"/>
    <mergeCell ref="B23:M23"/>
    <mergeCell ref="B17:F17"/>
    <mergeCell ref="G17:M17"/>
    <mergeCell ref="A18:A19"/>
    <mergeCell ref="B18:F18"/>
    <mergeCell ref="G18:M18"/>
    <mergeCell ref="G19:M19"/>
    <mergeCell ref="B27:E27"/>
    <mergeCell ref="F27:I29"/>
    <mergeCell ref="J27:M29"/>
    <mergeCell ref="B28:E28"/>
    <mergeCell ref="B29:E29"/>
    <mergeCell ref="B30:M30"/>
    <mergeCell ref="B24:F24"/>
    <mergeCell ref="G24:M24"/>
    <mergeCell ref="B25:E25"/>
    <mergeCell ref="F25:I25"/>
    <mergeCell ref="J25:M25"/>
    <mergeCell ref="B26:E26"/>
    <mergeCell ref="F26:I26"/>
    <mergeCell ref="J26:M26"/>
    <mergeCell ref="B31:M31"/>
    <mergeCell ref="B32:M32"/>
    <mergeCell ref="A33:A38"/>
    <mergeCell ref="B33:M33"/>
    <mergeCell ref="B34:M34"/>
    <mergeCell ref="B35:M35"/>
    <mergeCell ref="B36:M36"/>
    <mergeCell ref="B37:M37"/>
    <mergeCell ref="B38:E38"/>
    <mergeCell ref="F38:M38"/>
    <mergeCell ref="J43:M43"/>
    <mergeCell ref="B44:E44"/>
    <mergeCell ref="F44:I44"/>
    <mergeCell ref="J44:M44"/>
    <mergeCell ref="B45:E45"/>
    <mergeCell ref="F45:I45"/>
    <mergeCell ref="J45:M45"/>
    <mergeCell ref="A39:A40"/>
    <mergeCell ref="B39:M39"/>
    <mergeCell ref="B40:M40"/>
    <mergeCell ref="A41:A47"/>
    <mergeCell ref="B41:M41"/>
    <mergeCell ref="B42:E42"/>
    <mergeCell ref="F42:I42"/>
    <mergeCell ref="J42:M42"/>
    <mergeCell ref="B43:E43"/>
    <mergeCell ref="F43:I43"/>
    <mergeCell ref="A50:A55"/>
    <mergeCell ref="B50:C51"/>
    <mergeCell ref="D50:K50"/>
    <mergeCell ref="L50:M51"/>
    <mergeCell ref="F51:G51"/>
    <mergeCell ref="H51:I51"/>
    <mergeCell ref="B52:C52"/>
    <mergeCell ref="D52:K52"/>
    <mergeCell ref="B46:E46"/>
    <mergeCell ref="F46:I46"/>
    <mergeCell ref="J46:M46"/>
    <mergeCell ref="B47:E47"/>
    <mergeCell ref="F47:I47"/>
    <mergeCell ref="J47:M47"/>
    <mergeCell ref="L52:M52"/>
    <mergeCell ref="B53:C53"/>
    <mergeCell ref="D53:E53"/>
    <mergeCell ref="F53:G53"/>
    <mergeCell ref="H53:I53"/>
    <mergeCell ref="J53:K53"/>
    <mergeCell ref="L53:M53"/>
    <mergeCell ref="B48:M48"/>
    <mergeCell ref="B49:M49"/>
    <mergeCell ref="B54:C54"/>
    <mergeCell ref="D54:E54"/>
    <mergeCell ref="F54:G54"/>
    <mergeCell ref="H54:I54"/>
    <mergeCell ref="L54:M54"/>
    <mergeCell ref="B55:C55"/>
    <mergeCell ref="D55:E55"/>
    <mergeCell ref="F55:G55"/>
    <mergeCell ref="H55:I55"/>
    <mergeCell ref="L55:M55"/>
    <mergeCell ref="J58:K58"/>
    <mergeCell ref="L58:M58"/>
    <mergeCell ref="B59:C59"/>
    <mergeCell ref="D59:E59"/>
    <mergeCell ref="F59:I59"/>
    <mergeCell ref="J59:K59"/>
    <mergeCell ref="L59:M59"/>
    <mergeCell ref="B56:M56"/>
    <mergeCell ref="A57:A61"/>
    <mergeCell ref="B57:C57"/>
    <mergeCell ref="D57:E57"/>
    <mergeCell ref="F57:I57"/>
    <mergeCell ref="J57:K57"/>
    <mergeCell ref="L57:M57"/>
    <mergeCell ref="B58:C58"/>
    <mergeCell ref="D58:E58"/>
    <mergeCell ref="F58:I58"/>
    <mergeCell ref="B60:C60"/>
    <mergeCell ref="D60:E60"/>
    <mergeCell ref="F60:I60"/>
    <mergeCell ref="J60:K60"/>
    <mergeCell ref="L60:M60"/>
    <mergeCell ref="B61:C61"/>
    <mergeCell ref="D61:E61"/>
    <mergeCell ref="F61:I61"/>
    <mergeCell ref="J61:K61"/>
    <mergeCell ref="L61:M61"/>
    <mergeCell ref="B62:M62"/>
    <mergeCell ref="A63:A67"/>
    <mergeCell ref="B63:J63"/>
    <mergeCell ref="K63:M65"/>
    <mergeCell ref="B64:C65"/>
    <mergeCell ref="D64:F65"/>
    <mergeCell ref="G64:H65"/>
    <mergeCell ref="I64:J65"/>
    <mergeCell ref="B66:J66"/>
    <mergeCell ref="K66:M66"/>
    <mergeCell ref="B69:D69"/>
    <mergeCell ref="E69:G69"/>
    <mergeCell ref="H69:J69"/>
    <mergeCell ref="K69:M69"/>
    <mergeCell ref="B70:D70"/>
    <mergeCell ref="E70:G70"/>
    <mergeCell ref="H70:J70"/>
    <mergeCell ref="K70:M70"/>
    <mergeCell ref="B67:C67"/>
    <mergeCell ref="D67:F67"/>
    <mergeCell ref="G67:H67"/>
    <mergeCell ref="I67:J67"/>
    <mergeCell ref="K67:M67"/>
    <mergeCell ref="B68:M68"/>
    <mergeCell ref="B73:D73"/>
    <mergeCell ref="E73:G73"/>
    <mergeCell ref="H73:J73"/>
    <mergeCell ref="K73:M73"/>
    <mergeCell ref="B74:D74"/>
    <mergeCell ref="E74:G74"/>
    <mergeCell ref="H74:J74"/>
    <mergeCell ref="K74:M74"/>
    <mergeCell ref="B71:D71"/>
    <mergeCell ref="E71:G71"/>
    <mergeCell ref="H71:J71"/>
    <mergeCell ref="K71:M71"/>
    <mergeCell ref="B72:D72"/>
    <mergeCell ref="E72:G72"/>
    <mergeCell ref="H72:J72"/>
    <mergeCell ref="K72:M72"/>
    <mergeCell ref="B77:D77"/>
    <mergeCell ref="E77:G77"/>
    <mergeCell ref="H77:J77"/>
    <mergeCell ref="K77:M77"/>
    <mergeCell ref="B78:D78"/>
    <mergeCell ref="E78:G78"/>
    <mergeCell ref="H78:J78"/>
    <mergeCell ref="K78:M78"/>
    <mergeCell ref="B75:D75"/>
    <mergeCell ref="E75:G75"/>
    <mergeCell ref="H75:J75"/>
    <mergeCell ref="K75:M75"/>
    <mergeCell ref="B76:D76"/>
    <mergeCell ref="E76:G76"/>
    <mergeCell ref="H76:J76"/>
    <mergeCell ref="K76:M76"/>
    <mergeCell ref="B88:M88"/>
    <mergeCell ref="B89:M89"/>
    <mergeCell ref="B90:M90"/>
    <mergeCell ref="B91:M91"/>
    <mergeCell ref="B92:M92"/>
    <mergeCell ref="A93:A94"/>
    <mergeCell ref="B93:M93"/>
    <mergeCell ref="B94:M94"/>
    <mergeCell ref="B79:M79"/>
    <mergeCell ref="A80:A87"/>
    <mergeCell ref="B80:B81"/>
    <mergeCell ref="C80:C81"/>
    <mergeCell ref="D80:M80"/>
    <mergeCell ref="D82:M82"/>
    <mergeCell ref="B95:M95"/>
    <mergeCell ref="B96:D96"/>
    <mergeCell ref="E96:I96"/>
    <mergeCell ref="J96:M96"/>
    <mergeCell ref="B97:D97"/>
    <mergeCell ref="E97:I97"/>
    <mergeCell ref="J97:M97"/>
    <mergeCell ref="C98:D98"/>
    <mergeCell ref="F98:G98"/>
    <mergeCell ref="A102:A107"/>
    <mergeCell ref="B102:M102"/>
    <mergeCell ref="B103:M103"/>
    <mergeCell ref="B104:M104"/>
    <mergeCell ref="B105:M105"/>
    <mergeCell ref="B106:M106"/>
    <mergeCell ref="B107:M107"/>
    <mergeCell ref="C100:D100"/>
    <mergeCell ref="F100:G100"/>
    <mergeCell ref="H100:I100"/>
    <mergeCell ref="J100:K100"/>
    <mergeCell ref="L100:M100"/>
    <mergeCell ref="B101:M101"/>
    <mergeCell ref="A96:A100"/>
    <mergeCell ref="H98:I98"/>
    <mergeCell ref="J98:K98"/>
    <mergeCell ref="L98:M98"/>
    <mergeCell ref="C99:D99"/>
    <mergeCell ref="F99:G99"/>
    <mergeCell ref="H99:I99"/>
    <mergeCell ref="J99:K99"/>
    <mergeCell ref="L99:M99"/>
    <mergeCell ref="D111:E111"/>
    <mergeCell ref="F111:G111"/>
    <mergeCell ref="J111:K111"/>
    <mergeCell ref="L111:M111"/>
    <mergeCell ref="D112:E112"/>
    <mergeCell ref="F112:G112"/>
    <mergeCell ref="J112:K112"/>
    <mergeCell ref="L112:M112"/>
    <mergeCell ref="A108:A109"/>
    <mergeCell ref="B108:M108"/>
    <mergeCell ref="B109:M109"/>
    <mergeCell ref="D110:E110"/>
    <mergeCell ref="F110:G110"/>
    <mergeCell ref="J110:K110"/>
    <mergeCell ref="L110:M110"/>
    <mergeCell ref="D115:E115"/>
    <mergeCell ref="F115:G115"/>
    <mergeCell ref="J115:K115"/>
    <mergeCell ref="L115:M115"/>
    <mergeCell ref="D116:E116"/>
    <mergeCell ref="F116:G116"/>
    <mergeCell ref="J116:K116"/>
    <mergeCell ref="L116:M116"/>
    <mergeCell ref="D113:E113"/>
    <mergeCell ref="F113:G113"/>
    <mergeCell ref="J113:K113"/>
    <mergeCell ref="L113:M113"/>
    <mergeCell ref="D114:E114"/>
    <mergeCell ref="F114:G114"/>
    <mergeCell ref="J114:K114"/>
    <mergeCell ref="L114:M114"/>
    <mergeCell ref="B117:M117"/>
    <mergeCell ref="C118:D118"/>
    <mergeCell ref="E118:F118"/>
    <mergeCell ref="G118:H118"/>
    <mergeCell ref="I118:J118"/>
    <mergeCell ref="C119:D119"/>
    <mergeCell ref="E119:F119"/>
    <mergeCell ref="G119:H119"/>
    <mergeCell ref="I119:J119"/>
    <mergeCell ref="A124:A128"/>
    <mergeCell ref="B124:C125"/>
    <mergeCell ref="D124:M124"/>
    <mergeCell ref="D125:E125"/>
    <mergeCell ref="F125:G125"/>
    <mergeCell ref="C120:D120"/>
    <mergeCell ref="E120:F120"/>
    <mergeCell ref="G120:H120"/>
    <mergeCell ref="I120:J120"/>
    <mergeCell ref="C121:D121"/>
    <mergeCell ref="E121:F121"/>
    <mergeCell ref="G121:H121"/>
    <mergeCell ref="I121:J121"/>
    <mergeCell ref="H125:J125"/>
    <mergeCell ref="K125:M125"/>
    <mergeCell ref="B126:C126"/>
    <mergeCell ref="D126:E126"/>
    <mergeCell ref="F126:G126"/>
    <mergeCell ref="H126:J126"/>
    <mergeCell ref="K126:M126"/>
    <mergeCell ref="C122:D122"/>
    <mergeCell ref="E122:F122"/>
    <mergeCell ref="G122:H122"/>
    <mergeCell ref="I122:J122"/>
    <mergeCell ref="B123:M123"/>
    <mergeCell ref="B127:C127"/>
    <mergeCell ref="D127:E127"/>
    <mergeCell ref="F127:G127"/>
    <mergeCell ref="H127:J127"/>
    <mergeCell ref="K127:M127"/>
    <mergeCell ref="B128:C128"/>
    <mergeCell ref="D128:E128"/>
    <mergeCell ref="F128:G128"/>
    <mergeCell ref="H128:J128"/>
    <mergeCell ref="K128:M128"/>
    <mergeCell ref="G138:M138"/>
    <mergeCell ref="B129:M129"/>
    <mergeCell ref="A130:A133"/>
    <mergeCell ref="B130:M130"/>
    <mergeCell ref="B131:F131"/>
    <mergeCell ref="G131:M131"/>
    <mergeCell ref="B132:F132"/>
    <mergeCell ref="G132:M132"/>
    <mergeCell ref="B133:F133"/>
    <mergeCell ref="G133:M133"/>
    <mergeCell ref="B142:F142"/>
    <mergeCell ref="G142:M142"/>
    <mergeCell ref="B143:F143"/>
    <mergeCell ref="G143:M143"/>
    <mergeCell ref="B144:F144"/>
    <mergeCell ref="G144:M144"/>
    <mergeCell ref="B139:F139"/>
    <mergeCell ref="G139:M139"/>
    <mergeCell ref="B140:F140"/>
    <mergeCell ref="G140:M140"/>
    <mergeCell ref="B141:F141"/>
    <mergeCell ref="G141:M141"/>
    <mergeCell ref="A150:A153"/>
    <mergeCell ref="B150:F150"/>
    <mergeCell ref="G150:M150"/>
    <mergeCell ref="B151:F151"/>
    <mergeCell ref="G151:M151"/>
    <mergeCell ref="B152:F152"/>
    <mergeCell ref="G152:M152"/>
    <mergeCell ref="B153:M153"/>
    <mergeCell ref="B145:F145"/>
    <mergeCell ref="G145:M145"/>
    <mergeCell ref="B146:M146"/>
    <mergeCell ref="B147:M147"/>
    <mergeCell ref="A148:A149"/>
    <mergeCell ref="B148:M148"/>
    <mergeCell ref="B149:M149"/>
    <mergeCell ref="A134:A145"/>
    <mergeCell ref="B134:M134"/>
    <mergeCell ref="B135:F135"/>
    <mergeCell ref="G135:M135"/>
    <mergeCell ref="B136:F136"/>
    <mergeCell ref="G136:M136"/>
    <mergeCell ref="B137:F137"/>
    <mergeCell ref="G137:M137"/>
    <mergeCell ref="B138:F138"/>
    <mergeCell ref="A158:A161"/>
    <mergeCell ref="B158:F158"/>
    <mergeCell ref="G158:M158"/>
    <mergeCell ref="B159:F159"/>
    <mergeCell ref="G159:M159"/>
    <mergeCell ref="B160:F160"/>
    <mergeCell ref="G160:M160"/>
    <mergeCell ref="B161:M161"/>
    <mergeCell ref="A154:A157"/>
    <mergeCell ref="B154:F154"/>
    <mergeCell ref="G154:M154"/>
    <mergeCell ref="B155:F155"/>
    <mergeCell ref="G155:M155"/>
    <mergeCell ref="B156:F156"/>
    <mergeCell ref="G156:M156"/>
    <mergeCell ref="B157:M157"/>
    <mergeCell ref="B162:F162"/>
    <mergeCell ref="G162:M162"/>
    <mergeCell ref="A163:A167"/>
    <mergeCell ref="B163:M163"/>
    <mergeCell ref="B164:M164"/>
    <mergeCell ref="B165:E165"/>
    <mergeCell ref="F165:I165"/>
    <mergeCell ref="J165:M165"/>
    <mergeCell ref="B166:E166"/>
    <mergeCell ref="F166:I166"/>
    <mergeCell ref="J166:M166"/>
    <mergeCell ref="B167:E167"/>
    <mergeCell ref="F167:I167"/>
    <mergeCell ref="J167:M167"/>
    <mergeCell ref="A168:A170"/>
    <mergeCell ref="B168:M168"/>
    <mergeCell ref="B169:F169"/>
    <mergeCell ref="G169:M169"/>
    <mergeCell ref="B170:F170"/>
    <mergeCell ref="G170:M170"/>
    <mergeCell ref="G176:M176"/>
    <mergeCell ref="B177:F177"/>
    <mergeCell ref="G177:M177"/>
    <mergeCell ref="B178:F178"/>
    <mergeCell ref="G178:M178"/>
    <mergeCell ref="B179:F179"/>
    <mergeCell ref="G179:M179"/>
    <mergeCell ref="B171:M171"/>
    <mergeCell ref="A172:A177"/>
    <mergeCell ref="B172:F172"/>
    <mergeCell ref="G172:M172"/>
    <mergeCell ref="G173:M173"/>
    <mergeCell ref="B174:F174"/>
    <mergeCell ref="G174:M174"/>
    <mergeCell ref="B175:F175"/>
    <mergeCell ref="G175:M175"/>
    <mergeCell ref="B176:F176"/>
    <mergeCell ref="B180:M180"/>
    <mergeCell ref="A181:A185"/>
    <mergeCell ref="D181:F181"/>
    <mergeCell ref="G181:I181"/>
    <mergeCell ref="J181:K181"/>
    <mergeCell ref="L181:M181"/>
    <mergeCell ref="D182:F182"/>
    <mergeCell ref="G182:I182"/>
    <mergeCell ref="J182:K182"/>
    <mergeCell ref="L182:M182"/>
    <mergeCell ref="D185:F185"/>
    <mergeCell ref="G185:I185"/>
    <mergeCell ref="J185:K185"/>
    <mergeCell ref="L185:M185"/>
    <mergeCell ref="D183:F183"/>
    <mergeCell ref="G183:I183"/>
    <mergeCell ref="J183:K183"/>
    <mergeCell ref="L183:M183"/>
    <mergeCell ref="D184:F184"/>
    <mergeCell ref="G184:I184"/>
    <mergeCell ref="J184:K184"/>
    <mergeCell ref="L184:M184"/>
  </mergeCells>
  <pageMargins left="0.7" right="0.7" top="0.75" bottom="0.75" header="0.3" footer="0.3"/>
  <pageSetup scale="80" orientation="portrait" horizontalDpi="300" verticalDpi="300" r:id="rId1"/>
</worksheet>
</file>

<file path=xl/worksheets/sheet32.xml><?xml version="1.0" encoding="utf-8"?>
<worksheet xmlns="http://schemas.openxmlformats.org/spreadsheetml/2006/main" xmlns:r="http://schemas.openxmlformats.org/officeDocument/2006/relationships">
  <dimension ref="B1:H45"/>
  <sheetViews>
    <sheetView workbookViewId="0">
      <selection activeCell="F17" sqref="F17"/>
    </sheetView>
  </sheetViews>
  <sheetFormatPr defaultRowHeight="14.4"/>
  <cols>
    <col min="1" max="1" width="7.109375" customWidth="1"/>
    <col min="2" max="2" width="2.44140625" customWidth="1"/>
    <col min="3" max="3" width="5.44140625" customWidth="1"/>
    <col min="5" max="5" width="44.5546875" customWidth="1"/>
    <col min="6" max="6" width="40.6640625" customWidth="1"/>
    <col min="7" max="7" width="5.88671875" customWidth="1"/>
  </cols>
  <sheetData>
    <row r="1" spans="2:8">
      <c r="E1" s="843" t="s">
        <v>1055</v>
      </c>
    </row>
    <row r="7" spans="2:8" ht="15" thickBot="1"/>
    <row r="8" spans="2:8" ht="27" customHeight="1">
      <c r="B8" s="344"/>
      <c r="C8" s="345"/>
      <c r="D8" s="784" t="s">
        <v>1028</v>
      </c>
      <c r="E8" s="785"/>
      <c r="F8" s="787">
        <v>2021</v>
      </c>
      <c r="G8" s="786"/>
      <c r="H8" s="344"/>
    </row>
    <row r="9" spans="2:8" ht="22.5" customHeight="1">
      <c r="B9" s="344"/>
      <c r="C9" s="347"/>
      <c r="D9" s="778" t="s">
        <v>1029</v>
      </c>
      <c r="E9" s="779"/>
      <c r="F9" s="780"/>
      <c r="G9" s="351"/>
      <c r="H9" s="344"/>
    </row>
    <row r="10" spans="2:8" ht="30.75" customHeight="1">
      <c r="B10" s="344"/>
      <c r="C10" s="347"/>
      <c r="D10" s="773"/>
      <c r="E10" s="771" t="s">
        <v>134</v>
      </c>
      <c r="F10" s="771" t="s">
        <v>1022</v>
      </c>
      <c r="G10" s="351"/>
      <c r="H10" s="344"/>
    </row>
    <row r="11" spans="2:8" ht="27.75" customHeight="1">
      <c r="B11" s="344"/>
      <c r="C11" s="347"/>
      <c r="D11" s="1427" t="s">
        <v>1027</v>
      </c>
      <c r="E11" s="1428"/>
      <c r="F11" s="771" t="s">
        <v>1023</v>
      </c>
      <c r="G11" s="351"/>
      <c r="H11" s="344"/>
    </row>
    <row r="12" spans="2:8" ht="27.75" customHeight="1">
      <c r="B12" s="344"/>
      <c r="C12" s="347"/>
      <c r="D12" s="1429"/>
      <c r="E12" s="1430"/>
      <c r="F12" s="771" t="s">
        <v>1024</v>
      </c>
      <c r="G12" s="351"/>
      <c r="H12" s="344"/>
    </row>
    <row r="13" spans="2:8" ht="27.75" customHeight="1">
      <c r="B13" s="344"/>
      <c r="C13" s="347"/>
      <c r="D13" s="1429"/>
      <c r="E13" s="1430"/>
      <c r="F13" s="771" t="s">
        <v>1025</v>
      </c>
      <c r="G13" s="351"/>
      <c r="H13" s="344"/>
    </row>
    <row r="14" spans="2:8" ht="27.75" customHeight="1">
      <c r="B14" s="344"/>
      <c r="C14" s="347"/>
      <c r="D14" s="1431"/>
      <c r="E14" s="1432"/>
      <c r="F14" s="771" t="s">
        <v>1026</v>
      </c>
      <c r="G14" s="351"/>
      <c r="H14" s="344"/>
    </row>
    <row r="15" spans="2:8" ht="15.6">
      <c r="B15" s="344"/>
      <c r="C15" s="347"/>
      <c r="D15" s="352"/>
      <c r="E15" s="353"/>
      <c r="F15" s="772"/>
      <c r="G15" s="355"/>
      <c r="H15" s="344"/>
    </row>
    <row r="16" spans="2:8" ht="15.6">
      <c r="B16" s="344"/>
      <c r="C16" s="347"/>
      <c r="D16" s="769" t="s">
        <v>256</v>
      </c>
      <c r="E16" s="769" t="s">
        <v>1054</v>
      </c>
      <c r="F16" s="770" t="s">
        <v>1041</v>
      </c>
      <c r="G16" s="355"/>
      <c r="H16" s="344"/>
    </row>
    <row r="17" spans="2:8" ht="15.6">
      <c r="B17" s="344"/>
      <c r="C17" s="347"/>
      <c r="D17" s="767">
        <v>1</v>
      </c>
      <c r="E17" s="767">
        <v>2</v>
      </c>
      <c r="F17" s="767">
        <v>3</v>
      </c>
      <c r="G17" s="348"/>
      <c r="H17" s="344"/>
    </row>
    <row r="18" spans="2:8" ht="24.9" customHeight="1">
      <c r="B18" s="344"/>
      <c r="C18" s="347"/>
      <c r="D18" s="767">
        <v>1</v>
      </c>
      <c r="E18" s="768" t="s">
        <v>1030</v>
      </c>
      <c r="F18" s="363" t="s">
        <v>263</v>
      </c>
      <c r="G18" s="364"/>
      <c r="H18" s="344"/>
    </row>
    <row r="19" spans="2:8" ht="24.9" customHeight="1">
      <c r="B19" s="344"/>
      <c r="C19" s="347"/>
      <c r="D19" s="767">
        <v>2</v>
      </c>
      <c r="E19" s="768" t="s">
        <v>1031</v>
      </c>
      <c r="F19" s="363" t="s">
        <v>263</v>
      </c>
      <c r="G19" s="364"/>
      <c r="H19" s="344"/>
    </row>
    <row r="20" spans="2:8" ht="24.9" customHeight="1">
      <c r="B20" s="344"/>
      <c r="C20" s="347"/>
      <c r="D20" s="767">
        <v>3</v>
      </c>
      <c r="E20" s="775" t="s">
        <v>1032</v>
      </c>
      <c r="F20" s="363" t="s">
        <v>263</v>
      </c>
      <c r="G20" s="364"/>
      <c r="H20" s="344"/>
    </row>
    <row r="21" spans="2:8" ht="33" customHeight="1">
      <c r="B21" s="344"/>
      <c r="C21" s="347"/>
      <c r="D21" s="781">
        <v>4</v>
      </c>
      <c r="E21" s="727" t="s">
        <v>1033</v>
      </c>
      <c r="F21" s="363" t="s">
        <v>1057</v>
      </c>
      <c r="G21" s="364"/>
      <c r="H21" s="344"/>
    </row>
    <row r="22" spans="2:8" ht="24.9" customHeight="1">
      <c r="B22" s="344"/>
      <c r="C22" s="347"/>
      <c r="D22" s="781"/>
      <c r="E22" s="1423" t="s">
        <v>1034</v>
      </c>
      <c r="F22" s="1424"/>
      <c r="G22" s="364"/>
      <c r="H22" s="344"/>
    </row>
    <row r="23" spans="2:8" ht="24.9" customHeight="1">
      <c r="B23" s="344"/>
      <c r="C23" s="347"/>
      <c r="D23" s="767">
        <v>5</v>
      </c>
      <c r="E23" s="782" t="s">
        <v>1035</v>
      </c>
      <c r="F23" s="791" t="s">
        <v>1058</v>
      </c>
      <c r="G23" s="364"/>
      <c r="H23" s="344"/>
    </row>
    <row r="24" spans="2:8" ht="24.9" customHeight="1">
      <c r="B24" s="344"/>
      <c r="C24" s="347"/>
      <c r="D24" s="781"/>
      <c r="E24" s="1425" t="s">
        <v>1036</v>
      </c>
      <c r="F24" s="1426"/>
      <c r="G24" s="364"/>
      <c r="H24" s="344"/>
    </row>
    <row r="25" spans="2:8" ht="24.9" customHeight="1">
      <c r="B25" s="344"/>
      <c r="C25" s="347"/>
      <c r="D25" s="781"/>
      <c r="E25" s="783" t="s">
        <v>1037</v>
      </c>
      <c r="F25" s="772"/>
      <c r="G25" s="364"/>
      <c r="H25" s="344"/>
    </row>
    <row r="26" spans="2:8" ht="24.9" customHeight="1">
      <c r="B26" s="344"/>
      <c r="C26" s="347"/>
      <c r="D26" s="781"/>
      <c r="E26" s="774" t="s">
        <v>1038</v>
      </c>
      <c r="F26" s="363" t="s">
        <v>263</v>
      </c>
      <c r="G26" s="364"/>
      <c r="H26" s="344"/>
    </row>
    <row r="27" spans="2:8" ht="24.9" customHeight="1">
      <c r="B27" s="344"/>
      <c r="C27" s="347"/>
      <c r="D27" s="781"/>
      <c r="E27" s="768" t="s">
        <v>1039</v>
      </c>
      <c r="F27" s="363" t="s">
        <v>263</v>
      </c>
      <c r="G27" s="364"/>
      <c r="H27" s="344"/>
    </row>
    <row r="28" spans="2:8" ht="24.9" customHeight="1">
      <c r="B28" s="344"/>
      <c r="C28" s="347"/>
      <c r="D28" s="781"/>
      <c r="E28" s="768" t="s">
        <v>1040</v>
      </c>
      <c r="F28" s="363" t="s">
        <v>263</v>
      </c>
      <c r="G28" s="364"/>
      <c r="H28" s="344"/>
    </row>
    <row r="29" spans="2:8" ht="24.9" customHeight="1">
      <c r="B29" s="344"/>
      <c r="C29" s="347"/>
      <c r="D29" s="781"/>
      <c r="E29" s="768" t="s">
        <v>1041</v>
      </c>
      <c r="F29" s="791" t="s">
        <v>1058</v>
      </c>
      <c r="G29" s="364"/>
      <c r="H29" s="344"/>
    </row>
    <row r="30" spans="2:8" ht="24.9" customHeight="1">
      <c r="B30" s="344"/>
      <c r="C30" s="347"/>
      <c r="D30" s="781"/>
      <c r="E30" s="768" t="s">
        <v>1042</v>
      </c>
      <c r="F30" s="363" t="s">
        <v>28</v>
      </c>
      <c r="G30" s="364"/>
      <c r="H30" s="344"/>
    </row>
    <row r="31" spans="2:8" ht="24.9" customHeight="1">
      <c r="B31" s="344"/>
      <c r="C31" s="347"/>
      <c r="D31" s="781"/>
      <c r="E31" s="768" t="s">
        <v>1043</v>
      </c>
      <c r="F31" s="363" t="s">
        <v>28</v>
      </c>
      <c r="G31" s="364"/>
      <c r="H31" s="344"/>
    </row>
    <row r="32" spans="2:8" ht="24.9" customHeight="1">
      <c r="B32" s="344"/>
      <c r="C32" s="347"/>
      <c r="D32" s="781"/>
      <c r="E32" s="768" t="s">
        <v>1044</v>
      </c>
      <c r="F32" s="363" t="s">
        <v>28</v>
      </c>
      <c r="G32" s="364"/>
      <c r="H32" s="344"/>
    </row>
    <row r="33" spans="2:8" ht="24.9" customHeight="1">
      <c r="B33" s="344"/>
      <c r="C33" s="347"/>
      <c r="D33" s="781"/>
      <c r="E33" s="768" t="s">
        <v>1045</v>
      </c>
      <c r="F33" s="363" t="s">
        <v>28</v>
      </c>
      <c r="G33" s="364"/>
      <c r="H33" s="344"/>
    </row>
    <row r="34" spans="2:8" ht="24.9" customHeight="1">
      <c r="B34" s="344"/>
      <c r="C34" s="347"/>
      <c r="D34" s="781"/>
      <c r="E34" s="768" t="s">
        <v>1046</v>
      </c>
      <c r="F34" s="363" t="s">
        <v>28</v>
      </c>
      <c r="G34" s="364"/>
      <c r="H34" s="344"/>
    </row>
    <row r="35" spans="2:8" ht="24.9" customHeight="1">
      <c r="B35" s="344"/>
      <c r="C35" s="347"/>
      <c r="D35" s="781"/>
      <c r="E35" s="768" t="s">
        <v>1047</v>
      </c>
      <c r="F35" s="363" t="s">
        <v>28</v>
      </c>
      <c r="G35" s="364"/>
      <c r="H35" s="344"/>
    </row>
    <row r="36" spans="2:8" ht="24.9" customHeight="1">
      <c r="B36" s="344"/>
      <c r="C36" s="347"/>
      <c r="D36" s="781"/>
      <c r="E36" s="768" t="s">
        <v>1048</v>
      </c>
      <c r="F36" s="363" t="s">
        <v>28</v>
      </c>
      <c r="G36" s="364"/>
      <c r="H36" s="344"/>
    </row>
    <row r="37" spans="2:8" ht="24.9" customHeight="1">
      <c r="B37" s="344"/>
      <c r="C37" s="347"/>
      <c r="D37" s="781"/>
      <c r="E37" s="768" t="s">
        <v>1049</v>
      </c>
      <c r="F37" s="363" t="s">
        <v>28</v>
      </c>
      <c r="G37" s="364"/>
      <c r="H37" s="344"/>
    </row>
    <row r="38" spans="2:8" ht="24.9" customHeight="1">
      <c r="B38" s="344"/>
      <c r="C38" s="347"/>
      <c r="D38" s="781"/>
      <c r="E38" s="768" t="s">
        <v>1050</v>
      </c>
      <c r="F38" s="363" t="s">
        <v>28</v>
      </c>
      <c r="G38" s="364"/>
      <c r="H38" s="344"/>
    </row>
    <row r="39" spans="2:8" ht="24.9" customHeight="1">
      <c r="B39" s="344"/>
      <c r="C39" s="347"/>
      <c r="D39" s="788"/>
      <c r="E39" s="777" t="s">
        <v>1051</v>
      </c>
      <c r="F39" s="792"/>
      <c r="G39" s="369"/>
      <c r="H39" s="344"/>
    </row>
    <row r="40" spans="2:8" ht="42" customHeight="1">
      <c r="B40" s="344"/>
      <c r="C40" s="347"/>
      <c r="D40" s="788"/>
      <c r="E40" s="777" t="s">
        <v>1052</v>
      </c>
      <c r="F40" s="777"/>
      <c r="G40" s="369"/>
      <c r="H40" s="344"/>
    </row>
    <row r="41" spans="2:8" ht="15.6">
      <c r="B41" s="344"/>
      <c r="C41" s="347"/>
      <c r="D41" s="788"/>
      <c r="E41" s="777" t="s">
        <v>1053</v>
      </c>
      <c r="F41" s="792"/>
      <c r="G41" s="369"/>
      <c r="H41" s="344"/>
    </row>
    <row r="42" spans="2:8" ht="15.6">
      <c r="B42" s="344"/>
      <c r="C42" s="347"/>
      <c r="D42" s="370"/>
      <c r="E42" s="370"/>
      <c r="F42" s="370"/>
      <c r="G42" s="369"/>
      <c r="H42" s="344"/>
    </row>
    <row r="43" spans="2:8" ht="15.6">
      <c r="B43" s="344"/>
      <c r="C43" s="347"/>
      <c r="D43" s="370"/>
      <c r="E43" s="370"/>
      <c r="F43" s="370"/>
      <c r="G43" s="369"/>
      <c r="H43" s="344"/>
    </row>
    <row r="44" spans="2:8" ht="15.6">
      <c r="B44" s="344"/>
      <c r="C44" s="347"/>
      <c r="D44" s="370"/>
      <c r="E44" s="430"/>
      <c r="F44" s="776" t="s">
        <v>137</v>
      </c>
      <c r="G44" s="369"/>
      <c r="H44" s="344"/>
    </row>
    <row r="45" spans="2:8" ht="16.2" thickBot="1">
      <c r="B45" s="344"/>
      <c r="C45" s="372"/>
      <c r="D45" s="373"/>
      <c r="E45" s="373"/>
      <c r="F45" s="373"/>
      <c r="G45" s="374"/>
      <c r="H45" s="344"/>
    </row>
  </sheetData>
  <mergeCells count="3">
    <mergeCell ref="E22:F22"/>
    <mergeCell ref="E24:F24"/>
    <mergeCell ref="D11:E14"/>
  </mergeCells>
  <pageMargins left="0.77" right="0.7" top="0.75" bottom="0.75" header="0.3" footer="0.3"/>
  <pageSetup paperSize="9" scale="7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vt:i4>
      </vt:variant>
    </vt:vector>
  </HeadingPairs>
  <TitlesOfParts>
    <vt:vector size="37" baseType="lpstr">
      <vt:lpstr>ACCESS</vt:lpstr>
      <vt:lpstr>Workmen Reg</vt:lpstr>
      <vt:lpstr>Master</vt:lpstr>
      <vt:lpstr>Employment Cards</vt:lpstr>
      <vt:lpstr>Serive Certificate</vt:lpstr>
      <vt:lpstr>Muster Roll</vt:lpstr>
      <vt:lpstr>Leave register</vt:lpstr>
      <vt:lpstr>wages Reg</vt:lpstr>
      <vt:lpstr>wage sllips</vt:lpstr>
      <vt:lpstr>Payslip</vt:lpstr>
      <vt:lpstr>Deductions</vt:lpstr>
      <vt:lpstr>Fines</vt:lpstr>
      <vt:lpstr>Advances</vt:lpstr>
      <vt:lpstr>Overtime</vt:lpstr>
      <vt:lpstr>Bank Upload</vt:lpstr>
      <vt:lpstr>ESI-MC Template</vt:lpstr>
      <vt:lpstr>Accident</vt:lpstr>
      <vt:lpstr>ESI inspection </vt:lpstr>
      <vt:lpstr>EPF-ECR</vt:lpstr>
      <vt:lpstr>EPF Inspection</vt:lpstr>
      <vt:lpstr>PT-FormV</vt:lpstr>
      <vt:lpstr>TDS</vt:lpstr>
      <vt:lpstr>Bonus-C</vt:lpstr>
      <vt:lpstr>Equal remuneration</vt:lpstr>
      <vt:lpstr>FORM-A</vt:lpstr>
      <vt:lpstr>FORM-B</vt:lpstr>
      <vt:lpstr>FORM-C</vt:lpstr>
      <vt:lpstr>FORM-D</vt:lpstr>
      <vt:lpstr>FORM-E</vt:lpstr>
      <vt:lpstr>MIS</vt:lpstr>
      <vt:lpstr>Integrate Annual returns</vt:lpstr>
      <vt:lpstr>POSH return</vt:lpstr>
      <vt:lpstr>'Bank Upload'!Print_Area</vt:lpstr>
      <vt:lpstr>'Equal remuneration'!Print_Area</vt:lpstr>
      <vt:lpstr>'Bonus-C'!Print_Titles</vt:lpstr>
      <vt:lpstr>'Muster Roll'!Print_Titles</vt:lpstr>
      <vt:lpstr>'wages Reg'!Print_Titles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JOY</cp:lastModifiedBy>
  <cp:lastPrinted>2025-04-04T03:37:10Z</cp:lastPrinted>
  <dcterms:created xsi:type="dcterms:W3CDTF">2018-12-21T09:44:49Z</dcterms:created>
  <dcterms:modified xsi:type="dcterms:W3CDTF">2025-04-04T03:37:25Z</dcterms:modified>
</cp:coreProperties>
</file>