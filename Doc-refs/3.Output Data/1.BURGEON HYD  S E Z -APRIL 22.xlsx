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24226"/>
  <mc:AlternateContent xmlns:mc="http://schemas.openxmlformats.org/markup-compatibility/2006">
    <mc:Choice Requires="x15">
      <x15ac:absPath xmlns:x15ac="http://schemas.microsoft.com/office/spreadsheetml/2010/11/ac" url="C:\Users\admin\Desktop\burgeon complted april 22\1 BURGEON-HYDERABAD-SEZ-APRIL 22\"/>
    </mc:Choice>
  </mc:AlternateContent>
  <xr:revisionPtr revIDLastSave="0" documentId="13_ncr:1_{B00AE814-B781-4B74-88C8-AE34077EF03E}" xr6:coauthVersionLast="46" xr6:coauthVersionMax="46" xr10:uidLastSave="{00000000-0000-0000-0000-000000000000}"/>
  <bookViews>
    <workbookView xWindow="-120" yWindow="-120" windowWidth="15600" windowHeight="11160" tabRatio="735" firstSheet="1" activeTab="3" xr2:uid="{00000000-000D-0000-FFFF-FFFF00000000}"/>
  </bookViews>
  <sheets>
    <sheet name="HYD SEZ-APRIL -22WM Reg" sheetId="15" r:id="rId1"/>
    <sheet name="04-22-Master" sheetId="1" r:id="rId2"/>
    <sheet name="Eql remon" sheetId="13" r:id="rId3"/>
    <sheet name="04-22-TMur Roll" sheetId="27" r:id="rId4"/>
    <sheet name="Leave Reg" sheetId="11" r:id="rId5"/>
    <sheet name="wages Reg" sheetId="3" r:id="rId6"/>
    <sheet name="Empt Cards" sheetId="10" r:id="rId7"/>
    <sheet name="wage sllips" sheetId="4" r:id="rId8"/>
    <sheet name="APRIL 22-Bonus" sheetId="12" r:id="rId9"/>
    <sheet name="Deds" sheetId="5" r:id="rId10"/>
    <sheet name="Serive Certificate" sheetId="21" r:id="rId11"/>
    <sheet name="Fines" sheetId="7" r:id="rId12"/>
    <sheet name="Advances" sheetId="6" r:id="rId13"/>
    <sheet name="Overtime" sheetId="8" r:id="rId14"/>
    <sheet name="Accident" sheetId="9" r:id="rId15"/>
    <sheet name="FORM A" sheetId="23" r:id="rId16"/>
    <sheet name="FORM B" sheetId="24" r:id="rId17"/>
    <sheet name="FORM C" sheetId="25" r:id="rId18"/>
    <sheet name="FORM D" sheetId="26" r:id="rId19"/>
    <sheet name="ESI cards Reg" sheetId="16" r:id="rId20"/>
    <sheet name="Form-I" sheetId="19" r:id="rId21"/>
    <sheet name="Form-2" sheetId="20" r:id="rId22"/>
    <sheet name="Form 11" sheetId="17" r:id="rId23"/>
    <sheet name="Form-F" sheetId="18" r:id="rId24"/>
    <sheet name="Sheet1" sheetId="28" r:id="rId25"/>
  </sheets>
  <externalReferences>
    <externalReference r:id="rId26"/>
    <externalReference r:id="rId27"/>
    <externalReference r:id="rId28"/>
    <externalReference r:id="rId29"/>
  </externalReferences>
  <definedNames>
    <definedName name="_xlnm._FilterDatabase" localSheetId="1" hidden="1">'04-22-Master'!$A$14:$HV$38</definedName>
    <definedName name="_xlnm.Print_Area" localSheetId="6">'Empt Cards'!$A$1:$L$658</definedName>
  </definedNames>
  <calcPr calcId="191029"/>
</workbook>
</file>

<file path=xl/calcChain.xml><?xml version="1.0" encoding="utf-8"?>
<calcChain xmlns="http://schemas.openxmlformats.org/spreadsheetml/2006/main">
  <c r="H970" i="10" l="1"/>
  <c r="H917" i="10"/>
  <c r="H869" i="10"/>
  <c r="H823" i="10"/>
  <c r="H829" i="10"/>
  <c r="J828" i="10"/>
  <c r="H778" i="10"/>
  <c r="H729" i="10"/>
  <c r="H681" i="10"/>
  <c r="AC33" i="1"/>
  <c r="C11" i="12"/>
  <c r="E11" i="12"/>
  <c r="O11" i="12"/>
  <c r="P11" i="12"/>
  <c r="Q11" i="12"/>
  <c r="C12" i="12"/>
  <c r="E12" i="12"/>
  <c r="O12" i="12"/>
  <c r="P12" i="12"/>
  <c r="Q12" i="12"/>
  <c r="C13" i="12"/>
  <c r="E13" i="12"/>
  <c r="O13" i="12"/>
  <c r="P13" i="12"/>
  <c r="Q13" i="12"/>
  <c r="C14" i="12"/>
  <c r="E14" i="12"/>
  <c r="O14" i="12"/>
  <c r="P14" i="12"/>
  <c r="Q14" i="12"/>
  <c r="C15" i="12"/>
  <c r="E15" i="12"/>
  <c r="O15" i="12"/>
  <c r="P15" i="12"/>
  <c r="Q15" i="12"/>
  <c r="B16" i="12"/>
  <c r="C16" i="12"/>
  <c r="E16" i="12"/>
  <c r="O16" i="12"/>
  <c r="P16" i="12"/>
  <c r="Q16" i="12"/>
  <c r="B17" i="12"/>
  <c r="C17" i="12"/>
  <c r="E17" i="12"/>
  <c r="O17" i="12"/>
  <c r="P17" i="12"/>
  <c r="Q17" i="12"/>
  <c r="B18" i="12"/>
  <c r="C18" i="12"/>
  <c r="E18" i="12"/>
  <c r="O18" i="12"/>
  <c r="P18" i="12"/>
  <c r="Q18" i="12"/>
  <c r="B19" i="12"/>
  <c r="C19" i="12"/>
  <c r="E19" i="12"/>
  <c r="O19" i="12"/>
  <c r="P19" i="12"/>
  <c r="Q19" i="12"/>
  <c r="B20" i="12"/>
  <c r="C20" i="12"/>
  <c r="E20" i="12"/>
  <c r="O20" i="12"/>
  <c r="P20" i="12"/>
  <c r="Q20" i="12"/>
  <c r="B21" i="12"/>
  <c r="C21" i="12"/>
  <c r="E21" i="12"/>
  <c r="O21" i="12"/>
  <c r="P21" i="12"/>
  <c r="Q21" i="12"/>
  <c r="B22" i="12"/>
  <c r="C22" i="12"/>
  <c r="E22" i="12"/>
  <c r="O22" i="12"/>
  <c r="P22" i="12"/>
  <c r="Q22" i="12"/>
  <c r="B23" i="12"/>
  <c r="C23" i="12"/>
  <c r="E23" i="12"/>
  <c r="O23" i="12"/>
  <c r="P23" i="12"/>
  <c r="Q23" i="12"/>
  <c r="B24" i="12"/>
  <c r="C24" i="12"/>
  <c r="E24" i="12"/>
  <c r="O24" i="12"/>
  <c r="P24" i="12"/>
  <c r="Q24" i="12"/>
  <c r="B25" i="12"/>
  <c r="C25" i="12"/>
  <c r="E25" i="12"/>
  <c r="O25" i="12"/>
  <c r="P25" i="12"/>
  <c r="Q25" i="12"/>
  <c r="B26" i="12"/>
  <c r="C26" i="12"/>
  <c r="E26" i="12"/>
  <c r="O26" i="12"/>
  <c r="P26" i="12"/>
  <c r="Q26" i="12"/>
  <c r="B27" i="12"/>
  <c r="C27" i="12"/>
  <c r="E27" i="12"/>
  <c r="O27" i="12"/>
  <c r="P27" i="12"/>
  <c r="Q27" i="12"/>
  <c r="B28" i="12"/>
  <c r="C28" i="12"/>
  <c r="E28" i="12"/>
  <c r="O28" i="12"/>
  <c r="P28" i="12"/>
  <c r="Q28" i="12"/>
  <c r="B29" i="12"/>
  <c r="C29" i="12"/>
  <c r="E29" i="12"/>
  <c r="O29" i="12"/>
  <c r="P29" i="12"/>
  <c r="Q29" i="12"/>
  <c r="B30" i="12"/>
  <c r="C30" i="12"/>
  <c r="E30" i="12"/>
  <c r="O30" i="12"/>
  <c r="P30" i="12"/>
  <c r="Q30" i="12"/>
  <c r="E800" i="4" l="1"/>
  <c r="H796" i="4"/>
  <c r="E796" i="4"/>
  <c r="E765" i="4"/>
  <c r="H761" i="4"/>
  <c r="E761" i="4"/>
  <c r="H743" i="4"/>
  <c r="E730" i="4"/>
  <c r="H726" i="4"/>
  <c r="E726" i="4"/>
  <c r="H923" i="10"/>
  <c r="H976" i="10"/>
  <c r="H977" i="10"/>
  <c r="J975" i="10"/>
  <c r="H973" i="10"/>
  <c r="H972" i="10"/>
  <c r="H969" i="10"/>
  <c r="H924" i="10"/>
  <c r="J922" i="10"/>
  <c r="H920" i="10"/>
  <c r="H919" i="10"/>
  <c r="H916" i="10"/>
  <c r="H876" i="10"/>
  <c r="H875" i="10"/>
  <c r="J874" i="10"/>
  <c r="H872" i="10"/>
  <c r="H871" i="10"/>
  <c r="H868" i="10"/>
  <c r="AA33" i="3"/>
  <c r="C13" i="3"/>
  <c r="D13" i="3"/>
  <c r="F13" i="3"/>
  <c r="G13" i="3"/>
  <c r="I13" i="3"/>
  <c r="J13" i="3"/>
  <c r="V13" i="3"/>
  <c r="AD13" i="3"/>
  <c r="AE13" i="3"/>
  <c r="AF13" i="3"/>
  <c r="C14" i="3"/>
  <c r="D14" i="3"/>
  <c r="F14" i="3"/>
  <c r="G14" i="3"/>
  <c r="I14" i="3"/>
  <c r="J14" i="3"/>
  <c r="V14" i="3"/>
  <c r="AD14" i="3"/>
  <c r="AE14" i="3"/>
  <c r="AF14" i="3"/>
  <c r="C15" i="3"/>
  <c r="D15" i="3"/>
  <c r="F15" i="3"/>
  <c r="G15" i="3"/>
  <c r="I15" i="3"/>
  <c r="J15" i="3"/>
  <c r="V15" i="3"/>
  <c r="AD15" i="3"/>
  <c r="AE15" i="3"/>
  <c r="AF15" i="3"/>
  <c r="C16" i="3"/>
  <c r="D16" i="3"/>
  <c r="F16" i="3"/>
  <c r="G16" i="3"/>
  <c r="I16" i="3"/>
  <c r="J16" i="3"/>
  <c r="V16" i="3"/>
  <c r="AD16" i="3"/>
  <c r="AE16" i="3"/>
  <c r="AF16" i="3"/>
  <c r="C17" i="3"/>
  <c r="D17" i="3"/>
  <c r="F17" i="3"/>
  <c r="G17" i="3"/>
  <c r="I17" i="3"/>
  <c r="J17" i="3"/>
  <c r="V17" i="3"/>
  <c r="AD17" i="3"/>
  <c r="AE17" i="3"/>
  <c r="AF17" i="3"/>
  <c r="B18" i="3"/>
  <c r="C18" i="3"/>
  <c r="D18" i="3"/>
  <c r="F18" i="3"/>
  <c r="G18" i="3"/>
  <c r="I18" i="3"/>
  <c r="J18" i="3"/>
  <c r="V18" i="3"/>
  <c r="AD18" i="3"/>
  <c r="AE18" i="3"/>
  <c r="AF18" i="3"/>
  <c r="B19" i="3"/>
  <c r="C19" i="3"/>
  <c r="D19" i="3"/>
  <c r="F19" i="3"/>
  <c r="G19" i="3"/>
  <c r="I19" i="3"/>
  <c r="J19" i="3"/>
  <c r="V19" i="3"/>
  <c r="AD19" i="3"/>
  <c r="AE19" i="3"/>
  <c r="AF19" i="3"/>
  <c r="B20" i="3"/>
  <c r="C20" i="3"/>
  <c r="D20" i="3"/>
  <c r="F20" i="3"/>
  <c r="G20" i="3"/>
  <c r="I20" i="3"/>
  <c r="J20" i="3"/>
  <c r="V20" i="3"/>
  <c r="AD20" i="3"/>
  <c r="AE20" i="3"/>
  <c r="AF20" i="3"/>
  <c r="B21" i="3"/>
  <c r="C21" i="3"/>
  <c r="D21" i="3"/>
  <c r="F21" i="3"/>
  <c r="G21" i="3"/>
  <c r="I21" i="3"/>
  <c r="J21" i="3"/>
  <c r="V21" i="3"/>
  <c r="AD21" i="3"/>
  <c r="AE21" i="3"/>
  <c r="AF21" i="3"/>
  <c r="B22" i="3"/>
  <c r="C22" i="3"/>
  <c r="D22" i="3"/>
  <c r="F22" i="3"/>
  <c r="G22" i="3"/>
  <c r="I22" i="3"/>
  <c r="J22" i="3"/>
  <c r="V22" i="3"/>
  <c r="AD22" i="3"/>
  <c r="AE22" i="3"/>
  <c r="AF22" i="3"/>
  <c r="B23" i="3"/>
  <c r="C23" i="3"/>
  <c r="D23" i="3"/>
  <c r="F23" i="3"/>
  <c r="G23" i="3"/>
  <c r="I23" i="3"/>
  <c r="J23" i="3"/>
  <c r="V23" i="3"/>
  <c r="AD23" i="3"/>
  <c r="AE23" i="3"/>
  <c r="AF23" i="3"/>
  <c r="B24" i="3"/>
  <c r="C24" i="3"/>
  <c r="D24" i="3"/>
  <c r="F24" i="3"/>
  <c r="G24" i="3"/>
  <c r="I24" i="3"/>
  <c r="J24" i="3"/>
  <c r="V24" i="3"/>
  <c r="AD24" i="3"/>
  <c r="AE24" i="3"/>
  <c r="AF24" i="3"/>
  <c r="B25" i="3"/>
  <c r="C25" i="3"/>
  <c r="D25" i="3"/>
  <c r="F25" i="3"/>
  <c r="G25" i="3"/>
  <c r="I25" i="3"/>
  <c r="J25" i="3"/>
  <c r="V25" i="3"/>
  <c r="AD25" i="3"/>
  <c r="AE25" i="3"/>
  <c r="AF25" i="3"/>
  <c r="B26" i="3"/>
  <c r="C26" i="3"/>
  <c r="D26" i="3"/>
  <c r="F26" i="3"/>
  <c r="G26" i="3"/>
  <c r="I26" i="3"/>
  <c r="J26" i="3"/>
  <c r="V26" i="3"/>
  <c r="AD26" i="3"/>
  <c r="AE26" i="3"/>
  <c r="AF26" i="3"/>
  <c r="B27" i="3"/>
  <c r="C27" i="3"/>
  <c r="D27" i="3"/>
  <c r="F27" i="3"/>
  <c r="G27" i="3"/>
  <c r="I27" i="3"/>
  <c r="J27" i="3"/>
  <c r="V27" i="3"/>
  <c r="AD27" i="3"/>
  <c r="AE27" i="3"/>
  <c r="AF27" i="3"/>
  <c r="B28" i="3"/>
  <c r="C28" i="3"/>
  <c r="D28" i="3"/>
  <c r="F28" i="3"/>
  <c r="G28" i="3"/>
  <c r="I28" i="3"/>
  <c r="J28" i="3"/>
  <c r="V28" i="3"/>
  <c r="AD28" i="3"/>
  <c r="AE28" i="3"/>
  <c r="AF28" i="3"/>
  <c r="B29" i="3"/>
  <c r="C29" i="3"/>
  <c r="D29" i="3"/>
  <c r="F29" i="3"/>
  <c r="G29" i="3"/>
  <c r="I29" i="3"/>
  <c r="J29" i="3"/>
  <c r="V29" i="3"/>
  <c r="AD29" i="3"/>
  <c r="AE29" i="3"/>
  <c r="AF29" i="3"/>
  <c r="B30" i="3"/>
  <c r="C30" i="3"/>
  <c r="D30" i="3"/>
  <c r="F30" i="3"/>
  <c r="G30" i="3"/>
  <c r="I30" i="3"/>
  <c r="J30" i="3"/>
  <c r="T30" i="3"/>
  <c r="V30" i="3"/>
  <c r="AD30" i="3"/>
  <c r="AE30" i="3"/>
  <c r="AF30" i="3"/>
  <c r="B31" i="3"/>
  <c r="C31" i="3"/>
  <c r="D31" i="3"/>
  <c r="F31" i="3"/>
  <c r="G31" i="3"/>
  <c r="I31" i="3"/>
  <c r="J31" i="3"/>
  <c r="T31" i="3"/>
  <c r="V31" i="3"/>
  <c r="AD31" i="3"/>
  <c r="AE31" i="3"/>
  <c r="AF31" i="3"/>
  <c r="B32" i="3"/>
  <c r="C32" i="3"/>
  <c r="D32" i="3"/>
  <c r="F32" i="3"/>
  <c r="G32" i="3"/>
  <c r="I32" i="3"/>
  <c r="J32" i="3"/>
  <c r="T32" i="3"/>
  <c r="V32" i="3"/>
  <c r="AD32" i="3"/>
  <c r="AE32" i="3"/>
  <c r="AF32" i="3"/>
  <c r="L871" i="11"/>
  <c r="I870" i="11"/>
  <c r="I866" i="11"/>
  <c r="L830" i="11"/>
  <c r="I829" i="11"/>
  <c r="I825" i="11"/>
  <c r="L785" i="11"/>
  <c r="I784" i="11"/>
  <c r="I780" i="11"/>
  <c r="G877" i="11"/>
  <c r="G836" i="11"/>
  <c r="G791" i="11"/>
  <c r="G753" i="11"/>
  <c r="G706" i="11"/>
  <c r="G666" i="11"/>
  <c r="G621" i="11"/>
  <c r="B32" i="27"/>
  <c r="B13" i="27"/>
  <c r="C13" i="27"/>
  <c r="D13" i="27"/>
  <c r="B14" i="27"/>
  <c r="C14" i="27"/>
  <c r="D14" i="27"/>
  <c r="B15" i="27"/>
  <c r="C15" i="27"/>
  <c r="D15" i="27"/>
  <c r="B16" i="27"/>
  <c r="C16" i="27"/>
  <c r="D16" i="27"/>
  <c r="B17" i="27"/>
  <c r="C17" i="27"/>
  <c r="D17" i="27"/>
  <c r="B18" i="27"/>
  <c r="C18" i="27"/>
  <c r="D18" i="27"/>
  <c r="B19" i="27"/>
  <c r="C19" i="27"/>
  <c r="D19" i="27"/>
  <c r="B20" i="27"/>
  <c r="C20" i="27"/>
  <c r="D20" i="27"/>
  <c r="B21" i="27"/>
  <c r="C21" i="27"/>
  <c r="D21" i="27"/>
  <c r="B22" i="27"/>
  <c r="C22" i="27"/>
  <c r="D22" i="27"/>
  <c r="B23" i="27"/>
  <c r="C23" i="27"/>
  <c r="D23" i="27"/>
  <c r="B24" i="27"/>
  <c r="C24" i="27"/>
  <c r="D24" i="27"/>
  <c r="B25" i="27"/>
  <c r="C25" i="27"/>
  <c r="D25" i="27"/>
  <c r="B26" i="27"/>
  <c r="C26" i="27"/>
  <c r="D26" i="27"/>
  <c r="B27" i="27"/>
  <c r="C27" i="27"/>
  <c r="D27" i="27"/>
  <c r="B28" i="27"/>
  <c r="C28" i="27"/>
  <c r="D28" i="27"/>
  <c r="B29" i="27"/>
  <c r="C29" i="27"/>
  <c r="D29" i="27"/>
  <c r="B30" i="27"/>
  <c r="C30" i="27"/>
  <c r="D30" i="27"/>
  <c r="B31" i="27"/>
  <c r="C31" i="27"/>
  <c r="D31" i="27"/>
  <c r="C32" i="27"/>
  <c r="D32" i="27"/>
  <c r="C16" i="13"/>
  <c r="C41" i="13"/>
  <c r="D41" i="13"/>
  <c r="C14" i="13" s="1"/>
  <c r="A39" i="13"/>
  <c r="E39" i="13"/>
  <c r="A40" i="13"/>
  <c r="E40" i="13"/>
  <c r="A38" i="13"/>
  <c r="E38" i="13"/>
  <c r="AI17" i="1"/>
  <c r="W13" i="3" s="1"/>
  <c r="AJ17" i="1"/>
  <c r="X13" i="3" s="1"/>
  <c r="AK17" i="1"/>
  <c r="Y13" i="3" s="1"/>
  <c r="AL17" i="1"/>
  <c r="Z13" i="3" s="1"/>
  <c r="AI18" i="1"/>
  <c r="W14" i="3" s="1"/>
  <c r="AJ18" i="1"/>
  <c r="X14" i="3" s="1"/>
  <c r="AK18" i="1"/>
  <c r="Y14" i="3" s="1"/>
  <c r="AL18" i="1"/>
  <c r="Z14" i="3" s="1"/>
  <c r="AI19" i="1"/>
  <c r="W15" i="3" s="1"/>
  <c r="AJ19" i="1"/>
  <c r="X15" i="3" s="1"/>
  <c r="AK19" i="1"/>
  <c r="Y15" i="3" s="1"/>
  <c r="AL19" i="1"/>
  <c r="Z15" i="3" s="1"/>
  <c r="AI20" i="1"/>
  <c r="W16" i="3" s="1"/>
  <c r="AJ20" i="1"/>
  <c r="X16" i="3" s="1"/>
  <c r="AK20" i="1"/>
  <c r="Y16" i="3" s="1"/>
  <c r="AL20" i="1"/>
  <c r="Z16" i="3" s="1"/>
  <c r="AI21" i="1"/>
  <c r="W17" i="3" s="1"/>
  <c r="AJ21" i="1"/>
  <c r="X17" i="3" s="1"/>
  <c r="AK21" i="1"/>
  <c r="Y17" i="3" s="1"/>
  <c r="AL21" i="1"/>
  <c r="Z17" i="3" s="1"/>
  <c r="AI22" i="1"/>
  <c r="W18" i="3" s="1"/>
  <c r="AJ22" i="1"/>
  <c r="X18" i="3" s="1"/>
  <c r="AK22" i="1"/>
  <c r="Y18" i="3" s="1"/>
  <c r="AL22" i="1"/>
  <c r="Z18" i="3" s="1"/>
  <c r="AI23" i="1"/>
  <c r="W19" i="3" s="1"/>
  <c r="AJ23" i="1"/>
  <c r="X19" i="3" s="1"/>
  <c r="AK23" i="1"/>
  <c r="Y19" i="3" s="1"/>
  <c r="AL23" i="1"/>
  <c r="Z19" i="3" s="1"/>
  <c r="AI24" i="1"/>
  <c r="W20" i="3" s="1"/>
  <c r="AJ24" i="1"/>
  <c r="X20" i="3" s="1"/>
  <c r="AK24" i="1"/>
  <c r="Y20" i="3" s="1"/>
  <c r="AL24" i="1"/>
  <c r="Z20" i="3" s="1"/>
  <c r="AI25" i="1"/>
  <c r="W21" i="3" s="1"/>
  <c r="AJ25" i="1"/>
  <c r="X21" i="3" s="1"/>
  <c r="AK25" i="1"/>
  <c r="Y21" i="3" s="1"/>
  <c r="AL25" i="1"/>
  <c r="Z21" i="3" s="1"/>
  <c r="AI26" i="1"/>
  <c r="W22" i="3" s="1"/>
  <c r="AJ26" i="1"/>
  <c r="X22" i="3" s="1"/>
  <c r="AK26" i="1"/>
  <c r="Y22" i="3" s="1"/>
  <c r="AL26" i="1"/>
  <c r="Z22" i="3" s="1"/>
  <c r="AI27" i="1"/>
  <c r="W23" i="3" s="1"/>
  <c r="AJ27" i="1"/>
  <c r="X23" i="3" s="1"/>
  <c r="AK27" i="1"/>
  <c r="Y23" i="3" s="1"/>
  <c r="AL27" i="1"/>
  <c r="Z23" i="3" s="1"/>
  <c r="AI28" i="1"/>
  <c r="W24" i="3" s="1"/>
  <c r="AJ28" i="1"/>
  <c r="X24" i="3" s="1"/>
  <c r="AK28" i="1"/>
  <c r="Y24" i="3" s="1"/>
  <c r="AL28" i="1"/>
  <c r="Z24" i="3" s="1"/>
  <c r="AI29" i="1"/>
  <c r="W25" i="3" s="1"/>
  <c r="AJ29" i="1"/>
  <c r="X25" i="3" s="1"/>
  <c r="AK29" i="1"/>
  <c r="Y25" i="3" s="1"/>
  <c r="AL29" i="1"/>
  <c r="Z25" i="3" s="1"/>
  <c r="AI30" i="1"/>
  <c r="W26" i="3" s="1"/>
  <c r="AJ30" i="1"/>
  <c r="X26" i="3" s="1"/>
  <c r="AK30" i="1"/>
  <c r="Y26" i="3" s="1"/>
  <c r="AL30" i="1"/>
  <c r="Z26" i="3" s="1"/>
  <c r="AI31" i="1"/>
  <c r="W27" i="3" s="1"/>
  <c r="AJ31" i="1"/>
  <c r="X27" i="3" s="1"/>
  <c r="AK31" i="1"/>
  <c r="Y27" i="3" s="1"/>
  <c r="AL31" i="1"/>
  <c r="Z27" i="3" s="1"/>
  <c r="AI32" i="1"/>
  <c r="W28" i="3" s="1"/>
  <c r="AJ32" i="1"/>
  <c r="X28" i="3" s="1"/>
  <c r="AK32" i="1"/>
  <c r="Y28" i="3" s="1"/>
  <c r="AL32" i="1"/>
  <c r="Z28" i="3" s="1"/>
  <c r="AI33" i="1"/>
  <c r="W29" i="3" s="1"/>
  <c r="AJ33" i="1"/>
  <c r="X29" i="3" s="1"/>
  <c r="AK33" i="1"/>
  <c r="Y29" i="3" s="1"/>
  <c r="AL33" i="1"/>
  <c r="Z29" i="3" s="1"/>
  <c r="AI34" i="1"/>
  <c r="E883" i="10" s="1"/>
  <c r="AJ34" i="1"/>
  <c r="F743" i="4" s="1"/>
  <c r="AK34" i="1"/>
  <c r="K883" i="10" s="1"/>
  <c r="AL34" i="1"/>
  <c r="L883" i="10" s="1"/>
  <c r="AI35" i="1"/>
  <c r="D778" i="4" s="1"/>
  <c r="AJ35" i="1"/>
  <c r="I931" i="10" s="1"/>
  <c r="AK35" i="1"/>
  <c r="G778" i="4" s="1"/>
  <c r="AL35" i="1"/>
  <c r="L931" i="10" s="1"/>
  <c r="AI36" i="1"/>
  <c r="W32" i="3" s="1"/>
  <c r="AJ36" i="1"/>
  <c r="F813" i="4" s="1"/>
  <c r="AK36" i="1"/>
  <c r="Y32" i="3" s="1"/>
  <c r="AL36" i="1"/>
  <c r="H813" i="4" s="1"/>
  <c r="AL16" i="1"/>
  <c r="AK16" i="1"/>
  <c r="AK37" i="1" s="1"/>
  <c r="AJ16" i="1"/>
  <c r="AJ37" i="1" s="1"/>
  <c r="AI16" i="1"/>
  <c r="AI37" i="1" s="1"/>
  <c r="AC17" i="1"/>
  <c r="AD17" i="1"/>
  <c r="R13" i="3" s="1"/>
  <c r="AE17" i="1"/>
  <c r="S13" i="3" s="1"/>
  <c r="AC18" i="1"/>
  <c r="AD18" i="1"/>
  <c r="R14" i="3" s="1"/>
  <c r="AE18" i="1"/>
  <c r="S14" i="3" s="1"/>
  <c r="AC19" i="1"/>
  <c r="AD19" i="1"/>
  <c r="R15" i="3" s="1"/>
  <c r="AE19" i="1"/>
  <c r="S15" i="3" s="1"/>
  <c r="AC20" i="1"/>
  <c r="AD20" i="1"/>
  <c r="R16" i="3" s="1"/>
  <c r="AE20" i="1"/>
  <c r="S16" i="3" s="1"/>
  <c r="AC21" i="1"/>
  <c r="AD21" i="1"/>
  <c r="R17" i="3" s="1"/>
  <c r="AE21" i="1"/>
  <c r="S17" i="3" s="1"/>
  <c r="AC22" i="1"/>
  <c r="AD22" i="1"/>
  <c r="R18" i="3" s="1"/>
  <c r="AE22" i="1"/>
  <c r="S18" i="3" s="1"/>
  <c r="AC23" i="1"/>
  <c r="AD23" i="1"/>
  <c r="R19" i="3" s="1"/>
  <c r="AE23" i="1"/>
  <c r="S19" i="3" s="1"/>
  <c r="AC24" i="1"/>
  <c r="AD24" i="1"/>
  <c r="R20" i="3" s="1"/>
  <c r="AE24" i="1"/>
  <c r="S20" i="3" s="1"/>
  <c r="AC25" i="1"/>
  <c r="AD25" i="1"/>
  <c r="R21" i="3" s="1"/>
  <c r="AE25" i="1"/>
  <c r="S21" i="3" s="1"/>
  <c r="AC26" i="1"/>
  <c r="AD26" i="1"/>
  <c r="R22" i="3" s="1"/>
  <c r="AE26" i="1"/>
  <c r="S22" i="3" s="1"/>
  <c r="AC27" i="1"/>
  <c r="AD27" i="1"/>
  <c r="R23" i="3" s="1"/>
  <c r="AE27" i="1"/>
  <c r="S23" i="3" s="1"/>
  <c r="AC28" i="1"/>
  <c r="AD28" i="1"/>
  <c r="R24" i="3" s="1"/>
  <c r="AE28" i="1"/>
  <c r="S24" i="3" s="1"/>
  <c r="AC29" i="1"/>
  <c r="AD29" i="1"/>
  <c r="R25" i="3" s="1"/>
  <c r="AE29" i="1"/>
  <c r="S25" i="3" s="1"/>
  <c r="AC30" i="1"/>
  <c r="AD30" i="1"/>
  <c r="R26" i="3" s="1"/>
  <c r="AE30" i="1"/>
  <c r="S26" i="3" s="1"/>
  <c r="AC31" i="1"/>
  <c r="AD31" i="1"/>
  <c r="R27" i="3" s="1"/>
  <c r="AE31" i="1"/>
  <c r="S27" i="3" s="1"/>
  <c r="AC32" i="1"/>
  <c r="AD32" i="1"/>
  <c r="R28" i="3" s="1"/>
  <c r="AE32" i="1"/>
  <c r="S28" i="3" s="1"/>
  <c r="AD33" i="1"/>
  <c r="R29" i="3" s="1"/>
  <c r="AE33" i="1"/>
  <c r="S29" i="3" s="1"/>
  <c r="AC34" i="1"/>
  <c r="AD34" i="1"/>
  <c r="R30" i="3" s="1"/>
  <c r="AE34" i="1"/>
  <c r="S30" i="3" s="1"/>
  <c r="AC35" i="1"/>
  <c r="AD35" i="1"/>
  <c r="R31" i="3" s="1"/>
  <c r="AE35" i="1"/>
  <c r="S31" i="3" s="1"/>
  <c r="AC36" i="1"/>
  <c r="AD36" i="1"/>
  <c r="R32" i="3" s="1"/>
  <c r="AE36" i="1"/>
  <c r="S32" i="3" s="1"/>
  <c r="AE16" i="1"/>
  <c r="AD16" i="1"/>
  <c r="AC16" i="1"/>
  <c r="X17" i="1"/>
  <c r="L13" i="3" s="1"/>
  <c r="Y17" i="1"/>
  <c r="M13" i="3" s="1"/>
  <c r="Z17" i="1"/>
  <c r="N13" i="3" s="1"/>
  <c r="AA17" i="1"/>
  <c r="O13" i="3" s="1"/>
  <c r="X18" i="1"/>
  <c r="L14" i="3" s="1"/>
  <c r="Y18" i="1"/>
  <c r="M14" i="3" s="1"/>
  <c r="Z18" i="1"/>
  <c r="N14" i="3" s="1"/>
  <c r="AA18" i="1"/>
  <c r="O14" i="3" s="1"/>
  <c r="X19" i="1"/>
  <c r="L15" i="3" s="1"/>
  <c r="Y19" i="1"/>
  <c r="M15" i="3" s="1"/>
  <c r="Z19" i="1"/>
  <c r="N15" i="3" s="1"/>
  <c r="AA19" i="1"/>
  <c r="O15" i="3" s="1"/>
  <c r="X20" i="1"/>
  <c r="L16" i="3" s="1"/>
  <c r="Y20" i="1"/>
  <c r="M16" i="3" s="1"/>
  <c r="Z20" i="1"/>
  <c r="N16" i="3" s="1"/>
  <c r="AA20" i="1"/>
  <c r="O16" i="3" s="1"/>
  <c r="X21" i="1"/>
  <c r="L17" i="3" s="1"/>
  <c r="Y21" i="1"/>
  <c r="M17" i="3" s="1"/>
  <c r="Z21" i="1"/>
  <c r="N17" i="3" s="1"/>
  <c r="AA21" i="1"/>
  <c r="O17" i="3" s="1"/>
  <c r="X22" i="1"/>
  <c r="L18" i="3" s="1"/>
  <c r="Y22" i="1"/>
  <c r="M18" i="3" s="1"/>
  <c r="Z22" i="1"/>
  <c r="N18" i="3" s="1"/>
  <c r="AA22" i="1"/>
  <c r="O18" i="3" s="1"/>
  <c r="X23" i="1"/>
  <c r="L19" i="3" s="1"/>
  <c r="Y23" i="1"/>
  <c r="M19" i="3" s="1"/>
  <c r="Z23" i="1"/>
  <c r="N19" i="3" s="1"/>
  <c r="AA23" i="1"/>
  <c r="O19" i="3" s="1"/>
  <c r="X24" i="1"/>
  <c r="L20" i="3" s="1"/>
  <c r="Y24" i="1"/>
  <c r="M20" i="3" s="1"/>
  <c r="Z24" i="1"/>
  <c r="N20" i="3" s="1"/>
  <c r="AA24" i="1"/>
  <c r="O20" i="3" s="1"/>
  <c r="X25" i="1"/>
  <c r="L21" i="3" s="1"/>
  <c r="Y25" i="1"/>
  <c r="M21" i="3" s="1"/>
  <c r="Z25" i="1"/>
  <c r="N21" i="3" s="1"/>
  <c r="AA25" i="1"/>
  <c r="O21" i="3" s="1"/>
  <c r="X26" i="1"/>
  <c r="L22" i="3" s="1"/>
  <c r="Y26" i="1"/>
  <c r="M22" i="3" s="1"/>
  <c r="Z26" i="1"/>
  <c r="N22" i="3" s="1"/>
  <c r="AA26" i="1"/>
  <c r="O22" i="3" s="1"/>
  <c r="X27" i="1"/>
  <c r="L23" i="3" s="1"/>
  <c r="Y27" i="1"/>
  <c r="M23" i="3" s="1"/>
  <c r="Z27" i="1"/>
  <c r="N23" i="3" s="1"/>
  <c r="AA27" i="1"/>
  <c r="O23" i="3" s="1"/>
  <c r="X28" i="1"/>
  <c r="L24" i="3" s="1"/>
  <c r="Y28" i="1"/>
  <c r="M24" i="3" s="1"/>
  <c r="Z28" i="1"/>
  <c r="N24" i="3" s="1"/>
  <c r="AA28" i="1"/>
  <c r="O24" i="3" s="1"/>
  <c r="X29" i="1"/>
  <c r="L25" i="3" s="1"/>
  <c r="Y29" i="1"/>
  <c r="M25" i="3" s="1"/>
  <c r="Z29" i="1"/>
  <c r="N25" i="3" s="1"/>
  <c r="AA29" i="1"/>
  <c r="O25" i="3" s="1"/>
  <c r="X30" i="1"/>
  <c r="L26" i="3" s="1"/>
  <c r="Y30" i="1"/>
  <c r="M26" i="3" s="1"/>
  <c r="Z30" i="1"/>
  <c r="N26" i="3" s="1"/>
  <c r="AA30" i="1"/>
  <c r="O26" i="3" s="1"/>
  <c r="X31" i="1"/>
  <c r="L27" i="3" s="1"/>
  <c r="Y31" i="1"/>
  <c r="M27" i="3" s="1"/>
  <c r="Z31" i="1"/>
  <c r="N27" i="3" s="1"/>
  <c r="AA31" i="1"/>
  <c r="O27" i="3" s="1"/>
  <c r="X32" i="1"/>
  <c r="L28" i="3" s="1"/>
  <c r="Y32" i="1"/>
  <c r="M28" i="3" s="1"/>
  <c r="Z32" i="1"/>
  <c r="N28" i="3" s="1"/>
  <c r="AA32" i="1"/>
  <c r="O28" i="3" s="1"/>
  <c r="X33" i="1"/>
  <c r="L29" i="3" s="1"/>
  <c r="Y33" i="1"/>
  <c r="M29" i="3" s="1"/>
  <c r="Z33" i="1"/>
  <c r="N29" i="3" s="1"/>
  <c r="AA33" i="1"/>
  <c r="O29" i="3" s="1"/>
  <c r="X34" i="1"/>
  <c r="G38" i="13" s="1"/>
  <c r="Y34" i="1"/>
  <c r="M30" i="3" s="1"/>
  <c r="Z34" i="1"/>
  <c r="N30" i="3" s="1"/>
  <c r="AA34" i="1"/>
  <c r="O30" i="3" s="1"/>
  <c r="X35" i="1"/>
  <c r="L31" i="3" s="1"/>
  <c r="Y35" i="1"/>
  <c r="M31" i="3" s="1"/>
  <c r="Z35" i="1"/>
  <c r="N31" i="3" s="1"/>
  <c r="AA35" i="1"/>
  <c r="O31" i="3" s="1"/>
  <c r="X36" i="1"/>
  <c r="G40" i="13" s="1"/>
  <c r="Y36" i="1"/>
  <c r="M32" i="3" s="1"/>
  <c r="Z36" i="1"/>
  <c r="N32" i="3" s="1"/>
  <c r="AA36" i="1"/>
  <c r="O32" i="3" s="1"/>
  <c r="T36" i="1"/>
  <c r="H32" i="3" s="1"/>
  <c r="T17" i="1"/>
  <c r="H13" i="3" s="1"/>
  <c r="T18" i="1"/>
  <c r="H14" i="3" s="1"/>
  <c r="T19" i="1"/>
  <c r="H15" i="3" s="1"/>
  <c r="T20" i="1"/>
  <c r="H16" i="3" s="1"/>
  <c r="T21" i="1"/>
  <c r="H17" i="3" s="1"/>
  <c r="T22" i="1"/>
  <c r="H18" i="3" s="1"/>
  <c r="T23" i="1"/>
  <c r="H19" i="3" s="1"/>
  <c r="T24" i="1"/>
  <c r="H20" i="3" s="1"/>
  <c r="T25" i="1"/>
  <c r="H21" i="3" s="1"/>
  <c r="T26" i="1"/>
  <c r="H22" i="3" s="1"/>
  <c r="T27" i="1"/>
  <c r="H23" i="3" s="1"/>
  <c r="T28" i="1"/>
  <c r="H24" i="3" s="1"/>
  <c r="T29" i="1"/>
  <c r="H25" i="3" s="1"/>
  <c r="T30" i="1"/>
  <c r="H26" i="3" s="1"/>
  <c r="T31" i="1"/>
  <c r="H27" i="3" s="1"/>
  <c r="T32" i="1"/>
  <c r="H28" i="3" s="1"/>
  <c r="T33" i="1"/>
  <c r="H29" i="3" s="1"/>
  <c r="T34" i="1"/>
  <c r="H30" i="3" s="1"/>
  <c r="T35" i="1"/>
  <c r="H31" i="3" s="1"/>
  <c r="T16" i="1"/>
  <c r="AA16" i="1"/>
  <c r="AA37" i="1" s="1"/>
  <c r="Z16" i="1"/>
  <c r="Z37" i="1" s="1"/>
  <c r="Y16" i="1"/>
  <c r="X16" i="1"/>
  <c r="X37" i="1" s="1"/>
  <c r="Q17" i="1"/>
  <c r="Q18" i="1"/>
  <c r="Q19" i="1"/>
  <c r="Q20" i="1"/>
  <c r="Q21" i="1"/>
  <c r="Q22" i="1"/>
  <c r="Q23" i="1"/>
  <c r="Q24" i="1"/>
  <c r="Q25" i="1"/>
  <c r="Q26" i="1"/>
  <c r="Q27" i="1"/>
  <c r="Q28" i="1"/>
  <c r="Q29" i="1"/>
  <c r="Q30" i="1"/>
  <c r="Q31" i="1"/>
  <c r="Q32" i="1"/>
  <c r="Q33" i="1"/>
  <c r="Q34" i="1"/>
  <c r="Q35" i="1"/>
  <c r="Q36" i="1"/>
  <c r="Q16" i="1"/>
  <c r="Y37" i="1" l="1"/>
  <c r="AC37" i="1"/>
  <c r="T38" i="1"/>
  <c r="J979" i="10"/>
  <c r="F30" i="12"/>
  <c r="Q38" i="1"/>
  <c r="E29" i="3"/>
  <c r="F27" i="12"/>
  <c r="E25" i="3"/>
  <c r="F23" i="12"/>
  <c r="E21" i="3"/>
  <c r="F19" i="12"/>
  <c r="E17" i="3"/>
  <c r="F15" i="12"/>
  <c r="E13" i="3"/>
  <c r="F11" i="12"/>
  <c r="AE37" i="1"/>
  <c r="Q29" i="3"/>
  <c r="H27" i="12"/>
  <c r="M27" i="12" s="1"/>
  <c r="N27" i="12" s="1"/>
  <c r="Q25" i="3"/>
  <c r="H23" i="12"/>
  <c r="M23" i="12" s="1"/>
  <c r="N23" i="12" s="1"/>
  <c r="Q21" i="3"/>
  <c r="H19" i="12"/>
  <c r="M19" i="12" s="1"/>
  <c r="N19" i="12" s="1"/>
  <c r="Q17" i="3"/>
  <c r="H15" i="12"/>
  <c r="M15" i="12" s="1"/>
  <c r="N15" i="12" s="1"/>
  <c r="Q13" i="3"/>
  <c r="H11" i="12"/>
  <c r="M11" i="12" s="1"/>
  <c r="N11" i="12" s="1"/>
  <c r="AL37" i="1"/>
  <c r="AI28" i="27"/>
  <c r="F26" i="12"/>
  <c r="AI24" i="27"/>
  <c r="F22" i="12"/>
  <c r="AI20" i="27"/>
  <c r="F18" i="12"/>
  <c r="AI16" i="27"/>
  <c r="F14" i="12"/>
  <c r="Q30" i="3"/>
  <c r="H28" i="12"/>
  <c r="M28" i="12" s="1"/>
  <c r="N28" i="12" s="1"/>
  <c r="Q26" i="3"/>
  <c r="H24" i="12"/>
  <c r="M24" i="12" s="1"/>
  <c r="N24" i="12" s="1"/>
  <c r="Q22" i="3"/>
  <c r="H20" i="12"/>
  <c r="M20" i="12" s="1"/>
  <c r="N20" i="12" s="1"/>
  <c r="Q18" i="3"/>
  <c r="H16" i="12"/>
  <c r="M16" i="12" s="1"/>
  <c r="N16" i="12" s="1"/>
  <c r="Q14" i="3"/>
  <c r="H12" i="12"/>
  <c r="M12" i="12" s="1"/>
  <c r="N12" i="12" s="1"/>
  <c r="E767" i="4"/>
  <c r="F29" i="12"/>
  <c r="E27" i="3"/>
  <c r="F25" i="12"/>
  <c r="E23" i="3"/>
  <c r="F21" i="12"/>
  <c r="E19" i="3"/>
  <c r="F17" i="12"/>
  <c r="E15" i="3"/>
  <c r="F13" i="12"/>
  <c r="Q31" i="3"/>
  <c r="H29" i="12"/>
  <c r="M29" i="12" s="1"/>
  <c r="N29" i="12" s="1"/>
  <c r="Q27" i="3"/>
  <c r="H25" i="12"/>
  <c r="M25" i="12" s="1"/>
  <c r="N25" i="12" s="1"/>
  <c r="Q23" i="3"/>
  <c r="H21" i="12"/>
  <c r="M21" i="12" s="1"/>
  <c r="N21" i="12" s="1"/>
  <c r="Q19" i="3"/>
  <c r="H17" i="12"/>
  <c r="M17" i="12" s="1"/>
  <c r="N17" i="12" s="1"/>
  <c r="Q15" i="3"/>
  <c r="H13" i="12"/>
  <c r="M13" i="12" s="1"/>
  <c r="N13" i="12" s="1"/>
  <c r="J878" i="10"/>
  <c r="F28" i="12"/>
  <c r="AI26" i="27"/>
  <c r="F24" i="12"/>
  <c r="AI22" i="27"/>
  <c r="F20" i="12"/>
  <c r="AI18" i="27"/>
  <c r="F16" i="12"/>
  <c r="E14" i="3"/>
  <c r="F12" i="12"/>
  <c r="AD37" i="1"/>
  <c r="Q32" i="3"/>
  <c r="H30" i="12"/>
  <c r="M30" i="12" s="1"/>
  <c r="N30" i="12" s="1"/>
  <c r="Q28" i="3"/>
  <c r="H26" i="12"/>
  <c r="M26" i="12" s="1"/>
  <c r="N26" i="12" s="1"/>
  <c r="Q24" i="3"/>
  <c r="H22" i="12"/>
  <c r="M22" i="12" s="1"/>
  <c r="N22" i="12" s="1"/>
  <c r="Q20" i="3"/>
  <c r="H18" i="12"/>
  <c r="M18" i="12" s="1"/>
  <c r="N18" i="12" s="1"/>
  <c r="Q16" i="3"/>
  <c r="H14" i="12"/>
  <c r="M14" i="12" s="1"/>
  <c r="N14" i="12" s="1"/>
  <c r="AB29" i="3"/>
  <c r="AB28" i="3"/>
  <c r="AB27" i="3"/>
  <c r="AB26" i="3"/>
  <c r="AB25" i="3"/>
  <c r="AB24" i="3"/>
  <c r="AB23" i="3"/>
  <c r="AB22" i="3"/>
  <c r="AB21" i="3"/>
  <c r="AB20" i="3"/>
  <c r="AB19" i="3"/>
  <c r="AB18" i="3"/>
  <c r="AB17" i="3"/>
  <c r="AB16" i="3"/>
  <c r="AB15" i="3"/>
  <c r="AB14" i="3"/>
  <c r="AB13" i="3"/>
  <c r="AB34" i="1"/>
  <c r="AG34" i="1" s="1"/>
  <c r="G28" i="12" s="1"/>
  <c r="AB32" i="1"/>
  <c r="AB30" i="1"/>
  <c r="AB28" i="1"/>
  <c r="AB26" i="1"/>
  <c r="AB24" i="1"/>
  <c r="AB22" i="1"/>
  <c r="AB20" i="1"/>
  <c r="AB18" i="1"/>
  <c r="AB36" i="1"/>
  <c r="AG36" i="1" s="1"/>
  <c r="G30" i="12" s="1"/>
  <c r="AN36" i="1"/>
  <c r="AN34" i="1"/>
  <c r="AN32" i="1"/>
  <c r="AN26" i="1"/>
  <c r="AN25" i="1"/>
  <c r="AN24" i="1"/>
  <c r="AN23" i="1"/>
  <c r="AN22" i="1"/>
  <c r="AN21" i="1"/>
  <c r="AN20" i="1"/>
  <c r="AN19" i="1"/>
  <c r="AN18" i="1"/>
  <c r="AN17" i="1"/>
  <c r="F38" i="13"/>
  <c r="H38" i="13" s="1"/>
  <c r="F40" i="13"/>
  <c r="H40" i="13" s="1"/>
  <c r="G39" i="13"/>
  <c r="AI31" i="27"/>
  <c r="AI29" i="27"/>
  <c r="AI27" i="27"/>
  <c r="AI25" i="27"/>
  <c r="AI23" i="27"/>
  <c r="AI21" i="27"/>
  <c r="AI19" i="27"/>
  <c r="AI17" i="27"/>
  <c r="Z32" i="3"/>
  <c r="X32" i="3"/>
  <c r="L32" i="3"/>
  <c r="E32" i="3"/>
  <c r="Z31" i="3"/>
  <c r="X31" i="3"/>
  <c r="E31" i="3"/>
  <c r="Z30" i="3"/>
  <c r="X30" i="3"/>
  <c r="L30" i="3"/>
  <c r="E30" i="3"/>
  <c r="E28" i="3"/>
  <c r="E26" i="3"/>
  <c r="E24" i="3"/>
  <c r="E22" i="3"/>
  <c r="E20" i="3"/>
  <c r="E18" i="3"/>
  <c r="E16" i="3"/>
  <c r="I883" i="10"/>
  <c r="J926" i="10"/>
  <c r="E931" i="10"/>
  <c r="K931" i="10"/>
  <c r="E984" i="10"/>
  <c r="K984" i="10"/>
  <c r="E732" i="4"/>
  <c r="D743" i="4"/>
  <c r="G743" i="4"/>
  <c r="F778" i="4"/>
  <c r="H778" i="4"/>
  <c r="E802" i="4"/>
  <c r="D813" i="4"/>
  <c r="G813" i="4"/>
  <c r="AB35" i="1"/>
  <c r="AG35" i="1" s="1"/>
  <c r="G29" i="12" s="1"/>
  <c r="AB33" i="1"/>
  <c r="AB31" i="1"/>
  <c r="AB29" i="1"/>
  <c r="AB27" i="1"/>
  <c r="AB25" i="1"/>
  <c r="AB23" i="1"/>
  <c r="AB21" i="1"/>
  <c r="AB19" i="1"/>
  <c r="AB17" i="1"/>
  <c r="AN35" i="1"/>
  <c r="AN33" i="1"/>
  <c r="AN31" i="1"/>
  <c r="AN30" i="1"/>
  <c r="AN29" i="1"/>
  <c r="AN28" i="1"/>
  <c r="AN27" i="1"/>
  <c r="F39" i="13"/>
  <c r="AI32" i="27"/>
  <c r="AI30" i="27"/>
  <c r="Y31" i="3"/>
  <c r="W31" i="3"/>
  <c r="Y30" i="3"/>
  <c r="W30" i="3"/>
  <c r="I984" i="10"/>
  <c r="L984" i="10"/>
  <c r="K32" i="3"/>
  <c r="P32" i="3" s="1"/>
  <c r="U32" i="3" s="1"/>
  <c r="K31" i="3"/>
  <c r="P31" i="3" s="1"/>
  <c r="U31" i="3" s="1"/>
  <c r="K30" i="3"/>
  <c r="P30" i="3" s="1"/>
  <c r="K29" i="3"/>
  <c r="P29" i="3" s="1"/>
  <c r="K28" i="3"/>
  <c r="P28" i="3" s="1"/>
  <c r="K27" i="3"/>
  <c r="P27" i="3" s="1"/>
  <c r="K26" i="3"/>
  <c r="P26" i="3" s="1"/>
  <c r="K25" i="3"/>
  <c r="P25" i="3" s="1"/>
  <c r="K24" i="3"/>
  <c r="P24" i="3" s="1"/>
  <c r="K23" i="3"/>
  <c r="P23" i="3" s="1"/>
  <c r="K22" i="3"/>
  <c r="P22" i="3" s="1"/>
  <c r="K21" i="3"/>
  <c r="P21" i="3" s="1"/>
  <c r="K20" i="3"/>
  <c r="P20" i="3" s="1"/>
  <c r="K19" i="3"/>
  <c r="P19" i="3" s="1"/>
  <c r="K18" i="3"/>
  <c r="P18" i="3" s="1"/>
  <c r="K17" i="3"/>
  <c r="P17" i="3" s="1"/>
  <c r="K16" i="3"/>
  <c r="P16" i="3" s="1"/>
  <c r="K15" i="3"/>
  <c r="P15" i="3" s="1"/>
  <c r="K14" i="3"/>
  <c r="P14" i="3" s="1"/>
  <c r="K13" i="3"/>
  <c r="P13" i="3" s="1"/>
  <c r="AO36" i="1"/>
  <c r="H39" i="13" l="1"/>
  <c r="AO35" i="1"/>
  <c r="U30" i="3"/>
  <c r="AC30" i="3" s="1"/>
  <c r="AB32" i="3"/>
  <c r="AC32" i="3" s="1"/>
  <c r="AO34" i="1"/>
  <c r="J930" i="10"/>
  <c r="E776" i="4"/>
  <c r="E741" i="4"/>
  <c r="O741" i="4" s="1"/>
  <c r="J882" i="10"/>
  <c r="AB30" i="3"/>
  <c r="AB31" i="3"/>
  <c r="AC31" i="3" s="1"/>
  <c r="E811" i="4"/>
  <c r="O811" i="4" s="1"/>
  <c r="J983" i="10"/>
  <c r="D3" i="27"/>
  <c r="E695" i="4"/>
  <c r="O695" i="4" s="1"/>
  <c r="H691" i="4"/>
  <c r="E691" i="4"/>
  <c r="E660" i="4"/>
  <c r="H656" i="4"/>
  <c r="R656" i="4" s="1"/>
  <c r="E656" i="4"/>
  <c r="O656" i="4" s="1"/>
  <c r="H621" i="4"/>
  <c r="R621" i="4" s="1"/>
  <c r="E621" i="4"/>
  <c r="O621" i="4" s="1"/>
  <c r="E625" i="4"/>
  <c r="E590" i="4"/>
  <c r="H586" i="4"/>
  <c r="R586" i="4" s="1"/>
  <c r="E586" i="4"/>
  <c r="O586" i="4" s="1"/>
  <c r="H883" i="4"/>
  <c r="R883" i="4" s="1"/>
  <c r="G883" i="4"/>
  <c r="Q883" i="4" s="1"/>
  <c r="F883" i="4"/>
  <c r="P883" i="4" s="1"/>
  <c r="E883" i="4"/>
  <c r="O883" i="4" s="1"/>
  <c r="D883" i="4"/>
  <c r="N883" i="4" s="1"/>
  <c r="E881" i="4"/>
  <c r="O877" i="4"/>
  <c r="E872" i="4"/>
  <c r="O872" i="4" s="1"/>
  <c r="E870" i="4"/>
  <c r="O870" i="4" s="1"/>
  <c r="O868" i="4"/>
  <c r="O866" i="4"/>
  <c r="H866" i="4"/>
  <c r="E866" i="4"/>
  <c r="L864" i="4"/>
  <c r="O862" i="4"/>
  <c r="H848" i="4"/>
  <c r="R848" i="4" s="1"/>
  <c r="G848" i="4"/>
  <c r="Q848" i="4" s="1"/>
  <c r="F848" i="4"/>
  <c r="P848" i="4" s="1"/>
  <c r="E848" i="4"/>
  <c r="O848" i="4" s="1"/>
  <c r="D848" i="4"/>
  <c r="N848" i="4" s="1"/>
  <c r="E846" i="4"/>
  <c r="O846" i="4" s="1"/>
  <c r="O842" i="4"/>
  <c r="E837" i="4"/>
  <c r="O837" i="4" s="1"/>
  <c r="E835" i="4"/>
  <c r="O835" i="4" s="1"/>
  <c r="O833" i="4"/>
  <c r="O831" i="4"/>
  <c r="H831" i="4"/>
  <c r="E831" i="4"/>
  <c r="L829" i="4"/>
  <c r="O827" i="4"/>
  <c r="R813" i="4"/>
  <c r="Q813" i="4"/>
  <c r="P813" i="4"/>
  <c r="E813" i="4"/>
  <c r="O813" i="4" s="1"/>
  <c r="N813" i="4"/>
  <c r="O807" i="4"/>
  <c r="O802" i="4"/>
  <c r="O800" i="4"/>
  <c r="O798" i="4"/>
  <c r="O796" i="4"/>
  <c r="L794" i="4"/>
  <c r="O792" i="4"/>
  <c r="R778" i="4"/>
  <c r="Q778" i="4"/>
  <c r="P778" i="4"/>
  <c r="E778" i="4"/>
  <c r="O778" i="4" s="1"/>
  <c r="O772" i="4"/>
  <c r="O767" i="4"/>
  <c r="O765" i="4"/>
  <c r="O763" i="4"/>
  <c r="O761" i="4"/>
  <c r="L759" i="4"/>
  <c r="O757" i="4"/>
  <c r="R743" i="4"/>
  <c r="Q743" i="4"/>
  <c r="P743" i="4"/>
  <c r="E743" i="4"/>
  <c r="O743" i="4" s="1"/>
  <c r="N743" i="4"/>
  <c r="O737" i="4"/>
  <c r="O732" i="4"/>
  <c r="O730" i="4"/>
  <c r="O728" i="4"/>
  <c r="O726" i="4"/>
  <c r="L724" i="4"/>
  <c r="O722" i="4"/>
  <c r="E708" i="4"/>
  <c r="O708" i="4" s="1"/>
  <c r="O702" i="4"/>
  <c r="O693" i="4"/>
  <c r="O691" i="4"/>
  <c r="L689" i="4"/>
  <c r="O687" i="4"/>
  <c r="H826" i="10"/>
  <c r="H825" i="10"/>
  <c r="H822" i="10"/>
  <c r="H830" i="10"/>
  <c r="H785" i="10"/>
  <c r="H784" i="10"/>
  <c r="J783" i="10"/>
  <c r="H780" i="10"/>
  <c r="H781" i="10"/>
  <c r="H777" i="10"/>
  <c r="H735" i="10"/>
  <c r="H736" i="10"/>
  <c r="J734" i="10"/>
  <c r="H732" i="10"/>
  <c r="H731" i="10"/>
  <c r="H728" i="10"/>
  <c r="H687" i="10"/>
  <c r="J686" i="10"/>
  <c r="H688" i="10"/>
  <c r="H683" i="10"/>
  <c r="H680" i="10"/>
  <c r="L1126" i="10"/>
  <c r="K1126" i="10"/>
  <c r="I1126" i="10"/>
  <c r="G1126" i="10"/>
  <c r="E1126" i="10"/>
  <c r="J1125" i="10"/>
  <c r="J1121" i="10"/>
  <c r="H1119" i="10"/>
  <c r="H1118" i="10"/>
  <c r="J1117" i="10"/>
  <c r="J1116" i="10"/>
  <c r="H1115" i="10"/>
  <c r="H1114" i="10"/>
  <c r="H1112" i="10"/>
  <c r="H1111" i="10"/>
  <c r="L1078" i="10"/>
  <c r="K1078" i="10"/>
  <c r="I1078" i="10"/>
  <c r="G1078" i="10"/>
  <c r="E1078" i="10"/>
  <c r="J1077" i="10"/>
  <c r="J1073" i="10"/>
  <c r="H1071" i="10"/>
  <c r="H1070" i="10"/>
  <c r="J1069" i="10"/>
  <c r="J1068" i="10"/>
  <c r="H1067" i="10"/>
  <c r="H1066" i="10"/>
  <c r="H1064" i="10"/>
  <c r="H1063" i="10"/>
  <c r="L1029" i="10"/>
  <c r="K1029" i="10"/>
  <c r="I1029" i="10"/>
  <c r="G1029" i="10"/>
  <c r="E1029" i="10"/>
  <c r="J1028" i="10"/>
  <c r="J1024" i="10"/>
  <c r="H1022" i="10"/>
  <c r="H1021" i="10"/>
  <c r="J1020" i="10"/>
  <c r="J1019" i="10"/>
  <c r="H1018" i="10"/>
  <c r="H1017" i="10"/>
  <c r="H1015" i="10"/>
  <c r="H1014" i="10"/>
  <c r="G984" i="10"/>
  <c r="J974" i="10"/>
  <c r="G931" i="10"/>
  <c r="J921" i="10"/>
  <c r="G883" i="10"/>
  <c r="J873" i="10"/>
  <c r="G837" i="10"/>
  <c r="J827" i="10"/>
  <c r="G792" i="10"/>
  <c r="J782" i="10"/>
  <c r="G743" i="10"/>
  <c r="J733" i="10"/>
  <c r="G695" i="10"/>
  <c r="J685" i="10"/>
  <c r="H684" i="10"/>
  <c r="G579" i="11"/>
  <c r="G580" i="11" s="1"/>
  <c r="G534" i="11"/>
  <c r="G535" i="11" s="1"/>
  <c r="G493" i="11"/>
  <c r="G494" i="11" s="1"/>
  <c r="G448" i="11"/>
  <c r="G449" i="11" s="1"/>
  <c r="L744" i="11"/>
  <c r="I743" i="11"/>
  <c r="I739" i="11"/>
  <c r="L699" i="11"/>
  <c r="I698" i="11"/>
  <c r="I694" i="11"/>
  <c r="L658" i="11"/>
  <c r="I657" i="11"/>
  <c r="I653" i="11"/>
  <c r="L613" i="11"/>
  <c r="I612" i="11"/>
  <c r="I608" i="11"/>
  <c r="B917" i="11"/>
  <c r="L916" i="11"/>
  <c r="I915" i="11"/>
  <c r="I911" i="11"/>
  <c r="B872" i="11"/>
  <c r="B831" i="11"/>
  <c r="B786" i="11"/>
  <c r="A21" i="13"/>
  <c r="E21" i="13"/>
  <c r="A22" i="13"/>
  <c r="E22" i="13"/>
  <c r="A23" i="13"/>
  <c r="E23" i="13"/>
  <c r="A24" i="13"/>
  <c r="E24" i="13"/>
  <c r="A25" i="13"/>
  <c r="E25" i="13"/>
  <c r="A26" i="13"/>
  <c r="E26" i="13"/>
  <c r="A27" i="13"/>
  <c r="E27" i="13"/>
  <c r="A28" i="13"/>
  <c r="E28" i="13"/>
  <c r="A29" i="13"/>
  <c r="E29" i="13"/>
  <c r="A30" i="13"/>
  <c r="E30" i="13"/>
  <c r="A31" i="13"/>
  <c r="E31" i="13"/>
  <c r="A32" i="13"/>
  <c r="E32" i="13"/>
  <c r="A33" i="13"/>
  <c r="E33" i="13"/>
  <c r="A34" i="13"/>
  <c r="E34" i="13"/>
  <c r="A35" i="13"/>
  <c r="E35" i="13"/>
  <c r="A36" i="13"/>
  <c r="E36" i="13"/>
  <c r="A37" i="13"/>
  <c r="E37" i="13"/>
  <c r="J884" i="10" l="1"/>
  <c r="J932" i="10"/>
  <c r="J1127" i="10"/>
  <c r="I778" i="4"/>
  <c r="S778" i="4" s="1"/>
  <c r="J1079" i="10"/>
  <c r="J1030" i="10"/>
  <c r="J985" i="10"/>
  <c r="N778" i="4"/>
  <c r="I743" i="4"/>
  <c r="E745" i="4" s="1"/>
  <c r="O745" i="4" s="1"/>
  <c r="I813" i="4"/>
  <c r="S813" i="4" s="1"/>
  <c r="I883" i="4"/>
  <c r="S883" i="4" s="1"/>
  <c r="O881" i="4"/>
  <c r="I848" i="4"/>
  <c r="O776" i="4"/>
  <c r="AF17" i="1"/>
  <c r="AF18" i="1"/>
  <c r="AF19" i="1"/>
  <c r="AF20" i="1"/>
  <c r="AF21" i="1"/>
  <c r="AF22" i="1"/>
  <c r="AF23" i="1"/>
  <c r="AF24" i="1"/>
  <c r="AF25" i="1"/>
  <c r="AF26" i="1"/>
  <c r="AF27" i="1"/>
  <c r="AF28" i="1"/>
  <c r="AF29" i="1"/>
  <c r="AF30" i="1"/>
  <c r="AF31" i="1"/>
  <c r="AF32" i="1"/>
  <c r="AF33" i="1"/>
  <c r="AI12" i="27"/>
  <c r="P18" i="1"/>
  <c r="H638" i="10"/>
  <c r="J637" i="10"/>
  <c r="H632" i="10"/>
  <c r="J592" i="10"/>
  <c r="H587" i="10"/>
  <c r="H544" i="10"/>
  <c r="H494" i="10"/>
  <c r="H449" i="10"/>
  <c r="H364" i="10"/>
  <c r="H358" i="10"/>
  <c r="H401" i="10"/>
  <c r="H311" i="10"/>
  <c r="H269" i="10"/>
  <c r="L179" i="11"/>
  <c r="I178" i="11"/>
  <c r="H8" i="4"/>
  <c r="R8" i="4" s="1"/>
  <c r="H56" i="4"/>
  <c r="R56" i="4" s="1"/>
  <c r="E555" i="4"/>
  <c r="O555" i="4" s="1"/>
  <c r="H551" i="4"/>
  <c r="R551" i="4" s="1"/>
  <c r="E551" i="4"/>
  <c r="O551" i="4" s="1"/>
  <c r="E520" i="4"/>
  <c r="O520" i="4" s="1"/>
  <c r="H516" i="4"/>
  <c r="R516" i="4" s="1"/>
  <c r="E516" i="4"/>
  <c r="O516" i="4" s="1"/>
  <c r="E485" i="4"/>
  <c r="O485" i="4" s="1"/>
  <c r="H481" i="4"/>
  <c r="R481" i="4" s="1"/>
  <c r="E481" i="4"/>
  <c r="O481" i="4" s="1"/>
  <c r="E450" i="4"/>
  <c r="O450" i="4" s="1"/>
  <c r="H446" i="4"/>
  <c r="R446" i="4" s="1"/>
  <c r="E446" i="4"/>
  <c r="O446" i="4" s="1"/>
  <c r="H411" i="4"/>
  <c r="R411" i="4" s="1"/>
  <c r="E411" i="4"/>
  <c r="O411" i="4" s="1"/>
  <c r="E415" i="4"/>
  <c r="O415" i="4" s="1"/>
  <c r="E673" i="4"/>
  <c r="O673" i="4" s="1"/>
  <c r="O667" i="4"/>
  <c r="O660" i="4"/>
  <c r="O658" i="4"/>
  <c r="L654" i="4"/>
  <c r="O652" i="4"/>
  <c r="E638" i="4"/>
  <c r="O638" i="4" s="1"/>
  <c r="O632" i="4"/>
  <c r="O625" i="4"/>
  <c r="O623" i="4"/>
  <c r="L619" i="4"/>
  <c r="O617" i="4"/>
  <c r="E603" i="4"/>
  <c r="O603" i="4" s="1"/>
  <c r="O597" i="4"/>
  <c r="O590" i="4"/>
  <c r="O588" i="4"/>
  <c r="L584" i="4"/>
  <c r="O582" i="4"/>
  <c r="E568" i="4"/>
  <c r="O568" i="4" s="1"/>
  <c r="O562" i="4"/>
  <c r="O553" i="4"/>
  <c r="L549" i="4"/>
  <c r="O547" i="4"/>
  <c r="E533" i="4"/>
  <c r="O533" i="4" s="1"/>
  <c r="O527" i="4"/>
  <c r="O518" i="4"/>
  <c r="L514" i="4"/>
  <c r="O512" i="4"/>
  <c r="E498" i="4"/>
  <c r="O498" i="4" s="1"/>
  <c r="O492" i="4"/>
  <c r="O483" i="4"/>
  <c r="L479" i="4"/>
  <c r="O477" i="4"/>
  <c r="E463" i="4"/>
  <c r="O463" i="4" s="1"/>
  <c r="O457" i="4"/>
  <c r="O448" i="4"/>
  <c r="L444" i="4"/>
  <c r="O442" i="4"/>
  <c r="E428" i="4"/>
  <c r="O428" i="4" s="1"/>
  <c r="O422" i="4"/>
  <c r="O413" i="4"/>
  <c r="L409" i="4"/>
  <c r="O407" i="4"/>
  <c r="H639" i="10"/>
  <c r="H635" i="10"/>
  <c r="H634" i="10"/>
  <c r="H631" i="10"/>
  <c r="H593" i="10"/>
  <c r="H594" i="10"/>
  <c r="H590" i="10"/>
  <c r="H589" i="10"/>
  <c r="H586" i="10"/>
  <c r="H550" i="10"/>
  <c r="J549" i="10"/>
  <c r="H547" i="10"/>
  <c r="H546" i="10"/>
  <c r="H543" i="10"/>
  <c r="H551" i="10"/>
  <c r="H500" i="10"/>
  <c r="J499" i="10"/>
  <c r="J497" i="10"/>
  <c r="H496" i="10"/>
  <c r="H501" i="10"/>
  <c r="H493" i="10"/>
  <c r="H455" i="10"/>
  <c r="H456" i="10"/>
  <c r="J454" i="10"/>
  <c r="H452" i="10"/>
  <c r="H451" i="10"/>
  <c r="H448" i="10"/>
  <c r="G646" i="10"/>
  <c r="J636" i="10"/>
  <c r="G601" i="10"/>
  <c r="J591" i="10"/>
  <c r="G558" i="10"/>
  <c r="J548" i="10"/>
  <c r="G508" i="10"/>
  <c r="J498" i="10"/>
  <c r="G463" i="10"/>
  <c r="J453" i="10"/>
  <c r="G402" i="11"/>
  <c r="G403" i="11" s="1"/>
  <c r="G404" i="11" s="1"/>
  <c r="L572" i="11"/>
  <c r="I571" i="11"/>
  <c r="I567" i="11"/>
  <c r="L527" i="11"/>
  <c r="I526" i="11"/>
  <c r="I522" i="11"/>
  <c r="L486" i="11"/>
  <c r="I485" i="11"/>
  <c r="I481" i="11"/>
  <c r="B745" i="11"/>
  <c r="B700" i="11"/>
  <c r="B659" i="11"/>
  <c r="B614" i="11"/>
  <c r="B573" i="11"/>
  <c r="B528" i="11"/>
  <c r="B487" i="11"/>
  <c r="L441" i="11"/>
  <c r="I440" i="11"/>
  <c r="I436" i="11"/>
  <c r="L396" i="11"/>
  <c r="I395" i="11"/>
  <c r="I391" i="11"/>
  <c r="G268" i="11"/>
  <c r="G269" i="11" s="1"/>
  <c r="G270" i="11" s="1"/>
  <c r="G227" i="11"/>
  <c r="G228" i="11" s="1"/>
  <c r="G229" i="11" s="1"/>
  <c r="G186" i="11"/>
  <c r="G187" i="11" s="1"/>
  <c r="G188" i="11" s="1"/>
  <c r="G145" i="11"/>
  <c r="G146" i="11" s="1"/>
  <c r="G147" i="11" s="1"/>
  <c r="G104" i="11"/>
  <c r="G105" i="11" s="1"/>
  <c r="G106" i="11" s="1"/>
  <c r="G62" i="11"/>
  <c r="G63" i="11" s="1"/>
  <c r="G64" i="11" s="1"/>
  <c r="G16" i="11"/>
  <c r="G17" i="11" s="1"/>
  <c r="G18" i="11" s="1"/>
  <c r="H428" i="4"/>
  <c r="R428" i="4" s="1"/>
  <c r="H498" i="4"/>
  <c r="R498" i="4" s="1"/>
  <c r="L646" i="10"/>
  <c r="B12" i="12" l="1"/>
  <c r="B14" i="3"/>
  <c r="T28" i="3"/>
  <c r="U28" i="3" s="1"/>
  <c r="AC28" i="3" s="1"/>
  <c r="AG32" i="1"/>
  <c r="T24" i="3"/>
  <c r="U24" i="3" s="1"/>
  <c r="AC24" i="3" s="1"/>
  <c r="AG28" i="1"/>
  <c r="T20" i="3"/>
  <c r="U20" i="3" s="1"/>
  <c r="AC20" i="3" s="1"/>
  <c r="AG24" i="1"/>
  <c r="T14" i="3"/>
  <c r="U14" i="3" s="1"/>
  <c r="AC14" i="3" s="1"/>
  <c r="AG18" i="1"/>
  <c r="T27" i="3"/>
  <c r="U27" i="3" s="1"/>
  <c r="AC27" i="3" s="1"/>
  <c r="AG31" i="1"/>
  <c r="T23" i="3"/>
  <c r="U23" i="3" s="1"/>
  <c r="AC23" i="3" s="1"/>
  <c r="AG27" i="1"/>
  <c r="T19" i="3"/>
  <c r="U19" i="3" s="1"/>
  <c r="AC19" i="3" s="1"/>
  <c r="AG23" i="1"/>
  <c r="T17" i="3"/>
  <c r="U17" i="3" s="1"/>
  <c r="AC17" i="3" s="1"/>
  <c r="AG21" i="1"/>
  <c r="T13" i="3"/>
  <c r="U13" i="3" s="1"/>
  <c r="AC13" i="3" s="1"/>
  <c r="AG17" i="1"/>
  <c r="T26" i="3"/>
  <c r="U26" i="3" s="1"/>
  <c r="AC26" i="3" s="1"/>
  <c r="AG30" i="1"/>
  <c r="T22" i="3"/>
  <c r="U22" i="3" s="1"/>
  <c r="AC22" i="3" s="1"/>
  <c r="AG26" i="1"/>
  <c r="T18" i="3"/>
  <c r="U18" i="3" s="1"/>
  <c r="AC18" i="3" s="1"/>
  <c r="AG22" i="1"/>
  <c r="T16" i="3"/>
  <c r="U16" i="3" s="1"/>
  <c r="AC16" i="3" s="1"/>
  <c r="AG20" i="1"/>
  <c r="T29" i="3"/>
  <c r="U29" i="3" s="1"/>
  <c r="AC29" i="3" s="1"/>
  <c r="AG33" i="1"/>
  <c r="T25" i="3"/>
  <c r="U25" i="3" s="1"/>
  <c r="AC25" i="3" s="1"/>
  <c r="AG29" i="1"/>
  <c r="T21" i="3"/>
  <c r="U21" i="3" s="1"/>
  <c r="AC21" i="3" s="1"/>
  <c r="AG25" i="1"/>
  <c r="T15" i="3"/>
  <c r="U15" i="3" s="1"/>
  <c r="AC15" i="3" s="1"/>
  <c r="AG19" i="1"/>
  <c r="E885" i="4"/>
  <c r="O885" i="4" s="1"/>
  <c r="E815" i="4"/>
  <c r="O815" i="4" s="1"/>
  <c r="E780" i="4"/>
  <c r="O780" i="4" s="1"/>
  <c r="S743" i="4"/>
  <c r="E792" i="10"/>
  <c r="D673" i="4"/>
  <c r="N673" i="4" s="1"/>
  <c r="F30" i="13"/>
  <c r="E695" i="10"/>
  <c r="D603" i="4"/>
  <c r="N603" i="4" s="1"/>
  <c r="G34" i="13"/>
  <c r="G26" i="13"/>
  <c r="F37" i="13"/>
  <c r="F29" i="13"/>
  <c r="F23" i="13"/>
  <c r="H708" i="4"/>
  <c r="R708" i="4" s="1"/>
  <c r="L837" i="10"/>
  <c r="H638" i="4"/>
  <c r="R638" i="4" s="1"/>
  <c r="L743" i="10"/>
  <c r="G33" i="13"/>
  <c r="J832" i="10"/>
  <c r="E697" i="4"/>
  <c r="O697" i="4" s="1"/>
  <c r="AI15" i="27"/>
  <c r="G32" i="13"/>
  <c r="F35" i="13"/>
  <c r="F27" i="13"/>
  <c r="F21" i="13"/>
  <c r="F708" i="4"/>
  <c r="P708" i="4" s="1"/>
  <c r="I837" i="10"/>
  <c r="F638" i="4"/>
  <c r="P638" i="4" s="1"/>
  <c r="I743" i="10"/>
  <c r="G708" i="4"/>
  <c r="Q708" i="4" s="1"/>
  <c r="K837" i="10"/>
  <c r="G568" i="4"/>
  <c r="Q568" i="4" s="1"/>
  <c r="F34" i="13"/>
  <c r="F26" i="13"/>
  <c r="H26" i="13" s="1"/>
  <c r="D708" i="4"/>
  <c r="E837" i="10"/>
  <c r="D638" i="4"/>
  <c r="N638" i="4" s="1"/>
  <c r="E743" i="10"/>
  <c r="G31" i="13"/>
  <c r="G25" i="13"/>
  <c r="K558" i="10"/>
  <c r="J738" i="10"/>
  <c r="E627" i="4"/>
  <c r="O627" i="4" s="1"/>
  <c r="AI14" i="27"/>
  <c r="G30" i="13"/>
  <c r="G24" i="13"/>
  <c r="F33" i="13"/>
  <c r="H673" i="4"/>
  <c r="R673" i="4" s="1"/>
  <c r="L792" i="10"/>
  <c r="H603" i="4"/>
  <c r="R603" i="4" s="1"/>
  <c r="L695" i="10"/>
  <c r="L601" i="10"/>
  <c r="L508" i="10"/>
  <c r="G35" i="13"/>
  <c r="H35" i="13" s="1"/>
  <c r="J787" i="10"/>
  <c r="E662" i="4"/>
  <c r="O662" i="4" s="1"/>
  <c r="G428" i="4"/>
  <c r="Q428" i="4" s="1"/>
  <c r="G37" i="13"/>
  <c r="G29" i="13"/>
  <c r="G23" i="13"/>
  <c r="F32" i="13"/>
  <c r="G673" i="4"/>
  <c r="Q673" i="4" s="1"/>
  <c r="K792" i="10"/>
  <c r="G603" i="4"/>
  <c r="Q603" i="4" s="1"/>
  <c r="K695" i="10"/>
  <c r="G533" i="4"/>
  <c r="Q533" i="4" s="1"/>
  <c r="G463" i="4"/>
  <c r="Q463" i="4" s="1"/>
  <c r="G27" i="13"/>
  <c r="G21" i="13"/>
  <c r="H21" i="13" s="1"/>
  <c r="F24" i="13"/>
  <c r="G638" i="4"/>
  <c r="Q638" i="4" s="1"/>
  <c r="K743" i="10"/>
  <c r="E592" i="4"/>
  <c r="O592" i="4" s="1"/>
  <c r="J690" i="10"/>
  <c r="AI13" i="27"/>
  <c r="G36" i="13"/>
  <c r="G28" i="13"/>
  <c r="G22" i="13"/>
  <c r="F31" i="13"/>
  <c r="H31" i="13" s="1"/>
  <c r="F25" i="13"/>
  <c r="I792" i="10"/>
  <c r="F673" i="4"/>
  <c r="P673" i="4" s="1"/>
  <c r="I695" i="10"/>
  <c r="F603" i="4"/>
  <c r="P603" i="4" s="1"/>
  <c r="E850" i="4"/>
  <c r="O850" i="4" s="1"/>
  <c r="S848" i="4"/>
  <c r="H29" i="13"/>
  <c r="H34" i="13"/>
  <c r="H33" i="13"/>
  <c r="F28" i="13"/>
  <c r="F22" i="13"/>
  <c r="H25" i="13"/>
  <c r="F36" i="13"/>
  <c r="J553" i="10"/>
  <c r="J596" i="10"/>
  <c r="J641" i="10"/>
  <c r="K646" i="10"/>
  <c r="L463" i="10"/>
  <c r="K508" i="10"/>
  <c r="L558" i="10"/>
  <c r="K601" i="10"/>
  <c r="H568" i="4"/>
  <c r="R568" i="4" s="1"/>
  <c r="H463" i="4"/>
  <c r="R463" i="4" s="1"/>
  <c r="G498" i="4"/>
  <c r="Q498" i="4" s="1"/>
  <c r="H533" i="4"/>
  <c r="R533" i="4" s="1"/>
  <c r="J458" i="10"/>
  <c r="J503" i="10"/>
  <c r="K463" i="10"/>
  <c r="E417" i="4"/>
  <c r="O417" i="4" s="1"/>
  <c r="E452" i="4"/>
  <c r="O452" i="4" s="1"/>
  <c r="E487" i="4"/>
  <c r="O487" i="4" s="1"/>
  <c r="E522" i="4"/>
  <c r="O522" i="4" s="1"/>
  <c r="E557" i="4"/>
  <c r="O557" i="4" s="1"/>
  <c r="AI33" i="27" l="1"/>
  <c r="H30" i="13"/>
  <c r="H23" i="13"/>
  <c r="AO19" i="1"/>
  <c r="G13" i="12"/>
  <c r="AO29" i="1"/>
  <c r="G23" i="12"/>
  <c r="G14" i="12"/>
  <c r="AO20" i="1"/>
  <c r="G20" i="12"/>
  <c r="AO26" i="1"/>
  <c r="AO17" i="1"/>
  <c r="G11" i="12"/>
  <c r="AO23" i="1"/>
  <c r="G17" i="12"/>
  <c r="G25" i="12"/>
  <c r="AO31" i="1"/>
  <c r="G18" i="12"/>
  <c r="AO24" i="1"/>
  <c r="G26" i="12"/>
  <c r="AO32" i="1"/>
  <c r="H36" i="13"/>
  <c r="H32" i="13"/>
  <c r="AO25" i="1"/>
  <c r="G19" i="12"/>
  <c r="G27" i="12"/>
  <c r="AO33" i="1"/>
  <c r="G16" i="12"/>
  <c r="AO22" i="1"/>
  <c r="G24" i="12"/>
  <c r="AO30" i="1"/>
  <c r="AO21" i="1"/>
  <c r="G15" i="12"/>
  <c r="G21" i="12"/>
  <c r="AO27" i="1"/>
  <c r="G12" i="12"/>
  <c r="AO18" i="1"/>
  <c r="G22" i="12"/>
  <c r="AO28" i="1"/>
  <c r="H24" i="13"/>
  <c r="H22" i="13"/>
  <c r="H27" i="13"/>
  <c r="H37" i="13"/>
  <c r="I603" i="4"/>
  <c r="S603" i="4" s="1"/>
  <c r="E636" i="4"/>
  <c r="O636" i="4" s="1"/>
  <c r="J742" i="10"/>
  <c r="J744" i="10" s="1"/>
  <c r="I638" i="4"/>
  <c r="S638" i="4" s="1"/>
  <c r="H28" i="13"/>
  <c r="E706" i="4"/>
  <c r="O706" i="4" s="1"/>
  <c r="J836" i="10"/>
  <c r="J838" i="10" s="1"/>
  <c r="N708" i="4"/>
  <c r="I708" i="4"/>
  <c r="E601" i="4"/>
  <c r="O601" i="4" s="1"/>
  <c r="J694" i="10"/>
  <c r="J696" i="10" s="1"/>
  <c r="J791" i="10"/>
  <c r="J793" i="10" s="1"/>
  <c r="E671" i="4"/>
  <c r="O671" i="4" s="1"/>
  <c r="I673" i="4"/>
  <c r="S673" i="4" s="1"/>
  <c r="E675" i="4" l="1"/>
  <c r="O675" i="4" s="1"/>
  <c r="E640" i="4"/>
  <c r="O640" i="4" s="1"/>
  <c r="E710" i="4"/>
  <c r="O710" i="4" s="1"/>
  <c r="S708" i="4"/>
  <c r="E605" i="4"/>
  <c r="O605" i="4" s="1"/>
  <c r="O230" i="4"/>
  <c r="L232" i="4"/>
  <c r="E234" i="4"/>
  <c r="O234" i="4" s="1"/>
  <c r="H234" i="4"/>
  <c r="R234" i="4" s="1"/>
  <c r="O236" i="4"/>
  <c r="E238" i="4"/>
  <c r="O238" i="4" s="1"/>
  <c r="O245" i="4"/>
  <c r="E251" i="4"/>
  <c r="O251" i="4" s="1"/>
  <c r="O378" i="4"/>
  <c r="O343" i="4"/>
  <c r="E380" i="4"/>
  <c r="H376" i="4"/>
  <c r="Q376" i="4" s="1"/>
  <c r="E376" i="4"/>
  <c r="O376" i="4" s="1"/>
  <c r="H341" i="4"/>
  <c r="Q341" i="4" s="1"/>
  <c r="E345" i="4"/>
  <c r="E341" i="4"/>
  <c r="O341" i="4" s="1"/>
  <c r="J369" i="10"/>
  <c r="J363" i="10"/>
  <c r="H365" i="10"/>
  <c r="H361" i="10"/>
  <c r="H360" i="10"/>
  <c r="H357" i="10"/>
  <c r="H407" i="10"/>
  <c r="H408" i="10"/>
  <c r="J406" i="10"/>
  <c r="H404" i="10"/>
  <c r="H403" i="10"/>
  <c r="H400" i="10"/>
  <c r="L351" i="11"/>
  <c r="I350" i="11"/>
  <c r="I346" i="11"/>
  <c r="L306" i="11"/>
  <c r="I305" i="11"/>
  <c r="I301" i="11"/>
  <c r="B442" i="11"/>
  <c r="B397" i="11"/>
  <c r="G358" i="11"/>
  <c r="G359" i="11" s="1"/>
  <c r="G360" i="11" s="1"/>
  <c r="G361" i="11" s="1"/>
  <c r="B352" i="11"/>
  <c r="G313" i="11"/>
  <c r="G314" i="11" s="1"/>
  <c r="G315" i="11" s="1"/>
  <c r="G316" i="11" s="1"/>
  <c r="B307" i="11"/>
  <c r="H358" i="4"/>
  <c r="G393" i="4"/>
  <c r="E347" i="4"/>
  <c r="E382" i="4"/>
  <c r="H305" i="4"/>
  <c r="R305" i="4" s="1"/>
  <c r="E305" i="4"/>
  <c r="E309" i="4"/>
  <c r="H317" i="10"/>
  <c r="H318" i="10"/>
  <c r="J316" i="10"/>
  <c r="H314" i="10"/>
  <c r="H313" i="10"/>
  <c r="H310" i="10"/>
  <c r="L261" i="11"/>
  <c r="I256" i="11"/>
  <c r="H322" i="4"/>
  <c r="K325" i="10"/>
  <c r="G251" i="4" l="1"/>
  <c r="Q251" i="4" s="1"/>
  <c r="E240" i="4"/>
  <c r="O240" i="4" s="1"/>
  <c r="H251" i="4"/>
  <c r="R251" i="4" s="1"/>
  <c r="J367" i="10"/>
  <c r="L372" i="10"/>
  <c r="K415" i="10"/>
  <c r="H393" i="4"/>
  <c r="G358" i="4"/>
  <c r="J410" i="10"/>
  <c r="K372" i="10"/>
  <c r="L415" i="10"/>
  <c r="J320" i="10"/>
  <c r="L325" i="10"/>
  <c r="E311" i="4"/>
  <c r="G322" i="4"/>
  <c r="R393" i="4" l="1"/>
  <c r="Q393" i="4"/>
  <c r="E393" i="4"/>
  <c r="O393" i="4" s="1"/>
  <c r="O387" i="4"/>
  <c r="O382" i="4"/>
  <c r="O380" i="4"/>
  <c r="L374" i="4"/>
  <c r="O372" i="4"/>
  <c r="R358" i="4"/>
  <c r="Q358" i="4"/>
  <c r="E358" i="4"/>
  <c r="O358" i="4" s="1"/>
  <c r="O352" i="4"/>
  <c r="O347" i="4"/>
  <c r="O345" i="4"/>
  <c r="L339" i="4"/>
  <c r="O337" i="4"/>
  <c r="R322" i="4"/>
  <c r="Q322" i="4"/>
  <c r="E322" i="4"/>
  <c r="O322" i="4" s="1"/>
  <c r="O316" i="4"/>
  <c r="O311" i="4"/>
  <c r="O309" i="4"/>
  <c r="O307" i="4"/>
  <c r="O305" i="4"/>
  <c r="L303" i="4"/>
  <c r="O301" i="4"/>
  <c r="H169" i="4" l="1"/>
  <c r="G169" i="4"/>
  <c r="L184" i="10" l="1"/>
  <c r="K184" i="10"/>
  <c r="G415" i="10"/>
  <c r="J405" i="10"/>
  <c r="G372" i="10"/>
  <c r="J362" i="10"/>
  <c r="G325" i="10"/>
  <c r="J315" i="10"/>
  <c r="B262" i="11"/>
  <c r="I260" i="11"/>
  <c r="P21" i="1"/>
  <c r="P20" i="1"/>
  <c r="P19" i="1"/>
  <c r="P17" i="1"/>
  <c r="P16" i="1"/>
  <c r="B15" i="12" l="1"/>
  <c r="B17" i="3"/>
  <c r="B13" i="12"/>
  <c r="B15" i="3"/>
  <c r="B11" i="12"/>
  <c r="B13" i="3"/>
  <c r="B14" i="12"/>
  <c r="B16" i="3"/>
  <c r="L277" i="10"/>
  <c r="K277" i="10"/>
  <c r="J268" i="10"/>
  <c r="J267" i="10"/>
  <c r="H263" i="10"/>
  <c r="H210" i="4"/>
  <c r="L230" i="10"/>
  <c r="K230" i="10"/>
  <c r="J225" i="10"/>
  <c r="H223" i="10"/>
  <c r="J221" i="10"/>
  <c r="J220" i="10"/>
  <c r="H218" i="10"/>
  <c r="H216" i="10"/>
  <c r="J179" i="10"/>
  <c r="H177" i="10"/>
  <c r="J175" i="10"/>
  <c r="J174" i="10"/>
  <c r="H172" i="10"/>
  <c r="H170" i="10"/>
  <c r="H73" i="4"/>
  <c r="G73" i="4"/>
  <c r="G22" i="26"/>
  <c r="G17" i="25"/>
  <c r="G22" i="24"/>
  <c r="G34" i="23"/>
  <c r="G210" i="4"/>
  <c r="H121" i="4"/>
  <c r="G121" i="4"/>
  <c r="J272" i="10"/>
  <c r="H270" i="10"/>
  <c r="H266" i="10"/>
  <c r="H265" i="10"/>
  <c r="H264" i="10"/>
  <c r="H262" i="10"/>
  <c r="L132" i="10"/>
  <c r="K132" i="10"/>
  <c r="L79" i="10"/>
  <c r="K79" i="10"/>
  <c r="L220" i="11" l="1"/>
  <c r="I219" i="11"/>
  <c r="I215" i="11"/>
  <c r="B221" i="11"/>
  <c r="C215" i="11"/>
  <c r="D214" i="11"/>
  <c r="E199" i="4" l="1"/>
  <c r="O199" i="4" s="1"/>
  <c r="H193" i="4"/>
  <c r="Q193" i="4" s="1"/>
  <c r="E197" i="4"/>
  <c r="O197" i="4" s="1"/>
  <c r="E193" i="4"/>
  <c r="O193" i="4" s="1"/>
  <c r="E158" i="4"/>
  <c r="O158" i="4" s="1"/>
  <c r="E156" i="4"/>
  <c r="O156" i="4" s="1"/>
  <c r="H152" i="4"/>
  <c r="Q152" i="4" s="1"/>
  <c r="E152" i="4"/>
  <c r="O152" i="4" s="1"/>
  <c r="E195" i="4"/>
  <c r="O195" i="4" s="1"/>
  <c r="E154" i="4"/>
  <c r="O154" i="4" s="1"/>
  <c r="B190" i="4"/>
  <c r="L190" i="4" s="1"/>
  <c r="D189" i="4"/>
  <c r="O189" i="4" s="1"/>
  <c r="B149" i="4"/>
  <c r="L149" i="4" s="1"/>
  <c r="D148" i="4"/>
  <c r="O148" i="4" s="1"/>
  <c r="R210" i="4"/>
  <c r="Q210" i="4"/>
  <c r="P210" i="4"/>
  <c r="E210" i="4"/>
  <c r="O210" i="4" s="1"/>
  <c r="N210" i="4"/>
  <c r="O204" i="4"/>
  <c r="L191" i="4"/>
  <c r="R169" i="4"/>
  <c r="Q169" i="4"/>
  <c r="E169" i="4"/>
  <c r="O169" i="4" s="1"/>
  <c r="O163" i="4"/>
  <c r="L150" i="4"/>
  <c r="H222" i="10"/>
  <c r="H219" i="10"/>
  <c r="H217" i="10"/>
  <c r="H215" i="10"/>
  <c r="H176" i="10"/>
  <c r="H173" i="10"/>
  <c r="H171" i="10"/>
  <c r="H169" i="10"/>
  <c r="B212" i="10"/>
  <c r="H211" i="10"/>
  <c r="H167" i="10"/>
  <c r="H165" i="10"/>
  <c r="B166" i="10"/>
  <c r="B159" i="10"/>
  <c r="H159" i="10" s="1"/>
  <c r="B157" i="10"/>
  <c r="H157" i="10" s="1"/>
  <c r="G277" i="10"/>
  <c r="G230" i="10"/>
  <c r="I210" i="4" l="1"/>
  <c r="S210" i="4" s="1"/>
  <c r="I174" i="11" l="1"/>
  <c r="L138" i="11"/>
  <c r="I137" i="11"/>
  <c r="I133" i="11"/>
  <c r="C133" i="11"/>
  <c r="D132" i="11"/>
  <c r="C174" i="11"/>
  <c r="D173" i="11"/>
  <c r="G184" i="10" l="1"/>
  <c r="L97" i="11" l="1"/>
  <c r="I96" i="11"/>
  <c r="I92" i="11"/>
  <c r="C92" i="11"/>
  <c r="D91" i="11"/>
  <c r="D12" i="27"/>
  <c r="D6" i="27"/>
  <c r="C12" i="27"/>
  <c r="B12" i="27"/>
  <c r="Z7" i="27"/>
  <c r="Z6" i="27"/>
  <c r="D4" i="27"/>
  <c r="D5" i="27"/>
  <c r="E110" i="4" l="1"/>
  <c r="E108" i="4"/>
  <c r="E106" i="4"/>
  <c r="H104" i="4"/>
  <c r="R104" i="4" s="1"/>
  <c r="E104" i="4"/>
  <c r="B101" i="4"/>
  <c r="D100" i="4"/>
  <c r="J127" i="10"/>
  <c r="H125" i="10"/>
  <c r="H124" i="10"/>
  <c r="J123" i="10"/>
  <c r="J122" i="10"/>
  <c r="H121" i="10"/>
  <c r="H120" i="10"/>
  <c r="H118" i="10"/>
  <c r="H117" i="10"/>
  <c r="H115" i="10"/>
  <c r="H113" i="10"/>
  <c r="B114" i="10"/>
  <c r="B107" i="10"/>
  <c r="B105" i="10"/>
  <c r="G132" i="10"/>
  <c r="N121" i="4" l="1"/>
  <c r="R121" i="4"/>
  <c r="Q121" i="4"/>
  <c r="P121" i="4"/>
  <c r="E121" i="4"/>
  <c r="O121" i="4" s="1"/>
  <c r="O115" i="4"/>
  <c r="O110" i="4"/>
  <c r="O108" i="4"/>
  <c r="O106" i="4"/>
  <c r="O104" i="4"/>
  <c r="L102" i="4"/>
  <c r="L101" i="4"/>
  <c r="O100" i="4"/>
  <c r="I121" i="4" l="1"/>
  <c r="S121" i="4" s="1"/>
  <c r="H119" i="10"/>
  <c r="F25" i="26" l="1"/>
  <c r="E4" i="26"/>
  <c r="D4" i="26"/>
  <c r="F20" i="25"/>
  <c r="E4" i="25"/>
  <c r="D4" i="25"/>
  <c r="F25" i="24"/>
  <c r="E3" i="24"/>
  <c r="D3" i="24"/>
  <c r="F36" i="23"/>
  <c r="E4" i="23"/>
  <c r="D4" i="23"/>
  <c r="H71" i="10" l="1"/>
  <c r="J70" i="10"/>
  <c r="J69" i="10"/>
  <c r="E20" i="13" l="1"/>
  <c r="G18" i="21" l="1"/>
  <c r="B18" i="21"/>
  <c r="G16" i="21"/>
  <c r="B10" i="21"/>
  <c r="B8" i="21"/>
  <c r="C739" i="18"/>
  <c r="C738" i="18"/>
  <c r="C688" i="18"/>
  <c r="A686" i="18"/>
  <c r="A685" i="18"/>
  <c r="C671" i="18"/>
  <c r="C670" i="18"/>
  <c r="C620" i="18"/>
  <c r="A618" i="18"/>
  <c r="A617" i="18"/>
  <c r="C603" i="18"/>
  <c r="B603" i="18"/>
  <c r="C602" i="18"/>
  <c r="B587" i="18"/>
  <c r="B604" i="18" s="1"/>
  <c r="B607" i="18" s="1"/>
  <c r="C585" i="18"/>
  <c r="C584" i="18"/>
  <c r="C583" i="18"/>
  <c r="C581" i="18"/>
  <c r="C580" i="18"/>
  <c r="C579" i="18"/>
  <c r="C576" i="18"/>
  <c r="C575" i="18"/>
  <c r="A569" i="18"/>
  <c r="C552" i="18"/>
  <c r="A550" i="18"/>
  <c r="A549" i="18"/>
  <c r="C535" i="18"/>
  <c r="B535" i="18"/>
  <c r="C534" i="18"/>
  <c r="B519" i="18"/>
  <c r="B536" i="18" s="1"/>
  <c r="B539" i="18" s="1"/>
  <c r="C517" i="18"/>
  <c r="C516" i="18"/>
  <c r="C515" i="18"/>
  <c r="C513" i="18"/>
  <c r="C512" i="18"/>
  <c r="C511" i="18"/>
  <c r="C508" i="18"/>
  <c r="C507" i="18"/>
  <c r="A501" i="18"/>
  <c r="C484" i="18"/>
  <c r="A482" i="18"/>
  <c r="A481" i="18"/>
  <c r="C467" i="18"/>
  <c r="B467" i="18"/>
  <c r="C466" i="18"/>
  <c r="B451" i="18"/>
  <c r="B468" i="18" s="1"/>
  <c r="B471" i="18" s="1"/>
  <c r="C449" i="18"/>
  <c r="C448" i="18"/>
  <c r="C447" i="18"/>
  <c r="C445" i="18"/>
  <c r="C444" i="18"/>
  <c r="C443" i="18"/>
  <c r="C440" i="18"/>
  <c r="C439" i="18"/>
  <c r="A433" i="18"/>
  <c r="C416" i="18"/>
  <c r="A414" i="18"/>
  <c r="A413" i="18"/>
  <c r="C399" i="18"/>
  <c r="B399" i="18"/>
  <c r="C398" i="18"/>
  <c r="B383" i="18"/>
  <c r="B400" i="18" s="1"/>
  <c r="B403" i="18" s="1"/>
  <c r="C381" i="18"/>
  <c r="C380" i="18"/>
  <c r="C379" i="18"/>
  <c r="C377" i="18"/>
  <c r="C376" i="18"/>
  <c r="C375" i="18"/>
  <c r="C372" i="18"/>
  <c r="C371" i="18"/>
  <c r="A365" i="18"/>
  <c r="C348" i="18"/>
  <c r="A346" i="18"/>
  <c r="A345" i="18"/>
  <c r="C331" i="18"/>
  <c r="B331" i="18"/>
  <c r="C330" i="18"/>
  <c r="B315" i="18"/>
  <c r="B332" i="18" s="1"/>
  <c r="B335" i="18" s="1"/>
  <c r="C313" i="18"/>
  <c r="C312" i="18"/>
  <c r="C311" i="18"/>
  <c r="C309" i="18"/>
  <c r="C308" i="18"/>
  <c r="C307" i="18"/>
  <c r="C304" i="18"/>
  <c r="C303" i="18"/>
  <c r="A297" i="18"/>
  <c r="C280" i="18"/>
  <c r="A278" i="18"/>
  <c r="A277" i="18"/>
  <c r="C263" i="18"/>
  <c r="B263" i="18"/>
  <c r="C262" i="18"/>
  <c r="B247" i="18"/>
  <c r="B264" i="18" s="1"/>
  <c r="B267" i="18" s="1"/>
  <c r="C245" i="18"/>
  <c r="C244" i="18"/>
  <c r="C243" i="18"/>
  <c r="C241" i="18"/>
  <c r="C240" i="18"/>
  <c r="C239" i="18"/>
  <c r="C236" i="18"/>
  <c r="C235" i="18"/>
  <c r="A229" i="18"/>
  <c r="C212" i="18"/>
  <c r="A210" i="18"/>
  <c r="A209" i="18"/>
  <c r="C195" i="18"/>
  <c r="B195" i="18"/>
  <c r="C194" i="18"/>
  <c r="B179" i="18"/>
  <c r="B196" i="18" s="1"/>
  <c r="B199" i="18" s="1"/>
  <c r="C177" i="18"/>
  <c r="C176" i="18"/>
  <c r="C175" i="18"/>
  <c r="C173" i="18"/>
  <c r="C172" i="18"/>
  <c r="C171" i="18"/>
  <c r="C168" i="18"/>
  <c r="C167" i="18"/>
  <c r="A161" i="18"/>
  <c r="C144" i="18"/>
  <c r="A142" i="18"/>
  <c r="A141" i="18"/>
  <c r="C127" i="18"/>
  <c r="B127" i="18"/>
  <c r="C126" i="18"/>
  <c r="B111" i="18"/>
  <c r="B128" i="18" s="1"/>
  <c r="B131" i="18" s="1"/>
  <c r="C109" i="18"/>
  <c r="C108" i="18"/>
  <c r="C107" i="18"/>
  <c r="C105" i="18"/>
  <c r="C104" i="18"/>
  <c r="C103" i="18"/>
  <c r="C100" i="18"/>
  <c r="C99" i="18"/>
  <c r="A93" i="18"/>
  <c r="C76" i="18"/>
  <c r="A74" i="18"/>
  <c r="A73" i="18"/>
  <c r="C59" i="18"/>
  <c r="B59" i="18"/>
  <c r="C58" i="18"/>
  <c r="B43" i="18"/>
  <c r="B60" i="18" s="1"/>
  <c r="B63" i="18" s="1"/>
  <c r="C41" i="18"/>
  <c r="C40" i="18"/>
  <c r="C39" i="18"/>
  <c r="C37" i="18"/>
  <c r="C36" i="18"/>
  <c r="C35" i="18"/>
  <c r="C32" i="18"/>
  <c r="C31" i="18"/>
  <c r="A25" i="18"/>
  <c r="C8" i="18"/>
  <c r="A6" i="18"/>
  <c r="A5" i="18"/>
  <c r="B597" i="17"/>
  <c r="J596" i="17"/>
  <c r="E596" i="17"/>
  <c r="I563" i="17"/>
  <c r="J562" i="17"/>
  <c r="B543" i="17"/>
  <c r="J542" i="17"/>
  <c r="E542" i="17"/>
  <c r="H514" i="17"/>
  <c r="H513" i="17"/>
  <c r="I509" i="17"/>
  <c r="J508" i="17"/>
  <c r="C503" i="17"/>
  <c r="B489" i="17"/>
  <c r="J488" i="17"/>
  <c r="E488" i="17"/>
  <c r="D485" i="17"/>
  <c r="H460" i="17"/>
  <c r="H459" i="17"/>
  <c r="H457" i="17"/>
  <c r="H456" i="17"/>
  <c r="I455" i="17"/>
  <c r="J454" i="17"/>
  <c r="K453" i="17"/>
  <c r="C449" i="17"/>
  <c r="B435" i="17"/>
  <c r="J434" i="17"/>
  <c r="E434" i="17"/>
  <c r="D431" i="17"/>
  <c r="H406" i="17"/>
  <c r="H405" i="17"/>
  <c r="H403" i="17"/>
  <c r="H402" i="17"/>
  <c r="I400" i="17"/>
  <c r="J399" i="17"/>
  <c r="K398" i="17"/>
  <c r="C393" i="17"/>
  <c r="B379" i="17"/>
  <c r="J378" i="17"/>
  <c r="E378" i="17"/>
  <c r="D375" i="17"/>
  <c r="H350" i="17"/>
  <c r="H349" i="17"/>
  <c r="H347" i="17"/>
  <c r="H346" i="17"/>
  <c r="I344" i="17"/>
  <c r="J343" i="17"/>
  <c r="K342" i="17"/>
  <c r="C338" i="17"/>
  <c r="B324" i="17"/>
  <c r="J323" i="17"/>
  <c r="E323" i="17"/>
  <c r="D319" i="17"/>
  <c r="H294" i="17"/>
  <c r="H293" i="17"/>
  <c r="H291" i="17"/>
  <c r="H290" i="17"/>
  <c r="I288" i="17"/>
  <c r="J287" i="17"/>
  <c r="K286" i="17"/>
  <c r="C282" i="17"/>
  <c r="B268" i="17"/>
  <c r="J267" i="17"/>
  <c r="E267" i="17"/>
  <c r="D263" i="17"/>
  <c r="H238" i="17"/>
  <c r="H237" i="17"/>
  <c r="H235" i="17"/>
  <c r="H234" i="17"/>
  <c r="I232" i="17"/>
  <c r="J231" i="17"/>
  <c r="K230" i="17"/>
  <c r="B212" i="17"/>
  <c r="J211" i="17"/>
  <c r="E211" i="17"/>
  <c r="D207" i="17"/>
  <c r="C226" i="17" s="1"/>
  <c r="H182" i="17"/>
  <c r="H181" i="17"/>
  <c r="H179" i="17"/>
  <c r="H178" i="17"/>
  <c r="I176" i="17"/>
  <c r="J175" i="17"/>
  <c r="K174" i="17"/>
  <c r="B156" i="17"/>
  <c r="J155" i="17"/>
  <c r="E155" i="17"/>
  <c r="D151" i="17"/>
  <c r="C170" i="17" s="1"/>
  <c r="H126" i="17"/>
  <c r="H125" i="17"/>
  <c r="H123" i="17"/>
  <c r="H122" i="17"/>
  <c r="I120" i="17"/>
  <c r="J119" i="17"/>
  <c r="K118" i="17"/>
  <c r="B99" i="17"/>
  <c r="J98" i="17"/>
  <c r="E98" i="17"/>
  <c r="D94" i="17"/>
  <c r="C113" i="17" s="1"/>
  <c r="H69" i="17"/>
  <c r="H68" i="17"/>
  <c r="H66" i="17"/>
  <c r="H65" i="17"/>
  <c r="I63" i="17"/>
  <c r="J62" i="17"/>
  <c r="K61" i="17"/>
  <c r="B42" i="17"/>
  <c r="J41" i="17"/>
  <c r="E41" i="17"/>
  <c r="D37" i="17"/>
  <c r="C56" i="17" s="1"/>
  <c r="H12" i="17"/>
  <c r="H11" i="17"/>
  <c r="H9" i="17"/>
  <c r="H8" i="17"/>
  <c r="I5" i="17"/>
  <c r="J4" i="17"/>
  <c r="K3" i="17"/>
  <c r="F587" i="20"/>
  <c r="F586" i="20"/>
  <c r="H549" i="20"/>
  <c r="H548" i="20"/>
  <c r="H547" i="20"/>
  <c r="H544" i="20"/>
  <c r="H543" i="20"/>
  <c r="H542" i="20"/>
  <c r="H541" i="20"/>
  <c r="F536" i="20"/>
  <c r="F535" i="20"/>
  <c r="H498" i="20"/>
  <c r="H497" i="20"/>
  <c r="H496" i="20"/>
  <c r="H493" i="20"/>
  <c r="H492" i="20"/>
  <c r="H491" i="20"/>
  <c r="H490" i="20"/>
  <c r="F485" i="20"/>
  <c r="B485" i="20"/>
  <c r="F484" i="20"/>
  <c r="K481" i="20"/>
  <c r="C479" i="20"/>
  <c r="B452" i="20"/>
  <c r="H446" i="20"/>
  <c r="H445" i="20"/>
  <c r="H444" i="20"/>
  <c r="H441" i="20"/>
  <c r="H440" i="20"/>
  <c r="H439" i="20"/>
  <c r="H438" i="20"/>
  <c r="F432" i="20"/>
  <c r="B432" i="20"/>
  <c r="F431" i="20"/>
  <c r="K427" i="20"/>
  <c r="C425" i="20"/>
  <c r="B398" i="20"/>
  <c r="H392" i="20"/>
  <c r="H391" i="20"/>
  <c r="H390" i="20"/>
  <c r="H387" i="20"/>
  <c r="H386" i="20"/>
  <c r="H385" i="20"/>
  <c r="H384" i="20"/>
  <c r="F378" i="20"/>
  <c r="B378" i="20"/>
  <c r="F377" i="20"/>
  <c r="K373" i="20"/>
  <c r="C371" i="20"/>
  <c r="B344" i="20"/>
  <c r="H338" i="20"/>
  <c r="H337" i="20"/>
  <c r="H336" i="20"/>
  <c r="H333" i="20"/>
  <c r="H332" i="20"/>
  <c r="H331" i="20"/>
  <c r="H330" i="20"/>
  <c r="F323" i="20"/>
  <c r="B323" i="20"/>
  <c r="F322" i="20"/>
  <c r="K318" i="20"/>
  <c r="C316" i="20"/>
  <c r="B289" i="20"/>
  <c r="H283" i="20"/>
  <c r="H282" i="20"/>
  <c r="H281" i="20"/>
  <c r="H278" i="20"/>
  <c r="H277" i="20"/>
  <c r="H276" i="20"/>
  <c r="H275" i="20"/>
  <c r="F270" i="20"/>
  <c r="B270" i="20"/>
  <c r="F269" i="20"/>
  <c r="K265" i="20"/>
  <c r="C263" i="20"/>
  <c r="B236" i="20"/>
  <c r="H230" i="20"/>
  <c r="H229" i="20"/>
  <c r="H228" i="20"/>
  <c r="H225" i="20"/>
  <c r="H224" i="20"/>
  <c r="H223" i="20"/>
  <c r="H222" i="20"/>
  <c r="F216" i="20"/>
  <c r="B216" i="20"/>
  <c r="F215" i="20"/>
  <c r="K211" i="20"/>
  <c r="C209" i="20"/>
  <c r="B182" i="20"/>
  <c r="H176" i="20"/>
  <c r="H175" i="20"/>
  <c r="H174" i="20"/>
  <c r="H171" i="20"/>
  <c r="H170" i="20"/>
  <c r="H169" i="20"/>
  <c r="H168" i="20"/>
  <c r="F162" i="20"/>
  <c r="B162" i="20"/>
  <c r="F161" i="20"/>
  <c r="C155" i="20"/>
  <c r="B128" i="20"/>
  <c r="H122" i="20"/>
  <c r="H121" i="20"/>
  <c r="H120" i="20"/>
  <c r="H117" i="20"/>
  <c r="H116" i="20"/>
  <c r="H115" i="20"/>
  <c r="H114" i="20"/>
  <c r="F108" i="20"/>
  <c r="B108" i="20"/>
  <c r="F107" i="20"/>
  <c r="K103" i="20"/>
  <c r="C101" i="20"/>
  <c r="B74" i="20"/>
  <c r="H68" i="20"/>
  <c r="H67" i="20"/>
  <c r="H66" i="20"/>
  <c r="H63" i="20"/>
  <c r="H62" i="20"/>
  <c r="H61" i="20"/>
  <c r="H60" i="20"/>
  <c r="F54" i="20"/>
  <c r="B54" i="20"/>
  <c r="F53" i="20"/>
  <c r="K49" i="20"/>
  <c r="C47" i="20"/>
  <c r="B20" i="20"/>
  <c r="H14" i="20"/>
  <c r="H13" i="20"/>
  <c r="H12" i="20"/>
  <c r="H9" i="20"/>
  <c r="H8" i="20"/>
  <c r="H7" i="20"/>
  <c r="H6" i="20"/>
  <c r="F576" i="19"/>
  <c r="B576" i="19"/>
  <c r="F575" i="19"/>
  <c r="K570" i="19"/>
  <c r="B561" i="19"/>
  <c r="H556" i="19"/>
  <c r="H555" i="19"/>
  <c r="H554" i="19"/>
  <c r="H553" i="19"/>
  <c r="H552" i="19"/>
  <c r="H551" i="19"/>
  <c r="H548" i="19"/>
  <c r="H547" i="19"/>
  <c r="H546" i="19"/>
  <c r="H545" i="19"/>
  <c r="H543" i="19"/>
  <c r="B542" i="19"/>
  <c r="H541" i="19"/>
  <c r="H535" i="19"/>
  <c r="B535" i="19"/>
  <c r="H533" i="19"/>
  <c r="B533" i="19"/>
  <c r="F525" i="19"/>
  <c r="B525" i="19"/>
  <c r="F524" i="19"/>
  <c r="K521" i="19"/>
  <c r="B512" i="19"/>
  <c r="H507" i="19"/>
  <c r="H506" i="19"/>
  <c r="H505" i="19"/>
  <c r="H504" i="19"/>
  <c r="H503" i="19"/>
  <c r="H502" i="19"/>
  <c r="H499" i="19"/>
  <c r="H498" i="19"/>
  <c r="H497" i="19"/>
  <c r="H496" i="19"/>
  <c r="H494" i="19"/>
  <c r="B493" i="19"/>
  <c r="H492" i="19"/>
  <c r="H486" i="19"/>
  <c r="B486" i="19"/>
  <c r="H484" i="19"/>
  <c r="B484" i="19"/>
  <c r="F474" i="19"/>
  <c r="B474" i="19"/>
  <c r="F473" i="19"/>
  <c r="K468" i="19"/>
  <c r="B458" i="19"/>
  <c r="H453" i="19"/>
  <c r="H452" i="19"/>
  <c r="H451" i="19"/>
  <c r="H450" i="19"/>
  <c r="H449" i="19"/>
  <c r="H448" i="19"/>
  <c r="H445" i="19"/>
  <c r="H444" i="19"/>
  <c r="H443" i="19"/>
  <c r="H442" i="19"/>
  <c r="H440" i="19"/>
  <c r="B439" i="19"/>
  <c r="H438" i="19"/>
  <c r="B432" i="19"/>
  <c r="B430" i="19"/>
  <c r="F421" i="19"/>
  <c r="B421" i="19"/>
  <c r="F420" i="19"/>
  <c r="K415" i="19"/>
  <c r="B406" i="19"/>
  <c r="H401" i="19"/>
  <c r="H400" i="19"/>
  <c r="H399" i="19"/>
  <c r="H398" i="19"/>
  <c r="H397" i="19"/>
  <c r="H396" i="19"/>
  <c r="H393" i="19"/>
  <c r="H392" i="19"/>
  <c r="H391" i="19"/>
  <c r="H390" i="19"/>
  <c r="H388" i="19"/>
  <c r="B387" i="19"/>
  <c r="H386" i="19"/>
  <c r="B380" i="19"/>
  <c r="B378" i="19"/>
  <c r="F369" i="19"/>
  <c r="B369" i="19"/>
  <c r="F368" i="19"/>
  <c r="K363" i="19"/>
  <c r="B353" i="19"/>
  <c r="H348" i="19"/>
  <c r="H347" i="19"/>
  <c r="H346" i="19"/>
  <c r="H345" i="19"/>
  <c r="H344" i="19"/>
  <c r="H343" i="19"/>
  <c r="H340" i="19"/>
  <c r="H339" i="19"/>
  <c r="H338" i="19"/>
  <c r="H337" i="19"/>
  <c r="H335" i="19"/>
  <c r="B334" i="19"/>
  <c r="H333" i="19"/>
  <c r="B327" i="19"/>
  <c r="B325" i="19"/>
  <c r="F316" i="19"/>
  <c r="B316" i="19"/>
  <c r="F315" i="19"/>
  <c r="K310" i="19"/>
  <c r="B300" i="19"/>
  <c r="H295" i="19"/>
  <c r="H294" i="19"/>
  <c r="H293" i="19"/>
  <c r="H292" i="19"/>
  <c r="H291" i="19"/>
  <c r="H290" i="19"/>
  <c r="H287" i="19"/>
  <c r="H286" i="19"/>
  <c r="H285" i="19"/>
  <c r="H284" i="19"/>
  <c r="H282" i="19"/>
  <c r="B281" i="19"/>
  <c r="H280" i="19"/>
  <c r="B274" i="19"/>
  <c r="B272" i="19"/>
  <c r="F263" i="19"/>
  <c r="B263" i="19"/>
  <c r="F262" i="19"/>
  <c r="K257" i="19"/>
  <c r="B247" i="19"/>
  <c r="H242" i="19"/>
  <c r="H241" i="19"/>
  <c r="H240" i="19"/>
  <c r="H239" i="19"/>
  <c r="H238" i="19"/>
  <c r="H237" i="19"/>
  <c r="H234" i="19"/>
  <c r="H233" i="19"/>
  <c r="H232" i="19"/>
  <c r="H231" i="19"/>
  <c r="H229" i="19"/>
  <c r="B228" i="19"/>
  <c r="H227" i="19"/>
  <c r="B221" i="19"/>
  <c r="B219" i="19"/>
  <c r="F210" i="19"/>
  <c r="B210" i="19"/>
  <c r="F209" i="19"/>
  <c r="K204" i="19"/>
  <c r="B194" i="19"/>
  <c r="H189" i="19"/>
  <c r="H188" i="19"/>
  <c r="H187" i="19"/>
  <c r="H186" i="19"/>
  <c r="H185" i="19"/>
  <c r="H184" i="19"/>
  <c r="H181" i="19"/>
  <c r="H180" i="19"/>
  <c r="H179" i="19"/>
  <c r="H178" i="19"/>
  <c r="H176" i="19"/>
  <c r="B175" i="19"/>
  <c r="H174" i="19"/>
  <c r="B168" i="19"/>
  <c r="B166" i="19"/>
  <c r="F157" i="19"/>
  <c r="B157" i="19"/>
  <c r="F156" i="19"/>
  <c r="K151" i="19"/>
  <c r="B141" i="19"/>
  <c r="H136" i="19"/>
  <c r="H135" i="19"/>
  <c r="H134" i="19"/>
  <c r="H133" i="19"/>
  <c r="H132" i="19"/>
  <c r="H131" i="19"/>
  <c r="H128" i="19"/>
  <c r="H127" i="19"/>
  <c r="H126" i="19"/>
  <c r="H125" i="19"/>
  <c r="H123" i="19"/>
  <c r="B122" i="19"/>
  <c r="H121" i="19"/>
  <c r="B115" i="19"/>
  <c r="B113" i="19"/>
  <c r="F103" i="19"/>
  <c r="B103" i="19"/>
  <c r="F102" i="19"/>
  <c r="K97" i="19"/>
  <c r="B87" i="19"/>
  <c r="H82" i="19"/>
  <c r="H81" i="19"/>
  <c r="H80" i="19"/>
  <c r="H79" i="19"/>
  <c r="H78" i="19"/>
  <c r="H77" i="19"/>
  <c r="H74" i="19"/>
  <c r="H73" i="19"/>
  <c r="H72" i="19"/>
  <c r="H71" i="19"/>
  <c r="H69" i="19"/>
  <c r="B68" i="19"/>
  <c r="H67" i="19"/>
  <c r="B61" i="19"/>
  <c r="B59" i="19"/>
  <c r="B51" i="19"/>
  <c r="K45" i="19"/>
  <c r="B35" i="19"/>
  <c r="H30" i="19"/>
  <c r="H29" i="19"/>
  <c r="H28" i="19"/>
  <c r="H27" i="19"/>
  <c r="H26" i="19"/>
  <c r="H25" i="19"/>
  <c r="H22" i="19"/>
  <c r="H21" i="19"/>
  <c r="H20" i="19"/>
  <c r="H19" i="19"/>
  <c r="D22" i="16"/>
  <c r="C22" i="16"/>
  <c r="D21" i="16"/>
  <c r="C21" i="16"/>
  <c r="D20" i="16"/>
  <c r="C20" i="16"/>
  <c r="D19" i="16"/>
  <c r="C19" i="16"/>
  <c r="D18" i="16"/>
  <c r="C18" i="16"/>
  <c r="D17" i="16"/>
  <c r="C17" i="16"/>
  <c r="D16" i="16"/>
  <c r="C16" i="16"/>
  <c r="D15" i="16"/>
  <c r="C15" i="16"/>
  <c r="D14" i="16"/>
  <c r="C14" i="16"/>
  <c r="D13" i="16"/>
  <c r="C13" i="16"/>
  <c r="D12" i="16"/>
  <c r="C12" i="16"/>
  <c r="D11" i="16"/>
  <c r="C11" i="16"/>
  <c r="D10" i="16"/>
  <c r="C10" i="16"/>
  <c r="D9" i="16"/>
  <c r="C9" i="16"/>
  <c r="D8" i="16"/>
  <c r="C8" i="16"/>
  <c r="D7" i="16"/>
  <c r="C7" i="16"/>
  <c r="D6" i="16"/>
  <c r="C6" i="16"/>
  <c r="D5" i="16"/>
  <c r="C5" i="16"/>
  <c r="D4" i="16"/>
  <c r="C4" i="16"/>
  <c r="D3" i="16"/>
  <c r="C3" i="16"/>
  <c r="C1" i="16"/>
  <c r="Q10" i="12"/>
  <c r="P10" i="12"/>
  <c r="O10" i="12"/>
  <c r="H10" i="12"/>
  <c r="F10" i="12"/>
  <c r="E10" i="12"/>
  <c r="C10" i="12"/>
  <c r="D5" i="12"/>
  <c r="L4" i="12"/>
  <c r="F12" i="9"/>
  <c r="F16" i="8"/>
  <c r="F9" i="8"/>
  <c r="F8" i="8"/>
  <c r="D7" i="8"/>
  <c r="B6" i="8"/>
  <c r="B5" i="8"/>
  <c r="D4" i="8"/>
  <c r="F16" i="6"/>
  <c r="E9" i="6"/>
  <c r="E8" i="6"/>
  <c r="D7" i="6"/>
  <c r="B6" i="6"/>
  <c r="B5" i="6"/>
  <c r="D4" i="6"/>
  <c r="H16" i="7"/>
  <c r="E9" i="7"/>
  <c r="E8" i="7"/>
  <c r="D7" i="7"/>
  <c r="B6" i="7"/>
  <c r="B5" i="7"/>
  <c r="D4" i="7"/>
  <c r="H16" i="5"/>
  <c r="E9" i="5"/>
  <c r="E8" i="5"/>
  <c r="D7" i="5"/>
  <c r="B6" i="5"/>
  <c r="B5" i="5"/>
  <c r="D4" i="5"/>
  <c r="R73" i="4"/>
  <c r="Q73" i="4"/>
  <c r="E73" i="4"/>
  <c r="O73" i="4" s="1"/>
  <c r="O67" i="4"/>
  <c r="E62" i="4"/>
  <c r="O62" i="4" s="1"/>
  <c r="E60" i="4"/>
  <c r="O60" i="4" s="1"/>
  <c r="E58" i="4"/>
  <c r="O58" i="4" s="1"/>
  <c r="L54" i="4"/>
  <c r="B53" i="4"/>
  <c r="L53" i="4" s="1"/>
  <c r="D52" i="4"/>
  <c r="O52" i="4" s="1"/>
  <c r="H25" i="4"/>
  <c r="R25" i="4" s="1"/>
  <c r="G25" i="4"/>
  <c r="Q25" i="4" s="1"/>
  <c r="E25" i="4"/>
  <c r="O25" i="4" s="1"/>
  <c r="O19" i="4"/>
  <c r="E14" i="4"/>
  <c r="O14" i="4" s="1"/>
  <c r="E12" i="4"/>
  <c r="O12" i="4" s="1"/>
  <c r="E10" i="4"/>
  <c r="O10" i="4" s="1"/>
  <c r="E8" i="4"/>
  <c r="O8" i="4" s="1"/>
  <c r="B6" i="4"/>
  <c r="L6" i="4" s="1"/>
  <c r="B5" i="4"/>
  <c r="L5" i="4" s="1"/>
  <c r="D4" i="4"/>
  <c r="O4" i="4" s="1"/>
  <c r="G79" i="10"/>
  <c r="J74" i="10"/>
  <c r="H72" i="10"/>
  <c r="H66" i="10"/>
  <c r="H62" i="10"/>
  <c r="B61" i="10"/>
  <c r="H60" i="10"/>
  <c r="B54" i="10"/>
  <c r="B52" i="10"/>
  <c r="L34" i="10"/>
  <c r="K34" i="10"/>
  <c r="G34" i="10"/>
  <c r="J29" i="10"/>
  <c r="H27" i="10"/>
  <c r="H26" i="10"/>
  <c r="J25" i="10"/>
  <c r="J24" i="10"/>
  <c r="H23" i="10"/>
  <c r="H22" i="10"/>
  <c r="H21" i="10"/>
  <c r="H20" i="10"/>
  <c r="H19" i="10"/>
  <c r="H17" i="10"/>
  <c r="B16" i="10"/>
  <c r="H15" i="10"/>
  <c r="B9" i="10"/>
  <c r="B7" i="10"/>
  <c r="AF12" i="3"/>
  <c r="AE12" i="3"/>
  <c r="AD12" i="3"/>
  <c r="Z12" i="3"/>
  <c r="Z33" i="3" s="1"/>
  <c r="Y12" i="3"/>
  <c r="Y33" i="3" s="1"/>
  <c r="V12" i="3"/>
  <c r="V33" i="3" s="1"/>
  <c r="T12" i="3"/>
  <c r="T33" i="3" s="1"/>
  <c r="Q12" i="3"/>
  <c r="Q33" i="3" s="1"/>
  <c r="J12" i="3"/>
  <c r="J33" i="3" s="1"/>
  <c r="I12" i="3"/>
  <c r="I33" i="3" s="1"/>
  <c r="G12" i="3"/>
  <c r="G33" i="3" s="1"/>
  <c r="F12" i="3"/>
  <c r="F33" i="3" s="1"/>
  <c r="E12" i="3"/>
  <c r="E33" i="3" s="1"/>
  <c r="D12" i="3"/>
  <c r="C12" i="3"/>
  <c r="AB7" i="3"/>
  <c r="AB6" i="3"/>
  <c r="D6" i="3"/>
  <c r="D4" i="3"/>
  <c r="D3" i="3"/>
  <c r="D2" i="3"/>
  <c r="C51" i="11"/>
  <c r="D50" i="11"/>
  <c r="L9" i="11"/>
  <c r="I8" i="11"/>
  <c r="I4" i="11"/>
  <c r="C4" i="11"/>
  <c r="H17" i="19"/>
  <c r="H15" i="19"/>
  <c r="B16" i="19"/>
  <c r="B9" i="19"/>
  <c r="B7" i="19"/>
  <c r="A20" i="13"/>
  <c r="F13" i="13"/>
  <c r="F12" i="13"/>
  <c r="F8" i="13"/>
  <c r="D6" i="13"/>
  <c r="H667" i="1"/>
  <c r="H65" i="10"/>
  <c r="AJ6" i="1"/>
  <c r="AJ5" i="1"/>
  <c r="M10" i="12" l="1"/>
  <c r="N10" i="12" s="1"/>
  <c r="H213" i="10"/>
  <c r="B205" i="10"/>
  <c r="H205" i="10" s="1"/>
  <c r="B203" i="10"/>
  <c r="H203" i="10" s="1"/>
  <c r="Z4" i="27"/>
  <c r="H113" i="19"/>
  <c r="Z3" i="27"/>
  <c r="I51" i="11"/>
  <c r="G10" i="21"/>
  <c r="H107" i="10"/>
  <c r="H105" i="10"/>
  <c r="H430" i="19"/>
  <c r="H52" i="10"/>
  <c r="F51" i="19"/>
  <c r="H219" i="19"/>
  <c r="H61" i="19"/>
  <c r="H9" i="19"/>
  <c r="L56" i="11"/>
  <c r="H68" i="10"/>
  <c r="F10" i="13"/>
  <c r="H380" i="19"/>
  <c r="H9" i="10"/>
  <c r="H7" i="10"/>
  <c r="H67" i="10"/>
  <c r="H7" i="19"/>
  <c r="AB2" i="3"/>
  <c r="H274" i="19"/>
  <c r="H325" i="19"/>
  <c r="B12" i="3"/>
  <c r="AB3" i="3"/>
  <c r="H168" i="19"/>
  <c r="B10" i="12"/>
  <c r="H54" i="10"/>
  <c r="F11" i="13"/>
  <c r="H432" i="19"/>
  <c r="H327" i="19"/>
  <c r="H221" i="19"/>
  <c r="H115" i="19"/>
  <c r="F50" i="19"/>
  <c r="H59" i="19"/>
  <c r="H166" i="19"/>
  <c r="H272" i="19"/>
  <c r="H378" i="19"/>
  <c r="G8" i="21"/>
  <c r="I55" i="11"/>
  <c r="H64" i="10"/>
  <c r="E56" i="4"/>
  <c r="O56" i="4" s="1"/>
  <c r="E558" i="10" l="1"/>
  <c r="D498" i="4"/>
  <c r="D533" i="4"/>
  <c r="E601" i="10"/>
  <c r="E463" i="10"/>
  <c r="D428" i="4"/>
  <c r="E646" i="10"/>
  <c r="D568" i="4"/>
  <c r="E508" i="10"/>
  <c r="D463" i="4"/>
  <c r="J557" i="10" l="1"/>
  <c r="E496" i="4"/>
  <c r="N498" i="4"/>
  <c r="N463" i="4"/>
  <c r="N568" i="4"/>
  <c r="N428" i="4"/>
  <c r="N533" i="4"/>
  <c r="I601" i="10" l="1"/>
  <c r="F533" i="4"/>
  <c r="F498" i="4"/>
  <c r="I558" i="10"/>
  <c r="J559" i="10" s="1"/>
  <c r="I508" i="10"/>
  <c r="E426" i="4"/>
  <c r="J462" i="10"/>
  <c r="O496" i="4"/>
  <c r="F428" i="4"/>
  <c r="I463" i="10"/>
  <c r="I646" i="10"/>
  <c r="F568" i="4"/>
  <c r="F463" i="4"/>
  <c r="J645" i="10"/>
  <c r="E566" i="4"/>
  <c r="J507" i="10"/>
  <c r="E461" i="4"/>
  <c r="J509" i="10" l="1"/>
  <c r="J647" i="10"/>
  <c r="O566" i="4"/>
  <c r="P568" i="4"/>
  <c r="I568" i="4"/>
  <c r="S568" i="4" s="1"/>
  <c r="J600" i="10"/>
  <c r="J602" i="10" s="1"/>
  <c r="E531" i="4"/>
  <c r="P498" i="4"/>
  <c r="I498" i="4"/>
  <c r="P533" i="4"/>
  <c r="I533" i="4"/>
  <c r="S533" i="4" s="1"/>
  <c r="O461" i="4"/>
  <c r="P463" i="4"/>
  <c r="I463" i="4"/>
  <c r="S463" i="4" s="1"/>
  <c r="P428" i="4"/>
  <c r="I428" i="4"/>
  <c r="S428" i="4" s="1"/>
  <c r="O426" i="4"/>
  <c r="J464" i="10"/>
  <c r="E430" i="4" l="1"/>
  <c r="O430" i="4" s="1"/>
  <c r="S498" i="4"/>
  <c r="E500" i="4"/>
  <c r="O500" i="4" s="1"/>
  <c r="O531" i="4"/>
  <c r="E535" i="4"/>
  <c r="O535" i="4" s="1"/>
  <c r="E465" i="4"/>
  <c r="O465" i="4" s="1"/>
  <c r="E570" i="4"/>
  <c r="O570" i="4" s="1"/>
  <c r="E415" i="10" l="1"/>
  <c r="D358" i="4"/>
  <c r="D393" i="4"/>
  <c r="E372" i="10"/>
  <c r="N393" i="4" l="1"/>
  <c r="N358" i="4"/>
  <c r="J371" i="10" l="1"/>
  <c r="E391" i="4"/>
  <c r="J414" i="10"/>
  <c r="E356" i="4"/>
  <c r="F358" i="4" l="1"/>
  <c r="I415" i="10"/>
  <c r="J416" i="10" s="1"/>
  <c r="O391" i="4"/>
  <c r="F393" i="4"/>
  <c r="I372" i="10"/>
  <c r="J373" i="10" s="1"/>
  <c r="O356" i="4"/>
  <c r="P393" i="4" l="1"/>
  <c r="I393" i="4"/>
  <c r="P358" i="4"/>
  <c r="I358" i="4"/>
  <c r="S358" i="4" l="1"/>
  <c r="E360" i="4"/>
  <c r="O360" i="4" s="1"/>
  <c r="S393" i="4"/>
  <c r="E395" i="4"/>
  <c r="O395" i="4" s="1"/>
  <c r="F20" i="13" l="1"/>
  <c r="H12" i="3"/>
  <c r="H33" i="3" s="1"/>
  <c r="S12" i="3" l="1"/>
  <c r="S33" i="3" s="1"/>
  <c r="R12" i="3"/>
  <c r="R33" i="3" s="1"/>
  <c r="E325" i="10" l="1"/>
  <c r="D322" i="4"/>
  <c r="N322" i="4" l="1"/>
  <c r="J324" i="10" l="1"/>
  <c r="E320" i="4"/>
  <c r="F322" i="4" l="1"/>
  <c r="I325" i="10"/>
  <c r="J326" i="10" s="1"/>
  <c r="O320" i="4"/>
  <c r="P322" i="4" l="1"/>
  <c r="I322" i="4"/>
  <c r="S322" i="4" l="1"/>
  <c r="E324" i="4"/>
  <c r="O324" i="4" s="1"/>
  <c r="M12" i="3" l="1"/>
  <c r="M33" i="3" s="1"/>
  <c r="N12" i="3"/>
  <c r="N33" i="3" s="1"/>
  <c r="G20" i="13" l="1"/>
  <c r="H20" i="13" s="1"/>
  <c r="L12" i="3"/>
  <c r="L33" i="3" s="1"/>
  <c r="D25" i="4"/>
  <c r="E34" i="10"/>
  <c r="W12" i="3"/>
  <c r="W33" i="3" s="1"/>
  <c r="D251" i="4"/>
  <c r="E277" i="10"/>
  <c r="D169" i="4"/>
  <c r="E184" i="10"/>
  <c r="E132" i="10"/>
  <c r="O12" i="3" l="1"/>
  <c r="O33" i="3" s="1"/>
  <c r="N25" i="4"/>
  <c r="N169" i="4"/>
  <c r="N251" i="4"/>
  <c r="D73" i="4"/>
  <c r="E79" i="10"/>
  <c r="AB16" i="1"/>
  <c r="AB37" i="1" s="1"/>
  <c r="K12" i="3" l="1"/>
  <c r="K33" i="3" s="1"/>
  <c r="J183" i="10"/>
  <c r="E167" i="4"/>
  <c r="N73" i="4"/>
  <c r="E119" i="4"/>
  <c r="J131" i="10"/>
  <c r="F251" i="4"/>
  <c r="I277" i="10"/>
  <c r="AG16" i="1"/>
  <c r="AG37" i="1" s="1"/>
  <c r="E249" i="4"/>
  <c r="J276" i="10"/>
  <c r="J78" i="10"/>
  <c r="J229" i="10"/>
  <c r="J231" i="10" s="1"/>
  <c r="E208" i="4"/>
  <c r="P12" i="3" l="1"/>
  <c r="P33" i="3" s="1"/>
  <c r="E71" i="4"/>
  <c r="O71" i="4" s="1"/>
  <c r="F25" i="4"/>
  <c r="I34" i="10"/>
  <c r="X12" i="3"/>
  <c r="X33" i="3" s="1"/>
  <c r="AN16" i="1"/>
  <c r="AN37" i="1" s="1"/>
  <c r="U12" i="3"/>
  <c r="U33" i="3" s="1"/>
  <c r="E23" i="4"/>
  <c r="J33" i="10"/>
  <c r="G10" i="12"/>
  <c r="P251" i="4"/>
  <c r="I251" i="4"/>
  <c r="S251" i="4" s="1"/>
  <c r="E123" i="4"/>
  <c r="O123" i="4" s="1"/>
  <c r="O119" i="4"/>
  <c r="O167" i="4"/>
  <c r="J278" i="10"/>
  <c r="I132" i="10"/>
  <c r="J133" i="10" s="1"/>
  <c r="F169" i="4"/>
  <c r="I184" i="10"/>
  <c r="J185" i="10" s="1"/>
  <c r="O208" i="4"/>
  <c r="E212" i="4"/>
  <c r="O212" i="4" s="1"/>
  <c r="O249" i="4"/>
  <c r="AO16" i="1" l="1"/>
  <c r="AO37" i="1" s="1"/>
  <c r="E253" i="4"/>
  <c r="O253" i="4" s="1"/>
  <c r="P169" i="4"/>
  <c r="I169" i="4"/>
  <c r="O23" i="4"/>
  <c r="AB12" i="3"/>
  <c r="AB33" i="3" s="1"/>
  <c r="P25" i="4"/>
  <c r="I25" i="4"/>
  <c r="S25" i="4" s="1"/>
  <c r="AC12" i="3" l="1"/>
  <c r="AC33" i="3" s="1"/>
  <c r="J35" i="10"/>
  <c r="F73" i="4"/>
  <c r="I79" i="10"/>
  <c r="J80" i="10" s="1"/>
  <c r="E27" i="4"/>
  <c r="O27" i="4" s="1"/>
  <c r="S169" i="4"/>
  <c r="E171" i="4"/>
  <c r="O171" i="4" s="1"/>
  <c r="P73" i="4" l="1"/>
  <c r="I73" i="4"/>
  <c r="S73" i="4" l="1"/>
  <c r="E75" i="4"/>
  <c r="O75"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Bhaskar</author>
  </authors>
  <commentList>
    <comment ref="AC33" authorId="0" shapeId="0" xr:uid="{00000000-0006-0000-0100-000001000000}">
      <text>
        <r>
          <rPr>
            <b/>
            <sz val="9"/>
            <color indexed="81"/>
            <rFont val="Tahoma"/>
            <family val="2"/>
          </rPr>
          <t>Bhaskar:</t>
        </r>
        <r>
          <rPr>
            <sz val="9"/>
            <color indexed="81"/>
            <rFont val="Tahoma"/>
            <family val="2"/>
          </rPr>
          <t xml:space="preserve">
BONUS CALICULATION WONG</t>
        </r>
      </text>
    </comment>
  </commentList>
</comments>
</file>

<file path=xl/sharedStrings.xml><?xml version="1.0" encoding="utf-8"?>
<sst xmlns="http://schemas.openxmlformats.org/spreadsheetml/2006/main" count="7639" uniqueCount="1157">
  <si>
    <t>Name and address of Contractor:</t>
  </si>
  <si>
    <t>Name and address of Establishemnt in/
under which contract is carried on:</t>
  </si>
  <si>
    <t>Nature and location of work:</t>
  </si>
  <si>
    <t>Wage period: Monthly</t>
  </si>
  <si>
    <t>Name and address of Principal Employer:</t>
  </si>
  <si>
    <t>S.No</t>
  </si>
  <si>
    <t>Name of 
Workman</t>
  </si>
  <si>
    <t>Serial No. in the
 Register of Workmen</t>
  </si>
  <si>
    <t>Designation /
 Nature of Work 
Done</t>
  </si>
  <si>
    <t>No.of Days
 worked</t>
  </si>
  <si>
    <t>Unit of 
work done</t>
  </si>
  <si>
    <t>Basic
 wages</t>
  </si>
  <si>
    <t>Dearness 
Allowances</t>
  </si>
  <si>
    <t>Over
time</t>
  </si>
  <si>
    <t>Other cash payments      (Nature of payments
 to be indicated)</t>
  </si>
  <si>
    <t>HRA</t>
  </si>
  <si>
    <t>CONVEYANCE</t>
  </si>
  <si>
    <t>MEDICAL ALLOWANCES</t>
  </si>
  <si>
    <t>SPECIAL ALLOWNANCES</t>
  </si>
  <si>
    <t>Total</t>
  </si>
  <si>
    <t>BONUS</t>
  </si>
  <si>
    <t>GRATUITY</t>
  </si>
  <si>
    <t>LTA/L.E</t>
  </si>
  <si>
    <t>ARREAR AMOUNT</t>
  </si>
  <si>
    <t>TOTAL AMOUNT</t>
  </si>
  <si>
    <t>Deductions, if any, 
(Indicate nature)</t>
  </si>
  <si>
    <t>Net Amount 
paid</t>
  </si>
  <si>
    <t>Time and Date of Payment</t>
  </si>
  <si>
    <t>Place of Payment</t>
  </si>
  <si>
    <t>Signature/Thumb
Impression of workman</t>
  </si>
  <si>
    <t>Initial of Contractor
 or his representative</t>
  </si>
  <si>
    <t>ESI</t>
  </si>
  <si>
    <t>PF</t>
  </si>
  <si>
    <t>PT</t>
  </si>
  <si>
    <t>TDS</t>
  </si>
  <si>
    <t>MED</t>
  </si>
  <si>
    <t>Total Deductions</t>
  </si>
  <si>
    <t>N/A</t>
  </si>
  <si>
    <t xml:space="preserve">Signature of the Contractor with Seal </t>
  </si>
  <si>
    <t>Father's/ 
Husband's Name</t>
  </si>
  <si>
    <t>Sex</t>
  </si>
  <si>
    <t>Remarks</t>
  </si>
  <si>
    <t>P</t>
  </si>
  <si>
    <t>Father's /Husband Name</t>
  </si>
  <si>
    <t>Permanent Address</t>
  </si>
  <si>
    <t>Local Address</t>
  </si>
  <si>
    <t>Date of Commencement of Employment</t>
  </si>
  <si>
    <t>Signature or thumb impression of Workman</t>
  </si>
  <si>
    <t>Date of termination of Employment</t>
  </si>
  <si>
    <t>Reasons for termination</t>
  </si>
  <si>
    <t>(Vide Rule 75 of Contract Labour (Regulation and Abolition) Central/Telangana/A.P. Rules 1971)</t>
  </si>
  <si>
    <t xml:space="preserve">Age </t>
  </si>
  <si>
    <r>
      <rPr>
        <b/>
        <sz val="25"/>
        <color indexed="8"/>
        <rFont val="Calibri"/>
        <family val="2"/>
      </rPr>
      <t xml:space="preserve">FORM - XVII REGISTER OF WAGES
</t>
    </r>
    <r>
      <rPr>
        <sz val="11"/>
        <color theme="1"/>
        <rFont val="Calibri"/>
        <family val="2"/>
        <scheme val="minor"/>
      </rPr>
      <t>[Vide Rule 78 (1) (a) (i) of Contract Labour (Reg. &amp; Abolition) Central &amp; Telangana/A.P.Rules 1971]</t>
    </r>
  </si>
  <si>
    <t>Form XIX - WAGE SLIP</t>
  </si>
  <si>
    <t>[Vide rule 78 (1) (b) of the Contract Labour (Regulation and Abolition) Central and A.P Rules, 1971]</t>
  </si>
  <si>
    <t>Name and address of Contractor</t>
  </si>
  <si>
    <t>Name and Father's / Husband's name of the workman</t>
  </si>
  <si>
    <t>Nature and location of work</t>
  </si>
  <si>
    <t>For the Week / Fortnight / Month ending</t>
  </si>
  <si>
    <t>No. of days worked</t>
  </si>
  <si>
    <t>No. of units worked in case of piece rate workers :</t>
  </si>
  <si>
    <t>Rate of daily wages / piece rate</t>
  </si>
  <si>
    <t>Amount of overtime wages</t>
  </si>
  <si>
    <t>Nil</t>
  </si>
  <si>
    <t>Gross wages payble</t>
  </si>
  <si>
    <t>EPF</t>
  </si>
  <si>
    <t>Deductions, if any</t>
  </si>
  <si>
    <t>Net amount of wages paid</t>
  </si>
  <si>
    <t>Initial of the Contractor or his representative</t>
  </si>
  <si>
    <t>FORM XX- REGISTER OF DEDUCTIONS FOR DAMAGE OR LOSS</t>
  </si>
  <si>
    <t xml:space="preserve">Name and address of principal employer: </t>
  </si>
  <si>
    <t>Name of workman</t>
  </si>
  <si>
    <t>Father's / Husband's Name</t>
  </si>
  <si>
    <t>Designation / Nature of employment</t>
  </si>
  <si>
    <t>Particulars of damage or loss</t>
  </si>
  <si>
    <t>Date of Damage or loss</t>
  </si>
  <si>
    <t>Whether workman showed cause against deduction</t>
  </si>
  <si>
    <t>Name of person in whose presence employee's explanation was heard</t>
  </si>
  <si>
    <t>Amount of deduction impossed</t>
  </si>
  <si>
    <t>Date of recovery</t>
  </si>
  <si>
    <t>No.of Instalments</t>
  </si>
  <si>
    <t>First Instalment</t>
  </si>
  <si>
    <t>Last instalment</t>
  </si>
  <si>
    <t xml:space="preserve">         </t>
  </si>
  <si>
    <t xml:space="preserve">Nature and Location of Work: </t>
  </si>
  <si>
    <t xml:space="preserve">Name and address of the establishment in  / under which contract is carried on:                             </t>
  </si>
  <si>
    <t>FORM XXI- REGISTER OF FINES</t>
  </si>
  <si>
    <t>Act/Omission for which fine imposed</t>
  </si>
  <si>
    <t>Date of offence</t>
  </si>
  <si>
    <t>Whether workman showed cause against fine</t>
  </si>
  <si>
    <t>Wage-period and wge payable</t>
  </si>
  <si>
    <t>Amount of fine Imposed</t>
  </si>
  <si>
    <t>Date on which fine realised</t>
  </si>
  <si>
    <t xml:space="preserve">NO EMPLOYEE WAS IMPOSED FINESFOR THE MONTH OF </t>
  </si>
  <si>
    <t>FORM XXII- REGISTER OF ADVANCES</t>
  </si>
  <si>
    <t>Wage period and wages payable</t>
  </si>
  <si>
    <t>Date and amount of advance given</t>
  </si>
  <si>
    <t>Purpose(s) for which advance made</t>
  </si>
  <si>
    <t>Number of instalments by which advance to be repaid</t>
  </si>
  <si>
    <t>Date and amount of each instalment repaid</t>
  </si>
  <si>
    <t>Date on which last instalment was repaid</t>
  </si>
  <si>
    <t>(Vide Rule 78(1) (a) (i) of Contract Labour (Regulation and Abolition) Central /A.P.Rules 1971</t>
  </si>
  <si>
    <t xml:space="preserve">NO EMPLOYEE TAKEN ADVANCE FOR THE MONTH OF </t>
  </si>
  <si>
    <t>FORM XXIII- REGISTER OF OVERTIME</t>
  </si>
  <si>
    <t>Date on which overtime worked</t>
  </si>
  <si>
    <t>Total overtime worked or production in case of piece-rates</t>
  </si>
  <si>
    <t>Normal rate of wages</t>
  </si>
  <si>
    <t>Overtime rate of wages</t>
  </si>
  <si>
    <t>overtime earnings</t>
  </si>
  <si>
    <t>Date on which overtime wages paid</t>
  </si>
  <si>
    <t xml:space="preserve">NO EMPLOYEE DONE OVERTIME FOR THE MONTH OF </t>
  </si>
  <si>
    <t xml:space="preserve">Name and address of the establishment in  which under contract is carried on: </t>
  </si>
  <si>
    <t>Age</t>
  </si>
  <si>
    <t>Insurance Number</t>
  </si>
  <si>
    <t>Shift,Department and occupation of employee</t>
  </si>
  <si>
    <t>Name,address and occupation of the two witnesses</t>
  </si>
  <si>
    <t xml:space="preserve">               NO ACCIDENT OCCURRED  FOR THE MONTH OF </t>
  </si>
  <si>
    <t>FORM XIV</t>
  </si>
  <si>
    <t>EMPLOYMENT CUM WAGE CARD</t>
  </si>
  <si>
    <t>(Vide Rule 76 of Contract Labour (R&amp;A) Central &amp; A.P Rules, 1971)</t>
  </si>
  <si>
    <t>Name and Address of the Contractor</t>
  </si>
  <si>
    <t>Name and Address of the Establishment in/under which Contract is carried on:</t>
  </si>
  <si>
    <t xml:space="preserve">                          </t>
  </si>
  <si>
    <t>Nature of work and location of work:</t>
  </si>
  <si>
    <t>1. Name of the Workman and address</t>
  </si>
  <si>
    <t>2. S.No. in the Register of Workmen
     Employed</t>
  </si>
  <si>
    <t>3. Nature of Employment /Designation</t>
  </si>
  <si>
    <t>4. Date of entry into service</t>
  </si>
  <si>
    <t>5. ESI No.</t>
  </si>
  <si>
    <t>6.PF No.</t>
  </si>
  <si>
    <t>7. Wage rate (With particulars of unit in
     case of piece - work)</t>
  </si>
  <si>
    <t>8. Wage period</t>
  </si>
  <si>
    <t>9. Tenure of Employment</t>
  </si>
  <si>
    <t>AS PER CONTRACT</t>
  </si>
  <si>
    <t>10.No. of days worked in a month</t>
  </si>
  <si>
    <t>11. No. of units worked in case of piece rate workers</t>
  </si>
  <si>
    <t>12. Rate of daily wages / piece rate</t>
  </si>
  <si>
    <t>13. Amount of overtime wages</t>
  </si>
  <si>
    <t>14. Gross wages payable</t>
  </si>
  <si>
    <t>15. Deductions, if any,</t>
  </si>
  <si>
    <t>16. Net amount of wages paid</t>
  </si>
  <si>
    <t>Signature of the Representative</t>
  </si>
  <si>
    <t>of Contractor</t>
  </si>
  <si>
    <t>EPF Number</t>
  </si>
  <si>
    <t>ESI Number</t>
  </si>
  <si>
    <t xml:space="preserve">Name of the Employee: </t>
  </si>
  <si>
    <t>Registration Number:</t>
  </si>
  <si>
    <t>Father’s / Husband’s Name:</t>
  </si>
  <si>
    <t>Date of appointment :</t>
  </si>
  <si>
    <t>Date of Application</t>
  </si>
  <si>
    <t>To</t>
  </si>
  <si>
    <t>Signature of the Employee</t>
  </si>
  <si>
    <t>NO</t>
  </si>
  <si>
    <t>BONUS REGISTER</t>
  </si>
  <si>
    <t>FORM "c" ( See rule 4 [c] )</t>
  </si>
  <si>
    <t>Name of the Establishment : _____________________________</t>
  </si>
  <si>
    <r>
      <t xml:space="preserve">Financial  year </t>
    </r>
    <r>
      <rPr>
        <sz val="12"/>
        <rFont val="Times New Roman"/>
        <family val="1"/>
      </rPr>
      <t>_____</t>
    </r>
  </si>
  <si>
    <t>Sr. No</t>
  </si>
  <si>
    <t>Name of the Employee</t>
  </si>
  <si>
    <t>Father's Name / Husband's Name</t>
  </si>
  <si>
    <t>Whether he has completed 15 yrs of age at the beginning of the accounting year</t>
  </si>
  <si>
    <t>Designation</t>
  </si>
  <si>
    <t>No. of days worked in the year</t>
  </si>
  <si>
    <t>Total Salary or wages in the year</t>
  </si>
  <si>
    <t>Amt. of bonus payable under section 10 or section 11 as the case may be Ex gratia</t>
  </si>
  <si>
    <t>DEDUCTIONS</t>
  </si>
  <si>
    <t>Total Sum Deducted (Col. 9,10 and 11)</t>
  </si>
  <si>
    <t>Net Amount payable (Col. 8 minus Col. 12)</t>
  </si>
  <si>
    <t>Amount Actually paid</t>
  </si>
  <si>
    <t>Date on which paid</t>
  </si>
  <si>
    <t>Signature / Thumb impression of the employee</t>
  </si>
  <si>
    <t>Puja Bonus or other customary bonus paid during the accounting year</t>
  </si>
  <si>
    <t>Interim Bonus or bonus paid in advance</t>
  </si>
  <si>
    <t>Deduction on account of financial loss if any caused by misconduct of the employee</t>
  </si>
  <si>
    <t>Account Number</t>
  </si>
  <si>
    <t>YES</t>
  </si>
  <si>
    <t>Form D</t>
  </si>
  <si>
    <t xml:space="preserve">(See rule 6) </t>
  </si>
  <si>
    <t xml:space="preserve">Register to be maintained by the employer under rule 6 of the Equal Remuneration Rules, 1976 </t>
  </si>
  <si>
    <t>Name and address of Contractor :</t>
  </si>
  <si>
    <t xml:space="preserve">Name and address of establishment in/under which contract is carried on : </t>
  </si>
  <si>
    <t xml:space="preserve">Name and address of Principal Employer : </t>
  </si>
  <si>
    <t>Total number of men workers employed</t>
  </si>
  <si>
    <t>Total number of women workers employed</t>
  </si>
  <si>
    <t>Components of remuneration</t>
  </si>
  <si>
    <t>Category of workers</t>
  </si>
  <si>
    <t>Brief Description of work</t>
  </si>
  <si>
    <t>No of women employed</t>
  </si>
  <si>
    <t>No. of men employed</t>
  </si>
  <si>
    <t>Rate or remuneration paid</t>
  </si>
  <si>
    <t>Basic wage &amp; Dearness Allowance</t>
  </si>
  <si>
    <t>House Rent allowance</t>
  </si>
  <si>
    <t>Other allowances</t>
  </si>
  <si>
    <t>Cash value of concessional supply of essential commodities</t>
  </si>
  <si>
    <t xml:space="preserve">Name of the Client         </t>
  </si>
  <si>
    <t>Primary Work Place/ Location</t>
  </si>
  <si>
    <t>Issue Date</t>
  </si>
  <si>
    <t>Signature</t>
  </si>
  <si>
    <t>ESI PAHECHAN CARDS ISSUE REGISTER</t>
  </si>
  <si>
    <t>Name of the Establishment:</t>
  </si>
  <si>
    <t>Monthly rate of wages/
piece rate</t>
  </si>
  <si>
    <t>FORM I</t>
  </si>
  <si>
    <t>NOMINATION AND DECLARATION FORM</t>
  </si>
  <si>
    <t>(Vide Rule 3 of Payment of wages Act  Central &amp; A.P Rules, 1936)</t>
  </si>
  <si>
    <t>1. Name of the person making nomination</t>
  </si>
  <si>
    <t xml:space="preserve">2. Father's/Husband name
     </t>
  </si>
  <si>
    <t>3. Date of Birth</t>
  </si>
  <si>
    <t>4. Sex</t>
  </si>
  <si>
    <t>Male</t>
  </si>
  <si>
    <t>5. Marital Status</t>
  </si>
  <si>
    <t>Un-Married</t>
  </si>
  <si>
    <t>6.Address</t>
  </si>
  <si>
    <t>Permanent</t>
  </si>
  <si>
    <t>Temporary</t>
  </si>
  <si>
    <t>CERTIFCATE BY EMPLOYER</t>
  </si>
  <si>
    <t xml:space="preserve"> Certified that the above declaration and nomination has been signed/thumb impressed before me by Shri/Smt/Kum</t>
  </si>
  <si>
    <t>employed in my establishment after he/she has read the entry/entries have been read over to him/her by me and got confirmed by him/her.</t>
  </si>
  <si>
    <t>Signature or the employer or other authorized officer of the establiment and Designation</t>
  </si>
  <si>
    <t>Place</t>
  </si>
  <si>
    <t>Date</t>
  </si>
  <si>
    <t xml:space="preserve">I hereby nominate the person(s)/cancel the nomination made by me previously and nominate the person(s) mentioned below to </t>
  </si>
  <si>
    <t>receive any amount due to me from the employer,in the event to my death.</t>
  </si>
  <si>
    <t>Date of Birth</t>
  </si>
  <si>
    <t>If the nominee is minor,name,relationship and address of the guardian</t>
  </si>
  <si>
    <t>Name of the Nominee/nominees</t>
  </si>
  <si>
    <t>Nominee's relationship With the member</t>
  </si>
  <si>
    <t>Address</t>
  </si>
  <si>
    <t>Total amount of Share of accumulations</t>
  </si>
  <si>
    <t>1.Certified that I have no family and should I acquire a family hereafter,the above nomination shall be deemed as cancelled.</t>
  </si>
  <si>
    <t>2.Certified that my father/mother is/ are dependent upon me.</t>
  </si>
  <si>
    <t>3.Strike out whichever is not applicable.</t>
  </si>
  <si>
    <t>Signature or the thumb impression of the employed person</t>
  </si>
  <si>
    <t>NOMINATION AND DECLARATION FORM FOR UNEXEMPTED/EXEMPTED ESTABLISHMENTS</t>
  </si>
  <si>
    <t>(FORM 2 REVISED)</t>
  </si>
  <si>
    <t>Declaration and Nomination Form under the Employees Provident Funds and Employees Pension Schemes</t>
  </si>
  <si>
    <t xml:space="preserve">                        (Paragraph 33 and 61(1) of the Employees Provident Fund Scheme 1952 and Paragraph 18 of the Employees Pension Scheme 1995)</t>
  </si>
  <si>
    <t>PART-A(EPF)</t>
  </si>
  <si>
    <t>PART (EPS)</t>
  </si>
  <si>
    <t>Para 18</t>
  </si>
  <si>
    <t>Signature/or thumb impression of the subscriber</t>
  </si>
  <si>
    <t>Strike out whichever is not applicable</t>
  </si>
  <si>
    <t xml:space="preserve">I hereby furnish below particulars of the members of my family who would be eligible to receive Widow/Children Pension in the event of </t>
  </si>
  <si>
    <t>my premature death in service</t>
  </si>
  <si>
    <t>Name &amp; Address of the Family Member</t>
  </si>
  <si>
    <t>Relationship with the member</t>
  </si>
  <si>
    <t xml:space="preserve">                                             </t>
  </si>
  <si>
    <t>Name and Address of the nominee</t>
  </si>
  <si>
    <t>Relationship with member</t>
  </si>
  <si>
    <t>Signature or thumb impression of the subscriber</t>
  </si>
  <si>
    <t>Certified that I have no family as defined in para 2 (vii) of the Employees's Family Pension Scheme 1995 and should I acquire a family hereafter</t>
  </si>
  <si>
    <t>I shall furnish Particulars there on in the above form.</t>
  </si>
  <si>
    <t>I hereby nominate the following person for receiving the monthly widow pension (admissible under para 16 2 (a) (1) &amp; (ii) in the even of my death</t>
  </si>
  <si>
    <t>without leaving any eligible member for receiving pension.</t>
  </si>
  <si>
    <t xml:space="preserve">New Form No. 11 - Declaration Form  </t>
  </si>
  <si>
    <t xml:space="preserve"> </t>
  </si>
  <si>
    <t>EMPLOYEES' PROVIDENT FUND ORGANIZATION</t>
  </si>
  <si>
    <t>Employees' Provident Funds Scheme, 1952 (Paragraph 34 &amp; 57) &amp;</t>
  </si>
  <si>
    <t>The Employees' Pension Scheme, 1995 (Paragraph 24)</t>
  </si>
  <si>
    <t>Name of the Member</t>
  </si>
  <si>
    <t>Fathers' Name</t>
  </si>
  <si>
    <t>Husband's Name</t>
  </si>
  <si>
    <t>(Please tick whichever is applicable)</t>
  </si>
  <si>
    <t>Date of Birth (DD/MM/YYYY)</t>
  </si>
  <si>
    <t>Gender (Male/Female/Transgender)</t>
  </si>
  <si>
    <t>(a)</t>
  </si>
  <si>
    <t>Email Id</t>
  </si>
  <si>
    <t>(b)</t>
  </si>
  <si>
    <t>Mobile No.</t>
  </si>
  <si>
    <t>Whether earlier a member of the Employees' Provident Fund Scheme, 1952 ?</t>
  </si>
  <si>
    <t>Yes</t>
  </si>
  <si>
    <t>No</t>
  </si>
  <si>
    <r>
      <rPr>
        <b/>
        <sz val="7"/>
        <rFont val="Tahoma"/>
        <family val="2"/>
      </rPr>
      <t>Previous employment details</t>
    </r>
    <r>
      <rPr>
        <b/>
        <sz val="6"/>
        <rFont val="Tahoma"/>
        <family val="2"/>
      </rPr>
      <t xml:space="preserve"> [if Yes to 7 &amp;/or 8 above] </t>
    </r>
  </si>
  <si>
    <t>a)</t>
  </si>
  <si>
    <t>Universal Account Number</t>
  </si>
  <si>
    <t>b)</t>
  </si>
  <si>
    <t>Previous PF Account Number</t>
  </si>
  <si>
    <t>c)</t>
  </si>
  <si>
    <t>d)</t>
  </si>
  <si>
    <t>Scheme Certificate No. (if issued)</t>
  </si>
  <si>
    <t>e)</t>
  </si>
  <si>
    <t>Pension Payment Order (PPO) No. (if issued)</t>
  </si>
  <si>
    <t>Passport No.</t>
  </si>
  <si>
    <t>Bank Account No. &amp; IFS Code</t>
  </si>
  <si>
    <t>AADHAR No.</t>
  </si>
  <si>
    <t>Permanent Account No. (PAN), if available</t>
  </si>
  <si>
    <t>UNDERTAKING</t>
  </si>
  <si>
    <t>1)</t>
  </si>
  <si>
    <t>Certified that the particulars are true to the best of my knowledge.</t>
  </si>
  <si>
    <t>2)</t>
  </si>
  <si>
    <t>I authorize EPFO to use my Aadhar for verification/authentication/eKYC purpose for service delivery.</t>
  </si>
  <si>
    <t>3)</t>
  </si>
  <si>
    <t>4)</t>
  </si>
  <si>
    <t>In case of changes in above details, the same will be intimated to employer at the earliest.</t>
  </si>
  <si>
    <t>Place:</t>
  </si>
  <si>
    <t>DECLARATION BY PRESENT EMPLOYER</t>
  </si>
  <si>
    <t>The member Mr./Ms./Mrs.</t>
  </si>
  <si>
    <t>has joined on</t>
  </si>
  <si>
    <t>and has been allotted PF Number</t>
  </si>
  <si>
    <t>In case the person was earlier not a member of EPF Scheme, 1952 and EPS, 1995:</t>
  </si>
  <si>
    <t>Please Tick the Appropriate Option:</t>
  </si>
  <si>
    <t>The KYC details of the above member in the UAN database</t>
  </si>
  <si>
    <t>Have not been uploaded</t>
  </si>
  <si>
    <t>Have been uploaded but not approved</t>
  </si>
  <si>
    <t>Have been uploaded and approved with DSC</t>
  </si>
  <si>
    <t>In case the person was earlier a member of EPF Scheme, 1952 and EPS, 1995:</t>
  </si>
  <si>
    <t>The KYC details of the above member in the UAN database have been approved with DSC and transfer request has been generated on portal.</t>
  </si>
  <si>
    <t>As the DSC of establishment are not registered with EPFO, the member has been informed to file physical claim (Form 13) for transfer of funds</t>
  </si>
  <si>
    <t>from his previous establishment.</t>
  </si>
  <si>
    <t xml:space="preserve">                                                                                                                                 (To be retained by t he employer for future reference)</t>
  </si>
  <si>
    <t>Emp Code:</t>
  </si>
  <si>
    <t>Company</t>
  </si>
  <si>
    <t>Marital Status(married / Unmarried / Widow/divorce)</t>
  </si>
  <si>
    <t>Whether earlier a member of the Employees' Pension  Scheme, 1995?</t>
  </si>
  <si>
    <t>C)</t>
  </si>
  <si>
    <t xml:space="preserve">Date of exit from previous employment (DD/MM/YYYY) </t>
  </si>
  <si>
    <t>International Worker</t>
  </si>
  <si>
    <t>If yes, state country of origin(India/Name of other country)</t>
  </si>
  <si>
    <t>Validity of passport [(DD/MM/YYYY) to (DD/MM/YYYY)]</t>
  </si>
  <si>
    <t>KYC Details (attach self attested copies of following KYCs)</t>
  </si>
  <si>
    <t>Kindly transfer the funds and service details, if applicable from the previous PF account as declared above to the present P.F.  Account (The Transfer would be possible  only if the identified KYC details approved by previous employer has been verified by present employer</t>
  </si>
  <si>
    <t>Date :</t>
  </si>
  <si>
    <t>Signature of Member</t>
  </si>
  <si>
    <t>A)</t>
  </si>
  <si>
    <t>(Post allotment of UAN) The UAN allotted for the member is</t>
  </si>
  <si>
    <t>B)</t>
  </si>
  <si>
    <t>The above PF Account Number/ UAN of the member as mentioned in (A) above has been tagged with his/her UAN/Previous Member ID as declared by member.</t>
  </si>
  <si>
    <t>Signature of Employer with seal of Establishment</t>
  </si>
  <si>
    <t>F O R M – F</t>
  </si>
  <si>
    <t>[See sub-Rule (1) of Rule 6] The Payment of Gratuity Rules, 1973:</t>
  </si>
  <si>
    <t>NOMINATION</t>
  </si>
  <si>
    <t>1. I, Shri / Shrimati / Kumari</t>
  </si>
  <si>
    <t>whose particulars are given in the statement below, hereby nominate the person(s) mentioned below to receive the gratuity payable after my death as also the gratuity standing to my credit in the event of my death before that amount has become payable, or having become payable has not been paid and direct that the said amount of gratuity shall be paid in proportion indicated against the name(s) of the nominee(s).</t>
  </si>
  <si>
    <t>2. I hereby certify that the person(s) mentioned is a /are member(s) of my family within the meaning of clause (h) of Section 2 of the Payment of Gratuity Act, 1972.</t>
  </si>
  <si>
    <t>3. I hereby declare that I have no family within the meaning of clause (h) of Section 2 of the said Act.</t>
  </si>
  <si>
    <t>4. (a) My father/mother/parents is/are not dependent on me</t>
  </si>
  <si>
    <t xml:space="preserve">    (b) My husband’s father/mother/parents is/are not dependent on my husband.</t>
  </si>
  <si>
    <t>5. I have excluded my husband from my family by a notice dated the ……………. to the Controlling Authority in terms of the proviso to clause (h) of Section 2 of the said Act.</t>
  </si>
  <si>
    <t>6. Nomination made herein invalidates my previous nomination.</t>
  </si>
  <si>
    <t>NOMINEE(S)</t>
  </si>
  <si>
    <t>Name in full with full address of nominee(s):</t>
  </si>
  <si>
    <t>Relationship with the empliyee</t>
  </si>
  <si>
    <t>Age of
nominee:</t>
  </si>
  <si>
    <t>Proportion by which the gratuity will be shared:</t>
  </si>
  <si>
    <t>STATEMENT</t>
  </si>
  <si>
    <t>1. Name of employee in full:</t>
  </si>
  <si>
    <t>2. Sex:</t>
  </si>
  <si>
    <t>3. Religion:</t>
  </si>
  <si>
    <t>4. Whether unmarried/married/widow/widower:</t>
  </si>
  <si>
    <t>5. Department/Branch/Section where employed:</t>
  </si>
  <si>
    <t>6. Post held with Ticket No. or Serial No. if any:</t>
  </si>
  <si>
    <t>7. Date of appointment:</t>
  </si>
  <si>
    <t>8. Permanent address:</t>
  </si>
  <si>
    <t xml:space="preserve">Date: </t>
  </si>
  <si>
    <t>Signature/Thumb impression of the employee</t>
  </si>
  <si>
    <t>Declaration by witnesses:</t>
  </si>
  <si>
    <t>Nomination signed/thumb impressed before me:</t>
  </si>
  <si>
    <t>Name in full and full address of witnesses:</t>
  </si>
  <si>
    <t>Signature of witnesses:</t>
  </si>
  <si>
    <t>Certified that the particulars of the above nomination have been verified and recorded in t his establishment</t>
  </si>
  <si>
    <t>Employer's reference No, if any</t>
  </si>
  <si>
    <t xml:space="preserve">Signature of the employer/Officer authorized </t>
  </si>
  <si>
    <t xml:space="preserve">Name address of the establishment or rubber stamp there of </t>
  </si>
  <si>
    <t>Certificate by the Employer</t>
  </si>
  <si>
    <t>Received the duplicate of the nomination in Form 'F'Filled by me and duly certified by  the employer</t>
  </si>
  <si>
    <t>Note: Strike out words/paragraph not applicable</t>
  </si>
  <si>
    <t xml:space="preserve">                                                                     Acknowledgment by the Employee</t>
  </si>
  <si>
    <t>FORM XV</t>
  </si>
  <si>
    <t>[Vide rule 77 of Contract Labour (Regul. &amp; Abolition) Central &amp; A.P. Rules, 1971]</t>
  </si>
  <si>
    <t>SERVICE CERTIFICATE</t>
  </si>
  <si>
    <t>Name and address of establishment in /
under which contract is caried on :</t>
  </si>
  <si>
    <t>Nature and Location of work:</t>
  </si>
  <si>
    <t>Name and address of Principal Employer :</t>
  </si>
  <si>
    <t>Name and address of the workman :</t>
  </si>
  <si>
    <t>Age or date of Birth                         :</t>
  </si>
  <si>
    <t>Identification Marks                         :</t>
  </si>
  <si>
    <t>Father's / Husband's Name              :</t>
  </si>
  <si>
    <t>Sl.No.</t>
  </si>
  <si>
    <t>Total period for which employed</t>
  </si>
  <si>
    <t>Nature of work done</t>
  </si>
  <si>
    <t>Rate of wage ( with particulars of units in case of piece work)</t>
  </si>
  <si>
    <t>From</t>
  </si>
  <si>
    <t>Signature of the Employer with Seal</t>
  </si>
  <si>
    <t>Hyderabad</t>
  </si>
  <si>
    <t>Same as permanant address</t>
  </si>
  <si>
    <t>Father</t>
  </si>
  <si>
    <t>54 years</t>
  </si>
  <si>
    <t>Same as Permanant Address</t>
  </si>
  <si>
    <t>55 Years</t>
  </si>
  <si>
    <t>UNMARRIED</t>
  </si>
  <si>
    <t>Unmarried</t>
  </si>
  <si>
    <t>Un married</t>
  </si>
  <si>
    <t>54 Years</t>
  </si>
  <si>
    <t>Hindu</t>
  </si>
  <si>
    <t>Muslim</t>
  </si>
  <si>
    <t>Female</t>
  </si>
  <si>
    <t>IT SUPPORTIVE SERVICES</t>
  </si>
  <si>
    <r>
      <t xml:space="preserve">Name and address of Contractor: </t>
    </r>
    <r>
      <rPr>
        <b/>
        <sz val="9"/>
        <rFont val="Arial"/>
        <family val="2"/>
      </rPr>
      <t xml:space="preserve"> </t>
    </r>
  </si>
  <si>
    <t xml:space="preserve">Name and address of Contractor: </t>
  </si>
  <si>
    <t xml:space="preserve">                    NO EMPLOYEE WAS IMPOSED DEDUCTIONS FOR DAMAGE OR LOSS FOR THE MONTH OF </t>
  </si>
  <si>
    <t>MEDICAL</t>
  </si>
  <si>
    <t>TOTAL</t>
  </si>
  <si>
    <t>Burra Rajkumar vishal kumar</t>
  </si>
  <si>
    <t>19.01.1986</t>
  </si>
  <si>
    <t>B RAJKUMAR</t>
  </si>
  <si>
    <t>DHARANIPARAGADA KEERTHI KIRIT  </t>
  </si>
  <si>
    <t>27.04.1987</t>
  </si>
  <si>
    <t>SESHAGIRI RAO</t>
  </si>
  <si>
    <t>Sreejith Nair</t>
  </si>
  <si>
    <t>02.06.1991</t>
  </si>
  <si>
    <t xml:space="preserve">SREEDHARAN </t>
  </si>
  <si>
    <t>Ritesh Solomon</t>
  </si>
  <si>
    <t>10.09.1985</t>
  </si>
  <si>
    <t>NADHAN SOLOMON</t>
  </si>
  <si>
    <t>Sai Krishna Chunduri</t>
  </si>
  <si>
    <t>06.06.1989</t>
  </si>
  <si>
    <t>NARASIMHA RAO</t>
  </si>
  <si>
    <t>Vamsi Panchumarthi</t>
  </si>
  <si>
    <t>15.08.1990</t>
  </si>
  <si>
    <t>P SUBBA RAO</t>
  </si>
  <si>
    <t>Puneet Chauhan</t>
  </si>
  <si>
    <t>02.01.1991</t>
  </si>
  <si>
    <t>RAM CHET</t>
  </si>
  <si>
    <t>Prakruthi K Murthy</t>
  </si>
  <si>
    <t>28.05.1994</t>
  </si>
  <si>
    <t>KRISHNA MURTHY</t>
  </si>
  <si>
    <t>Burgeon IT Services Pvt.Ltd.</t>
  </si>
  <si>
    <t>Siri Mansion LIGB 436 Dr.A S Rao Nagar,Hyderabad</t>
  </si>
  <si>
    <t>Sy.No 42,Pocharam Village,Gatkesar Mandal</t>
  </si>
  <si>
    <t>Wage Period</t>
  </si>
  <si>
    <t>Adjusted Amount</t>
  </si>
  <si>
    <t>Gopi Bollu</t>
  </si>
  <si>
    <t>Accumalation of Leave</t>
  </si>
  <si>
    <t>Leave allowed</t>
  </si>
  <si>
    <t>Balance of Leave Carried Over</t>
  </si>
  <si>
    <t>Payment of Leave made on</t>
  </si>
  <si>
    <t>Refusal of Leave</t>
  </si>
  <si>
    <t>Payment of Leave on Discharge of an employee quitting employment if a admissible</t>
  </si>
  <si>
    <t>Signature or the Thumb impression of employee on Receipt of Leave Book in Form N</t>
  </si>
  <si>
    <t>Impression of</t>
  </si>
  <si>
    <t>Leave due on</t>
  </si>
  <si>
    <t>No of Days</t>
  </si>
  <si>
    <t xml:space="preserve">From </t>
  </si>
  <si>
    <t xml:space="preserve">1st month </t>
  </si>
  <si>
    <t>2nd month</t>
  </si>
  <si>
    <t>Date of Refusal</t>
  </si>
  <si>
    <t xml:space="preserve">Amount of Leave refused </t>
  </si>
  <si>
    <t>Date of Discharge</t>
  </si>
  <si>
    <t>Date of Amount Paid</t>
  </si>
  <si>
    <t>Signature or Left hand thumb impression of employee</t>
  </si>
  <si>
    <t>Sameer Sheikh</t>
  </si>
  <si>
    <t>02.10.1986</t>
  </si>
  <si>
    <t>Mahaboob Shaikh</t>
  </si>
  <si>
    <t>Satish Makena</t>
  </si>
  <si>
    <t>05.08.1979</t>
  </si>
  <si>
    <t>M N Parthrudu</t>
  </si>
  <si>
    <t>AMIT MOHAN</t>
  </si>
  <si>
    <t>09.09.1985</t>
  </si>
  <si>
    <t>BIJAY KUMAR MALLIK</t>
  </si>
  <si>
    <t>Benjamine Lee</t>
  </si>
  <si>
    <t>19.10.1980</t>
  </si>
  <si>
    <t>RICHARD LEE</t>
  </si>
  <si>
    <t>S BHARADWAJ KOLLURU</t>
  </si>
  <si>
    <t>01.08.1985</t>
  </si>
  <si>
    <t>KAMESHWARA SHARMA</t>
  </si>
  <si>
    <t>Mamidala Rakesh Reddy</t>
  </si>
  <si>
    <t>25.02.1987</t>
  </si>
  <si>
    <t>RAVINDRA REDDY</t>
  </si>
  <si>
    <t>Nandan Sujati</t>
  </si>
  <si>
    <t>08.11.1985</t>
  </si>
  <si>
    <t>ASHWANI SUJATI</t>
  </si>
  <si>
    <t>Bharath Dommaraju</t>
  </si>
  <si>
    <t>01.07.1978</t>
  </si>
  <si>
    <t>CHENCHURAJU DOMMARAJU</t>
  </si>
  <si>
    <t xml:space="preserve">Michael Jacquiline </t>
  </si>
  <si>
    <t>12.03.1987</t>
  </si>
  <si>
    <t>MICHAEL JOSEPH</t>
  </si>
  <si>
    <t>SANDEEP CHARY BANALA</t>
  </si>
  <si>
    <t>04.03.1991</t>
  </si>
  <si>
    <t>RAMACHARI</t>
  </si>
  <si>
    <t>25.06.2018</t>
  </si>
  <si>
    <t>Sravan Kumar Mupparaju</t>
  </si>
  <si>
    <t>10.05.1991</t>
  </si>
  <si>
    <t>RAMBABU</t>
  </si>
  <si>
    <t xml:space="preserve">#8-5 Vishnalayam Street </t>
  </si>
  <si>
    <t>Vidyasagar Rao Annamaneni</t>
  </si>
  <si>
    <t>13.08.1984</t>
  </si>
  <si>
    <t>SUDHAKAR RAO</t>
  </si>
  <si>
    <t>#2-35,Narayanapur</t>
  </si>
  <si>
    <t>Nagarjuna Sriramoju</t>
  </si>
  <si>
    <t>19.12.1990</t>
  </si>
  <si>
    <t>Sathyanarayana Sriramoju</t>
  </si>
  <si>
    <t>Room No.4,Kalbhor nagar,Opp: Ansari White ,Chinchwada ,</t>
  </si>
  <si>
    <t>Pocharam,Ghatkesaer,Hyderabad,TS</t>
  </si>
  <si>
    <t>Door No.58-18-28/1, Near Ravindra Bharat School,N A D  Kotla Road,Vizag 530027</t>
  </si>
  <si>
    <t>S R T#  573,3rd Floor,Sanath nagar,Hyderabad,TS</t>
  </si>
  <si>
    <t>L N Nagar,Mujafar pur,BIHAR,843116</t>
  </si>
  <si>
    <t>#407, Gerbera Bhanu Township,Miyapur,Hyderabad,TS</t>
  </si>
  <si>
    <t>Plot No 13, Kasthuri Cooperative Housing Society,Secunderabad</t>
  </si>
  <si>
    <t>Plot No 13, Kasthuri Cooperative Housing Society,Old Bowenpally,Secunderabad,TS</t>
  </si>
  <si>
    <t xml:space="preserve">#509, Tower G,PBEL City,Old Bowenpally,Peeramchervu,Rajendra nagar Mandal,Hyderabad </t>
  </si>
  <si>
    <t>#509, Tower G,PBEL City,Peeramchervu,Rajendra nagar Mandal,</t>
  </si>
  <si>
    <t>#8-3-1020/1, Plot No 25,Srinagar Colony,Yella reddy guda,hyderabad</t>
  </si>
  <si>
    <t>#8-3-1020/1, Plot No 25,Srinagar Colony,Yella reddy guda,Hyderabad ,TS</t>
  </si>
  <si>
    <t>B-803,Raheja vistas,Road No.12,IDA nacharam,hyderabad</t>
  </si>
  <si>
    <t xml:space="preserve">B-803,Raheja vistas,Road No.12,IDA Nacharam,Hyderabad </t>
  </si>
  <si>
    <t>#4-110/24,Plot No.6 BNR Enclave,Nagaram,RR</t>
  </si>
  <si>
    <t>#4-110/24,Plot No.6 BNR Enclave,Nagaram,HYDEARAD,TS</t>
  </si>
  <si>
    <t>#10-4-183, Road No.3 Dharmapuri Colony,SAROOR NAGAR,HYDERABAD</t>
  </si>
  <si>
    <t>Plot No.130, H.No 12-1-256/133,Road No.5,Krushinagar Colony,Bandlaguda,HYDEARAD,TS</t>
  </si>
  <si>
    <t>37,Suncity I ,ROPAR,PUNJAB,1400001</t>
  </si>
  <si>
    <t>GE-Block -A Jain Shrikar Auroville,Near N-Convention centre,HYDEARAAD,TS</t>
  </si>
  <si>
    <t>134/67, Chaklal Mohammad,NAINI,ALAHABAD</t>
  </si>
  <si>
    <t>Room 402,H No 1-57/93, Rajiv nagar,Gachibowli,HYD,TS</t>
  </si>
  <si>
    <t>H No 505, 2nd Floor 1st Main,5th east,NGEF kasthuri nagar,bangalore</t>
  </si>
  <si>
    <t>Flat no 201,Sri nilayam appartments,Street No.7 Patrikanagar Madhapur,HYD,TS</t>
  </si>
  <si>
    <t>#32-218, Vasavi nagar Addanki,prakasham..dist,AP</t>
  </si>
  <si>
    <t>G-4, B Wing Kingston Appartments,Pragathi nagar Kukatpally,HYD,TS</t>
  </si>
  <si>
    <t>#10-3-365/5 Michael Mansion 1st Phase,edan colony,bidar ,,karnataka</t>
  </si>
  <si>
    <t>#1-9-318,Shakuntha nivas Flat No 402,Vidyanagar,HYDERABAD,TS</t>
  </si>
  <si>
    <t>#11-5-15/9, Raghuram Nagar,sattane palle,guntur</t>
  </si>
  <si>
    <t># 404, Maa Moon Apartments, Sai Ram Nagar,Miyapur,HYD,TS</t>
  </si>
  <si>
    <t>#117, Village Batkol ,mau..dist,,UP.</t>
  </si>
  <si>
    <t># 12-13-288,Street No.9 lane 2,Tarnaka,HYD,TS</t>
  </si>
  <si>
    <t>#24/6, Sree rama Mandir road,Basavanna gudi,bongalore,karnataka560004</t>
  </si>
  <si>
    <t>#1204, Raheja vistas Road no.12 ,IDA Nacharam,HYD,TS</t>
  </si>
  <si>
    <t>#12-1-105/46, Sreenivasa nagar colony,bandlaguda,hyderabad,TS</t>
  </si>
  <si>
    <t>#12-1-105/46, Sreenivasa nagar colony,Bandlaguda,HYD,TS</t>
  </si>
  <si>
    <t>HIG-27, Krishna Nilayam,KPHB Colony,HYD,TS</t>
  </si>
  <si>
    <t>Plot No. 1064&amp;1065, Flat No.203,Sai Kuteer Appts.,Pragathinagar,Kukatpally,Hyderabad</t>
  </si>
  <si>
    <t>9-4-582,Sapthagiri Colony,Karimnagar,5050001</t>
  </si>
  <si>
    <t>EWS, 767&amp;768, Road No : 3,KPHB Colony, Hyderabad,TS</t>
  </si>
  <si>
    <t>13.06.1982</t>
  </si>
  <si>
    <t>YADAIAH YADHAV</t>
  </si>
  <si>
    <t>TECHNICAL CONSULTATNT</t>
  </si>
  <si>
    <t>Prashanth Inti</t>
  </si>
  <si>
    <t>TVS suryanarayana</t>
  </si>
  <si>
    <t>18-175/1, road number: 4, Hanmanupet, Malkajagiri,Hyderabad-500047</t>
  </si>
  <si>
    <t>SERVICE DELIEVARY SPECIALIST</t>
  </si>
  <si>
    <t>SALESFORCE CONSULTANT</t>
  </si>
  <si>
    <t>Application Consultant</t>
  </si>
  <si>
    <t>16/09/1992</t>
  </si>
  <si>
    <t>Prasanta panda</t>
  </si>
  <si>
    <t>Ananya womens hostel, H.NO 1-9-98/60,Plot No.60,Jaihind Enclave OPP Dena Bank Lane, Madhpur, Hyerabad</t>
  </si>
  <si>
    <t>Bhabinipur, gobinda bihar 6th lane,Ganjam,Odisha,761001</t>
  </si>
  <si>
    <r>
      <t>Name and address of Contractor:</t>
    </r>
    <r>
      <rPr>
        <sz val="10"/>
        <rFont val="Arial"/>
        <family val="2"/>
      </rPr>
      <t xml:space="preserve">                                                                                                                                                                    E-35 GREATER KAILASH ENCLAVE-1 NEW DELHI</t>
    </r>
  </si>
  <si>
    <r>
      <t xml:space="preserve"> </t>
    </r>
    <r>
      <rPr>
        <b/>
        <sz val="25"/>
        <color indexed="8"/>
        <rFont val="Arial Black"/>
        <family val="2"/>
      </rPr>
      <t xml:space="preserve">FORM - XIII REGISTER OF WORKMEN EMPLOYED BY CONTRACTOR
</t>
    </r>
  </si>
  <si>
    <t>FORM 11</t>
  </si>
  <si>
    <t>ACCIDENT BOOK</t>
  </si>
  <si>
    <t>EMPLOYEE STATE INSURANCE CORPORATION</t>
  </si>
  <si>
    <t>(Regulation 66)</t>
  </si>
  <si>
    <t>Date of Notice</t>
  </si>
  <si>
    <t>Time of Notice</t>
  </si>
  <si>
    <t>Name and Address of the Injured Person</t>
  </si>
  <si>
    <t>Details of Injury</t>
  </si>
  <si>
    <t>Signature and designation of the person who makes the entry in the accident book</t>
  </si>
  <si>
    <t>Remarks if any</t>
  </si>
  <si>
    <t>What exactly was the injured person doing at the time of accident</t>
  </si>
  <si>
    <t>Name,Occupation,address and signature or the thumb impression of the person(s) giving notice</t>
  </si>
  <si>
    <t>Cause</t>
  </si>
  <si>
    <t>Nature</t>
  </si>
  <si>
    <t xml:space="preserve">Date </t>
  </si>
  <si>
    <t>Time</t>
  </si>
  <si>
    <t>kaja Venkat Ragavendra</t>
  </si>
  <si>
    <t>Ramu Yetukuri</t>
  </si>
  <si>
    <t>Srinivas Marukurthi</t>
  </si>
  <si>
    <t>Kaja Suresh Babu</t>
  </si>
  <si>
    <t>Reddy's Avenue, Road no 28, HNO 59, Nizampet, Hyderabad 500090</t>
  </si>
  <si>
    <t>Kidambi Residency, Flat no 6, Agraharam, Guntur, 522003</t>
  </si>
  <si>
    <t>Yetukuri Ravi</t>
  </si>
  <si>
    <t>SaiBaba Hostel, roomno: 501, Near :Infosys,
Pocharam ,Hyderabad, 500088</t>
  </si>
  <si>
    <t>H.NO : 2-19,Kotapadu Village,Raghunadhapalem(M), Khammam,507182</t>
  </si>
  <si>
    <t>KMB</t>
  </si>
  <si>
    <t>VEERRAJU</t>
  </si>
  <si>
    <t xml:space="preserve">FLAT-NO: 102,SHRIKA &amp; SRIDHA TERA ENCLAVE,SRI RAM NAGAR COLONY,BESIDE GOWTHAMI MODEL SCHOOL,MANIKONDA,HYD,TS
</t>
  </si>
  <si>
    <t xml:space="preserve">DOOR-NO: 2-226,RICE MILL STREET ,DUPPALAPUDI VILLAGE, ANPARTHI MANDAL,EAST GODAVARI DISTRICT,AP
</t>
  </si>
  <si>
    <t>Devanand Jorige</t>
  </si>
  <si>
    <t>SALESFORCE DEVOLOPERS</t>
  </si>
  <si>
    <t xml:space="preserve"> SR.Application Consultant</t>
  </si>
  <si>
    <t>Fareeda Tarannum</t>
  </si>
  <si>
    <t xml:space="preserve">Pulipati Kaushik </t>
  </si>
  <si>
    <t>Mainframe Scheduler</t>
  </si>
  <si>
    <t>27/12/1995</t>
  </si>
  <si>
    <t xml:space="preserve">Chinnamurthi </t>
  </si>
  <si>
    <t>MIG-II 253,3RD FLOUR,KPHP 9TH PHASE,HYD</t>
  </si>
  <si>
    <t>#24-222 AVR COLONY VELPUR,THANUKU.MND,WEST GODHAVARI,AP</t>
  </si>
  <si>
    <t>shaidd noor ahmed</t>
  </si>
  <si>
    <t>23/05/1979</t>
  </si>
  <si>
    <t>flot no.501,AR rahim opportment,taramount colony.tollychouk hyderabad</t>
  </si>
  <si>
    <t>Qlikviev Devoloper</t>
  </si>
  <si>
    <t>Flot no.501,AR rahim opportment,taramount colony.tollychouk hyderabad</t>
  </si>
  <si>
    <t>Dynamic CRM Devoloper</t>
  </si>
  <si>
    <t>Venkataramana</t>
  </si>
  <si>
    <t>#3-29-10/A,krishnanagar 3rd lane,guntur.AP</t>
  </si>
  <si>
    <t>303,3rd flour,vamshireddy recidancy,youshafguda checkposr hyderabad</t>
  </si>
  <si>
    <t>HDFC</t>
  </si>
  <si>
    <t xml:space="preserve">Gurram Gayathri </t>
  </si>
  <si>
    <t>Saikumar Ramisetty</t>
  </si>
  <si>
    <t>JAHNVI SINGH</t>
  </si>
  <si>
    <t>Gurrram Naga Prasad</t>
  </si>
  <si>
    <t>Plot no-307,2nd floor,201,Roadno-3,Gokul plots,Near vasanth nagar,KPHB Colony 9th phase,Telangana,500085</t>
  </si>
  <si>
    <t>15-06-1992</t>
  </si>
  <si>
    <t>13/03/1993</t>
  </si>
  <si>
    <t>Jitendra Bahadur singh</t>
  </si>
  <si>
    <t>1372, Arun Vihar,Sector 37, Noida,201301</t>
  </si>
  <si>
    <t>HNo. 177, Shanti Nagar, Bharuhana, Mirzapur, 231001, UP</t>
  </si>
  <si>
    <t>Anjaneyulu R</t>
  </si>
  <si>
    <t>Flat# 319, MVV Ozone, Midhilapuri Vuda Colony, P.M Palem, Visakhapatnam, ANDHRA PRADESH-530041.</t>
  </si>
  <si>
    <t>D.NO: 2-250-A-3-1-15, Raja Nagar, N G Palle, Madanapalle, Chittoor(Dist), ANDHRA PRADESH-517325</t>
  </si>
  <si>
    <t>Software Developer</t>
  </si>
  <si>
    <t>BI Developer</t>
  </si>
  <si>
    <t>Team Lead</t>
  </si>
  <si>
    <t>Rachamallla sravankumar</t>
  </si>
  <si>
    <t>Bhaskar Rao</t>
  </si>
  <si>
    <t>fifth floor, A block road number 8, Parvath Nagar, thulasi Nagar, Borabanda, Hyderabad, Telangana,500018</t>
  </si>
  <si>
    <t>25/7/451, vengalraonagar c-block dargamitta nellore, pin-524004</t>
  </si>
  <si>
    <t>DataStage Admin</t>
  </si>
  <si>
    <t xml:space="preserve">Ayyappa Kopparapu </t>
  </si>
  <si>
    <t>Gunjan Suthar</t>
  </si>
  <si>
    <t>Senior Software Engineer</t>
  </si>
  <si>
    <t>Technical consultant</t>
  </si>
  <si>
    <t>13/09/1993</t>
  </si>
  <si>
    <t>Srinivasarao Kopparapu</t>
  </si>
  <si>
    <t xml:space="preserve">11-14-7/5, Old samithi office rd,near sannidhi function hall,Ramireddypet,Narasaraopet -522601 </t>
  </si>
  <si>
    <t>1-114/4, sri Karthik Nilayam,prashant nagar, police battalion rd, kondapur, Hyderabad</t>
  </si>
  <si>
    <t>Sanjaykumar Dinkarray Suthar</t>
  </si>
  <si>
    <t>2, Panchvati Society, Nr Bus stand, B/H Prasutigruh, Halol-389350</t>
  </si>
  <si>
    <t>2, Panchvati Society, Nr Bus stand, B/H Prasutigruh, Halol-390350</t>
  </si>
  <si>
    <t>Anji Babu Yedla</t>
  </si>
  <si>
    <t>Ananda Raju</t>
  </si>
  <si>
    <t>401, HIG 136, Sheshadri towers, 5th phase, KPHB colony</t>
  </si>
  <si>
    <t>SENIOR DATABASE ADMIN</t>
  </si>
  <si>
    <t>KAMINI RAGHUNATH REDDY</t>
  </si>
  <si>
    <t xml:space="preserve">NAGUBANDI SAITEJA </t>
  </si>
  <si>
    <t>05.02.1992</t>
  </si>
  <si>
    <t>Kamini Venkatarami Reddy</t>
  </si>
  <si>
    <t>1/93 , Sanagala Guduru, Putluru (M), Anantapur (D), Andhra pradesh, 515411</t>
  </si>
  <si>
    <t>N.srinivasa Rao</t>
  </si>
  <si>
    <t>H.No-6-133/1,V.M.Banzara,Penuballi(M),Khammam(d)PIN-507302,Telangana</t>
  </si>
  <si>
    <t>30.6.2019</t>
  </si>
  <si>
    <t>Venkatarami reddy Naga</t>
  </si>
  <si>
    <t>Ramana Reddy</t>
  </si>
  <si>
    <t>10-31, Chemuduru Street, Badvel, Caddapah, Ap 516227</t>
  </si>
  <si>
    <t>8-3-136, Pallebalayya Nilayam, Yousufguda, Hyderabad 500045</t>
  </si>
  <si>
    <t>Allwyn Bangera</t>
  </si>
  <si>
    <t>7.9.1987</t>
  </si>
  <si>
    <t>Prabhakar</t>
  </si>
  <si>
    <t xml:space="preserve">Flat No 32077, Janapriya Apts, Attapur, Hyderabad </t>
  </si>
  <si>
    <t>A-403, Jigar Apartments, Yogidham, Kalyan</t>
  </si>
  <si>
    <t>Arun Kohli8</t>
  </si>
  <si>
    <t>22.4.1984</t>
  </si>
  <si>
    <t>Kewal Kohli</t>
  </si>
  <si>
    <t>Gk pride Apts, Flat No 304, Block 6, Balaji Nagar road, Yapral, Secunderabad -87</t>
  </si>
  <si>
    <t>Flat nO 505,5th Floor, khanamet village, GHMC serilingampally, Rangareddy, Hyderabad</t>
  </si>
  <si>
    <t>7.1-2019</t>
  </si>
  <si>
    <t>STP Branch</t>
  </si>
  <si>
    <t>Bharath Varma P</t>
  </si>
  <si>
    <t>15.07.1994</t>
  </si>
  <si>
    <t>Trinath Raju</t>
  </si>
  <si>
    <t>D No 3-141, Elampod,anakoderu post West godavari 534208</t>
  </si>
  <si>
    <t>plot no 432, Road No 14/6, Vasanth Nagar, KPHB, Hyderabad, Telangana</t>
  </si>
  <si>
    <t>Technical conusltant</t>
  </si>
  <si>
    <t>Software engineer</t>
  </si>
  <si>
    <t>NAKKA NAGARAJ GOUD</t>
  </si>
  <si>
    <t>Veerapandi V</t>
  </si>
  <si>
    <t>POSUBABU GUDLA</t>
  </si>
  <si>
    <t>Amarender Goud</t>
  </si>
  <si>
    <t>Technical Lead</t>
  </si>
  <si>
    <t>flot no 403,narra raguramaiah towers, opp:saibaba temple,RingRoad,padmanagar phase-2,quthbullapur chintal 500054</t>
  </si>
  <si>
    <t>h .no 1-69,village vendikole,mandal pulkal dist:sangareddy pin:502273</t>
  </si>
  <si>
    <t>Senior Unix administrator</t>
  </si>
  <si>
    <t>Senior Administrator</t>
  </si>
  <si>
    <t>Veerakalai</t>
  </si>
  <si>
    <t>290, vallalar Cross street, BB Kulam, Madhurai North, Madurai, Tamil nadu, 625002</t>
  </si>
  <si>
    <t>13/06/1990</t>
  </si>
  <si>
    <t>Subbarao Gudla</t>
  </si>
  <si>
    <t>s/o subbarao,gudimula post ,sakhinetipalli mandal ,East godavari dist pin 533251</t>
  </si>
  <si>
    <t xml:space="preserve">c/o hanumantha rao,NSL colony phase no 2 ,Ashok nagar,near BHEL Hyderabad  </t>
  </si>
  <si>
    <t xml:space="preserve">KasiViswanath Paliru </t>
  </si>
  <si>
    <t xml:space="preserve">Veeran Matmari </t>
  </si>
  <si>
    <t>GAUTAM  NAGARAJAN</t>
  </si>
  <si>
    <t>Senior Consultant</t>
  </si>
  <si>
    <t>AD &amp; SME Lead</t>
  </si>
  <si>
    <t>Technical SME</t>
  </si>
  <si>
    <t>25-06-1988</t>
  </si>
  <si>
    <t>Paliru Karunakar</t>
  </si>
  <si>
    <t>F10, B Block, Mana callista, Bellandur Main Road, Bellandur, Bangalore, Karnataka -560103</t>
  </si>
  <si>
    <t>Laxman Goud</t>
  </si>
  <si>
    <t>10-3, Plot No 6 and 6/1, flat no 301, Brighton Residency, Tukaram Gate Main road, East Maredpally, Hyderabad, Telangana 500026</t>
  </si>
  <si>
    <t>A. P. Nagarajan</t>
  </si>
  <si>
    <t>44/B, State Bank Nagar North, Chinna Chettipalayam, Lakkapuram Pudur, Erode - 638002</t>
  </si>
  <si>
    <t>Resigned</t>
  </si>
  <si>
    <t>Chaitanya Lakshmikanth .M</t>
  </si>
  <si>
    <t>Ajay Reddy</t>
  </si>
  <si>
    <t>Oracle apps DBA consultant</t>
  </si>
  <si>
    <t>SAP Senior BODS analyst</t>
  </si>
  <si>
    <t>28/9/1989</t>
  </si>
  <si>
    <t>VASUDEVAREDDY GARLAPATI</t>
  </si>
  <si>
    <t>Lingala village, Penpahad Mandal, Suryapet District, Pin:508201</t>
  </si>
  <si>
    <t>24-34-850, Rambageecha, ramangar, prakasam, ap-523001</t>
  </si>
  <si>
    <t xml:space="preserve">M. NAGESWARA RAO </t>
  </si>
  <si>
    <t>Rajesh Kumar Kurra</t>
  </si>
  <si>
    <t>Reenulatha Chevuri</t>
  </si>
  <si>
    <t xml:space="preserve">MIRZA IRSHAD BEGUM </t>
  </si>
  <si>
    <t>VeerendraBabu Galam</t>
  </si>
  <si>
    <t>Kurra Lavanya</t>
  </si>
  <si>
    <t>5-5-33/25B,Vignanpuri Colony,kukatpally,Balanagar,500072</t>
  </si>
  <si>
    <t>4-28,Jammulapalem,Guntur Dist,Bapatla Post,522113</t>
  </si>
  <si>
    <t>20.02.1992</t>
  </si>
  <si>
    <t>Jonnalagadda Victor Paul</t>
  </si>
  <si>
    <t>Flat no: 302, 3rd floor, Srinivasa Nilayam, Silicon Town, Doddanagamangala, Electronic city phase 2, Bangalore- 100</t>
  </si>
  <si>
    <t>#202, 10th cross, manjunatha nagar, marathalli, bangalore- 37</t>
  </si>
  <si>
    <t>8th March 2021</t>
  </si>
  <si>
    <t>Mirza Ghouse Baig</t>
  </si>
  <si>
    <t>H no 1-6-212/65/15 M.C.H COLONY west parsigutta</t>
  </si>
  <si>
    <t xml:space="preserve"> Azure Consultant</t>
  </si>
  <si>
    <t>MSBI</t>
  </si>
  <si>
    <t>ServiceNow Developer</t>
  </si>
  <si>
    <t>Senior Test Engineer</t>
  </si>
  <si>
    <t>LESS DAYS</t>
  </si>
  <si>
    <t>Standard chartered Bank</t>
  </si>
  <si>
    <t>1-66, Lakshmipuram Village, Kallur mandal, Khammam Dist, Telangana 507209</t>
  </si>
  <si>
    <t>Gopal Rao</t>
  </si>
  <si>
    <t>Tammineni VenuGopal Naidu</t>
  </si>
  <si>
    <t>Sreenivas Gampa</t>
  </si>
  <si>
    <t>Ramesh Baira</t>
  </si>
  <si>
    <t>Arunkumar Sikharam</t>
  </si>
  <si>
    <t>SQL DBA</t>
  </si>
  <si>
    <t>FORM XXV- REGISTER OF LEAVE</t>
  </si>
  <si>
    <t>[See Rule 29(6)]A.P. Shops &amp; Establishments Rules, 1990</t>
  </si>
  <si>
    <t>05.05.1985</t>
  </si>
  <si>
    <t>18-06-1989</t>
  </si>
  <si>
    <t>Tammineni VenkataRamana</t>
  </si>
  <si>
    <t>G Venkataramana</t>
  </si>
  <si>
    <t>Myaka Lavanya</t>
  </si>
  <si>
    <t>Sikharam Venkateswara Rao</t>
  </si>
  <si>
    <t>backup administrator</t>
  </si>
  <si>
    <t>Google Cloud Engineer</t>
  </si>
  <si>
    <t>GCP Consultant</t>
  </si>
  <si>
    <t>N.kotthapalli(v), Yadiki(M),Anantapur(D),Ao,515408</t>
  </si>
  <si>
    <t>Dno. 2/105, veerappagaripalli, kurly reddyvapalli post, talupula mandal, anantapuram district, ap-515581</t>
  </si>
  <si>
    <t>1-8-518/242/9.NBT Nagar, Patigadda, Secunderbad,500016</t>
  </si>
  <si>
    <t xml:space="preserve">1/54 , Sopirala , Chinnaganjam , Prakasam Dist , Andhra Pradesh </t>
  </si>
  <si>
    <t>SBI</t>
  </si>
  <si>
    <t>A/C'6812236194</t>
  </si>
  <si>
    <t>A/C'44511140919</t>
  </si>
  <si>
    <t>(Vide Rule 78(1) (a) (i) of Contract Labour (Regulation and Abolition) Central /A.P.Rules. 1971</t>
  </si>
  <si>
    <t>FORM C</t>
  </si>
  <si>
    <t>[See Rule 4(4) of Maternity Act Rules, 1965]</t>
  </si>
  <si>
    <r>
      <rPr>
        <b/>
        <sz val="10"/>
        <rFont val="Book Antiqua"/>
        <family val="1"/>
      </rPr>
      <t>Name of [mine or circus]</t>
    </r>
    <r>
      <rPr>
        <sz val="10"/>
        <rFont val="Book Antiqua"/>
        <family val="1"/>
      </rPr>
      <t xml:space="preserve">: </t>
    </r>
  </si>
  <si>
    <t>This is to certify that</t>
  </si>
  <si>
    <t>Smt……………………………….wife/daughter of ……………………….employed in ……………….(name of [Mine or Circus]</t>
  </si>
  <si>
    <t>expired on ……………………..before/during/after confinement. The child died on …./survives her.</t>
  </si>
  <si>
    <t xml:space="preserve">Signature, qualifications and designation of Medical Officer/Medical Practitioner. </t>
  </si>
  <si>
    <t>Ins. by G.S.R. 70(E), dated 31st January, 1996 (w.e.f. 31-1-1996).</t>
  </si>
  <si>
    <t xml:space="preserve">Certifited that no pregnant employee worked for the month of </t>
  </si>
  <si>
    <t>For</t>
  </si>
  <si>
    <t>Authorized Signatory</t>
  </si>
  <si>
    <t>FORM D</t>
  </si>
  <si>
    <t>[See Rule 4(5) of Maternity Act Rules, 1965]</t>
  </si>
  <si>
    <t>This is to certify that I examined……………..wife/daughter of ……….a woman employed in ………..(name of [Mine or Circus ]</t>
  </si>
  <si>
    <t>and found that she has been delivered of a child/has undergone miscarriage on ….(date)</t>
  </si>
  <si>
    <t xml:space="preserve">Signature of registered Midwife </t>
  </si>
  <si>
    <t>Date….</t>
  </si>
  <si>
    <t>Definitions of "child" and "miscarriage" as in the Maternity Benefit Act, 1961-</t>
  </si>
  <si>
    <t>1. "Child" includes a still-born child.</t>
  </si>
  <si>
    <t xml:space="preserve">2. "Miscarriage" means expulsion of the contents of a pregnant uterus at any period prior to or during the twenty-sixth </t>
  </si>
  <si>
    <t>week of pregnancy but does not include any miscarriage, the causing of which is punishable under the Indian Penal Code.</t>
  </si>
  <si>
    <t>Subs. by G.S.R. 59(E), dated 27th February, 1975 (w.e.f. 1-3-1975).</t>
  </si>
  <si>
    <t>FORM B</t>
  </si>
  <si>
    <t>[See Rule 4(1) of Maternity Act Rules, 1965]</t>
  </si>
  <si>
    <t>This is to certify that I examined…. wife /daughter of ….. a woman employee in  name of Mine or Circus on (Date)</t>
  </si>
  <si>
    <t xml:space="preserve">                                                  and found/ cannot discover that she is pregnant and is expected to be delivered of a child within (month/days) from the above </t>
  </si>
  <si>
    <t xml:space="preserve">mentioned date date/has undergone miscarriage/[Medical termination of pregnancy or tubectomy operation]/has been delivered </t>
  </si>
  <si>
    <t>of a child on….. (date) or is suffering from…..(date) from illness arising out of pregnancy/delivery/premature birth of a child or miscarriage/</t>
  </si>
  <si>
    <t>[Medical termination of pregnancy or tubectomy operation ].</t>
  </si>
  <si>
    <t>Date…..</t>
  </si>
  <si>
    <t>Definitions of "child" and "miscarriage" as in the Maternity Benefit Act, 1961.-</t>
  </si>
  <si>
    <t xml:space="preserve">2. "Miscarriage" means expulsion of the contents of a pregnant uterus at any period prior to or during the twenty-sixth week of pregnancy </t>
  </si>
  <si>
    <t>but does not include any miscarriage,the causing of which is punishable under the Indian Penal Code.</t>
  </si>
  <si>
    <r>
      <t>Ins. by G.S.R. 70(E), dated 31st January, 1996 (w.e.f. 31-1-1996</t>
    </r>
    <r>
      <rPr>
        <sz val="11"/>
        <color theme="1"/>
        <rFont val="Calibri"/>
        <family val="2"/>
        <scheme val="minor"/>
      </rPr>
      <t>).</t>
    </r>
  </si>
  <si>
    <t>FORM A</t>
  </si>
  <si>
    <t>[See Rule 3 of Maternity Act Rules, 1965]</t>
  </si>
  <si>
    <t>MUSTER ROLL</t>
  </si>
  <si>
    <t xml:space="preserve">Serial Number. </t>
  </si>
  <si>
    <t>Name of woman and her father's (or, if married, husband's) name.</t>
  </si>
  <si>
    <t>Date of appointment.</t>
  </si>
  <si>
    <t>Nature of work.</t>
  </si>
  <si>
    <t>Dates with month and year in which she is employed, laid off and not employed.</t>
  </si>
  <si>
    <t>Month</t>
  </si>
  <si>
    <t>No.of days employed</t>
  </si>
  <si>
    <t>No.of days laid off</t>
  </si>
  <si>
    <t>No.of days not employed</t>
  </si>
  <si>
    <t>Date on which the woman gives notice under section 6.</t>
  </si>
  <si>
    <t>Date of discharge/dismissal, if any.</t>
  </si>
  <si>
    <t>Date of production of proof of pregnancy under section 6.</t>
  </si>
  <si>
    <t>Date of birth of child.</t>
  </si>
  <si>
    <r>
      <t>Date of production of proof of delivery/miscarriage/ </t>
    </r>
    <r>
      <rPr>
        <vertAlign val="superscript"/>
        <sz val="11.5"/>
        <rFont val="Times New Roman"/>
        <family val="1"/>
      </rPr>
      <t>1</t>
    </r>
    <r>
      <rPr>
        <sz val="12"/>
        <rFont val="Times New Roman"/>
        <family val="1"/>
      </rPr>
      <t>[Medical Termination of pregnancy/ tubectomy operation/death.]</t>
    </r>
  </si>
  <si>
    <t>Date of production of proof of illness referred to in section 10.</t>
  </si>
  <si>
    <t>Date with the amount of maternity benefit paid in advance of expected delivery.</t>
  </si>
  <si>
    <t>Date with the amount of subsequent payment of maternity benefit.</t>
  </si>
  <si>
    <t>Date with the amount of bonus, if paid, under section 8.</t>
  </si>
  <si>
    <t>Date with the amount of wages paid on account of leave under section 9.</t>
  </si>
  <si>
    <t>15A</t>
  </si>
  <si>
    <t>Date with the amount of wages paid on account of leave under section 9A</t>
  </si>
  <si>
    <t>Date with the amount of wages paid on account of leave under section 10 and period of leave granted</t>
  </si>
  <si>
    <t>Name of the person nominated by the woman under section 6.</t>
  </si>
  <si>
    <t>If the woman dies, the date of her death, the name of the person to whom maternity benefit and/or other amount was paid, the amount thereof, and the date of payment.</t>
  </si>
  <si>
    <t>If the woman dies and the child survives, the name of the person to whom the amount of maternity benefit was paid on behalf of the child and the period for which it was paid.</t>
  </si>
  <si>
    <r>
      <t>Signature of the employer of </t>
    </r>
    <r>
      <rPr>
        <vertAlign val="superscript"/>
        <sz val="11.5"/>
        <rFont val="Times New Roman"/>
        <family val="1"/>
      </rPr>
      <t>3</t>
    </r>
    <r>
      <rPr>
        <sz val="12"/>
        <rFont val="Times New Roman"/>
        <family val="1"/>
      </rPr>
      <t>[the mine or circus] authenticating the entries in the muster-roll.</t>
    </r>
  </si>
  <si>
    <t>Remarks column for the use of the Inspector.</t>
  </si>
  <si>
    <t>Ramakrishna Bandari</t>
  </si>
  <si>
    <t>RAMALAKSHMAIAH </t>
  </si>
  <si>
    <t>RUKNUDEEN S</t>
  </si>
  <si>
    <t>Ravindra bathoji</t>
  </si>
  <si>
    <t>SrikanthReddy ChinthiReddy</t>
  </si>
  <si>
    <t>SIRBUDIN.T</t>
  </si>
  <si>
    <t>WARD 5-2-46/7,PTR COLONY ,UTHAMAPALAYAM,THENI,TAMILNADU-625533</t>
  </si>
  <si>
    <t>INFOSYS LTD</t>
  </si>
  <si>
    <t>HYDERABAD</t>
  </si>
  <si>
    <t>IT SUPPORTIVE SERVICES &amp; HYDERABAD SEZ</t>
  </si>
  <si>
    <t>P Days</t>
  </si>
  <si>
    <t>INFOSYS  LTD.IL Hyderabad SEZ</t>
  </si>
  <si>
    <t>MALE</t>
  </si>
  <si>
    <t>NARSIMHA BANDARU</t>
  </si>
  <si>
    <t>DevOps Developer</t>
  </si>
  <si>
    <t>SUBBAIAH</t>
  </si>
  <si>
    <t>SIRBUDIN T</t>
  </si>
  <si>
    <t>Technology Consultant</t>
  </si>
  <si>
    <t>BUCHAIAH</t>
  </si>
  <si>
    <t>MSSQL DBA</t>
  </si>
  <si>
    <t>THIRUPATHI REDDY CHINTHIREDDY</t>
  </si>
  <si>
    <t>Technology Analyst</t>
  </si>
  <si>
    <t>Satyadev Gents Pg, 3rd cross, Kamadenu Layout,B.Narayanapura,</t>
  </si>
  <si>
    <t>Mahadevpura,560048.</t>
  </si>
  <si>
    <t>5 - 2 -46/7, P T R Colony, Uthamapalayam, Theni District , Tamilnadu - 625533.</t>
  </si>
  <si>
    <t>H.No:18-8-306/7/A,Maruthi Nagar,Lalithabagh, HUPPUGUDA:500053.</t>
  </si>
  <si>
    <t>H:No:1-29/14/6/1, pochampally (vill),manakondur(mdl),Karimnagar(Dist).-505505..</t>
  </si>
  <si>
    <t>SQL DATABASE ADMINISTRATOR</t>
  </si>
  <si>
    <t xml:space="preserve">SATHISH AKULA </t>
  </si>
  <si>
    <t>CyberArk Consultant</t>
  </si>
  <si>
    <t>OOOO</t>
  </si>
  <si>
    <t xml:space="preserve">Srikanth Thota   </t>
  </si>
  <si>
    <t xml:space="preserve">Shekhar Panchal  </t>
  </si>
  <si>
    <t>OTHERS</t>
  </si>
  <si>
    <t>Gangadhar Yarabham</t>
  </si>
  <si>
    <t>Senior Specialist</t>
  </si>
  <si>
    <t>PMO Manager</t>
  </si>
  <si>
    <t>Sr. Network Security Engineer</t>
  </si>
  <si>
    <t>Splunk Admin</t>
  </si>
  <si>
    <t>23-08-2021</t>
  </si>
  <si>
    <t>03-05-2021</t>
  </si>
  <si>
    <t>14-05-2021</t>
  </si>
  <si>
    <t>24-05-2021</t>
  </si>
  <si>
    <t>28-05-2021</t>
  </si>
  <si>
    <t>21-06-2021</t>
  </si>
  <si>
    <t>22-06-2021</t>
  </si>
  <si>
    <t>01-07-2021</t>
  </si>
  <si>
    <t>11-07-2021</t>
  </si>
  <si>
    <t>12-07-2021</t>
  </si>
  <si>
    <t>10-12-2019</t>
  </si>
  <si>
    <t>03-02-2020</t>
  </si>
  <si>
    <t>24-02-2020</t>
  </si>
  <si>
    <t>02-03-2020</t>
  </si>
  <si>
    <t>08-04-2020</t>
  </si>
  <si>
    <t>22-04-2020</t>
  </si>
  <si>
    <t>13-05-2020</t>
  </si>
  <si>
    <t>11-05-2020</t>
  </si>
  <si>
    <t>06-05-2020</t>
  </si>
  <si>
    <t>29-06-2020</t>
  </si>
  <si>
    <t>10-08-2020</t>
  </si>
  <si>
    <t>07-09-2020</t>
  </si>
  <si>
    <t>25-09-2020</t>
  </si>
  <si>
    <t>01-10-2020</t>
  </si>
  <si>
    <t>19-10-2020</t>
  </si>
  <si>
    <t>12-11-2020</t>
  </si>
  <si>
    <t>23-11-2020</t>
  </si>
  <si>
    <t>01-02-2021</t>
  </si>
  <si>
    <t>22-02-2021</t>
  </si>
  <si>
    <t>04-03-2021</t>
  </si>
  <si>
    <t>18-03-2021</t>
  </si>
  <si>
    <t>30-03-2021</t>
  </si>
  <si>
    <t>22-03-2021</t>
  </si>
  <si>
    <t>27-04-2021</t>
  </si>
  <si>
    <t>29-04-2021</t>
  </si>
  <si>
    <t>11-06-1990</t>
  </si>
  <si>
    <t>26-05-1990</t>
  </si>
  <si>
    <t>05-10-1992</t>
  </si>
  <si>
    <t>06-07-1980</t>
  </si>
  <si>
    <t>08-05-1994</t>
  </si>
  <si>
    <t>03-12-1994</t>
  </si>
  <si>
    <t>26-03-1991</t>
  </si>
  <si>
    <t>01-08-1992</t>
  </si>
  <si>
    <t>08-02-1990</t>
  </si>
  <si>
    <t>29-04-1991</t>
  </si>
  <si>
    <t>01-08-1984</t>
  </si>
  <si>
    <t>08-09-1981</t>
  </si>
  <si>
    <t>31-08-1980</t>
  </si>
  <si>
    <t>06-06-1981</t>
  </si>
  <si>
    <t>08-08-1987</t>
  </si>
  <si>
    <t>29-11-1983</t>
  </si>
  <si>
    <t>25-10-1990</t>
  </si>
  <si>
    <t>15-02-1992</t>
  </si>
  <si>
    <t>12-10-1994</t>
  </si>
  <si>
    <t>22-06-1995</t>
  </si>
  <si>
    <t>11-09-1992</t>
  </si>
  <si>
    <t>04-05-1988</t>
  </si>
  <si>
    <t>30-01-1988</t>
  </si>
  <si>
    <t>01-01-1985</t>
  </si>
  <si>
    <t>14-02-1989</t>
  </si>
  <si>
    <t>ICICI BANK</t>
  </si>
  <si>
    <t>020201513961</t>
  </si>
  <si>
    <t>346801502975</t>
  </si>
  <si>
    <t>HDFC BANK</t>
  </si>
  <si>
    <t>Chandramouli</t>
  </si>
  <si>
    <t>Vasudha thota</t>
  </si>
  <si>
    <t>Naresh Kumar Panchal</t>
  </si>
  <si>
    <t>Venkateswarlu</t>
  </si>
  <si>
    <t>3-117/31/a, Srinivas nagar, Mulkanorr, Bheemadevarapally, Karimnagar Dist 505471 Telangana</t>
  </si>
  <si>
    <t>Plot No 779,Defence colony Sainikpuri Secunderabad 500094</t>
  </si>
  <si>
    <t>V.P.O. ANANDPURI, DIST- BANSWARA, RAJASTHAN-327021</t>
  </si>
  <si>
    <t>H.N0:1-129, Kachanapally P/V, Gundala Mandal, Bhadradri kothagudem Dist</t>
  </si>
  <si>
    <t>100362420499</t>
  </si>
  <si>
    <t>101185605036</t>
  </si>
  <si>
    <t>101348551716</t>
  </si>
  <si>
    <t>Susmitha Arepalli</t>
  </si>
  <si>
    <t xml:space="preserve">Saibabu Mandapuri </t>
  </si>
  <si>
    <t>Yarabham Savaraiah</t>
  </si>
  <si>
    <t>Flat.No:P1, MVGK Vaishnavy Residency, Kondapur-500084</t>
  </si>
  <si>
    <t>H.No:1-112, Thummalur post, Pamulapadu mandal, Kurnool-518401</t>
  </si>
  <si>
    <t>A/C NUM:0745780762</t>
  </si>
  <si>
    <t>KOTAK BANK</t>
  </si>
  <si>
    <t xml:space="preserve">Vikram Sunchu </t>
  </si>
  <si>
    <t xml:space="preserve">Srikanth Thota    </t>
  </si>
  <si>
    <t xml:space="preserve">Shekhar Panchal   </t>
  </si>
  <si>
    <t xml:space="preserve"> Siri Mansion LIGB 436 Dr.A S Rao Nagar,Hyderabad     </t>
  </si>
  <si>
    <t>Name and address of Establishemnt in/under which contract is carried on:</t>
  </si>
  <si>
    <t>INFOSYS  LTD.HYDERABAD-STP</t>
  </si>
  <si>
    <t>Sy.No 210,Manikonda Village,Serilingampally Mandal,RR District,TS</t>
  </si>
  <si>
    <t>01.06.2018</t>
  </si>
  <si>
    <t>16.04.2018</t>
  </si>
  <si>
    <t>43801</t>
  </si>
  <si>
    <t>22-07-2020</t>
  </si>
  <si>
    <t>29-07-2020</t>
  </si>
  <si>
    <t>19-08-2020</t>
  </si>
  <si>
    <t>28-10-2020</t>
  </si>
  <si>
    <t>08-03-2021</t>
  </si>
  <si>
    <t>6-76, Devaruppula mandal, jangaon, Telangana 500013</t>
  </si>
  <si>
    <t>Yadiah</t>
  </si>
  <si>
    <t>27-01-2020</t>
  </si>
  <si>
    <t>29/07/2020</t>
  </si>
  <si>
    <t>30-4-2020</t>
  </si>
  <si>
    <t>15-1-2020</t>
  </si>
  <si>
    <t>30-2-2021</t>
  </si>
  <si>
    <t>31-5-2020</t>
  </si>
  <si>
    <t>11-9-2020</t>
  </si>
  <si>
    <t>30-6-2020</t>
  </si>
  <si>
    <t>31-12-2020</t>
  </si>
  <si>
    <t>31-3-2021</t>
  </si>
  <si>
    <t>30-3-2021</t>
  </si>
  <si>
    <t>8-1-2021</t>
  </si>
  <si>
    <t>11-12-2020</t>
  </si>
  <si>
    <t>12-5-2021</t>
  </si>
  <si>
    <t>30-7-2021</t>
  </si>
  <si>
    <t>3-2-2021</t>
  </si>
  <si>
    <t>30-4-2021</t>
  </si>
  <si>
    <t>26-8-2021</t>
  </si>
  <si>
    <t>30-6-2021</t>
  </si>
  <si>
    <t>31-5-2021</t>
  </si>
  <si>
    <t>5-8-2021</t>
  </si>
  <si>
    <t>31-8-2021</t>
  </si>
  <si>
    <t>Suresh Babu Putta Lakshmi</t>
  </si>
  <si>
    <t>Sandeep Kumar Gupta</t>
  </si>
  <si>
    <t>17-12-1981</t>
  </si>
  <si>
    <t>02-12-1993</t>
  </si>
  <si>
    <t>07-08-1985</t>
  </si>
  <si>
    <t>07-01-1982</t>
  </si>
  <si>
    <t>05-10-2021</t>
  </si>
  <si>
    <t>25-10-2021</t>
  </si>
  <si>
    <t>Laxman gupta</t>
  </si>
  <si>
    <t>E 111, Ace City Police Chowki, Sector-1, Bishrak, Greater Noida West, Yatharth Hospital, Noida, 201306</t>
  </si>
  <si>
    <t>SYSTEM ADMINISTRATOR</t>
  </si>
  <si>
    <t>01-06-1991</t>
  </si>
  <si>
    <t>Senior Infrastructure Support Engineer</t>
  </si>
  <si>
    <t>Narayana Putta</t>
  </si>
  <si>
    <t>No 1 E,2nd street,2nd floor,satiya nagar,vivek nagar main road,chennai,Tiruvallur,Tamilnadu 600099</t>
  </si>
  <si>
    <t>16-01-1978</t>
  </si>
  <si>
    <t>SEZ</t>
  </si>
  <si>
    <t>Sasidhar reddy Nagired</t>
  </si>
  <si>
    <t>Praveen Kumar Beesabat</t>
  </si>
  <si>
    <t>AD SME &amp; Lead</t>
  </si>
  <si>
    <t>08-11-2021</t>
  </si>
  <si>
    <t>16-11-2021</t>
  </si>
  <si>
    <t>SR. CONSULTANT</t>
  </si>
  <si>
    <t xml:space="preserve">SENIOR STORAGE ADMINISTRATOR </t>
  </si>
  <si>
    <t>BITS-432</t>
  </si>
  <si>
    <t>BITS-528</t>
  </si>
  <si>
    <t>BITS-568</t>
  </si>
  <si>
    <t>BITS-597</t>
  </si>
  <si>
    <t>BITS-600</t>
  </si>
  <si>
    <t>BITS-630</t>
  </si>
  <si>
    <t>WO</t>
  </si>
  <si>
    <t>EL</t>
  </si>
  <si>
    <t>A</t>
  </si>
  <si>
    <t>Venkata Radhava Reddy</t>
  </si>
  <si>
    <t>15-07-1984</t>
  </si>
  <si>
    <t>Sri kolanu,A.S Pet,Nellor District,Andhra Pradesh</t>
  </si>
  <si>
    <t>Swamulu</t>
  </si>
  <si>
    <t>Nagayalanka,Krishna District,Andhra pradesh 521120</t>
  </si>
  <si>
    <t>01-06-1992</t>
  </si>
  <si>
    <t xml:space="preserve">Nikhila Kaveri </t>
  </si>
  <si>
    <t>BITS-675</t>
  </si>
  <si>
    <t xml:space="preserve">TECHNICAL SOLUTION CONSULTANT </t>
  </si>
  <si>
    <t>HDFC0002770</t>
  </si>
  <si>
    <t>FEMALE</t>
  </si>
  <si>
    <t>29/11/2021</t>
  </si>
  <si>
    <t>Thaposh Ghosh</t>
  </si>
  <si>
    <t>Nagashree Narayan</t>
  </si>
  <si>
    <t>BITS-690</t>
  </si>
  <si>
    <t>BITS-695</t>
  </si>
  <si>
    <t>03/01/2022</t>
  </si>
  <si>
    <t>10/01/2022</t>
  </si>
  <si>
    <t>100929123434</t>
  </si>
  <si>
    <t>Incident Governance Manager</t>
  </si>
  <si>
    <t>100605733434</t>
  </si>
  <si>
    <t xml:space="preserve">ICICI BANK </t>
  </si>
  <si>
    <t xml:space="preserve">098601510169 </t>
  </si>
  <si>
    <t>AXIS BANK</t>
  </si>
  <si>
    <t>914010012727732</t>
  </si>
  <si>
    <t>101780502399</t>
  </si>
  <si>
    <r>
      <t xml:space="preserve">                                                                                         </t>
    </r>
    <r>
      <rPr>
        <b/>
        <sz val="14"/>
        <rFont val="Calibri"/>
        <family val="2"/>
      </rPr>
      <t xml:space="preserve">FORM - XIII REGISTER OF WORKMEN EMPLOYED BY CONTRACTOR
</t>
    </r>
  </si>
  <si>
    <t>JAN'22</t>
  </si>
  <si>
    <t>Sreehari</t>
  </si>
  <si>
    <t>09/10/1994</t>
  </si>
  <si>
    <t>5-6-98/37, Sriharivasam, Behind Dal Factory, Lakshmipuram, Hindupur, AP 515201</t>
  </si>
  <si>
    <t>CH Divya Vani</t>
  </si>
  <si>
    <t>12/05/1987</t>
  </si>
  <si>
    <t>Mayflower Grande, Block-D,D003, Mallapur,Hyderabad</t>
  </si>
  <si>
    <t>05/05/1981</t>
  </si>
  <si>
    <t>KANTHA KAMBAIAH LAKSHMI</t>
  </si>
  <si>
    <t>2nd Floor, Number 24, 1st Cross, 1st Main,
Behind Fortune Central Park Apartment, 
Anand Layout, Kodigehalli,
Bangalore North, 
PO: Chikkabettahalli. District: Bangaluru, 
Pin Code: 560097</t>
  </si>
  <si>
    <t>Flat Number: 1302, 
Building: I-2 (Manchester), 
Puranik City, 
Ghodbunder Road, 
Thane West, 
Thane, Maharastra 
Pin Code: 400615</t>
  </si>
  <si>
    <t>ROOPINI CHIYYARAPU</t>
  </si>
  <si>
    <t>D.Santhoshi</t>
  </si>
  <si>
    <t>Bharath</t>
  </si>
  <si>
    <t>NEERUDU SAI KUMAR</t>
  </si>
  <si>
    <t>Ramineni Abhilash</t>
  </si>
  <si>
    <t>18/02/2022</t>
  </si>
  <si>
    <t>23/02/2022</t>
  </si>
  <si>
    <t>BITS-719</t>
  </si>
  <si>
    <t>BITS-723</t>
  </si>
  <si>
    <t>BITS-724</t>
  </si>
  <si>
    <t>BITS-725</t>
  </si>
  <si>
    <t>BITS-726</t>
  </si>
  <si>
    <t>FEB'22</t>
  </si>
  <si>
    <t>C.ChandraReddy</t>
  </si>
  <si>
    <t>plot:31,H.no:12-2-54/1,j.p nagar,moosapet,Bharat Nagar,Hyderabad,500018.</t>
  </si>
  <si>
    <t>Abbinaidi palli(v),L.G palli(p),Settigunta,Rly Kodur(m),Kadapa(dist),516101.</t>
  </si>
  <si>
    <t>Srinivasu</t>
  </si>
  <si>
    <t>6-56, Nekkantivari street, alamuru East godavari Dist</t>
  </si>
  <si>
    <t>Service Now Developer</t>
  </si>
  <si>
    <t>101792969219</t>
  </si>
  <si>
    <t>SAP Basis Consultant</t>
  </si>
  <si>
    <t>101284342568</t>
  </si>
  <si>
    <t>INDIAN BANK</t>
  </si>
  <si>
    <t>Bharath Pal</t>
  </si>
  <si>
    <t>Mani ram</t>
  </si>
  <si>
    <t>village - Bagpur, post. office. - Mohna, Teh &amp; Distt. Palwal, (Haryana) pin code - 121004</t>
  </si>
  <si>
    <t>101711677279</t>
  </si>
  <si>
    <t>UMA</t>
  </si>
  <si>
    <t>H NO 5-4-46, Seetharam Street, Maripeda bangla, Maripeda, Mahabubabad 506315</t>
  </si>
  <si>
    <t>101792969242</t>
  </si>
  <si>
    <t>Bhulokarao</t>
  </si>
  <si>
    <t>H NO 3-12-92/12, Flat No 202, Saimaruthi Residency, Rock town colony,near Gare function hall,  Hyderabad</t>
  </si>
  <si>
    <t>H No 18-626, Flat no 206, Raghavendra Towers, Ashok Nagar, Miryalaguda,</t>
  </si>
  <si>
    <t>101793033177</t>
  </si>
  <si>
    <t>IDBI</t>
  </si>
  <si>
    <t>1169104000110723</t>
  </si>
  <si>
    <t>08-07-1996</t>
  </si>
  <si>
    <t>19-05-1995</t>
  </si>
  <si>
    <t>30-10-1996</t>
  </si>
  <si>
    <t>04-08-1993</t>
  </si>
  <si>
    <t>28-08-1997</t>
  </si>
  <si>
    <t>10-02-2022</t>
  </si>
  <si>
    <t>28-02-2022</t>
  </si>
  <si>
    <t>SRILATHA</t>
  </si>
  <si>
    <t> SURESH Kumar KOLA</t>
  </si>
  <si>
    <t>ANILKUMAR MUMMANA</t>
  </si>
  <si>
    <t xml:space="preserve">Ravi Gande </t>
  </si>
  <si>
    <t>BITS-727</t>
  </si>
  <si>
    <t>BITS-735</t>
  </si>
  <si>
    <t>BITS-740</t>
  </si>
  <si>
    <t>BITS-742</t>
  </si>
  <si>
    <t>01-03-2022</t>
  </si>
  <si>
    <t>17-03-2022</t>
  </si>
  <si>
    <t>28-03-2022</t>
  </si>
  <si>
    <t xml:space="preserve"> MUMMANA ANILKUMAR</t>
  </si>
  <si>
    <t>MUMMANA VENKATESWARLU</t>
  </si>
  <si>
    <t>NPme Pnd Pddress of ContrPctor:</t>
  </si>
  <si>
    <t>FORM - XVI MUSTER ROLL
[Vide Rule 78 (1) (P) (i) of ContrPct LPbour (Reg. &amp; Pbolition) CentrPl &amp; TPPngPnP Rules 1971]</t>
  </si>
  <si>
    <t>MARC'22</t>
  </si>
  <si>
    <t>MAR'22</t>
  </si>
  <si>
    <t>02-08-1985</t>
  </si>
  <si>
    <t>08-09-1989</t>
  </si>
  <si>
    <t>BHAVANI KOLA</t>
  </si>
  <si>
    <t>83270100000529</t>
  </si>
  <si>
    <t>50100480501513</t>
  </si>
  <si>
    <t>Narsimhulu</t>
  </si>
  <si>
    <t>01-06-1982</t>
  </si>
  <si>
    <t>B SRILATHA</t>
  </si>
  <si>
    <t>Anjaneya Reddy</t>
  </si>
  <si>
    <t>2-177,Main road,Ramavaram post,Nuzendla mandal,Guntur 522660</t>
  </si>
  <si>
    <t>Data Engineer</t>
  </si>
  <si>
    <t>H No 2-4-123/1/5/F/3,Street No1,seven hills colony,Uppal,Hyderabad 500039</t>
  </si>
  <si>
    <t>101739029576</t>
  </si>
  <si>
    <t>BANK OF BARODA</t>
  </si>
  <si>
    <t>G2,subhashini manson,road no 20, alkapur township,manikonda,Hyderabad 500089</t>
  </si>
  <si>
    <t>Sr Developer technical lead</t>
  </si>
  <si>
    <t>14-1-90/434,60ft road,Gayatri nagar,Telangana,Hyderabad 500018</t>
  </si>
  <si>
    <t>100084289127</t>
  </si>
  <si>
    <t>101194018795</t>
  </si>
  <si>
    <t xml:space="preserve">NarsiReddy Venna </t>
  </si>
  <si>
    <t xml:space="preserve">AbdulSaleem Sunkesula </t>
  </si>
  <si>
    <t xml:space="preserve">SADHAMHUSSAIN </t>
  </si>
  <si>
    <t>BITS-745</t>
  </si>
  <si>
    <t>BITS-750</t>
  </si>
  <si>
    <t>BITS-752</t>
  </si>
  <si>
    <t>101322850601</t>
  </si>
  <si>
    <t>CITI Bank</t>
  </si>
  <si>
    <t>5708925554</t>
  </si>
  <si>
    <t>Technical Consultant</t>
  </si>
  <si>
    <t>101814583013</t>
  </si>
  <si>
    <t>JAVA DEVELOPER</t>
  </si>
  <si>
    <t>038201510552</t>
  </si>
  <si>
    <t>SOFTWARE ENGINEER</t>
  </si>
  <si>
    <t>Security Administrator</t>
  </si>
  <si>
    <t>50100271012409</t>
  </si>
  <si>
    <t>100554328630</t>
  </si>
  <si>
    <t>100310765422</t>
  </si>
  <si>
    <t xml:space="preserve">SADHAM HUSSAIN </t>
  </si>
  <si>
    <t>APRIL'22</t>
  </si>
  <si>
    <t>2022-2023</t>
  </si>
  <si>
    <t>04-04-2022</t>
  </si>
  <si>
    <t>20-04-2022</t>
  </si>
  <si>
    <t>25-04-2022</t>
  </si>
  <si>
    <t>SURESH Kumar KOLA</t>
  </si>
  <si>
    <t>Krishna Reddy</t>
  </si>
  <si>
    <t>25-07-1986</t>
  </si>
  <si>
    <t>Flat No 26B,Street No.1,HUDA colony,Saroor nagar,Near Kothapet signal,Hyderabda TS</t>
  </si>
  <si>
    <t>10-05-1993</t>
  </si>
  <si>
    <t>Sunkesula Sowdayya</t>
  </si>
  <si>
    <t>19/76,Papireddygari palle,Ramapuram,Hasanapuram,Kadapa,AP 516504</t>
  </si>
  <si>
    <t>20029285687</t>
  </si>
  <si>
    <t>Shahul Hameed</t>
  </si>
  <si>
    <t>03-01-1992</t>
  </si>
  <si>
    <t>16-04-1991</t>
  </si>
  <si>
    <t>10/8,Amman pagoda lane,7 Hills,Chennai,Tamilnadu 600001</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</si>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</sst>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mm/yyyy"/>
    <numFmt numFmtId="165" formatCode="[$-409]d/mmm/yy;@"/>
    <numFmt numFmtId="166" formatCode="0;[Red]0"/>
    <numFmt numFmtId="167" formatCode="[$-14009]dd/mm/yyyy;@"/>
    <numFmt numFmtId="168" formatCode="[$-F800]dddd\,\ mmmm\ dd\,\ yyyy"/>
    <numFmt numFmtId="169" formatCode="0.0"/>
  </numFmts>
  <fonts count="142">
    <font>
      <sz val="11"/>
      <color theme="1"/>
      <name val="Calibri"/>
      <family val="2"/>
      <scheme val="minor"/>
    </font>
    <font>
      <sz val="11"/>
      <color theme="1"/>
      <name val="Calibri"/>
      <family val="2"/>
      <scheme val="minor"/>
    </font>
    <font>
      <b/>
      <sz val="11"/>
      <color theme="1"/>
      <name val="Calibri"/>
      <family val="2"/>
      <scheme val="minor"/>
    </font>
    <font>
      <b/>
      <sz val="25"/>
      <color indexed="8"/>
      <name val="Calibri"/>
      <family val="2"/>
    </font>
    <font>
      <b/>
      <sz val="10"/>
      <name val="Times New Roman"/>
      <family val="1"/>
    </font>
    <font>
      <sz val="12"/>
      <color theme="1"/>
      <name val="Calibri"/>
      <family val="2"/>
      <scheme val="minor"/>
    </font>
    <font>
      <sz val="10"/>
      <name val="Times New Roman"/>
      <family val="1"/>
    </font>
    <font>
      <sz val="25"/>
      <name val="Arial"/>
      <family val="2"/>
    </font>
    <font>
      <sz val="10"/>
      <name val="Arial"/>
      <family val="2"/>
    </font>
    <font>
      <b/>
      <sz val="10"/>
      <name val="Arial"/>
      <family val="2"/>
    </font>
    <font>
      <sz val="11"/>
      <name val="Calibri"/>
      <family val="2"/>
      <scheme val="minor"/>
    </font>
    <font>
      <b/>
      <sz val="12"/>
      <color theme="1"/>
      <name val="Calibri"/>
      <family val="2"/>
      <scheme val="minor"/>
    </font>
    <font>
      <sz val="10"/>
      <name val="Calibri"/>
      <family val="2"/>
      <scheme val="minor"/>
    </font>
    <font>
      <sz val="10"/>
      <name val="Cambria"/>
      <family val="1"/>
      <scheme val="major"/>
    </font>
    <font>
      <sz val="12"/>
      <name val="Cambria"/>
      <family val="1"/>
      <scheme val="major"/>
    </font>
    <font>
      <b/>
      <sz val="12"/>
      <name val="Arial"/>
      <family val="2"/>
    </font>
    <font>
      <b/>
      <sz val="20"/>
      <name val="Arial"/>
      <family val="2"/>
    </font>
    <font>
      <sz val="9"/>
      <name val="Arial"/>
      <family val="2"/>
    </font>
    <font>
      <b/>
      <sz val="9"/>
      <name val="Arial"/>
      <family val="2"/>
    </font>
    <font>
      <sz val="10"/>
      <name val="Arial"/>
      <family val="2"/>
    </font>
    <font>
      <b/>
      <sz val="22"/>
      <name val="Arial"/>
      <family val="2"/>
    </font>
    <font>
      <sz val="11"/>
      <name val="Arial"/>
      <family val="2"/>
    </font>
    <font>
      <b/>
      <sz val="18"/>
      <name val="Arial"/>
      <family val="2"/>
    </font>
    <font>
      <b/>
      <sz val="25"/>
      <color theme="1"/>
      <name val="Calibri"/>
      <family val="2"/>
      <scheme val="minor"/>
    </font>
    <font>
      <sz val="18"/>
      <color theme="1"/>
      <name val="Calibri"/>
      <family val="2"/>
      <scheme val="minor"/>
    </font>
    <font>
      <b/>
      <sz val="11"/>
      <color rgb="FF000000"/>
      <name val="Calibri"/>
      <family val="2"/>
      <scheme val="minor"/>
    </font>
    <font>
      <b/>
      <u/>
      <sz val="14"/>
      <name val="Imprint MT Shadow"/>
      <family val="5"/>
    </font>
    <font>
      <sz val="12"/>
      <name val="Imprint MT Shadow"/>
      <family val="5"/>
    </font>
    <font>
      <b/>
      <sz val="12"/>
      <name val="Times New Roman"/>
      <family val="1"/>
    </font>
    <font>
      <sz val="12"/>
      <name val="Times New Roman"/>
      <family val="1"/>
    </font>
    <font>
      <sz val="10.5"/>
      <name val="Times New Roman"/>
      <family val="1"/>
    </font>
    <font>
      <b/>
      <sz val="10.5"/>
      <name val="Times New Roman"/>
      <family val="1"/>
    </font>
    <font>
      <sz val="9"/>
      <name val="Times New Roman"/>
      <family val="1"/>
    </font>
    <font>
      <b/>
      <sz val="9"/>
      <name val="Times New Roman"/>
      <family val="1"/>
    </font>
    <font>
      <sz val="11"/>
      <name val="Times New Roman"/>
      <family val="1"/>
    </font>
    <font>
      <b/>
      <sz val="9"/>
      <name val="VERDANA"/>
      <family val="2"/>
    </font>
    <font>
      <i/>
      <sz val="9"/>
      <name val="Verdana"/>
      <family val="2"/>
    </font>
    <font>
      <b/>
      <sz val="14"/>
      <name val="Calibri"/>
      <family val="2"/>
      <scheme val="minor"/>
    </font>
    <font>
      <b/>
      <sz val="11"/>
      <name val="Calibri"/>
      <family val="2"/>
      <scheme val="minor"/>
    </font>
    <font>
      <b/>
      <sz val="16"/>
      <name val="Calibri"/>
      <family val="2"/>
      <scheme val="minor"/>
    </font>
    <font>
      <sz val="9"/>
      <name val="VERDANA"/>
      <family val="2"/>
    </font>
    <font>
      <b/>
      <sz val="8"/>
      <name val="Verdana"/>
      <family val="2"/>
    </font>
    <font>
      <b/>
      <sz val="11"/>
      <name val="Arial"/>
      <family val="2"/>
    </font>
    <font>
      <b/>
      <sz val="12"/>
      <name val="VERDANA"/>
      <family val="2"/>
    </font>
    <font>
      <sz val="11"/>
      <color theme="1"/>
      <name val="Arial Black"/>
      <family val="2"/>
    </font>
    <font>
      <b/>
      <sz val="25"/>
      <color indexed="8"/>
      <name val="Arial Black"/>
      <family val="2"/>
    </font>
    <font>
      <b/>
      <sz val="14"/>
      <color theme="1"/>
      <name val="Calibri"/>
      <family val="2"/>
      <scheme val="minor"/>
    </font>
    <font>
      <b/>
      <sz val="18"/>
      <color theme="1"/>
      <name val="Calibri"/>
      <family val="2"/>
      <scheme val="minor"/>
    </font>
    <font>
      <sz val="16"/>
      <color theme="1"/>
      <name val="Calibri"/>
      <family val="2"/>
      <scheme val="minor"/>
    </font>
    <font>
      <sz val="8"/>
      <name val="Tahoma"/>
      <family val="2"/>
    </font>
    <font>
      <sz val="10"/>
      <name val="Tahoma"/>
      <family val="2"/>
    </font>
    <font>
      <sz val="9"/>
      <name val="Tahoma"/>
      <family val="2"/>
    </font>
    <font>
      <b/>
      <sz val="6"/>
      <name val="Tahoma"/>
      <family val="2"/>
    </font>
    <font>
      <b/>
      <sz val="7"/>
      <name val="Tahoma"/>
      <family val="2"/>
    </font>
    <font>
      <sz val="10"/>
      <color theme="1"/>
      <name val="Calibri"/>
      <family val="2"/>
      <scheme val="minor"/>
    </font>
    <font>
      <b/>
      <u/>
      <sz val="11"/>
      <color theme="1"/>
      <name val="Calibri"/>
      <family val="2"/>
      <scheme val="minor"/>
    </font>
    <font>
      <b/>
      <sz val="9"/>
      <color theme="1"/>
      <name val="Calibri"/>
      <family val="2"/>
      <scheme val="minor"/>
    </font>
    <font>
      <b/>
      <sz val="9"/>
      <name val="Tahoma"/>
      <family val="2"/>
    </font>
    <font>
      <sz val="8"/>
      <color theme="1"/>
      <name val="Calibri"/>
      <family val="2"/>
      <scheme val="minor"/>
    </font>
    <font>
      <sz val="9"/>
      <color theme="1"/>
      <name val="Calibri"/>
      <family val="2"/>
      <scheme val="minor"/>
    </font>
    <font>
      <sz val="11"/>
      <color rgb="FF000000"/>
      <name val="Calibri"/>
      <family val="2"/>
      <scheme val="minor"/>
    </font>
    <font>
      <sz val="9.5"/>
      <color theme="1"/>
      <name val="Calibri"/>
      <family val="2"/>
      <scheme val="minor"/>
    </font>
    <font>
      <b/>
      <sz val="16"/>
      <name val="Arial"/>
      <family val="2"/>
    </font>
    <font>
      <i/>
      <sz val="10"/>
      <name val="Arial"/>
      <family val="2"/>
    </font>
    <font>
      <b/>
      <sz val="14"/>
      <name val="Arial"/>
      <family val="2"/>
    </font>
    <font>
      <sz val="8"/>
      <name val="Arial"/>
      <family val="2"/>
    </font>
    <font>
      <sz val="10"/>
      <color indexed="8"/>
      <name val="Arial1"/>
      <charset val="1"/>
    </font>
    <font>
      <sz val="10"/>
      <name val="Arial"/>
      <family val="2"/>
      <charset val="1"/>
    </font>
    <font>
      <sz val="11"/>
      <color indexed="8"/>
      <name val="Calibri"/>
      <family val="2"/>
      <scheme val="minor"/>
    </font>
    <font>
      <sz val="11"/>
      <color theme="1"/>
      <name val="Cambria"/>
      <family val="1"/>
      <scheme val="major"/>
    </font>
    <font>
      <sz val="11"/>
      <color rgb="FF222222"/>
      <name val="Calibri"/>
      <family val="2"/>
      <scheme val="minor"/>
    </font>
    <font>
      <b/>
      <sz val="10"/>
      <color theme="1"/>
      <name val="Arial"/>
      <family val="2"/>
    </font>
    <font>
      <u/>
      <sz val="11"/>
      <color theme="10"/>
      <name val="Calibri"/>
      <family val="2"/>
    </font>
    <font>
      <b/>
      <sz val="12"/>
      <name val="Cambria"/>
      <family val="1"/>
      <scheme val="major"/>
    </font>
    <font>
      <b/>
      <sz val="10"/>
      <color theme="1"/>
      <name val="Calibri"/>
      <family val="2"/>
      <scheme val="minor"/>
    </font>
    <font>
      <b/>
      <sz val="12"/>
      <name val="Book Antiqua"/>
      <family val="1"/>
    </font>
    <font>
      <sz val="12"/>
      <name val="Book Antiqua"/>
      <family val="1"/>
    </font>
    <font>
      <sz val="10"/>
      <name val="Book Antiqua"/>
      <family val="1"/>
    </font>
    <font>
      <b/>
      <sz val="10"/>
      <name val="Book Antiqua"/>
      <family val="1"/>
    </font>
    <font>
      <sz val="12"/>
      <color rgb="FF000000"/>
      <name val="Times New Roman"/>
      <family val="1"/>
    </font>
    <font>
      <sz val="12"/>
      <color theme="1"/>
      <name val="Times New Roman"/>
      <family val="1"/>
    </font>
    <font>
      <sz val="11"/>
      <color rgb="FF000000"/>
      <name val="Cambria"/>
      <family val="1"/>
      <scheme val="major"/>
    </font>
    <font>
      <vertAlign val="superscript"/>
      <sz val="11.5"/>
      <name val="Times New Roman"/>
      <family val="1"/>
    </font>
    <font>
      <sz val="8"/>
      <name val="Calibri"/>
      <family val="2"/>
      <scheme val="minor"/>
    </font>
    <font>
      <sz val="11"/>
      <color rgb="FFFF0000"/>
      <name val="Calibri"/>
      <family val="2"/>
      <scheme val="minor"/>
    </font>
    <font>
      <sz val="10"/>
      <color rgb="FFFF0000"/>
      <name val="Calibri"/>
      <family val="2"/>
      <scheme val="minor"/>
    </font>
    <font>
      <sz val="11"/>
      <color rgb="FFFF0000"/>
      <name val="Cambria"/>
      <family val="1"/>
      <scheme val="major"/>
    </font>
    <font>
      <sz val="10"/>
      <color rgb="FFFF0000"/>
      <name val="Arial"/>
      <family val="2"/>
    </font>
    <font>
      <b/>
      <sz val="11"/>
      <color rgb="FFFF0000"/>
      <name val="Calibri"/>
      <family val="2"/>
      <scheme val="minor"/>
    </font>
    <font>
      <sz val="10"/>
      <color rgb="FFFF0000"/>
      <name val="Cambria"/>
      <family val="1"/>
      <scheme val="major"/>
    </font>
    <font>
      <sz val="12"/>
      <color rgb="FFFF0000"/>
      <name val="Cambria"/>
      <family val="1"/>
      <scheme val="major"/>
    </font>
    <font>
      <b/>
      <sz val="16"/>
      <color theme="1"/>
      <name val="Calibri"/>
      <family val="2"/>
      <scheme val="minor"/>
    </font>
    <font>
      <sz val="14"/>
      <color theme="1"/>
      <name val="Calibri"/>
      <family val="2"/>
      <scheme val="minor"/>
    </font>
    <font>
      <b/>
      <sz val="14"/>
      <color theme="1"/>
      <name val="Arial"/>
      <family val="2"/>
    </font>
    <font>
      <b/>
      <sz val="14"/>
      <color rgb="FFFF0000"/>
      <name val="Arial"/>
      <family val="2"/>
    </font>
    <font>
      <b/>
      <i/>
      <sz val="16"/>
      <color rgb="FFFF0000"/>
      <name val="Calibri"/>
      <family val="2"/>
      <scheme val="minor"/>
    </font>
    <font>
      <sz val="14"/>
      <name val="Calibri"/>
      <family val="2"/>
      <scheme val="minor"/>
    </font>
    <font>
      <b/>
      <sz val="11"/>
      <color rgb="FFFF0000"/>
      <name val="Arial Unicode MS"/>
      <family val="2"/>
    </font>
    <font>
      <sz val="14"/>
      <name val="Arial"/>
      <family val="2"/>
    </font>
    <font>
      <sz val="18"/>
      <color rgb="FFFF0000"/>
      <name val="Calibri"/>
      <family val="2"/>
      <scheme val="minor"/>
    </font>
    <font>
      <b/>
      <sz val="18"/>
      <color rgb="FFFF0000"/>
      <name val="Calibri"/>
      <family val="2"/>
      <scheme val="minor"/>
    </font>
    <font>
      <sz val="18"/>
      <color rgb="FFFF0000"/>
      <name val="Cambria"/>
      <family val="1"/>
      <scheme val="major"/>
    </font>
    <font>
      <b/>
      <sz val="12"/>
      <name val="Calibri"/>
      <family val="2"/>
      <scheme val="minor"/>
    </font>
    <font>
      <sz val="18"/>
      <color rgb="FFFF0000"/>
      <name val="Arial"/>
      <family val="2"/>
    </font>
    <font>
      <sz val="18"/>
      <color theme="1"/>
      <name val="Arial"/>
      <family val="2"/>
    </font>
    <font>
      <sz val="18"/>
      <name val="Calibri"/>
      <family val="2"/>
      <scheme val="minor"/>
    </font>
    <font>
      <sz val="18"/>
      <name val="Arial"/>
      <family val="2"/>
    </font>
    <font>
      <sz val="16"/>
      <name val="Calibri"/>
      <family val="2"/>
      <scheme val="minor"/>
    </font>
    <font>
      <b/>
      <sz val="18"/>
      <name val="Calibri"/>
      <family val="2"/>
      <scheme val="minor"/>
    </font>
    <font>
      <sz val="10"/>
      <color rgb="FFFF0000"/>
      <name val="Times New Roman"/>
      <family val="1"/>
    </font>
    <font>
      <b/>
      <sz val="12"/>
      <color rgb="FFFF0000"/>
      <name val="Arial"/>
      <family val="2"/>
    </font>
    <font>
      <b/>
      <sz val="16"/>
      <color rgb="FFFF0000"/>
      <name val="Calibri"/>
      <family val="2"/>
      <scheme val="minor"/>
    </font>
    <font>
      <sz val="8"/>
      <color rgb="FFFF0000"/>
      <name val="Calibri"/>
      <family val="2"/>
      <scheme val="minor"/>
    </font>
    <font>
      <sz val="12"/>
      <color theme="1"/>
      <name val="Cambria"/>
      <family val="1"/>
      <scheme val="major"/>
    </font>
    <font>
      <b/>
      <sz val="10"/>
      <name val="Calibri"/>
      <family val="2"/>
      <scheme val="minor"/>
    </font>
    <font>
      <b/>
      <i/>
      <sz val="16"/>
      <color theme="1"/>
      <name val="Calibri"/>
      <family val="2"/>
      <scheme val="minor"/>
    </font>
    <font>
      <sz val="14"/>
      <color rgb="FFFF0000"/>
      <name val="Cambria"/>
      <family val="1"/>
      <scheme val="major"/>
    </font>
    <font>
      <sz val="14"/>
      <color rgb="FFFF0000"/>
      <name val="Calibri"/>
      <family val="2"/>
      <scheme val="minor"/>
    </font>
    <font>
      <sz val="16"/>
      <color rgb="FFFF0000"/>
      <name val="Calibri"/>
      <family val="2"/>
      <scheme val="minor"/>
    </font>
    <font>
      <sz val="9"/>
      <color rgb="FFFF0000"/>
      <name val="Calibri"/>
      <family val="2"/>
      <scheme val="minor"/>
    </font>
    <font>
      <b/>
      <sz val="12"/>
      <color rgb="FFFF0000"/>
      <name val="Calibri"/>
      <family val="2"/>
      <scheme val="minor"/>
    </font>
    <font>
      <b/>
      <sz val="10"/>
      <color rgb="FFFF0000"/>
      <name val="Calibri"/>
      <family val="2"/>
      <scheme val="minor"/>
    </font>
    <font>
      <sz val="12"/>
      <color rgb="FFFF0000"/>
      <name val="Calibri"/>
      <family val="2"/>
      <scheme val="minor"/>
    </font>
    <font>
      <b/>
      <i/>
      <sz val="16"/>
      <name val="Calibri"/>
      <family val="2"/>
      <scheme val="minor"/>
    </font>
    <font>
      <b/>
      <sz val="16"/>
      <name val="Cambria"/>
      <family val="1"/>
      <scheme val="major"/>
    </font>
    <font>
      <b/>
      <sz val="14"/>
      <name val="Calibri"/>
      <family val="2"/>
    </font>
    <font>
      <b/>
      <sz val="8"/>
      <name val="Calibri"/>
      <family val="2"/>
      <scheme val="minor"/>
    </font>
    <font>
      <b/>
      <sz val="8"/>
      <color theme="1"/>
      <name val="Calibri"/>
      <family val="2"/>
      <scheme val="minor"/>
    </font>
    <font>
      <i/>
      <sz val="12"/>
      <color theme="1"/>
      <name val="Calibri"/>
      <family val="2"/>
      <scheme val="minor"/>
    </font>
    <font>
      <b/>
      <sz val="14"/>
      <name val="Times New Roman"/>
      <family val="1"/>
    </font>
    <font>
      <sz val="12"/>
      <color rgb="FF00B0F0"/>
      <name val="Arial"/>
      <family val="2"/>
    </font>
    <font>
      <b/>
      <sz val="16"/>
      <color theme="1"/>
      <name val="Arial"/>
      <family val="2"/>
    </font>
    <font>
      <b/>
      <sz val="12"/>
      <color theme="5"/>
      <name val="Cambria"/>
      <family val="1"/>
      <scheme val="major"/>
    </font>
    <font>
      <sz val="16"/>
      <name val="Arial"/>
      <family val="2"/>
    </font>
    <font>
      <sz val="12"/>
      <name val="Calibri"/>
      <family val="2"/>
      <scheme val="minor"/>
    </font>
    <font>
      <b/>
      <sz val="11"/>
      <name val="Arial Unicode MS"/>
      <family val="2"/>
    </font>
    <font>
      <b/>
      <i/>
      <u/>
      <sz val="11"/>
      <name val="Arial Unicode MS"/>
      <family val="2"/>
    </font>
    <font>
      <b/>
      <sz val="14"/>
      <name val="Cambria"/>
      <family val="1"/>
      <scheme val="major"/>
    </font>
    <font>
      <b/>
      <sz val="11"/>
      <color rgb="FF00B050"/>
      <name val="Arial Unicode MS"/>
      <family val="2"/>
    </font>
    <font>
      <sz val="9"/>
      <color indexed="81"/>
      <name val="Tahoma"/>
      <family val="2"/>
    </font>
    <font>
      <b/>
      <sz val="9"/>
      <color indexed="81"/>
      <name val="Tahoma"/>
      <family val="2"/>
    </font>
    <font>
      <sz val="11"/>
      <color rgb="FFFF0000"/>
      <name val="Times New Roman"/>
      <family val="1"/>
    </font>
  </fonts>
  <fills count="1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rgb="FF00B0F0"/>
        <bgColor indexed="64"/>
      </patternFill>
    </fill>
    <fill>
      <patternFill patternType="solid">
        <fgColor theme="3" tint="0.39997558519241921"/>
        <bgColor indexed="64"/>
      </patternFill>
    </fill>
    <fill>
      <patternFill patternType="solid">
        <fgColor rgb="FFFFC000"/>
        <bgColor indexed="64"/>
      </patternFill>
    </fill>
    <fill>
      <patternFill patternType="solid">
        <fgColor theme="4" tint="0.39997558519241921"/>
        <bgColor indexed="64"/>
      </patternFill>
    </fill>
  </fills>
  <borders count="68">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0" fontId="8" fillId="0" borderId="0" applyFont="0" applyFill="0" applyBorder="0" applyAlignment="0" applyProtection="0"/>
    <xf numFmtId="0" fontId="1" fillId="0" borderId="0"/>
    <xf numFmtId="0" fontId="8" fillId="0" borderId="0"/>
    <xf numFmtId="0" fontId="1" fillId="0" borderId="0"/>
    <xf numFmtId="9" fontId="1" fillId="0" borderId="0" applyFont="0" applyFill="0" applyBorder="0" applyAlignment="0" applyProtection="0"/>
    <xf numFmtId="0" fontId="66" fillId="0" borderId="0"/>
    <xf numFmtId="0" fontId="67" fillId="0" borderId="0"/>
    <xf numFmtId="0" fontId="72" fillId="0" borderId="0" applyNumberFormat="0" applyFill="0" applyBorder="0" applyAlignment="0" applyProtection="0">
      <alignment vertical="top"/>
      <protection locked="0"/>
    </xf>
  </cellStyleXfs>
  <cellXfs count="1502">
    <xf numFmtId="0" fontId="0" fillId="0" borderId="0" xfId="0"/>
    <xf numFmtId="0" fontId="5" fillId="0" borderId="0" xfId="0" applyFont="1"/>
    <xf numFmtId="0" fontId="2" fillId="0" borderId="0" xfId="0" applyFont="1"/>
    <xf numFmtId="0" fontId="7" fillId="0" borderId="0" xfId="0" applyFont="1"/>
    <xf numFmtId="0" fontId="8" fillId="0" borderId="0" xfId="0" applyFont="1"/>
    <xf numFmtId="0" fontId="0" fillId="0" borderId="0" xfId="0" applyAlignment="1">
      <alignment horizontal="left"/>
    </xf>
    <xf numFmtId="0" fontId="0" fillId="0" borderId="0" xfId="0" applyAlignment="1">
      <alignment horizontal="center"/>
    </xf>
    <xf numFmtId="0" fontId="7" fillId="0" borderId="0" xfId="0" applyFont="1" applyAlignment="1">
      <alignment horizontal="center"/>
    </xf>
    <xf numFmtId="0" fontId="9" fillId="0" borderId="0" xfId="0" applyFont="1"/>
    <xf numFmtId="0" fontId="10" fillId="0" borderId="0" xfId="0" applyFont="1" applyAlignment="1">
      <alignment horizontal="left"/>
    </xf>
    <xf numFmtId="17" fontId="2" fillId="0" borderId="0" xfId="0" applyNumberFormat="1" applyFont="1"/>
    <xf numFmtId="0" fontId="0" fillId="2" borderId="0" xfId="0" applyFill="1"/>
    <xf numFmtId="0" fontId="0" fillId="0" borderId="0" xfId="0" applyAlignment="1">
      <alignment vertical="center"/>
    </xf>
    <xf numFmtId="0" fontId="0" fillId="0" borderId="10" xfId="0" applyBorder="1"/>
    <xf numFmtId="0" fontId="0" fillId="0" borderId="0" xfId="0" applyAlignment="1">
      <alignment wrapText="1"/>
    </xf>
    <xf numFmtId="0" fontId="0" fillId="0" borderId="29" xfId="0" applyBorder="1"/>
    <xf numFmtId="0" fontId="0" fillId="0" borderId="30" xfId="0" applyBorder="1"/>
    <xf numFmtId="0" fontId="8" fillId="0" borderId="29" xfId="0" applyFont="1" applyBorder="1"/>
    <xf numFmtId="0" fontId="8" fillId="0" borderId="26" xfId="0" applyFont="1" applyBorder="1"/>
    <xf numFmtId="0" fontId="0" fillId="0" borderId="26" xfId="0" applyBorder="1"/>
    <xf numFmtId="17" fontId="9" fillId="0" borderId="26" xfId="0" applyNumberFormat="1" applyFont="1" applyBorder="1"/>
    <xf numFmtId="0" fontId="9" fillId="0" borderId="29" xfId="0" applyFont="1" applyBorder="1"/>
    <xf numFmtId="2" fontId="8" fillId="0" borderId="26" xfId="0" applyNumberFormat="1" applyFont="1" applyBorder="1"/>
    <xf numFmtId="0" fontId="9" fillId="0" borderId="26" xfId="0" applyFont="1" applyBorder="1"/>
    <xf numFmtId="1" fontId="8" fillId="0" borderId="26" xfId="0" applyNumberFormat="1" applyFont="1" applyBorder="1"/>
    <xf numFmtId="0" fontId="0" fillId="0" borderId="32" xfId="0" applyBorder="1"/>
    <xf numFmtId="0" fontId="0" fillId="0" borderId="33" xfId="0" applyBorder="1"/>
    <xf numFmtId="0" fontId="0" fillId="0" borderId="34" xfId="0" applyBorder="1"/>
    <xf numFmtId="1" fontId="0" fillId="0" borderId="10" xfId="0" applyNumberFormat="1" applyBorder="1"/>
    <xf numFmtId="0" fontId="0" fillId="0" borderId="17" xfId="0" applyBorder="1"/>
    <xf numFmtId="0" fontId="0" fillId="0" borderId="18" xfId="0" applyBorder="1"/>
    <xf numFmtId="0" fontId="17" fillId="0" borderId="35" xfId="0" applyFont="1" applyBorder="1" applyAlignment="1">
      <alignment vertical="top"/>
    </xf>
    <xf numFmtId="0" fontId="8" fillId="0" borderId="36" xfId="0" applyFont="1" applyBorder="1" applyAlignment="1">
      <alignment vertical="top"/>
    </xf>
    <xf numFmtId="0" fontId="8" fillId="0" borderId="37" xfId="0" applyFont="1" applyBorder="1" applyAlignment="1">
      <alignment vertical="top"/>
    </xf>
    <xf numFmtId="0" fontId="8" fillId="0" borderId="23" xfId="0" applyFont="1" applyBorder="1" applyAlignment="1">
      <alignment vertical="top"/>
    </xf>
    <xf numFmtId="0" fontId="8" fillId="0" borderId="0" xfId="0" applyFont="1" applyAlignment="1">
      <alignment vertical="top"/>
    </xf>
    <xf numFmtId="0" fontId="8" fillId="0" borderId="38" xfId="0" applyFont="1" applyBorder="1" applyAlignment="1">
      <alignment vertical="top"/>
    </xf>
    <xf numFmtId="0" fontId="8" fillId="0" borderId="14" xfId="0" applyFont="1" applyBorder="1" applyAlignment="1">
      <alignment vertical="top"/>
    </xf>
    <xf numFmtId="0" fontId="8" fillId="0" borderId="26" xfId="0" applyFont="1" applyBorder="1" applyAlignment="1">
      <alignment vertical="top"/>
    </xf>
    <xf numFmtId="0" fontId="8" fillId="0" borderId="19" xfId="0" applyFont="1" applyBorder="1" applyAlignment="1">
      <alignment vertical="top"/>
    </xf>
    <xf numFmtId="0" fontId="8" fillId="0" borderId="35" xfId="0" applyFont="1" applyBorder="1" applyAlignment="1">
      <alignment vertical="top"/>
    </xf>
    <xf numFmtId="0" fontId="9" fillId="0" borderId="23" xfId="0" applyFont="1" applyBorder="1" applyAlignment="1">
      <alignment vertical="top"/>
    </xf>
    <xf numFmtId="0" fontId="9" fillId="3" borderId="39" xfId="0" applyFont="1" applyFill="1" applyBorder="1" applyAlignment="1">
      <alignment horizontal="center" vertical="top" wrapText="1"/>
    </xf>
    <xf numFmtId="0" fontId="9" fillId="3" borderId="10" xfId="0" applyFont="1" applyFill="1" applyBorder="1" applyAlignment="1">
      <alignment vertical="top" wrapText="1"/>
    </xf>
    <xf numFmtId="0" fontId="9" fillId="3" borderId="9" xfId="0" applyFont="1" applyFill="1" applyBorder="1" applyAlignment="1">
      <alignment vertical="top"/>
    </xf>
    <xf numFmtId="0" fontId="9" fillId="3" borderId="10" xfId="0" applyFont="1" applyFill="1" applyBorder="1" applyAlignment="1">
      <alignment horizontal="center" vertical="top" wrapText="1"/>
    </xf>
    <xf numFmtId="0" fontId="9" fillId="3" borderId="10" xfId="0" applyFont="1" applyFill="1" applyBorder="1" applyAlignment="1">
      <alignment vertical="top"/>
    </xf>
    <xf numFmtId="0" fontId="9" fillId="3" borderId="10" xfId="0" applyFont="1" applyFill="1" applyBorder="1" applyAlignment="1">
      <alignment horizontal="center" vertical="top"/>
    </xf>
    <xf numFmtId="0" fontId="19" fillId="0" borderId="10" xfId="0" applyFont="1" applyBorder="1" applyAlignment="1">
      <alignment vertical="top"/>
    </xf>
    <xf numFmtId="0" fontId="8" fillId="0" borderId="10" xfId="0" applyFont="1" applyBorder="1" applyAlignment="1">
      <alignment vertical="top"/>
    </xf>
    <xf numFmtId="0" fontId="19" fillId="0" borderId="22" xfId="0" applyFont="1" applyBorder="1" applyAlignment="1">
      <alignment vertical="top"/>
    </xf>
    <xf numFmtId="0" fontId="19" fillId="0" borderId="39" xfId="0" applyFont="1" applyBorder="1" applyAlignment="1">
      <alignment vertical="top"/>
    </xf>
    <xf numFmtId="0" fontId="19" fillId="0" borderId="9" xfId="0" applyFont="1" applyBorder="1" applyAlignment="1">
      <alignment vertical="top"/>
    </xf>
    <xf numFmtId="0" fontId="8" fillId="0" borderId="16" xfId="0" applyFont="1" applyBorder="1" applyAlignment="1">
      <alignment vertical="top"/>
    </xf>
    <xf numFmtId="0" fontId="9" fillId="3" borderId="9" xfId="0" applyFont="1" applyFill="1" applyBorder="1" applyAlignment="1">
      <alignment horizontal="center" vertical="top"/>
    </xf>
    <xf numFmtId="0" fontId="9" fillId="3" borderId="21" xfId="0" applyFont="1" applyFill="1" applyBorder="1" applyAlignment="1">
      <alignment horizontal="center" vertical="top" wrapText="1"/>
    </xf>
    <xf numFmtId="0" fontId="9" fillId="3" borderId="20" xfId="0" applyFont="1" applyFill="1" applyBorder="1" applyAlignment="1">
      <alignment horizontal="center" vertical="top" wrapText="1"/>
    </xf>
    <xf numFmtId="0" fontId="9" fillId="3" borderId="14" xfId="0" applyFont="1" applyFill="1" applyBorder="1" applyAlignment="1">
      <alignment horizontal="center" vertical="top"/>
    </xf>
    <xf numFmtId="0" fontId="9" fillId="3" borderId="9" xfId="0" applyFont="1" applyFill="1" applyBorder="1" applyAlignment="1">
      <alignment vertical="top" wrapText="1"/>
    </xf>
    <xf numFmtId="0" fontId="9" fillId="3" borderId="19" xfId="0" applyFont="1" applyFill="1" applyBorder="1" applyAlignment="1">
      <alignment horizontal="center" vertical="top"/>
    </xf>
    <xf numFmtId="0" fontId="9" fillId="3" borderId="21" xfId="0" applyFont="1" applyFill="1" applyBorder="1" applyAlignment="1">
      <alignment vertical="top"/>
    </xf>
    <xf numFmtId="0" fontId="0" fillId="0" borderId="37" xfId="0" applyBorder="1"/>
    <xf numFmtId="0" fontId="8" fillId="0" borderId="39" xfId="0" applyFont="1" applyBorder="1" applyAlignment="1">
      <alignment vertical="top"/>
    </xf>
    <xf numFmtId="0" fontId="0" fillId="0" borderId="38" xfId="0" applyBorder="1"/>
    <xf numFmtId="0" fontId="8" fillId="0" borderId="9" xfId="0" applyFont="1" applyBorder="1" applyAlignment="1">
      <alignment vertical="top"/>
    </xf>
    <xf numFmtId="0" fontId="0" fillId="0" borderId="31" xfId="0" applyBorder="1"/>
    <xf numFmtId="0" fontId="0" fillId="0" borderId="24" xfId="0" applyBorder="1"/>
    <xf numFmtId="0" fontId="8" fillId="0" borderId="22" xfId="0" applyFont="1" applyBorder="1" applyAlignment="1">
      <alignment vertical="top"/>
    </xf>
    <xf numFmtId="0" fontId="8" fillId="0" borderId="31" xfId="0" applyFont="1" applyBorder="1" applyAlignment="1">
      <alignment vertical="top"/>
    </xf>
    <xf numFmtId="0" fontId="8" fillId="0" borderId="24" xfId="0" applyFont="1" applyBorder="1" applyAlignment="1">
      <alignment vertical="top"/>
    </xf>
    <xf numFmtId="0" fontId="21" fillId="0" borderId="10" xfId="0" applyFont="1" applyBorder="1" applyAlignment="1">
      <alignment vertical="top"/>
    </xf>
    <xf numFmtId="0" fontId="9" fillId="3" borderId="9" xfId="0" applyFont="1" applyFill="1" applyBorder="1" applyAlignment="1">
      <alignment horizontal="center" vertical="top" wrapText="1"/>
    </xf>
    <xf numFmtId="0" fontId="0" fillId="0" borderId="23" xfId="0" applyBorder="1"/>
    <xf numFmtId="0" fontId="0" fillId="0" borderId="14" xfId="0" applyBorder="1"/>
    <xf numFmtId="0" fontId="0" fillId="0" borderId="19" xfId="0" applyBorder="1"/>
    <xf numFmtId="0" fontId="8" fillId="0" borderId="36" xfId="0" applyFont="1" applyBorder="1" applyAlignment="1">
      <alignment vertical="top" wrapText="1"/>
    </xf>
    <xf numFmtId="0" fontId="8" fillId="0" borderId="23" xfId="0" applyFont="1" applyBorder="1" applyAlignment="1">
      <alignment vertical="top" wrapText="1"/>
    </xf>
    <xf numFmtId="0" fontId="8" fillId="0" borderId="14" xfId="0" applyFont="1" applyBorder="1" applyAlignment="1">
      <alignment vertical="top" wrapText="1"/>
    </xf>
    <xf numFmtId="0" fontId="8" fillId="0" borderId="26" xfId="0" applyFont="1" applyBorder="1" applyAlignment="1">
      <alignment vertical="top" wrapText="1"/>
    </xf>
    <xf numFmtId="0" fontId="0" fillId="0" borderId="27" xfId="0" applyBorder="1"/>
    <xf numFmtId="0" fontId="0" fillId="0" borderId="15" xfId="0" applyBorder="1"/>
    <xf numFmtId="0" fontId="0" fillId="0" borderId="28" xfId="0" applyBorder="1"/>
    <xf numFmtId="0" fontId="2" fillId="0" borderId="29" xfId="0" applyFont="1" applyBorder="1"/>
    <xf numFmtId="0" fontId="2" fillId="0" borderId="27" xfId="0" applyFont="1" applyBorder="1"/>
    <xf numFmtId="0" fontId="2" fillId="0" borderId="15" xfId="0" applyFont="1" applyBorder="1"/>
    <xf numFmtId="0" fontId="2" fillId="0" borderId="28" xfId="0" applyFont="1" applyBorder="1"/>
    <xf numFmtId="0" fontId="2" fillId="0" borderId="30" xfId="0" applyFont="1" applyBorder="1"/>
    <xf numFmtId="0" fontId="2" fillId="0" borderId="34" xfId="0" applyFont="1" applyBorder="1"/>
    <xf numFmtId="0" fontId="2" fillId="0" borderId="32" xfId="0" applyFont="1" applyBorder="1"/>
    <xf numFmtId="0" fontId="2" fillId="0" borderId="33" xfId="0" applyFont="1" applyBorder="1"/>
    <xf numFmtId="0" fontId="0" fillId="0" borderId="29" xfId="0" applyBorder="1" applyAlignment="1">
      <alignment vertical="center"/>
    </xf>
    <xf numFmtId="0" fontId="25" fillId="0" borderId="22" xfId="0" applyFont="1" applyBorder="1"/>
    <xf numFmtId="0" fontId="2" fillId="0" borderId="31" xfId="0" applyFont="1" applyBorder="1" applyAlignment="1">
      <alignment horizontal="left" vertical="center"/>
    </xf>
    <xf numFmtId="0" fontId="2" fillId="0" borderId="22" xfId="0" applyFont="1" applyBorder="1" applyAlignment="1">
      <alignment horizontal="center" vertical="center"/>
    </xf>
    <xf numFmtId="0" fontId="2" fillId="0" borderId="31" xfId="0" applyFont="1" applyBorder="1" applyAlignment="1">
      <alignment horizontal="center" vertical="center"/>
    </xf>
    <xf numFmtId="0" fontId="2" fillId="0" borderId="24" xfId="0" applyFont="1" applyBorder="1" applyAlignment="1">
      <alignment horizontal="left" vertical="center"/>
    </xf>
    <xf numFmtId="0" fontId="2" fillId="0" borderId="14" xfId="0" applyFont="1" applyBorder="1" applyAlignment="1">
      <alignment horizontal="center" vertical="center"/>
    </xf>
    <xf numFmtId="0" fontId="2" fillId="0" borderId="26" xfId="0" applyFont="1" applyBorder="1" applyAlignment="1">
      <alignment horizontal="center" vertical="center"/>
    </xf>
    <xf numFmtId="0" fontId="2" fillId="0" borderId="45" xfId="0" applyFont="1" applyBorder="1" applyAlignment="1">
      <alignment horizontal="center" vertical="center"/>
    </xf>
    <xf numFmtId="0" fontId="2" fillId="0" borderId="46" xfId="0" applyFont="1" applyBorder="1" applyAlignment="1">
      <alignment horizontal="center" vertical="center"/>
    </xf>
    <xf numFmtId="1" fontId="2" fillId="0" borderId="31" xfId="0" applyNumberFormat="1" applyFont="1" applyBorder="1" applyAlignment="1">
      <alignment horizontal="center" vertical="center"/>
    </xf>
    <xf numFmtId="0" fontId="25" fillId="0" borderId="35" xfId="0" applyFont="1" applyBorder="1"/>
    <xf numFmtId="0" fontId="2" fillId="0" borderId="36" xfId="0" applyFont="1" applyBorder="1"/>
    <xf numFmtId="0" fontId="2" fillId="0" borderId="37" xfId="0" applyFont="1" applyBorder="1"/>
    <xf numFmtId="0" fontId="0" fillId="0" borderId="35" xfId="0" applyBorder="1"/>
    <xf numFmtId="0" fontId="0" fillId="0" borderId="36" xfId="0" applyBorder="1"/>
    <xf numFmtId="0" fontId="0" fillId="0" borderId="47" xfId="0" applyBorder="1"/>
    <xf numFmtId="0" fontId="2" fillId="0" borderId="26" xfId="0" applyFont="1" applyBorder="1"/>
    <xf numFmtId="0" fontId="2" fillId="0" borderId="19" xfId="0" applyFont="1" applyBorder="1"/>
    <xf numFmtId="0" fontId="0" fillId="0" borderId="45" xfId="0" applyBorder="1"/>
    <xf numFmtId="1" fontId="2" fillId="0" borderId="10" xfId="0" applyNumberFormat="1" applyFont="1" applyBorder="1" applyAlignment="1">
      <alignment horizontal="center" vertical="center"/>
    </xf>
    <xf numFmtId="1" fontId="2" fillId="0" borderId="43" xfId="0" applyNumberFormat="1" applyFont="1" applyBorder="1" applyAlignment="1">
      <alignment horizontal="center" vertical="center"/>
    </xf>
    <xf numFmtId="14" fontId="8" fillId="0" borderId="26" xfId="0" applyNumberFormat="1" applyFont="1" applyBorder="1" applyAlignment="1">
      <alignment vertical="top"/>
    </xf>
    <xf numFmtId="0" fontId="26" fillId="0" borderId="0" xfId="0" applyFont="1" applyAlignment="1">
      <alignment horizontal="center"/>
    </xf>
    <xf numFmtId="0" fontId="27" fillId="0" borderId="0" xfId="0" applyFont="1" applyAlignment="1">
      <alignment horizontal="center"/>
    </xf>
    <xf numFmtId="0" fontId="28" fillId="0" borderId="0" xfId="0" applyFont="1"/>
    <xf numFmtId="0" fontId="29" fillId="0" borderId="0" xfId="0" applyFont="1" applyAlignment="1">
      <alignment wrapText="1"/>
    </xf>
    <xf numFmtId="0" fontId="29" fillId="0" borderId="0" xfId="0" applyFont="1"/>
    <xf numFmtId="0" fontId="30" fillId="0" borderId="0" xfId="0" applyFont="1" applyAlignment="1">
      <alignment horizontal="center"/>
    </xf>
    <xf numFmtId="0" fontId="30" fillId="0" borderId="0" xfId="0" applyFont="1" applyAlignment="1">
      <alignment wrapText="1"/>
    </xf>
    <xf numFmtId="0" fontId="30" fillId="0" borderId="0" xfId="0" applyFont="1"/>
    <xf numFmtId="0" fontId="31" fillId="0" borderId="39" xfId="0" applyFont="1" applyBorder="1" applyAlignment="1">
      <alignment horizontal="center" wrapText="1"/>
    </xf>
    <xf numFmtId="0" fontId="31" fillId="0" borderId="0" xfId="0" applyFont="1"/>
    <xf numFmtId="0" fontId="32" fillId="0" borderId="9" xfId="0" applyFont="1" applyBorder="1" applyAlignment="1">
      <alignment horizontal="center" vertical="center" wrapText="1"/>
    </xf>
    <xf numFmtId="0" fontId="31" fillId="0" borderId="12" xfId="0" applyFont="1" applyBorder="1" applyAlignment="1">
      <alignment horizontal="center" wrapText="1"/>
    </xf>
    <xf numFmtId="0" fontId="33" fillId="0" borderId="0" xfId="0" applyFont="1" applyAlignment="1">
      <alignment horizontal="center" vertical="center" wrapText="1"/>
    </xf>
    <xf numFmtId="0" fontId="0" fillId="0" borderId="39" xfId="0" applyBorder="1" applyAlignment="1">
      <alignment horizontal="center"/>
    </xf>
    <xf numFmtId="0" fontId="0" fillId="0" borderId="39" xfId="0" applyBorder="1" applyAlignment="1">
      <alignment horizontal="center" wrapText="1"/>
    </xf>
    <xf numFmtId="0" fontId="0" fillId="0" borderId="9" xfId="0" applyBorder="1" applyAlignment="1">
      <alignment horizontal="center"/>
    </xf>
    <xf numFmtId="0" fontId="0" fillId="0" borderId="10" xfId="0" applyBorder="1" applyAlignment="1">
      <alignment horizontal="center" wrapText="1"/>
    </xf>
    <xf numFmtId="0" fontId="0" fillId="0" borderId="10" xfId="0" applyBorder="1" applyAlignment="1">
      <alignment horizontal="left" wrapText="1"/>
    </xf>
    <xf numFmtId="1" fontId="34" fillId="2" borderId="10" xfId="0" applyNumberFormat="1" applyFont="1" applyFill="1" applyBorder="1"/>
    <xf numFmtId="1" fontId="5" fillId="2" borderId="10" xfId="4" applyNumberFormat="1" applyFont="1" applyFill="1" applyBorder="1" applyAlignment="1">
      <alignment horizontal="left"/>
    </xf>
    <xf numFmtId="0" fontId="0" fillId="2" borderId="30" xfId="0" applyFill="1" applyBorder="1" applyAlignment="1">
      <alignment horizontal="center" vertical="top" wrapText="1"/>
    </xf>
    <xf numFmtId="0" fontId="36" fillId="2" borderId="30" xfId="0" applyFont="1" applyFill="1" applyBorder="1" applyAlignment="1">
      <alignment horizontal="center" vertical="top" wrapText="1"/>
    </xf>
    <xf numFmtId="0" fontId="36" fillId="2" borderId="29" xfId="0" applyFont="1" applyFill="1" applyBorder="1" applyAlignment="1">
      <alignment horizontal="center" vertical="top" wrapText="1"/>
    </xf>
    <xf numFmtId="0" fontId="37" fillId="2" borderId="29" xfId="0" applyFont="1" applyFill="1" applyBorder="1" applyAlignment="1">
      <alignment horizontal="center" vertical="top" wrapText="1"/>
    </xf>
    <xf numFmtId="0" fontId="37" fillId="2" borderId="30" xfId="0" applyFont="1" applyFill="1" applyBorder="1" applyAlignment="1">
      <alignment horizontal="center" vertical="top" wrapText="1"/>
    </xf>
    <xf numFmtId="0" fontId="38" fillId="2" borderId="29" xfId="0" applyFont="1" applyFill="1" applyBorder="1" applyAlignment="1">
      <alignment horizontal="left" vertical="center"/>
    </xf>
    <xf numFmtId="0" fontId="38" fillId="2" borderId="29" xfId="0" applyFont="1" applyFill="1" applyBorder="1"/>
    <xf numFmtId="0" fontId="38" fillId="2" borderId="30" xfId="0" applyFont="1" applyFill="1" applyBorder="1"/>
    <xf numFmtId="0" fontId="39" fillId="2" borderId="29" xfId="0" applyFont="1" applyFill="1" applyBorder="1"/>
    <xf numFmtId="0" fontId="39" fillId="2" borderId="30" xfId="0" applyFont="1" applyFill="1" applyBorder="1"/>
    <xf numFmtId="0" fontId="40" fillId="2" borderId="30" xfId="0" applyFont="1" applyFill="1" applyBorder="1" applyAlignment="1">
      <alignment horizontal="justify" vertical="top" wrapText="1"/>
    </xf>
    <xf numFmtId="0" fontId="0" fillId="2" borderId="30" xfId="0" applyFill="1" applyBorder="1" applyAlignment="1">
      <alignment horizontal="justify" vertical="top" wrapText="1"/>
    </xf>
    <xf numFmtId="0" fontId="41" fillId="2" borderId="29" xfId="0" applyFont="1" applyFill="1" applyBorder="1" applyAlignment="1">
      <alignment horizontal="center" vertical="top" wrapText="1"/>
    </xf>
    <xf numFmtId="0" fontId="41" fillId="2" borderId="30" xfId="0" applyFont="1" applyFill="1" applyBorder="1" applyAlignment="1">
      <alignment horizontal="center" vertical="top" wrapText="1"/>
    </xf>
    <xf numFmtId="0" fontId="41" fillId="2" borderId="49" xfId="0" applyFont="1" applyFill="1" applyBorder="1" applyAlignment="1">
      <alignment horizontal="center" vertical="center" wrapText="1"/>
    </xf>
    <xf numFmtId="0" fontId="41" fillId="2" borderId="44" xfId="0" applyFont="1" applyFill="1" applyBorder="1" applyAlignment="1">
      <alignment horizontal="center" vertical="center" wrapText="1"/>
    </xf>
    <xf numFmtId="0" fontId="0" fillId="0" borderId="50" xfId="0" applyBorder="1" applyAlignment="1">
      <alignment vertical="center"/>
    </xf>
    <xf numFmtId="0" fontId="8" fillId="2" borderId="0" xfId="0" applyFont="1" applyFill="1"/>
    <xf numFmtId="0" fontId="2" fillId="0" borderId="10" xfId="0" applyFont="1" applyBorder="1"/>
    <xf numFmtId="1" fontId="17" fillId="2" borderId="23" xfId="1" applyNumberFormat="1" applyFont="1" applyFill="1" applyBorder="1"/>
    <xf numFmtId="1" fontId="2" fillId="0" borderId="29" xfId="0" applyNumberFormat="1" applyFont="1" applyBorder="1"/>
    <xf numFmtId="1" fontId="0" fillId="0" borderId="0" xfId="0" applyNumberFormat="1"/>
    <xf numFmtId="0" fontId="2" fillId="0" borderId="36" xfId="0" applyFont="1" applyBorder="1" applyAlignment="1">
      <alignment horizontal="left" vertical="center"/>
    </xf>
    <xf numFmtId="0" fontId="2" fillId="0" borderId="37" xfId="0" applyFont="1" applyBorder="1" applyAlignment="1">
      <alignment horizontal="left"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1" fontId="2" fillId="0" borderId="36" xfId="0" applyNumberFormat="1" applyFont="1" applyBorder="1" applyAlignment="1">
      <alignment horizontal="center" vertical="center"/>
    </xf>
    <xf numFmtId="0" fontId="2" fillId="0" borderId="47" xfId="0" applyFont="1" applyBorder="1" applyAlignment="1">
      <alignment horizontal="center" vertical="center"/>
    </xf>
    <xf numFmtId="0" fontId="2" fillId="0" borderId="0" xfId="0" applyFont="1" applyAlignment="1">
      <alignment horizontal="center" vertical="center"/>
    </xf>
    <xf numFmtId="1" fontId="2" fillId="0" borderId="0" xfId="0" applyNumberFormat="1" applyFont="1" applyAlignment="1">
      <alignment horizontal="center" vertical="center"/>
    </xf>
    <xf numFmtId="0" fontId="8" fillId="0" borderId="0" xfId="0" applyFont="1" applyAlignment="1">
      <alignment horizontal="left" vertical="center" wrapText="1"/>
    </xf>
    <xf numFmtId="0" fontId="0" fillId="0" borderId="29" xfId="0" applyBorder="1" applyAlignment="1">
      <alignment horizontal="center"/>
    </xf>
    <xf numFmtId="0" fontId="0" fillId="0" borderId="30" xfId="0" applyBorder="1" applyAlignment="1">
      <alignment horizontal="center"/>
    </xf>
    <xf numFmtId="1" fontId="2" fillId="0" borderId="10" xfId="0" applyNumberFormat="1" applyFont="1" applyBorder="1" applyAlignment="1">
      <alignment horizontal="center" vertical="center" wrapText="1"/>
    </xf>
    <xf numFmtId="1" fontId="2" fillId="0" borderId="22" xfId="0" applyNumberFormat="1" applyFont="1" applyBorder="1" applyAlignment="1">
      <alignment horizontal="center" vertical="center"/>
    </xf>
    <xf numFmtId="1" fontId="2" fillId="0" borderId="22" xfId="0" applyNumberFormat="1" applyFont="1" applyBorder="1" applyAlignment="1">
      <alignment horizontal="center" vertical="center" wrapText="1"/>
    </xf>
    <xf numFmtId="0" fontId="2" fillId="0" borderId="10" xfId="0" applyFont="1" applyBorder="1" applyAlignment="1">
      <alignment horizontal="center" wrapText="1"/>
    </xf>
    <xf numFmtId="0" fontId="25" fillId="0" borderId="22" xfId="5" applyNumberFormat="1" applyFont="1" applyBorder="1"/>
    <xf numFmtId="1" fontId="2" fillId="0" borderId="24" xfId="0" applyNumberFormat="1" applyFont="1" applyBorder="1" applyAlignment="1">
      <alignment horizontal="center" vertical="center" wrapText="1"/>
    </xf>
    <xf numFmtId="0" fontId="2" fillId="0" borderId="0" xfId="0" applyFont="1" applyAlignment="1">
      <alignment horizontal="left" vertical="center"/>
    </xf>
    <xf numFmtId="0" fontId="2" fillId="0" borderId="22" xfId="0" applyFont="1" applyBorder="1" applyAlignment="1">
      <alignment horizontal="right" vertical="center"/>
    </xf>
    <xf numFmtId="1" fontId="0" fillId="0" borderId="31" xfId="0" applyNumberFormat="1" applyBorder="1"/>
    <xf numFmtId="0" fontId="46" fillId="0" borderId="0" xfId="0" applyFont="1"/>
    <xf numFmtId="0" fontId="25" fillId="0" borderId="0" xfId="0" applyFont="1"/>
    <xf numFmtId="1" fontId="2" fillId="0" borderId="0" xfId="0" applyNumberFormat="1" applyFont="1" applyAlignment="1">
      <alignment horizontal="center" vertical="center" wrapText="1"/>
    </xf>
    <xf numFmtId="0" fontId="2" fillId="0" borderId="0" xfId="0" applyFont="1" applyAlignment="1">
      <alignment horizontal="center" wrapText="1"/>
    </xf>
    <xf numFmtId="0" fontId="2" fillId="0" borderId="30" xfId="0" applyFont="1" applyBorder="1" applyAlignment="1">
      <alignment horizontal="center" vertical="center"/>
    </xf>
    <xf numFmtId="0" fontId="23" fillId="0" borderId="15" xfId="0" applyFont="1" applyBorder="1"/>
    <xf numFmtId="0" fontId="23" fillId="0" borderId="28" xfId="0" applyFont="1" applyBorder="1"/>
    <xf numFmtId="0" fontId="47" fillId="0" borderId="15" xfId="0" applyFont="1" applyBorder="1"/>
    <xf numFmtId="0" fontId="0" fillId="0" borderId="0" xfId="0" applyAlignment="1">
      <alignment vertical="top"/>
    </xf>
    <xf numFmtId="0" fontId="2" fillId="0" borderId="0" xfId="0" applyFont="1" applyAlignment="1">
      <alignment vertical="center" wrapText="1"/>
    </xf>
    <xf numFmtId="0" fontId="2" fillId="0" borderId="31" xfId="0" applyFont="1" applyBorder="1"/>
    <xf numFmtId="0" fontId="2" fillId="0" borderId="24" xfId="0" applyFont="1" applyBorder="1"/>
    <xf numFmtId="0" fontId="2" fillId="0" borderId="22" xfId="0" applyFont="1" applyBorder="1"/>
    <xf numFmtId="0" fontId="0" fillId="0" borderId="22" xfId="0" applyBorder="1"/>
    <xf numFmtId="0" fontId="2" fillId="0" borderId="24" xfId="0" applyFont="1" applyBorder="1" applyAlignment="1">
      <alignment horizontal="center" vertical="center"/>
    </xf>
    <xf numFmtId="0" fontId="2" fillId="0" borderId="22" xfId="0" applyFont="1" applyBorder="1" applyAlignment="1">
      <alignment horizontal="center" wrapText="1"/>
    </xf>
    <xf numFmtId="0" fontId="2" fillId="0" borderId="22" xfId="0" applyFont="1" applyBorder="1" applyAlignment="1">
      <alignment horizontal="left" wrapText="1"/>
    </xf>
    <xf numFmtId="0" fontId="2" fillId="0" borderId="30" xfId="0" applyFont="1" applyBorder="1" applyAlignment="1">
      <alignment vertical="center" wrapText="1"/>
    </xf>
    <xf numFmtId="0" fontId="0" fillId="0" borderId="46" xfId="0" applyBorder="1"/>
    <xf numFmtId="0" fontId="49" fillId="2" borderId="36" xfId="0" applyFont="1" applyFill="1" applyBorder="1" applyAlignment="1">
      <alignment vertical="center"/>
    </xf>
    <xf numFmtId="0" fontId="49" fillId="2" borderId="37" xfId="0" applyFont="1" applyFill="1" applyBorder="1" applyAlignment="1">
      <alignment vertical="center"/>
    </xf>
    <xf numFmtId="0" fontId="49" fillId="2" borderId="14" xfId="0" applyFont="1" applyFill="1" applyBorder="1" applyAlignment="1">
      <alignment vertical="center"/>
    </xf>
    <xf numFmtId="0" fontId="49" fillId="2" borderId="26" xfId="0" applyFont="1" applyFill="1" applyBorder="1" applyAlignment="1">
      <alignment vertical="center"/>
    </xf>
    <xf numFmtId="0" fontId="49" fillId="2" borderId="19" xfId="0" applyFont="1" applyFill="1" applyBorder="1" applyAlignment="1">
      <alignment vertical="center"/>
    </xf>
    <xf numFmtId="0" fontId="49" fillId="2" borderId="0" xfId="0" applyFont="1" applyFill="1" applyAlignment="1">
      <alignment vertical="center"/>
    </xf>
    <xf numFmtId="0" fontId="49" fillId="2" borderId="0" xfId="0" applyFont="1" applyFill="1" applyAlignment="1">
      <alignment horizontal="center" vertical="center"/>
    </xf>
    <xf numFmtId="0" fontId="49" fillId="2" borderId="22" xfId="0" applyFont="1" applyFill="1" applyBorder="1" applyAlignment="1">
      <alignment horizontal="center" vertical="center"/>
    </xf>
    <xf numFmtId="0" fontId="49" fillId="2" borderId="31" xfId="0" applyFont="1" applyFill="1" applyBorder="1" applyAlignment="1">
      <alignment vertical="center"/>
    </xf>
    <xf numFmtId="0" fontId="49" fillId="2" borderId="24" xfId="0" applyFont="1" applyFill="1" applyBorder="1" applyAlignment="1">
      <alignment vertical="center"/>
    </xf>
    <xf numFmtId="0" fontId="2" fillId="0" borderId="22" xfId="0" applyFont="1" applyBorder="1" applyAlignment="1">
      <alignment horizontal="left" vertical="center"/>
    </xf>
    <xf numFmtId="0" fontId="24" fillId="0" borderId="0" xfId="0" applyFont="1"/>
    <xf numFmtId="0" fontId="5" fillId="0" borderId="22" xfId="0" applyFont="1" applyBorder="1"/>
    <xf numFmtId="0" fontId="5" fillId="0" borderId="35" xfId="0" applyFont="1" applyBorder="1"/>
    <xf numFmtId="0" fontId="24" fillId="0" borderId="36" xfId="0" applyFont="1" applyBorder="1"/>
    <xf numFmtId="0" fontId="5" fillId="0" borderId="31" xfId="0" applyFont="1" applyBorder="1"/>
    <xf numFmtId="0" fontId="49" fillId="0" borderId="22" xfId="0" applyFont="1" applyBorder="1" applyAlignment="1">
      <alignment vertical="center"/>
    </xf>
    <xf numFmtId="0" fontId="50" fillId="2" borderId="36" xfId="0" applyFont="1" applyFill="1" applyBorder="1" applyAlignment="1" applyProtection="1">
      <alignment horizontal="center" vertical="center"/>
      <protection locked="0"/>
    </xf>
    <xf numFmtId="0" fontId="49" fillId="2" borderId="22" xfId="0" applyFont="1" applyFill="1" applyBorder="1" applyAlignment="1">
      <alignment vertical="center"/>
    </xf>
    <xf numFmtId="0" fontId="11" fillId="0" borderId="0" xfId="0" applyFont="1"/>
    <xf numFmtId="0" fontId="2" fillId="0" borderId="0" xfId="0" applyFont="1" applyAlignment="1">
      <alignment vertical="top"/>
    </xf>
    <xf numFmtId="0" fontId="49" fillId="2" borderId="0" xfId="0" applyFont="1" applyFill="1" applyAlignment="1">
      <alignment vertical="center" wrapText="1"/>
    </xf>
    <xf numFmtId="0" fontId="49" fillId="2" borderId="10" xfId="0" applyFont="1" applyFill="1" applyBorder="1" applyAlignment="1">
      <alignment vertical="center" wrapText="1"/>
    </xf>
    <xf numFmtId="0" fontId="49" fillId="2" borderId="22" xfId="0" applyFont="1" applyFill="1" applyBorder="1" applyAlignment="1">
      <alignment vertical="center" wrapText="1"/>
    </xf>
    <xf numFmtId="0" fontId="49" fillId="2" borderId="24" xfId="0" applyFont="1" applyFill="1" applyBorder="1" applyAlignment="1">
      <alignment vertical="center" wrapText="1"/>
    </xf>
    <xf numFmtId="0" fontId="52" fillId="2" borderId="0" xfId="0" applyFont="1" applyFill="1" applyAlignment="1">
      <alignment vertical="center"/>
    </xf>
    <xf numFmtId="0" fontId="52" fillId="2" borderId="31" xfId="0" applyFont="1" applyFill="1" applyBorder="1" applyAlignment="1">
      <alignment vertical="center"/>
    </xf>
    <xf numFmtId="0" fontId="55" fillId="0" borderId="0" xfId="0" applyFont="1" applyAlignment="1">
      <alignment horizontal="left" vertical="center"/>
    </xf>
    <xf numFmtId="0" fontId="55" fillId="0" borderId="0" xfId="0" applyFont="1"/>
    <xf numFmtId="0" fontId="51" fillId="2" borderId="0" xfId="0" applyFont="1" applyFill="1" applyAlignment="1">
      <alignment vertical="center"/>
    </xf>
    <xf numFmtId="0" fontId="56" fillId="0" borderId="0" xfId="0" applyFont="1" applyAlignment="1">
      <alignment horizontal="left" vertical="top" wrapText="1"/>
    </xf>
    <xf numFmtId="1" fontId="2" fillId="0" borderId="0" xfId="0" applyNumberFormat="1" applyFont="1"/>
    <xf numFmtId="14" fontId="2" fillId="0" borderId="0" xfId="0" applyNumberFormat="1" applyFont="1" applyAlignment="1">
      <alignment horizontal="center"/>
    </xf>
    <xf numFmtId="0" fontId="11" fillId="0" borderId="31" xfId="0" applyFont="1" applyBorder="1"/>
    <xf numFmtId="0" fontId="58" fillId="0" borderId="31" xfId="0" applyFont="1" applyBorder="1" applyAlignment="1">
      <alignment horizontal="left" vertical="center"/>
    </xf>
    <xf numFmtId="0" fontId="58" fillId="0" borderId="24" xfId="0" applyFont="1" applyBorder="1" applyAlignment="1">
      <alignment horizontal="left" vertical="center"/>
    </xf>
    <xf numFmtId="0" fontId="59" fillId="0" borderId="22" xfId="0" applyFont="1" applyBorder="1" applyAlignment="1">
      <alignment horizontal="left" vertical="center"/>
    </xf>
    <xf numFmtId="0" fontId="59" fillId="0" borderId="0" xfId="0" applyFont="1" applyAlignment="1">
      <alignment horizontal="left" vertical="center"/>
    </xf>
    <xf numFmtId="0" fontId="59" fillId="0" borderId="0" xfId="0" applyFont="1"/>
    <xf numFmtId="0" fontId="60" fillId="0" borderId="0" xfId="0" applyFont="1"/>
    <xf numFmtId="0" fontId="60" fillId="0" borderId="0" xfId="5" applyNumberFormat="1" applyFont="1"/>
    <xf numFmtId="0" fontId="61" fillId="0" borderId="0" xfId="0" applyFont="1"/>
    <xf numFmtId="0" fontId="24" fillId="0" borderId="30" xfId="0" applyFont="1" applyBorder="1"/>
    <xf numFmtId="0" fontId="58" fillId="0" borderId="0" xfId="0" applyFont="1" applyAlignment="1">
      <alignment horizontal="left" vertical="center"/>
    </xf>
    <xf numFmtId="0" fontId="24" fillId="0" borderId="47" xfId="0" applyFont="1" applyBorder="1"/>
    <xf numFmtId="0" fontId="5" fillId="0" borderId="46" xfId="0" applyFont="1" applyBorder="1"/>
    <xf numFmtId="0" fontId="49" fillId="2" borderId="46" xfId="0" applyFont="1" applyFill="1" applyBorder="1" applyAlignment="1">
      <alignment vertical="center"/>
    </xf>
    <xf numFmtId="0" fontId="49" fillId="2" borderId="43" xfId="0" applyFont="1" applyFill="1" applyBorder="1" applyAlignment="1">
      <alignment horizontal="center" vertical="center"/>
    </xf>
    <xf numFmtId="0" fontId="52" fillId="2" borderId="46" xfId="0" applyFont="1" applyFill="1" applyBorder="1" applyAlignment="1">
      <alignment vertical="center"/>
    </xf>
    <xf numFmtId="0" fontId="56" fillId="0" borderId="30" xfId="0" applyFont="1" applyBorder="1" applyAlignment="1">
      <alignment horizontal="left" vertical="top" wrapText="1"/>
    </xf>
    <xf numFmtId="0" fontId="51" fillId="2" borderId="30" xfId="0" applyFont="1" applyFill="1" applyBorder="1" applyAlignment="1">
      <alignment vertical="center"/>
    </xf>
    <xf numFmtId="2" fontId="2" fillId="0" borderId="0" xfId="0" applyNumberFormat="1" applyFont="1" applyAlignment="1">
      <alignment horizontal="center" vertical="center"/>
    </xf>
    <xf numFmtId="0" fontId="64" fillId="0" borderId="0" xfId="0" applyFont="1" applyAlignment="1">
      <alignment vertical="center"/>
    </xf>
    <xf numFmtId="0" fontId="21" fillId="0" borderId="29" xfId="0" applyFont="1" applyBorder="1"/>
    <xf numFmtId="0" fontId="64" fillId="0" borderId="29" xfId="0" applyFont="1" applyBorder="1" applyAlignment="1">
      <alignment horizontal="left" vertical="center" wrapText="1"/>
    </xf>
    <xf numFmtId="0" fontId="0" fillId="0" borderId="29" xfId="0" applyBorder="1" applyAlignment="1">
      <alignment vertical="center" wrapText="1"/>
    </xf>
    <xf numFmtId="0" fontId="0" fillId="0" borderId="0" xfId="0" applyAlignment="1">
      <alignment vertical="center" wrapText="1"/>
    </xf>
    <xf numFmtId="0" fontId="0" fillId="0" borderId="30" xfId="0" applyBorder="1" applyAlignment="1">
      <alignment vertical="center" wrapText="1"/>
    </xf>
    <xf numFmtId="0" fontId="21" fillId="0" borderId="0" xfId="0" applyFont="1"/>
    <xf numFmtId="0" fontId="21" fillId="0" borderId="30" xfId="0" applyFont="1" applyBorder="1"/>
    <xf numFmtId="0" fontId="21" fillId="0" borderId="50"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43" xfId="0" applyFont="1" applyBorder="1" applyAlignment="1">
      <alignment horizontal="center" vertical="center" wrapText="1"/>
    </xf>
    <xf numFmtId="0" fontId="0" fillId="0" borderId="50" xfId="0" applyBorder="1" applyAlignment="1">
      <alignment horizontal="center"/>
    </xf>
    <xf numFmtId="0" fontId="0" fillId="0" borderId="10" xfId="0" applyBorder="1" applyAlignment="1">
      <alignment horizontal="center"/>
    </xf>
    <xf numFmtId="0" fontId="0" fillId="0" borderId="43" xfId="0" applyBorder="1" applyAlignment="1">
      <alignment horizontal="center"/>
    </xf>
    <xf numFmtId="0" fontId="0" fillId="0" borderId="43" xfId="0" applyBorder="1"/>
    <xf numFmtId="0" fontId="17" fillId="0" borderId="0" xfId="0" applyFont="1"/>
    <xf numFmtId="0" fontId="0" fillId="0" borderId="29" xfId="0" applyBorder="1" applyAlignment="1">
      <alignment horizontal="left" vertical="center" wrapText="1"/>
    </xf>
    <xf numFmtId="0" fontId="0" fillId="0" borderId="0" xfId="0" applyAlignment="1">
      <alignment horizontal="left" vertical="center" wrapText="1"/>
    </xf>
    <xf numFmtId="0" fontId="0" fillId="0" borderId="30" xfId="0" applyBorder="1" applyAlignment="1">
      <alignment horizontal="left" vertical="center" wrapText="1"/>
    </xf>
    <xf numFmtId="0" fontId="8" fillId="0" borderId="29" xfId="0" applyFont="1" applyBorder="1" applyAlignment="1">
      <alignment horizontal="left" vertical="center"/>
    </xf>
    <xf numFmtId="0" fontId="8" fillId="0" borderId="0" xfId="0" applyFont="1" applyAlignment="1">
      <alignment horizontal="left" vertical="center"/>
    </xf>
    <xf numFmtId="0" fontId="8" fillId="0" borderId="30" xfId="0" applyFont="1" applyBorder="1" applyAlignment="1">
      <alignment horizontal="left" vertical="center"/>
    </xf>
    <xf numFmtId="0" fontId="0" fillId="0" borderId="30" xfId="0" applyBorder="1" applyAlignment="1">
      <alignment horizontal="left" vertical="center"/>
    </xf>
    <xf numFmtId="0" fontId="9" fillId="0" borderId="29" xfId="0" applyFont="1" applyBorder="1" applyAlignment="1">
      <alignment vertical="center"/>
    </xf>
    <xf numFmtId="0" fontId="21" fillId="0" borderId="0" xfId="0" applyFont="1" applyAlignment="1">
      <alignment horizontal="center"/>
    </xf>
    <xf numFmtId="1" fontId="11" fillId="0" borderId="0" xfId="0" applyNumberFormat="1" applyFont="1"/>
    <xf numFmtId="0" fontId="0" fillId="0" borderId="8" xfId="0" applyBorder="1"/>
    <xf numFmtId="0" fontId="21" fillId="0" borderId="16" xfId="0" applyFont="1" applyBorder="1"/>
    <xf numFmtId="0" fontId="2" fillId="0" borderId="17" xfId="0" applyFont="1" applyBorder="1"/>
    <xf numFmtId="0" fontId="0" fillId="0" borderId="50" xfId="0" applyBorder="1"/>
    <xf numFmtId="0" fontId="21" fillId="0" borderId="34" xfId="0" applyFont="1" applyBorder="1"/>
    <xf numFmtId="0" fontId="0" fillId="0" borderId="0" xfId="0" applyAlignment="1">
      <alignment horizontal="center" vertical="center"/>
    </xf>
    <xf numFmtId="0" fontId="9" fillId="0" borderId="0" xfId="0" applyFont="1" applyAlignment="1">
      <alignment horizontal="left"/>
    </xf>
    <xf numFmtId="0" fontId="0" fillId="0" borderId="10" xfId="0" applyBorder="1" applyAlignment="1">
      <alignment horizontal="center" vertical="center" wrapText="1"/>
    </xf>
    <xf numFmtId="0" fontId="65" fillId="0" borderId="50" xfId="0" applyFont="1" applyBorder="1" applyAlignment="1">
      <alignment horizontal="center"/>
    </xf>
    <xf numFmtId="0" fontId="65" fillId="0" borderId="10" xfId="0" applyFont="1" applyBorder="1" applyAlignment="1">
      <alignment horizontal="center"/>
    </xf>
    <xf numFmtId="0" fontId="65" fillId="0" borderId="43" xfId="0" applyFont="1" applyBorder="1" applyAlignment="1">
      <alignment horizontal="center"/>
    </xf>
    <xf numFmtId="0" fontId="8" fillId="0" borderId="17" xfId="0" applyFont="1" applyBorder="1"/>
    <xf numFmtId="14" fontId="0" fillId="0" borderId="0" xfId="0" applyNumberFormat="1"/>
    <xf numFmtId="9" fontId="0" fillId="0" borderId="10" xfId="0" applyNumberFormat="1" applyBorder="1"/>
    <xf numFmtId="0" fontId="60" fillId="0" borderId="22" xfId="0" applyFont="1" applyBorder="1"/>
    <xf numFmtId="14" fontId="0" fillId="0" borderId="32" xfId="0" applyNumberFormat="1" applyBorder="1"/>
    <xf numFmtId="1" fontId="24" fillId="0" borderId="36" xfId="0" applyNumberFormat="1" applyFont="1" applyBorder="1"/>
    <xf numFmtId="14" fontId="2" fillId="0" borderId="0" xfId="0" applyNumberFormat="1" applyFont="1"/>
    <xf numFmtId="1" fontId="11" fillId="0" borderId="31" xfId="0" applyNumberFormat="1" applyFont="1" applyBorder="1"/>
    <xf numFmtId="9" fontId="0" fillId="0" borderId="30" xfId="0" applyNumberFormat="1" applyBorder="1" applyAlignment="1">
      <alignment horizontal="center"/>
    </xf>
    <xf numFmtId="14" fontId="21" fillId="0" borderId="0" xfId="0" applyNumberFormat="1" applyFont="1"/>
    <xf numFmtId="1" fontId="0" fillId="0" borderId="29" xfId="0" applyNumberFormat="1" applyBorder="1"/>
    <xf numFmtId="0" fontId="0" fillId="0" borderId="52" xfId="0" applyBorder="1"/>
    <xf numFmtId="1" fontId="8" fillId="0" borderId="0" xfId="0" applyNumberFormat="1" applyFont="1"/>
    <xf numFmtId="0" fontId="8" fillId="0" borderId="52" xfId="0" applyFont="1" applyBorder="1"/>
    <xf numFmtId="1" fontId="8" fillId="0" borderId="52" xfId="0" applyNumberFormat="1" applyFont="1" applyBorder="1"/>
    <xf numFmtId="1" fontId="0" fillId="0" borderId="52" xfId="0" applyNumberFormat="1" applyBorder="1"/>
    <xf numFmtId="1" fontId="5" fillId="2" borderId="10" xfId="0" quotePrefix="1" applyNumberFormat="1" applyFont="1" applyFill="1" applyBorder="1" applyAlignment="1">
      <alignment horizontal="left"/>
    </xf>
    <xf numFmtId="0" fontId="0" fillId="0" borderId="0" xfId="0" applyBorder="1"/>
    <xf numFmtId="0" fontId="2" fillId="0" borderId="0" xfId="0" applyFont="1" applyBorder="1"/>
    <xf numFmtId="0" fontId="2" fillId="0" borderId="56" xfId="0" applyFont="1" applyBorder="1" applyAlignment="1">
      <alignment horizontal="left" vertical="center"/>
    </xf>
    <xf numFmtId="0" fontId="2" fillId="0" borderId="55" xfId="0" applyFont="1" applyBorder="1" applyAlignment="1">
      <alignment horizontal="center" vertical="center"/>
    </xf>
    <xf numFmtId="0" fontId="0" fillId="0" borderId="56" xfId="0" applyBorder="1" applyAlignment="1">
      <alignment vertical="center"/>
    </xf>
    <xf numFmtId="1" fontId="2" fillId="0" borderId="56" xfId="0" applyNumberFormat="1" applyFont="1" applyBorder="1" applyAlignment="1">
      <alignment horizontal="center" vertical="center"/>
    </xf>
    <xf numFmtId="0" fontId="0" fillId="0" borderId="0" xfId="0" applyAlignment="1">
      <alignment horizontal="center"/>
    </xf>
    <xf numFmtId="0" fontId="0" fillId="2" borderId="52" xfId="0" applyFill="1" applyBorder="1" applyAlignment="1">
      <alignment horizontal="center"/>
    </xf>
    <xf numFmtId="0" fontId="2" fillId="2" borderId="3" xfId="0" applyFont="1" applyFill="1" applyBorder="1" applyAlignment="1">
      <alignment horizontal="center" vertical="center"/>
    </xf>
    <xf numFmtId="0" fontId="2" fillId="2" borderId="52" xfId="0" applyFont="1" applyFill="1" applyBorder="1" applyAlignment="1">
      <alignment horizontal="center" wrapText="1"/>
    </xf>
    <xf numFmtId="1" fontId="10" fillId="2" borderId="52" xfId="1" applyNumberFormat="1" applyFont="1" applyFill="1" applyBorder="1"/>
    <xf numFmtId="0" fontId="9" fillId="3" borderId="9" xfId="0" applyNumberFormat="1" applyFont="1" applyFill="1" applyBorder="1" applyAlignment="1" applyProtection="1">
      <alignment horizontal="center" vertical="top"/>
    </xf>
    <xf numFmtId="0" fontId="9" fillId="3" borderId="38" xfId="0" applyNumberFormat="1" applyFont="1" applyFill="1" applyBorder="1" applyAlignment="1" applyProtection="1">
      <alignment horizontal="center" vertical="top"/>
    </xf>
    <xf numFmtId="0" fontId="8" fillId="0" borderId="52" xfId="0" applyNumberFormat="1" applyFont="1" applyFill="1" applyBorder="1" applyAlignment="1" applyProtection="1">
      <alignment horizontal="center" vertical="top"/>
    </xf>
    <xf numFmtId="0" fontId="8" fillId="0" borderId="52" xfId="0" applyNumberFormat="1" applyFont="1" applyFill="1" applyBorder="1" applyAlignment="1" applyProtection="1">
      <alignment horizontal="center" vertical="top" wrapText="1"/>
    </xf>
    <xf numFmtId="17" fontId="8" fillId="0" borderId="52" xfId="0" applyNumberFormat="1" applyFont="1" applyFill="1" applyBorder="1" applyAlignment="1" applyProtection="1">
      <alignment horizontal="center" vertical="top"/>
    </xf>
    <xf numFmtId="14" fontId="8" fillId="0" borderId="52" xfId="0" applyNumberFormat="1" applyFont="1" applyFill="1" applyBorder="1" applyAlignment="1" applyProtection="1">
      <alignment horizontal="center" vertical="top"/>
    </xf>
    <xf numFmtId="0" fontId="6" fillId="2" borderId="0" xfId="0" applyFont="1" applyFill="1"/>
    <xf numFmtId="0" fontId="4" fillId="2" borderId="0" xfId="0" applyFont="1" applyFill="1"/>
    <xf numFmtId="0" fontId="7" fillId="2" borderId="0" xfId="0" applyFont="1" applyFill="1"/>
    <xf numFmtId="0" fontId="0" fillId="2" borderId="0" xfId="0" applyFill="1" applyAlignment="1">
      <alignment horizontal="left"/>
    </xf>
    <xf numFmtId="0" fontId="7" fillId="2" borderId="0" xfId="0" applyFont="1" applyFill="1" applyAlignment="1">
      <alignment horizontal="center"/>
    </xf>
    <xf numFmtId="0" fontId="9" fillId="2" borderId="0" xfId="0" applyFont="1" applyFill="1"/>
    <xf numFmtId="0" fontId="10" fillId="2" borderId="0" xfId="0" applyFont="1" applyFill="1" applyAlignment="1">
      <alignment horizontal="left"/>
    </xf>
    <xf numFmtId="17" fontId="2" fillId="2" borderId="0" xfId="0" applyNumberFormat="1" applyFont="1" applyFill="1"/>
    <xf numFmtId="0" fontId="10" fillId="2" borderId="0" xfId="0" applyFont="1" applyFill="1"/>
    <xf numFmtId="0" fontId="10" fillId="2" borderId="0" xfId="0" applyFont="1" applyFill="1" applyAlignment="1">
      <alignment horizontal="center"/>
    </xf>
    <xf numFmtId="0" fontId="0" fillId="2" borderId="0" xfId="0" applyFill="1" applyAlignment="1">
      <alignment vertical="center"/>
    </xf>
    <xf numFmtId="0" fontId="0" fillId="2" borderId="52" xfId="0" applyFill="1" applyBorder="1" applyAlignment="1">
      <alignment horizontal="left"/>
    </xf>
    <xf numFmtId="0" fontId="0" fillId="0" borderId="0" xfId="0" applyBorder="1" applyAlignment="1">
      <alignment vertical="center"/>
    </xf>
    <xf numFmtId="0" fontId="0" fillId="0" borderId="52" xfId="0" applyBorder="1" applyAlignment="1">
      <alignment horizontal="center" vertical="center"/>
    </xf>
    <xf numFmtId="0" fontId="0" fillId="0" borderId="0" xfId="0" applyBorder="1" applyAlignment="1">
      <alignment horizontal="center" wrapText="1"/>
    </xf>
    <xf numFmtId="1" fontId="5" fillId="2" borderId="0" xfId="4" applyNumberFormat="1" applyFont="1" applyFill="1" applyBorder="1" applyAlignment="1">
      <alignment horizontal="left"/>
    </xf>
    <xf numFmtId="0" fontId="0" fillId="0" borderId="0" xfId="0" applyBorder="1" applyAlignment="1">
      <alignment horizontal="left" wrapText="1"/>
    </xf>
    <xf numFmtId="1" fontId="34" fillId="2" borderId="0" xfId="0" applyNumberFormat="1" applyFont="1" applyFill="1" applyBorder="1" applyAlignment="1">
      <alignment vertical="top"/>
    </xf>
    <xf numFmtId="1" fontId="34" fillId="2" borderId="0" xfId="0" applyNumberFormat="1" applyFont="1" applyFill="1" applyBorder="1"/>
    <xf numFmtId="1" fontId="0" fillId="0" borderId="0" xfId="0" applyNumberFormat="1" applyBorder="1" applyAlignment="1">
      <alignment horizontal="center" wrapText="1"/>
    </xf>
    <xf numFmtId="1" fontId="5" fillId="2" borderId="0" xfId="0" quotePrefix="1" applyNumberFormat="1" applyFont="1" applyFill="1" applyBorder="1" applyAlignment="1">
      <alignment horizontal="left"/>
    </xf>
    <xf numFmtId="1" fontId="12" fillId="2" borderId="10" xfId="0" applyNumberFormat="1" applyFont="1" applyFill="1" applyBorder="1" applyAlignment="1">
      <alignment vertical="center"/>
    </xf>
    <xf numFmtId="0" fontId="0" fillId="0" borderId="0" xfId="0"/>
    <xf numFmtId="0" fontId="9" fillId="0" borderId="35" xfId="0" applyNumberFormat="1" applyFont="1" applyFill="1" applyBorder="1" applyAlignment="1" applyProtection="1">
      <alignment horizontal="center" vertical="top"/>
    </xf>
    <xf numFmtId="0" fontId="8" fillId="0" borderId="14" xfId="0" applyNumberFormat="1" applyFont="1" applyFill="1" applyBorder="1" applyAlignment="1" applyProtection="1">
      <alignment vertical="top"/>
    </xf>
    <xf numFmtId="0" fontId="8" fillId="0" borderId="26" xfId="0" applyNumberFormat="1" applyFont="1" applyFill="1" applyBorder="1" applyAlignment="1" applyProtection="1">
      <alignment vertical="top"/>
    </xf>
    <xf numFmtId="0" fontId="8" fillId="0" borderId="0" xfId="0" applyNumberFormat="1" applyFont="1" applyFill="1" applyBorder="1" applyAlignment="1" applyProtection="1">
      <alignment vertical="top"/>
    </xf>
    <xf numFmtId="0" fontId="8" fillId="0" borderId="19" xfId="0" applyNumberFormat="1" applyFont="1" applyFill="1" applyBorder="1" applyAlignment="1" applyProtection="1">
      <alignment vertical="top"/>
    </xf>
    <xf numFmtId="0" fontId="9" fillId="3" borderId="35" xfId="0" applyNumberFormat="1" applyFont="1" applyFill="1" applyBorder="1" applyAlignment="1" applyProtection="1">
      <alignment horizontal="left" vertical="center" textRotation="90" wrapText="1"/>
    </xf>
    <xf numFmtId="0" fontId="9" fillId="3" borderId="37" xfId="0" applyNumberFormat="1" applyFont="1" applyFill="1" applyBorder="1" applyAlignment="1" applyProtection="1">
      <alignment horizontal="center" vertical="top" wrapText="1"/>
    </xf>
    <xf numFmtId="0" fontId="9" fillId="3" borderId="19" xfId="0" applyNumberFormat="1" applyFont="1" applyFill="1" applyBorder="1" applyAlignment="1" applyProtection="1">
      <alignment horizontal="center" vertical="top" wrapText="1"/>
    </xf>
    <xf numFmtId="0" fontId="9" fillId="3" borderId="19" xfId="0" applyNumberFormat="1" applyFont="1" applyFill="1" applyBorder="1" applyAlignment="1" applyProtection="1">
      <alignment horizontal="center" vertical="top" textRotation="90" wrapText="1"/>
    </xf>
    <xf numFmtId="0" fontId="9" fillId="3" borderId="19" xfId="0" applyNumberFormat="1" applyFont="1" applyFill="1" applyBorder="1" applyAlignment="1" applyProtection="1">
      <alignment horizontal="center" vertical="top" textRotation="90"/>
    </xf>
    <xf numFmtId="0" fontId="9" fillId="3" borderId="9" xfId="0" applyNumberFormat="1" applyFont="1" applyFill="1" applyBorder="1" applyAlignment="1" applyProtection="1">
      <alignment vertical="center" textRotation="90" wrapText="1"/>
    </xf>
    <xf numFmtId="0" fontId="9" fillId="3" borderId="9" xfId="0" applyNumberFormat="1" applyFont="1" applyFill="1" applyBorder="1" applyAlignment="1" applyProtection="1">
      <alignment horizontal="center" vertical="center" textRotation="90"/>
    </xf>
    <xf numFmtId="0" fontId="9" fillId="3" borderId="52" xfId="0" applyNumberFormat="1" applyFont="1" applyFill="1" applyBorder="1" applyAlignment="1" applyProtection="1">
      <alignment horizontal="center" vertical="top"/>
    </xf>
    <xf numFmtId="0" fontId="8" fillId="4" borderId="52" xfId="0" applyNumberFormat="1" applyFont="1" applyFill="1" applyBorder="1" applyAlignment="1" applyProtection="1">
      <alignment vertical="top"/>
    </xf>
    <xf numFmtId="0" fontId="8" fillId="4" borderId="9" xfId="0" applyNumberFormat="1" applyFont="1" applyFill="1" applyBorder="1" applyAlignment="1" applyProtection="1">
      <alignment vertical="top"/>
    </xf>
    <xf numFmtId="0" fontId="8" fillId="0" borderId="52" xfId="0" applyNumberFormat="1" applyFont="1" applyFill="1" applyBorder="1" applyAlignment="1" applyProtection="1">
      <alignment vertical="top"/>
    </xf>
    <xf numFmtId="0" fontId="8" fillId="0" borderId="53" xfId="0" applyNumberFormat="1" applyFont="1" applyFill="1" applyBorder="1" applyAlignment="1" applyProtection="1">
      <alignment vertical="top"/>
    </xf>
    <xf numFmtId="0" fontId="8" fillId="0" borderId="55" xfId="0" applyNumberFormat="1" applyFont="1" applyFill="1" applyBorder="1" applyAlignment="1" applyProtection="1">
      <alignment vertical="top"/>
    </xf>
    <xf numFmtId="0" fontId="8" fillId="0" borderId="40" xfId="0" applyNumberFormat="1" applyFont="1" applyFill="1" applyBorder="1" applyAlignment="1" applyProtection="1">
      <alignment vertical="top"/>
    </xf>
    <xf numFmtId="0" fontId="8" fillId="0" borderId="41" xfId="0" applyNumberFormat="1" applyFont="1" applyFill="1" applyBorder="1" applyAlignment="1" applyProtection="1">
      <alignment vertical="top"/>
    </xf>
    <xf numFmtId="0" fontId="8" fillId="0" borderId="42" xfId="0" applyNumberFormat="1" applyFont="1" applyFill="1" applyBorder="1" applyAlignment="1" applyProtection="1">
      <alignment vertical="top"/>
    </xf>
    <xf numFmtId="17" fontId="9" fillId="0" borderId="54" xfId="0" applyNumberFormat="1" applyFont="1" applyFill="1" applyBorder="1" applyAlignment="1" applyProtection="1">
      <alignment vertical="top"/>
    </xf>
    <xf numFmtId="0" fontId="8" fillId="0" borderId="9" xfId="0" applyNumberFormat="1" applyFont="1" applyFill="1" applyBorder="1" applyAlignment="1" applyProtection="1">
      <alignment vertical="top"/>
    </xf>
    <xf numFmtId="0" fontId="8" fillId="0" borderId="0" xfId="0" applyFont="1" applyBorder="1" applyAlignment="1">
      <alignment vertical="top"/>
    </xf>
    <xf numFmtId="1" fontId="2" fillId="0" borderId="52" xfId="0" applyNumberFormat="1" applyFont="1" applyBorder="1" applyAlignment="1">
      <alignment horizontal="center" vertical="center"/>
    </xf>
    <xf numFmtId="0" fontId="2" fillId="0" borderId="52" xfId="0" applyFont="1" applyBorder="1" applyAlignment="1">
      <alignment horizontal="center" vertical="center"/>
    </xf>
    <xf numFmtId="0" fontId="2" fillId="0" borderId="54" xfId="0" applyFont="1" applyBorder="1" applyAlignment="1">
      <alignment horizontal="left" vertical="center"/>
    </xf>
    <xf numFmtId="0" fontId="2" fillId="0" borderId="56" xfId="0" applyFont="1" applyBorder="1" applyAlignment="1">
      <alignment horizontal="center" vertical="center"/>
    </xf>
    <xf numFmtId="0" fontId="2" fillId="0" borderId="46" xfId="0" applyFont="1" applyBorder="1" applyAlignment="1">
      <alignment horizontal="center" vertical="center"/>
    </xf>
    <xf numFmtId="0" fontId="8" fillId="0" borderId="37" xfId="0" applyFont="1" applyBorder="1" applyAlignment="1">
      <alignment vertical="top" wrapText="1"/>
    </xf>
    <xf numFmtId="0" fontId="8" fillId="0" borderId="0" xfId="0" applyFont="1" applyBorder="1" applyAlignment="1">
      <alignment vertical="top" wrapText="1"/>
    </xf>
    <xf numFmtId="0" fontId="8" fillId="0" borderId="38" xfId="0" applyFont="1" applyBorder="1" applyAlignment="1">
      <alignment vertical="top" wrapText="1"/>
    </xf>
    <xf numFmtId="0" fontId="8" fillId="0" borderId="19" xfId="0" applyFont="1" applyBorder="1" applyAlignment="1">
      <alignment vertical="top" wrapText="1"/>
    </xf>
    <xf numFmtId="1" fontId="17" fillId="2" borderId="0" xfId="1" applyNumberFormat="1" applyFont="1" applyFill="1" applyBorder="1"/>
    <xf numFmtId="0" fontId="8" fillId="0" borderId="52" xfId="0" applyFont="1" applyBorder="1" applyAlignment="1">
      <alignment vertical="top"/>
    </xf>
    <xf numFmtId="17" fontId="8" fillId="0" borderId="50" xfId="0" applyNumberFormat="1" applyFont="1" applyFill="1" applyBorder="1" applyAlignment="1" applyProtection="1">
      <alignment horizontal="center" vertical="top"/>
    </xf>
    <xf numFmtId="0" fontId="2" fillId="0" borderId="54" xfId="0" applyFont="1" applyBorder="1" applyAlignment="1">
      <alignment horizontal="left" vertical="center"/>
    </xf>
    <xf numFmtId="1" fontId="10" fillId="2" borderId="52" xfId="0" applyNumberFormat="1" applyFont="1" applyFill="1" applyBorder="1" applyAlignment="1">
      <alignment horizontal="center"/>
    </xf>
    <xf numFmtId="0" fontId="25" fillId="0" borderId="63" xfId="0" applyFont="1" applyBorder="1"/>
    <xf numFmtId="0" fontId="25" fillId="0" borderId="61" xfId="0" applyFont="1" applyBorder="1"/>
    <xf numFmtId="0" fontId="25" fillId="0" borderId="62" xfId="0" applyFont="1" applyBorder="1"/>
    <xf numFmtId="0" fontId="71" fillId="0" borderId="0" xfId="0" applyFont="1"/>
    <xf numFmtId="1" fontId="73" fillId="2" borderId="52" xfId="0" applyNumberFormat="1" applyFont="1" applyFill="1" applyBorder="1" applyAlignment="1">
      <alignment horizontal="left"/>
    </xf>
    <xf numFmtId="0" fontId="8" fillId="0" borderId="17" xfId="0" applyFont="1" applyBorder="1" applyAlignment="1">
      <alignment vertical="top"/>
    </xf>
    <xf numFmtId="0" fontId="8" fillId="0" borderId="18" xfId="0" applyFont="1" applyBorder="1" applyAlignment="1">
      <alignment vertical="top"/>
    </xf>
    <xf numFmtId="17" fontId="8" fillId="0" borderId="54" xfId="0" applyNumberFormat="1" applyFont="1" applyBorder="1" applyAlignment="1">
      <alignment vertical="top"/>
    </xf>
    <xf numFmtId="0" fontId="8" fillId="0" borderId="52" xfId="0" applyFont="1" applyBorder="1" applyAlignment="1" applyProtection="1">
      <alignment vertical="top"/>
      <protection locked="0"/>
    </xf>
    <xf numFmtId="0" fontId="19" fillId="0" borderId="55" xfId="0" applyFont="1" applyBorder="1" applyAlignment="1">
      <alignment vertical="top"/>
    </xf>
    <xf numFmtId="0" fontId="8" fillId="0" borderId="54" xfId="0" applyFont="1" applyBorder="1" applyAlignment="1">
      <alignment vertical="top"/>
    </xf>
    <xf numFmtId="17" fontId="9" fillId="0" borderId="52" xfId="0" applyNumberFormat="1" applyFont="1" applyBorder="1" applyAlignment="1">
      <alignment vertical="top"/>
    </xf>
    <xf numFmtId="0" fontId="0" fillId="0" borderId="0" xfId="0"/>
    <xf numFmtId="0" fontId="5" fillId="0" borderId="0" xfId="0" applyFont="1" applyBorder="1"/>
    <xf numFmtId="0" fontId="4" fillId="0" borderId="0" xfId="0" applyFont="1" applyBorder="1"/>
    <xf numFmtId="0" fontId="2" fillId="0" borderId="0" xfId="0" applyFont="1" applyBorder="1" applyAlignment="1">
      <alignment vertical="center"/>
    </xf>
    <xf numFmtId="0" fontId="6" fillId="0" borderId="0" xfId="0" applyFont="1" applyBorder="1"/>
    <xf numFmtId="0" fontId="2" fillId="0" borderId="29" xfId="0" applyFont="1" applyBorder="1" applyAlignment="1">
      <alignment horizontal="center"/>
    </xf>
    <xf numFmtId="0" fontId="8" fillId="0" borderId="0" xfId="0" applyFont="1" applyBorder="1"/>
    <xf numFmtId="0" fontId="9" fillId="0" borderId="0" xfId="0" applyFont="1" applyBorder="1"/>
    <xf numFmtId="0" fontId="10" fillId="0" borderId="0" xfId="0" applyFont="1" applyBorder="1" applyAlignment="1">
      <alignment horizontal="left"/>
    </xf>
    <xf numFmtId="0" fontId="2" fillId="0" borderId="0" xfId="0" applyFont="1" applyBorder="1" applyAlignment="1">
      <alignment horizontal="center"/>
    </xf>
    <xf numFmtId="0" fontId="10" fillId="0" borderId="0" xfId="0" applyFont="1" applyBorder="1"/>
    <xf numFmtId="0" fontId="0" fillId="2" borderId="0" xfId="0" applyFill="1" applyBorder="1"/>
    <xf numFmtId="0" fontId="7" fillId="0" borderId="0" xfId="0" applyFont="1" applyBorder="1" applyAlignment="1">
      <alignment horizontal="center"/>
    </xf>
    <xf numFmtId="0" fontId="7" fillId="0" borderId="30" xfId="0" applyFont="1" applyBorder="1" applyAlignment="1">
      <alignment horizontal="center"/>
    </xf>
    <xf numFmtId="0" fontId="10" fillId="0" borderId="30" xfId="0" applyFont="1" applyBorder="1" applyAlignment="1">
      <alignment horizontal="left"/>
    </xf>
    <xf numFmtId="0" fontId="7" fillId="0" borderId="0" xfId="0" applyFont="1" applyBorder="1"/>
    <xf numFmtId="0" fontId="7" fillId="0" borderId="30" xfId="0" applyFont="1" applyBorder="1"/>
    <xf numFmtId="0" fontId="10" fillId="0" borderId="0" xfId="0" applyFont="1" applyBorder="1" applyAlignment="1">
      <alignment horizontal="center"/>
    </xf>
    <xf numFmtId="0" fontId="2" fillId="2" borderId="52" xfId="0" applyFont="1" applyFill="1" applyBorder="1" applyAlignment="1">
      <alignment horizontal="center"/>
    </xf>
    <xf numFmtId="1" fontId="10" fillId="2" borderId="50" xfId="0" applyNumberFormat="1" applyFont="1" applyFill="1" applyBorder="1" applyAlignment="1">
      <alignment horizontal="center"/>
    </xf>
    <xf numFmtId="0" fontId="0" fillId="2" borderId="52" xfId="0" applyFont="1" applyFill="1" applyBorder="1" applyAlignment="1">
      <alignment horizontal="center"/>
    </xf>
    <xf numFmtId="1" fontId="10" fillId="2" borderId="52" xfId="1" applyNumberFormat="1" applyFont="1" applyFill="1" applyBorder="1" applyAlignment="1">
      <alignment horizontal="center"/>
    </xf>
    <xf numFmtId="1" fontId="0" fillId="2" borderId="52" xfId="0" applyNumberFormat="1" applyFont="1" applyFill="1" applyBorder="1" applyAlignment="1">
      <alignment horizontal="center"/>
    </xf>
    <xf numFmtId="1" fontId="10" fillId="2" borderId="52" xfId="0" applyNumberFormat="1" applyFont="1" applyFill="1" applyBorder="1"/>
    <xf numFmtId="1" fontId="10" fillId="2" borderId="52" xfId="2" quotePrefix="1" applyNumberFormat="1" applyFont="1" applyFill="1" applyBorder="1" applyAlignment="1">
      <alignment horizontal="left"/>
    </xf>
    <xf numFmtId="0" fontId="36" fillId="2" borderId="0" xfId="0" applyFont="1" applyFill="1" applyBorder="1" applyAlignment="1">
      <alignment horizontal="center" vertical="top" wrapText="1"/>
    </xf>
    <xf numFmtId="0" fontId="37" fillId="2" borderId="0" xfId="0" applyFont="1" applyFill="1" applyBorder="1" applyAlignment="1">
      <alignment horizontal="center" vertical="top" wrapText="1"/>
    </xf>
    <xf numFmtId="0" fontId="38" fillId="2" borderId="0" xfId="0" applyFont="1" applyFill="1" applyBorder="1" applyAlignment="1">
      <alignment horizontal="left" vertical="center"/>
    </xf>
    <xf numFmtId="0" fontId="10" fillId="0" borderId="0" xfId="0" applyFont="1" applyBorder="1" applyAlignment="1">
      <alignment horizontal="left" vertical="center"/>
    </xf>
    <xf numFmtId="0" fontId="38" fillId="2" borderId="0" xfId="0" applyFont="1" applyFill="1" applyBorder="1" applyAlignment="1">
      <alignment horizontal="center"/>
    </xf>
    <xf numFmtId="0" fontId="38" fillId="0" borderId="0" xfId="0" applyFont="1" applyBorder="1" applyAlignment="1">
      <alignment horizontal="center"/>
    </xf>
    <xf numFmtId="0" fontId="38" fillId="2" borderId="0" xfId="0" applyFont="1" applyFill="1" applyBorder="1" applyAlignment="1">
      <alignment horizontal="center" wrapText="1"/>
    </xf>
    <xf numFmtId="0" fontId="38" fillId="2" borderId="0" xfId="0" applyFont="1" applyFill="1" applyBorder="1" applyAlignment="1">
      <alignment horizontal="left" wrapText="1"/>
    </xf>
    <xf numFmtId="0" fontId="38" fillId="2" borderId="0" xfId="0" applyFont="1" applyFill="1" applyBorder="1"/>
    <xf numFmtId="0" fontId="39" fillId="2" borderId="0" xfId="0" applyFont="1" applyFill="1" applyBorder="1" applyAlignment="1">
      <alignment horizontal="center"/>
    </xf>
    <xf numFmtId="0" fontId="39" fillId="2" borderId="0" xfId="0" applyFont="1" applyFill="1" applyBorder="1" applyAlignment="1">
      <alignment vertical="center"/>
    </xf>
    <xf numFmtId="0" fontId="39" fillId="2" borderId="0" xfId="0" applyFont="1" applyFill="1" applyBorder="1"/>
    <xf numFmtId="0" fontId="35" fillId="2" borderId="0" xfId="0" applyFont="1" applyFill="1" applyBorder="1" applyAlignment="1">
      <alignment vertical="top" wrapText="1"/>
    </xf>
    <xf numFmtId="0" fontId="40" fillId="2" borderId="0" xfId="0" applyFont="1" applyFill="1" applyBorder="1" applyAlignment="1">
      <alignment vertical="top" wrapText="1"/>
    </xf>
    <xf numFmtId="0" fontId="40" fillId="2" borderId="0" xfId="0" applyFont="1" applyFill="1" applyBorder="1" applyAlignment="1">
      <alignment horizontal="justify" vertical="top" wrapText="1"/>
    </xf>
    <xf numFmtId="0" fontId="41" fillId="2" borderId="53" xfId="0" applyFont="1" applyFill="1" applyBorder="1" applyAlignment="1">
      <alignment horizontal="center" vertical="center" wrapText="1"/>
    </xf>
    <xf numFmtId="1" fontId="0" fillId="0" borderId="52" xfId="0" applyNumberFormat="1" applyBorder="1" applyAlignment="1">
      <alignment horizontal="center" vertical="center"/>
    </xf>
    <xf numFmtId="0" fontId="0" fillId="0" borderId="52" xfId="0" applyBorder="1" applyAlignment="1">
      <alignment vertical="center"/>
    </xf>
    <xf numFmtId="0" fontId="0" fillId="0" borderId="43" xfId="0" applyBorder="1" applyAlignment="1">
      <alignment horizontal="center" vertical="center"/>
    </xf>
    <xf numFmtId="0" fontId="19" fillId="0" borderId="0" xfId="0" applyFont="1" applyBorder="1" applyAlignment="1">
      <alignment vertical="top"/>
    </xf>
    <xf numFmtId="0" fontId="19" fillId="0" borderId="52" xfId="0" applyFont="1" applyBorder="1" applyAlignment="1">
      <alignment vertical="top"/>
    </xf>
    <xf numFmtId="0" fontId="9" fillId="0" borderId="0" xfId="0" applyFont="1" applyBorder="1" applyAlignment="1">
      <alignment horizontal="right" vertical="top"/>
    </xf>
    <xf numFmtId="17" fontId="9" fillId="0" borderId="0" xfId="0" applyNumberFormat="1" applyFont="1" applyBorder="1" applyAlignment="1">
      <alignment vertical="top"/>
    </xf>
    <xf numFmtId="0" fontId="2" fillId="0" borderId="52" xfId="0" applyFont="1" applyBorder="1" applyAlignment="1">
      <alignment horizontal="center" vertical="center"/>
    </xf>
    <xf numFmtId="0" fontId="2" fillId="0" borderId="56" xfId="0" applyFont="1" applyBorder="1" applyAlignment="1">
      <alignment horizontal="center" vertical="center"/>
    </xf>
    <xf numFmtId="1" fontId="2" fillId="0" borderId="52" xfId="0" applyNumberFormat="1" applyFont="1" applyBorder="1" applyAlignment="1">
      <alignment horizontal="center" vertical="center"/>
    </xf>
    <xf numFmtId="0" fontId="8" fillId="0" borderId="0" xfId="0" applyFont="1" applyAlignment="1">
      <alignment horizontal="left"/>
    </xf>
    <xf numFmtId="0" fontId="2" fillId="0" borderId="46" xfId="0" applyFont="1" applyBorder="1" applyAlignment="1">
      <alignment horizontal="center" vertical="center"/>
    </xf>
    <xf numFmtId="14" fontId="0" fillId="0" borderId="52" xfId="0" applyNumberFormat="1" applyBorder="1"/>
    <xf numFmtId="0" fontId="10" fillId="2" borderId="52" xfId="0" applyFont="1" applyFill="1" applyBorder="1"/>
    <xf numFmtId="1" fontId="12" fillId="2" borderId="0" xfId="0" applyNumberFormat="1" applyFont="1" applyFill="1" applyBorder="1" applyAlignment="1">
      <alignment vertical="center"/>
    </xf>
    <xf numFmtId="0" fontId="0" fillId="0" borderId="0" xfId="0" applyBorder="1" applyAlignment="1">
      <alignment horizontal="center"/>
    </xf>
    <xf numFmtId="0" fontId="0" fillId="0" borderId="30" xfId="0" applyBorder="1" applyAlignment="1">
      <alignment horizontal="center"/>
    </xf>
    <xf numFmtId="0" fontId="0" fillId="0" borderId="29" xfId="0" applyBorder="1" applyAlignment="1">
      <alignment horizontal="center"/>
    </xf>
    <xf numFmtId="0" fontId="0" fillId="0" borderId="46" xfId="0" applyBorder="1" applyAlignment="1">
      <alignment horizontal="center"/>
    </xf>
    <xf numFmtId="0" fontId="0" fillId="0" borderId="43" xfId="0" applyBorder="1" applyAlignment="1">
      <alignment horizontal="center"/>
    </xf>
    <xf numFmtId="0" fontId="76" fillId="6" borderId="14" xfId="0" applyFont="1" applyFill="1" applyBorder="1" applyAlignment="1">
      <alignment horizontal="center"/>
    </xf>
    <xf numFmtId="0" fontId="76" fillId="6" borderId="26" xfId="0" applyFont="1" applyFill="1" applyBorder="1" applyAlignment="1">
      <alignment horizontal="center"/>
    </xf>
    <xf numFmtId="0" fontId="76" fillId="6" borderId="19" xfId="0" applyFont="1" applyFill="1" applyBorder="1" applyAlignment="1">
      <alignment horizontal="center"/>
    </xf>
    <xf numFmtId="0" fontId="77" fillId="0" borderId="29" xfId="0" applyFont="1" applyBorder="1" applyAlignment="1"/>
    <xf numFmtId="0" fontId="2" fillId="0" borderId="0" xfId="0" applyFont="1" applyBorder="1" applyAlignment="1"/>
    <xf numFmtId="0" fontId="0" fillId="0" borderId="0" xfId="0" applyBorder="1" applyAlignment="1"/>
    <xf numFmtId="0" fontId="79" fillId="0" borderId="29" xfId="0" applyFont="1" applyBorder="1" applyAlignment="1"/>
    <xf numFmtId="0" fontId="77" fillId="0" borderId="0" xfId="0" applyFont="1" applyBorder="1" applyAlignment="1"/>
    <xf numFmtId="0" fontId="0" fillId="0" borderId="30" xfId="0" applyBorder="1" applyAlignment="1"/>
    <xf numFmtId="0" fontId="29" fillId="0" borderId="29" xfId="0" applyFont="1" applyBorder="1"/>
    <xf numFmtId="0" fontId="80" fillId="0" borderId="29" xfId="0" applyFont="1" applyBorder="1" applyAlignment="1"/>
    <xf numFmtId="0" fontId="78" fillId="0" borderId="0" xfId="0" applyFont="1" applyAlignment="1">
      <alignment horizontal="center"/>
    </xf>
    <xf numFmtId="0" fontId="60" fillId="0" borderId="29" xfId="0" applyFont="1" applyBorder="1"/>
    <xf numFmtId="0" fontId="60" fillId="0" borderId="0" xfId="0" applyFont="1" applyBorder="1"/>
    <xf numFmtId="0" fontId="0" fillId="0" borderId="0" xfId="0" applyFont="1"/>
    <xf numFmtId="17" fontId="2" fillId="0" borderId="30" xfId="0" applyNumberFormat="1" applyFont="1" applyBorder="1" applyAlignment="1">
      <alignment horizontal="left"/>
    </xf>
    <xf numFmtId="0" fontId="29" fillId="0" borderId="0" xfId="0" applyFont="1" applyBorder="1"/>
    <xf numFmtId="0" fontId="0" fillId="0" borderId="0" xfId="0" applyBorder="1" applyAlignment="1">
      <alignment horizontal="right"/>
    </xf>
    <xf numFmtId="0" fontId="2" fillId="0" borderId="55" xfId="0" applyFont="1" applyBorder="1" applyAlignment="1">
      <alignment horizontal="center"/>
    </xf>
    <xf numFmtId="0" fontId="77" fillId="0" borderId="29" xfId="0" applyFont="1" applyBorder="1" applyAlignment="1">
      <alignment horizontal="center"/>
    </xf>
    <xf numFmtId="0" fontId="0" fillId="0" borderId="0" xfId="0" applyFont="1" applyBorder="1" applyAlignment="1">
      <alignment horizontal="center"/>
    </xf>
    <xf numFmtId="0" fontId="0" fillId="0" borderId="32" xfId="0" applyBorder="1" applyAlignment="1">
      <alignment horizontal="right"/>
    </xf>
    <xf numFmtId="0" fontId="0" fillId="0" borderId="32" xfId="0" applyFont="1" applyBorder="1" applyAlignment="1">
      <alignment horizontal="center"/>
    </xf>
    <xf numFmtId="0" fontId="81" fillId="0" borderId="0" xfId="0" applyFont="1"/>
    <xf numFmtId="0" fontId="29" fillId="0" borderId="23" xfId="0" applyFont="1" applyBorder="1"/>
    <xf numFmtId="0" fontId="0" fillId="0" borderId="29" xfId="0" applyBorder="1" applyAlignment="1"/>
    <xf numFmtId="0" fontId="0" fillId="0" borderId="29" xfId="0" applyFont="1" applyBorder="1"/>
    <xf numFmtId="0" fontId="77" fillId="0" borderId="61" xfId="0" applyFont="1" applyBorder="1" applyAlignment="1"/>
    <xf numFmtId="0" fontId="2" fillId="0" borderId="36" xfId="0" applyFont="1" applyBorder="1" applyAlignment="1"/>
    <xf numFmtId="0" fontId="0" fillId="0" borderId="36" xfId="0" applyBorder="1" applyAlignment="1"/>
    <xf numFmtId="0" fontId="78" fillId="0" borderId="50" xfId="0" applyFont="1" applyBorder="1" applyAlignment="1">
      <alignment horizontal="center"/>
    </xf>
    <xf numFmtId="0" fontId="78" fillId="0" borderId="52" xfId="0" applyFont="1" applyBorder="1" applyAlignment="1">
      <alignment horizontal="center"/>
    </xf>
    <xf numFmtId="0" fontId="78" fillId="0" borderId="43" xfId="0" applyFont="1" applyBorder="1" applyAlignment="1">
      <alignment horizontal="center"/>
    </xf>
    <xf numFmtId="0" fontId="29" fillId="0" borderId="55" xfId="0" applyFont="1" applyBorder="1"/>
    <xf numFmtId="0" fontId="0" fillId="0" borderId="56" xfId="0" applyBorder="1"/>
    <xf numFmtId="0" fontId="0" fillId="0" borderId="54" xfId="0" applyBorder="1"/>
    <xf numFmtId="0" fontId="29" fillId="0" borderId="52" xfId="0" applyFont="1" applyBorder="1"/>
    <xf numFmtId="0" fontId="77" fillId="0" borderId="50" xfId="0" applyFont="1" applyBorder="1" applyAlignment="1">
      <alignment horizontal="center"/>
    </xf>
    <xf numFmtId="0" fontId="8" fillId="0" borderId="0" xfId="0" applyFont="1" applyAlignment="1">
      <alignment horizontal="left"/>
    </xf>
    <xf numFmtId="0" fontId="2" fillId="0" borderId="52" xfId="0" applyFont="1" applyBorder="1" applyAlignment="1">
      <alignment horizontal="center" vertical="center"/>
    </xf>
    <xf numFmtId="1" fontId="2" fillId="0" borderId="52" xfId="0" applyNumberFormat="1" applyFont="1" applyBorder="1" applyAlignment="1">
      <alignment horizontal="center" vertical="center"/>
    </xf>
    <xf numFmtId="0" fontId="2" fillId="0" borderId="56" xfId="0" applyFont="1" applyBorder="1" applyAlignment="1">
      <alignment horizontal="center" vertical="center"/>
    </xf>
    <xf numFmtId="0" fontId="2" fillId="0" borderId="55" xfId="0" applyFont="1" applyBorder="1" applyAlignment="1">
      <alignment horizontal="center" vertical="center"/>
    </xf>
    <xf numFmtId="0" fontId="2" fillId="0" borderId="46" xfId="0" applyFont="1" applyBorder="1" applyAlignment="1">
      <alignment horizontal="center" vertical="center"/>
    </xf>
    <xf numFmtId="17" fontId="8" fillId="0" borderId="26" xfId="0" applyNumberFormat="1" applyFont="1" applyBorder="1"/>
    <xf numFmtId="1" fontId="12" fillId="2" borderId="50" xfId="0" applyNumberFormat="1" applyFont="1" applyFill="1" applyBorder="1" applyAlignment="1">
      <alignment horizontal="center"/>
    </xf>
    <xf numFmtId="0" fontId="29" fillId="2" borderId="52" xfId="0" applyFont="1" applyFill="1" applyBorder="1" applyAlignment="1">
      <alignment vertical="center"/>
    </xf>
    <xf numFmtId="0" fontId="29" fillId="2" borderId="55" xfId="0" applyFont="1" applyFill="1" applyBorder="1" applyAlignment="1">
      <alignment vertical="center"/>
    </xf>
    <xf numFmtId="1" fontId="13" fillId="2" borderId="0" xfId="1" applyNumberFormat="1" applyFont="1" applyFill="1" applyBorder="1" applyAlignment="1">
      <alignment horizontal="center"/>
    </xf>
    <xf numFmtId="1" fontId="12" fillId="2" borderId="0" xfId="1" applyNumberFormat="1" applyFont="1" applyFill="1" applyBorder="1" applyAlignment="1">
      <alignment horizontal="center"/>
    </xf>
    <xf numFmtId="1" fontId="12" fillId="2" borderId="0" xfId="1" applyNumberFormat="1" applyFont="1" applyFill="1" applyBorder="1"/>
    <xf numFmtId="1" fontId="83" fillId="2" borderId="52" xfId="0" applyNumberFormat="1" applyFont="1" applyFill="1" applyBorder="1" applyAlignment="1">
      <alignment horizontal="right" vertical="center"/>
    </xf>
    <xf numFmtId="14" fontId="8" fillId="0" borderId="52" xfId="0" applyNumberFormat="1" applyFont="1" applyBorder="1" applyAlignment="1">
      <alignment vertical="top"/>
    </xf>
    <xf numFmtId="0" fontId="9" fillId="0" borderId="36" xfId="0" applyFont="1" applyBorder="1" applyAlignment="1">
      <alignment vertical="top"/>
    </xf>
    <xf numFmtId="0" fontId="8" fillId="0" borderId="23" xfId="0" applyFont="1" applyBorder="1"/>
    <xf numFmtId="0" fontId="9" fillId="0" borderId="23" xfId="0" applyFont="1" applyBorder="1"/>
    <xf numFmtId="1" fontId="8" fillId="0" borderId="0" xfId="0" applyNumberFormat="1" applyFont="1" applyBorder="1"/>
    <xf numFmtId="0" fontId="8" fillId="0" borderId="0" xfId="0" applyFont="1" applyBorder="1" applyAlignment="1">
      <alignment horizontal="left"/>
    </xf>
    <xf numFmtId="0" fontId="0" fillId="0" borderId="66" xfId="0" applyBorder="1"/>
    <xf numFmtId="0" fontId="71" fillId="0" borderId="0" xfId="0" applyFont="1" applyBorder="1"/>
    <xf numFmtId="0" fontId="2" fillId="0" borderId="52" xfId="0" applyFont="1" applyBorder="1" applyAlignment="1">
      <alignment horizontal="center" vertical="center"/>
    </xf>
    <xf numFmtId="0" fontId="2" fillId="0" borderId="56" xfId="0" applyFont="1" applyBorder="1" applyAlignment="1">
      <alignment horizontal="center" vertical="center"/>
    </xf>
    <xf numFmtId="1" fontId="2" fillId="0" borderId="52" xfId="0" applyNumberFormat="1" applyFont="1" applyBorder="1" applyAlignment="1">
      <alignment horizontal="center" vertical="center"/>
    </xf>
    <xf numFmtId="0" fontId="2" fillId="0" borderId="55" xfId="0" applyFont="1" applyBorder="1" applyAlignment="1">
      <alignment horizontal="center" vertical="center"/>
    </xf>
    <xf numFmtId="0" fontId="2" fillId="0" borderId="46" xfId="0" applyFont="1" applyBorder="1" applyAlignment="1">
      <alignment horizontal="center" vertical="center"/>
    </xf>
    <xf numFmtId="0" fontId="84" fillId="2" borderId="52" xfId="0" applyFont="1" applyFill="1" applyBorder="1" applyAlignment="1">
      <alignment horizontal="left"/>
    </xf>
    <xf numFmtId="0" fontId="92" fillId="2" borderId="57" xfId="0" applyFont="1" applyFill="1" applyBorder="1"/>
    <xf numFmtId="0" fontId="46" fillId="2" borderId="38" xfId="0" applyFont="1" applyFill="1" applyBorder="1" applyAlignment="1">
      <alignment horizontal="center" vertical="center" wrapText="1"/>
    </xf>
    <xf numFmtId="0" fontId="46" fillId="2" borderId="25" xfId="0" applyFont="1" applyFill="1" applyBorder="1" applyAlignment="1">
      <alignment horizontal="center" vertical="center" wrapText="1"/>
    </xf>
    <xf numFmtId="0" fontId="46" fillId="2" borderId="20" xfId="0" applyFont="1" applyFill="1" applyBorder="1" applyAlignment="1">
      <alignment vertical="center" wrapText="1"/>
    </xf>
    <xf numFmtId="1" fontId="8" fillId="0" borderId="52" xfId="0" applyNumberFormat="1" applyFont="1" applyFill="1" applyBorder="1" applyAlignment="1" applyProtection="1">
      <alignment horizontal="center" vertical="top"/>
    </xf>
    <xf numFmtId="0" fontId="2" fillId="2" borderId="3" xfId="0" applyFont="1" applyFill="1" applyBorder="1" applyAlignment="1">
      <alignment horizontal="center" vertical="center" wrapText="1"/>
    </xf>
    <xf numFmtId="0" fontId="2" fillId="0" borderId="52" xfId="0" applyFont="1" applyBorder="1" applyAlignment="1">
      <alignment horizontal="center" vertical="center"/>
    </xf>
    <xf numFmtId="0" fontId="2" fillId="0" borderId="56" xfId="0" applyFont="1" applyBorder="1" applyAlignment="1">
      <alignment horizontal="center" vertical="center"/>
    </xf>
    <xf numFmtId="1" fontId="2" fillId="0" borderId="52" xfId="0" applyNumberFormat="1" applyFont="1" applyBorder="1" applyAlignment="1">
      <alignment horizontal="center" vertical="center"/>
    </xf>
    <xf numFmtId="0" fontId="8" fillId="0" borderId="0" xfId="0" applyFont="1" applyAlignment="1">
      <alignment horizontal="left"/>
    </xf>
    <xf numFmtId="0" fontId="2" fillId="0" borderId="46" xfId="0" applyFont="1" applyBorder="1" applyAlignment="1">
      <alignment horizontal="center" vertical="center"/>
    </xf>
    <xf numFmtId="0" fontId="92" fillId="2" borderId="0" xfId="0" applyFont="1" applyFill="1"/>
    <xf numFmtId="0" fontId="4" fillId="2" borderId="0" xfId="0" applyFont="1" applyFill="1" applyAlignment="1">
      <alignment horizontal="right"/>
    </xf>
    <xf numFmtId="0" fontId="8" fillId="2" borderId="0" xfId="0" applyFont="1" applyFill="1" applyAlignment="1">
      <alignment horizontal="right"/>
    </xf>
    <xf numFmtId="0" fontId="9" fillId="2" borderId="0" xfId="0" applyFont="1" applyFill="1" applyAlignment="1">
      <alignment horizontal="right"/>
    </xf>
    <xf numFmtId="0" fontId="9" fillId="2" borderId="0" xfId="3" applyFont="1" applyFill="1" applyBorder="1" applyAlignment="1">
      <alignment horizontal="center" vertical="center"/>
    </xf>
    <xf numFmtId="0" fontId="98" fillId="2" borderId="0" xfId="0" applyFont="1" applyFill="1" applyAlignment="1">
      <alignment horizontal="center"/>
    </xf>
    <xf numFmtId="0" fontId="96" fillId="2" borderId="0" xfId="0" applyFont="1" applyFill="1" applyAlignment="1">
      <alignment horizontal="left"/>
    </xf>
    <xf numFmtId="0" fontId="44" fillId="2" borderId="0" xfId="0" applyFont="1" applyFill="1"/>
    <xf numFmtId="0" fontId="92" fillId="2" borderId="0" xfId="0" applyFont="1" applyFill="1" applyAlignment="1">
      <alignment vertical="center" wrapText="1"/>
    </xf>
    <xf numFmtId="0" fontId="13" fillId="2" borderId="52" xfId="0" applyFont="1" applyFill="1" applyBorder="1" applyAlignment="1">
      <alignment horizontal="left" wrapText="1"/>
    </xf>
    <xf numFmtId="14" fontId="14" fillId="2" borderId="52" xfId="0" applyNumberFormat="1" applyFont="1" applyFill="1" applyBorder="1" applyAlignment="1">
      <alignment horizontal="right" wrapText="1"/>
    </xf>
    <xf numFmtId="0" fontId="0" fillId="2" borderId="29" xfId="0" applyFill="1" applyBorder="1"/>
    <xf numFmtId="0" fontId="0" fillId="2" borderId="32" xfId="0" applyFill="1" applyBorder="1"/>
    <xf numFmtId="0" fontId="0" fillId="2" borderId="33" xfId="0" applyFill="1" applyBorder="1"/>
    <xf numFmtId="0" fontId="0" fillId="2" borderId="34" xfId="0" applyFill="1" applyBorder="1"/>
    <xf numFmtId="168" fontId="0" fillId="2" borderId="0" xfId="0" applyNumberFormat="1" applyFill="1"/>
    <xf numFmtId="168" fontId="46" fillId="2" borderId="20" xfId="0" applyNumberFormat="1" applyFont="1" applyFill="1" applyBorder="1" applyAlignment="1">
      <alignment vertical="center" wrapText="1"/>
    </xf>
    <xf numFmtId="168" fontId="92" fillId="2" borderId="57" xfId="0" applyNumberFormat="1" applyFont="1" applyFill="1" applyBorder="1"/>
    <xf numFmtId="0" fontId="12" fillId="2" borderId="0" xfId="0" applyFont="1" applyFill="1" applyAlignment="1">
      <alignment horizontal="left"/>
    </xf>
    <xf numFmtId="0" fontId="12" fillId="2" borderId="0" xfId="0" applyFont="1" applyFill="1" applyAlignment="1">
      <alignment horizontal="center"/>
    </xf>
    <xf numFmtId="0" fontId="46" fillId="2" borderId="2" xfId="0" applyFont="1" applyFill="1" applyBorder="1" applyAlignment="1">
      <alignment vertical="center" wrapText="1"/>
    </xf>
    <xf numFmtId="0" fontId="46" fillId="2" borderId="9" xfId="0" applyFont="1" applyFill="1" applyBorder="1" applyAlignment="1">
      <alignment vertical="center" wrapText="1"/>
    </xf>
    <xf numFmtId="0" fontId="2" fillId="2" borderId="0" xfId="0" applyFont="1" applyFill="1" applyAlignment="1">
      <alignment vertical="center"/>
    </xf>
    <xf numFmtId="0" fontId="0" fillId="0" borderId="52" xfId="0" applyBorder="1" applyAlignment="1">
      <alignment horizontal="center"/>
    </xf>
    <xf numFmtId="1" fontId="29" fillId="2" borderId="0" xfId="0" applyNumberFormat="1" applyFont="1" applyFill="1" applyBorder="1" applyAlignment="1">
      <alignment horizontal="left" vertical="center"/>
    </xf>
    <xf numFmtId="0" fontId="29" fillId="2" borderId="0" xfId="0" applyFont="1" applyFill="1" applyBorder="1" applyAlignment="1">
      <alignment vertical="center"/>
    </xf>
    <xf numFmtId="1" fontId="8" fillId="2" borderId="0" xfId="0" applyNumberFormat="1" applyFont="1" applyFill="1" applyBorder="1"/>
    <xf numFmtId="1" fontId="83" fillId="2" borderId="0" xfId="0" applyNumberFormat="1" applyFont="1" applyFill="1" applyBorder="1" applyAlignment="1">
      <alignment horizontal="right" vertical="center"/>
    </xf>
    <xf numFmtId="1" fontId="12" fillId="2" borderId="0" xfId="0" applyNumberFormat="1" applyFont="1" applyFill="1" applyBorder="1" applyAlignment="1">
      <alignment horizontal="center"/>
    </xf>
    <xf numFmtId="1" fontId="13" fillId="2" borderId="0" xfId="0" applyNumberFormat="1" applyFont="1" applyFill="1" applyBorder="1" applyAlignment="1">
      <alignment horizontal="left"/>
    </xf>
    <xf numFmtId="0" fontId="14" fillId="2" borderId="0" xfId="0" applyFont="1" applyFill="1" applyBorder="1"/>
    <xf numFmtId="1" fontId="12" fillId="2" borderId="0" xfId="0" applyNumberFormat="1" applyFont="1" applyFill="1" applyBorder="1"/>
    <xf numFmtId="1" fontId="12" fillId="2" borderId="0" xfId="0" applyNumberFormat="1" applyFont="1" applyFill="1" applyBorder="1" applyAlignment="1">
      <alignment horizontal="center" vertical="center"/>
    </xf>
    <xf numFmtId="14" fontId="10" fillId="2" borderId="0" xfId="0" applyNumberFormat="1" applyFont="1" applyFill="1" applyAlignment="1">
      <alignment horizontal="left" wrapText="1"/>
    </xf>
    <xf numFmtId="0" fontId="10" fillId="2" borderId="52" xfId="0" applyFont="1" applyFill="1" applyBorder="1" applyAlignment="1">
      <alignment wrapText="1"/>
    </xf>
    <xf numFmtId="0" fontId="10" fillId="2" borderId="0" xfId="0" applyFont="1" applyFill="1" applyAlignment="1">
      <alignment wrapText="1"/>
    </xf>
    <xf numFmtId="0" fontId="12" fillId="2" borderId="0" xfId="0" applyFont="1" applyFill="1" applyAlignment="1">
      <alignment wrapText="1"/>
    </xf>
    <xf numFmtId="0" fontId="14" fillId="2" borderId="52" xfId="0" applyFont="1" applyFill="1" applyBorder="1" applyAlignment="1">
      <alignment wrapText="1"/>
    </xf>
    <xf numFmtId="1" fontId="12" fillId="2" borderId="52" xfId="1" applyNumberFormat="1" applyFont="1" applyFill="1" applyBorder="1" applyAlignment="1">
      <alignment horizontal="center" wrapText="1"/>
    </xf>
    <xf numFmtId="0" fontId="10" fillId="2" borderId="52" xfId="0" applyFont="1" applyFill="1" applyBorder="1" applyAlignment="1">
      <alignment horizontal="right" wrapText="1"/>
    </xf>
    <xf numFmtId="1" fontId="12" fillId="2" borderId="55" xfId="1" applyNumberFormat="1" applyFont="1" applyFill="1" applyBorder="1" applyAlignment="1">
      <alignment horizontal="center" wrapText="1"/>
    </xf>
    <xf numFmtId="14" fontId="10" fillId="2" borderId="52" xfId="0" applyNumberFormat="1" applyFont="1" applyFill="1" applyBorder="1" applyAlignment="1">
      <alignment wrapText="1"/>
    </xf>
    <xf numFmtId="14" fontId="10" fillId="2" borderId="52" xfId="0" applyNumberFormat="1" applyFont="1" applyFill="1" applyBorder="1" applyAlignment="1">
      <alignment horizontal="right" wrapText="1"/>
    </xf>
    <xf numFmtId="0" fontId="10" fillId="2" borderId="52" xfId="0" applyFont="1" applyFill="1" applyBorder="1" applyAlignment="1">
      <alignment horizontal="center" wrapText="1"/>
    </xf>
    <xf numFmtId="14" fontId="12" fillId="2" borderId="52" xfId="0" applyNumberFormat="1" applyFont="1" applyFill="1" applyBorder="1" applyAlignment="1">
      <alignment wrapText="1"/>
    </xf>
    <xf numFmtId="0" fontId="105" fillId="2" borderId="52" xfId="0" applyFont="1" applyFill="1" applyBorder="1" applyAlignment="1">
      <alignment wrapText="1"/>
    </xf>
    <xf numFmtId="0" fontId="105" fillId="2" borderId="52" xfId="0" applyFont="1" applyFill="1" applyBorder="1" applyAlignment="1">
      <alignment horizontal="center" wrapText="1"/>
    </xf>
    <xf numFmtId="0" fontId="10" fillId="2" borderId="53" xfId="0" applyFont="1" applyFill="1" applyBorder="1" applyAlignment="1">
      <alignment wrapText="1"/>
    </xf>
    <xf numFmtId="0" fontId="10" fillId="2" borderId="53" xfId="0" applyFont="1" applyFill="1" applyBorder="1" applyAlignment="1">
      <alignment horizontal="center" wrapText="1"/>
    </xf>
    <xf numFmtId="1" fontId="12" fillId="2" borderId="53" xfId="1" applyNumberFormat="1" applyFont="1" applyFill="1" applyBorder="1" applyAlignment="1">
      <alignment horizontal="center" wrapText="1"/>
    </xf>
    <xf numFmtId="14" fontId="102" fillId="2" borderId="53" xfId="0" applyNumberFormat="1" applyFont="1" applyFill="1" applyBorder="1" applyAlignment="1">
      <alignment horizontal="right" vertical="center"/>
    </xf>
    <xf numFmtId="0" fontId="10" fillId="2" borderId="52" xfId="0" applyFont="1" applyFill="1" applyBorder="1" applyAlignment="1">
      <alignment horizontal="center"/>
    </xf>
    <xf numFmtId="0" fontId="37" fillId="2" borderId="0" xfId="0" applyFont="1" applyFill="1" applyAlignment="1">
      <alignment horizontal="center"/>
    </xf>
    <xf numFmtId="0" fontId="10" fillId="2" borderId="0" xfId="0" applyFont="1" applyFill="1" applyAlignment="1">
      <alignment horizontal="right"/>
    </xf>
    <xf numFmtId="0" fontId="12" fillId="2" borderId="0" xfId="0" applyFont="1" applyFill="1"/>
    <xf numFmtId="0" fontId="107" fillId="2" borderId="0" xfId="0" applyFont="1" applyFill="1" applyAlignment="1">
      <alignment horizontal="right"/>
    </xf>
    <xf numFmtId="0" fontId="96" fillId="2" borderId="0" xfId="0" applyFont="1" applyFill="1" applyAlignment="1">
      <alignment horizontal="right"/>
    </xf>
    <xf numFmtId="0" fontId="96" fillId="2" borderId="0" xfId="0" applyFont="1" applyFill="1"/>
    <xf numFmtId="0" fontId="38" fillId="2" borderId="0" xfId="0" applyFont="1" applyFill="1"/>
    <xf numFmtId="0" fontId="12" fillId="2" borderId="52" xfId="0" applyFont="1" applyFill="1" applyBorder="1" applyAlignment="1">
      <alignment horizontal="left"/>
    </xf>
    <xf numFmtId="0" fontId="102" fillId="2" borderId="52" xfId="0" applyFont="1" applyFill="1" applyBorder="1" applyAlignment="1">
      <alignment vertical="center"/>
    </xf>
    <xf numFmtId="0" fontId="8" fillId="2" borderId="0" xfId="0" applyFont="1" applyFill="1" applyAlignment="1"/>
    <xf numFmtId="0" fontId="88" fillId="2" borderId="52" xfId="0" applyFont="1" applyFill="1" applyBorder="1" applyAlignment="1">
      <alignment vertical="center"/>
    </xf>
    <xf numFmtId="49" fontId="84" fillId="2" borderId="52" xfId="0" applyNumberFormat="1" applyFont="1" applyFill="1" applyBorder="1" applyAlignment="1">
      <alignment horizontal="left"/>
    </xf>
    <xf numFmtId="0" fontId="85" fillId="2" borderId="52" xfId="0" applyFont="1" applyFill="1" applyBorder="1" applyAlignment="1">
      <alignment horizontal="left" wrapText="1"/>
    </xf>
    <xf numFmtId="49" fontId="86" fillId="2" borderId="52" xfId="0" applyNumberFormat="1" applyFont="1" applyFill="1" applyBorder="1" applyAlignment="1">
      <alignment horizontal="left"/>
    </xf>
    <xf numFmtId="0" fontId="84" fillId="2" borderId="52" xfId="0" applyFont="1" applyFill="1" applyBorder="1" applyAlignment="1">
      <alignment horizontal="left" wrapText="1"/>
    </xf>
    <xf numFmtId="0" fontId="89" fillId="2" borderId="52" xfId="0" applyFont="1" applyFill="1" applyBorder="1" applyAlignment="1">
      <alignment horizontal="left" wrapText="1"/>
    </xf>
    <xf numFmtId="0" fontId="87" fillId="2" borderId="52" xfId="0" applyFont="1" applyFill="1" applyBorder="1" applyAlignment="1">
      <alignment horizontal="left" wrapText="1"/>
    </xf>
    <xf numFmtId="0" fontId="109" fillId="2" borderId="52" xfId="0" applyFont="1" applyFill="1" applyBorder="1" applyAlignment="1">
      <alignment horizontal="left" wrapText="1"/>
    </xf>
    <xf numFmtId="0" fontId="86" fillId="2" borderId="52" xfId="0" applyFont="1" applyFill="1" applyBorder="1" applyAlignment="1">
      <alignment horizontal="left" wrapText="1"/>
    </xf>
    <xf numFmtId="0" fontId="86" fillId="2" borderId="53" xfId="0" applyFont="1" applyFill="1" applyBorder="1" applyAlignment="1">
      <alignment horizontal="left" wrapText="1"/>
    </xf>
    <xf numFmtId="17" fontId="8" fillId="0" borderId="52" xfId="0" applyNumberFormat="1" applyFont="1" applyBorder="1" applyAlignment="1">
      <alignment vertical="top"/>
    </xf>
    <xf numFmtId="17" fontId="0" fillId="0" borderId="52" xfId="0" applyNumberFormat="1" applyBorder="1"/>
    <xf numFmtId="17" fontId="0" fillId="0" borderId="52" xfId="0" applyNumberFormat="1" applyBorder="1" applyAlignment="1">
      <alignment horizontal="center"/>
    </xf>
    <xf numFmtId="14" fontId="0" fillId="2" borderId="52" xfId="0" applyNumberFormat="1" applyFill="1" applyBorder="1" applyAlignment="1">
      <alignment horizontal="left"/>
    </xf>
    <xf numFmtId="0" fontId="84" fillId="2" borderId="52" xfId="0" applyFont="1" applyFill="1" applyBorder="1" applyAlignment="1">
      <alignment horizontal="center" wrapText="1"/>
    </xf>
    <xf numFmtId="0" fontId="2" fillId="0" borderId="52" xfId="0" applyFont="1" applyBorder="1" applyAlignment="1">
      <alignment horizontal="center" vertical="center"/>
    </xf>
    <xf numFmtId="1" fontId="2" fillId="0" borderId="52" xfId="0" applyNumberFormat="1" applyFont="1" applyBorder="1" applyAlignment="1">
      <alignment horizontal="center" vertical="center"/>
    </xf>
    <xf numFmtId="0" fontId="2" fillId="0" borderId="56" xfId="0" applyFont="1" applyBorder="1" applyAlignment="1">
      <alignment horizontal="center" vertical="center"/>
    </xf>
    <xf numFmtId="0" fontId="2" fillId="0" borderId="46" xfId="0" applyFont="1" applyBorder="1" applyAlignment="1">
      <alignment horizontal="center" vertical="center"/>
    </xf>
    <xf numFmtId="0" fontId="9" fillId="2" borderId="36" xfId="0" applyFont="1" applyFill="1" applyBorder="1" applyAlignment="1">
      <alignment vertical="top"/>
    </xf>
    <xf numFmtId="17" fontId="8" fillId="0" borderId="0" xfId="0" applyNumberFormat="1" applyFont="1" applyBorder="1" applyAlignment="1">
      <alignment vertical="top"/>
    </xf>
    <xf numFmtId="0" fontId="8" fillId="0" borderId="0" xfId="0" applyNumberFormat="1" applyFont="1" applyFill="1" applyBorder="1" applyAlignment="1" applyProtection="1">
      <alignment horizontal="center" vertical="top"/>
    </xf>
    <xf numFmtId="0" fontId="2" fillId="2" borderId="2"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41" fillId="2" borderId="0" xfId="0" applyFont="1" applyFill="1" applyBorder="1" applyAlignment="1">
      <alignment horizontal="center" vertical="top" wrapText="1"/>
    </xf>
    <xf numFmtId="0" fontId="40" fillId="2" borderId="29" xfId="0" applyFont="1" applyFill="1" applyBorder="1" applyAlignment="1">
      <alignment horizontal="left" vertical="top" wrapText="1"/>
    </xf>
    <xf numFmtId="0" fontId="40" fillId="2" borderId="0" xfId="0" applyFont="1" applyFill="1" applyBorder="1" applyAlignment="1">
      <alignment horizontal="left" vertical="top" wrapText="1"/>
    </xf>
    <xf numFmtId="0" fontId="0" fillId="2" borderId="0" xfId="0" applyFill="1" applyBorder="1" applyAlignment="1">
      <alignment horizontal="justify" vertical="top" wrapText="1"/>
    </xf>
    <xf numFmtId="0" fontId="0" fillId="2" borderId="0" xfId="0" applyFill="1" applyBorder="1" applyAlignment="1">
      <alignment horizontal="center" vertical="top" wrapText="1"/>
    </xf>
    <xf numFmtId="0" fontId="2" fillId="2" borderId="9" xfId="0" applyFont="1" applyFill="1" applyBorder="1" applyAlignment="1">
      <alignment horizontal="center" vertical="center"/>
    </xf>
    <xf numFmtId="0" fontId="0" fillId="0" borderId="0" xfId="0" applyBorder="1" applyAlignment="1">
      <alignment horizontal="center"/>
    </xf>
    <xf numFmtId="0" fontId="2" fillId="0" borderId="0" xfId="0" applyFont="1" applyBorder="1" applyAlignment="1">
      <alignment horizontal="left"/>
    </xf>
    <xf numFmtId="0" fontId="2" fillId="0" borderId="52" xfId="0" applyFont="1" applyBorder="1" applyAlignment="1">
      <alignment horizontal="center" vertical="center"/>
    </xf>
    <xf numFmtId="0" fontId="2" fillId="0" borderId="43" xfId="0" applyFont="1" applyBorder="1" applyAlignment="1">
      <alignment horizontal="center" vertical="center"/>
    </xf>
    <xf numFmtId="0" fontId="0" fillId="0" borderId="29" xfId="0" applyBorder="1" applyAlignment="1">
      <alignment horizontal="center"/>
    </xf>
    <xf numFmtId="0" fontId="0" fillId="0" borderId="0" xfId="0" applyBorder="1" applyAlignment="1">
      <alignment horizontal="left"/>
    </xf>
    <xf numFmtId="0" fontId="2" fillId="0" borderId="43" xfId="0" applyFont="1" applyBorder="1" applyAlignment="1">
      <alignment horizontal="center" vertical="center"/>
    </xf>
    <xf numFmtId="0" fontId="12" fillId="2" borderId="52" xfId="0" applyFont="1" applyFill="1" applyBorder="1" applyAlignment="1">
      <alignment horizontal="left" wrapText="1"/>
    </xf>
    <xf numFmtId="0" fontId="12" fillId="2" borderId="52" xfId="0" quotePrefix="1" applyFont="1" applyFill="1" applyBorder="1" applyAlignment="1">
      <alignment horizontal="left" wrapText="1"/>
    </xf>
    <xf numFmtId="0" fontId="12" fillId="2" borderId="52" xfId="0" quotePrefix="1" applyFont="1" applyFill="1" applyBorder="1" applyAlignment="1">
      <alignment horizontal="left"/>
    </xf>
    <xf numFmtId="166" fontId="12" fillId="2" borderId="52" xfId="0" quotePrefix="1" applyNumberFormat="1" applyFont="1" applyFill="1" applyBorder="1" applyAlignment="1">
      <alignment horizontal="left"/>
    </xf>
    <xf numFmtId="0" fontId="114" fillId="2" borderId="52" xfId="0" applyFont="1" applyFill="1" applyBorder="1" applyAlignment="1">
      <alignment horizontal="left" vertical="center"/>
    </xf>
    <xf numFmtId="0" fontId="8" fillId="0" borderId="0" xfId="0" applyFont="1" applyAlignment="1">
      <alignment horizontal="left"/>
    </xf>
    <xf numFmtId="17" fontId="2" fillId="2" borderId="0" xfId="0" applyNumberFormat="1" applyFont="1" applyFill="1" applyAlignment="1">
      <alignment horizontal="center" wrapText="1"/>
    </xf>
    <xf numFmtId="0" fontId="14" fillId="2" borderId="52" xfId="0" applyFont="1" applyFill="1" applyBorder="1" applyAlignment="1">
      <alignment horizontal="left"/>
    </xf>
    <xf numFmtId="0" fontId="0" fillId="8" borderId="0" xfId="0" applyFill="1"/>
    <xf numFmtId="0" fontId="110" fillId="2" borderId="52" xfId="0" applyFont="1" applyFill="1" applyBorder="1" applyAlignment="1">
      <alignment horizontal="left" vertical="center" wrapText="1"/>
    </xf>
    <xf numFmtId="0" fontId="93" fillId="2" borderId="52" xfId="0" applyFont="1" applyFill="1" applyBorder="1" applyAlignment="1">
      <alignment horizontal="left" vertical="center"/>
    </xf>
    <xf numFmtId="0" fontId="0" fillId="2" borderId="0" xfId="0" applyFont="1" applyFill="1"/>
    <xf numFmtId="0" fontId="24" fillId="2" borderId="52" xfId="0" applyFont="1" applyFill="1" applyBorder="1" applyAlignment="1">
      <alignment horizontal="left"/>
    </xf>
    <xf numFmtId="0" fontId="24" fillId="2" borderId="52" xfId="3" applyFont="1" applyFill="1" applyBorder="1" applyAlignment="1">
      <alignment horizontal="left"/>
    </xf>
    <xf numFmtId="0" fontId="84" fillId="2" borderId="53" xfId="0" applyFont="1" applyFill="1" applyBorder="1" applyAlignment="1">
      <alignment horizontal="left" wrapText="1"/>
    </xf>
    <xf numFmtId="0" fontId="44" fillId="2" borderId="0" xfId="0" applyFont="1" applyFill="1" applyAlignment="1">
      <alignment horizontal="left"/>
    </xf>
    <xf numFmtId="0" fontId="92" fillId="2" borderId="0" xfId="0" applyFont="1" applyFill="1" applyAlignment="1">
      <alignment horizontal="left" vertical="center" wrapText="1"/>
    </xf>
    <xf numFmtId="0" fontId="92" fillId="2" borderId="0" xfId="0" applyFont="1" applyFill="1" applyAlignment="1">
      <alignment horizontal="left"/>
    </xf>
    <xf numFmtId="0" fontId="84" fillId="2" borderId="52" xfId="0" applyFont="1" applyFill="1" applyBorder="1" applyAlignment="1">
      <alignment wrapText="1"/>
    </xf>
    <xf numFmtId="0" fontId="84" fillId="2" borderId="53" xfId="0" applyFont="1" applyFill="1" applyBorder="1" applyAlignment="1">
      <alignment horizontal="center" wrapText="1"/>
    </xf>
    <xf numFmtId="0" fontId="86" fillId="2" borderId="53" xfId="0" applyFont="1" applyFill="1" applyBorder="1" applyAlignment="1">
      <alignment horizontal="left" vertical="top" wrapText="1"/>
    </xf>
    <xf numFmtId="1" fontId="12" fillId="2" borderId="0" xfId="0" applyNumberFormat="1" applyFont="1" applyFill="1" applyAlignment="1">
      <alignment horizontal="right" wrapText="1"/>
    </xf>
    <xf numFmtId="0" fontId="12" fillId="2" borderId="52" xfId="0" quotePrefix="1" applyFont="1" applyFill="1" applyBorder="1" applyAlignment="1">
      <alignment horizontal="right" wrapText="1"/>
    </xf>
    <xf numFmtId="1" fontId="12" fillId="2" borderId="52" xfId="0" applyNumberFormat="1" applyFont="1" applyFill="1" applyBorder="1" applyAlignment="1">
      <alignment horizontal="right" wrapText="1"/>
    </xf>
    <xf numFmtId="0" fontId="12" fillId="2" borderId="53" xfId="0" quotePrefix="1" applyFont="1" applyFill="1" applyBorder="1" applyAlignment="1">
      <alignment horizontal="right" wrapText="1"/>
    </xf>
    <xf numFmtId="0" fontId="12" fillId="2" borderId="0" xfId="0" applyFont="1" applyFill="1" applyAlignment="1">
      <alignment horizontal="right"/>
    </xf>
    <xf numFmtId="1" fontId="73" fillId="2" borderId="52" xfId="1" applyNumberFormat="1" applyFont="1" applyFill="1" applyBorder="1" applyAlignment="1">
      <alignment horizontal="center"/>
    </xf>
    <xf numFmtId="0" fontId="14" fillId="2" borderId="55" xfId="1" applyFont="1" applyFill="1" applyBorder="1" applyAlignment="1">
      <alignment horizontal="center" wrapText="1"/>
    </xf>
    <xf numFmtId="0" fontId="10" fillId="2" borderId="55" xfId="0" applyFont="1" applyFill="1" applyBorder="1" applyAlignment="1">
      <alignment horizontal="center" wrapText="1"/>
    </xf>
    <xf numFmtId="0" fontId="105" fillId="2" borderId="55" xfId="0" applyFont="1" applyFill="1" applyBorder="1" applyAlignment="1">
      <alignment horizontal="center" wrapText="1"/>
    </xf>
    <xf numFmtId="1" fontId="96" fillId="2" borderId="55" xfId="0" applyNumberFormat="1" applyFont="1" applyFill="1" applyBorder="1" applyAlignment="1">
      <alignment horizontal="center" wrapText="1"/>
    </xf>
    <xf numFmtId="0" fontId="102" fillId="2" borderId="35" xfId="0" applyFont="1" applyFill="1" applyBorder="1" applyAlignment="1">
      <alignment horizontal="center" vertical="center"/>
    </xf>
    <xf numFmtId="0" fontId="10" fillId="2" borderId="55" xfId="0" applyFont="1" applyFill="1" applyBorder="1" applyAlignment="1">
      <alignment horizontal="center"/>
    </xf>
    <xf numFmtId="1" fontId="108" fillId="2" borderId="52" xfId="1" applyNumberFormat="1" applyFont="1" applyFill="1" applyBorder="1" applyAlignment="1">
      <alignment horizontal="center" wrapText="1"/>
    </xf>
    <xf numFmtId="0" fontId="38" fillId="2" borderId="2" xfId="0" applyFont="1" applyFill="1" applyBorder="1" applyAlignment="1">
      <alignment horizontal="center" vertical="center" wrapText="1"/>
    </xf>
    <xf numFmtId="0" fontId="38" fillId="2" borderId="12" xfId="0" applyFont="1" applyFill="1" applyBorder="1" applyAlignment="1">
      <alignment horizontal="center" vertical="center" wrapText="1"/>
    </xf>
    <xf numFmtId="0" fontId="6" fillId="2" borderId="0" xfId="0" applyFont="1" applyFill="1" applyAlignment="1"/>
    <xf numFmtId="0" fontId="9" fillId="2" borderId="0" xfId="0" applyFont="1" applyFill="1" applyAlignment="1"/>
    <xf numFmtId="0" fontId="10" fillId="2" borderId="52" xfId="0" applyFont="1" applyFill="1" applyBorder="1" applyAlignment="1"/>
    <xf numFmtId="0" fontId="10" fillId="2" borderId="52" xfId="0" applyFont="1" applyFill="1" applyBorder="1" applyAlignment="1">
      <alignment horizontal="left"/>
    </xf>
    <xf numFmtId="0" fontId="10" fillId="2" borderId="0" xfId="0" applyFont="1" applyFill="1" applyAlignment="1"/>
    <xf numFmtId="0" fontId="10" fillId="2" borderId="53" xfId="0" applyFont="1" applyFill="1" applyBorder="1"/>
    <xf numFmtId="14" fontId="121" fillId="2" borderId="52" xfId="0" quotePrefix="1" applyNumberFormat="1" applyFont="1" applyFill="1" applyBorder="1" applyAlignment="1">
      <alignment horizontal="center" vertical="center" wrapText="1"/>
    </xf>
    <xf numFmtId="0" fontId="122" fillId="2" borderId="52" xfId="0" applyFont="1" applyFill="1" applyBorder="1" applyAlignment="1">
      <alignment wrapText="1"/>
    </xf>
    <xf numFmtId="0" fontId="44" fillId="2" borderId="0" xfId="0" applyFont="1" applyFill="1" applyAlignment="1">
      <alignment horizontal="left" vertical="center"/>
    </xf>
    <xf numFmtId="0" fontId="0" fillId="2" borderId="0" xfId="0" applyFill="1" applyAlignment="1">
      <alignment horizontal="left" vertical="center"/>
    </xf>
    <xf numFmtId="0" fontId="92" fillId="2" borderId="0" xfId="0" applyFont="1" applyFill="1" applyAlignment="1">
      <alignment horizontal="left" vertical="center"/>
    </xf>
    <xf numFmtId="0" fontId="108" fillId="2" borderId="52" xfId="0" applyFont="1" applyFill="1" applyBorder="1" applyAlignment="1">
      <alignment horizontal="center" wrapText="1"/>
    </xf>
    <xf numFmtId="0" fontId="37" fillId="2" borderId="52" xfId="0" applyFont="1" applyFill="1" applyBorder="1" applyAlignment="1">
      <alignment horizontal="center" wrapText="1"/>
    </xf>
    <xf numFmtId="0" fontId="37" fillId="2" borderId="0" xfId="0" applyFont="1" applyFill="1"/>
    <xf numFmtId="1" fontId="10" fillId="2" borderId="0" xfId="0" applyNumberFormat="1" applyFont="1" applyFill="1" applyAlignment="1">
      <alignment horizontal="center"/>
    </xf>
    <xf numFmtId="0" fontId="37" fillId="2" borderId="0" xfId="0" applyFont="1" applyFill="1" applyAlignment="1"/>
    <xf numFmtId="0" fontId="38" fillId="2" borderId="0" xfId="0" applyFont="1" applyFill="1" applyAlignment="1">
      <alignment horizontal="left"/>
    </xf>
    <xf numFmtId="0" fontId="114" fillId="2" borderId="0" xfId="0" applyFont="1" applyFill="1"/>
    <xf numFmtId="17" fontId="38" fillId="2" borderId="0" xfId="0" applyNumberFormat="1" applyFont="1" applyFill="1"/>
    <xf numFmtId="17" fontId="38" fillId="2" borderId="0" xfId="0" applyNumberFormat="1" applyFont="1" applyFill="1" applyAlignment="1">
      <alignment horizontal="right"/>
    </xf>
    <xf numFmtId="17" fontId="114" fillId="2" borderId="0" xfId="0" applyNumberFormat="1" applyFont="1" applyFill="1" applyAlignment="1">
      <alignment horizontal="right"/>
    </xf>
    <xf numFmtId="17" fontId="114" fillId="2" borderId="0" xfId="0" applyNumberFormat="1" applyFont="1" applyFill="1"/>
    <xf numFmtId="0" fontId="38" fillId="2" borderId="0" xfId="0" applyFont="1" applyFill="1" applyAlignment="1">
      <alignment horizontal="right"/>
    </xf>
    <xf numFmtId="0" fontId="38" fillId="2" borderId="0" xfId="0" applyFont="1" applyFill="1" applyAlignment="1">
      <alignment horizontal="center"/>
    </xf>
    <xf numFmtId="0" fontId="10" fillId="2" borderId="0" xfId="0" applyFont="1" applyFill="1" applyAlignment="1">
      <alignment vertical="center"/>
    </xf>
    <xf numFmtId="0" fontId="38" fillId="2" borderId="20" xfId="0" applyFont="1" applyFill="1" applyBorder="1" applyAlignment="1">
      <alignment vertical="center"/>
    </xf>
    <xf numFmtId="0" fontId="38" fillId="2" borderId="25" xfId="0" applyFont="1" applyFill="1" applyBorder="1" applyAlignment="1">
      <alignment horizontal="center" vertical="center" wrapText="1"/>
    </xf>
    <xf numFmtId="0" fontId="38" fillId="2" borderId="25" xfId="0" applyFont="1" applyFill="1" applyBorder="1" applyAlignment="1">
      <alignment horizontal="right" vertical="center" wrapText="1"/>
    </xf>
    <xf numFmtId="0" fontId="114" fillId="2" borderId="10" xfId="0" applyFont="1" applyFill="1" applyBorder="1" applyAlignment="1">
      <alignment horizontal="right" vertical="center" wrapText="1"/>
    </xf>
    <xf numFmtId="0" fontId="38" fillId="2" borderId="10" xfId="0" applyFont="1" applyFill="1" applyBorder="1" applyAlignment="1">
      <alignment horizontal="center" vertical="center" wrapText="1"/>
    </xf>
    <xf numFmtId="0" fontId="126" fillId="2" borderId="2" xfId="0" applyFont="1" applyFill="1" applyBorder="1" applyAlignment="1">
      <alignment horizontal="right" vertical="center" wrapText="1"/>
    </xf>
    <xf numFmtId="0" fontId="38" fillId="2" borderId="3" xfId="0" applyFont="1" applyFill="1" applyBorder="1" applyAlignment="1">
      <alignment horizontal="right" vertical="center"/>
    </xf>
    <xf numFmtId="0" fontId="38" fillId="2" borderId="3" xfId="0" applyFont="1" applyFill="1" applyBorder="1" applyAlignment="1">
      <alignment horizontal="center" vertical="center" wrapText="1"/>
    </xf>
    <xf numFmtId="0" fontId="38" fillId="2" borderId="4" xfId="0" applyFont="1" applyFill="1" applyBorder="1" applyAlignment="1">
      <alignment vertical="center" wrapText="1"/>
    </xf>
    <xf numFmtId="0" fontId="38" fillId="2" borderId="5" xfId="0" applyFont="1" applyFill="1" applyBorder="1" applyAlignment="1">
      <alignment vertical="center" wrapText="1"/>
    </xf>
    <xf numFmtId="0" fontId="114" fillId="2" borderId="5" xfId="0" applyFont="1" applyFill="1" applyBorder="1" applyAlignment="1">
      <alignment vertical="center" wrapText="1"/>
    </xf>
    <xf numFmtId="0" fontId="38" fillId="2" borderId="6" xfId="0" applyFont="1" applyFill="1" applyBorder="1" applyAlignment="1">
      <alignment vertical="center" wrapText="1"/>
    </xf>
    <xf numFmtId="0" fontId="10" fillId="2" borderId="52" xfId="0" applyFont="1" applyFill="1" applyBorder="1" applyAlignment="1">
      <alignment vertical="center"/>
    </xf>
    <xf numFmtId="0" fontId="37" fillId="2" borderId="0" xfId="0" applyFont="1" applyFill="1" applyAlignment="1">
      <alignment horizontal="center" vertical="center"/>
    </xf>
    <xf numFmtId="0" fontId="38" fillId="2" borderId="52" xfId="0" applyFont="1" applyFill="1" applyBorder="1" applyAlignment="1">
      <alignment horizontal="center" vertical="center" wrapText="1"/>
    </xf>
    <xf numFmtId="0" fontId="38" fillId="2" borderId="52" xfId="0" applyFont="1" applyFill="1" applyBorder="1" applyAlignment="1">
      <alignment horizontal="right" vertical="center" wrapText="1"/>
    </xf>
    <xf numFmtId="0" fontId="114" fillId="2" borderId="52" xfId="0" applyFont="1" applyFill="1" applyBorder="1" applyAlignment="1">
      <alignment horizontal="right" vertical="center" wrapText="1"/>
    </xf>
    <xf numFmtId="0" fontId="38" fillId="2" borderId="53" xfId="0" applyFont="1" applyFill="1" applyBorder="1" applyAlignment="1">
      <alignment horizontal="center" vertical="center" wrapText="1"/>
    </xf>
    <xf numFmtId="0" fontId="126" fillId="2" borderId="12" xfId="0" applyFont="1" applyFill="1" applyBorder="1" applyAlignment="1">
      <alignment horizontal="right" vertical="center" wrapText="1"/>
    </xf>
    <xf numFmtId="0" fontId="38" fillId="2" borderId="12" xfId="0" applyFont="1" applyFill="1" applyBorder="1" applyAlignment="1">
      <alignment horizontal="right" vertical="center"/>
    </xf>
    <xf numFmtId="0" fontId="38" fillId="2" borderId="12" xfId="0" applyFont="1" applyFill="1" applyBorder="1" applyAlignment="1">
      <alignment horizontal="center" vertical="center"/>
    </xf>
    <xf numFmtId="0" fontId="38" fillId="2" borderId="53" xfId="0" applyFont="1" applyFill="1" applyBorder="1" applyAlignment="1">
      <alignment horizontal="center" vertical="center"/>
    </xf>
    <xf numFmtId="0" fontId="114" fillId="2" borderId="53" xfId="0" applyFont="1" applyFill="1" applyBorder="1" applyAlignment="1">
      <alignment horizontal="center" vertical="center"/>
    </xf>
    <xf numFmtId="0" fontId="105" fillId="2" borderId="0" xfId="0" applyFont="1" applyFill="1" applyAlignment="1">
      <alignment wrapText="1"/>
    </xf>
    <xf numFmtId="14" fontId="114" fillId="2" borderId="52" xfId="0" applyNumberFormat="1" applyFont="1" applyFill="1" applyBorder="1" applyAlignment="1">
      <alignment horizontal="center" vertical="center" wrapText="1"/>
    </xf>
    <xf numFmtId="14" fontId="10" fillId="2" borderId="52" xfId="0" applyNumberFormat="1" applyFont="1" applyFill="1" applyBorder="1"/>
    <xf numFmtId="14" fontId="10" fillId="2" borderId="52" xfId="0" applyNumberFormat="1" applyFont="1" applyFill="1" applyBorder="1" applyAlignment="1">
      <alignment horizontal="left"/>
    </xf>
    <xf numFmtId="0" fontId="37" fillId="2" borderId="52" xfId="0" quotePrefix="1" applyFont="1" applyFill="1" applyBorder="1"/>
    <xf numFmtId="0" fontId="123" fillId="2" borderId="52" xfId="0" applyFont="1" applyFill="1" applyBorder="1" applyAlignment="1"/>
    <xf numFmtId="14" fontId="38" fillId="2" borderId="52" xfId="0" applyNumberFormat="1" applyFont="1" applyFill="1" applyBorder="1" applyAlignment="1">
      <alignment horizontal="left"/>
    </xf>
    <xf numFmtId="0" fontId="38" fillId="2" borderId="52" xfId="0" applyFont="1" applyFill="1" applyBorder="1" applyAlignment="1">
      <alignment horizontal="center"/>
    </xf>
    <xf numFmtId="0" fontId="10" fillId="2" borderId="52" xfId="0" quotePrefix="1" applyFont="1" applyFill="1" applyBorder="1"/>
    <xf numFmtId="0" fontId="0" fillId="0" borderId="55" xfId="0" applyBorder="1" applyAlignment="1">
      <alignment horizontal="center" vertical="center"/>
    </xf>
    <xf numFmtId="1" fontId="0" fillId="0" borderId="54" xfId="0" applyNumberFormat="1" applyBorder="1" applyAlignment="1">
      <alignment horizontal="center" vertical="center"/>
    </xf>
    <xf numFmtId="1" fontId="68" fillId="2" borderId="55" xfId="0" applyNumberFormat="1" applyFont="1" applyFill="1" applyBorder="1" applyAlignment="1">
      <alignment horizontal="left"/>
    </xf>
    <xf numFmtId="1" fontId="10" fillId="2" borderId="46" xfId="0" applyNumberFormat="1" applyFont="1" applyFill="1" applyBorder="1"/>
    <xf numFmtId="1" fontId="10" fillId="2" borderId="54" xfId="0" applyNumberFormat="1" applyFont="1" applyFill="1" applyBorder="1"/>
    <xf numFmtId="17" fontId="91" fillId="0" borderId="0" xfId="0" applyNumberFormat="1" applyFont="1" applyBorder="1" applyAlignment="1">
      <alignment vertical="center"/>
    </xf>
    <xf numFmtId="0" fontId="2" fillId="2" borderId="0" xfId="0" applyFont="1" applyFill="1" applyAlignment="1">
      <alignment horizontal="left"/>
    </xf>
    <xf numFmtId="0" fontId="0" fillId="2" borderId="0" xfId="0" applyFill="1" applyAlignment="1">
      <alignment wrapText="1"/>
    </xf>
    <xf numFmtId="1" fontId="99" fillId="2" borderId="52" xfId="0" applyNumberFormat="1" applyFont="1" applyFill="1" applyBorder="1" applyAlignment="1">
      <alignment vertical="center"/>
    </xf>
    <xf numFmtId="168" fontId="99" fillId="2" borderId="52" xfId="0" applyNumberFormat="1" applyFont="1" applyFill="1" applyBorder="1" applyAlignment="1">
      <alignment horizontal="left"/>
    </xf>
    <xf numFmtId="0" fontId="99" fillId="2" borderId="52" xfId="0" applyFont="1" applyFill="1" applyBorder="1" applyAlignment="1">
      <alignment horizontal="left"/>
    </xf>
    <xf numFmtId="0" fontId="99" fillId="2" borderId="52" xfId="0" applyFont="1" applyFill="1" applyBorder="1" applyAlignment="1">
      <alignment horizontal="left" wrapText="1"/>
    </xf>
    <xf numFmtId="1" fontId="99" fillId="2" borderId="52" xfId="0" applyNumberFormat="1" applyFont="1" applyFill="1" applyBorder="1" applyAlignment="1">
      <alignment horizontal="left" wrapText="1"/>
    </xf>
    <xf numFmtId="14" fontId="103" fillId="2" borderId="52" xfId="0" applyNumberFormat="1" applyFont="1" applyFill="1" applyBorder="1" applyAlignment="1">
      <alignment horizontal="left"/>
    </xf>
    <xf numFmtId="1" fontId="104" fillId="2" borderId="52" xfId="0" applyNumberFormat="1" applyFont="1" applyFill="1" applyBorder="1" applyAlignment="1">
      <alignment horizontal="left"/>
    </xf>
    <xf numFmtId="0" fontId="24" fillId="2" borderId="0" xfId="0" applyFont="1" applyFill="1"/>
    <xf numFmtId="0" fontId="24" fillId="2" borderId="0" xfId="0" applyFont="1" applyFill="1" applyAlignment="1">
      <alignment horizontal="left"/>
    </xf>
    <xf numFmtId="0" fontId="24" fillId="2" borderId="0" xfId="0" applyFont="1" applyFill="1" applyAlignment="1">
      <alignment horizontal="left" vertical="center"/>
    </xf>
    <xf numFmtId="167" fontId="103" fillId="2" borderId="52" xfId="0" applyNumberFormat="1" applyFont="1" applyFill="1" applyBorder="1" applyAlignment="1">
      <alignment horizontal="left"/>
    </xf>
    <xf numFmtId="1" fontId="105" fillId="2" borderId="52" xfId="0" applyNumberFormat="1" applyFont="1" applyFill="1" applyBorder="1" applyAlignment="1">
      <alignment horizontal="left"/>
    </xf>
    <xf numFmtId="0" fontId="103" fillId="2" borderId="52" xfId="3" applyFont="1" applyFill="1" applyBorder="1" applyAlignment="1">
      <alignment vertical="center"/>
    </xf>
    <xf numFmtId="168" fontId="100" fillId="2" borderId="52" xfId="3" applyNumberFormat="1" applyFont="1" applyFill="1" applyBorder="1" applyAlignment="1">
      <alignment horizontal="left"/>
    </xf>
    <xf numFmtId="0" fontId="99" fillId="2" borderId="52" xfId="3" applyFont="1" applyFill="1" applyBorder="1" applyAlignment="1">
      <alignment horizontal="left"/>
    </xf>
    <xf numFmtId="0" fontId="99" fillId="2" borderId="52" xfId="0" applyFont="1" applyFill="1" applyBorder="1" applyAlignment="1">
      <alignment vertical="center"/>
    </xf>
    <xf numFmtId="14" fontId="101" fillId="2" borderId="52" xfId="0" applyNumberFormat="1" applyFont="1" applyFill="1" applyBorder="1" applyAlignment="1">
      <alignment horizontal="left"/>
    </xf>
    <xf numFmtId="0" fontId="106" fillId="2" borderId="0" xfId="3" applyFont="1" applyFill="1"/>
    <xf numFmtId="0" fontId="106" fillId="2" borderId="0" xfId="3" applyFont="1" applyFill="1" applyAlignment="1">
      <alignment horizontal="left"/>
    </xf>
    <xf numFmtId="0" fontId="106" fillId="2" borderId="0" xfId="3" applyFont="1" applyFill="1" applyAlignment="1">
      <alignment horizontal="left" vertical="center"/>
    </xf>
    <xf numFmtId="14" fontId="99" fillId="2" borderId="52" xfId="0" applyNumberFormat="1" applyFont="1" applyFill="1" applyBorder="1" applyAlignment="1">
      <alignment horizontal="left"/>
    </xf>
    <xf numFmtId="0" fontId="101" fillId="2" borderId="52" xfId="0" applyFont="1" applyFill="1" applyBorder="1" applyAlignment="1">
      <alignment horizontal="left" wrapText="1"/>
    </xf>
    <xf numFmtId="0" fontId="70" fillId="2" borderId="52" xfId="0" applyFont="1" applyFill="1" applyBorder="1" applyAlignment="1">
      <alignment horizontal="left" wrapText="1"/>
    </xf>
    <xf numFmtId="0" fontId="0" fillId="2" borderId="52" xfId="0" applyFill="1" applyBorder="1" applyAlignment="1">
      <alignment horizontal="left" wrapText="1"/>
    </xf>
    <xf numFmtId="0" fontId="0" fillId="2" borderId="52" xfId="0" applyFill="1" applyBorder="1" applyAlignment="1">
      <alignment wrapText="1"/>
    </xf>
    <xf numFmtId="14" fontId="74" fillId="2" borderId="52" xfId="0" quotePrefix="1" applyNumberFormat="1" applyFont="1" applyFill="1" applyBorder="1" applyAlignment="1">
      <alignment horizontal="center" vertical="center" wrapText="1"/>
    </xf>
    <xf numFmtId="0" fontId="119" fillId="2" borderId="52" xfId="0" applyFont="1" applyFill="1" applyBorder="1" applyAlignment="1">
      <alignment wrapText="1"/>
    </xf>
    <xf numFmtId="0" fontId="117" fillId="2" borderId="53" xfId="0" applyFont="1" applyFill="1" applyBorder="1" applyAlignment="1">
      <alignment horizontal="left" vertical="center" wrapText="1"/>
    </xf>
    <xf numFmtId="0" fontId="0" fillId="2" borderId="52" xfId="0" applyFill="1" applyBorder="1" applyAlignment="1">
      <alignment vertical="center" wrapText="1"/>
    </xf>
    <xf numFmtId="0" fontId="2" fillId="2" borderId="52" xfId="0" applyFont="1" applyFill="1" applyBorder="1" applyAlignment="1">
      <alignment vertical="center" wrapText="1"/>
    </xf>
    <xf numFmtId="49" fontId="0" fillId="2" borderId="52" xfId="0" applyNumberFormat="1" applyFill="1" applyBorder="1" applyAlignment="1">
      <alignment horizontal="left" wrapText="1"/>
    </xf>
    <xf numFmtId="49" fontId="69" fillId="2" borderId="52" xfId="0" applyNumberFormat="1" applyFont="1" applyFill="1" applyBorder="1" applyAlignment="1">
      <alignment horizontal="left" wrapText="1"/>
    </xf>
    <xf numFmtId="0" fontId="88" fillId="2" borderId="52" xfId="0" applyFont="1" applyFill="1" applyBorder="1" applyAlignment="1">
      <alignment vertical="center" wrapText="1"/>
    </xf>
    <xf numFmtId="0" fontId="94" fillId="2" borderId="52" xfId="0" applyFont="1" applyFill="1" applyBorder="1" applyAlignment="1">
      <alignment horizontal="left" vertical="center" wrapText="1"/>
    </xf>
    <xf numFmtId="49" fontId="84" fillId="2" borderId="52" xfId="0" applyNumberFormat="1" applyFont="1" applyFill="1" applyBorder="1" applyAlignment="1">
      <alignment horizontal="left" wrapText="1"/>
    </xf>
    <xf numFmtId="49" fontId="86" fillId="2" borderId="52" xfId="0" applyNumberFormat="1" applyFont="1" applyFill="1" applyBorder="1" applyAlignment="1">
      <alignment horizontal="left" wrapText="1"/>
    </xf>
    <xf numFmtId="49" fontId="90" fillId="2" borderId="52" xfId="0" applyNumberFormat="1" applyFont="1" applyFill="1" applyBorder="1" applyAlignment="1">
      <alignment horizontal="left" wrapText="1"/>
    </xf>
    <xf numFmtId="14" fontId="84" fillId="2" borderId="52" xfId="0" applyNumberFormat="1" applyFont="1" applyFill="1" applyBorder="1" applyAlignment="1">
      <alignment horizontal="left" wrapText="1"/>
    </xf>
    <xf numFmtId="0" fontId="94" fillId="2" borderId="53" xfId="0" applyFont="1" applyFill="1" applyBorder="1" applyAlignment="1">
      <alignment horizontal="left" vertical="center" wrapText="1"/>
    </xf>
    <xf numFmtId="49" fontId="86" fillId="2" borderId="53" xfId="0" applyNumberFormat="1" applyFont="1" applyFill="1" applyBorder="1" applyAlignment="1">
      <alignment horizontal="left" wrapText="1"/>
    </xf>
    <xf numFmtId="0" fontId="94" fillId="2" borderId="54" xfId="0" applyFont="1" applyFill="1" applyBorder="1" applyAlignment="1">
      <alignment horizontal="left" vertical="center" wrapText="1"/>
    </xf>
    <xf numFmtId="49" fontId="84" fillId="2" borderId="53" xfId="0" applyNumberFormat="1" applyFont="1" applyFill="1" applyBorder="1" applyAlignment="1">
      <alignment horizontal="left" wrapText="1"/>
    </xf>
    <xf numFmtId="9" fontId="84" fillId="2" borderId="53" xfId="5" applyFont="1" applyFill="1" applyBorder="1" applyAlignment="1">
      <alignment horizontal="left" wrapText="1"/>
    </xf>
    <xf numFmtId="0" fontId="111" fillId="2" borderId="52" xfId="0" applyFont="1" applyFill="1" applyBorder="1" applyAlignment="1">
      <alignment wrapText="1"/>
    </xf>
    <xf numFmtId="49" fontId="112" fillId="2" borderId="52" xfId="0" applyNumberFormat="1" applyFont="1" applyFill="1" applyBorder="1" applyAlignment="1">
      <alignment horizontal="left" wrapText="1"/>
    </xf>
    <xf numFmtId="9" fontId="84" fillId="2" borderId="52" xfId="5" applyFont="1" applyFill="1" applyBorder="1" applyAlignment="1">
      <alignment horizontal="left" wrapText="1"/>
    </xf>
    <xf numFmtId="0" fontId="91" fillId="2" borderId="52" xfId="0" applyFont="1" applyFill="1" applyBorder="1" applyAlignment="1">
      <alignment wrapText="1"/>
    </xf>
    <xf numFmtId="9" fontId="0" fillId="2" borderId="52" xfId="5" applyFont="1" applyFill="1" applyBorder="1" applyAlignment="1">
      <alignment horizontal="left" wrapText="1"/>
    </xf>
    <xf numFmtId="0" fontId="111" fillId="2" borderId="52" xfId="0" applyFont="1" applyFill="1" applyBorder="1" applyAlignment="1">
      <alignment horizontal="left" wrapText="1"/>
    </xf>
    <xf numFmtId="14" fontId="0" fillId="2" borderId="52" xfId="0" quotePrefix="1" applyNumberFormat="1" applyFill="1" applyBorder="1" applyAlignment="1">
      <alignment wrapText="1"/>
    </xf>
    <xf numFmtId="0" fontId="46" fillId="2" borderId="52" xfId="0" applyFont="1" applyFill="1" applyBorder="1" applyAlignment="1">
      <alignment wrapText="1"/>
    </xf>
    <xf numFmtId="14" fontId="46" fillId="2" borderId="52" xfId="0" quotePrefix="1" applyNumberFormat="1" applyFont="1" applyFill="1" applyBorder="1" applyAlignment="1">
      <alignment wrapText="1"/>
    </xf>
    <xf numFmtId="0" fontId="118" fillId="2" borderId="52" xfId="0" applyFont="1" applyFill="1" applyBorder="1" applyAlignment="1">
      <alignment horizontal="left" wrapText="1"/>
    </xf>
    <xf numFmtId="0" fontId="84" fillId="2" borderId="52" xfId="0" quotePrefix="1" applyNumberFormat="1" applyFont="1" applyFill="1" applyBorder="1" applyAlignment="1">
      <alignment wrapText="1"/>
    </xf>
    <xf numFmtId="0" fontId="84" fillId="2" borderId="52" xfId="0" applyFont="1" applyFill="1" applyBorder="1" applyAlignment="1">
      <alignment horizontal="center" vertical="center" wrapText="1"/>
    </xf>
    <xf numFmtId="14" fontId="84" fillId="2" borderId="53" xfId="0" quotePrefix="1" applyNumberFormat="1" applyFont="1" applyFill="1" applyBorder="1" applyAlignment="1">
      <alignment horizontal="left" wrapText="1"/>
    </xf>
    <xf numFmtId="0" fontId="84" fillId="2" borderId="53" xfId="0" applyFont="1" applyFill="1" applyBorder="1" applyAlignment="1">
      <alignment wrapText="1"/>
    </xf>
    <xf numFmtId="0" fontId="116" fillId="2" borderId="54" xfId="0" applyFont="1" applyFill="1" applyBorder="1" applyAlignment="1">
      <alignment horizontal="left" vertical="center" wrapText="1"/>
    </xf>
    <xf numFmtId="14" fontId="88" fillId="2" borderId="52" xfId="0" quotePrefix="1" applyNumberFormat="1" applyFont="1" applyFill="1" applyBorder="1" applyAlignment="1">
      <alignment horizontal="left" wrapText="1"/>
    </xf>
    <xf numFmtId="0" fontId="39" fillId="2" borderId="52" xfId="0" applyFont="1" applyFill="1" applyBorder="1" applyAlignment="1">
      <alignment wrapText="1"/>
    </xf>
    <xf numFmtId="14" fontId="39" fillId="2" borderId="52" xfId="0" quotePrefix="1" applyNumberFormat="1" applyFont="1" applyFill="1" applyBorder="1" applyAlignment="1">
      <alignment horizontal="left" wrapText="1"/>
    </xf>
    <xf numFmtId="0" fontId="39" fillId="2" borderId="52" xfId="0" applyFont="1" applyFill="1" applyBorder="1" applyAlignment="1">
      <alignment vertical="center" wrapText="1"/>
    </xf>
    <xf numFmtId="0" fontId="54" fillId="2" borderId="0" xfId="0" applyFont="1" applyFill="1" applyBorder="1" applyAlignment="1">
      <alignment horizontal="left" wrapText="1"/>
    </xf>
    <xf numFmtId="0" fontId="0" fillId="2" borderId="0" xfId="0" applyFill="1" applyBorder="1" applyAlignment="1">
      <alignment wrapText="1"/>
    </xf>
    <xf numFmtId="0" fontId="0" fillId="2" borderId="0" xfId="0" applyFill="1" applyBorder="1" applyAlignment="1">
      <alignment horizontal="left" wrapText="1"/>
    </xf>
    <xf numFmtId="0" fontId="5" fillId="2" borderId="0" xfId="0" applyFont="1" applyFill="1" applyBorder="1" applyAlignment="1">
      <alignment horizontal="center" vertical="center" wrapText="1"/>
    </xf>
    <xf numFmtId="0" fontId="85" fillId="2" borderId="0" xfId="0" applyFont="1" applyFill="1" applyBorder="1" applyAlignment="1">
      <alignment horizontal="left" wrapText="1"/>
    </xf>
    <xf numFmtId="0" fontId="84" fillId="2" borderId="0" xfId="0" applyFont="1" applyFill="1" applyBorder="1" applyAlignment="1">
      <alignment wrapText="1"/>
    </xf>
    <xf numFmtId="0" fontId="84" fillId="2" borderId="0" xfId="0" applyFont="1" applyFill="1" applyBorder="1" applyAlignment="1">
      <alignment horizontal="left" wrapText="1"/>
    </xf>
    <xf numFmtId="0" fontId="122" fillId="2" borderId="0" xfId="0" applyFont="1" applyFill="1" applyBorder="1" applyAlignment="1">
      <alignment horizontal="center" vertical="center" wrapText="1"/>
    </xf>
    <xf numFmtId="49" fontId="84" fillId="2" borderId="0" xfId="0" applyNumberFormat="1" applyFont="1" applyFill="1" applyBorder="1" applyAlignment="1">
      <alignment horizontal="left" wrapText="1"/>
    </xf>
    <xf numFmtId="0" fontId="120" fillId="2" borderId="0" xfId="0" applyFont="1" applyFill="1" applyBorder="1" applyAlignment="1">
      <alignment horizontal="center" vertical="center" wrapText="1"/>
    </xf>
    <xf numFmtId="0" fontId="11" fillId="2" borderId="0" xfId="0" applyFont="1" applyFill="1" applyBorder="1" applyAlignment="1">
      <alignment horizontal="center" vertical="center" wrapText="1"/>
    </xf>
    <xf numFmtId="0" fontId="91" fillId="2" borderId="0" xfId="0" applyFont="1" applyFill="1" applyBorder="1" applyAlignment="1">
      <alignment wrapText="1"/>
    </xf>
    <xf numFmtId="0" fontId="91" fillId="2" borderId="0" xfId="0" applyFont="1" applyFill="1" applyBorder="1" applyAlignment="1">
      <alignment horizontal="left" wrapText="1"/>
    </xf>
    <xf numFmtId="0" fontId="111" fillId="2" borderId="0" xfId="0" applyFont="1" applyFill="1" applyBorder="1" applyAlignment="1">
      <alignment wrapText="1"/>
    </xf>
    <xf numFmtId="0" fontId="111" fillId="2" borderId="0" xfId="0" applyFont="1" applyFill="1" applyBorder="1" applyAlignment="1">
      <alignment horizontal="left" wrapText="1"/>
    </xf>
    <xf numFmtId="0" fontId="46" fillId="2" borderId="0" xfId="0" applyFont="1" applyFill="1" applyBorder="1" applyAlignment="1">
      <alignment wrapText="1"/>
    </xf>
    <xf numFmtId="0" fontId="46" fillId="2" borderId="0" xfId="0" applyFont="1" applyFill="1" applyBorder="1" applyAlignment="1">
      <alignment horizontal="left" wrapText="1"/>
    </xf>
    <xf numFmtId="0" fontId="39" fillId="2" borderId="0" xfId="0" applyFont="1" applyFill="1" applyBorder="1" applyAlignment="1">
      <alignment wrapText="1"/>
    </xf>
    <xf numFmtId="0" fontId="39" fillId="2" borderId="0" xfId="0" applyFont="1" applyFill="1" applyBorder="1" applyAlignment="1">
      <alignment horizontal="left" wrapText="1"/>
    </xf>
    <xf numFmtId="0" fontId="102" fillId="2" borderId="0" xfId="0" applyFont="1" applyFill="1" applyBorder="1" applyAlignment="1">
      <alignment horizontal="center" vertical="center" wrapText="1"/>
    </xf>
    <xf numFmtId="0" fontId="39" fillId="2" borderId="26" xfId="0" applyFont="1" applyFill="1" applyBorder="1" applyAlignment="1">
      <alignment wrapText="1"/>
    </xf>
    <xf numFmtId="0" fontId="39" fillId="2" borderId="26" xfId="0" applyFont="1" applyFill="1" applyBorder="1" applyAlignment="1">
      <alignment horizontal="left" wrapText="1"/>
    </xf>
    <xf numFmtId="0" fontId="102" fillId="2" borderId="26" xfId="0" applyFont="1" applyFill="1" applyBorder="1" applyAlignment="1">
      <alignment horizontal="center" vertical="center" wrapText="1"/>
    </xf>
    <xf numFmtId="1" fontId="96" fillId="2" borderId="52" xfId="1" applyNumberFormat="1" applyFont="1" applyFill="1" applyBorder="1" applyAlignment="1">
      <alignment horizontal="center" wrapText="1"/>
    </xf>
    <xf numFmtId="0" fontId="8" fillId="0" borderId="52" xfId="0" applyFont="1" applyBorder="1" applyAlignment="1">
      <alignment horizontal="center" vertical="top"/>
    </xf>
    <xf numFmtId="0" fontId="24" fillId="10" borderId="52" xfId="0" applyFont="1" applyFill="1" applyBorder="1" applyAlignment="1">
      <alignment vertical="center"/>
    </xf>
    <xf numFmtId="168" fontId="0" fillId="2" borderId="52" xfId="0" quotePrefix="1" applyNumberFormat="1" applyFill="1" applyBorder="1" applyAlignment="1">
      <alignment wrapText="1"/>
    </xf>
    <xf numFmtId="0" fontId="24" fillId="10" borderId="52" xfId="0" applyFont="1" applyFill="1" applyBorder="1" applyAlignment="1">
      <alignment vertical="center" wrapText="1"/>
    </xf>
    <xf numFmtId="0" fontId="92" fillId="10" borderId="52" xfId="0" applyFont="1" applyFill="1" applyBorder="1" applyAlignment="1">
      <alignment vertical="center" wrapText="1"/>
    </xf>
    <xf numFmtId="0" fontId="92" fillId="10" borderId="52" xfId="0" applyFont="1" applyFill="1" applyBorder="1" applyAlignment="1">
      <alignment horizontal="center" wrapText="1"/>
    </xf>
    <xf numFmtId="14" fontId="92" fillId="10" borderId="52" xfId="0" quotePrefix="1" applyNumberFormat="1" applyFont="1" applyFill="1" applyBorder="1" applyAlignment="1">
      <alignment horizontal="center" wrapText="1"/>
    </xf>
    <xf numFmtId="0" fontId="10" fillId="2" borderId="52" xfId="0" applyFont="1" applyFill="1" applyBorder="1" applyAlignment="1">
      <alignment vertical="center" wrapText="1"/>
    </xf>
    <xf numFmtId="15" fontId="47" fillId="10" borderId="52" xfId="0" quotePrefix="1" applyNumberFormat="1" applyFont="1" applyFill="1" applyBorder="1" applyAlignment="1">
      <alignment horizontal="center" vertical="center"/>
    </xf>
    <xf numFmtId="15" fontId="91" fillId="10" borderId="52" xfId="0" quotePrefix="1" applyNumberFormat="1" applyFont="1" applyFill="1" applyBorder="1" applyAlignment="1">
      <alignment horizontal="center" vertical="center" wrapText="1"/>
    </xf>
    <xf numFmtId="0" fontId="74" fillId="10" borderId="52" xfId="0" applyFont="1" applyFill="1" applyBorder="1" applyAlignment="1">
      <alignment horizontal="center" vertical="center" wrapText="1"/>
    </xf>
    <xf numFmtId="0" fontId="127" fillId="10" borderId="52" xfId="0" applyFont="1" applyFill="1" applyBorder="1" applyAlignment="1">
      <alignment horizontal="center" vertical="center" wrapText="1"/>
    </xf>
    <xf numFmtId="0" fontId="11" fillId="10" borderId="52" xfId="0" applyFont="1" applyFill="1" applyBorder="1" applyAlignment="1">
      <alignment horizontal="center" vertical="center" wrapText="1"/>
    </xf>
    <xf numFmtId="0" fontId="8" fillId="0" borderId="52" xfId="0" applyFont="1" applyBorder="1" applyAlignment="1">
      <alignment horizontal="center" vertical="top"/>
    </xf>
    <xf numFmtId="0" fontId="2" fillId="0" borderId="52" xfId="0" applyFont="1" applyBorder="1" applyAlignment="1">
      <alignment horizontal="center" vertical="center"/>
    </xf>
    <xf numFmtId="1" fontId="2" fillId="0" borderId="52" xfId="0" applyNumberFormat="1" applyFont="1" applyBorder="1" applyAlignment="1">
      <alignment horizontal="center" vertical="center"/>
    </xf>
    <xf numFmtId="0" fontId="2" fillId="0" borderId="56" xfId="0" applyFont="1" applyBorder="1" applyAlignment="1">
      <alignment horizontal="center" vertical="center"/>
    </xf>
    <xf numFmtId="0" fontId="8" fillId="0" borderId="0" xfId="0" applyFont="1" applyAlignment="1">
      <alignment horizontal="left"/>
    </xf>
    <xf numFmtId="0" fontId="2" fillId="0" borderId="46" xfId="0" applyFont="1" applyBorder="1" applyAlignment="1">
      <alignment horizontal="center" vertical="center"/>
    </xf>
    <xf numFmtId="14" fontId="0" fillId="8" borderId="52" xfId="0" applyNumberFormat="1" applyFont="1" applyFill="1" applyBorder="1" applyAlignment="1">
      <alignment horizontal="left"/>
    </xf>
    <xf numFmtId="14" fontId="0" fillId="8" borderId="52" xfId="0" quotePrefix="1" applyNumberFormat="1" applyFill="1" applyBorder="1" applyAlignment="1">
      <alignment horizontal="left"/>
    </xf>
    <xf numFmtId="0" fontId="0" fillId="2" borderId="52" xfId="0" applyFill="1" applyBorder="1"/>
    <xf numFmtId="0" fontId="14" fillId="11" borderId="52" xfId="0" applyFont="1" applyFill="1" applyBorder="1" applyAlignment="1">
      <alignment horizontal="left"/>
    </xf>
    <xf numFmtId="0" fontId="14" fillId="11" borderId="53" xfId="0" applyFont="1" applyFill="1" applyBorder="1" applyAlignment="1">
      <alignment horizontal="left"/>
    </xf>
    <xf numFmtId="0" fontId="124" fillId="11" borderId="52" xfId="0" applyFont="1" applyFill="1" applyBorder="1" applyAlignment="1">
      <alignment horizontal="left"/>
    </xf>
    <xf numFmtId="0" fontId="94" fillId="2" borderId="56" xfId="0" applyFont="1" applyFill="1" applyBorder="1" applyAlignment="1">
      <alignment vertical="center" wrapText="1"/>
    </xf>
    <xf numFmtId="14" fontId="84" fillId="2" borderId="52" xfId="0" quotePrefix="1" applyNumberFormat="1" applyFont="1" applyFill="1" applyBorder="1" applyAlignment="1">
      <alignment wrapText="1"/>
    </xf>
    <xf numFmtId="0" fontId="128" fillId="11" borderId="52" xfId="0" applyFont="1" applyFill="1" applyBorder="1" applyAlignment="1">
      <alignment horizontal="left" vertical="center"/>
    </xf>
    <xf numFmtId="1" fontId="96" fillId="2" borderId="56" xfId="1" applyNumberFormat="1" applyFont="1" applyFill="1" applyBorder="1" applyAlignment="1">
      <alignment horizontal="right" wrapText="1"/>
    </xf>
    <xf numFmtId="1" fontId="73" fillId="2" borderId="56" xfId="1" applyNumberFormat="1" applyFont="1" applyFill="1" applyBorder="1" applyAlignment="1">
      <alignment horizontal="center"/>
    </xf>
    <xf numFmtId="1" fontId="12" fillId="2" borderId="56" xfId="1" applyNumberFormat="1" applyFont="1" applyFill="1" applyBorder="1" applyAlignment="1">
      <alignment horizontal="center" wrapText="1"/>
    </xf>
    <xf numFmtId="1" fontId="39" fillId="2" borderId="52" xfId="1" applyNumberFormat="1" applyFont="1" applyFill="1" applyBorder="1" applyAlignment="1">
      <alignment horizontal="center" wrapText="1"/>
    </xf>
    <xf numFmtId="0" fontId="0" fillId="0" borderId="0" xfId="0" applyBorder="1" applyAlignment="1">
      <alignment horizontal="center" vertical="center"/>
    </xf>
    <xf numFmtId="1" fontId="0" fillId="0" borderId="0" xfId="0" applyNumberFormat="1" applyBorder="1" applyAlignment="1">
      <alignment horizontal="center" vertical="center"/>
    </xf>
    <xf numFmtId="0" fontId="10" fillId="2" borderId="0" xfId="0" applyFont="1" applyFill="1" applyAlignment="1">
      <alignment horizontal="center" vertical="center"/>
    </xf>
    <xf numFmtId="0" fontId="54" fillId="10" borderId="52" xfId="0" applyFont="1" applyFill="1" applyBorder="1" applyAlignment="1">
      <alignment vertical="center"/>
    </xf>
    <xf numFmtId="0" fontId="54" fillId="10" borderId="52" xfId="0" applyFont="1" applyFill="1" applyBorder="1" applyAlignment="1">
      <alignment horizontal="center" wrapText="1"/>
    </xf>
    <xf numFmtId="14" fontId="8" fillId="0" borderId="0" xfId="0" applyNumberFormat="1" applyFont="1" applyBorder="1" applyAlignment="1">
      <alignment vertical="top"/>
    </xf>
    <xf numFmtId="0" fontId="130" fillId="0" borderId="52" xfId="0" applyNumberFormat="1" applyFont="1" applyFill="1" applyBorder="1" applyAlignment="1" applyProtection="1">
      <alignment horizontal="center" vertical="top"/>
    </xf>
    <xf numFmtId="0" fontId="10" fillId="2" borderId="52" xfId="0" quotePrefix="1" applyFont="1" applyFill="1" applyBorder="1" applyAlignment="1">
      <alignment horizontal="center" wrapText="1"/>
    </xf>
    <xf numFmtId="0" fontId="0" fillId="0" borderId="0" xfId="0"/>
    <xf numFmtId="0" fontId="0" fillId="0" borderId="0" xfId="0"/>
    <xf numFmtId="0" fontId="0" fillId="0" borderId="0" xfId="0" applyAlignment="1">
      <alignment vertical="center"/>
    </xf>
    <xf numFmtId="0" fontId="0" fillId="0" borderId="52" xfId="0" applyBorder="1"/>
    <xf numFmtId="1" fontId="0" fillId="0" borderId="52" xfId="0" applyNumberFormat="1" applyBorder="1"/>
    <xf numFmtId="0" fontId="0" fillId="0" borderId="52" xfId="0" applyBorder="1" applyAlignment="1">
      <alignment wrapText="1"/>
    </xf>
    <xf numFmtId="14" fontId="0" fillId="0" borderId="52" xfId="0" applyNumberFormat="1" applyBorder="1"/>
    <xf numFmtId="0" fontId="0" fillId="0" borderId="52" xfId="0" applyBorder="1" applyAlignment="1">
      <alignment vertical="center"/>
    </xf>
    <xf numFmtId="14" fontId="0" fillId="0" borderId="53" xfId="0" applyNumberFormat="1" applyBorder="1" applyAlignment="1">
      <alignment vertical="center"/>
    </xf>
    <xf numFmtId="14" fontId="0" fillId="8" borderId="53" xfId="0" applyNumberFormat="1" applyFont="1" applyFill="1" applyBorder="1" applyAlignment="1">
      <alignment horizontal="left"/>
    </xf>
    <xf numFmtId="0" fontId="10" fillId="2" borderId="53" xfId="0" quotePrefix="1" applyFont="1" applyFill="1" applyBorder="1" applyAlignment="1">
      <alignment horizontal="center" wrapText="1"/>
    </xf>
    <xf numFmtId="0" fontId="128" fillId="11" borderId="53" xfId="0" applyFont="1" applyFill="1" applyBorder="1" applyAlignment="1">
      <alignment horizontal="left" vertical="center"/>
    </xf>
    <xf numFmtId="0" fontId="10" fillId="2" borderId="53" xfId="0" applyFont="1" applyFill="1" applyBorder="1" applyAlignment="1">
      <alignment horizontal="right" wrapText="1"/>
    </xf>
    <xf numFmtId="1" fontId="12" fillId="2" borderId="35" xfId="1" applyNumberFormat="1" applyFont="1" applyFill="1" applyBorder="1" applyAlignment="1">
      <alignment horizontal="center" wrapText="1"/>
    </xf>
    <xf numFmtId="0" fontId="10" fillId="2" borderId="53" xfId="0" applyFont="1" applyFill="1" applyBorder="1" applyAlignment="1">
      <alignment horizontal="left"/>
    </xf>
    <xf numFmtId="0" fontId="10" fillId="2" borderId="53" xfId="0" applyFont="1" applyFill="1" applyBorder="1" applyAlignment="1">
      <alignment vertical="center"/>
    </xf>
    <xf numFmtId="0" fontId="37" fillId="2" borderId="9" xfId="0" applyFont="1" applyFill="1" applyBorder="1" applyAlignment="1">
      <alignment horizontal="center" vertical="center"/>
    </xf>
    <xf numFmtId="14" fontId="0" fillId="0" borderId="52" xfId="0" quotePrefix="1" applyNumberFormat="1" applyBorder="1"/>
    <xf numFmtId="14" fontId="0" fillId="0" borderId="53" xfId="0" quotePrefix="1" applyNumberFormat="1" applyBorder="1" applyAlignment="1">
      <alignment vertical="center"/>
    </xf>
    <xf numFmtId="14" fontId="0" fillId="0" borderId="10" xfId="0" applyNumberFormat="1" applyBorder="1" applyAlignment="1">
      <alignment horizontal="center" wrapText="1"/>
    </xf>
    <xf numFmtId="0" fontId="46" fillId="12" borderId="52" xfId="0" applyFont="1" applyFill="1" applyBorder="1" applyAlignment="1">
      <alignment horizontal="left" vertical="center"/>
    </xf>
    <xf numFmtId="0" fontId="14" fillId="8" borderId="52" xfId="0" applyFont="1" applyFill="1" applyBorder="1" applyAlignment="1">
      <alignment horizontal="left"/>
    </xf>
    <xf numFmtId="0" fontId="14" fillId="8" borderId="53" xfId="0" applyFont="1" applyFill="1" applyBorder="1" applyAlignment="1">
      <alignment horizontal="left"/>
    </xf>
    <xf numFmtId="14" fontId="0" fillId="8" borderId="52" xfId="0" applyNumberFormat="1" applyFill="1" applyBorder="1" applyAlignment="1">
      <alignment horizontal="left"/>
    </xf>
    <xf numFmtId="14" fontId="0" fillId="2" borderId="52" xfId="0" quotePrefix="1" applyNumberFormat="1" applyFill="1" applyBorder="1" applyAlignment="1">
      <alignment horizontal="left"/>
    </xf>
    <xf numFmtId="0" fontId="71" fillId="8" borderId="52" xfId="0" applyFont="1" applyFill="1" applyBorder="1" applyAlignment="1">
      <alignment horizontal="left"/>
    </xf>
    <xf numFmtId="14" fontId="0" fillId="8" borderId="52" xfId="0" applyNumberFormat="1" applyFill="1" applyBorder="1"/>
    <xf numFmtId="0" fontId="0" fillId="8" borderId="52" xfId="0" applyFill="1" applyBorder="1" applyAlignment="1">
      <alignment wrapText="1"/>
    </xf>
    <xf numFmtId="0" fontId="111" fillId="2" borderId="52" xfId="0" applyFont="1" applyFill="1" applyBorder="1" applyAlignment="1">
      <alignment vertical="center" wrapText="1"/>
    </xf>
    <xf numFmtId="49" fontId="112" fillId="2" borderId="52" xfId="0" applyNumberFormat="1" applyFont="1" applyFill="1" applyBorder="1" applyAlignment="1">
      <alignment horizontal="left" vertical="center" wrapText="1"/>
    </xf>
    <xf numFmtId="9" fontId="84" fillId="2" borderId="52" xfId="5" applyFont="1" applyFill="1" applyBorder="1" applyAlignment="1">
      <alignment horizontal="left" vertical="center" wrapText="1"/>
    </xf>
    <xf numFmtId="0" fontId="84" fillId="2" borderId="52" xfId="0" applyFont="1" applyFill="1" applyBorder="1" applyAlignment="1">
      <alignment vertical="center" wrapText="1"/>
    </xf>
    <xf numFmtId="0" fontId="84" fillId="2" borderId="0" xfId="0" applyFont="1" applyFill="1" applyBorder="1" applyAlignment="1">
      <alignment vertical="center" wrapText="1"/>
    </xf>
    <xf numFmtId="0" fontId="84" fillId="2" borderId="0" xfId="0" applyFont="1" applyFill="1" applyBorder="1" applyAlignment="1">
      <alignment horizontal="left" vertical="center" wrapText="1"/>
    </xf>
    <xf numFmtId="0" fontId="131" fillId="2" borderId="0" xfId="0" applyFont="1" applyFill="1" applyBorder="1" applyAlignment="1">
      <alignment horizontal="left"/>
    </xf>
    <xf numFmtId="168" fontId="0" fillId="2" borderId="0" xfId="0" applyNumberFormat="1" applyFill="1" applyBorder="1"/>
    <xf numFmtId="14" fontId="0" fillId="2" borderId="0" xfId="0" quotePrefix="1" applyNumberFormat="1" applyFill="1" applyBorder="1" applyAlignment="1">
      <alignment horizontal="left"/>
    </xf>
    <xf numFmtId="0" fontId="46" fillId="12" borderId="53" xfId="0" applyFont="1" applyFill="1" applyBorder="1" applyAlignment="1">
      <alignment horizontal="left" vertical="center"/>
    </xf>
    <xf numFmtId="14" fontId="0" fillId="0" borderId="53" xfId="0" quotePrefix="1" applyNumberFormat="1" applyBorder="1"/>
    <xf numFmtId="0" fontId="0" fillId="0" borderId="53" xfId="0" applyBorder="1"/>
    <xf numFmtId="0" fontId="0" fillId="0" borderId="53" xfId="0" applyBorder="1" applyAlignment="1">
      <alignment wrapText="1"/>
    </xf>
    <xf numFmtId="14" fontId="0" fillId="8" borderId="53" xfId="0" quotePrefix="1" applyNumberFormat="1" applyFill="1" applyBorder="1" applyAlignment="1">
      <alignment horizontal="left"/>
    </xf>
    <xf numFmtId="0" fontId="0" fillId="2" borderId="53" xfId="0" applyFill="1" applyBorder="1"/>
    <xf numFmtId="0" fontId="4" fillId="2" borderId="0" xfId="0" applyFont="1" applyFill="1" applyAlignment="1">
      <alignment wrapText="1"/>
    </xf>
    <xf numFmtId="0" fontId="0" fillId="2" borderId="0" xfId="0" applyFill="1" applyAlignment="1"/>
    <xf numFmtId="0" fontId="2" fillId="2" borderId="0" xfId="0" applyFont="1" applyFill="1" applyAlignment="1"/>
    <xf numFmtId="0" fontId="46" fillId="2" borderId="25" xfId="0" applyFont="1" applyFill="1" applyBorder="1" applyAlignment="1">
      <alignment vertical="center" wrapText="1"/>
    </xf>
    <xf numFmtId="0" fontId="46" fillId="2" borderId="38" xfId="0" applyFont="1" applyFill="1" applyBorder="1" applyAlignment="1">
      <alignment vertical="center" wrapText="1"/>
    </xf>
    <xf numFmtId="1" fontId="103" fillId="2" borderId="52" xfId="0" applyNumberFormat="1" applyFont="1" applyFill="1" applyBorder="1" applyAlignment="1"/>
    <xf numFmtId="0" fontId="99" fillId="2" borderId="52" xfId="0" applyFont="1" applyFill="1" applyBorder="1" applyAlignment="1"/>
    <xf numFmtId="0" fontId="0" fillId="2" borderId="52" xfId="0" applyFill="1" applyBorder="1" applyAlignment="1"/>
    <xf numFmtId="0" fontId="86" fillId="2" borderId="52" xfId="0" applyFont="1" applyFill="1" applyBorder="1" applyAlignment="1">
      <alignment wrapText="1"/>
    </xf>
    <xf numFmtId="0" fontId="86" fillId="2" borderId="53" xfId="0" applyFont="1" applyFill="1" applyBorder="1" applyAlignment="1">
      <alignment wrapText="1"/>
    </xf>
    <xf numFmtId="0" fontId="0" fillId="2" borderId="53" xfId="0" applyFill="1" applyBorder="1" applyAlignment="1"/>
    <xf numFmtId="0" fontId="84" fillId="2" borderId="52" xfId="0" applyFont="1" applyFill="1" applyBorder="1" applyAlignment="1">
      <alignment vertical="top" wrapText="1"/>
    </xf>
    <xf numFmtId="49" fontId="112" fillId="2" borderId="52" xfId="0" applyNumberFormat="1" applyFont="1" applyFill="1" applyBorder="1" applyAlignment="1">
      <alignment horizontal="right" wrapText="1"/>
    </xf>
    <xf numFmtId="0" fontId="93" fillId="2" borderId="52" xfId="0" applyFont="1" applyFill="1" applyBorder="1" applyAlignment="1">
      <alignment horizontal="left"/>
    </xf>
    <xf numFmtId="0" fontId="0" fillId="0" borderId="0" xfId="0" applyBorder="1" applyAlignment="1">
      <alignment horizontal="center"/>
    </xf>
    <xf numFmtId="1" fontId="2" fillId="0" borderId="52" xfId="0" applyNumberFormat="1" applyFont="1" applyBorder="1" applyAlignment="1">
      <alignment horizontal="center" vertical="center"/>
    </xf>
    <xf numFmtId="0" fontId="2" fillId="0" borderId="52" xfId="0" applyFont="1" applyBorder="1" applyAlignment="1">
      <alignment horizontal="center" vertical="center"/>
    </xf>
    <xf numFmtId="0" fontId="2" fillId="0" borderId="56" xfId="0" applyFont="1" applyBorder="1" applyAlignment="1">
      <alignment horizontal="center" vertical="center"/>
    </xf>
    <xf numFmtId="0" fontId="8" fillId="0" borderId="0" xfId="0" applyFont="1" applyAlignment="1">
      <alignment horizontal="left"/>
    </xf>
    <xf numFmtId="0" fontId="2" fillId="0" borderId="46" xfId="0" applyFont="1" applyBorder="1" applyAlignment="1">
      <alignment horizontal="center" vertical="center"/>
    </xf>
    <xf numFmtId="0" fontId="10" fillId="2" borderId="0" xfId="0" applyFont="1" applyFill="1" applyBorder="1" applyAlignment="1">
      <alignment horizontal="center"/>
    </xf>
    <xf numFmtId="0" fontId="10" fillId="2" borderId="0" xfId="0" applyFont="1" applyFill="1" applyBorder="1"/>
    <xf numFmtId="0" fontId="133" fillId="2" borderId="0" xfId="0" applyFont="1" applyFill="1"/>
    <xf numFmtId="17" fontId="37" fillId="2" borderId="67" xfId="0" applyNumberFormat="1" applyFont="1" applyFill="1" applyBorder="1" applyAlignment="1">
      <alignment vertical="center"/>
    </xf>
    <xf numFmtId="0" fontId="37" fillId="2" borderId="0" xfId="0" applyFont="1" applyFill="1" applyAlignment="1">
      <alignment vertical="center"/>
    </xf>
    <xf numFmtId="0" fontId="96" fillId="2" borderId="0" xfId="0" applyFont="1" applyFill="1" applyAlignment="1">
      <alignment vertical="center"/>
    </xf>
    <xf numFmtId="0" fontId="37" fillId="2" borderId="20" xfId="0" applyFont="1" applyFill="1" applyBorder="1" applyAlignment="1">
      <alignment vertical="center"/>
    </xf>
    <xf numFmtId="0" fontId="96" fillId="2" borderId="0" xfId="0" applyFont="1" applyFill="1" applyBorder="1" applyAlignment="1">
      <alignment vertical="center"/>
    </xf>
    <xf numFmtId="0" fontId="96" fillId="2" borderId="52" xfId="0" applyFont="1" applyFill="1" applyBorder="1" applyAlignment="1">
      <alignment vertical="center" wrapText="1"/>
    </xf>
    <xf numFmtId="0" fontId="96" fillId="2" borderId="53" xfId="0" applyFont="1" applyFill="1" applyBorder="1" applyAlignment="1">
      <alignment vertical="center" wrapText="1"/>
    </xf>
    <xf numFmtId="0" fontId="96" fillId="2" borderId="52" xfId="0" applyFont="1" applyFill="1" applyBorder="1" applyAlignment="1">
      <alignment vertical="center"/>
    </xf>
    <xf numFmtId="0" fontId="92" fillId="2" borderId="52" xfId="0" applyFont="1" applyFill="1" applyBorder="1" applyAlignment="1">
      <alignment vertical="center" wrapText="1"/>
    </xf>
    <xf numFmtId="0" fontId="4" fillId="2" borderId="35" xfId="0" applyFont="1" applyFill="1" applyBorder="1"/>
    <xf numFmtId="0" fontId="4" fillId="2" borderId="55" xfId="0" applyFont="1" applyFill="1" applyBorder="1"/>
    <xf numFmtId="0" fontId="8" fillId="2" borderId="55" xfId="0" applyFont="1" applyFill="1" applyBorder="1"/>
    <xf numFmtId="0" fontId="0" fillId="2" borderId="26" xfId="0" applyFill="1" applyBorder="1"/>
    <xf numFmtId="0" fontId="6" fillId="2" borderId="56" xfId="0" applyFont="1" applyFill="1" applyBorder="1"/>
    <xf numFmtId="0" fontId="9" fillId="2" borderId="55" xfId="0" applyFont="1" applyFill="1" applyBorder="1"/>
    <xf numFmtId="0" fontId="10" fillId="2" borderId="56" xfId="0" applyFont="1" applyFill="1" applyBorder="1" applyAlignment="1">
      <alignment horizontal="left"/>
    </xf>
    <xf numFmtId="0" fontId="0" fillId="2" borderId="14" xfId="0" applyFill="1" applyBorder="1"/>
    <xf numFmtId="0" fontId="0" fillId="2" borderId="19" xfId="0" applyFill="1" applyBorder="1"/>
    <xf numFmtId="0" fontId="10" fillId="2" borderId="14" xfId="0" applyFont="1" applyFill="1" applyBorder="1"/>
    <xf numFmtId="0" fontId="9" fillId="2" borderId="55" xfId="0" applyFont="1" applyFill="1" applyBorder="1" applyAlignment="1">
      <alignment horizontal="center" vertical="center" wrapText="1"/>
    </xf>
    <xf numFmtId="0" fontId="9" fillId="2" borderId="56" xfId="0" applyFont="1" applyFill="1" applyBorder="1" applyAlignment="1">
      <alignment horizontal="center" vertical="center" wrapText="1"/>
    </xf>
    <xf numFmtId="0" fontId="9" fillId="2" borderId="56" xfId="0" applyFont="1" applyFill="1" applyBorder="1" applyAlignment="1">
      <alignment horizontal="center" wrapText="1"/>
    </xf>
    <xf numFmtId="0" fontId="9" fillId="2" borderId="12"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52" xfId="0" applyFont="1" applyFill="1" applyBorder="1" applyAlignment="1">
      <alignment horizontal="center" wrapText="1"/>
    </xf>
    <xf numFmtId="169" fontId="64" fillId="2" borderId="55" xfId="0" applyNumberFormat="1" applyFont="1" applyFill="1" applyBorder="1" applyAlignment="1">
      <alignment horizontal="center"/>
    </xf>
    <xf numFmtId="0" fontId="9" fillId="2" borderId="32" xfId="3" applyFont="1" applyFill="1" applyBorder="1" applyAlignment="1">
      <alignment vertical="center"/>
    </xf>
    <xf numFmtId="0" fontId="15" fillId="2" borderId="32" xfId="3" applyFont="1" applyFill="1" applyBorder="1" applyAlignment="1">
      <alignment vertical="center"/>
    </xf>
    <xf numFmtId="0" fontId="9" fillId="2" borderId="0" xfId="3" applyFont="1" applyFill="1" applyBorder="1" applyAlignment="1">
      <alignment vertical="center"/>
    </xf>
    <xf numFmtId="0" fontId="15" fillId="2" borderId="0" xfId="3" applyFont="1" applyFill="1" applyBorder="1" applyAlignment="1">
      <alignment vertical="center"/>
    </xf>
    <xf numFmtId="0" fontId="10" fillId="2" borderId="29" xfId="0" applyFont="1" applyFill="1" applyBorder="1" applyAlignment="1">
      <alignment horizontal="center"/>
    </xf>
    <xf numFmtId="0" fontId="134" fillId="2" borderId="0" xfId="0" applyFont="1" applyFill="1"/>
    <xf numFmtId="0" fontId="10" fillId="2" borderId="36" xfId="0" applyFont="1" applyFill="1" applyBorder="1"/>
    <xf numFmtId="0" fontId="134" fillId="2" borderId="36" xfId="0" applyFont="1" applyFill="1" applyBorder="1"/>
    <xf numFmtId="0" fontId="10" fillId="2" borderId="37" xfId="0" applyFont="1" applyFill="1" applyBorder="1"/>
    <xf numFmtId="0" fontId="38" fillId="2" borderId="55" xfId="0" applyFont="1" applyFill="1" applyBorder="1" applyAlignment="1">
      <alignment vertical="center"/>
    </xf>
    <xf numFmtId="0" fontId="38" fillId="2" borderId="56" xfId="0" applyFont="1" applyFill="1" applyBorder="1" applyAlignment="1">
      <alignment vertical="center"/>
    </xf>
    <xf numFmtId="0" fontId="10" fillId="2" borderId="56" xfId="0" applyFont="1" applyFill="1" applyBorder="1"/>
    <xf numFmtId="0" fontId="38" fillId="2" borderId="54" xfId="0" applyFont="1" applyFill="1" applyBorder="1" applyAlignment="1">
      <alignment vertical="center"/>
    </xf>
    <xf numFmtId="0" fontId="38" fillId="2" borderId="29" xfId="0" applyFont="1" applyFill="1" applyBorder="1" applyAlignment="1">
      <alignment horizontal="center"/>
    </xf>
    <xf numFmtId="0" fontId="134" fillId="2" borderId="56" xfId="0" applyFont="1" applyFill="1" applyBorder="1"/>
    <xf numFmtId="0" fontId="10" fillId="2" borderId="26" xfId="0" applyFont="1" applyFill="1" applyBorder="1"/>
    <xf numFmtId="0" fontId="10" fillId="2" borderId="26" xfId="0" applyFont="1" applyFill="1" applyBorder="1" applyAlignment="1">
      <alignment horizontal="left"/>
    </xf>
    <xf numFmtId="0" fontId="10" fillId="2" borderId="19" xfId="0" applyFont="1" applyFill="1" applyBorder="1" applyAlignment="1">
      <alignment horizontal="left"/>
    </xf>
    <xf numFmtId="0" fontId="10" fillId="2" borderId="55" xfId="0" applyFont="1" applyFill="1" applyBorder="1" applyAlignment="1">
      <alignment horizontal="left"/>
    </xf>
    <xf numFmtId="0" fontId="10" fillId="2" borderId="54" xfId="0" applyFont="1" applyFill="1" applyBorder="1" applyAlignment="1">
      <alignment horizontal="left"/>
    </xf>
    <xf numFmtId="0" fontId="10" fillId="2" borderId="35" xfId="0" applyFont="1" applyFill="1" applyBorder="1"/>
    <xf numFmtId="0" fontId="38" fillId="2" borderId="35" xfId="0" applyFont="1" applyFill="1" applyBorder="1" applyAlignment="1">
      <alignment horizontal="left"/>
    </xf>
    <xf numFmtId="0" fontId="38" fillId="2" borderId="36" xfId="0" applyFont="1" applyFill="1" applyBorder="1" applyAlignment="1">
      <alignment horizontal="center"/>
    </xf>
    <xf numFmtId="0" fontId="134" fillId="2" borderId="26" xfId="0" applyFont="1" applyFill="1" applyBorder="1"/>
    <xf numFmtId="0" fontId="10" fillId="2" borderId="19" xfId="0" applyFont="1" applyFill="1" applyBorder="1"/>
    <xf numFmtId="0" fontId="10" fillId="2" borderId="0" xfId="0" applyFont="1" applyFill="1" applyBorder="1" applyAlignment="1">
      <alignment vertical="center"/>
    </xf>
    <xf numFmtId="0" fontId="135" fillId="2" borderId="52" xfId="0" applyNumberFormat="1" applyFont="1" applyFill="1" applyBorder="1" applyAlignment="1">
      <alignment horizontal="center" vertical="center"/>
    </xf>
    <xf numFmtId="0" fontId="10" fillId="2" borderId="54" xfId="0" applyFont="1" applyFill="1" applyBorder="1"/>
    <xf numFmtId="0" fontId="135" fillId="2" borderId="0" xfId="0" applyNumberFormat="1" applyFont="1" applyFill="1" applyBorder="1" applyAlignment="1">
      <alignment horizontal="center" vertical="center"/>
    </xf>
    <xf numFmtId="0" fontId="136" fillId="2" borderId="0" xfId="0" applyNumberFormat="1" applyFont="1" applyFill="1" applyBorder="1" applyAlignment="1">
      <alignment horizontal="center" vertical="center"/>
    </xf>
    <xf numFmtId="0" fontId="8" fillId="2" borderId="34" xfId="3" applyFont="1" applyFill="1" applyBorder="1" applyAlignment="1">
      <alignment horizontal="center"/>
    </xf>
    <xf numFmtId="0" fontId="8" fillId="2" borderId="32" xfId="3" applyFont="1" applyFill="1" applyBorder="1" applyAlignment="1">
      <alignment horizontal="center"/>
    </xf>
    <xf numFmtId="0" fontId="8" fillId="2" borderId="0" xfId="3" applyFont="1" applyFill="1" applyBorder="1"/>
    <xf numFmtId="0" fontId="8" fillId="2" borderId="0" xfId="3" applyFont="1" applyFill="1"/>
    <xf numFmtId="0" fontId="8" fillId="2" borderId="0" xfId="3" applyFont="1" applyFill="1" applyBorder="1" applyAlignment="1">
      <alignment horizontal="center"/>
    </xf>
    <xf numFmtId="0" fontId="8" fillId="2" borderId="23" xfId="0" applyFont="1" applyFill="1" applyBorder="1" applyAlignment="1">
      <alignment vertical="top"/>
    </xf>
    <xf numFmtId="0" fontId="8" fillId="2" borderId="0" xfId="0" applyFont="1" applyFill="1" applyBorder="1" applyAlignment="1">
      <alignment vertical="top"/>
    </xf>
    <xf numFmtId="0" fontId="8" fillId="2" borderId="37" xfId="0" applyFont="1" applyFill="1" applyBorder="1" applyAlignment="1">
      <alignment vertical="top"/>
    </xf>
    <xf numFmtId="0" fontId="8" fillId="2" borderId="38" xfId="0" applyFont="1" applyFill="1" applyBorder="1" applyAlignment="1">
      <alignment vertical="top"/>
    </xf>
    <xf numFmtId="0" fontId="0" fillId="2" borderId="38" xfId="0" applyFill="1" applyBorder="1"/>
    <xf numFmtId="1" fontId="129" fillId="13" borderId="52" xfId="0" applyNumberFormat="1" applyFont="1" applyFill="1" applyBorder="1" applyAlignment="1">
      <alignment horizontal="left" vertical="center"/>
    </xf>
    <xf numFmtId="1" fontId="68" fillId="2" borderId="0" xfId="0" applyNumberFormat="1" applyFont="1" applyFill="1" applyBorder="1" applyAlignment="1">
      <alignment horizontal="left"/>
    </xf>
    <xf numFmtId="1" fontId="10" fillId="2" borderId="0" xfId="0" applyNumberFormat="1" applyFont="1" applyFill="1" applyBorder="1" applyAlignment="1">
      <alignment horizontal="center"/>
    </xf>
    <xf numFmtId="1" fontId="54" fillId="2" borderId="0" xfId="0" applyNumberFormat="1" applyFont="1" applyFill="1" applyBorder="1" applyAlignment="1">
      <alignment horizontal="center"/>
    </xf>
    <xf numFmtId="0" fontId="0" fillId="2" borderId="0" xfId="0" applyFont="1" applyFill="1" applyBorder="1" applyAlignment="1">
      <alignment horizontal="center"/>
    </xf>
    <xf numFmtId="1" fontId="10" fillId="2" borderId="0" xfId="1" applyNumberFormat="1" applyFont="1" applyFill="1" applyBorder="1" applyAlignment="1">
      <alignment horizontal="center"/>
    </xf>
    <xf numFmtId="1" fontId="0" fillId="2" borderId="0" xfId="0" applyNumberFormat="1" applyFont="1" applyFill="1" applyBorder="1" applyAlignment="1">
      <alignment horizontal="center"/>
    </xf>
    <xf numFmtId="1" fontId="10" fillId="2" borderId="0" xfId="1" applyNumberFormat="1" applyFont="1" applyFill="1" applyBorder="1"/>
    <xf numFmtId="15" fontId="10" fillId="2" borderId="0" xfId="0" applyNumberFormat="1" applyFont="1" applyFill="1" applyBorder="1"/>
    <xf numFmtId="1" fontId="10" fillId="2" borderId="0" xfId="0" applyNumberFormat="1" applyFont="1" applyFill="1" applyBorder="1"/>
    <xf numFmtId="1" fontId="10" fillId="2" borderId="0" xfId="2" quotePrefix="1" applyNumberFormat="1" applyFont="1" applyFill="1" applyBorder="1" applyAlignment="1">
      <alignment horizontal="left"/>
    </xf>
    <xf numFmtId="1" fontId="68" fillId="2" borderId="52" xfId="0" applyNumberFormat="1" applyFont="1" applyFill="1" applyBorder="1" applyAlignment="1">
      <alignment horizontal="left"/>
    </xf>
    <xf numFmtId="1" fontId="102" fillId="2" borderId="52" xfId="0" applyNumberFormat="1" applyFont="1" applyFill="1" applyBorder="1" applyAlignment="1">
      <alignment vertical="center"/>
    </xf>
    <xf numFmtId="0" fontId="84" fillId="0" borderId="0" xfId="0" applyFont="1"/>
    <xf numFmtId="15" fontId="0" fillId="14" borderId="52" xfId="0" quotePrefix="1" applyNumberFormat="1" applyFill="1" applyBorder="1"/>
    <xf numFmtId="0" fontId="0" fillId="14" borderId="52" xfId="0" applyFill="1" applyBorder="1"/>
    <xf numFmtId="0" fontId="10" fillId="2" borderId="52" xfId="0" quotePrefix="1" applyFont="1" applyFill="1" applyBorder="1" applyAlignment="1">
      <alignment horizontal="center"/>
    </xf>
    <xf numFmtId="0" fontId="0" fillId="0" borderId="0" xfId="0" applyBorder="1" applyAlignment="1">
      <alignment horizontal="center"/>
    </xf>
    <xf numFmtId="14" fontId="10" fillId="2" borderId="52" xfId="0" applyNumberFormat="1" applyFont="1" applyFill="1" applyBorder="1" applyAlignment="1">
      <alignment horizontal="center"/>
    </xf>
    <xf numFmtId="14" fontId="37" fillId="2" borderId="54" xfId="0" quotePrefix="1" applyNumberFormat="1" applyFont="1" applyFill="1" applyBorder="1" applyAlignment="1">
      <alignment horizontal="center" vertical="center" wrapText="1"/>
    </xf>
    <xf numFmtId="0" fontId="93" fillId="11" borderId="52" xfId="0" applyFont="1" applyFill="1" applyBorder="1" applyAlignment="1">
      <alignment horizontal="left" vertical="center" wrapText="1"/>
    </xf>
    <xf numFmtId="0" fontId="64" fillId="11" borderId="52" xfId="0" applyFont="1" applyFill="1" applyBorder="1" applyAlignment="1">
      <alignment horizontal="left" vertical="center" wrapText="1"/>
    </xf>
    <xf numFmtId="0" fontId="91" fillId="11" borderId="52" xfId="0" applyFont="1" applyFill="1" applyBorder="1" applyAlignment="1">
      <alignment horizontal="left" wrapText="1"/>
    </xf>
    <xf numFmtId="0" fontId="115" fillId="11" borderId="52" xfId="0" applyFont="1" applyFill="1" applyBorder="1" applyAlignment="1">
      <alignment wrapText="1"/>
    </xf>
    <xf numFmtId="0" fontId="39" fillId="11" borderId="52" xfId="0" applyFont="1" applyFill="1" applyBorder="1" applyAlignment="1">
      <alignment horizontal="left" wrapText="1"/>
    </xf>
    <xf numFmtId="0" fontId="46" fillId="11" borderId="52" xfId="0" applyFont="1" applyFill="1" applyBorder="1" applyAlignment="1">
      <alignment horizontal="left" vertical="center"/>
    </xf>
    <xf numFmtId="0" fontId="46" fillId="11" borderId="53" xfId="0" applyFont="1" applyFill="1" applyBorder="1" applyAlignment="1">
      <alignment horizontal="left" vertical="center"/>
    </xf>
    <xf numFmtId="0" fontId="131" fillId="11" borderId="52" xfId="0" applyFont="1" applyFill="1" applyBorder="1" applyAlignment="1">
      <alignment horizontal="left"/>
    </xf>
    <xf numFmtId="0" fontId="0" fillId="8" borderId="52" xfId="0" applyFont="1" applyFill="1" applyBorder="1" applyAlignment="1">
      <alignment horizontal="left"/>
    </xf>
    <xf numFmtId="0" fontId="2" fillId="11" borderId="52" xfId="0" applyFont="1" applyFill="1" applyBorder="1" applyAlignment="1">
      <alignment vertical="center"/>
    </xf>
    <xf numFmtId="14" fontId="0" fillId="0" borderId="52" xfId="0" applyNumberFormat="1" applyFont="1" applyFill="1" applyBorder="1" applyAlignment="1">
      <alignment horizontal="left"/>
    </xf>
    <xf numFmtId="0" fontId="39" fillId="2" borderId="0" xfId="0" applyFont="1" applyFill="1" applyBorder="1" applyAlignment="1">
      <alignment vertical="center" wrapText="1"/>
    </xf>
    <xf numFmtId="0" fontId="0" fillId="2" borderId="0" xfId="0" applyFont="1" applyFill="1" applyBorder="1" applyAlignment="1">
      <alignment horizontal="left"/>
    </xf>
    <xf numFmtId="14" fontId="0" fillId="0" borderId="0" xfId="0" applyNumberFormat="1" applyFont="1" applyFill="1" applyBorder="1" applyAlignment="1">
      <alignment horizontal="left"/>
    </xf>
    <xf numFmtId="0" fontId="111" fillId="12" borderId="36" xfId="0" applyFont="1" applyFill="1" applyBorder="1" applyAlignment="1">
      <alignment horizontal="left" wrapText="1"/>
    </xf>
    <xf numFmtId="0" fontId="117" fillId="2" borderId="53" xfId="0" applyFont="1" applyFill="1" applyBorder="1" applyAlignment="1">
      <alignment wrapText="1"/>
    </xf>
    <xf numFmtId="0" fontId="94" fillId="12" borderId="32" xfId="0" applyFont="1" applyFill="1" applyBorder="1" applyAlignment="1">
      <alignment vertical="center" wrapText="1"/>
    </xf>
    <xf numFmtId="168" fontId="84" fillId="2" borderId="52" xfId="0" quotePrefix="1" applyNumberFormat="1" applyFont="1" applyFill="1" applyBorder="1" applyAlignment="1">
      <alignment wrapText="1"/>
    </xf>
    <xf numFmtId="0" fontId="117" fillId="2" borderId="52" xfId="0" applyFont="1" applyFill="1" applyBorder="1" applyAlignment="1">
      <alignment wrapText="1"/>
    </xf>
    <xf numFmtId="0" fontId="0" fillId="8" borderId="0" xfId="0" applyFill="1" applyAlignment="1">
      <alignment horizontal="left"/>
    </xf>
    <xf numFmtId="0" fontId="15" fillId="12" borderId="52" xfId="0" applyFont="1" applyFill="1" applyBorder="1" applyAlignment="1">
      <alignment horizontal="left" vertical="center" wrapText="1"/>
    </xf>
    <xf numFmtId="0" fontId="15" fillId="12" borderId="52" xfId="0" applyFont="1" applyFill="1" applyBorder="1" applyAlignment="1">
      <alignment vertical="center" wrapText="1"/>
    </xf>
    <xf numFmtId="0" fontId="15" fillId="12" borderId="53" xfId="0" applyFont="1" applyFill="1" applyBorder="1" applyAlignment="1">
      <alignment horizontal="left" vertical="center"/>
    </xf>
    <xf numFmtId="0" fontId="95" fillId="12" borderId="52" xfId="0" applyFont="1" applyFill="1" applyBorder="1" applyAlignment="1"/>
    <xf numFmtId="0" fontId="39" fillId="12" borderId="52" xfId="0" applyFont="1" applyFill="1" applyBorder="1" applyAlignment="1">
      <alignment horizontal="left"/>
    </xf>
    <xf numFmtId="1" fontId="100" fillId="2" borderId="52" xfId="1" applyNumberFormat="1" applyFont="1" applyFill="1" applyBorder="1" applyAlignment="1">
      <alignment horizontal="center" wrapText="1"/>
    </xf>
    <xf numFmtId="0" fontId="93" fillId="12" borderId="52" xfId="0" applyFont="1" applyFill="1" applyBorder="1" applyAlignment="1">
      <alignment horizontal="left"/>
    </xf>
    <xf numFmtId="0" fontId="14" fillId="0" borderId="53" xfId="0" applyFont="1" applyFill="1" applyBorder="1" applyAlignment="1">
      <alignment horizontal="left"/>
    </xf>
    <xf numFmtId="0" fontId="133" fillId="2" borderId="52" xfId="0" applyFont="1" applyFill="1" applyBorder="1"/>
    <xf numFmtId="0" fontId="2" fillId="11" borderId="52" xfId="0" quotePrefix="1" applyFont="1" applyFill="1" applyBorder="1" applyAlignment="1">
      <alignment vertical="center"/>
    </xf>
    <xf numFmtId="0" fontId="0" fillId="15" borderId="52" xfId="0" applyFill="1" applyBorder="1"/>
    <xf numFmtId="0" fontId="0" fillId="15" borderId="52" xfId="0" quotePrefix="1" applyFill="1" applyBorder="1"/>
    <xf numFmtId="0" fontId="2" fillId="8" borderId="52" xfId="0" applyFont="1" applyFill="1" applyBorder="1" applyAlignment="1">
      <alignment horizontal="left"/>
    </xf>
    <xf numFmtId="0" fontId="2" fillId="2" borderId="52" xfId="0" applyFont="1" applyFill="1" applyBorder="1" applyAlignment="1">
      <alignment horizontal="left"/>
    </xf>
    <xf numFmtId="1" fontId="96" fillId="2" borderId="52" xfId="0" applyNumberFormat="1" applyFont="1" applyFill="1" applyBorder="1"/>
    <xf numFmtId="1" fontId="14" fillId="2" borderId="55" xfId="0" applyNumberFormat="1" applyFont="1" applyFill="1" applyBorder="1"/>
    <xf numFmtId="0" fontId="14" fillId="2" borderId="55" xfId="0" applyFont="1" applyFill="1" applyBorder="1"/>
    <xf numFmtId="0" fontId="90" fillId="8" borderId="55" xfId="0" applyFont="1" applyFill="1" applyBorder="1" applyAlignment="1"/>
    <xf numFmtId="0" fontId="113" fillId="8" borderId="35" xfId="0" applyFont="1" applyFill="1" applyBorder="1" applyAlignment="1"/>
    <xf numFmtId="0" fontId="14" fillId="8" borderId="55" xfId="0" applyFont="1" applyFill="1" applyBorder="1" applyAlignment="1"/>
    <xf numFmtId="0" fontId="113" fillId="9" borderId="55" xfId="0" applyFont="1" applyFill="1" applyBorder="1" applyAlignment="1"/>
    <xf numFmtId="0" fontId="113" fillId="9" borderId="35" xfId="0" applyFont="1" applyFill="1" applyBorder="1" applyAlignment="1"/>
    <xf numFmtId="0" fontId="132" fillId="2" borderId="55" xfId="0" applyFont="1" applyFill="1" applyBorder="1"/>
    <xf numFmtId="0" fontId="113" fillId="8" borderId="55" xfId="0" applyFont="1" applyFill="1" applyBorder="1" applyAlignment="1"/>
    <xf numFmtId="0" fontId="113" fillId="0" borderId="55" xfId="0" applyFont="1" applyFill="1" applyBorder="1" applyAlignment="1"/>
    <xf numFmtId="1" fontId="73" fillId="2" borderId="54" xfId="1" applyNumberFormat="1" applyFont="1" applyFill="1" applyBorder="1" applyAlignment="1">
      <alignment horizontal="center"/>
    </xf>
    <xf numFmtId="1" fontId="73" fillId="2" borderId="37" xfId="1" applyNumberFormat="1" applyFont="1" applyFill="1" applyBorder="1" applyAlignment="1">
      <alignment horizontal="center"/>
    </xf>
    <xf numFmtId="1" fontId="134" fillId="2" borderId="52" xfId="0" applyNumberFormat="1" applyFont="1" applyFill="1" applyBorder="1" applyAlignment="1">
      <alignment horizontal="right"/>
    </xf>
    <xf numFmtId="1" fontId="137" fillId="2" borderId="52" xfId="1" applyNumberFormat="1" applyFont="1" applyFill="1" applyBorder="1" applyAlignment="1">
      <alignment horizontal="center"/>
    </xf>
    <xf numFmtId="0" fontId="37" fillId="2" borderId="52" xfId="0" applyFont="1" applyFill="1" applyBorder="1" applyAlignment="1">
      <alignment horizontal="right"/>
    </xf>
    <xf numFmtId="1" fontId="37" fillId="2" borderId="52" xfId="0" applyNumberFormat="1" applyFont="1" applyFill="1" applyBorder="1" applyAlignment="1">
      <alignment horizontal="right"/>
    </xf>
    <xf numFmtId="1" fontId="96" fillId="2" borderId="0" xfId="0" applyNumberFormat="1" applyFont="1" applyFill="1" applyAlignment="1">
      <alignment horizontal="right"/>
    </xf>
    <xf numFmtId="1" fontId="73" fillId="2" borderId="52" xfId="1" applyNumberFormat="1" applyFont="1" applyFill="1" applyBorder="1" applyAlignment="1">
      <alignment horizontal="center" vertical="center"/>
    </xf>
    <xf numFmtId="1" fontId="10" fillId="2" borderId="52" xfId="0" applyNumberFormat="1" applyFont="1" applyFill="1" applyBorder="1" applyAlignment="1">
      <alignment horizontal="center" vertical="center"/>
    </xf>
    <xf numFmtId="1" fontId="12" fillId="2" borderId="52" xfId="0" applyNumberFormat="1" applyFont="1" applyFill="1" applyBorder="1" applyAlignment="1">
      <alignment horizontal="center"/>
    </xf>
    <xf numFmtId="1" fontId="37" fillId="2" borderId="52" xfId="0" applyNumberFormat="1" applyFont="1" applyFill="1" applyBorder="1"/>
    <xf numFmtId="0" fontId="37" fillId="2" borderId="52" xfId="0" applyFont="1" applyFill="1" applyBorder="1" applyAlignment="1">
      <alignment horizontal="center"/>
    </xf>
    <xf numFmtId="1" fontId="37" fillId="2" borderId="52" xfId="0" applyNumberFormat="1" applyFont="1" applyFill="1" applyBorder="1" applyAlignment="1">
      <alignment horizontal="center"/>
    </xf>
    <xf numFmtId="0" fontId="10" fillId="2" borderId="35" xfId="0" applyFont="1" applyFill="1" applyBorder="1" applyAlignment="1">
      <alignment horizontal="center"/>
    </xf>
    <xf numFmtId="0" fontId="133" fillId="2" borderId="55" xfId="0" applyFont="1" applyFill="1" applyBorder="1" applyAlignment="1">
      <alignment horizontal="center"/>
    </xf>
    <xf numFmtId="0" fontId="138" fillId="2" borderId="52" xfId="0" applyNumberFormat="1" applyFont="1" applyFill="1" applyBorder="1" applyAlignment="1">
      <alignment horizontal="center" vertical="center"/>
    </xf>
    <xf numFmtId="0" fontId="138" fillId="14" borderId="52" xfId="0" applyNumberFormat="1" applyFont="1" applyFill="1" applyBorder="1" applyAlignment="1">
      <alignment horizontal="center" vertical="center"/>
    </xf>
    <xf numFmtId="0" fontId="97" fillId="14" borderId="52" xfId="0" applyNumberFormat="1" applyFont="1" applyFill="1" applyBorder="1" applyAlignment="1">
      <alignment horizontal="center" vertical="center"/>
    </xf>
    <xf numFmtId="0" fontId="135" fillId="14" borderId="52" xfId="0" applyNumberFormat="1" applyFont="1" applyFill="1" applyBorder="1" applyAlignment="1">
      <alignment horizontal="center" vertical="center"/>
    </xf>
    <xf numFmtId="0" fontId="93" fillId="8" borderId="52" xfId="0" applyFont="1" applyFill="1" applyBorder="1" applyAlignment="1">
      <alignment horizontal="left"/>
    </xf>
    <xf numFmtId="1" fontId="129" fillId="2" borderId="0" xfId="0" applyNumberFormat="1" applyFont="1" applyFill="1" applyBorder="1" applyAlignment="1">
      <alignment horizontal="left" vertical="center"/>
    </xf>
    <xf numFmtId="1" fontId="54" fillId="2" borderId="55" xfId="0" applyNumberFormat="1" applyFont="1" applyFill="1" applyBorder="1" applyAlignment="1">
      <alignment horizontal="center"/>
    </xf>
    <xf numFmtId="15" fontId="10" fillId="2" borderId="54" xfId="0" applyNumberFormat="1" applyFont="1" applyFill="1" applyBorder="1"/>
    <xf numFmtId="1" fontId="73" fillId="12" borderId="52" xfId="1" applyNumberFormat="1" applyFont="1" applyFill="1" applyBorder="1" applyAlignment="1">
      <alignment horizontal="center" vertical="center"/>
    </xf>
    <xf numFmtId="1" fontId="73" fillId="14" borderId="52" xfId="1" applyNumberFormat="1" applyFont="1" applyFill="1" applyBorder="1" applyAlignment="1">
      <alignment horizontal="center" vertical="center"/>
    </xf>
    <xf numFmtId="0" fontId="71" fillId="2" borderId="52" xfId="0" applyFont="1" applyFill="1" applyBorder="1" applyAlignment="1">
      <alignment horizontal="left" wrapText="1"/>
    </xf>
    <xf numFmtId="1" fontId="122" fillId="2" borderId="10" xfId="4" applyNumberFormat="1" applyFont="1" applyFill="1" applyBorder="1" applyAlignment="1">
      <alignment horizontal="left"/>
    </xf>
    <xf numFmtId="1" fontId="141" fillId="2" borderId="10" xfId="0" applyNumberFormat="1" applyFont="1" applyFill="1" applyBorder="1"/>
    <xf numFmtId="14" fontId="0" fillId="8" borderId="52" xfId="0" quotePrefix="1" applyNumberFormat="1" applyFont="1" applyFill="1" applyBorder="1" applyAlignment="1">
      <alignment horizontal="left"/>
    </xf>
    <xf numFmtId="14" fontId="0" fillId="0" borderId="52" xfId="0" quotePrefix="1" applyNumberFormat="1" applyFont="1" applyFill="1" applyBorder="1" applyAlignment="1">
      <alignment horizontal="left"/>
    </xf>
    <xf numFmtId="0" fontId="10" fillId="2" borderId="52" xfId="0" applyFont="1" applyFill="1" applyBorder="1" applyAlignment="1">
      <alignment horizontal="left" wrapText="1"/>
    </xf>
    <xf numFmtId="0" fontId="10" fillId="2" borderId="53" xfId="0" applyFont="1" applyFill="1" applyBorder="1" applyAlignment="1">
      <alignment horizontal="left" wrapText="1"/>
    </xf>
    <xf numFmtId="0" fontId="131" fillId="11" borderId="52" xfId="0" applyFont="1" applyFill="1" applyBorder="1" applyAlignment="1"/>
    <xf numFmtId="14" fontId="10" fillId="2" borderId="52" xfId="0" quotePrefix="1" applyNumberFormat="1" applyFont="1" applyFill="1" applyBorder="1" applyAlignment="1">
      <alignment horizontal="center"/>
    </xf>
    <xf numFmtId="0" fontId="39" fillId="2" borderId="52" xfId="0" applyFont="1" applyFill="1" applyBorder="1" applyAlignment="1">
      <alignment horizontal="center" wrapText="1"/>
    </xf>
    <xf numFmtId="0" fontId="39" fillId="2" borderId="52" xfId="0" applyFont="1" applyFill="1" applyBorder="1" applyAlignment="1">
      <alignment horizontal="center" vertical="center" wrapText="1"/>
    </xf>
    <xf numFmtId="0" fontId="39" fillId="2" borderId="53" xfId="0" applyFont="1" applyFill="1" applyBorder="1" applyAlignment="1">
      <alignment horizontal="center" wrapText="1"/>
    </xf>
    <xf numFmtId="0" fontId="10" fillId="2" borderId="55" xfId="0" applyFont="1" applyFill="1" applyBorder="1"/>
    <xf numFmtId="0" fontId="10" fillId="2" borderId="0" xfId="0" applyFont="1" applyFill="1" applyBorder="1" applyAlignment="1">
      <alignment wrapText="1"/>
    </xf>
    <xf numFmtId="0" fontId="105" fillId="2" borderId="0" xfId="0" applyFont="1" applyFill="1" applyBorder="1" applyAlignment="1">
      <alignment wrapText="1"/>
    </xf>
    <xf numFmtId="0" fontId="102" fillId="2" borderId="0" xfId="0" applyFont="1" applyFill="1" applyBorder="1" applyAlignment="1">
      <alignment vertical="center"/>
    </xf>
    <xf numFmtId="0" fontId="133" fillId="2" borderId="0" xfId="0" applyFont="1" applyFill="1" applyBorder="1"/>
    <xf numFmtId="0" fontId="0" fillId="0" borderId="0" xfId="0" applyFill="1"/>
    <xf numFmtId="0" fontId="0" fillId="0" borderId="29" xfId="0" applyFill="1" applyBorder="1"/>
    <xf numFmtId="0" fontId="0" fillId="0" borderId="0" xfId="0" applyFill="1" applyBorder="1"/>
    <xf numFmtId="0" fontId="0" fillId="0" borderId="30" xfId="0" applyFill="1" applyBorder="1"/>
    <xf numFmtId="0" fontId="0" fillId="0" borderId="52" xfId="0" applyBorder="1" applyAlignment="1">
      <alignment horizontal="center" wrapText="1"/>
    </xf>
    <xf numFmtId="0" fontId="44" fillId="2" borderId="0" xfId="0" applyFont="1" applyFill="1" applyAlignment="1">
      <alignment horizontal="center" vertical="center" wrapText="1"/>
    </xf>
    <xf numFmtId="0" fontId="2" fillId="2" borderId="0" xfId="0" applyFont="1" applyFill="1" applyAlignment="1">
      <alignment horizontal="left"/>
    </xf>
    <xf numFmtId="0" fontId="46" fillId="2" borderId="7" xfId="0" applyFont="1" applyFill="1" applyBorder="1" applyAlignment="1">
      <alignment horizontal="center" vertical="center" wrapText="1"/>
    </xf>
    <xf numFmtId="0" fontId="46" fillId="2" borderId="11" xfId="0" applyFont="1" applyFill="1" applyBorder="1" applyAlignment="1">
      <alignment horizontal="center" vertical="center" wrapText="1"/>
    </xf>
    <xf numFmtId="0" fontId="74" fillId="2" borderId="1" xfId="0" applyFont="1" applyFill="1" applyBorder="1" applyAlignment="1">
      <alignment horizontal="center" vertical="center" wrapText="1"/>
    </xf>
    <xf numFmtId="0" fontId="74" fillId="2" borderId="8" xfId="0" applyFont="1" applyFill="1" applyBorder="1" applyAlignment="1">
      <alignment horizontal="center" vertical="center" wrapText="1"/>
    </xf>
    <xf numFmtId="0" fontId="0" fillId="2" borderId="0" xfId="0" applyFill="1" applyAlignment="1">
      <alignment wrapText="1"/>
    </xf>
    <xf numFmtId="0" fontId="46" fillId="2" borderId="2" xfId="0" applyFont="1" applyFill="1" applyBorder="1" applyAlignment="1">
      <alignment horizontal="center" vertical="center" wrapText="1"/>
    </xf>
    <xf numFmtId="0" fontId="46" fillId="2" borderId="9" xfId="0" applyFont="1" applyFill="1" applyBorder="1" applyAlignment="1">
      <alignment horizontal="center" vertical="center" wrapText="1"/>
    </xf>
    <xf numFmtId="0" fontId="6" fillId="2" borderId="0" xfId="0" applyFont="1" applyFill="1" applyAlignment="1">
      <alignment horizontal="left"/>
    </xf>
    <xf numFmtId="0" fontId="8" fillId="2" borderId="0" xfId="0" applyFont="1" applyFill="1" applyAlignment="1">
      <alignment horizontal="left" wrapText="1"/>
    </xf>
    <xf numFmtId="0" fontId="10" fillId="2" borderId="0" xfId="0" applyFont="1" applyFill="1" applyAlignment="1">
      <alignment horizontal="left"/>
    </xf>
    <xf numFmtId="0" fontId="38" fillId="2" borderId="2" xfId="0" applyFont="1" applyFill="1" applyBorder="1" applyAlignment="1">
      <alignment horizontal="center" vertical="center" wrapText="1"/>
    </xf>
    <xf numFmtId="0" fontId="38" fillId="2" borderId="12" xfId="0" applyFont="1" applyFill="1" applyBorder="1" applyAlignment="1">
      <alignment horizontal="center" vertical="center" wrapText="1"/>
    </xf>
    <xf numFmtId="0" fontId="126" fillId="2" borderId="2" xfId="0" applyFont="1" applyFill="1" applyBorder="1" applyAlignment="1">
      <alignment horizontal="right" vertical="center" wrapText="1"/>
    </xf>
    <xf numFmtId="0" fontId="126" fillId="2" borderId="12" xfId="0" applyFont="1" applyFill="1" applyBorder="1" applyAlignment="1">
      <alignment horizontal="right" vertical="center" wrapText="1"/>
    </xf>
    <xf numFmtId="0" fontId="37" fillId="2" borderId="2" xfId="0" applyFont="1" applyFill="1" applyBorder="1" applyAlignment="1">
      <alignment horizontal="right" vertical="top"/>
    </xf>
    <xf numFmtId="0" fontId="37" fillId="2" borderId="12" xfId="0" applyFont="1" applyFill="1" applyBorder="1" applyAlignment="1">
      <alignment horizontal="right" vertical="top"/>
    </xf>
    <xf numFmtId="0" fontId="37" fillId="2" borderId="2" xfId="0" applyFont="1" applyFill="1" applyBorder="1" applyAlignment="1">
      <alignment horizontal="center" vertical="center" wrapText="1"/>
    </xf>
    <xf numFmtId="0" fontId="37" fillId="2" borderId="12" xfId="0" applyFont="1" applyFill="1" applyBorder="1" applyAlignment="1">
      <alignment horizontal="center" vertical="center" wrapText="1"/>
    </xf>
    <xf numFmtId="0" fontId="38" fillId="2" borderId="9" xfId="0" applyFont="1" applyFill="1" applyBorder="1" applyAlignment="1">
      <alignment horizontal="center" vertical="center" wrapText="1"/>
    </xf>
    <xf numFmtId="0" fontId="37" fillId="2" borderId="1" xfId="0" applyFont="1" applyFill="1" applyBorder="1" applyAlignment="1">
      <alignment horizontal="center" vertical="center" wrapText="1"/>
    </xf>
    <xf numFmtId="0" fontId="37" fillId="2" borderId="8" xfId="0" applyFont="1" applyFill="1" applyBorder="1" applyAlignment="1">
      <alignment horizontal="center" vertical="center" wrapText="1"/>
    </xf>
    <xf numFmtId="0" fontId="38" fillId="2" borderId="0" xfId="0" applyFont="1" applyFill="1" applyAlignment="1">
      <alignment horizontal="right" vertical="center" wrapText="1"/>
    </xf>
    <xf numFmtId="0" fontId="38" fillId="2" borderId="0" xfId="0" applyFont="1" applyFill="1" applyAlignment="1">
      <alignment horizontal="left"/>
    </xf>
    <xf numFmtId="0" fontId="38" fillId="2" borderId="0" xfId="0" applyFont="1" applyFill="1" applyAlignment="1">
      <alignment horizontal="center" wrapText="1"/>
    </xf>
    <xf numFmtId="0" fontId="114" fillId="2" borderId="25" xfId="0" applyFont="1" applyFill="1" applyBorder="1" applyAlignment="1">
      <alignment horizontal="center" vertical="center" wrapText="1"/>
    </xf>
    <xf numFmtId="0" fontId="114" fillId="2" borderId="19" xfId="0" applyFont="1" applyFill="1" applyBorder="1" applyAlignment="1">
      <alignment horizontal="center" vertical="center" wrapText="1"/>
    </xf>
    <xf numFmtId="0" fontId="38" fillId="2" borderId="7" xfId="0" applyFont="1" applyFill="1" applyBorder="1" applyAlignment="1">
      <alignment horizontal="center" vertical="center" wrapText="1"/>
    </xf>
    <xf numFmtId="0" fontId="38" fillId="2" borderId="60" xfId="0" applyFont="1" applyFill="1" applyBorder="1" applyAlignment="1">
      <alignment horizontal="center" vertical="center" wrapText="1"/>
    </xf>
    <xf numFmtId="0" fontId="37" fillId="2" borderId="3" xfId="0" applyFont="1" applyFill="1" applyBorder="1" applyAlignment="1">
      <alignment horizontal="center" vertical="center" wrapText="1"/>
    </xf>
    <xf numFmtId="0" fontId="37" fillId="2" borderId="23" xfId="0" applyFont="1" applyFill="1" applyBorder="1" applyAlignment="1">
      <alignment horizontal="center" vertical="center"/>
    </xf>
    <xf numFmtId="0" fontId="114" fillId="2" borderId="3" xfId="0" applyFont="1" applyFill="1" applyBorder="1" applyAlignment="1">
      <alignment horizontal="center" vertical="center" wrapText="1"/>
    </xf>
    <xf numFmtId="0" fontId="114" fillId="2" borderId="23" xfId="0" applyFont="1" applyFill="1" applyBorder="1" applyAlignment="1">
      <alignment horizontal="center" vertical="center"/>
    </xf>
    <xf numFmtId="0" fontId="39" fillId="2" borderId="2" xfId="0" applyFont="1" applyFill="1" applyBorder="1" applyAlignment="1">
      <alignment horizontal="right" vertical="center" wrapText="1"/>
    </xf>
    <xf numFmtId="0" fontId="39" fillId="2" borderId="12" xfId="0" applyFont="1" applyFill="1" applyBorder="1" applyAlignment="1">
      <alignment horizontal="right" vertical="center" wrapText="1"/>
    </xf>
    <xf numFmtId="0" fontId="38" fillId="2" borderId="2" xfId="0" applyFont="1" applyFill="1" applyBorder="1" applyAlignment="1">
      <alignment horizontal="right" vertical="center" wrapText="1"/>
    </xf>
    <xf numFmtId="0" fontId="38" fillId="2" borderId="12" xfId="0" applyFont="1" applyFill="1" applyBorder="1" applyAlignment="1">
      <alignment horizontal="right" vertical="center" wrapText="1"/>
    </xf>
    <xf numFmtId="0" fontId="41" fillId="2" borderId="26" xfId="0" applyFont="1" applyFill="1" applyBorder="1" applyAlignment="1">
      <alignment horizontal="center" vertical="top" wrapText="1"/>
    </xf>
    <xf numFmtId="0" fontId="41" fillId="2" borderId="0" xfId="0" applyFont="1" applyFill="1" applyBorder="1" applyAlignment="1">
      <alignment horizontal="center" vertical="top" wrapText="1"/>
    </xf>
    <xf numFmtId="165" fontId="38" fillId="0" borderId="0" xfId="0" applyNumberFormat="1" applyFont="1" applyBorder="1" applyAlignment="1">
      <alignment horizontal="left" vertical="center" wrapText="1"/>
    </xf>
    <xf numFmtId="165" fontId="38" fillId="0" borderId="30" xfId="0" applyNumberFormat="1" applyFont="1" applyBorder="1" applyAlignment="1">
      <alignment horizontal="left" vertical="center" wrapText="1"/>
    </xf>
    <xf numFmtId="0" fontId="40" fillId="2" borderId="29" xfId="0" applyFont="1" applyFill="1" applyBorder="1" applyAlignment="1">
      <alignment horizontal="left" vertical="top" wrapText="1"/>
    </xf>
    <xf numFmtId="0" fontId="40" fillId="2" borderId="0" xfId="0" applyFont="1" applyFill="1" applyBorder="1" applyAlignment="1">
      <alignment horizontal="left" vertical="top" wrapText="1"/>
    </xf>
    <xf numFmtId="0" fontId="0" fillId="2" borderId="29" xfId="0" applyFill="1" applyBorder="1" applyAlignment="1">
      <alignment horizontal="justify" vertical="top" wrapText="1"/>
    </xf>
    <xf numFmtId="0" fontId="0" fillId="2" borderId="0" xfId="0" applyFill="1" applyBorder="1" applyAlignment="1">
      <alignment horizontal="justify" vertical="top" wrapText="1"/>
    </xf>
    <xf numFmtId="0" fontId="0" fillId="2" borderId="29" xfId="0" applyFill="1" applyBorder="1" applyAlignment="1">
      <alignment horizontal="center" vertical="top" wrapText="1"/>
    </xf>
    <xf numFmtId="0" fontId="0" fillId="2" borderId="0" xfId="0" applyFill="1" applyBorder="1" applyAlignment="1">
      <alignment horizontal="center" vertical="top" wrapText="1"/>
    </xf>
    <xf numFmtId="164" fontId="37" fillId="2" borderId="0" xfId="0" applyNumberFormat="1" applyFont="1" applyFill="1" applyBorder="1" applyAlignment="1">
      <alignment horizontal="center" vertical="top" wrapText="1"/>
    </xf>
    <xf numFmtId="0" fontId="43" fillId="2" borderId="27" xfId="0" applyFont="1" applyFill="1" applyBorder="1" applyAlignment="1">
      <alignment horizontal="center" vertical="top" wrapText="1"/>
    </xf>
    <xf numFmtId="0" fontId="43" fillId="2" borderId="15" xfId="0" applyFont="1" applyFill="1" applyBorder="1" applyAlignment="1">
      <alignment horizontal="center" vertical="top" wrapText="1"/>
    </xf>
    <xf numFmtId="0" fontId="43" fillId="2" borderId="28" xfId="0" applyFont="1" applyFill="1" applyBorder="1" applyAlignment="1">
      <alignment horizontal="center" vertical="top" wrapText="1"/>
    </xf>
    <xf numFmtId="0" fontId="35" fillId="2" borderId="29" xfId="0" applyFont="1" applyFill="1" applyBorder="1" applyAlignment="1">
      <alignment horizontal="center" vertical="top" wrapText="1"/>
    </xf>
    <xf numFmtId="0" fontId="35" fillId="2" borderId="0" xfId="0" applyFont="1" applyFill="1" applyBorder="1" applyAlignment="1">
      <alignment horizontal="center" vertical="top" wrapText="1"/>
    </xf>
    <xf numFmtId="0" fontId="35" fillId="2" borderId="30" xfId="0" applyFont="1" applyFill="1" applyBorder="1" applyAlignment="1">
      <alignment horizontal="center" vertical="top" wrapText="1"/>
    </xf>
    <xf numFmtId="0" fontId="40" fillId="2" borderId="29" xfId="0" applyFont="1" applyFill="1" applyBorder="1" applyAlignment="1">
      <alignment horizontal="center" vertical="top" wrapText="1"/>
    </xf>
    <xf numFmtId="0" fontId="40" fillId="2" borderId="0" xfId="0" applyFont="1" applyFill="1" applyBorder="1" applyAlignment="1">
      <alignment horizontal="center" vertical="top" wrapText="1"/>
    </xf>
    <xf numFmtId="0" fontId="40" fillId="2" borderId="30" xfId="0" applyFont="1" applyFill="1" applyBorder="1" applyAlignment="1">
      <alignment horizontal="center" vertical="top" wrapText="1"/>
    </xf>
    <xf numFmtId="0" fontId="9" fillId="2" borderId="32" xfId="3" applyFont="1" applyFill="1" applyBorder="1" applyAlignment="1">
      <alignment horizontal="center" vertical="center"/>
    </xf>
    <xf numFmtId="0" fontId="9" fillId="2" borderId="33" xfId="3" applyFont="1" applyFill="1" applyBorder="1" applyAlignment="1">
      <alignment horizontal="center" vertical="center"/>
    </xf>
    <xf numFmtId="0" fontId="10" fillId="2" borderId="63" xfId="0" applyFont="1" applyFill="1" applyBorder="1" applyAlignment="1">
      <alignment horizontal="center" wrapText="1"/>
    </xf>
    <xf numFmtId="0" fontId="10" fillId="2" borderId="56" xfId="0" applyFont="1" applyFill="1" applyBorder="1" applyAlignment="1">
      <alignment horizontal="center"/>
    </xf>
    <xf numFmtId="0" fontId="10" fillId="2" borderId="46" xfId="0" applyFont="1" applyFill="1" applyBorder="1" applyAlignment="1">
      <alignment horizontal="center"/>
    </xf>
    <xf numFmtId="0" fontId="38" fillId="2" borderId="63" xfId="0" applyFont="1" applyFill="1" applyBorder="1" applyAlignment="1">
      <alignment horizontal="left"/>
    </xf>
    <xf numFmtId="0" fontId="38" fillId="2" borderId="56" xfId="0" applyFont="1" applyFill="1" applyBorder="1" applyAlignment="1">
      <alignment horizontal="left"/>
    </xf>
    <xf numFmtId="0" fontId="38" fillId="2" borderId="54" xfId="0" applyFont="1" applyFill="1" applyBorder="1" applyAlignment="1">
      <alignment horizontal="left"/>
    </xf>
    <xf numFmtId="0" fontId="38" fillId="2" borderId="61" xfId="0" applyFont="1" applyFill="1" applyBorder="1" applyAlignment="1">
      <alignment horizontal="left" vertical="center" wrapText="1"/>
    </xf>
    <xf numFmtId="0" fontId="38" fillId="2" borderId="36" xfId="0" applyFont="1" applyFill="1" applyBorder="1" applyAlignment="1">
      <alignment horizontal="left" vertical="center" wrapText="1"/>
    </xf>
    <xf numFmtId="0" fontId="38" fillId="2" borderId="37" xfId="0" applyFont="1" applyFill="1" applyBorder="1" applyAlignment="1">
      <alignment horizontal="left" vertical="center" wrapText="1"/>
    </xf>
    <xf numFmtId="0" fontId="38" fillId="2" borderId="62" xfId="0" applyFont="1" applyFill="1" applyBorder="1" applyAlignment="1">
      <alignment horizontal="left" vertical="center" wrapText="1"/>
    </xf>
    <xf numFmtId="0" fontId="38" fillId="2" borderId="26" xfId="0" applyFont="1" applyFill="1" applyBorder="1" applyAlignment="1">
      <alignment horizontal="left" vertical="center" wrapText="1"/>
    </xf>
    <xf numFmtId="0" fontId="38" fillId="2" borderId="19" xfId="0" applyFont="1" applyFill="1" applyBorder="1" applyAlignment="1">
      <alignment horizontal="left" vertical="center" wrapText="1"/>
    </xf>
    <xf numFmtId="17" fontId="38" fillId="2" borderId="53" xfId="0" applyNumberFormat="1" applyFont="1" applyFill="1" applyBorder="1" applyAlignment="1">
      <alignment horizontal="center" vertical="center"/>
    </xf>
    <xf numFmtId="17" fontId="38" fillId="2" borderId="9" xfId="0" applyNumberFormat="1" applyFont="1" applyFill="1" applyBorder="1" applyAlignment="1">
      <alignment horizontal="center" vertical="center"/>
    </xf>
    <xf numFmtId="0" fontId="38" fillId="2" borderId="35" xfId="0" applyFont="1" applyFill="1" applyBorder="1" applyAlignment="1">
      <alignment horizontal="left" vertical="center" wrapText="1"/>
    </xf>
    <xf numFmtId="0" fontId="38" fillId="2" borderId="14" xfId="0" applyFont="1" applyFill="1" applyBorder="1" applyAlignment="1">
      <alignment horizontal="left" vertical="center" wrapText="1"/>
    </xf>
    <xf numFmtId="0" fontId="38" fillId="2" borderId="49" xfId="0" applyFont="1" applyFill="1" applyBorder="1" applyAlignment="1">
      <alignment horizontal="center" vertical="center"/>
    </xf>
    <xf numFmtId="0" fontId="38" fillId="2" borderId="8" xfId="0" applyFont="1" applyFill="1" applyBorder="1" applyAlignment="1">
      <alignment horizontal="center" vertical="center"/>
    </xf>
    <xf numFmtId="0" fontId="38" fillId="2" borderId="53" xfId="0" applyFont="1" applyFill="1" applyBorder="1" applyAlignment="1">
      <alignment horizontal="center" vertical="center" wrapText="1"/>
    </xf>
    <xf numFmtId="0" fontId="38" fillId="2" borderId="9" xfId="0" applyFont="1" applyFill="1" applyBorder="1" applyAlignment="1">
      <alignment horizontal="center" vertical="center"/>
    </xf>
    <xf numFmtId="0" fontId="15" fillId="2" borderId="52" xfId="0" applyFont="1" applyFill="1" applyBorder="1" applyAlignment="1">
      <alignment horizontal="center" vertical="center" wrapText="1"/>
    </xf>
    <xf numFmtId="0" fontId="9" fillId="2" borderId="52" xfId="0" applyFont="1" applyFill="1" applyBorder="1" applyAlignment="1">
      <alignment horizontal="center" vertical="center" wrapText="1"/>
    </xf>
    <xf numFmtId="0" fontId="22" fillId="0" borderId="13" xfId="0" applyFont="1" applyBorder="1" applyAlignment="1">
      <alignment horizontal="center" vertical="center"/>
    </xf>
    <xf numFmtId="0" fontId="22" fillId="0" borderId="48" xfId="0" applyFont="1" applyBorder="1" applyAlignment="1">
      <alignment horizontal="center" vertical="center"/>
    </xf>
    <xf numFmtId="0" fontId="22" fillId="0" borderId="52" xfId="0" applyFont="1" applyBorder="1" applyAlignment="1">
      <alignment horizontal="center" vertical="center"/>
    </xf>
    <xf numFmtId="0" fontId="22" fillId="0" borderId="43" xfId="0" applyFont="1" applyBorder="1" applyAlignment="1">
      <alignment horizontal="center" vertical="center"/>
    </xf>
    <xf numFmtId="0" fontId="8" fillId="0" borderId="52" xfId="0" applyFont="1" applyBorder="1" applyAlignment="1">
      <alignment horizontal="center" vertical="top"/>
    </xf>
    <xf numFmtId="0" fontId="8" fillId="0" borderId="43" xfId="0" applyFont="1" applyBorder="1" applyAlignment="1">
      <alignment horizontal="center" vertical="top"/>
    </xf>
    <xf numFmtId="0" fontId="8" fillId="0" borderId="52" xfId="0" applyFont="1" applyBorder="1" applyAlignment="1">
      <alignment horizontal="center" vertical="center"/>
    </xf>
    <xf numFmtId="0" fontId="9" fillId="3" borderId="9" xfId="0" applyNumberFormat="1" applyFont="1" applyFill="1" applyBorder="1" applyAlignment="1" applyProtection="1">
      <alignment horizontal="center" vertical="top" wrapText="1"/>
    </xf>
    <xf numFmtId="0" fontId="9" fillId="3" borderId="52" xfId="0" applyNumberFormat="1" applyFont="1" applyFill="1" applyBorder="1" applyAlignment="1" applyProtection="1">
      <alignment horizontal="center" vertical="top" wrapText="1"/>
    </xf>
    <xf numFmtId="0" fontId="9" fillId="3" borderId="23" xfId="0" applyNumberFormat="1" applyFont="1" applyFill="1" applyBorder="1" applyAlignment="1" applyProtection="1">
      <alignment horizontal="center" vertical="top" wrapText="1"/>
    </xf>
    <xf numFmtId="0" fontId="9" fillId="3" borderId="38" xfId="0" applyNumberFormat="1" applyFont="1" applyFill="1" applyBorder="1" applyAlignment="1" applyProtection="1">
      <alignment horizontal="center" vertical="top" wrapText="1"/>
    </xf>
    <xf numFmtId="0" fontId="9" fillId="3" borderId="14" xfId="0" applyNumberFormat="1" applyFont="1" applyFill="1" applyBorder="1" applyAlignment="1" applyProtection="1">
      <alignment horizontal="center" vertical="top" wrapText="1"/>
    </xf>
    <xf numFmtId="0" fontId="9" fillId="3" borderId="19" xfId="0" applyNumberFormat="1" applyFont="1" applyFill="1" applyBorder="1" applyAlignment="1" applyProtection="1">
      <alignment horizontal="center" vertical="top" wrapText="1"/>
    </xf>
    <xf numFmtId="0" fontId="9" fillId="3" borderId="12" xfId="0" applyNumberFormat="1" applyFont="1" applyFill="1" applyBorder="1" applyAlignment="1" applyProtection="1">
      <alignment horizontal="center" vertical="top" wrapText="1"/>
    </xf>
    <xf numFmtId="0" fontId="9" fillId="3" borderId="0" xfId="0" applyNumberFormat="1" applyFont="1" applyFill="1" applyBorder="1" applyAlignment="1" applyProtection="1">
      <alignment horizontal="center" vertical="top" wrapText="1"/>
    </xf>
    <xf numFmtId="0" fontId="9" fillId="3" borderId="29" xfId="0" applyNumberFormat="1" applyFont="1" applyFill="1" applyBorder="1" applyAlignment="1" applyProtection="1">
      <alignment horizontal="center" vertical="top" wrapText="1"/>
    </xf>
    <xf numFmtId="0" fontId="9" fillId="3" borderId="30" xfId="0" applyNumberFormat="1" applyFont="1" applyFill="1" applyBorder="1" applyAlignment="1" applyProtection="1">
      <alignment horizontal="center" vertical="top" wrapText="1"/>
    </xf>
    <xf numFmtId="0" fontId="9" fillId="3" borderId="34" xfId="0" applyNumberFormat="1" applyFont="1" applyFill="1" applyBorder="1" applyAlignment="1" applyProtection="1">
      <alignment horizontal="center" vertical="top" wrapText="1"/>
    </xf>
    <xf numFmtId="0" fontId="9" fillId="3" borderId="32" xfId="0" applyNumberFormat="1" applyFont="1" applyFill="1" applyBorder="1" applyAlignment="1" applyProtection="1">
      <alignment horizontal="center" vertical="top" wrapText="1"/>
    </xf>
    <xf numFmtId="0" fontId="9" fillId="3" borderId="33" xfId="0" applyNumberFormat="1" applyFont="1" applyFill="1" applyBorder="1" applyAlignment="1" applyProtection="1">
      <alignment horizontal="center" vertical="top" wrapText="1"/>
    </xf>
    <xf numFmtId="0" fontId="9" fillId="3" borderId="58" xfId="0" applyNumberFormat="1" applyFont="1" applyFill="1" applyBorder="1" applyAlignment="1" applyProtection="1">
      <alignment horizontal="center" vertical="top" wrapText="1"/>
    </xf>
    <xf numFmtId="0" fontId="9" fillId="3" borderId="59" xfId="0" applyNumberFormat="1" applyFont="1" applyFill="1" applyBorder="1" applyAlignment="1" applyProtection="1">
      <alignment horizontal="center" vertical="top" wrapText="1"/>
    </xf>
    <xf numFmtId="0" fontId="8" fillId="0" borderId="52" xfId="0" applyFont="1" applyBorder="1" applyAlignment="1">
      <alignment horizontal="left" vertical="top"/>
    </xf>
    <xf numFmtId="0" fontId="2" fillId="2" borderId="2"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8" xfId="0" applyFont="1" applyFill="1" applyBorder="1" applyAlignment="1">
      <alignment horizontal="center" vertical="center"/>
    </xf>
    <xf numFmtId="0" fontId="0" fillId="0" borderId="29" xfId="0" applyBorder="1" applyAlignment="1">
      <alignment horizontal="center" wrapText="1"/>
    </xf>
    <xf numFmtId="0" fontId="0" fillId="0" borderId="0" xfId="0" applyBorder="1" applyAlignment="1">
      <alignment horizontal="center"/>
    </xf>
    <xf numFmtId="0" fontId="0" fillId="0" borderId="30" xfId="0" applyBorder="1" applyAlignment="1">
      <alignment horizontal="center"/>
    </xf>
    <xf numFmtId="0" fontId="2" fillId="0" borderId="29" xfId="0" applyFont="1" applyBorder="1" applyAlignment="1">
      <alignment horizontal="left"/>
    </xf>
    <xf numFmtId="0" fontId="2" fillId="0" borderId="0" xfId="0" applyFont="1" applyBorder="1" applyAlignment="1">
      <alignment horizontal="left"/>
    </xf>
    <xf numFmtId="0" fontId="2" fillId="0" borderId="0" xfId="0" applyFont="1" applyBorder="1" applyAlignment="1">
      <alignment horizontal="center" wrapText="1"/>
    </xf>
    <xf numFmtId="0" fontId="2" fillId="0" borderId="30" xfId="0" applyFont="1" applyBorder="1" applyAlignment="1">
      <alignment horizont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0" borderId="50" xfId="0" applyFont="1" applyBorder="1" applyAlignment="1">
      <alignment horizontal="left" vertical="center"/>
    </xf>
    <xf numFmtId="0" fontId="2" fillId="0" borderId="52" xfId="0" applyFont="1" applyBorder="1" applyAlignment="1">
      <alignment horizontal="left" vertical="center"/>
    </xf>
    <xf numFmtId="0" fontId="2" fillId="0" borderId="52" xfId="0" applyFont="1" applyBorder="1" applyAlignment="1">
      <alignment horizontal="center" vertical="center"/>
    </xf>
    <xf numFmtId="0" fontId="2" fillId="0" borderId="43" xfId="0" applyFont="1" applyBorder="1" applyAlignment="1">
      <alignment horizontal="center" vertical="center"/>
    </xf>
    <xf numFmtId="0" fontId="2" fillId="0" borderId="50" xfId="0" applyFont="1" applyBorder="1" applyAlignment="1">
      <alignment horizontal="left" vertical="center" wrapText="1"/>
    </xf>
    <xf numFmtId="0" fontId="2" fillId="0" borderId="52" xfId="0" applyFont="1" applyBorder="1" applyAlignment="1">
      <alignment horizontal="left" vertical="center" wrapText="1"/>
    </xf>
    <xf numFmtId="1" fontId="2" fillId="0" borderId="9" xfId="0" applyNumberFormat="1" applyFont="1" applyBorder="1" applyAlignment="1">
      <alignment horizontal="center" vertical="center"/>
    </xf>
    <xf numFmtId="0" fontId="2" fillId="0" borderId="9" xfId="0" applyFont="1" applyBorder="1" applyAlignment="1">
      <alignment horizontal="center" vertical="center"/>
    </xf>
    <xf numFmtId="0" fontId="2" fillId="0" borderId="11" xfId="0" applyFont="1" applyBorder="1" applyAlignment="1">
      <alignment horizontal="center" vertical="center"/>
    </xf>
    <xf numFmtId="1" fontId="2" fillId="0" borderId="52" xfId="0" applyNumberFormat="1" applyFont="1" applyBorder="1" applyAlignment="1">
      <alignment horizontal="center" vertical="center"/>
    </xf>
    <xf numFmtId="14" fontId="2" fillId="0" borderId="53" xfId="0" applyNumberFormat="1" applyFont="1" applyBorder="1" applyAlignment="1">
      <alignment horizontal="center" vertical="center"/>
    </xf>
    <xf numFmtId="14" fontId="2" fillId="0" borderId="44" xfId="0" applyNumberFormat="1" applyFont="1" applyBorder="1" applyAlignment="1">
      <alignment horizontal="center" vertical="center"/>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1" fontId="2" fillId="0" borderId="11" xfId="0" applyNumberFormat="1" applyFont="1" applyBorder="1" applyAlignment="1">
      <alignment horizontal="center" vertical="center"/>
    </xf>
    <xf numFmtId="17" fontId="2" fillId="0" borderId="52" xfId="0" applyNumberFormat="1" applyFont="1" applyBorder="1" applyAlignment="1">
      <alignment horizontal="center" vertical="center"/>
    </xf>
    <xf numFmtId="0" fontId="24" fillId="0" borderId="29" xfId="0" applyFont="1" applyBorder="1" applyAlignment="1">
      <alignment horizontal="center"/>
    </xf>
    <xf numFmtId="0" fontId="24" fillId="0" borderId="0" xfId="0" applyFont="1" applyBorder="1" applyAlignment="1">
      <alignment horizontal="center"/>
    </xf>
    <xf numFmtId="0" fontId="24" fillId="0" borderId="30" xfId="0" applyFont="1" applyBorder="1" applyAlignment="1">
      <alignment horizontal="center"/>
    </xf>
    <xf numFmtId="0" fontId="5" fillId="0" borderId="34" xfId="0" applyFont="1" applyBorder="1" applyAlignment="1">
      <alignment horizontal="center"/>
    </xf>
    <xf numFmtId="0" fontId="5" fillId="0" borderId="32" xfId="0" applyFont="1" applyBorder="1" applyAlignment="1">
      <alignment horizontal="center"/>
    </xf>
    <xf numFmtId="0" fontId="5" fillId="0" borderId="33" xfId="0" applyFont="1" applyBorder="1" applyAlignment="1">
      <alignment horizontal="center"/>
    </xf>
    <xf numFmtId="0" fontId="2" fillId="0" borderId="27" xfId="0" applyFont="1" applyBorder="1" applyAlignment="1">
      <alignment horizontal="left" vertical="top"/>
    </xf>
    <xf numFmtId="0" fontId="2" fillId="0" borderId="15" xfId="0" applyFont="1" applyBorder="1" applyAlignment="1">
      <alignment horizontal="left" vertical="top"/>
    </xf>
    <xf numFmtId="0" fontId="2" fillId="0" borderId="34" xfId="0" applyFont="1" applyBorder="1" applyAlignment="1">
      <alignment horizontal="left" vertical="top"/>
    </xf>
    <xf numFmtId="0" fontId="2" fillId="0" borderId="32" xfId="0" applyFont="1" applyBorder="1" applyAlignment="1">
      <alignment horizontal="left" vertical="top"/>
    </xf>
    <xf numFmtId="0" fontId="2" fillId="0" borderId="15" xfId="0" applyFont="1" applyBorder="1" applyAlignment="1">
      <alignment horizontal="left" vertical="center" wrapText="1"/>
    </xf>
    <xf numFmtId="0" fontId="2" fillId="0" borderId="28" xfId="0" applyFont="1" applyBorder="1" applyAlignment="1">
      <alignment horizontal="left" vertical="center" wrapText="1"/>
    </xf>
    <xf numFmtId="0" fontId="2" fillId="0" borderId="32" xfId="0" applyFont="1" applyBorder="1" applyAlignment="1">
      <alignment horizontal="left" vertical="center" wrapText="1"/>
    </xf>
    <xf numFmtId="0" fontId="2" fillId="0" borderId="33" xfId="0" applyFont="1" applyBorder="1" applyAlignment="1">
      <alignment horizontal="left" vertical="center" wrapText="1"/>
    </xf>
    <xf numFmtId="0" fontId="2" fillId="0" borderId="30" xfId="0" applyFont="1" applyBorder="1" applyAlignment="1">
      <alignment horizontal="left"/>
    </xf>
    <xf numFmtId="0" fontId="2" fillId="0" borderId="55" xfId="0" applyFont="1" applyBorder="1" applyAlignment="1">
      <alignment horizontal="left" vertical="center"/>
    </xf>
    <xf numFmtId="0" fontId="2" fillId="0" borderId="63" xfId="0" applyFont="1" applyBorder="1" applyAlignment="1">
      <alignment horizontal="center" vertical="center"/>
    </xf>
    <xf numFmtId="0" fontId="2" fillId="0" borderId="56" xfId="0" applyFont="1" applyBorder="1" applyAlignment="1">
      <alignment horizontal="center" vertical="center"/>
    </xf>
    <xf numFmtId="1" fontId="56" fillId="0" borderId="52" xfId="0" applyNumberFormat="1" applyFont="1" applyBorder="1" applyAlignment="1">
      <alignment horizontal="center" vertical="center" wrapText="1"/>
    </xf>
    <xf numFmtId="0" fontId="23" fillId="0" borderId="27" xfId="0" applyFont="1" applyBorder="1" applyAlignment="1">
      <alignment horizontal="center"/>
    </xf>
    <xf numFmtId="0" fontId="23" fillId="0" borderId="15" xfId="0" applyFont="1" applyBorder="1" applyAlignment="1">
      <alignment horizontal="center"/>
    </xf>
    <xf numFmtId="0" fontId="23" fillId="0" borderId="28" xfId="0" applyFont="1" applyBorder="1" applyAlignment="1">
      <alignment horizontal="center"/>
    </xf>
    <xf numFmtId="0" fontId="2" fillId="0" borderId="53" xfId="0" applyFont="1" applyBorder="1" applyAlignment="1">
      <alignment horizontal="center" vertical="center"/>
    </xf>
    <xf numFmtId="0" fontId="2" fillId="0" borderId="44" xfId="0" applyFont="1" applyBorder="1" applyAlignment="1">
      <alignment horizontal="center" vertical="center"/>
    </xf>
    <xf numFmtId="1" fontId="74" fillId="0" borderId="52" xfId="0" applyNumberFormat="1" applyFont="1" applyBorder="1" applyAlignment="1">
      <alignment horizontal="center" vertical="center" wrapText="1"/>
    </xf>
    <xf numFmtId="0" fontId="23" fillId="0" borderId="16" xfId="0" applyFont="1" applyBorder="1" applyAlignment="1">
      <alignment horizontal="center"/>
    </xf>
    <xf numFmtId="0" fontId="23" fillId="0" borderId="17" xfId="0" applyFont="1" applyBorder="1" applyAlignment="1">
      <alignment horizontal="center"/>
    </xf>
    <xf numFmtId="0" fontId="23" fillId="0" borderId="18" xfId="0" applyFont="1" applyBorder="1" applyAlignment="1">
      <alignment horizontal="center"/>
    </xf>
    <xf numFmtId="0" fontId="8" fillId="0" borderId="0" xfId="0" applyFont="1" applyAlignment="1">
      <alignment horizontal="left"/>
    </xf>
    <xf numFmtId="0" fontId="0" fillId="0" borderId="32" xfId="0" applyBorder="1" applyAlignment="1">
      <alignment horizontal="center"/>
    </xf>
    <xf numFmtId="0" fontId="0" fillId="0" borderId="33" xfId="0" applyBorder="1" applyAlignment="1">
      <alignment horizontal="center"/>
    </xf>
    <xf numFmtId="0" fontId="8" fillId="0" borderId="29" xfId="0" applyFont="1" applyBorder="1" applyAlignment="1">
      <alignment horizontal="left"/>
    </xf>
    <xf numFmtId="0" fontId="8" fillId="0" borderId="0" xfId="0" applyFont="1" applyAlignment="1">
      <alignment horizontal="left" vertical="center" wrapText="1"/>
    </xf>
    <xf numFmtId="0" fontId="16" fillId="0" borderId="27" xfId="0" applyFont="1" applyBorder="1" applyAlignment="1">
      <alignment horizontal="center"/>
    </xf>
    <xf numFmtId="0" fontId="16" fillId="0" borderId="15" xfId="0" applyFont="1" applyBorder="1" applyAlignment="1">
      <alignment horizontal="center"/>
    </xf>
    <xf numFmtId="0" fontId="16" fillId="0" borderId="28" xfId="0" applyFont="1" applyBorder="1" applyAlignment="1">
      <alignment horizontal="center"/>
    </xf>
    <xf numFmtId="0" fontId="0" fillId="0" borderId="29" xfId="0" applyBorder="1" applyAlignment="1">
      <alignment horizontal="center"/>
    </xf>
    <xf numFmtId="0" fontId="0" fillId="0" borderId="0" xfId="0" applyAlignment="1">
      <alignment horizontal="center"/>
    </xf>
    <xf numFmtId="0" fontId="8" fillId="0" borderId="29" xfId="0" applyFont="1" applyBorder="1" applyAlignment="1">
      <alignment horizontal="left" vertical="center" wrapText="1"/>
    </xf>
    <xf numFmtId="0" fontId="0" fillId="0" borderId="17" xfId="0" applyBorder="1" applyAlignment="1">
      <alignment horizontal="center"/>
    </xf>
    <xf numFmtId="0" fontId="0" fillId="0" borderId="18" xfId="0" applyBorder="1" applyAlignment="1">
      <alignment horizontal="center"/>
    </xf>
    <xf numFmtId="0" fontId="8" fillId="0" borderId="0" xfId="0" applyFont="1" applyBorder="1" applyAlignment="1">
      <alignment horizontal="left"/>
    </xf>
    <xf numFmtId="0" fontId="8" fillId="0" borderId="0" xfId="0" applyFont="1" applyBorder="1" applyAlignment="1">
      <alignment horizontal="left" vertical="center" wrapText="1"/>
    </xf>
    <xf numFmtId="0" fontId="16" fillId="0" borderId="35" xfId="0" applyFont="1" applyBorder="1" applyAlignment="1">
      <alignment horizontal="center"/>
    </xf>
    <xf numFmtId="0" fontId="16" fillId="0" borderId="36" xfId="0" applyFont="1" applyBorder="1" applyAlignment="1">
      <alignment horizontal="center"/>
    </xf>
    <xf numFmtId="0" fontId="16" fillId="0" borderId="37" xfId="0" applyFont="1" applyBorder="1" applyAlignment="1">
      <alignment horizontal="center"/>
    </xf>
    <xf numFmtId="0" fontId="0" fillId="0" borderId="23" xfId="0" applyBorder="1" applyAlignment="1">
      <alignment horizontal="center"/>
    </xf>
    <xf numFmtId="0" fontId="0" fillId="0" borderId="38" xfId="0" applyBorder="1" applyAlignment="1">
      <alignment horizontal="center"/>
    </xf>
    <xf numFmtId="0" fontId="0" fillId="0" borderId="26" xfId="0" applyBorder="1" applyAlignment="1">
      <alignment horizontal="center"/>
    </xf>
    <xf numFmtId="0" fontId="0" fillId="0" borderId="19" xfId="0" applyBorder="1" applyAlignment="1">
      <alignment horizontal="center"/>
    </xf>
    <xf numFmtId="0" fontId="8" fillId="0" borderId="23" xfId="0" applyFont="1" applyBorder="1" applyAlignment="1">
      <alignment horizontal="left" vertical="center" wrapText="1"/>
    </xf>
    <xf numFmtId="0" fontId="8" fillId="0" borderId="23" xfId="0" applyFont="1" applyBorder="1" applyAlignment="1">
      <alignment horizontal="left"/>
    </xf>
    <xf numFmtId="0" fontId="0" fillId="2" borderId="32" xfId="0" applyFill="1" applyBorder="1" applyAlignment="1">
      <alignment horizontal="center"/>
    </xf>
    <xf numFmtId="0" fontId="0" fillId="2" borderId="33" xfId="0" applyFill="1" applyBorder="1" applyAlignment="1">
      <alignment horizontal="center"/>
    </xf>
    <xf numFmtId="0" fontId="31" fillId="0" borderId="39" xfId="0" applyFont="1" applyBorder="1" applyAlignment="1">
      <alignment horizontal="center" wrapText="1"/>
    </xf>
    <xf numFmtId="0" fontId="31" fillId="0" borderId="9" xfId="0" applyFont="1" applyBorder="1" applyAlignment="1">
      <alignment horizontal="center" wrapText="1"/>
    </xf>
    <xf numFmtId="0" fontId="26" fillId="0" borderId="0" xfId="0" applyFont="1" applyAlignment="1">
      <alignment horizontal="center"/>
    </xf>
    <xf numFmtId="0" fontId="27" fillId="0" borderId="0" xfId="0" applyFont="1" applyAlignment="1">
      <alignment horizontal="center"/>
    </xf>
    <xf numFmtId="0" fontId="30" fillId="0" borderId="39" xfId="0" applyFont="1" applyBorder="1" applyAlignment="1">
      <alignment horizontal="center" vertical="center" wrapText="1"/>
    </xf>
    <xf numFmtId="0" fontId="30" fillId="0" borderId="9"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0" xfId="0" applyFont="1" applyBorder="1" applyAlignment="1">
      <alignment horizontal="center" wrapText="1"/>
    </xf>
    <xf numFmtId="0" fontId="30" fillId="0" borderId="39" xfId="0" applyFont="1" applyBorder="1" applyAlignment="1">
      <alignment horizontal="center" wrapText="1"/>
    </xf>
    <xf numFmtId="0" fontId="30" fillId="0" borderId="9" xfId="0" applyFont="1" applyBorder="1" applyAlignment="1">
      <alignment horizontal="center" wrapText="1"/>
    </xf>
    <xf numFmtId="0" fontId="31" fillId="0" borderId="10" xfId="0" applyFont="1" applyBorder="1" applyAlignment="1">
      <alignment horizontal="center"/>
    </xf>
    <xf numFmtId="0" fontId="31" fillId="0" borderId="10" xfId="0" applyFont="1" applyBorder="1" applyAlignment="1">
      <alignment horizontal="center" wrapText="1"/>
    </xf>
    <xf numFmtId="0" fontId="9" fillId="3" borderId="10" xfId="0" applyFont="1" applyFill="1" applyBorder="1" applyAlignment="1">
      <alignment horizontal="left" vertical="top" wrapText="1"/>
    </xf>
    <xf numFmtId="0" fontId="9" fillId="3" borderId="10" xfId="0" applyFont="1" applyFill="1" applyBorder="1" applyAlignment="1">
      <alignment horizontal="center" vertical="top" wrapText="1"/>
    </xf>
    <xf numFmtId="0" fontId="16" fillId="0" borderId="10" xfId="0" applyFont="1" applyBorder="1" applyAlignment="1">
      <alignment horizontal="center" vertical="center"/>
    </xf>
    <xf numFmtId="0" fontId="8" fillId="0" borderId="10" xfId="0" applyFont="1" applyBorder="1" applyAlignment="1">
      <alignment horizontal="center" vertical="top"/>
    </xf>
    <xf numFmtId="0" fontId="0" fillId="0" borderId="10" xfId="0" applyBorder="1" applyAlignment="1">
      <alignment horizontal="center"/>
    </xf>
    <xf numFmtId="0" fontId="0" fillId="0" borderId="13" xfId="0" applyBorder="1" applyAlignment="1">
      <alignment horizontal="center" vertical="center" wrapText="1"/>
    </xf>
    <xf numFmtId="0" fontId="0" fillId="0" borderId="10" xfId="0" applyBorder="1" applyAlignment="1">
      <alignment horizontal="center" vertical="center" wrapText="1"/>
    </xf>
    <xf numFmtId="0" fontId="0" fillId="0" borderId="48" xfId="0" applyBorder="1" applyAlignment="1">
      <alignment horizontal="center" vertical="center" wrapText="1"/>
    </xf>
    <xf numFmtId="0" fontId="0" fillId="0" borderId="43" xfId="0" applyBorder="1" applyAlignment="1">
      <alignment horizontal="center" vertical="center" wrapText="1"/>
    </xf>
    <xf numFmtId="0" fontId="65" fillId="0" borderId="10" xfId="0" applyFont="1" applyBorder="1" applyAlignment="1">
      <alignment horizontal="center"/>
    </xf>
    <xf numFmtId="0" fontId="9" fillId="0" borderId="0" xfId="0" applyFont="1" applyAlignment="1">
      <alignment horizontal="left"/>
    </xf>
    <xf numFmtId="0" fontId="0" fillId="0" borderId="51" xfId="0" applyBorder="1" applyAlignment="1">
      <alignment horizontal="center" vertical="center" wrapText="1"/>
    </xf>
    <xf numFmtId="0" fontId="0" fillId="0" borderId="50" xfId="0" applyBorder="1" applyAlignment="1">
      <alignment horizontal="center" vertical="center" wrapText="1"/>
    </xf>
    <xf numFmtId="0" fontId="0" fillId="0" borderId="0" xfId="0" applyAlignment="1">
      <alignment horizontal="center" vertical="center"/>
    </xf>
    <xf numFmtId="0" fontId="0" fillId="0" borderId="0" xfId="0" applyAlignment="1">
      <alignment horizontal="center" wrapText="1"/>
    </xf>
    <xf numFmtId="0" fontId="22" fillId="0" borderId="0" xfId="0" applyFont="1" applyAlignment="1">
      <alignment horizontal="center"/>
    </xf>
    <xf numFmtId="0" fontId="8" fillId="0" borderId="16" xfId="0" applyFont="1" applyBorder="1" applyAlignment="1">
      <alignment horizontal="right" vertical="top"/>
    </xf>
    <xf numFmtId="0" fontId="8" fillId="0" borderId="17" xfId="0" applyFont="1" applyBorder="1" applyAlignment="1">
      <alignment horizontal="right" vertical="top"/>
    </xf>
    <xf numFmtId="0" fontId="8" fillId="0" borderId="18" xfId="0" applyFont="1" applyBorder="1" applyAlignment="1">
      <alignment horizontal="right" vertical="top"/>
    </xf>
    <xf numFmtId="0" fontId="9" fillId="3" borderId="20" xfId="0" applyFont="1" applyFill="1" applyBorder="1" applyAlignment="1">
      <alignment horizontal="center" vertical="top" wrapText="1"/>
    </xf>
    <xf numFmtId="0" fontId="9" fillId="3" borderId="21" xfId="0" applyFont="1" applyFill="1" applyBorder="1" applyAlignment="1">
      <alignment horizontal="center" vertical="top" wrapText="1"/>
    </xf>
    <xf numFmtId="0" fontId="20" fillId="0" borderId="10" xfId="0" applyFont="1" applyBorder="1" applyAlignment="1">
      <alignment horizontal="center" vertical="center"/>
    </xf>
    <xf numFmtId="0" fontId="9" fillId="3" borderId="20" xfId="0" applyFont="1" applyFill="1" applyBorder="1" applyAlignment="1">
      <alignment horizontal="left" vertical="top" wrapText="1"/>
    </xf>
    <xf numFmtId="0" fontId="9" fillId="3" borderId="21" xfId="0" applyFont="1" applyFill="1" applyBorder="1" applyAlignment="1">
      <alignment horizontal="left" vertical="top" wrapText="1"/>
    </xf>
    <xf numFmtId="0" fontId="9" fillId="3" borderId="12" xfId="0" applyFont="1" applyFill="1" applyBorder="1" applyAlignment="1">
      <alignment horizontal="center" vertical="top" wrapText="1"/>
    </xf>
    <xf numFmtId="0" fontId="9" fillId="3" borderId="9" xfId="0" applyFont="1" applyFill="1" applyBorder="1" applyAlignment="1">
      <alignment horizontal="center" vertical="top" wrapText="1"/>
    </xf>
    <xf numFmtId="0" fontId="9" fillId="0" borderId="52" xfId="0" applyFont="1" applyBorder="1" applyAlignment="1">
      <alignment horizontal="right" vertical="top"/>
    </xf>
    <xf numFmtId="0" fontId="9" fillId="0" borderId="55" xfId="0" applyFont="1" applyBorder="1" applyAlignment="1">
      <alignment horizontal="right" vertical="top"/>
    </xf>
    <xf numFmtId="0" fontId="9" fillId="0" borderId="56" xfId="0" applyFont="1" applyBorder="1" applyAlignment="1">
      <alignment horizontal="right" vertical="top"/>
    </xf>
    <xf numFmtId="0" fontId="9" fillId="0" borderId="54" xfId="0" applyFont="1" applyBorder="1" applyAlignment="1">
      <alignment horizontal="right" vertical="top"/>
    </xf>
    <xf numFmtId="0" fontId="8" fillId="0" borderId="39" xfId="0" applyFont="1" applyBorder="1" applyAlignment="1">
      <alignment horizontal="center" vertical="top"/>
    </xf>
    <xf numFmtId="0" fontId="9" fillId="3" borderId="9" xfId="0" applyFont="1" applyFill="1" applyBorder="1" applyAlignment="1">
      <alignment horizontal="left" vertical="top" wrapText="1"/>
    </xf>
    <xf numFmtId="0" fontId="8" fillId="0" borderId="55" xfId="0" applyFont="1" applyBorder="1" applyAlignment="1">
      <alignment horizontal="right" vertical="top"/>
    </xf>
    <xf numFmtId="0" fontId="8" fillId="0" borderId="56" xfId="0" applyFont="1" applyBorder="1" applyAlignment="1">
      <alignment horizontal="right" vertical="top"/>
    </xf>
    <xf numFmtId="0" fontId="8" fillId="0" borderId="54" xfId="0" applyFont="1" applyBorder="1" applyAlignment="1">
      <alignment horizontal="right" vertical="top"/>
    </xf>
    <xf numFmtId="0" fontId="9" fillId="3" borderId="22" xfId="0" applyFont="1" applyFill="1" applyBorder="1" applyAlignment="1">
      <alignment horizontal="center" vertical="top" wrapText="1"/>
    </xf>
    <xf numFmtId="0" fontId="9" fillId="3" borderId="24" xfId="0" applyFont="1" applyFill="1" applyBorder="1" applyAlignment="1">
      <alignment horizontal="left" vertical="top" wrapText="1"/>
    </xf>
    <xf numFmtId="0" fontId="9" fillId="3" borderId="39" xfId="0" applyFont="1" applyFill="1" applyBorder="1" applyAlignment="1">
      <alignment horizontal="center" vertical="top" wrapText="1"/>
    </xf>
    <xf numFmtId="0" fontId="9" fillId="3" borderId="35" xfId="0" applyNumberFormat="1" applyFont="1" applyFill="1" applyBorder="1" applyAlignment="1" applyProtection="1">
      <alignment horizontal="center" vertical="center" wrapText="1"/>
    </xf>
    <xf numFmtId="0" fontId="9" fillId="3" borderId="36" xfId="0" applyNumberFormat="1" applyFont="1" applyFill="1" applyBorder="1" applyAlignment="1" applyProtection="1">
      <alignment horizontal="center" vertical="center" wrapText="1"/>
    </xf>
    <xf numFmtId="0" fontId="9" fillId="3" borderId="14" xfId="0" applyNumberFormat="1" applyFont="1" applyFill="1" applyBorder="1" applyAlignment="1" applyProtection="1">
      <alignment horizontal="center" vertical="center" wrapText="1"/>
    </xf>
    <xf numFmtId="0" fontId="9" fillId="3" borderId="26" xfId="0" applyNumberFormat="1" applyFont="1" applyFill="1" applyBorder="1" applyAlignment="1" applyProtection="1">
      <alignment horizontal="center" vertical="center" wrapText="1"/>
    </xf>
    <xf numFmtId="0" fontId="9" fillId="3" borderId="54" xfId="0" applyNumberFormat="1" applyFont="1" applyFill="1" applyBorder="1" applyAlignment="1" applyProtection="1">
      <alignment horizontal="left" vertical="top" textRotation="90" wrapText="1"/>
    </xf>
    <xf numFmtId="0" fontId="9" fillId="3" borderId="52" xfId="0" applyNumberFormat="1" applyFont="1" applyFill="1" applyBorder="1" applyAlignment="1" applyProtection="1">
      <alignment horizontal="left" vertical="top" textRotation="90" wrapText="1"/>
    </xf>
    <xf numFmtId="0" fontId="9" fillId="3" borderId="53" xfId="0" applyNumberFormat="1" applyFont="1" applyFill="1" applyBorder="1" applyAlignment="1" applyProtection="1">
      <alignment horizontal="center" vertical="top" textRotation="90" wrapText="1"/>
    </xf>
    <xf numFmtId="0" fontId="9" fillId="3" borderId="9" xfId="0" applyNumberFormat="1" applyFont="1" applyFill="1" applyBorder="1" applyAlignment="1" applyProtection="1">
      <alignment horizontal="center" vertical="top" textRotation="90" wrapText="1"/>
    </xf>
    <xf numFmtId="0" fontId="9" fillId="3" borderId="12" xfId="0" applyNumberFormat="1" applyFont="1" applyFill="1" applyBorder="1" applyAlignment="1" applyProtection="1">
      <alignment horizontal="center" vertical="center" textRotation="90" wrapText="1"/>
    </xf>
    <xf numFmtId="0" fontId="9" fillId="3" borderId="9" xfId="0" applyNumberFormat="1" applyFont="1" applyFill="1" applyBorder="1" applyAlignment="1" applyProtection="1">
      <alignment horizontal="center" vertical="center" textRotation="90" wrapText="1"/>
    </xf>
    <xf numFmtId="0" fontId="16" fillId="0" borderId="35" xfId="0" applyNumberFormat="1" applyFont="1" applyFill="1" applyBorder="1" applyAlignment="1" applyProtection="1">
      <alignment horizontal="center" vertical="center"/>
    </xf>
    <xf numFmtId="0" fontId="16" fillId="0" borderId="36" xfId="0" applyNumberFormat="1" applyFont="1" applyFill="1" applyBorder="1" applyAlignment="1" applyProtection="1">
      <alignment horizontal="center" vertical="center"/>
    </xf>
    <xf numFmtId="0" fontId="16" fillId="0" borderId="37" xfId="0" applyNumberFormat="1" applyFont="1" applyFill="1" applyBorder="1" applyAlignment="1" applyProtection="1">
      <alignment horizontal="center" vertical="center"/>
    </xf>
    <xf numFmtId="0" fontId="16" fillId="0" borderId="14" xfId="0" applyNumberFormat="1" applyFont="1" applyFill="1" applyBorder="1" applyAlignment="1" applyProtection="1">
      <alignment horizontal="center" vertical="center"/>
    </xf>
    <xf numFmtId="0" fontId="16" fillId="0" borderId="26" xfId="0" applyNumberFormat="1" applyFont="1" applyFill="1" applyBorder="1" applyAlignment="1" applyProtection="1">
      <alignment horizontal="center" vertical="center"/>
    </xf>
    <xf numFmtId="0" fontId="16" fillId="0" borderId="19" xfId="0" applyNumberFormat="1" applyFont="1" applyFill="1" applyBorder="1" applyAlignment="1" applyProtection="1">
      <alignment horizontal="center" vertical="center"/>
    </xf>
    <xf numFmtId="0" fontId="9" fillId="0" borderId="52" xfId="0" applyNumberFormat="1" applyFont="1" applyFill="1" applyBorder="1" applyAlignment="1" applyProtection="1">
      <alignment horizontal="center" vertical="top"/>
    </xf>
    <xf numFmtId="0" fontId="8" fillId="0" borderId="52" xfId="0" applyNumberFormat="1" applyFont="1" applyFill="1" applyBorder="1" applyAlignment="1" applyProtection="1">
      <alignment horizontal="left" vertical="top"/>
    </xf>
    <xf numFmtId="0" fontId="8" fillId="0" borderId="53" xfId="0" applyNumberFormat="1" applyFont="1" applyFill="1" applyBorder="1" applyAlignment="1" applyProtection="1">
      <alignment horizontal="left" vertical="top"/>
    </xf>
    <xf numFmtId="0" fontId="9" fillId="3" borderId="53" xfId="0" applyNumberFormat="1" applyFont="1" applyFill="1" applyBorder="1" applyAlignment="1" applyProtection="1">
      <alignment horizontal="center" vertical="center" textRotation="90" wrapText="1"/>
    </xf>
    <xf numFmtId="0" fontId="9" fillId="3" borderId="12" xfId="0" applyNumberFormat="1" applyFont="1" applyFill="1" applyBorder="1" applyAlignment="1" applyProtection="1">
      <alignment horizontal="center" vertical="top" textRotation="90" wrapText="1"/>
    </xf>
    <xf numFmtId="0" fontId="9" fillId="3" borderId="53" xfId="0" applyNumberFormat="1" applyFont="1" applyFill="1" applyBorder="1" applyAlignment="1" applyProtection="1">
      <alignment horizontal="center" vertical="center" textRotation="90"/>
    </xf>
    <xf numFmtId="0" fontId="9" fillId="3" borderId="12" xfId="0" applyNumberFormat="1" applyFont="1" applyFill="1" applyBorder="1" applyAlignment="1" applyProtection="1">
      <alignment horizontal="center" vertical="center" textRotation="90"/>
    </xf>
    <xf numFmtId="0" fontId="9" fillId="3" borderId="9" xfId="0" applyNumberFormat="1" applyFont="1" applyFill="1" applyBorder="1" applyAlignment="1" applyProtection="1">
      <alignment horizontal="center" vertical="center" textRotation="90"/>
    </xf>
    <xf numFmtId="0" fontId="77" fillId="0" borderId="0" xfId="0" applyFont="1" applyBorder="1" applyAlignment="1">
      <alignment horizontal="left"/>
    </xf>
    <xf numFmtId="0" fontId="0" fillId="0" borderId="0" xfId="0" applyBorder="1" applyAlignment="1">
      <alignment horizontal="left"/>
    </xf>
    <xf numFmtId="0" fontId="75" fillId="5" borderId="64" xfId="0" applyFont="1" applyFill="1" applyBorder="1" applyAlignment="1">
      <alignment horizontal="center"/>
    </xf>
    <xf numFmtId="0" fontId="75" fillId="5" borderId="5" xfId="0" applyFont="1" applyFill="1" applyBorder="1" applyAlignment="1">
      <alignment horizontal="center"/>
    </xf>
    <xf numFmtId="0" fontId="75" fillId="5" borderId="65" xfId="0" applyFont="1" applyFill="1" applyBorder="1" applyAlignment="1">
      <alignment horizontal="center"/>
    </xf>
    <xf numFmtId="0" fontId="76" fillId="6" borderId="29" xfId="0" applyFont="1" applyFill="1" applyBorder="1" applyAlignment="1">
      <alignment horizontal="center"/>
    </xf>
    <xf numFmtId="0" fontId="76" fillId="6" borderId="0" xfId="0" applyFont="1" applyFill="1" applyBorder="1" applyAlignment="1">
      <alignment horizontal="center"/>
    </xf>
    <xf numFmtId="0" fontId="76" fillId="6" borderId="30" xfId="0" applyFont="1" applyFill="1" applyBorder="1" applyAlignment="1">
      <alignment horizontal="center"/>
    </xf>
    <xf numFmtId="0" fontId="75" fillId="7" borderId="63" xfId="0" applyFont="1" applyFill="1" applyBorder="1" applyAlignment="1">
      <alignment horizontal="center" wrapText="1"/>
    </xf>
    <xf numFmtId="0" fontId="75" fillId="7" borderId="56" xfId="0" applyFont="1" applyFill="1" applyBorder="1" applyAlignment="1">
      <alignment horizontal="center" wrapText="1"/>
    </xf>
    <xf numFmtId="0" fontId="75" fillId="7" borderId="46" xfId="0" applyFont="1" applyFill="1" applyBorder="1" applyAlignment="1">
      <alignment horizontal="center" wrapText="1"/>
    </xf>
    <xf numFmtId="0" fontId="29" fillId="0" borderId="55" xfId="0" applyFont="1" applyBorder="1" applyAlignment="1">
      <alignment horizontal="left" wrapText="1"/>
    </xf>
    <xf numFmtId="0" fontId="29" fillId="0" borderId="56" xfId="0" applyFont="1" applyBorder="1" applyAlignment="1">
      <alignment horizontal="left" wrapText="1"/>
    </xf>
    <xf numFmtId="0" fontId="29" fillId="0" borderId="54" xfId="0" applyFont="1" applyBorder="1" applyAlignment="1">
      <alignment horizontal="left" wrapText="1"/>
    </xf>
    <xf numFmtId="0" fontId="77" fillId="0" borderId="55" xfId="0" applyFont="1" applyBorder="1" applyAlignment="1">
      <alignment horizontal="left" wrapText="1"/>
    </xf>
    <xf numFmtId="0" fontId="0" fillId="0" borderId="56" xfId="0" applyBorder="1" applyAlignment="1">
      <alignment horizontal="left" wrapText="1"/>
    </xf>
    <xf numFmtId="0" fontId="0" fillId="0" borderId="46" xfId="0" applyBorder="1" applyAlignment="1">
      <alignment horizontal="left" wrapText="1"/>
    </xf>
    <xf numFmtId="0" fontId="78" fillId="0" borderId="29" xfId="0" applyFont="1" applyBorder="1" applyAlignment="1">
      <alignment horizontal="right"/>
    </xf>
    <xf numFmtId="0" fontId="2" fillId="0" borderId="0" xfId="0" applyFont="1" applyBorder="1" applyAlignment="1">
      <alignment horizontal="right"/>
    </xf>
    <xf numFmtId="0" fontId="76" fillId="6" borderId="63" xfId="0" applyFont="1" applyFill="1" applyBorder="1" applyAlignment="1">
      <alignment horizontal="center"/>
    </xf>
    <xf numFmtId="0" fontId="76" fillId="6" borderId="56" xfId="0" applyFont="1" applyFill="1" applyBorder="1" applyAlignment="1">
      <alignment horizontal="center"/>
    </xf>
    <xf numFmtId="0" fontId="76" fillId="6" borderId="46" xfId="0" applyFont="1" applyFill="1" applyBorder="1" applyAlignment="1">
      <alignment horizontal="center"/>
    </xf>
    <xf numFmtId="0" fontId="60" fillId="0" borderId="29" xfId="0" applyFont="1" applyBorder="1" applyAlignment="1">
      <alignment horizontal="left"/>
    </xf>
    <xf numFmtId="0" fontId="60" fillId="0" borderId="0" xfId="0" applyFont="1" applyBorder="1" applyAlignment="1">
      <alignment horizontal="left"/>
    </xf>
    <xf numFmtId="0" fontId="60" fillId="0" borderId="30" xfId="0" applyFont="1" applyBorder="1" applyAlignment="1">
      <alignment horizontal="left"/>
    </xf>
    <xf numFmtId="0" fontId="29" fillId="0" borderId="0" xfId="0" applyFont="1" applyBorder="1" applyAlignment="1">
      <alignment horizontal="left" wrapText="1"/>
    </xf>
    <xf numFmtId="0" fontId="76" fillId="6" borderId="35" xfId="0" applyFont="1" applyFill="1" applyBorder="1" applyAlignment="1">
      <alignment horizontal="center"/>
    </xf>
    <xf numFmtId="0" fontId="76" fillId="6" borderId="36" xfId="0" applyFont="1" applyFill="1" applyBorder="1" applyAlignment="1">
      <alignment horizontal="center"/>
    </xf>
    <xf numFmtId="0" fontId="76" fillId="6" borderId="37" xfId="0" applyFont="1" applyFill="1" applyBorder="1" applyAlignment="1">
      <alignment horizontal="center"/>
    </xf>
    <xf numFmtId="0" fontId="77" fillId="0" borderId="0" xfId="0" applyFont="1" applyBorder="1" applyAlignment="1">
      <alignment horizontal="left" wrapText="1"/>
    </xf>
    <xf numFmtId="0" fontId="0" fillId="0" borderId="0" xfId="0" applyBorder="1" applyAlignment="1">
      <alignment horizontal="left" wrapText="1"/>
    </xf>
    <xf numFmtId="0" fontId="0" fillId="0" borderId="30" xfId="0" applyBorder="1" applyAlignment="1">
      <alignment horizontal="left" wrapText="1"/>
    </xf>
    <xf numFmtId="0" fontId="2" fillId="0" borderId="0" xfId="0" applyFont="1" applyAlignment="1">
      <alignment horizontal="left" vertical="center" wrapText="1"/>
    </xf>
    <xf numFmtId="1" fontId="2"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17" fontId="2" fillId="0" borderId="0" xfId="0" applyNumberFormat="1"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xf>
    <xf numFmtId="0" fontId="2" fillId="0" borderId="0" xfId="0" applyFont="1" applyAlignment="1">
      <alignment horizontal="left" vertical="top"/>
    </xf>
    <xf numFmtId="0" fontId="2" fillId="0" borderId="0" xfId="0" applyFont="1" applyAlignment="1">
      <alignment horizontal="left"/>
    </xf>
    <xf numFmtId="0" fontId="23" fillId="0" borderId="0" xfId="0" applyFont="1" applyAlignment="1">
      <alignment horizontal="center"/>
    </xf>
    <xf numFmtId="0" fontId="24" fillId="0" borderId="0" xfId="0" applyFont="1" applyAlignment="1">
      <alignment horizontal="center"/>
    </xf>
    <xf numFmtId="1" fontId="2" fillId="0" borderId="22" xfId="0" applyNumberFormat="1" applyFont="1" applyBorder="1" applyAlignment="1">
      <alignment horizontal="center" vertical="center"/>
    </xf>
    <xf numFmtId="0" fontId="2" fillId="0" borderId="31" xfId="0" applyFont="1" applyBorder="1" applyAlignment="1">
      <alignment horizontal="center" vertical="center"/>
    </xf>
    <xf numFmtId="0" fontId="2" fillId="0" borderId="46" xfId="0" applyFont="1" applyBorder="1" applyAlignment="1">
      <alignment horizontal="center" vertical="center"/>
    </xf>
    <xf numFmtId="1" fontId="2" fillId="0" borderId="22" xfId="0" applyNumberFormat="1" applyFont="1" applyBorder="1" applyAlignment="1">
      <alignment horizontal="center" vertical="center" wrapText="1"/>
    </xf>
    <xf numFmtId="1" fontId="2" fillId="0" borderId="24" xfId="0" applyNumberFormat="1" applyFont="1" applyBorder="1" applyAlignment="1">
      <alignment horizontal="center" vertical="center" wrapText="1"/>
    </xf>
    <xf numFmtId="1" fontId="2" fillId="0" borderId="46" xfId="0" applyNumberFormat="1" applyFont="1" applyBorder="1" applyAlignment="1">
      <alignment horizontal="center" vertical="center" wrapText="1"/>
    </xf>
    <xf numFmtId="0" fontId="0" fillId="0" borderId="22" xfId="0" applyBorder="1" applyAlignment="1">
      <alignment horizontal="center"/>
    </xf>
    <xf numFmtId="0" fontId="0" fillId="0" borderId="46" xfId="0" applyBorder="1" applyAlignment="1">
      <alignment horizontal="center"/>
    </xf>
    <xf numFmtId="1" fontId="2" fillId="0" borderId="22" xfId="0" applyNumberFormat="1" applyFont="1" applyBorder="1" applyAlignment="1">
      <alignment horizontal="center"/>
    </xf>
    <xf numFmtId="1" fontId="2" fillId="0" borderId="31" xfId="0" applyNumberFormat="1" applyFont="1" applyBorder="1" applyAlignment="1">
      <alignment horizontal="center"/>
    </xf>
    <xf numFmtId="1" fontId="2" fillId="0" borderId="46" xfId="0" applyNumberFormat="1" applyFont="1" applyBorder="1" applyAlignment="1">
      <alignment horizontal="center"/>
    </xf>
    <xf numFmtId="0" fontId="2" fillId="0" borderId="10" xfId="0" applyFont="1" applyBorder="1" applyAlignment="1">
      <alignment horizontal="left" vertical="center"/>
    </xf>
    <xf numFmtId="17" fontId="2" fillId="0" borderId="10" xfId="0" applyNumberFormat="1" applyFont="1" applyBorder="1" applyAlignment="1">
      <alignment horizontal="center" vertical="center"/>
    </xf>
    <xf numFmtId="0" fontId="2" fillId="0" borderId="10" xfId="0" applyFont="1" applyBorder="1" applyAlignment="1">
      <alignment horizontal="center" vertical="center"/>
    </xf>
    <xf numFmtId="1" fontId="2" fillId="0" borderId="10" xfId="0" applyNumberFormat="1" applyFont="1" applyBorder="1" applyAlignment="1">
      <alignment horizontal="center" vertical="center"/>
    </xf>
    <xf numFmtId="0" fontId="2" fillId="0" borderId="10" xfId="0" applyFont="1" applyBorder="1" applyAlignment="1">
      <alignment horizontal="left" vertical="center" wrapText="1"/>
    </xf>
    <xf numFmtId="14" fontId="2" fillId="0" borderId="10" xfId="0" applyNumberFormat="1" applyFont="1" applyBorder="1" applyAlignment="1">
      <alignment horizontal="center" vertical="center"/>
    </xf>
    <xf numFmtId="0" fontId="0" fillId="0" borderId="24" xfId="0" applyBorder="1" applyAlignment="1">
      <alignment horizontal="center"/>
    </xf>
    <xf numFmtId="0" fontId="0" fillId="0" borderId="15" xfId="0" applyBorder="1" applyAlignment="1">
      <alignment horizontal="center"/>
    </xf>
    <xf numFmtId="0" fontId="0" fillId="0" borderId="28" xfId="0" applyBorder="1" applyAlignment="1">
      <alignment horizontal="center"/>
    </xf>
    <xf numFmtId="0" fontId="2" fillId="0" borderId="30" xfId="0" applyFont="1" applyBorder="1" applyAlignment="1">
      <alignment horizontal="left" vertical="center" wrapText="1"/>
    </xf>
    <xf numFmtId="0" fontId="0" fillId="0" borderId="31" xfId="0" applyBorder="1" applyAlignment="1">
      <alignment horizontal="center"/>
    </xf>
    <xf numFmtId="1" fontId="2" fillId="0" borderId="31" xfId="0" applyNumberFormat="1" applyFont="1" applyBorder="1" applyAlignment="1">
      <alignment horizontal="center" vertical="center" wrapText="1"/>
    </xf>
    <xf numFmtId="0" fontId="2" fillId="0" borderId="22" xfId="0" applyFont="1" applyBorder="1" applyAlignment="1">
      <alignment horizontal="center" vertical="center"/>
    </xf>
    <xf numFmtId="0" fontId="2" fillId="0" borderId="24" xfId="0" applyFont="1" applyBorder="1" applyAlignment="1">
      <alignment horizontal="center" vertical="center"/>
    </xf>
    <xf numFmtId="0" fontId="2" fillId="0" borderId="22" xfId="0" applyFont="1" applyBorder="1" applyAlignment="1">
      <alignment horizontal="center"/>
    </xf>
    <xf numFmtId="0" fontId="2" fillId="0" borderId="31" xfId="0" applyFont="1" applyBorder="1" applyAlignment="1">
      <alignment horizontal="center"/>
    </xf>
    <xf numFmtId="0" fontId="2" fillId="0" borderId="46" xfId="0" applyFont="1" applyBorder="1" applyAlignment="1">
      <alignment horizontal="center"/>
    </xf>
    <xf numFmtId="1" fontId="2" fillId="0" borderId="31" xfId="0" applyNumberFormat="1" applyFont="1" applyBorder="1" applyAlignment="1">
      <alignment horizontal="left" vertical="center" wrapText="1"/>
    </xf>
    <xf numFmtId="1" fontId="2" fillId="0" borderId="46" xfId="0" applyNumberFormat="1" applyFont="1" applyBorder="1" applyAlignment="1">
      <alignment horizontal="left" vertical="center" wrapText="1"/>
    </xf>
    <xf numFmtId="0" fontId="48" fillId="0" borderId="0" xfId="0" applyFont="1" applyAlignment="1">
      <alignment horizontal="center"/>
    </xf>
    <xf numFmtId="0" fontId="48" fillId="0" borderId="30" xfId="0" applyFont="1" applyBorder="1" applyAlignment="1">
      <alignment horizontal="center"/>
    </xf>
    <xf numFmtId="0" fontId="5" fillId="0" borderId="30" xfId="0" applyFont="1" applyBorder="1" applyAlignment="1">
      <alignment horizontal="center"/>
    </xf>
    <xf numFmtId="0" fontId="49" fillId="2" borderId="22" xfId="0" applyFont="1" applyFill="1" applyBorder="1" applyAlignment="1">
      <alignment horizontal="center" vertical="center"/>
    </xf>
    <xf numFmtId="0" fontId="49" fillId="2" borderId="31" xfId="0" applyFont="1" applyFill="1" applyBorder="1" applyAlignment="1">
      <alignment horizontal="center" vertical="center"/>
    </xf>
    <xf numFmtId="0" fontId="49" fillId="2" borderId="46" xfId="0" applyFont="1" applyFill="1" applyBorder="1" applyAlignment="1">
      <alignment horizontal="center" vertical="center"/>
    </xf>
    <xf numFmtId="0" fontId="0" fillId="0" borderId="22" xfId="0" applyBorder="1" applyAlignment="1">
      <alignment horizontal="left"/>
    </xf>
    <xf numFmtId="0" fontId="0" fillId="0" borderId="31" xfId="0" applyBorder="1" applyAlignment="1">
      <alignment horizontal="left"/>
    </xf>
    <xf numFmtId="0" fontId="49" fillId="2" borderId="24" xfId="0" applyFont="1" applyFill="1" applyBorder="1" applyAlignment="1">
      <alignment horizontal="center" vertical="center"/>
    </xf>
    <xf numFmtId="1" fontId="2" fillId="0" borderId="0" xfId="0" applyNumberFormat="1" applyFont="1" applyAlignment="1">
      <alignment horizontal="center" vertical="center" wrapText="1"/>
    </xf>
    <xf numFmtId="1" fontId="2" fillId="0" borderId="30" xfId="0" applyNumberFormat="1" applyFont="1" applyBorder="1" applyAlignment="1">
      <alignment horizontal="center" vertical="center" wrapText="1"/>
    </xf>
    <xf numFmtId="0" fontId="59" fillId="0" borderId="0" xfId="0" applyFont="1" applyAlignment="1">
      <alignment vertical="center" wrapText="1"/>
    </xf>
    <xf numFmtId="0" fontId="59" fillId="0" borderId="30" xfId="0" applyFont="1" applyBorder="1" applyAlignment="1">
      <alignment vertical="center" wrapText="1"/>
    </xf>
    <xf numFmtId="0" fontId="0" fillId="0" borderId="0" xfId="0" applyAlignment="1">
      <alignment horizontal="right"/>
    </xf>
    <xf numFmtId="0" fontId="54" fillId="0" borderId="0" xfId="0" applyFont="1" applyAlignment="1">
      <alignment horizontal="center"/>
    </xf>
    <xf numFmtId="0" fontId="54" fillId="0" borderId="30" xfId="0" applyFont="1" applyBorder="1" applyAlignment="1">
      <alignment horizontal="center"/>
    </xf>
    <xf numFmtId="0" fontId="49" fillId="2" borderId="35" xfId="0" applyFont="1" applyFill="1" applyBorder="1" applyAlignment="1">
      <alignment vertical="center"/>
    </xf>
    <xf numFmtId="0" fontId="49" fillId="2" borderId="36" xfId="0" applyFont="1" applyFill="1" applyBorder="1" applyAlignment="1">
      <alignment vertical="center"/>
    </xf>
    <xf numFmtId="0" fontId="49" fillId="2" borderId="35" xfId="0" applyFont="1" applyFill="1" applyBorder="1" applyAlignment="1">
      <alignment horizontal="center" vertical="center"/>
    </xf>
    <xf numFmtId="0" fontId="49" fillId="2" borderId="36" xfId="0" applyFont="1" applyFill="1" applyBorder="1" applyAlignment="1">
      <alignment horizontal="center" vertical="center"/>
    </xf>
    <xf numFmtId="0" fontId="49" fillId="2" borderId="47" xfId="0" applyFont="1" applyFill="1" applyBorder="1" applyAlignment="1">
      <alignment horizontal="center" vertical="center"/>
    </xf>
    <xf numFmtId="0" fontId="49" fillId="2" borderId="14" xfId="0" applyFont="1" applyFill="1" applyBorder="1" applyAlignment="1">
      <alignment horizontal="center" vertical="center"/>
    </xf>
    <xf numFmtId="0" fontId="49" fillId="2" borderId="26" xfId="0" applyFont="1" applyFill="1" applyBorder="1" applyAlignment="1">
      <alignment horizontal="center" vertical="center"/>
    </xf>
    <xf numFmtId="0" fontId="49" fillId="2" borderId="45" xfId="0" applyFont="1" applyFill="1" applyBorder="1" applyAlignment="1">
      <alignment horizontal="center" vertical="center"/>
    </xf>
    <xf numFmtId="1" fontId="57" fillId="2" borderId="0" xfId="0" applyNumberFormat="1" applyFont="1" applyFill="1" applyAlignment="1">
      <alignment horizontal="center" vertical="center"/>
    </xf>
    <xf numFmtId="0" fontId="57" fillId="2" borderId="0" xfId="0" applyFont="1" applyFill="1" applyAlignment="1">
      <alignment horizontal="center" vertical="center"/>
    </xf>
    <xf numFmtId="0" fontId="0" fillId="0" borderId="0" xfId="0" applyAlignment="1">
      <alignment horizontal="left"/>
    </xf>
    <xf numFmtId="0" fontId="0" fillId="0" borderId="30" xfId="0"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46" xfId="0" applyFont="1" applyBorder="1" applyAlignment="1">
      <alignment horizontal="left"/>
    </xf>
    <xf numFmtId="0" fontId="21" fillId="0" borderId="50" xfId="0" applyFont="1" applyBorder="1" applyAlignment="1">
      <alignment horizontal="left"/>
    </xf>
    <xf numFmtId="0" fontId="21" fillId="0" borderId="10" xfId="0" applyFont="1" applyBorder="1" applyAlignment="1">
      <alignment horizontal="left"/>
    </xf>
    <xf numFmtId="1" fontId="0" fillId="0" borderId="10" xfId="0" applyNumberFormat="1" applyBorder="1" applyAlignment="1">
      <alignment horizontal="center"/>
    </xf>
    <xf numFmtId="0" fontId="0" fillId="0" borderId="43" xfId="0" applyBorder="1" applyAlignment="1">
      <alignment horizontal="center"/>
    </xf>
    <xf numFmtId="0" fontId="8" fillId="0" borderId="29" xfId="0" applyFont="1" applyBorder="1" applyAlignment="1">
      <alignment horizontal="left" vertical="center"/>
    </xf>
    <xf numFmtId="0" fontId="8" fillId="0" borderId="0" xfId="0" applyFont="1" applyAlignment="1">
      <alignment horizontal="left" vertical="center"/>
    </xf>
    <xf numFmtId="0" fontId="8" fillId="0" borderId="30" xfId="0" applyFont="1" applyBorder="1" applyAlignment="1">
      <alignment horizontal="left" vertical="center"/>
    </xf>
    <xf numFmtId="0" fontId="42" fillId="0" borderId="0" xfId="0" applyFont="1" applyAlignment="1">
      <alignment horizontal="left"/>
    </xf>
    <xf numFmtId="0" fontId="42" fillId="0" borderId="30" xfId="0" applyFont="1" applyBorder="1" applyAlignment="1">
      <alignment horizontal="left"/>
    </xf>
    <xf numFmtId="0" fontId="9" fillId="0" borderId="0" xfId="0" applyFont="1" applyAlignment="1">
      <alignment horizontal="left" vertical="center" wrapText="1"/>
    </xf>
    <xf numFmtId="0" fontId="9" fillId="0" borderId="30" xfId="0" applyFont="1" applyBorder="1" applyAlignment="1">
      <alignment horizontal="left" vertical="center" wrapText="1"/>
    </xf>
    <xf numFmtId="0" fontId="42" fillId="0" borderId="29" xfId="0" applyFont="1" applyBorder="1" applyAlignment="1">
      <alignment horizontal="center"/>
    </xf>
    <xf numFmtId="0" fontId="42" fillId="0" borderId="0" xfId="0" applyFont="1" applyAlignment="1">
      <alignment horizontal="center"/>
    </xf>
    <xf numFmtId="0" fontId="42" fillId="0" borderId="30" xfId="0" applyFont="1" applyBorder="1" applyAlignment="1">
      <alignment horizontal="center"/>
    </xf>
    <xf numFmtId="0" fontId="21" fillId="0" borderId="29" xfId="0" applyFont="1" applyBorder="1" applyAlignment="1">
      <alignment horizontal="left"/>
    </xf>
    <xf numFmtId="0" fontId="21" fillId="0" borderId="0" xfId="0" applyFont="1" applyAlignment="1">
      <alignment horizontal="left"/>
    </xf>
    <xf numFmtId="0" fontId="21" fillId="0" borderId="30" xfId="0" applyFont="1" applyBorder="1" applyAlignment="1">
      <alignment horizontal="left"/>
    </xf>
    <xf numFmtId="0" fontId="0" fillId="0" borderId="29" xfId="0" applyBorder="1" applyAlignment="1">
      <alignment horizontal="left" vertical="center" wrapText="1"/>
    </xf>
    <xf numFmtId="0" fontId="0" fillId="0" borderId="0" xfId="0" applyAlignment="1">
      <alignment horizontal="left" vertical="center" wrapText="1"/>
    </xf>
    <xf numFmtId="0" fontId="0" fillId="0" borderId="30" xfId="0" applyBorder="1" applyAlignment="1">
      <alignment horizontal="left" vertical="center" wrapText="1"/>
    </xf>
    <xf numFmtId="14" fontId="0" fillId="0" borderId="10" xfId="0" applyNumberFormat="1" applyBorder="1" applyAlignment="1">
      <alignment horizontal="center"/>
    </xf>
    <xf numFmtId="0" fontId="62" fillId="0" borderId="27" xfId="0" applyFont="1" applyBorder="1" applyAlignment="1">
      <alignment horizontal="center"/>
    </xf>
    <xf numFmtId="0" fontId="62" fillId="0" borderId="15" xfId="0" applyFont="1" applyBorder="1" applyAlignment="1">
      <alignment horizontal="center"/>
    </xf>
    <xf numFmtId="0" fontId="62" fillId="0" borderId="28" xfId="0" applyFont="1" applyBorder="1" applyAlignment="1">
      <alignment horizontal="center"/>
    </xf>
    <xf numFmtId="0" fontId="63" fillId="0" borderId="29" xfId="0" applyFont="1" applyBorder="1" applyAlignment="1">
      <alignment horizontal="center"/>
    </xf>
    <xf numFmtId="0" fontId="63" fillId="0" borderId="0" xfId="0" applyFont="1" applyAlignment="1">
      <alignment horizontal="center"/>
    </xf>
    <xf numFmtId="0" fontId="63" fillId="0" borderId="30" xfId="0" applyFont="1" applyBorder="1" applyAlignment="1">
      <alignment horizontal="center"/>
    </xf>
    <xf numFmtId="0" fontId="64" fillId="0" borderId="29" xfId="0" applyFont="1" applyBorder="1" applyAlignment="1">
      <alignment horizontal="center"/>
    </xf>
    <xf numFmtId="0" fontId="64" fillId="0" borderId="0" xfId="0" applyFont="1" applyAlignment="1">
      <alignment horizontal="center"/>
    </xf>
    <xf numFmtId="0" fontId="64" fillId="0" borderId="30" xfId="0" applyFont="1" applyBorder="1" applyAlignment="1">
      <alignment horizontal="center"/>
    </xf>
    <xf numFmtId="0" fontId="21" fillId="0" borderId="29" xfId="0" applyFont="1" applyBorder="1" applyAlignment="1">
      <alignment horizontal="justify" vertical="justify" wrapText="1"/>
    </xf>
    <xf numFmtId="0" fontId="21" fillId="0" borderId="0" xfId="0" applyFont="1" applyAlignment="1">
      <alignment horizontal="justify" vertical="justify" wrapText="1"/>
    </xf>
    <xf numFmtId="0" fontId="21" fillId="0" borderId="30" xfId="0" applyFont="1" applyBorder="1" applyAlignment="1">
      <alignment horizontal="justify" vertical="justify" wrapText="1"/>
    </xf>
  </cellXfs>
  <cellStyles count="9">
    <cellStyle name="Comma 2" xfId="1" xr:uid="{00000000-0005-0000-0000-000000000000}"/>
    <cellStyle name="Excel Built-in Normal 1" xfId="6" xr:uid="{00000000-0005-0000-0000-000001000000}"/>
    <cellStyle name="Excel Built-in Normal 2" xfId="7" xr:uid="{00000000-0005-0000-0000-000002000000}"/>
    <cellStyle name="Hyperlink 2" xfId="8" xr:uid="{00000000-0005-0000-0000-000003000000}"/>
    <cellStyle name="Normal" xfId="0" builtinId="0"/>
    <cellStyle name="Normal 2" xfId="3" xr:uid="{00000000-0005-0000-0000-000005000000}"/>
    <cellStyle name="Normal 4 3 3 2 2" xfId="2" xr:uid="{00000000-0005-0000-0000-000006000000}"/>
    <cellStyle name="Normal 4 3 3 2 2 2" xfId="4" xr:uid="{00000000-0005-0000-0000-000007000000}"/>
    <cellStyle name="Percent" xfId="5"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_rels/drawing2.xml.rels><?xml version="1.0" encoding="UTF-8" standalone="yes"?>
<Relationships xmlns="http://schemas.openxmlformats.org/package/2006/relationships"><Relationship Id="rId1" Type="http://schemas.openxmlformats.org/officeDocument/2006/relationships/image" Target="../media/image45.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6.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7.jpeg"/><Relationship Id="rId1" Type="http://schemas.openxmlformats.org/officeDocument/2006/relationships/image" Target="../media/image4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8.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44.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49.emf"/></Relationships>
</file>

<file path=xl/drawings/_rels/drawing14.xml.rels><?xml version="1.0" encoding="UTF-8" standalone="yes"?>
<Relationships xmlns="http://schemas.openxmlformats.org/package/2006/relationships"><Relationship Id="rId1" Type="http://schemas.openxmlformats.org/officeDocument/2006/relationships/image" Target="../media/image49.emf"/></Relationships>
</file>

<file path=xl/drawings/drawing1.xml><?xml version="1.0" encoding="utf-8"?>
<xdr:wsDr xmlns:xdr="http://schemas.openxmlformats.org/drawingml/2006/spreadsheetDrawing" xmlns:a="http://schemas.openxmlformats.org/drawingml/2006/main">
  <xdr:twoCellAnchor editAs="oneCell">
    <xdr:from>
      <xdr:col>9</xdr:col>
      <xdr:colOff>201711</xdr:colOff>
      <xdr:row>39</xdr:row>
      <xdr:rowOff>70993</xdr:rowOff>
    </xdr:from>
    <xdr:to>
      <xdr:col>9</xdr:col>
      <xdr:colOff>962024</xdr:colOff>
      <xdr:row>39</xdr:row>
      <xdr:rowOff>360998</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9878814" y="3355134"/>
          <a:ext cx="1481733" cy="290005"/>
        </a:xfrm>
        <a:prstGeom prst="rect">
          <a:avLst/>
        </a:prstGeom>
      </xdr:spPr>
    </xdr:pic>
    <xdr:clientData/>
  </xdr:twoCellAnchor>
  <xdr:twoCellAnchor editAs="oneCell">
    <xdr:from>
      <xdr:col>9</xdr:col>
      <xdr:colOff>212414</xdr:colOff>
      <xdr:row>41</xdr:row>
      <xdr:rowOff>37049</xdr:rowOff>
    </xdr:from>
    <xdr:to>
      <xdr:col>9</xdr:col>
      <xdr:colOff>790574</xdr:colOff>
      <xdr:row>41</xdr:row>
      <xdr:rowOff>343405</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981704" y="4521737"/>
          <a:ext cx="1113060" cy="306356"/>
        </a:xfrm>
        <a:prstGeom prst="rect">
          <a:avLst/>
        </a:prstGeom>
      </xdr:spPr>
    </xdr:pic>
    <xdr:clientData/>
  </xdr:twoCellAnchor>
  <xdr:twoCellAnchor editAs="oneCell">
    <xdr:from>
      <xdr:col>9</xdr:col>
      <xdr:colOff>207449</xdr:colOff>
      <xdr:row>44</xdr:row>
      <xdr:rowOff>36543</xdr:rowOff>
    </xdr:from>
    <xdr:to>
      <xdr:col>9</xdr:col>
      <xdr:colOff>809624</xdr:colOff>
      <xdr:row>44</xdr:row>
      <xdr:rowOff>354329</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971774" y="15762715"/>
          <a:ext cx="1172600" cy="317786"/>
        </a:xfrm>
        <a:prstGeom prst="rect">
          <a:avLst/>
        </a:prstGeom>
      </xdr:spPr>
    </xdr:pic>
    <xdr:clientData/>
  </xdr:twoCellAnchor>
  <xdr:twoCellAnchor editAs="oneCell">
    <xdr:from>
      <xdr:col>9</xdr:col>
      <xdr:colOff>183321</xdr:colOff>
      <xdr:row>45</xdr:row>
      <xdr:rowOff>70312</xdr:rowOff>
    </xdr:from>
    <xdr:to>
      <xdr:col>9</xdr:col>
      <xdr:colOff>809624</xdr:colOff>
      <xdr:row>45</xdr:row>
      <xdr:rowOff>381276</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923517" y="16173515"/>
          <a:ext cx="1220856" cy="306995"/>
        </a:xfrm>
        <a:prstGeom prst="rect">
          <a:avLst/>
        </a:prstGeom>
      </xdr:spPr>
    </xdr:pic>
    <xdr:clientData/>
  </xdr:twoCellAnchor>
  <xdr:twoCellAnchor editAs="oneCell">
    <xdr:from>
      <xdr:col>9</xdr:col>
      <xdr:colOff>128983</xdr:colOff>
      <xdr:row>51</xdr:row>
      <xdr:rowOff>18340</xdr:rowOff>
    </xdr:from>
    <xdr:to>
      <xdr:col>9</xdr:col>
      <xdr:colOff>752474</xdr:colOff>
      <xdr:row>52</xdr:row>
      <xdr:rowOff>45621</xdr:rowOff>
    </xdr:to>
    <xdr:pic>
      <xdr:nvPicPr>
        <xdr:cNvPr id="43" name="Picture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814841" y="18383731"/>
          <a:ext cx="1210472" cy="344781"/>
        </a:xfrm>
        <a:prstGeom prst="rect">
          <a:avLst/>
        </a:prstGeom>
      </xdr:spPr>
    </xdr:pic>
    <xdr:clientData/>
  </xdr:twoCellAnchor>
  <xdr:twoCellAnchor editAs="oneCell">
    <xdr:from>
      <xdr:col>9</xdr:col>
      <xdr:colOff>163711</xdr:colOff>
      <xdr:row>52</xdr:row>
      <xdr:rowOff>14143</xdr:rowOff>
    </xdr:from>
    <xdr:to>
      <xdr:col>9</xdr:col>
      <xdr:colOff>761999</xdr:colOff>
      <xdr:row>53</xdr:row>
      <xdr:rowOff>25186</xdr:rowOff>
    </xdr:to>
    <xdr:pic>
      <xdr:nvPicPr>
        <xdr:cNvPr id="44" name="Picture 43">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884297" y="18756565"/>
          <a:ext cx="1150938" cy="328543"/>
        </a:xfrm>
        <a:prstGeom prst="rect">
          <a:avLst/>
        </a:prstGeom>
      </xdr:spPr>
    </xdr:pic>
    <xdr:clientData/>
  </xdr:twoCellAnchor>
  <xdr:twoCellAnchor editAs="oneCell">
    <xdr:from>
      <xdr:col>9</xdr:col>
      <xdr:colOff>272851</xdr:colOff>
      <xdr:row>54</xdr:row>
      <xdr:rowOff>9922</xdr:rowOff>
    </xdr:from>
    <xdr:to>
      <xdr:col>9</xdr:col>
      <xdr:colOff>647699</xdr:colOff>
      <xdr:row>55</xdr:row>
      <xdr:rowOff>21867</xdr:rowOff>
    </xdr:to>
    <xdr:pic>
      <xdr:nvPicPr>
        <xdr:cNvPr id="46" name="Picture 45">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102578" y="19506406"/>
          <a:ext cx="754062" cy="329445"/>
        </a:xfrm>
        <a:prstGeom prst="rect">
          <a:avLst/>
        </a:prstGeom>
      </xdr:spPr>
    </xdr:pic>
    <xdr:clientData/>
  </xdr:twoCellAnchor>
  <xdr:twoCellAnchor editAs="oneCell">
    <xdr:from>
      <xdr:col>9</xdr:col>
      <xdr:colOff>551557</xdr:colOff>
      <xdr:row>55</xdr:row>
      <xdr:rowOff>0</xdr:rowOff>
    </xdr:from>
    <xdr:to>
      <xdr:col>9</xdr:col>
      <xdr:colOff>1057274</xdr:colOff>
      <xdr:row>56</xdr:row>
      <xdr:rowOff>40640</xdr:rowOff>
    </xdr:to>
    <xdr:pic>
      <xdr:nvPicPr>
        <xdr:cNvPr id="47" name="Picture 46">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578505" y="11856641"/>
          <a:ext cx="980479" cy="358140"/>
        </a:xfrm>
        <a:prstGeom prst="rect">
          <a:avLst/>
        </a:prstGeom>
      </xdr:spPr>
    </xdr:pic>
    <xdr:clientData/>
  </xdr:twoCellAnchor>
  <xdr:twoCellAnchor editAs="oneCell">
    <xdr:from>
      <xdr:col>9</xdr:col>
      <xdr:colOff>223242</xdr:colOff>
      <xdr:row>56</xdr:row>
      <xdr:rowOff>29767</xdr:rowOff>
    </xdr:from>
    <xdr:to>
      <xdr:col>9</xdr:col>
      <xdr:colOff>523875</xdr:colOff>
      <xdr:row>57</xdr:row>
      <xdr:rowOff>46189</xdr:rowOff>
    </xdr:to>
    <xdr:pic>
      <xdr:nvPicPr>
        <xdr:cNvPr id="48" name="Picture 47">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003360" y="20280314"/>
          <a:ext cx="605234" cy="333922"/>
        </a:xfrm>
        <a:prstGeom prst="rect">
          <a:avLst/>
        </a:prstGeom>
      </xdr:spPr>
    </xdr:pic>
    <xdr:clientData/>
  </xdr:twoCellAnchor>
  <xdr:twoCellAnchor editAs="oneCell">
    <xdr:from>
      <xdr:col>9</xdr:col>
      <xdr:colOff>379015</xdr:colOff>
      <xdr:row>57</xdr:row>
      <xdr:rowOff>24279</xdr:rowOff>
    </xdr:from>
    <xdr:to>
      <xdr:col>9</xdr:col>
      <xdr:colOff>885824</xdr:colOff>
      <xdr:row>58</xdr:row>
      <xdr:rowOff>46691</xdr:rowOff>
    </xdr:to>
    <xdr:pic>
      <xdr:nvPicPr>
        <xdr:cNvPr id="49" name="Picture 48">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233422" y="12952482"/>
          <a:ext cx="968375" cy="339912"/>
        </a:xfrm>
        <a:prstGeom prst="rect">
          <a:avLst/>
        </a:prstGeom>
      </xdr:spPr>
    </xdr:pic>
    <xdr:clientData/>
  </xdr:twoCellAnchor>
  <xdr:twoCellAnchor editAs="oneCell">
    <xdr:from>
      <xdr:col>9</xdr:col>
      <xdr:colOff>99218</xdr:colOff>
      <xdr:row>58</xdr:row>
      <xdr:rowOff>65383</xdr:rowOff>
    </xdr:from>
    <xdr:to>
      <xdr:col>9</xdr:col>
      <xdr:colOff>485775</xdr:colOff>
      <xdr:row>59</xdr:row>
      <xdr:rowOff>47882</xdr:rowOff>
    </xdr:to>
    <xdr:pic>
      <xdr:nvPicPr>
        <xdr:cNvPr id="50" name="Picture 49">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755311" y="21069992"/>
          <a:ext cx="773908" cy="299999"/>
        </a:xfrm>
        <a:prstGeom prst="rect">
          <a:avLst/>
        </a:prstGeom>
      </xdr:spPr>
    </xdr:pic>
    <xdr:clientData/>
  </xdr:twoCellAnchor>
  <xdr:twoCellAnchor editAs="oneCell">
    <xdr:from>
      <xdr:col>9</xdr:col>
      <xdr:colOff>515144</xdr:colOff>
      <xdr:row>59</xdr:row>
      <xdr:rowOff>0</xdr:rowOff>
    </xdr:from>
    <xdr:to>
      <xdr:col>9</xdr:col>
      <xdr:colOff>781049</xdr:colOff>
      <xdr:row>60</xdr:row>
      <xdr:rowOff>0</xdr:rowOff>
    </xdr:to>
    <xdr:pic>
      <xdr:nvPicPr>
        <xdr:cNvPr id="51" name="Picture 50">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0505679" y="13999766"/>
          <a:ext cx="487760" cy="317500"/>
        </a:xfrm>
        <a:prstGeom prst="rect">
          <a:avLst/>
        </a:prstGeom>
      </xdr:spPr>
    </xdr:pic>
    <xdr:clientData/>
  </xdr:twoCellAnchor>
  <xdr:twoCellAnchor editAs="oneCell">
    <xdr:from>
      <xdr:col>9</xdr:col>
      <xdr:colOff>287733</xdr:colOff>
      <xdr:row>60</xdr:row>
      <xdr:rowOff>19844</xdr:rowOff>
    </xdr:from>
    <xdr:to>
      <xdr:col>9</xdr:col>
      <xdr:colOff>685800</xdr:colOff>
      <xdr:row>61</xdr:row>
      <xdr:rowOff>32155</xdr:rowOff>
    </xdr:to>
    <xdr:pic>
      <xdr:nvPicPr>
        <xdr:cNvPr id="52" name="Picture 51">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1132342" y="21778516"/>
          <a:ext cx="803673" cy="329811"/>
        </a:xfrm>
        <a:prstGeom prst="rect">
          <a:avLst/>
        </a:prstGeom>
      </xdr:spPr>
    </xdr:pic>
    <xdr:clientData/>
  </xdr:twoCellAnchor>
  <xdr:twoCellAnchor editAs="oneCell">
    <xdr:from>
      <xdr:col>9</xdr:col>
      <xdr:colOff>143371</xdr:colOff>
      <xdr:row>61</xdr:row>
      <xdr:rowOff>19844</xdr:rowOff>
    </xdr:from>
    <xdr:to>
      <xdr:col>9</xdr:col>
      <xdr:colOff>800099</xdr:colOff>
      <xdr:row>62</xdr:row>
      <xdr:rowOff>35247</xdr:rowOff>
    </xdr:to>
    <xdr:pic>
      <xdr:nvPicPr>
        <xdr:cNvPr id="53" name="Picture 52">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9762134" y="15091172"/>
          <a:ext cx="1280914" cy="332903"/>
        </a:xfrm>
        <a:prstGeom prst="rect">
          <a:avLst/>
        </a:prstGeom>
      </xdr:spPr>
    </xdr:pic>
    <xdr:clientData/>
  </xdr:twoCellAnchor>
  <xdr:twoCellAnchor editAs="oneCell">
    <xdr:from>
      <xdr:col>9</xdr:col>
      <xdr:colOff>420389</xdr:colOff>
      <xdr:row>62</xdr:row>
      <xdr:rowOff>53947</xdr:rowOff>
    </xdr:from>
    <xdr:to>
      <xdr:col>9</xdr:col>
      <xdr:colOff>876299</xdr:colOff>
      <xdr:row>63</xdr:row>
      <xdr:rowOff>39993</xdr:rowOff>
    </xdr:to>
    <xdr:pic>
      <xdr:nvPicPr>
        <xdr:cNvPr id="54" name="Picture 53">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316170" y="15661056"/>
          <a:ext cx="875705" cy="303546"/>
        </a:xfrm>
        <a:prstGeom prst="rect">
          <a:avLst/>
        </a:prstGeom>
      </xdr:spPr>
    </xdr:pic>
    <xdr:clientData/>
  </xdr:twoCellAnchor>
  <xdr:twoCellAnchor editAs="oneCell">
    <xdr:from>
      <xdr:col>9</xdr:col>
      <xdr:colOff>64492</xdr:colOff>
      <xdr:row>63</xdr:row>
      <xdr:rowOff>39689</xdr:rowOff>
    </xdr:from>
    <xdr:to>
      <xdr:col>9</xdr:col>
      <xdr:colOff>638174</xdr:colOff>
      <xdr:row>64</xdr:row>
      <xdr:rowOff>52031</xdr:rowOff>
    </xdr:to>
    <xdr:pic>
      <xdr:nvPicPr>
        <xdr:cNvPr id="55" name="Picture 54">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0685859" y="22929455"/>
          <a:ext cx="1150938" cy="329842"/>
        </a:xfrm>
        <a:prstGeom prst="rect">
          <a:avLst/>
        </a:prstGeom>
      </xdr:spPr>
    </xdr:pic>
    <xdr:clientData/>
  </xdr:twoCellAnchor>
  <xdr:twoCellAnchor editAs="oneCell">
    <xdr:from>
      <xdr:col>9</xdr:col>
      <xdr:colOff>430113</xdr:colOff>
      <xdr:row>64</xdr:row>
      <xdr:rowOff>67989</xdr:rowOff>
    </xdr:from>
    <xdr:to>
      <xdr:col>9</xdr:col>
      <xdr:colOff>866774</xdr:colOff>
      <xdr:row>65</xdr:row>
      <xdr:rowOff>38983</xdr:rowOff>
    </xdr:to>
    <xdr:pic>
      <xdr:nvPicPr>
        <xdr:cNvPr id="56" name="Picture 55">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0335617" y="16746661"/>
          <a:ext cx="826492" cy="288494"/>
        </a:xfrm>
        <a:prstGeom prst="rect">
          <a:avLst/>
        </a:prstGeom>
      </xdr:spPr>
    </xdr:pic>
    <xdr:clientData/>
  </xdr:twoCellAnchor>
  <xdr:twoCellAnchor editAs="oneCell">
    <xdr:from>
      <xdr:col>9</xdr:col>
      <xdr:colOff>600174</xdr:colOff>
      <xdr:row>65</xdr:row>
      <xdr:rowOff>62287</xdr:rowOff>
    </xdr:from>
    <xdr:to>
      <xdr:col>9</xdr:col>
      <xdr:colOff>800099</xdr:colOff>
      <xdr:row>66</xdr:row>
      <xdr:rowOff>29766</xdr:rowOff>
    </xdr:to>
    <xdr:pic>
      <xdr:nvPicPr>
        <xdr:cNvPr id="57" name="Picture 56">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flipH="1">
          <a:off x="10675739" y="17276740"/>
          <a:ext cx="357386" cy="284979"/>
        </a:xfrm>
        <a:prstGeom prst="rect">
          <a:avLst/>
        </a:prstGeom>
      </xdr:spPr>
    </xdr:pic>
    <xdr:clientData/>
  </xdr:twoCellAnchor>
  <xdr:twoCellAnchor editAs="oneCell">
    <xdr:from>
      <xdr:col>9</xdr:col>
      <xdr:colOff>540742</xdr:colOff>
      <xdr:row>66</xdr:row>
      <xdr:rowOff>16541</xdr:rowOff>
    </xdr:from>
    <xdr:to>
      <xdr:col>10</xdr:col>
      <xdr:colOff>66675</xdr:colOff>
      <xdr:row>67</xdr:row>
      <xdr:rowOff>36422</xdr:rowOff>
    </xdr:to>
    <xdr:pic>
      <xdr:nvPicPr>
        <xdr:cNvPr id="58" name="Picture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0556875" y="17766775"/>
          <a:ext cx="1378546" cy="337381"/>
        </a:xfrm>
        <a:prstGeom prst="rect">
          <a:avLst/>
        </a:prstGeom>
      </xdr:spPr>
    </xdr:pic>
    <xdr:clientData/>
  </xdr:twoCellAnchor>
  <xdr:twoCellAnchor editAs="oneCell">
    <xdr:from>
      <xdr:col>9</xdr:col>
      <xdr:colOff>580430</xdr:colOff>
      <xdr:row>67</xdr:row>
      <xdr:rowOff>43008</xdr:rowOff>
    </xdr:from>
    <xdr:to>
      <xdr:col>10</xdr:col>
      <xdr:colOff>209550</xdr:colOff>
      <xdr:row>68</xdr:row>
      <xdr:rowOff>34360</xdr:rowOff>
    </xdr:to>
    <xdr:pic>
      <xdr:nvPicPr>
        <xdr:cNvPr id="59" name="Picture 58">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flipH="1">
          <a:off x="10636251" y="18329024"/>
          <a:ext cx="1579364" cy="308852"/>
        </a:xfrm>
        <a:prstGeom prst="rect">
          <a:avLst/>
        </a:prstGeom>
      </xdr:spPr>
    </xdr:pic>
    <xdr:clientData/>
  </xdr:twoCellAnchor>
  <xdr:twoCellAnchor editAs="oneCell">
    <xdr:from>
      <xdr:col>9</xdr:col>
      <xdr:colOff>381992</xdr:colOff>
      <xdr:row>68</xdr:row>
      <xdr:rowOff>14910</xdr:rowOff>
    </xdr:from>
    <xdr:to>
      <xdr:col>10</xdr:col>
      <xdr:colOff>200024</xdr:colOff>
      <xdr:row>69</xdr:row>
      <xdr:rowOff>36029</xdr:rowOff>
    </xdr:to>
    <xdr:pic>
      <xdr:nvPicPr>
        <xdr:cNvPr id="60" name="Picture 59">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flipH="1">
          <a:off x="10239375" y="18836707"/>
          <a:ext cx="1937345" cy="338619"/>
        </a:xfrm>
        <a:prstGeom prst="rect">
          <a:avLst/>
        </a:prstGeom>
      </xdr:spPr>
    </xdr:pic>
    <xdr:clientData/>
  </xdr:twoCellAnchor>
  <xdr:twoCellAnchor editAs="oneCell">
    <xdr:from>
      <xdr:col>9</xdr:col>
      <xdr:colOff>410666</xdr:colOff>
      <xdr:row>69</xdr:row>
      <xdr:rowOff>17461</xdr:rowOff>
    </xdr:from>
    <xdr:to>
      <xdr:col>10</xdr:col>
      <xdr:colOff>57149</xdr:colOff>
      <xdr:row>70</xdr:row>
      <xdr:rowOff>9922</xdr:rowOff>
    </xdr:to>
    <xdr:pic>
      <xdr:nvPicPr>
        <xdr:cNvPr id="61" name="Picture 60">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0296724" y="19375039"/>
          <a:ext cx="1589682" cy="309961"/>
        </a:xfrm>
        <a:prstGeom prst="rect">
          <a:avLst/>
        </a:prstGeom>
      </xdr:spPr>
    </xdr:pic>
    <xdr:clientData/>
  </xdr:twoCellAnchor>
  <xdr:twoCellAnchor editAs="oneCell">
    <xdr:from>
      <xdr:col>9</xdr:col>
      <xdr:colOff>570507</xdr:colOff>
      <xdr:row>70</xdr:row>
      <xdr:rowOff>29766</xdr:rowOff>
    </xdr:from>
    <xdr:to>
      <xdr:col>10</xdr:col>
      <xdr:colOff>0</xdr:colOff>
      <xdr:row>71</xdr:row>
      <xdr:rowOff>9922</xdr:rowOff>
    </xdr:to>
    <xdr:pic>
      <xdr:nvPicPr>
        <xdr:cNvPr id="62" name="Picture 61">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flipH="1">
          <a:off x="10616406" y="19923125"/>
          <a:ext cx="1162447" cy="297656"/>
        </a:xfrm>
        <a:prstGeom prst="rect">
          <a:avLst/>
        </a:prstGeom>
      </xdr:spPr>
    </xdr:pic>
    <xdr:clientData/>
  </xdr:twoCellAnchor>
  <xdr:twoCellAnchor editAs="oneCell">
    <xdr:from>
      <xdr:col>9</xdr:col>
      <xdr:colOff>104179</xdr:colOff>
      <xdr:row>71</xdr:row>
      <xdr:rowOff>24352</xdr:rowOff>
    </xdr:from>
    <xdr:to>
      <xdr:col>9</xdr:col>
      <xdr:colOff>666749</xdr:colOff>
      <xdr:row>72</xdr:row>
      <xdr:rowOff>34580</xdr:rowOff>
    </xdr:to>
    <xdr:pic>
      <xdr:nvPicPr>
        <xdr:cNvPr id="63" name="Picture 62">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0765233" y="25930368"/>
          <a:ext cx="1121173" cy="327728"/>
        </a:xfrm>
        <a:prstGeom prst="rect">
          <a:avLst/>
        </a:prstGeom>
      </xdr:spPr>
    </xdr:pic>
    <xdr:clientData/>
  </xdr:twoCellAnchor>
  <xdr:twoCellAnchor editAs="oneCell">
    <xdr:from>
      <xdr:col>9</xdr:col>
      <xdr:colOff>138906</xdr:colOff>
      <xdr:row>72</xdr:row>
      <xdr:rowOff>39307</xdr:rowOff>
    </xdr:from>
    <xdr:to>
      <xdr:col>9</xdr:col>
      <xdr:colOff>628649</xdr:colOff>
      <xdr:row>73</xdr:row>
      <xdr:rowOff>23335</xdr:rowOff>
    </xdr:to>
    <xdr:pic>
      <xdr:nvPicPr>
        <xdr:cNvPr id="64" name="Picture 63">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0834687" y="26322354"/>
          <a:ext cx="972344" cy="301528"/>
        </a:xfrm>
        <a:prstGeom prst="rect">
          <a:avLst/>
        </a:prstGeom>
      </xdr:spPr>
    </xdr:pic>
    <xdr:clientData/>
  </xdr:twoCellAnchor>
  <xdr:twoCellAnchor editAs="oneCell">
    <xdr:from>
      <xdr:col>9</xdr:col>
      <xdr:colOff>114101</xdr:colOff>
      <xdr:row>73</xdr:row>
      <xdr:rowOff>99219</xdr:rowOff>
    </xdr:from>
    <xdr:to>
      <xdr:col>9</xdr:col>
      <xdr:colOff>676274</xdr:colOff>
      <xdr:row>74</xdr:row>
      <xdr:rowOff>45446</xdr:rowOff>
    </xdr:to>
    <xdr:pic>
      <xdr:nvPicPr>
        <xdr:cNvPr id="65" name="Picture 64">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0785078" y="26759297"/>
          <a:ext cx="1131094" cy="263727"/>
        </a:xfrm>
        <a:prstGeom prst="rect">
          <a:avLst/>
        </a:prstGeom>
      </xdr:spPr>
    </xdr:pic>
    <xdr:clientData/>
  </xdr:twoCellAnchor>
  <xdr:twoCellAnchor editAs="oneCell">
    <xdr:from>
      <xdr:col>9</xdr:col>
      <xdr:colOff>143867</xdr:colOff>
      <xdr:row>74</xdr:row>
      <xdr:rowOff>19844</xdr:rowOff>
    </xdr:from>
    <xdr:to>
      <xdr:col>9</xdr:col>
      <xdr:colOff>695325</xdr:colOff>
      <xdr:row>75</xdr:row>
      <xdr:rowOff>1679</xdr:rowOff>
    </xdr:to>
    <xdr:pic>
      <xdr:nvPicPr>
        <xdr:cNvPr id="66" name="Picture 65">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0844609" y="27056953"/>
          <a:ext cx="1101328" cy="299335"/>
        </a:xfrm>
        <a:prstGeom prst="rect">
          <a:avLst/>
        </a:prstGeom>
      </xdr:spPr>
    </xdr:pic>
    <xdr:clientData/>
  </xdr:twoCellAnchor>
  <xdr:twoCellAnchor editAs="oneCell">
    <xdr:from>
      <xdr:col>9</xdr:col>
      <xdr:colOff>481211</xdr:colOff>
      <xdr:row>75</xdr:row>
      <xdr:rowOff>0</xdr:rowOff>
    </xdr:from>
    <xdr:to>
      <xdr:col>10</xdr:col>
      <xdr:colOff>0</xdr:colOff>
      <xdr:row>76</xdr:row>
      <xdr:rowOff>63500</xdr:rowOff>
    </xdr:to>
    <xdr:pic>
      <xdr:nvPicPr>
        <xdr:cNvPr id="67" name="Picture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flipH="1">
          <a:off x="10437814" y="22572266"/>
          <a:ext cx="1341040" cy="381000"/>
        </a:xfrm>
        <a:prstGeom prst="rect">
          <a:avLst/>
        </a:prstGeom>
      </xdr:spPr>
    </xdr:pic>
    <xdr:clientData/>
  </xdr:twoCellAnchor>
  <xdr:twoCellAnchor editAs="oneCell">
    <xdr:from>
      <xdr:col>9</xdr:col>
      <xdr:colOff>575469</xdr:colOff>
      <xdr:row>76</xdr:row>
      <xdr:rowOff>1</xdr:rowOff>
    </xdr:from>
    <xdr:to>
      <xdr:col>10</xdr:col>
      <xdr:colOff>142874</xdr:colOff>
      <xdr:row>77</xdr:row>
      <xdr:rowOff>19845</xdr:rowOff>
    </xdr:to>
    <xdr:pic>
      <xdr:nvPicPr>
        <xdr:cNvPr id="68" name="Picture 67">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flipH="1">
          <a:off x="10626329" y="23108048"/>
          <a:ext cx="1438672" cy="337344"/>
        </a:xfrm>
        <a:prstGeom prst="rect">
          <a:avLst/>
        </a:prstGeom>
      </xdr:spPr>
    </xdr:pic>
    <xdr:clientData/>
  </xdr:twoCellAnchor>
  <xdr:twoCellAnchor editAs="oneCell">
    <xdr:from>
      <xdr:col>9</xdr:col>
      <xdr:colOff>199231</xdr:colOff>
      <xdr:row>77</xdr:row>
      <xdr:rowOff>0</xdr:rowOff>
    </xdr:from>
    <xdr:to>
      <xdr:col>9</xdr:col>
      <xdr:colOff>933449</xdr:colOff>
      <xdr:row>78</xdr:row>
      <xdr:rowOff>73421</xdr:rowOff>
    </xdr:to>
    <xdr:pic>
      <xdr:nvPicPr>
        <xdr:cNvPr id="69" name="Picture 68">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9873853" y="23643828"/>
          <a:ext cx="1427163" cy="390921"/>
        </a:xfrm>
        <a:prstGeom prst="rect">
          <a:avLst/>
        </a:prstGeom>
      </xdr:spPr>
    </xdr:pic>
    <xdr:clientData/>
  </xdr:twoCellAnchor>
  <xdr:twoCellAnchor editAs="oneCell">
    <xdr:from>
      <xdr:col>9</xdr:col>
      <xdr:colOff>293985</xdr:colOff>
      <xdr:row>78</xdr:row>
      <xdr:rowOff>0</xdr:rowOff>
    </xdr:from>
    <xdr:to>
      <xdr:col>9</xdr:col>
      <xdr:colOff>819149</xdr:colOff>
      <xdr:row>79</xdr:row>
      <xdr:rowOff>16164</xdr:rowOff>
    </xdr:to>
    <xdr:pic>
      <xdr:nvPicPr>
        <xdr:cNvPr id="70" name="Picture 69">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0063361" y="24179609"/>
          <a:ext cx="1019373" cy="333664"/>
        </a:xfrm>
        <a:prstGeom prst="rect">
          <a:avLst/>
        </a:prstGeom>
      </xdr:spPr>
    </xdr:pic>
    <xdr:clientData/>
  </xdr:twoCellAnchor>
  <xdr:twoCellAnchor editAs="oneCell">
    <xdr:from>
      <xdr:col>9</xdr:col>
      <xdr:colOff>119061</xdr:colOff>
      <xdr:row>79</xdr:row>
      <xdr:rowOff>31005</xdr:rowOff>
    </xdr:from>
    <xdr:to>
      <xdr:col>9</xdr:col>
      <xdr:colOff>600075</xdr:colOff>
      <xdr:row>80</xdr:row>
      <xdr:rowOff>3339</xdr:rowOff>
    </xdr:to>
    <xdr:pic>
      <xdr:nvPicPr>
        <xdr:cNvPr id="71" name="Picture 70">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0794998" y="28953271"/>
          <a:ext cx="962423" cy="289834"/>
        </a:xfrm>
        <a:prstGeom prst="rect">
          <a:avLst/>
        </a:prstGeom>
      </xdr:spPr>
    </xdr:pic>
    <xdr:clientData/>
  </xdr:twoCellAnchor>
  <xdr:twoCellAnchor editAs="oneCell">
    <xdr:from>
      <xdr:col>9</xdr:col>
      <xdr:colOff>228203</xdr:colOff>
      <xdr:row>80</xdr:row>
      <xdr:rowOff>19843</xdr:rowOff>
    </xdr:from>
    <xdr:to>
      <xdr:col>9</xdr:col>
      <xdr:colOff>590549</xdr:colOff>
      <xdr:row>81</xdr:row>
      <xdr:rowOff>19843</xdr:rowOff>
    </xdr:to>
    <xdr:pic>
      <xdr:nvPicPr>
        <xdr:cNvPr id="72" name="Picture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013281" y="29319140"/>
          <a:ext cx="724296" cy="317500"/>
        </a:xfrm>
        <a:prstGeom prst="rect">
          <a:avLst/>
        </a:prstGeom>
      </xdr:spPr>
    </xdr:pic>
    <xdr:clientData/>
  </xdr:twoCellAnchor>
  <xdr:twoCellAnchor editAs="oneCell">
    <xdr:from>
      <xdr:col>9</xdr:col>
      <xdr:colOff>223242</xdr:colOff>
      <xdr:row>81</xdr:row>
      <xdr:rowOff>37505</xdr:rowOff>
    </xdr:from>
    <xdr:to>
      <xdr:col>9</xdr:col>
      <xdr:colOff>723899</xdr:colOff>
      <xdr:row>82</xdr:row>
      <xdr:rowOff>23074</xdr:rowOff>
    </xdr:to>
    <xdr:pic>
      <xdr:nvPicPr>
        <xdr:cNvPr id="73" name="Picture 72">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1003359" y="29713833"/>
          <a:ext cx="972344" cy="303069"/>
        </a:xfrm>
        <a:prstGeom prst="rect">
          <a:avLst/>
        </a:prstGeom>
      </xdr:spPr>
    </xdr:pic>
    <xdr:clientData/>
  </xdr:twoCellAnchor>
  <xdr:twoCellAnchor editAs="oneCell">
    <xdr:from>
      <xdr:col>9</xdr:col>
      <xdr:colOff>0</xdr:colOff>
      <xdr:row>40</xdr:row>
      <xdr:rowOff>0</xdr:rowOff>
    </xdr:from>
    <xdr:to>
      <xdr:col>9</xdr:col>
      <xdr:colOff>933449</xdr:colOff>
      <xdr:row>40</xdr:row>
      <xdr:rowOff>358078</xdr:rowOff>
    </xdr:to>
    <xdr:pic>
      <xdr:nvPicPr>
        <xdr:cNvPr id="74" name="Picture 73">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9475391" y="3819922"/>
          <a:ext cx="1830800" cy="358078"/>
        </a:xfrm>
        <a:prstGeom prst="rect">
          <a:avLst/>
        </a:prstGeom>
      </xdr:spPr>
    </xdr:pic>
    <xdr:clientData/>
  </xdr:twoCellAnchor>
  <xdr:twoCellAnchor editAs="oneCell">
    <xdr:from>
      <xdr:col>9</xdr:col>
      <xdr:colOff>0</xdr:colOff>
      <xdr:row>42</xdr:row>
      <xdr:rowOff>0</xdr:rowOff>
    </xdr:from>
    <xdr:to>
      <xdr:col>9</xdr:col>
      <xdr:colOff>790574</xdr:colOff>
      <xdr:row>42</xdr:row>
      <xdr:rowOff>275985</xdr:rowOff>
    </xdr:to>
    <xdr:pic>
      <xdr:nvPicPr>
        <xdr:cNvPr id="76" name="Picture 75">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9475391" y="4891484"/>
          <a:ext cx="1545001" cy="275985"/>
        </a:xfrm>
        <a:prstGeom prst="rect">
          <a:avLst/>
        </a:prstGeom>
      </xdr:spPr>
    </xdr:pic>
    <xdr:clientData/>
  </xdr:twoCellAnchor>
  <xdr:twoCellAnchor editAs="oneCell">
    <xdr:from>
      <xdr:col>9</xdr:col>
      <xdr:colOff>0</xdr:colOff>
      <xdr:row>43</xdr:row>
      <xdr:rowOff>0</xdr:rowOff>
    </xdr:from>
    <xdr:to>
      <xdr:col>9</xdr:col>
      <xdr:colOff>647700</xdr:colOff>
      <xdr:row>43</xdr:row>
      <xdr:rowOff>316630</xdr:rowOff>
    </xdr:to>
    <xdr:pic>
      <xdr:nvPicPr>
        <xdr:cNvPr id="77" name="Picture 76">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9475391" y="5427266"/>
          <a:ext cx="1297477" cy="316630"/>
        </a:xfrm>
        <a:prstGeom prst="rect">
          <a:avLst/>
        </a:prstGeom>
      </xdr:spPr>
    </xdr:pic>
    <xdr:clientData/>
  </xdr:twoCellAnchor>
  <xdr:twoCellAnchor editAs="oneCell">
    <xdr:from>
      <xdr:col>9</xdr:col>
      <xdr:colOff>0</xdr:colOff>
      <xdr:row>46</xdr:row>
      <xdr:rowOff>0</xdr:rowOff>
    </xdr:from>
    <xdr:to>
      <xdr:col>9</xdr:col>
      <xdr:colOff>971549</xdr:colOff>
      <xdr:row>46</xdr:row>
      <xdr:rowOff>305777</xdr:rowOff>
    </xdr:to>
    <xdr:pic>
      <xdr:nvPicPr>
        <xdr:cNvPr id="78" name="Picture 77">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9475391" y="7034609"/>
          <a:ext cx="1905409" cy="305777"/>
        </a:xfrm>
        <a:prstGeom prst="rect">
          <a:avLst/>
        </a:prstGeom>
      </xdr:spPr>
    </xdr:pic>
    <xdr:clientData/>
  </xdr:twoCellAnchor>
  <xdr:twoCellAnchor editAs="oneCell">
    <xdr:from>
      <xdr:col>9</xdr:col>
      <xdr:colOff>0</xdr:colOff>
      <xdr:row>47</xdr:row>
      <xdr:rowOff>0</xdr:rowOff>
    </xdr:from>
    <xdr:to>
      <xdr:col>9</xdr:col>
      <xdr:colOff>866774</xdr:colOff>
      <xdr:row>47</xdr:row>
      <xdr:rowOff>292717</xdr:rowOff>
    </xdr:to>
    <xdr:pic>
      <xdr:nvPicPr>
        <xdr:cNvPr id="79" name="Picture 78">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9475391" y="7570391"/>
          <a:ext cx="1700772" cy="292717"/>
        </a:xfrm>
        <a:prstGeom prst="rect">
          <a:avLst/>
        </a:prstGeom>
      </xdr:spPr>
    </xdr:pic>
    <xdr:clientData/>
  </xdr:twoCellAnchor>
  <xdr:twoCellAnchor editAs="oneCell">
    <xdr:from>
      <xdr:col>9</xdr:col>
      <xdr:colOff>0</xdr:colOff>
      <xdr:row>48</xdr:row>
      <xdr:rowOff>0</xdr:rowOff>
    </xdr:from>
    <xdr:to>
      <xdr:col>9</xdr:col>
      <xdr:colOff>752474</xdr:colOff>
      <xdr:row>48</xdr:row>
      <xdr:rowOff>336429</xdr:rowOff>
    </xdr:to>
    <xdr:pic>
      <xdr:nvPicPr>
        <xdr:cNvPr id="80" name="Picture 79">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9475391" y="8106172"/>
          <a:ext cx="1472125" cy="336429"/>
        </a:xfrm>
        <a:prstGeom prst="rect">
          <a:avLst/>
        </a:prstGeom>
      </xdr:spPr>
    </xdr:pic>
    <xdr:clientData/>
  </xdr:twoCellAnchor>
  <xdr:twoCellAnchor editAs="oneCell">
    <xdr:from>
      <xdr:col>9</xdr:col>
      <xdr:colOff>0</xdr:colOff>
      <xdr:row>49</xdr:row>
      <xdr:rowOff>0</xdr:rowOff>
    </xdr:from>
    <xdr:to>
      <xdr:col>9</xdr:col>
      <xdr:colOff>838199</xdr:colOff>
      <xdr:row>49</xdr:row>
      <xdr:rowOff>255597</xdr:rowOff>
    </xdr:to>
    <xdr:pic>
      <xdr:nvPicPr>
        <xdr:cNvPr id="81" name="Picture 80">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9475391" y="8641953"/>
          <a:ext cx="1642127" cy="255597"/>
        </a:xfrm>
        <a:prstGeom prst="rect">
          <a:avLst/>
        </a:prstGeom>
      </xdr:spPr>
    </xdr:pic>
    <xdr:clientData/>
  </xdr:twoCellAnchor>
  <xdr:twoCellAnchor editAs="oneCell">
    <xdr:from>
      <xdr:col>9</xdr:col>
      <xdr:colOff>0</xdr:colOff>
      <xdr:row>50</xdr:row>
      <xdr:rowOff>0</xdr:rowOff>
    </xdr:from>
    <xdr:to>
      <xdr:col>9</xdr:col>
      <xdr:colOff>666750</xdr:colOff>
      <xdr:row>50</xdr:row>
      <xdr:rowOff>350222</xdr:rowOff>
    </xdr:to>
    <xdr:pic>
      <xdr:nvPicPr>
        <xdr:cNvPr id="82" name="Picture 81">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9475391" y="9177734"/>
          <a:ext cx="1335134" cy="350222"/>
        </a:xfrm>
        <a:prstGeom prst="rect">
          <a:avLst/>
        </a:prstGeom>
      </xdr:spPr>
    </xdr:pic>
    <xdr:clientData/>
  </xdr:twoCellAnchor>
  <xdr:twoCellAnchor editAs="oneCell">
    <xdr:from>
      <xdr:col>9</xdr:col>
      <xdr:colOff>0</xdr:colOff>
      <xdr:row>53</xdr:row>
      <xdr:rowOff>0</xdr:rowOff>
    </xdr:from>
    <xdr:to>
      <xdr:col>9</xdr:col>
      <xdr:colOff>752474</xdr:colOff>
      <xdr:row>53</xdr:row>
      <xdr:rowOff>302883</xdr:rowOff>
    </xdr:to>
    <xdr:pic>
      <xdr:nvPicPr>
        <xdr:cNvPr id="83" name="Picture 82">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9475391" y="10785078"/>
          <a:ext cx="1472406" cy="302883"/>
        </a:xfrm>
        <a:prstGeom prst="rect">
          <a:avLst/>
        </a:prstGeom>
      </xdr:spPr>
    </xdr:pic>
    <xdr:clientData/>
  </xdr:twoCellAnchor>
  <xdr:twoCellAnchor editAs="oneCell">
    <xdr:from>
      <xdr:col>1</xdr:col>
      <xdr:colOff>1289843</xdr:colOff>
      <xdr:row>108</xdr:row>
      <xdr:rowOff>174625</xdr:rowOff>
    </xdr:from>
    <xdr:to>
      <xdr:col>3</xdr:col>
      <xdr:colOff>371474</xdr:colOff>
      <xdr:row>115</xdr:row>
      <xdr:rowOff>103187</xdr:rowOff>
    </xdr:to>
    <xdr:pic>
      <xdr:nvPicPr>
        <xdr:cNvPr id="84" name="Picture 83">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3111500" y="33861375"/>
          <a:ext cx="2206625" cy="12065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43</xdr:row>
      <xdr:rowOff>0</xdr:rowOff>
    </xdr:from>
    <xdr:to>
      <xdr:col>10</xdr:col>
      <xdr:colOff>512915</xdr:colOff>
      <xdr:row>46</xdr:row>
      <xdr:rowOff>38100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01025" y="9582150"/>
          <a:ext cx="1513040" cy="9239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200026</xdr:colOff>
      <xdr:row>35</xdr:row>
      <xdr:rowOff>1</xdr:rowOff>
    </xdr:from>
    <xdr:to>
      <xdr:col>26</xdr:col>
      <xdr:colOff>19051</xdr:colOff>
      <xdr:row>37</xdr:row>
      <xdr:rowOff>57151</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44101" y="10810876"/>
          <a:ext cx="1295400" cy="723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9</xdr:col>
      <xdr:colOff>76200</xdr:colOff>
      <xdr:row>77</xdr:row>
      <xdr:rowOff>95250</xdr:rowOff>
    </xdr:from>
    <xdr:ext cx="2066925" cy="996326"/>
    <xdr:pic>
      <xdr:nvPicPr>
        <xdr:cNvPr id="20" name="Picture 19">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57850" y="93135450"/>
          <a:ext cx="2066925" cy="996326"/>
        </a:xfrm>
        <a:prstGeom prst="rect">
          <a:avLst/>
        </a:prstGeom>
      </xdr:spPr>
    </xdr:pic>
    <xdr:clientData/>
  </xdr:oneCellAnchor>
  <xdr:oneCellAnchor>
    <xdr:from>
      <xdr:col>9</xdr:col>
      <xdr:colOff>76200</xdr:colOff>
      <xdr:row>117</xdr:row>
      <xdr:rowOff>95250</xdr:rowOff>
    </xdr:from>
    <xdr:ext cx="2066925" cy="996326"/>
    <xdr:pic>
      <xdr:nvPicPr>
        <xdr:cNvPr id="30" name="Picture 29">
          <a:extLst>
            <a:ext uri="{FF2B5EF4-FFF2-40B4-BE49-F238E27FC236}">
              <a16:creationId xmlns:a16="http://schemas.microsoft.com/office/drawing/2014/main" id="{00000000-0008-0000-0400-00001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25" y="129787650"/>
          <a:ext cx="2066925" cy="996326"/>
        </a:xfrm>
        <a:prstGeom prst="rect">
          <a:avLst/>
        </a:prstGeom>
      </xdr:spPr>
    </xdr:pic>
    <xdr:clientData/>
  </xdr:oneCellAnchor>
  <xdr:oneCellAnchor>
    <xdr:from>
      <xdr:col>9</xdr:col>
      <xdr:colOff>76200</xdr:colOff>
      <xdr:row>158</xdr:row>
      <xdr:rowOff>95250</xdr:rowOff>
    </xdr:from>
    <xdr:ext cx="2066925" cy="996326"/>
    <xdr:pic>
      <xdr:nvPicPr>
        <xdr:cNvPr id="35" name="Picture 34">
          <a:extLst>
            <a:ext uri="{FF2B5EF4-FFF2-40B4-BE49-F238E27FC236}">
              <a16:creationId xmlns:a16="http://schemas.microsoft.com/office/drawing/2014/main" id="{00000000-0008-0000-0400-00002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25" y="191071500"/>
          <a:ext cx="2066925" cy="996326"/>
        </a:xfrm>
        <a:prstGeom prst="rect">
          <a:avLst/>
        </a:prstGeom>
      </xdr:spPr>
    </xdr:pic>
    <xdr:clientData/>
  </xdr:oneCellAnchor>
  <xdr:oneCellAnchor>
    <xdr:from>
      <xdr:col>9</xdr:col>
      <xdr:colOff>76200</xdr:colOff>
      <xdr:row>199</xdr:row>
      <xdr:rowOff>95250</xdr:rowOff>
    </xdr:from>
    <xdr:ext cx="2066925" cy="996326"/>
    <xdr:pic>
      <xdr:nvPicPr>
        <xdr:cNvPr id="37" name="Picture 36">
          <a:extLst>
            <a:ext uri="{FF2B5EF4-FFF2-40B4-BE49-F238E27FC236}">
              <a16:creationId xmlns:a16="http://schemas.microsoft.com/office/drawing/2014/main" id="{00000000-0008-0000-0400-00002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25" y="191071500"/>
          <a:ext cx="2066925" cy="996326"/>
        </a:xfrm>
        <a:prstGeom prst="rect">
          <a:avLst/>
        </a:prstGeom>
      </xdr:spPr>
    </xdr:pic>
    <xdr:clientData/>
  </xdr:oneCellAnchor>
  <xdr:oneCellAnchor>
    <xdr:from>
      <xdr:col>9</xdr:col>
      <xdr:colOff>76200</xdr:colOff>
      <xdr:row>240</xdr:row>
      <xdr:rowOff>95250</xdr:rowOff>
    </xdr:from>
    <xdr:ext cx="2066925" cy="996326"/>
    <xdr:pic>
      <xdr:nvPicPr>
        <xdr:cNvPr id="38" name="Picture 37">
          <a:extLst>
            <a:ext uri="{FF2B5EF4-FFF2-40B4-BE49-F238E27FC236}">
              <a16:creationId xmlns:a16="http://schemas.microsoft.com/office/drawing/2014/main" id="{00000000-0008-0000-0400-00002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03620" y="211565490"/>
          <a:ext cx="2066925" cy="996326"/>
        </a:xfrm>
        <a:prstGeom prst="rect">
          <a:avLst/>
        </a:prstGeom>
      </xdr:spPr>
    </xdr:pic>
    <xdr:clientData/>
  </xdr:oneCellAnchor>
  <xdr:oneCellAnchor>
    <xdr:from>
      <xdr:col>9</xdr:col>
      <xdr:colOff>76200</xdr:colOff>
      <xdr:row>281</xdr:row>
      <xdr:rowOff>95250</xdr:rowOff>
    </xdr:from>
    <xdr:ext cx="2066925" cy="996326"/>
    <xdr:pic>
      <xdr:nvPicPr>
        <xdr:cNvPr id="23" name="Picture 22">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03620" y="151436070"/>
          <a:ext cx="2066925" cy="996326"/>
        </a:xfrm>
        <a:prstGeom prst="rect">
          <a:avLst/>
        </a:prstGeom>
      </xdr:spPr>
    </xdr:pic>
    <xdr:clientData/>
  </xdr:oneCellAnchor>
  <xdr:twoCellAnchor editAs="oneCell">
    <xdr:from>
      <xdr:col>10</xdr:col>
      <xdr:colOff>0</xdr:colOff>
      <xdr:row>40</xdr:row>
      <xdr:rowOff>0</xdr:rowOff>
    </xdr:from>
    <xdr:to>
      <xdr:col>12</xdr:col>
      <xdr:colOff>232410</xdr:colOff>
      <xdr:row>42</xdr:row>
      <xdr:rowOff>114300</xdr:rowOff>
    </xdr:to>
    <xdr:pic>
      <xdr:nvPicPr>
        <xdr:cNvPr id="26" name="Picture 25">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86525" y="8867775"/>
          <a:ext cx="1661160" cy="495300"/>
        </a:xfrm>
        <a:prstGeom prst="rect">
          <a:avLst/>
        </a:prstGeom>
      </xdr:spPr>
    </xdr:pic>
    <xdr:clientData/>
  </xdr:twoCellAnchor>
  <xdr:oneCellAnchor>
    <xdr:from>
      <xdr:col>9</xdr:col>
      <xdr:colOff>76200</xdr:colOff>
      <xdr:row>326</xdr:row>
      <xdr:rowOff>95250</xdr:rowOff>
    </xdr:from>
    <xdr:ext cx="2066925" cy="996326"/>
    <xdr:pic>
      <xdr:nvPicPr>
        <xdr:cNvPr id="27" name="Picture 26">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25" y="167020875"/>
          <a:ext cx="2066925" cy="996326"/>
        </a:xfrm>
        <a:prstGeom prst="rect">
          <a:avLst/>
        </a:prstGeom>
      </xdr:spPr>
    </xdr:pic>
    <xdr:clientData/>
  </xdr:oneCellAnchor>
  <xdr:oneCellAnchor>
    <xdr:from>
      <xdr:col>9</xdr:col>
      <xdr:colOff>76200</xdr:colOff>
      <xdr:row>371</xdr:row>
      <xdr:rowOff>95250</xdr:rowOff>
    </xdr:from>
    <xdr:ext cx="2066925" cy="996326"/>
    <xdr:pic>
      <xdr:nvPicPr>
        <xdr:cNvPr id="33" name="Picture 32">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25" y="167020875"/>
          <a:ext cx="2066925" cy="996326"/>
        </a:xfrm>
        <a:prstGeom prst="rect">
          <a:avLst/>
        </a:prstGeom>
      </xdr:spPr>
    </xdr:pic>
    <xdr:clientData/>
  </xdr:oneCellAnchor>
  <xdr:oneCellAnchor>
    <xdr:from>
      <xdr:col>9</xdr:col>
      <xdr:colOff>76200</xdr:colOff>
      <xdr:row>416</xdr:row>
      <xdr:rowOff>95250</xdr:rowOff>
    </xdr:from>
    <xdr:ext cx="2066925" cy="996326"/>
    <xdr:pic>
      <xdr:nvPicPr>
        <xdr:cNvPr id="36" name="Picture 35">
          <a:extLst>
            <a:ext uri="{FF2B5EF4-FFF2-40B4-BE49-F238E27FC236}">
              <a16:creationId xmlns:a16="http://schemas.microsoft.com/office/drawing/2014/main" id="{00000000-0008-0000-0400-00002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25" y="167020875"/>
          <a:ext cx="2066925" cy="996326"/>
        </a:xfrm>
        <a:prstGeom prst="rect">
          <a:avLst/>
        </a:prstGeom>
      </xdr:spPr>
    </xdr:pic>
    <xdr:clientData/>
  </xdr:oneCellAnchor>
  <xdr:oneCellAnchor>
    <xdr:from>
      <xdr:col>9</xdr:col>
      <xdr:colOff>76200</xdr:colOff>
      <xdr:row>461</xdr:row>
      <xdr:rowOff>95250</xdr:rowOff>
    </xdr:from>
    <xdr:ext cx="2066925" cy="996326"/>
    <xdr:pic>
      <xdr:nvPicPr>
        <xdr:cNvPr id="40" name="Picture 39">
          <a:extLst>
            <a:ext uri="{FF2B5EF4-FFF2-40B4-BE49-F238E27FC236}">
              <a16:creationId xmlns:a16="http://schemas.microsoft.com/office/drawing/2014/main" id="{00000000-0008-0000-0400-00002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25" y="167020875"/>
          <a:ext cx="2066925" cy="996326"/>
        </a:xfrm>
        <a:prstGeom prst="rect">
          <a:avLst/>
        </a:prstGeom>
      </xdr:spPr>
    </xdr:pic>
    <xdr:clientData/>
  </xdr:oneCellAnchor>
  <xdr:oneCellAnchor>
    <xdr:from>
      <xdr:col>9</xdr:col>
      <xdr:colOff>76200</xdr:colOff>
      <xdr:row>506</xdr:row>
      <xdr:rowOff>95250</xdr:rowOff>
    </xdr:from>
    <xdr:ext cx="2066925" cy="996326"/>
    <xdr:pic>
      <xdr:nvPicPr>
        <xdr:cNvPr id="22" name="Picture 21">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25" y="161305875"/>
          <a:ext cx="2066925" cy="996326"/>
        </a:xfrm>
        <a:prstGeom prst="rect">
          <a:avLst/>
        </a:prstGeom>
      </xdr:spPr>
    </xdr:pic>
    <xdr:clientData/>
  </xdr:oneCellAnchor>
  <xdr:oneCellAnchor>
    <xdr:from>
      <xdr:col>9</xdr:col>
      <xdr:colOff>76200</xdr:colOff>
      <xdr:row>547</xdr:row>
      <xdr:rowOff>95250</xdr:rowOff>
    </xdr:from>
    <xdr:ext cx="2066925" cy="996326"/>
    <xdr:pic>
      <xdr:nvPicPr>
        <xdr:cNvPr id="25" name="Picture 24">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25" y="161305875"/>
          <a:ext cx="2066925" cy="996326"/>
        </a:xfrm>
        <a:prstGeom prst="rect">
          <a:avLst/>
        </a:prstGeom>
      </xdr:spPr>
    </xdr:pic>
    <xdr:clientData/>
  </xdr:oneCellAnchor>
  <xdr:oneCellAnchor>
    <xdr:from>
      <xdr:col>9</xdr:col>
      <xdr:colOff>76200</xdr:colOff>
      <xdr:row>592</xdr:row>
      <xdr:rowOff>95250</xdr:rowOff>
    </xdr:from>
    <xdr:ext cx="2066925" cy="996326"/>
    <xdr:pic>
      <xdr:nvPicPr>
        <xdr:cNvPr id="32" name="Picture 31">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25" y="170849925"/>
          <a:ext cx="2066925" cy="996326"/>
        </a:xfrm>
        <a:prstGeom prst="rect">
          <a:avLst/>
        </a:prstGeom>
      </xdr:spPr>
    </xdr:pic>
    <xdr:clientData/>
  </xdr:oneCellAnchor>
  <xdr:oneCellAnchor>
    <xdr:from>
      <xdr:col>9</xdr:col>
      <xdr:colOff>76200</xdr:colOff>
      <xdr:row>633</xdr:row>
      <xdr:rowOff>95250</xdr:rowOff>
    </xdr:from>
    <xdr:ext cx="2066925" cy="996326"/>
    <xdr:pic>
      <xdr:nvPicPr>
        <xdr:cNvPr id="39" name="Picture 38">
          <a:extLst>
            <a:ext uri="{FF2B5EF4-FFF2-40B4-BE49-F238E27FC236}">
              <a16:creationId xmlns:a16="http://schemas.microsoft.com/office/drawing/2014/main" id="{00000000-0008-0000-0400-00002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25" y="161305875"/>
          <a:ext cx="2066925" cy="996326"/>
        </a:xfrm>
        <a:prstGeom prst="rect">
          <a:avLst/>
        </a:prstGeom>
      </xdr:spPr>
    </xdr:pic>
    <xdr:clientData/>
  </xdr:oneCellAnchor>
  <xdr:oneCellAnchor>
    <xdr:from>
      <xdr:col>9</xdr:col>
      <xdr:colOff>76200</xdr:colOff>
      <xdr:row>678</xdr:row>
      <xdr:rowOff>95250</xdr:rowOff>
    </xdr:from>
    <xdr:ext cx="2066925" cy="996326"/>
    <xdr:pic>
      <xdr:nvPicPr>
        <xdr:cNvPr id="41" name="Picture 40">
          <a:extLst>
            <a:ext uri="{FF2B5EF4-FFF2-40B4-BE49-F238E27FC236}">
              <a16:creationId xmlns:a16="http://schemas.microsoft.com/office/drawing/2014/main" id="{00000000-0008-0000-0400-00002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25" y="170849925"/>
          <a:ext cx="2066925" cy="996326"/>
        </a:xfrm>
        <a:prstGeom prst="rect">
          <a:avLst/>
        </a:prstGeom>
      </xdr:spPr>
    </xdr:pic>
    <xdr:clientData/>
  </xdr:oneCellAnchor>
  <xdr:oneCellAnchor>
    <xdr:from>
      <xdr:col>9</xdr:col>
      <xdr:colOff>76200</xdr:colOff>
      <xdr:row>719</xdr:row>
      <xdr:rowOff>95250</xdr:rowOff>
    </xdr:from>
    <xdr:ext cx="2066925" cy="996326"/>
    <xdr:pic>
      <xdr:nvPicPr>
        <xdr:cNvPr id="42" name="Picture 41">
          <a:extLst>
            <a:ext uri="{FF2B5EF4-FFF2-40B4-BE49-F238E27FC236}">
              <a16:creationId xmlns:a16="http://schemas.microsoft.com/office/drawing/2014/main" id="{00000000-0008-0000-0400-00002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25" y="161305875"/>
          <a:ext cx="2066925" cy="996326"/>
        </a:xfrm>
        <a:prstGeom prst="rect">
          <a:avLst/>
        </a:prstGeom>
      </xdr:spPr>
    </xdr:pic>
    <xdr:clientData/>
  </xdr:oneCellAnchor>
  <xdr:oneCellAnchor>
    <xdr:from>
      <xdr:col>9</xdr:col>
      <xdr:colOff>76200</xdr:colOff>
      <xdr:row>764</xdr:row>
      <xdr:rowOff>95250</xdr:rowOff>
    </xdr:from>
    <xdr:ext cx="2066925" cy="996326"/>
    <xdr:pic>
      <xdr:nvPicPr>
        <xdr:cNvPr id="43" name="Picture 42">
          <a:extLst>
            <a:ext uri="{FF2B5EF4-FFF2-40B4-BE49-F238E27FC236}">
              <a16:creationId xmlns:a16="http://schemas.microsoft.com/office/drawing/2014/main" id="{00000000-0008-0000-0400-00002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25" y="170849925"/>
          <a:ext cx="2066925" cy="996326"/>
        </a:xfrm>
        <a:prstGeom prst="rect">
          <a:avLst/>
        </a:prstGeom>
      </xdr:spPr>
    </xdr:pic>
    <xdr:clientData/>
  </xdr:oneCellAnchor>
  <xdr:oneCellAnchor>
    <xdr:from>
      <xdr:col>9</xdr:col>
      <xdr:colOff>76200</xdr:colOff>
      <xdr:row>805</xdr:row>
      <xdr:rowOff>95250</xdr:rowOff>
    </xdr:from>
    <xdr:ext cx="2066925" cy="996326"/>
    <xdr:pic>
      <xdr:nvPicPr>
        <xdr:cNvPr id="34" name="Picture 33">
          <a:extLst>
            <a:ext uri="{FF2B5EF4-FFF2-40B4-BE49-F238E27FC236}">
              <a16:creationId xmlns:a16="http://schemas.microsoft.com/office/drawing/2014/main" id="{83C473DE-A9C9-428B-99E8-BFD233B037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87440" y="175065690"/>
          <a:ext cx="2066925" cy="996326"/>
        </a:xfrm>
        <a:prstGeom prst="rect">
          <a:avLst/>
        </a:prstGeom>
      </xdr:spPr>
    </xdr:pic>
    <xdr:clientData/>
  </xdr:oneCellAnchor>
  <xdr:oneCellAnchor>
    <xdr:from>
      <xdr:col>9</xdr:col>
      <xdr:colOff>76200</xdr:colOff>
      <xdr:row>850</xdr:row>
      <xdr:rowOff>95250</xdr:rowOff>
    </xdr:from>
    <xdr:ext cx="2066925" cy="996326"/>
    <xdr:pic>
      <xdr:nvPicPr>
        <xdr:cNvPr id="44" name="Picture 43">
          <a:extLst>
            <a:ext uri="{FF2B5EF4-FFF2-40B4-BE49-F238E27FC236}">
              <a16:creationId xmlns:a16="http://schemas.microsoft.com/office/drawing/2014/main" id="{0F590DA8-C12F-45DD-AC94-6AA8830CFF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87440" y="184316370"/>
          <a:ext cx="2066925" cy="996326"/>
        </a:xfrm>
        <a:prstGeom prst="rect">
          <a:avLst/>
        </a:prstGeom>
      </xdr:spPr>
    </xdr:pic>
    <xdr:clientData/>
  </xdr:oneCellAnchor>
  <xdr:oneCellAnchor>
    <xdr:from>
      <xdr:col>9</xdr:col>
      <xdr:colOff>76200</xdr:colOff>
      <xdr:row>891</xdr:row>
      <xdr:rowOff>95250</xdr:rowOff>
    </xdr:from>
    <xdr:ext cx="2066925" cy="996326"/>
    <xdr:pic>
      <xdr:nvPicPr>
        <xdr:cNvPr id="45" name="Picture 44">
          <a:extLst>
            <a:ext uri="{FF2B5EF4-FFF2-40B4-BE49-F238E27FC236}">
              <a16:creationId xmlns:a16="http://schemas.microsoft.com/office/drawing/2014/main" id="{4D91A0B9-E0DB-43BA-AA26-35E1E5C6DB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87440" y="192835530"/>
          <a:ext cx="2066925" cy="996326"/>
        </a:xfrm>
        <a:prstGeom prst="rect">
          <a:avLst/>
        </a:prstGeom>
      </xdr:spPr>
    </xdr:pic>
    <xdr:clientData/>
  </xdr:oneCellAnchor>
  <xdr:oneCellAnchor>
    <xdr:from>
      <xdr:col>9</xdr:col>
      <xdr:colOff>76200</xdr:colOff>
      <xdr:row>936</xdr:row>
      <xdr:rowOff>95250</xdr:rowOff>
    </xdr:from>
    <xdr:ext cx="2066925" cy="996326"/>
    <xdr:pic>
      <xdr:nvPicPr>
        <xdr:cNvPr id="46" name="Picture 45">
          <a:extLst>
            <a:ext uri="{FF2B5EF4-FFF2-40B4-BE49-F238E27FC236}">
              <a16:creationId xmlns:a16="http://schemas.microsoft.com/office/drawing/2014/main" id="{8192B580-1A04-4A4C-A4B6-AD56E2BDEE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87440" y="202086210"/>
          <a:ext cx="2066925" cy="996326"/>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39</xdr:row>
      <xdr:rowOff>0</xdr:rowOff>
    </xdr:from>
    <xdr:to>
      <xdr:col>31</xdr:col>
      <xdr:colOff>1285875</xdr:colOff>
      <xdr:row>45</xdr:row>
      <xdr:rowOff>163287</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09214" y="9960429"/>
          <a:ext cx="2279196" cy="13607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63038</xdr:colOff>
      <xdr:row>37</xdr:row>
      <xdr:rowOff>110490</xdr:rowOff>
    </xdr:from>
    <xdr:to>
      <xdr:col>11</xdr:col>
      <xdr:colOff>529804</xdr:colOff>
      <xdr:row>43</xdr:row>
      <xdr:rowOff>22861</xdr:rowOff>
    </xdr:to>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01838" y="12447270"/>
          <a:ext cx="2120306" cy="1009651"/>
        </a:xfrm>
        <a:prstGeom prst="rect">
          <a:avLst/>
        </a:prstGeom>
      </xdr:spPr>
    </xdr:pic>
    <xdr:clientData/>
  </xdr:twoCellAnchor>
  <xdr:oneCellAnchor>
    <xdr:from>
      <xdr:col>9</xdr:col>
      <xdr:colOff>0</xdr:colOff>
      <xdr:row>85</xdr:row>
      <xdr:rowOff>0</xdr:rowOff>
    </xdr:from>
    <xdr:ext cx="2152402" cy="1018887"/>
    <xdr:pic>
      <xdr:nvPicPr>
        <xdr:cNvPr id="21" name="Picture 20">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41065" y="144722022"/>
          <a:ext cx="2152402" cy="1018887"/>
        </a:xfrm>
        <a:prstGeom prst="rect">
          <a:avLst/>
        </a:prstGeom>
      </xdr:spPr>
    </xdr:pic>
    <xdr:clientData/>
  </xdr:oneCellAnchor>
  <xdr:oneCellAnchor>
    <xdr:from>
      <xdr:col>9</xdr:col>
      <xdr:colOff>0</xdr:colOff>
      <xdr:row>138</xdr:row>
      <xdr:rowOff>0</xdr:rowOff>
    </xdr:from>
    <xdr:ext cx="2152402" cy="1018887"/>
    <xdr:pic>
      <xdr:nvPicPr>
        <xdr:cNvPr id="32" name="Picture 31">
          <a:extLst>
            <a:ext uri="{FF2B5EF4-FFF2-40B4-BE49-F238E27FC236}">
              <a16:creationId xmlns:a16="http://schemas.microsoft.com/office/drawing/2014/main" id="{00000000-0008-0000-06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41065" y="219149543"/>
          <a:ext cx="2152402" cy="1018887"/>
        </a:xfrm>
        <a:prstGeom prst="rect">
          <a:avLst/>
        </a:prstGeom>
      </xdr:spPr>
    </xdr:pic>
    <xdr:clientData/>
  </xdr:oneCellAnchor>
  <xdr:oneCellAnchor>
    <xdr:from>
      <xdr:col>9</xdr:col>
      <xdr:colOff>0</xdr:colOff>
      <xdr:row>190</xdr:row>
      <xdr:rowOff>0</xdr:rowOff>
    </xdr:from>
    <xdr:ext cx="2152402" cy="1018887"/>
    <xdr:pic>
      <xdr:nvPicPr>
        <xdr:cNvPr id="37" name="Picture 36">
          <a:extLst>
            <a:ext uri="{FF2B5EF4-FFF2-40B4-BE49-F238E27FC236}">
              <a16:creationId xmlns:a16="http://schemas.microsoft.com/office/drawing/2014/main" id="{00000000-0008-0000-0600-00002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56250" y="280585333"/>
          <a:ext cx="2152402" cy="1018887"/>
        </a:xfrm>
        <a:prstGeom prst="rect">
          <a:avLst/>
        </a:prstGeom>
      </xdr:spPr>
    </xdr:pic>
    <xdr:clientData/>
  </xdr:oneCellAnchor>
  <xdr:oneCellAnchor>
    <xdr:from>
      <xdr:col>9</xdr:col>
      <xdr:colOff>0</xdr:colOff>
      <xdr:row>236</xdr:row>
      <xdr:rowOff>0</xdr:rowOff>
    </xdr:from>
    <xdr:ext cx="2152402" cy="1018887"/>
    <xdr:pic>
      <xdr:nvPicPr>
        <xdr:cNvPr id="38" name="Picture 37">
          <a:extLst>
            <a:ext uri="{FF2B5EF4-FFF2-40B4-BE49-F238E27FC236}">
              <a16:creationId xmlns:a16="http://schemas.microsoft.com/office/drawing/2014/main" id="{00000000-0008-0000-0600-00002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56250" y="308080833"/>
          <a:ext cx="2152402" cy="1018887"/>
        </a:xfrm>
        <a:prstGeom prst="rect">
          <a:avLst/>
        </a:prstGeom>
      </xdr:spPr>
    </xdr:pic>
    <xdr:clientData/>
  </xdr:oneCellAnchor>
  <xdr:oneCellAnchor>
    <xdr:from>
      <xdr:col>9</xdr:col>
      <xdr:colOff>0</xdr:colOff>
      <xdr:row>283</xdr:row>
      <xdr:rowOff>0</xdr:rowOff>
    </xdr:from>
    <xdr:ext cx="2152402" cy="1018887"/>
    <xdr:pic>
      <xdr:nvPicPr>
        <xdr:cNvPr id="40" name="Picture 39">
          <a:extLst>
            <a:ext uri="{FF2B5EF4-FFF2-40B4-BE49-F238E27FC236}">
              <a16:creationId xmlns:a16="http://schemas.microsoft.com/office/drawing/2014/main" id="{00000000-0008-0000-0600-00002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56250" y="308080833"/>
          <a:ext cx="2152402" cy="1018887"/>
        </a:xfrm>
        <a:prstGeom prst="rect">
          <a:avLst/>
        </a:prstGeom>
      </xdr:spPr>
    </xdr:pic>
    <xdr:clientData/>
  </xdr:oneCellAnchor>
  <xdr:oneCellAnchor>
    <xdr:from>
      <xdr:col>9</xdr:col>
      <xdr:colOff>0</xdr:colOff>
      <xdr:row>331</xdr:row>
      <xdr:rowOff>0</xdr:rowOff>
    </xdr:from>
    <xdr:ext cx="2152402" cy="1018887"/>
    <xdr:pic>
      <xdr:nvPicPr>
        <xdr:cNvPr id="29" name="Picture 28">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38800" y="243603780"/>
          <a:ext cx="2152402" cy="1018887"/>
        </a:xfrm>
        <a:prstGeom prst="rect">
          <a:avLst/>
        </a:prstGeom>
      </xdr:spPr>
    </xdr:pic>
    <xdr:clientData/>
  </xdr:oneCellAnchor>
  <xdr:oneCellAnchor>
    <xdr:from>
      <xdr:col>8</xdr:col>
      <xdr:colOff>438150</xdr:colOff>
      <xdr:row>375</xdr:row>
      <xdr:rowOff>200025</xdr:rowOff>
    </xdr:from>
    <xdr:ext cx="2152402" cy="1018887"/>
    <xdr:pic>
      <xdr:nvPicPr>
        <xdr:cNvPr id="30" name="Picture 29">
          <a:extLst>
            <a:ext uri="{FF2B5EF4-FFF2-40B4-BE49-F238E27FC236}">
              <a16:creationId xmlns:a16="http://schemas.microsoft.com/office/drawing/2014/main" id="{00000000-0008-0000-0600-00001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62575" y="178060350"/>
          <a:ext cx="2152402" cy="1018887"/>
        </a:xfrm>
        <a:prstGeom prst="rect">
          <a:avLst/>
        </a:prstGeom>
      </xdr:spPr>
    </xdr:pic>
    <xdr:clientData/>
  </xdr:oneCellAnchor>
  <xdr:oneCellAnchor>
    <xdr:from>
      <xdr:col>9</xdr:col>
      <xdr:colOff>0</xdr:colOff>
      <xdr:row>421</xdr:row>
      <xdr:rowOff>0</xdr:rowOff>
    </xdr:from>
    <xdr:ext cx="2152402" cy="1018887"/>
    <xdr:pic>
      <xdr:nvPicPr>
        <xdr:cNvPr id="35" name="Picture 34">
          <a:extLst>
            <a:ext uri="{FF2B5EF4-FFF2-40B4-BE49-F238E27FC236}">
              <a16:creationId xmlns:a16="http://schemas.microsoft.com/office/drawing/2014/main" id="{00000000-0008-0000-0600-00002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38800" y="243603780"/>
          <a:ext cx="2152402" cy="1018887"/>
        </a:xfrm>
        <a:prstGeom prst="rect">
          <a:avLst/>
        </a:prstGeom>
      </xdr:spPr>
    </xdr:pic>
    <xdr:clientData/>
  </xdr:oneCellAnchor>
  <xdr:oneCellAnchor>
    <xdr:from>
      <xdr:col>8</xdr:col>
      <xdr:colOff>495300</xdr:colOff>
      <xdr:row>467</xdr:row>
      <xdr:rowOff>257175</xdr:rowOff>
    </xdr:from>
    <xdr:ext cx="2152402" cy="1018887"/>
    <xdr:pic>
      <xdr:nvPicPr>
        <xdr:cNvPr id="18" name="Picture 17">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19725" y="206035275"/>
          <a:ext cx="2152402" cy="1018887"/>
        </a:xfrm>
        <a:prstGeom prst="rect">
          <a:avLst/>
        </a:prstGeom>
      </xdr:spPr>
    </xdr:pic>
    <xdr:clientData/>
  </xdr:oneCellAnchor>
  <xdr:oneCellAnchor>
    <xdr:from>
      <xdr:col>9</xdr:col>
      <xdr:colOff>0</xdr:colOff>
      <xdr:row>514</xdr:row>
      <xdr:rowOff>0</xdr:rowOff>
    </xdr:from>
    <xdr:ext cx="2152402" cy="1018887"/>
    <xdr:pic>
      <xdr:nvPicPr>
        <xdr:cNvPr id="19" name="Picture 18">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34025" y="221808675"/>
          <a:ext cx="2152402" cy="1018887"/>
        </a:xfrm>
        <a:prstGeom prst="rect">
          <a:avLst/>
        </a:prstGeom>
      </xdr:spPr>
    </xdr:pic>
    <xdr:clientData/>
  </xdr:oneCellAnchor>
  <xdr:oneCellAnchor>
    <xdr:from>
      <xdr:col>8</xdr:col>
      <xdr:colOff>361950</xdr:colOff>
      <xdr:row>559</xdr:row>
      <xdr:rowOff>133350</xdr:rowOff>
    </xdr:from>
    <xdr:ext cx="2152402" cy="1018887"/>
    <xdr:pic>
      <xdr:nvPicPr>
        <xdr:cNvPr id="22" name="Picture 21">
          <a:extLst>
            <a:ext uri="{FF2B5EF4-FFF2-40B4-BE49-F238E27FC236}">
              <a16:creationId xmlns:a16="http://schemas.microsoft.com/office/drawing/2014/main" id="{00000000-0008-0000-0600-00001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6375" y="235019850"/>
          <a:ext cx="2152402" cy="1018887"/>
        </a:xfrm>
        <a:prstGeom prst="rect">
          <a:avLst/>
        </a:prstGeom>
      </xdr:spPr>
    </xdr:pic>
    <xdr:clientData/>
  </xdr:oneCellAnchor>
  <xdr:oneCellAnchor>
    <xdr:from>
      <xdr:col>9</xdr:col>
      <xdr:colOff>0</xdr:colOff>
      <xdr:row>607</xdr:row>
      <xdr:rowOff>0</xdr:rowOff>
    </xdr:from>
    <xdr:ext cx="2152402" cy="1018887"/>
    <xdr:pic>
      <xdr:nvPicPr>
        <xdr:cNvPr id="24" name="Picture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34025" y="244325775"/>
          <a:ext cx="2152402" cy="1018887"/>
        </a:xfrm>
        <a:prstGeom prst="rect">
          <a:avLst/>
        </a:prstGeom>
      </xdr:spPr>
    </xdr:pic>
    <xdr:clientData/>
  </xdr:oneCellAnchor>
  <xdr:oneCellAnchor>
    <xdr:from>
      <xdr:col>9</xdr:col>
      <xdr:colOff>0</xdr:colOff>
      <xdr:row>652</xdr:row>
      <xdr:rowOff>0</xdr:rowOff>
    </xdr:from>
    <xdr:ext cx="2152402" cy="1018887"/>
    <xdr:pic>
      <xdr:nvPicPr>
        <xdr:cNvPr id="25" name="Picture 24">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34025" y="233067225"/>
          <a:ext cx="2152402" cy="1018887"/>
        </a:xfrm>
        <a:prstGeom prst="rect">
          <a:avLst/>
        </a:prstGeom>
      </xdr:spPr>
    </xdr:pic>
    <xdr:clientData/>
  </xdr:oneCellAnchor>
  <xdr:oneCellAnchor>
    <xdr:from>
      <xdr:col>9</xdr:col>
      <xdr:colOff>0</xdr:colOff>
      <xdr:row>701</xdr:row>
      <xdr:rowOff>0</xdr:rowOff>
    </xdr:from>
    <xdr:ext cx="2152402" cy="1018887"/>
    <xdr:pic>
      <xdr:nvPicPr>
        <xdr:cNvPr id="23" name="Picture 22">
          <a:extLst>
            <a:ext uri="{FF2B5EF4-FFF2-40B4-BE49-F238E27FC236}">
              <a16:creationId xmlns:a16="http://schemas.microsoft.com/office/drawing/2014/main" id="{43019DE9-F6B9-4EC2-BF93-1BF622A2A8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38800" y="243847620"/>
          <a:ext cx="2152402" cy="1018887"/>
        </a:xfrm>
        <a:prstGeom prst="rect">
          <a:avLst/>
        </a:prstGeom>
      </xdr:spPr>
    </xdr:pic>
    <xdr:clientData/>
  </xdr:oneCellAnchor>
  <xdr:oneCellAnchor>
    <xdr:from>
      <xdr:col>9</xdr:col>
      <xdr:colOff>0</xdr:colOff>
      <xdr:row>749</xdr:row>
      <xdr:rowOff>0</xdr:rowOff>
    </xdr:from>
    <xdr:ext cx="2152402" cy="1018887"/>
    <xdr:pic>
      <xdr:nvPicPr>
        <xdr:cNvPr id="26" name="Picture 25">
          <a:extLst>
            <a:ext uri="{FF2B5EF4-FFF2-40B4-BE49-F238E27FC236}">
              <a16:creationId xmlns:a16="http://schemas.microsoft.com/office/drawing/2014/main" id="{417F2F43-0E92-482A-ACB3-0B3E11E687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38800" y="257601720"/>
          <a:ext cx="2152402" cy="1018887"/>
        </a:xfrm>
        <a:prstGeom prst="rect">
          <a:avLst/>
        </a:prstGeom>
      </xdr:spPr>
    </xdr:pic>
    <xdr:clientData/>
  </xdr:oneCellAnchor>
  <xdr:oneCellAnchor>
    <xdr:from>
      <xdr:col>9</xdr:col>
      <xdr:colOff>0</xdr:colOff>
      <xdr:row>798</xdr:row>
      <xdr:rowOff>0</xdr:rowOff>
    </xdr:from>
    <xdr:ext cx="2152402" cy="1018887"/>
    <xdr:pic>
      <xdr:nvPicPr>
        <xdr:cNvPr id="31" name="Picture 30">
          <a:extLst>
            <a:ext uri="{FF2B5EF4-FFF2-40B4-BE49-F238E27FC236}">
              <a16:creationId xmlns:a16="http://schemas.microsoft.com/office/drawing/2014/main" id="{17FF4C2B-1DA3-4554-9D50-06031E4562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38800" y="243847620"/>
          <a:ext cx="2152402" cy="1018887"/>
        </a:xfrm>
        <a:prstGeom prst="rect">
          <a:avLst/>
        </a:prstGeom>
      </xdr:spPr>
    </xdr:pic>
    <xdr:clientData/>
  </xdr:oneCellAnchor>
  <xdr:oneCellAnchor>
    <xdr:from>
      <xdr:col>9</xdr:col>
      <xdr:colOff>0</xdr:colOff>
      <xdr:row>843</xdr:row>
      <xdr:rowOff>0</xdr:rowOff>
    </xdr:from>
    <xdr:ext cx="2152402" cy="1018887"/>
    <xdr:pic>
      <xdr:nvPicPr>
        <xdr:cNvPr id="34" name="Picture 33">
          <a:extLst>
            <a:ext uri="{FF2B5EF4-FFF2-40B4-BE49-F238E27FC236}">
              <a16:creationId xmlns:a16="http://schemas.microsoft.com/office/drawing/2014/main" id="{A7301A99-2D53-4DDA-80C3-BCF467EBCF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38800" y="257601720"/>
          <a:ext cx="2152402" cy="1018887"/>
        </a:xfrm>
        <a:prstGeom prst="rect">
          <a:avLst/>
        </a:prstGeom>
      </xdr:spPr>
    </xdr:pic>
    <xdr:clientData/>
  </xdr:oneCellAnchor>
  <xdr:oneCellAnchor>
    <xdr:from>
      <xdr:col>9</xdr:col>
      <xdr:colOff>0</xdr:colOff>
      <xdr:row>889</xdr:row>
      <xdr:rowOff>0</xdr:rowOff>
    </xdr:from>
    <xdr:ext cx="2152402" cy="1018887"/>
    <xdr:pic>
      <xdr:nvPicPr>
        <xdr:cNvPr id="36" name="Picture 35">
          <a:extLst>
            <a:ext uri="{FF2B5EF4-FFF2-40B4-BE49-F238E27FC236}">
              <a16:creationId xmlns:a16="http://schemas.microsoft.com/office/drawing/2014/main" id="{291F2B81-0C18-449C-9FF5-434BEF93D2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38800" y="266974320"/>
          <a:ext cx="2152402" cy="1018887"/>
        </a:xfrm>
        <a:prstGeom prst="rect">
          <a:avLst/>
        </a:prstGeom>
      </xdr:spPr>
    </xdr:pic>
    <xdr:clientData/>
  </xdr:oneCellAnchor>
  <xdr:oneCellAnchor>
    <xdr:from>
      <xdr:col>9</xdr:col>
      <xdr:colOff>0</xdr:colOff>
      <xdr:row>937</xdr:row>
      <xdr:rowOff>0</xdr:rowOff>
    </xdr:from>
    <xdr:ext cx="2152402" cy="1018887"/>
    <xdr:pic>
      <xdr:nvPicPr>
        <xdr:cNvPr id="39" name="Picture 38">
          <a:extLst>
            <a:ext uri="{FF2B5EF4-FFF2-40B4-BE49-F238E27FC236}">
              <a16:creationId xmlns:a16="http://schemas.microsoft.com/office/drawing/2014/main" id="{85718FFA-211C-489C-9918-282E3D5DFA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38800" y="276164040"/>
          <a:ext cx="2152402" cy="1018887"/>
        </a:xfrm>
        <a:prstGeom prst="rect">
          <a:avLst/>
        </a:prstGeom>
      </xdr:spPr>
    </xdr:pic>
    <xdr:clientData/>
  </xdr:oneCellAnchor>
  <xdr:oneCellAnchor>
    <xdr:from>
      <xdr:col>9</xdr:col>
      <xdr:colOff>0</xdr:colOff>
      <xdr:row>990</xdr:row>
      <xdr:rowOff>0</xdr:rowOff>
    </xdr:from>
    <xdr:ext cx="2152402" cy="1018887"/>
    <xdr:pic>
      <xdr:nvPicPr>
        <xdr:cNvPr id="41" name="Picture 40">
          <a:extLst>
            <a:ext uri="{FF2B5EF4-FFF2-40B4-BE49-F238E27FC236}">
              <a16:creationId xmlns:a16="http://schemas.microsoft.com/office/drawing/2014/main" id="{272A678B-AB5E-4B4D-8633-399DEDF25B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38800" y="243847620"/>
          <a:ext cx="2152402" cy="1018887"/>
        </a:xfrm>
        <a:prstGeom prst="rect">
          <a:avLst/>
        </a:prstGeom>
      </xdr:spPr>
    </xdr:pic>
    <xdr:clientData/>
  </xdr:oneCellAnchor>
  <xdr:oneCellAnchor>
    <xdr:from>
      <xdr:col>9</xdr:col>
      <xdr:colOff>0</xdr:colOff>
      <xdr:row>1035</xdr:row>
      <xdr:rowOff>0</xdr:rowOff>
    </xdr:from>
    <xdr:ext cx="2152402" cy="1018887"/>
    <xdr:pic>
      <xdr:nvPicPr>
        <xdr:cNvPr id="42" name="Picture 41">
          <a:extLst>
            <a:ext uri="{FF2B5EF4-FFF2-40B4-BE49-F238E27FC236}">
              <a16:creationId xmlns:a16="http://schemas.microsoft.com/office/drawing/2014/main" id="{3550400C-619C-40BC-9F16-9F7FD91076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38800" y="257601720"/>
          <a:ext cx="2152402" cy="1018887"/>
        </a:xfrm>
        <a:prstGeom prst="rect">
          <a:avLst/>
        </a:prstGeom>
      </xdr:spPr>
    </xdr:pic>
    <xdr:clientData/>
  </xdr:oneCellAnchor>
  <xdr:oneCellAnchor>
    <xdr:from>
      <xdr:col>9</xdr:col>
      <xdr:colOff>0</xdr:colOff>
      <xdr:row>1084</xdr:row>
      <xdr:rowOff>0</xdr:rowOff>
    </xdr:from>
    <xdr:ext cx="2152402" cy="1018887"/>
    <xdr:pic>
      <xdr:nvPicPr>
        <xdr:cNvPr id="43" name="Picture 42">
          <a:extLst>
            <a:ext uri="{FF2B5EF4-FFF2-40B4-BE49-F238E27FC236}">
              <a16:creationId xmlns:a16="http://schemas.microsoft.com/office/drawing/2014/main" id="{F92562FD-8397-494A-BA2B-D4B7E18FFE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38800" y="266974320"/>
          <a:ext cx="2152402" cy="1018887"/>
        </a:xfrm>
        <a:prstGeom prst="rect">
          <a:avLst/>
        </a:prstGeom>
      </xdr:spPr>
    </xdr:pic>
    <xdr:clientData/>
  </xdr:oneCellAnchor>
  <xdr:oneCellAnchor>
    <xdr:from>
      <xdr:col>9</xdr:col>
      <xdr:colOff>0</xdr:colOff>
      <xdr:row>1132</xdr:row>
      <xdr:rowOff>0</xdr:rowOff>
    </xdr:from>
    <xdr:ext cx="2152402" cy="1018887"/>
    <xdr:pic>
      <xdr:nvPicPr>
        <xdr:cNvPr id="44" name="Picture 43">
          <a:extLst>
            <a:ext uri="{FF2B5EF4-FFF2-40B4-BE49-F238E27FC236}">
              <a16:creationId xmlns:a16="http://schemas.microsoft.com/office/drawing/2014/main" id="{C49A4B82-CD36-4EA1-810C-18E4B02C6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38800" y="276164040"/>
          <a:ext cx="2152402" cy="1018887"/>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5</xdr:col>
      <xdr:colOff>0</xdr:colOff>
      <xdr:row>32</xdr:row>
      <xdr:rowOff>0</xdr:rowOff>
    </xdr:from>
    <xdr:to>
      <xdr:col>8</xdr:col>
      <xdr:colOff>248557</xdr:colOff>
      <xdr:row>39</xdr:row>
      <xdr:rowOff>38100</xdr:rowOff>
    </xdr:to>
    <xdr:pic>
      <xdr:nvPicPr>
        <xdr:cNvPr id="8" name="Picture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33775" y="6229350"/>
          <a:ext cx="2077357" cy="1371600"/>
        </a:xfrm>
        <a:prstGeom prst="rect">
          <a:avLst/>
        </a:prstGeom>
      </xdr:spPr>
    </xdr:pic>
    <xdr:clientData/>
  </xdr:twoCellAnchor>
  <xdr:twoCellAnchor editAs="oneCell">
    <xdr:from>
      <xdr:col>15</xdr:col>
      <xdr:colOff>0</xdr:colOff>
      <xdr:row>32</xdr:row>
      <xdr:rowOff>0</xdr:rowOff>
    </xdr:from>
    <xdr:to>
      <xdr:col>18</xdr:col>
      <xdr:colOff>248557</xdr:colOff>
      <xdr:row>38</xdr:row>
      <xdr:rowOff>152400</xdr:rowOff>
    </xdr:to>
    <xdr:pic>
      <xdr:nvPicPr>
        <xdr:cNvPr id="9" name="Picture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44075" y="6229350"/>
          <a:ext cx="2077357" cy="1295400"/>
        </a:xfrm>
        <a:prstGeom prst="rect">
          <a:avLst/>
        </a:prstGeom>
      </xdr:spPr>
    </xdr:pic>
    <xdr:clientData/>
  </xdr:twoCellAnchor>
  <xdr:oneCellAnchor>
    <xdr:from>
      <xdr:col>5</xdr:col>
      <xdr:colOff>0</xdr:colOff>
      <xdr:row>80</xdr:row>
      <xdr:rowOff>0</xdr:rowOff>
    </xdr:from>
    <xdr:ext cx="2077357" cy="1016000"/>
    <xdr:pic>
      <xdr:nvPicPr>
        <xdr:cNvPr id="34" name="Picture 33">
          <a:extLst>
            <a:ext uri="{FF2B5EF4-FFF2-40B4-BE49-F238E27FC236}">
              <a16:creationId xmlns:a16="http://schemas.microsoft.com/office/drawing/2014/main" id="{00000000-0008-0000-0700-00002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89315925"/>
          <a:ext cx="2077357" cy="1016000"/>
        </a:xfrm>
        <a:prstGeom prst="rect">
          <a:avLst/>
        </a:prstGeom>
      </xdr:spPr>
    </xdr:pic>
    <xdr:clientData/>
  </xdr:oneCellAnchor>
  <xdr:oneCellAnchor>
    <xdr:from>
      <xdr:col>15</xdr:col>
      <xdr:colOff>0</xdr:colOff>
      <xdr:row>80</xdr:row>
      <xdr:rowOff>0</xdr:rowOff>
    </xdr:from>
    <xdr:ext cx="2077357" cy="1016000"/>
    <xdr:pic>
      <xdr:nvPicPr>
        <xdr:cNvPr id="35" name="Picture 34">
          <a:extLst>
            <a:ext uri="{FF2B5EF4-FFF2-40B4-BE49-F238E27FC236}">
              <a16:creationId xmlns:a16="http://schemas.microsoft.com/office/drawing/2014/main" id="{00000000-0008-0000-0700-00002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53550" y="89315925"/>
          <a:ext cx="2077357" cy="1016000"/>
        </a:xfrm>
        <a:prstGeom prst="rect">
          <a:avLst/>
        </a:prstGeom>
      </xdr:spPr>
    </xdr:pic>
    <xdr:clientData/>
  </xdr:oneCellAnchor>
  <xdr:oneCellAnchor>
    <xdr:from>
      <xdr:col>5</xdr:col>
      <xdr:colOff>0</xdr:colOff>
      <xdr:row>128</xdr:row>
      <xdr:rowOff>0</xdr:rowOff>
    </xdr:from>
    <xdr:ext cx="2077357" cy="1016000"/>
    <xdr:pic>
      <xdr:nvPicPr>
        <xdr:cNvPr id="56" name="Picture 55">
          <a:extLst>
            <a:ext uri="{FF2B5EF4-FFF2-40B4-BE49-F238E27FC236}">
              <a16:creationId xmlns:a16="http://schemas.microsoft.com/office/drawing/2014/main" id="{00000000-0008-0000-0700-00003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142522575"/>
          <a:ext cx="2077357" cy="1016000"/>
        </a:xfrm>
        <a:prstGeom prst="rect">
          <a:avLst/>
        </a:prstGeom>
      </xdr:spPr>
    </xdr:pic>
    <xdr:clientData/>
  </xdr:oneCellAnchor>
  <xdr:oneCellAnchor>
    <xdr:from>
      <xdr:col>15</xdr:col>
      <xdr:colOff>0</xdr:colOff>
      <xdr:row>128</xdr:row>
      <xdr:rowOff>0</xdr:rowOff>
    </xdr:from>
    <xdr:ext cx="2077357" cy="1016000"/>
    <xdr:pic>
      <xdr:nvPicPr>
        <xdr:cNvPr id="57" name="Picture 56">
          <a:extLst>
            <a:ext uri="{FF2B5EF4-FFF2-40B4-BE49-F238E27FC236}">
              <a16:creationId xmlns:a16="http://schemas.microsoft.com/office/drawing/2014/main" id="{00000000-0008-0000-0700-00003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53550" y="142522575"/>
          <a:ext cx="2077357" cy="1016000"/>
        </a:xfrm>
        <a:prstGeom prst="rect">
          <a:avLst/>
        </a:prstGeom>
      </xdr:spPr>
    </xdr:pic>
    <xdr:clientData/>
  </xdr:oneCellAnchor>
  <xdr:oneCellAnchor>
    <xdr:from>
      <xdr:col>5</xdr:col>
      <xdr:colOff>0</xdr:colOff>
      <xdr:row>176</xdr:row>
      <xdr:rowOff>0</xdr:rowOff>
    </xdr:from>
    <xdr:ext cx="2077357" cy="1016000"/>
    <xdr:pic>
      <xdr:nvPicPr>
        <xdr:cNvPr id="30" name="Picture 29">
          <a:extLst>
            <a:ext uri="{FF2B5EF4-FFF2-40B4-BE49-F238E27FC236}">
              <a16:creationId xmlns:a16="http://schemas.microsoft.com/office/drawing/2014/main" id="{00000000-0008-0000-0700-00001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33775" y="117824250"/>
          <a:ext cx="2077357" cy="1016000"/>
        </a:xfrm>
        <a:prstGeom prst="rect">
          <a:avLst/>
        </a:prstGeom>
      </xdr:spPr>
    </xdr:pic>
    <xdr:clientData/>
  </xdr:oneCellAnchor>
  <xdr:oneCellAnchor>
    <xdr:from>
      <xdr:col>15</xdr:col>
      <xdr:colOff>0</xdr:colOff>
      <xdr:row>176</xdr:row>
      <xdr:rowOff>0</xdr:rowOff>
    </xdr:from>
    <xdr:ext cx="2077357" cy="1016000"/>
    <xdr:pic>
      <xdr:nvPicPr>
        <xdr:cNvPr id="31" name="Picture 30">
          <a:extLst>
            <a:ext uri="{FF2B5EF4-FFF2-40B4-BE49-F238E27FC236}">
              <a16:creationId xmlns:a16="http://schemas.microsoft.com/office/drawing/2014/main" id="{00000000-0008-0000-07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44075" y="117824250"/>
          <a:ext cx="2077357" cy="1016000"/>
        </a:xfrm>
        <a:prstGeom prst="rect">
          <a:avLst/>
        </a:prstGeom>
      </xdr:spPr>
    </xdr:pic>
    <xdr:clientData/>
  </xdr:oneCellAnchor>
  <xdr:oneCellAnchor>
    <xdr:from>
      <xdr:col>15</xdr:col>
      <xdr:colOff>0</xdr:colOff>
      <xdr:row>217</xdr:row>
      <xdr:rowOff>0</xdr:rowOff>
    </xdr:from>
    <xdr:ext cx="2077357" cy="1016000"/>
    <xdr:pic>
      <xdr:nvPicPr>
        <xdr:cNvPr id="32" name="Picture 31">
          <a:extLst>
            <a:ext uri="{FF2B5EF4-FFF2-40B4-BE49-F238E27FC236}">
              <a16:creationId xmlns:a16="http://schemas.microsoft.com/office/drawing/2014/main" id="{00000000-0008-0000-07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44075" y="125806200"/>
          <a:ext cx="2077357" cy="1016000"/>
        </a:xfrm>
        <a:prstGeom prst="rect">
          <a:avLst/>
        </a:prstGeom>
      </xdr:spPr>
    </xdr:pic>
    <xdr:clientData/>
  </xdr:oneCellAnchor>
  <xdr:oneCellAnchor>
    <xdr:from>
      <xdr:col>5</xdr:col>
      <xdr:colOff>209550</xdr:colOff>
      <xdr:row>216</xdr:row>
      <xdr:rowOff>161925</xdr:rowOff>
    </xdr:from>
    <xdr:ext cx="2077357" cy="1016000"/>
    <xdr:pic>
      <xdr:nvPicPr>
        <xdr:cNvPr id="33" name="Picture 32">
          <a:extLst>
            <a:ext uri="{FF2B5EF4-FFF2-40B4-BE49-F238E27FC236}">
              <a16:creationId xmlns:a16="http://schemas.microsoft.com/office/drawing/2014/main" id="{00000000-0008-0000-0700-00002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43325" y="125777625"/>
          <a:ext cx="2077357" cy="1016000"/>
        </a:xfrm>
        <a:prstGeom prst="rect">
          <a:avLst/>
        </a:prstGeom>
      </xdr:spPr>
    </xdr:pic>
    <xdr:clientData/>
  </xdr:oneCellAnchor>
  <xdr:oneCellAnchor>
    <xdr:from>
      <xdr:col>15</xdr:col>
      <xdr:colOff>0</xdr:colOff>
      <xdr:row>258</xdr:row>
      <xdr:rowOff>0</xdr:rowOff>
    </xdr:from>
    <xdr:ext cx="2077357" cy="1016000"/>
    <xdr:pic>
      <xdr:nvPicPr>
        <xdr:cNvPr id="38" name="Picture 37">
          <a:extLst>
            <a:ext uri="{FF2B5EF4-FFF2-40B4-BE49-F238E27FC236}">
              <a16:creationId xmlns:a16="http://schemas.microsoft.com/office/drawing/2014/main" id="{00000000-0008-0000-0700-00002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89583" y="93397917"/>
          <a:ext cx="2077357" cy="1016000"/>
        </a:xfrm>
        <a:prstGeom prst="rect">
          <a:avLst/>
        </a:prstGeom>
      </xdr:spPr>
    </xdr:pic>
    <xdr:clientData/>
  </xdr:oneCellAnchor>
  <xdr:oneCellAnchor>
    <xdr:from>
      <xdr:col>6</xdr:col>
      <xdr:colOff>0</xdr:colOff>
      <xdr:row>258</xdr:row>
      <xdr:rowOff>0</xdr:rowOff>
    </xdr:from>
    <xdr:ext cx="2077357" cy="1016000"/>
    <xdr:pic>
      <xdr:nvPicPr>
        <xdr:cNvPr id="39" name="Picture 38">
          <a:extLst>
            <a:ext uri="{FF2B5EF4-FFF2-40B4-BE49-F238E27FC236}">
              <a16:creationId xmlns:a16="http://schemas.microsoft.com/office/drawing/2014/main" id="{00000000-0008-0000-0700-00002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43375" y="141770100"/>
          <a:ext cx="2077357" cy="10160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9</xdr:col>
      <xdr:colOff>115372</xdr:colOff>
      <xdr:row>34</xdr:row>
      <xdr:rowOff>180975</xdr:rowOff>
    </xdr:from>
    <xdr:to>
      <xdr:col>12</xdr:col>
      <xdr:colOff>175079</xdr:colOff>
      <xdr:row>39</xdr:row>
      <xdr:rowOff>180975</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6347" y="7324725"/>
          <a:ext cx="1888507" cy="9525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552450</xdr:colOff>
      <xdr:row>33</xdr:row>
      <xdr:rowOff>19050</xdr:rowOff>
    </xdr:from>
    <xdr:to>
      <xdr:col>8</xdr:col>
      <xdr:colOff>323603</xdr:colOff>
      <xdr:row>38</xdr:row>
      <xdr:rowOff>180975</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29250" y="6829425"/>
          <a:ext cx="2209553" cy="11144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600075</xdr:colOff>
      <xdr:row>30</xdr:row>
      <xdr:rowOff>85726</xdr:rowOff>
    </xdr:from>
    <xdr:to>
      <xdr:col>9</xdr:col>
      <xdr:colOff>163492</xdr:colOff>
      <xdr:row>35</xdr:row>
      <xdr:rowOff>142876</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67425" y="6438901"/>
          <a:ext cx="2001817" cy="10096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47625</xdr:colOff>
      <xdr:row>32</xdr:row>
      <xdr:rowOff>86474</xdr:rowOff>
    </xdr:from>
    <xdr:to>
      <xdr:col>10</xdr:col>
      <xdr:colOff>609600</xdr:colOff>
      <xdr:row>37</xdr:row>
      <xdr:rowOff>32339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10350" y="6525374"/>
          <a:ext cx="1781175" cy="8983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247650</xdr:colOff>
      <xdr:row>20</xdr:row>
      <xdr:rowOff>104775</xdr:rowOff>
    </xdr:from>
    <xdr:to>
      <xdr:col>13</xdr:col>
      <xdr:colOff>283276</xdr:colOff>
      <xdr:row>25</xdr:row>
      <xdr:rowOff>111846</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19825" y="6153150"/>
          <a:ext cx="1902526" cy="95957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493569</xdr:colOff>
      <xdr:row>3</xdr:row>
      <xdr:rowOff>65937</xdr:rowOff>
    </xdr:to>
    <xdr:pic>
      <xdr:nvPicPr>
        <xdr:cNvPr id="2" name="Picture 7">
          <a:extLst>
            <a:ext uri="{FF2B5EF4-FFF2-40B4-BE49-F238E27FC236}">
              <a16:creationId xmlns:a16="http://schemas.microsoft.com/office/drawing/2014/main" id="{00000000-0008-0000-1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754100"/>
          <a:ext cx="1103169" cy="942237"/>
        </a:xfrm>
        <a:prstGeom prst="rect">
          <a:avLst/>
        </a:prstGeom>
        <a:solidFill>
          <a:srgbClr val="FFFFFF"/>
        </a:solidFill>
        <a:ln w="9525">
          <a:noFill/>
          <a:miter lim="800000"/>
          <a:headEnd/>
          <a:tailEnd/>
        </a:ln>
      </xdr:spPr>
    </xdr:pic>
    <xdr:clientData/>
  </xdr:twoCellAnchor>
  <xdr:twoCellAnchor editAs="oneCell">
    <xdr:from>
      <xdr:col>0</xdr:col>
      <xdr:colOff>0</xdr:colOff>
      <xdr:row>54</xdr:row>
      <xdr:rowOff>0</xdr:rowOff>
    </xdr:from>
    <xdr:to>
      <xdr:col>1</xdr:col>
      <xdr:colOff>493569</xdr:colOff>
      <xdr:row>57</xdr:row>
      <xdr:rowOff>65937</xdr:rowOff>
    </xdr:to>
    <xdr:pic>
      <xdr:nvPicPr>
        <xdr:cNvPr id="3" name="Picture 7">
          <a:extLst>
            <a:ext uri="{FF2B5EF4-FFF2-40B4-BE49-F238E27FC236}">
              <a16:creationId xmlns:a16="http://schemas.microsoft.com/office/drawing/2014/main" id="{00000000-0008-0000-1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099705" cy="940505"/>
        </a:xfrm>
        <a:prstGeom prst="rect">
          <a:avLst/>
        </a:prstGeom>
        <a:solidFill>
          <a:srgbClr val="FFFFFF"/>
        </a:solidFill>
        <a:ln w="9525">
          <a:noFill/>
          <a:miter lim="800000"/>
          <a:headEnd/>
          <a:tailEnd/>
        </a:ln>
      </xdr:spPr>
    </xdr:pic>
    <xdr:clientData/>
  </xdr:twoCellAnchor>
  <xdr:twoCellAnchor editAs="oneCell">
    <xdr:from>
      <xdr:col>0</xdr:col>
      <xdr:colOff>0</xdr:colOff>
      <xdr:row>108</xdr:row>
      <xdr:rowOff>0</xdr:rowOff>
    </xdr:from>
    <xdr:to>
      <xdr:col>1</xdr:col>
      <xdr:colOff>493569</xdr:colOff>
      <xdr:row>111</xdr:row>
      <xdr:rowOff>65937</xdr:rowOff>
    </xdr:to>
    <xdr:pic>
      <xdr:nvPicPr>
        <xdr:cNvPr id="4" name="Picture 7">
          <a:extLst>
            <a:ext uri="{FF2B5EF4-FFF2-40B4-BE49-F238E27FC236}">
              <a16:creationId xmlns:a16="http://schemas.microsoft.com/office/drawing/2014/main" id="{00000000-0008-0000-1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162</xdr:row>
      <xdr:rowOff>0</xdr:rowOff>
    </xdr:from>
    <xdr:to>
      <xdr:col>1</xdr:col>
      <xdr:colOff>493569</xdr:colOff>
      <xdr:row>165</xdr:row>
      <xdr:rowOff>65937</xdr:rowOff>
    </xdr:to>
    <xdr:pic>
      <xdr:nvPicPr>
        <xdr:cNvPr id="5" name="Picture 7">
          <a:extLst>
            <a:ext uri="{FF2B5EF4-FFF2-40B4-BE49-F238E27FC236}">
              <a16:creationId xmlns:a16="http://schemas.microsoft.com/office/drawing/2014/main" id="{00000000-0008-0000-15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216</xdr:row>
      <xdr:rowOff>0</xdr:rowOff>
    </xdr:from>
    <xdr:to>
      <xdr:col>1</xdr:col>
      <xdr:colOff>493569</xdr:colOff>
      <xdr:row>219</xdr:row>
      <xdr:rowOff>65937</xdr:rowOff>
    </xdr:to>
    <xdr:pic>
      <xdr:nvPicPr>
        <xdr:cNvPr id="6" name="Picture 7">
          <a:extLst>
            <a:ext uri="{FF2B5EF4-FFF2-40B4-BE49-F238E27FC236}">
              <a16:creationId xmlns:a16="http://schemas.microsoft.com/office/drawing/2014/main" id="{00000000-0008-0000-15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270</xdr:row>
      <xdr:rowOff>0</xdr:rowOff>
    </xdr:from>
    <xdr:to>
      <xdr:col>1</xdr:col>
      <xdr:colOff>493569</xdr:colOff>
      <xdr:row>273</xdr:row>
      <xdr:rowOff>65937</xdr:rowOff>
    </xdr:to>
    <xdr:pic>
      <xdr:nvPicPr>
        <xdr:cNvPr id="7" name="Picture 7">
          <a:extLst>
            <a:ext uri="{FF2B5EF4-FFF2-40B4-BE49-F238E27FC236}">
              <a16:creationId xmlns:a16="http://schemas.microsoft.com/office/drawing/2014/main" id="{00000000-0008-0000-15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324</xdr:row>
      <xdr:rowOff>0</xdr:rowOff>
    </xdr:from>
    <xdr:to>
      <xdr:col>1</xdr:col>
      <xdr:colOff>493569</xdr:colOff>
      <xdr:row>327</xdr:row>
      <xdr:rowOff>65937</xdr:rowOff>
    </xdr:to>
    <xdr:pic>
      <xdr:nvPicPr>
        <xdr:cNvPr id="8" name="Picture 7">
          <a:extLst>
            <a:ext uri="{FF2B5EF4-FFF2-40B4-BE49-F238E27FC236}">
              <a16:creationId xmlns:a16="http://schemas.microsoft.com/office/drawing/2014/main" id="{00000000-0008-0000-15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378</xdr:row>
      <xdr:rowOff>0</xdr:rowOff>
    </xdr:from>
    <xdr:to>
      <xdr:col>1</xdr:col>
      <xdr:colOff>493569</xdr:colOff>
      <xdr:row>381</xdr:row>
      <xdr:rowOff>65937</xdr:rowOff>
    </xdr:to>
    <xdr:pic>
      <xdr:nvPicPr>
        <xdr:cNvPr id="9" name="Picture 7">
          <a:extLst>
            <a:ext uri="{FF2B5EF4-FFF2-40B4-BE49-F238E27FC236}">
              <a16:creationId xmlns:a16="http://schemas.microsoft.com/office/drawing/2014/main" id="{00000000-0008-0000-15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432</xdr:row>
      <xdr:rowOff>138545</xdr:rowOff>
    </xdr:from>
    <xdr:to>
      <xdr:col>1</xdr:col>
      <xdr:colOff>493569</xdr:colOff>
      <xdr:row>435</xdr:row>
      <xdr:rowOff>51954</xdr:rowOff>
    </xdr:to>
    <xdr:pic>
      <xdr:nvPicPr>
        <xdr:cNvPr id="10" name="Picture 7">
          <a:extLst>
            <a:ext uri="{FF2B5EF4-FFF2-40B4-BE49-F238E27FC236}">
              <a16:creationId xmlns:a16="http://schemas.microsoft.com/office/drawing/2014/main" id="{00000000-0008-0000-15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485</xdr:row>
      <xdr:rowOff>138545</xdr:rowOff>
    </xdr:from>
    <xdr:to>
      <xdr:col>1</xdr:col>
      <xdr:colOff>493569</xdr:colOff>
      <xdr:row>488</xdr:row>
      <xdr:rowOff>129886</xdr:rowOff>
    </xdr:to>
    <xdr:pic>
      <xdr:nvPicPr>
        <xdr:cNvPr id="11" name="Picture 7">
          <a:extLst>
            <a:ext uri="{FF2B5EF4-FFF2-40B4-BE49-F238E27FC236}">
              <a16:creationId xmlns:a16="http://schemas.microsoft.com/office/drawing/2014/main" id="{00000000-0008-0000-15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536</xdr:row>
      <xdr:rowOff>138545</xdr:rowOff>
    </xdr:from>
    <xdr:to>
      <xdr:col>1</xdr:col>
      <xdr:colOff>493569</xdr:colOff>
      <xdr:row>539</xdr:row>
      <xdr:rowOff>155863</xdr:rowOff>
    </xdr:to>
    <xdr:pic>
      <xdr:nvPicPr>
        <xdr:cNvPr id="12" name="Picture 7">
          <a:extLst>
            <a:ext uri="{FF2B5EF4-FFF2-40B4-BE49-F238E27FC236}">
              <a16:creationId xmlns:a16="http://schemas.microsoft.com/office/drawing/2014/main" id="{00000000-0008-0000-15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23833659"/>
          <a:ext cx="1099705" cy="978477"/>
        </a:xfrm>
        <a:prstGeom prst="rect">
          <a:avLst/>
        </a:prstGeom>
        <a:solidFill>
          <a:srgbClr val="FFFFFF"/>
        </a:solidFill>
        <a:ln w="9525">
          <a:noFill/>
          <a:miter lim="800000"/>
          <a:headEnd/>
          <a:tailEn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207818</xdr:colOff>
      <xdr:row>0</xdr:row>
      <xdr:rowOff>77932</xdr:rowOff>
    </xdr:from>
    <xdr:to>
      <xdr:col>1</xdr:col>
      <xdr:colOff>457027</xdr:colOff>
      <xdr:row>3</xdr:row>
      <xdr:rowOff>116725</xdr:rowOff>
    </xdr:to>
    <xdr:pic>
      <xdr:nvPicPr>
        <xdr:cNvPr id="5" name="Picture 7">
          <a:extLst>
            <a:ext uri="{FF2B5EF4-FFF2-40B4-BE49-F238E27FC236}">
              <a16:creationId xmlns:a16="http://schemas.microsoft.com/office/drawing/2014/main" id="{00000000-0008-0000-16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7818" y="77932"/>
          <a:ext cx="855345" cy="731520"/>
        </a:xfrm>
        <a:prstGeom prst="rect">
          <a:avLst/>
        </a:prstGeom>
        <a:solidFill>
          <a:srgbClr val="FFFFFF"/>
        </a:solidFill>
        <a:ln w="9525">
          <a:noFill/>
          <a:miter lim="800000"/>
          <a:headEnd/>
          <a:tailEnd/>
        </a:ln>
      </xdr:spPr>
    </xdr:pic>
    <xdr:clientData/>
  </xdr:twoCellAnchor>
  <xdr:twoCellAnchor editAs="oneCell">
    <xdr:from>
      <xdr:col>0</xdr:col>
      <xdr:colOff>112568</xdr:colOff>
      <xdr:row>58</xdr:row>
      <xdr:rowOff>112568</xdr:rowOff>
    </xdr:from>
    <xdr:to>
      <xdr:col>1</xdr:col>
      <xdr:colOff>294410</xdr:colOff>
      <xdr:row>60</xdr:row>
      <xdr:rowOff>272239</xdr:rowOff>
    </xdr:to>
    <xdr:pic>
      <xdr:nvPicPr>
        <xdr:cNvPr id="3" name="Picture 7">
          <a:extLst>
            <a:ext uri="{FF2B5EF4-FFF2-40B4-BE49-F238E27FC236}">
              <a16:creationId xmlns:a16="http://schemas.microsoft.com/office/drawing/2014/main" id="{00000000-0008-0000-16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115</xdr:row>
      <xdr:rowOff>112568</xdr:rowOff>
    </xdr:from>
    <xdr:to>
      <xdr:col>1</xdr:col>
      <xdr:colOff>294410</xdr:colOff>
      <xdr:row>117</xdr:row>
      <xdr:rowOff>272239</xdr:rowOff>
    </xdr:to>
    <xdr:pic>
      <xdr:nvPicPr>
        <xdr:cNvPr id="4" name="Picture 7">
          <a:extLst>
            <a:ext uri="{FF2B5EF4-FFF2-40B4-BE49-F238E27FC236}">
              <a16:creationId xmlns:a16="http://schemas.microsoft.com/office/drawing/2014/main" id="{00000000-0008-0000-16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171</xdr:row>
      <xdr:rowOff>112568</xdr:rowOff>
    </xdr:from>
    <xdr:to>
      <xdr:col>1</xdr:col>
      <xdr:colOff>294410</xdr:colOff>
      <xdr:row>173</xdr:row>
      <xdr:rowOff>272239</xdr:rowOff>
    </xdr:to>
    <xdr:pic>
      <xdr:nvPicPr>
        <xdr:cNvPr id="6" name="Picture 7">
          <a:extLst>
            <a:ext uri="{FF2B5EF4-FFF2-40B4-BE49-F238E27FC236}">
              <a16:creationId xmlns:a16="http://schemas.microsoft.com/office/drawing/2014/main" id="{00000000-0008-0000-16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27544568"/>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227</xdr:row>
      <xdr:rowOff>112568</xdr:rowOff>
    </xdr:from>
    <xdr:to>
      <xdr:col>1</xdr:col>
      <xdr:colOff>294410</xdr:colOff>
      <xdr:row>229</xdr:row>
      <xdr:rowOff>272239</xdr:rowOff>
    </xdr:to>
    <xdr:pic>
      <xdr:nvPicPr>
        <xdr:cNvPr id="7" name="Picture 7">
          <a:extLst>
            <a:ext uri="{FF2B5EF4-FFF2-40B4-BE49-F238E27FC236}">
              <a16:creationId xmlns:a16="http://schemas.microsoft.com/office/drawing/2014/main" id="{00000000-0008-0000-16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283</xdr:row>
      <xdr:rowOff>112568</xdr:rowOff>
    </xdr:from>
    <xdr:to>
      <xdr:col>1</xdr:col>
      <xdr:colOff>294410</xdr:colOff>
      <xdr:row>285</xdr:row>
      <xdr:rowOff>186514</xdr:rowOff>
    </xdr:to>
    <xdr:pic>
      <xdr:nvPicPr>
        <xdr:cNvPr id="8" name="Picture 7">
          <a:extLst>
            <a:ext uri="{FF2B5EF4-FFF2-40B4-BE49-F238E27FC236}">
              <a16:creationId xmlns:a16="http://schemas.microsoft.com/office/drawing/2014/main" id="{00000000-0008-0000-16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95250</xdr:colOff>
      <xdr:row>339</xdr:row>
      <xdr:rowOff>164522</xdr:rowOff>
    </xdr:from>
    <xdr:to>
      <xdr:col>1</xdr:col>
      <xdr:colOff>277092</xdr:colOff>
      <xdr:row>342</xdr:row>
      <xdr:rowOff>69272</xdr:rowOff>
    </xdr:to>
    <xdr:pic>
      <xdr:nvPicPr>
        <xdr:cNvPr id="9" name="Picture 8">
          <a:extLst>
            <a:ext uri="{FF2B5EF4-FFF2-40B4-BE49-F238E27FC236}">
              <a16:creationId xmlns:a16="http://schemas.microsoft.com/office/drawing/2014/main" id="{00000000-0008-0000-16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395</xdr:row>
      <xdr:rowOff>138545</xdr:rowOff>
    </xdr:from>
    <xdr:to>
      <xdr:col>1</xdr:col>
      <xdr:colOff>277092</xdr:colOff>
      <xdr:row>398</xdr:row>
      <xdr:rowOff>147205</xdr:rowOff>
    </xdr:to>
    <xdr:pic>
      <xdr:nvPicPr>
        <xdr:cNvPr id="10" name="Picture 9">
          <a:extLst>
            <a:ext uri="{FF2B5EF4-FFF2-40B4-BE49-F238E27FC236}">
              <a16:creationId xmlns:a16="http://schemas.microsoft.com/office/drawing/2014/main" id="{00000000-0008-0000-16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96159204"/>
          <a:ext cx="787978" cy="684069"/>
        </a:xfrm>
        <a:prstGeom prst="rect">
          <a:avLst/>
        </a:prstGeom>
        <a:solidFill>
          <a:srgbClr val="FFFFFF"/>
        </a:solidFill>
        <a:ln w="9525">
          <a:noFill/>
          <a:miter lim="800000"/>
          <a:headEnd/>
          <a:tailEnd/>
        </a:ln>
      </xdr:spPr>
    </xdr:pic>
    <xdr:clientData/>
  </xdr:twoCellAnchor>
  <xdr:twoCellAnchor editAs="oneCell">
    <xdr:from>
      <xdr:col>0</xdr:col>
      <xdr:colOff>95250</xdr:colOff>
      <xdr:row>450</xdr:row>
      <xdr:rowOff>164522</xdr:rowOff>
    </xdr:from>
    <xdr:to>
      <xdr:col>1</xdr:col>
      <xdr:colOff>277092</xdr:colOff>
      <xdr:row>453</xdr:row>
      <xdr:rowOff>346363</xdr:rowOff>
    </xdr:to>
    <xdr:pic>
      <xdr:nvPicPr>
        <xdr:cNvPr id="11" name="Picture 10">
          <a:extLst>
            <a:ext uri="{FF2B5EF4-FFF2-40B4-BE49-F238E27FC236}">
              <a16:creationId xmlns:a16="http://schemas.microsoft.com/office/drawing/2014/main" id="{00000000-0008-0000-16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504</xdr:row>
      <xdr:rowOff>164522</xdr:rowOff>
    </xdr:from>
    <xdr:to>
      <xdr:col>1</xdr:col>
      <xdr:colOff>277092</xdr:colOff>
      <xdr:row>508</xdr:row>
      <xdr:rowOff>43295</xdr:rowOff>
    </xdr:to>
    <xdr:pic>
      <xdr:nvPicPr>
        <xdr:cNvPr id="12" name="Picture 11">
          <a:extLst>
            <a:ext uri="{FF2B5EF4-FFF2-40B4-BE49-F238E27FC236}">
              <a16:creationId xmlns:a16="http://schemas.microsoft.com/office/drawing/2014/main" id="{00000000-0008-0000-16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twoCellAnchor editAs="oneCell">
    <xdr:from>
      <xdr:col>0</xdr:col>
      <xdr:colOff>95250</xdr:colOff>
      <xdr:row>558</xdr:row>
      <xdr:rowOff>164522</xdr:rowOff>
    </xdr:from>
    <xdr:to>
      <xdr:col>1</xdr:col>
      <xdr:colOff>277092</xdr:colOff>
      <xdr:row>561</xdr:row>
      <xdr:rowOff>90054</xdr:rowOff>
    </xdr:to>
    <xdr:pic>
      <xdr:nvPicPr>
        <xdr:cNvPr id="13" name="Picture 12">
          <a:extLst>
            <a:ext uri="{FF2B5EF4-FFF2-40B4-BE49-F238E27FC236}">
              <a16:creationId xmlns:a16="http://schemas.microsoft.com/office/drawing/2014/main" id="{00000000-0008-0000-1600-00000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20B%20URGEON-PAY%20SHEET%20April-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addi/Desktop/&amp;&amp;%5e%5eBURGEONPAY%20SHEET%20March-22%2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dmin/Downloads/RAJU-AIMITRA-%20JULY21-%20Hyderabad%20SEZ.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Users\user\Desktop\1.Burgeon%20IT%20Services%20Pvt.Ltd\Burgeon%20February%20%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 sheet-APRIL- 2022"/>
      <sheetName val="Emp Details "/>
      <sheetName val="kaja Venkat Ragavendra"/>
      <sheetName val="Venegella Kanaka durga"/>
      <sheetName val="Moeenahmed Shakilahmed Shaikh"/>
      <sheetName val="AKASH DEEP CHUNAP "/>
      <sheetName val="Gaunda Mohammad Arief"/>
      <sheetName val="KRANTHI KUMAR VEDULLA"/>
      <sheetName val="Vipin U.N"/>
      <sheetName val="VeerendraBabu Galam"/>
      <sheetName val="Haneef"/>
      <sheetName val="Ved Prakash"/>
      <sheetName val="GauravVispute"/>
      <sheetName val="Amith a"/>
      <sheetName val="RajasekharReddy KN"/>
      <sheetName val="Moulika GM"/>
      <sheetName val="AsokKumar J"/>
      <sheetName val="RUKNUDEEN S"/>
      <sheetName val="Rajesh Kongara"/>
      <sheetName val="Yarramaddu Raveendra Reddy"/>
      <sheetName val="Naresh Kandhula"/>
      <sheetName val="Reno Vijayan"/>
      <sheetName val="Majed Khan"/>
      <sheetName val="SathishKumar V"/>
      <sheetName val="Madan"/>
      <sheetName val="Kutagolla Mohazzer"/>
      <sheetName val="Sachin Ameshram"/>
      <sheetName val="Srikanth Thota"/>
      <sheetName val="Shekhar Panchal"/>
      <sheetName val="Girish Bandi"/>
      <sheetName val="DESIR KOIPURATH"/>
      <sheetName val="Chitra Kulkarni"/>
      <sheetName val="Barathiyar A"/>
      <sheetName val="Kumaravel M"/>
      <sheetName val="CHANDRASEHARAN GERORGE"/>
      <sheetName val="Kannan Selvakumar"/>
      <sheetName val="VISHNUPRASATH T"/>
      <sheetName val="Nagaranjan S"/>
      <sheetName val="ELAMPARITHI SB"/>
      <sheetName val="KISHANPRASAD GANDHE"/>
      <sheetName val="Sunnapalli Anil"/>
      <sheetName val="Varsha Bollu"/>
      <sheetName val="Bhaskar Reddy Sudha"/>
      <sheetName val="BHARGAVI .R"/>
      <sheetName val="Shiva Krishna"/>
      <sheetName val="ARJUN PUNDLIK JOSHI"/>
      <sheetName val="Karthick G"/>
      <sheetName val="Somisetty VenkataKrishna"/>
      <sheetName val="CHEREDDY MURALI KRISHNA NAIDU"/>
      <sheetName val="Gangadhar Yarabham"/>
      <sheetName val="Himanshu Anand"/>
      <sheetName val="Kanchupati Kondaiah"/>
      <sheetName val="Santosh Patel"/>
      <sheetName val="Saleem Ahmed Natamkar"/>
      <sheetName val="Sambasivarao M"/>
      <sheetName val="Basweshwar Pawar"/>
      <sheetName val="K V Kannan"/>
      <sheetName val="Thanigaivel.J"/>
      <sheetName val="gopi reddy chirra"/>
      <sheetName val="Anil kumar Redd kusam"/>
      <sheetName val="Vijay Kumar Sundara"/>
      <sheetName val="Paparao"/>
      <sheetName val="Bhaskar Idagottu"/>
      <sheetName val="Snehal Shirsat"/>
      <sheetName val="Shaikh Mohammed Sartaj"/>
      <sheetName val="Dinesh Kumar Maran"/>
      <sheetName val="Ranjith Kumar Karanam"/>
      <sheetName val="Shashanki Mishra"/>
      <sheetName val="Anjali Dubey"/>
      <sheetName val="Manzoor Ahamed"/>
      <sheetName val="Moin Ahemad jahur"/>
      <sheetName val="Hemanth Mishra"/>
      <sheetName val="Sandeep Kumar Gupta"/>
      <sheetName val="FAZALAHMED IRKAL"/>
      <sheetName val="Savana Saritha Dora"/>
      <sheetName val="SUKRUTH YELLAMBOTLA"/>
      <sheetName val="Mandar Shetty"/>
      <sheetName val="Ramakrishna J Reddy"/>
      <sheetName val="Vivek Dongre "/>
      <sheetName val="Praveen Kumar Beesabat"/>
      <sheetName val="Amit Chawadi"/>
      <sheetName val="Nikhila Kaveri "/>
      <sheetName val="Ashwini Nanaware"/>
      <sheetName val="Kaushal Sushil Sharma"/>
      <sheetName val="Praveen Kumar Tandra"/>
      <sheetName val="Arvind Akhare"/>
      <sheetName val="Pallavi Rishikesh Naik"/>
      <sheetName val="Ajay Singh"/>
      <sheetName val="TUSHAR UCHAGAONKAR"/>
      <sheetName val="PRAVEEN M"/>
      <sheetName val="Amit Kumar"/>
      <sheetName val="Pranav Thakare"/>
      <sheetName val="Nagarjun KV"/>
      <sheetName val="Thaposh Ghosh"/>
      <sheetName val="Boopathi Palani "/>
      <sheetName val="Sneha Hande"/>
      <sheetName val="JNANESWARARAO G"/>
      <sheetName val="Asita Kumar Sahoo"/>
      <sheetName val="Nagashree Narayan"/>
      <sheetName val="Amarnath Reddy"/>
      <sheetName val=" Rajesh Dhumal"/>
      <sheetName val="Amol Gole "/>
      <sheetName val="Srinivasa Rao yellaneni"/>
      <sheetName val="Sandeep Dixit"/>
      <sheetName val="Shridhar Madlur"/>
      <sheetName val="Samarjit Saha"/>
      <sheetName val="Arun kh"/>
      <sheetName val="Ajay Pal Singh"/>
      <sheetName val="Narasimha rao Gurazala"/>
      <sheetName val="Arun Arra"/>
      <sheetName val="Ramya Nalla"/>
      <sheetName val="SYED  MOHAMMED AZHER"/>
      <sheetName val="Uma  Mahesh P"/>
      <sheetName val="GONTHINI  SAIBABU"/>
      <sheetName val="Pavan  Nagendra Tatina"/>
      <sheetName val="Mohd  Azhar Shareef"/>
      <sheetName val="NAGA SAI TEJA NUTHI"/>
      <sheetName val="Mani Krishna Nandineedi"/>
      <sheetName val="Sushma P"/>
      <sheetName val="PAVANKUMAR"/>
      <sheetName val="Jaikesh Upadhyay  "/>
      <sheetName val="Mahanth Devasani"/>
      <sheetName val="ROOPINI CHIYYARAPU"/>
      <sheetName val="Jyoti Singh"/>
      <sheetName val="Inturi Ramakrishna"/>
      <sheetName val="D.Santhoshi"/>
      <sheetName val="Bharath"/>
      <sheetName val="NEERUDU SAI KUMAR"/>
      <sheetName val="Ramineni Abhilash"/>
      <sheetName val="SRILATHA"/>
      <sheetName val="Reshma Punde"/>
      <sheetName val="Shantanu Patankar "/>
      <sheetName val="YAMUNA S "/>
      <sheetName val="ChetanMadhukar Mundhe "/>
      <sheetName val="Chandrashekar Patil"/>
      <sheetName val="ShaikFarooq Basha "/>
      <sheetName val="SathishKumar dhandu"/>
      <sheetName val=" SURESH Kumar KOLA"/>
      <sheetName val="Varalakshmi Vijay"/>
      <sheetName val="Rammohan Mothukuri"/>
      <sheetName val="NILOTPAL BHOWAL"/>
      <sheetName val="PraveenKumar GATTU"/>
      <sheetName val="ANILKUMAR MUMMANA"/>
      <sheetName val="susheelKumar Gabndla"/>
      <sheetName val="Ravi Gande "/>
      <sheetName val="Rahul Suryawanshi"/>
    </sheetNames>
    <sheetDataSet>
      <sheetData sheetId="0">
        <row r="4">
          <cell r="C4" t="str">
            <v>BITS-432</v>
          </cell>
          <cell r="D4">
            <v>275531</v>
          </cell>
          <cell r="E4" t="str">
            <v>kaja Venkat Ragavendra</v>
          </cell>
          <cell r="F4" t="str">
            <v>HYD SEZ</v>
          </cell>
          <cell r="G4">
            <v>95000</v>
          </cell>
          <cell r="H4">
            <v>84913</v>
          </cell>
          <cell r="I4">
            <v>30</v>
          </cell>
          <cell r="J4">
            <v>29</v>
          </cell>
          <cell r="K4">
            <v>1</v>
          </cell>
          <cell r="L4">
            <v>30</v>
          </cell>
          <cell r="M4">
            <v>50947.8</v>
          </cell>
          <cell r="N4">
            <v>20379.120000000003</v>
          </cell>
          <cell r="O4">
            <v>2083</v>
          </cell>
          <cell r="P4">
            <v>2083</v>
          </cell>
          <cell r="Q4">
            <v>9533.0799999999872</v>
          </cell>
          <cell r="R4">
            <v>85026</v>
          </cell>
          <cell r="S4">
            <v>1950</v>
          </cell>
          <cell r="T4">
            <v>1554.6089999999999</v>
          </cell>
          <cell r="U4">
            <v>2450.5891799999999</v>
          </cell>
          <cell r="V4">
            <v>4245.6500000000005</v>
          </cell>
          <cell r="W4">
            <v>95227.848179999986</v>
          </cell>
          <cell r="Y4">
            <v>85026</v>
          </cell>
          <cell r="AA4">
            <v>200</v>
          </cell>
          <cell r="AB4">
            <v>1800</v>
          </cell>
          <cell r="AC4">
            <v>391.787848</v>
          </cell>
          <cell r="AE4">
            <v>2391.7878479999999</v>
          </cell>
          <cell r="AF4">
            <v>90884.848179999986</v>
          </cell>
        </row>
        <row r="5">
          <cell r="C5" t="str">
            <v>BITS-461</v>
          </cell>
          <cell r="D5">
            <v>261521</v>
          </cell>
          <cell r="E5" t="str">
            <v>Venegella Kanaka durga</v>
          </cell>
          <cell r="F5" t="str">
            <v>PUNE SEZ 1</v>
          </cell>
          <cell r="G5">
            <v>85000</v>
          </cell>
          <cell r="H5">
            <v>75643</v>
          </cell>
          <cell r="I5">
            <v>30</v>
          </cell>
          <cell r="J5">
            <v>29</v>
          </cell>
          <cell r="K5">
            <v>1</v>
          </cell>
          <cell r="L5">
            <v>30</v>
          </cell>
          <cell r="M5">
            <v>45385.8</v>
          </cell>
          <cell r="N5">
            <v>18154.320000000003</v>
          </cell>
          <cell r="O5">
            <v>2083</v>
          </cell>
          <cell r="P5">
            <v>2083</v>
          </cell>
          <cell r="Q5">
            <v>8049.8799999999901</v>
          </cell>
          <cell r="R5">
            <v>75756</v>
          </cell>
          <cell r="S5">
            <v>1950</v>
          </cell>
          <cell r="T5">
            <v>1554.6089999999999</v>
          </cell>
          <cell r="U5">
            <v>2183.0569799999998</v>
          </cell>
          <cell r="V5">
            <v>3782.15</v>
          </cell>
          <cell r="W5">
            <v>85225.815979999985</v>
          </cell>
          <cell r="Y5">
            <v>75756</v>
          </cell>
          <cell r="AA5">
            <v>200</v>
          </cell>
          <cell r="AB5">
            <v>1800</v>
          </cell>
          <cell r="AC5">
            <v>391.787848</v>
          </cell>
          <cell r="AE5">
            <v>2391.7878479999999</v>
          </cell>
          <cell r="AF5">
            <v>80883.815979999985</v>
          </cell>
        </row>
        <row r="6">
          <cell r="C6" t="str">
            <v>BITS-469</v>
          </cell>
          <cell r="D6">
            <v>2100155</v>
          </cell>
          <cell r="E6" t="str">
            <v>Moeenahmed Shakilahmed Shaikh</v>
          </cell>
          <cell r="F6" t="str">
            <v>PUNE SEZ 1</v>
          </cell>
          <cell r="G6">
            <v>165000</v>
          </cell>
          <cell r="H6">
            <v>149795</v>
          </cell>
          <cell r="I6">
            <v>30</v>
          </cell>
          <cell r="J6">
            <v>30</v>
          </cell>
          <cell r="L6">
            <v>30</v>
          </cell>
          <cell r="M6">
            <v>89877</v>
          </cell>
          <cell r="N6">
            <v>35950.800000000003</v>
          </cell>
          <cell r="O6">
            <v>2083</v>
          </cell>
          <cell r="P6">
            <v>2083</v>
          </cell>
          <cell r="Q6">
            <v>19914.199999999997</v>
          </cell>
          <cell r="R6">
            <v>149908</v>
          </cell>
          <cell r="S6">
            <v>1950</v>
          </cell>
          <cell r="T6">
            <v>1554.6089999999999</v>
          </cell>
          <cell r="U6">
            <v>4323.0836999999992</v>
          </cell>
          <cell r="V6">
            <v>7489.75</v>
          </cell>
          <cell r="W6">
            <v>165225.44269999996</v>
          </cell>
          <cell r="Y6">
            <v>149908</v>
          </cell>
          <cell r="AA6">
            <v>200</v>
          </cell>
          <cell r="AB6">
            <v>6000</v>
          </cell>
          <cell r="AC6">
            <v>440.76132899999999</v>
          </cell>
          <cell r="AE6">
            <v>6640.7613289999999</v>
          </cell>
          <cell r="AF6">
            <v>156634.44269999999</v>
          </cell>
        </row>
        <row r="7">
          <cell r="C7" t="str">
            <v>BITS-485</v>
          </cell>
          <cell r="D7">
            <v>2101796</v>
          </cell>
          <cell r="E7" t="str">
            <v xml:space="preserve">AKASH DEEP CHUNAP </v>
          </cell>
          <cell r="F7" t="str">
            <v>BNG STP</v>
          </cell>
          <cell r="G7">
            <v>150000</v>
          </cell>
          <cell r="H7">
            <v>135892</v>
          </cell>
          <cell r="I7">
            <v>30</v>
          </cell>
          <cell r="J7">
            <v>30</v>
          </cell>
          <cell r="L7">
            <v>30</v>
          </cell>
          <cell r="M7">
            <v>81535.199999999997</v>
          </cell>
          <cell r="N7">
            <v>32614.080000000002</v>
          </cell>
          <cell r="O7">
            <v>2083</v>
          </cell>
          <cell r="P7">
            <v>2083</v>
          </cell>
          <cell r="Q7">
            <v>17689.72</v>
          </cell>
          <cell r="R7">
            <v>136005</v>
          </cell>
          <cell r="S7">
            <v>1950</v>
          </cell>
          <cell r="T7">
            <v>1554.6089999999999</v>
          </cell>
          <cell r="U7">
            <v>3921.8431199999995</v>
          </cell>
          <cell r="V7">
            <v>6794.5999999999995</v>
          </cell>
          <cell r="W7">
            <v>150226.05212000001</v>
          </cell>
          <cell r="Y7">
            <v>136005</v>
          </cell>
          <cell r="AA7">
            <v>200</v>
          </cell>
          <cell r="AB7">
            <v>1800</v>
          </cell>
          <cell r="AE7">
            <v>2000</v>
          </cell>
          <cell r="AF7">
            <v>146276.05212000001</v>
          </cell>
        </row>
        <row r="8">
          <cell r="C8" t="str">
            <v>BITS-500</v>
          </cell>
          <cell r="D8">
            <v>2103494</v>
          </cell>
          <cell r="E8" t="str">
            <v>Gaunda Mohammad Arief</v>
          </cell>
          <cell r="F8" t="str">
            <v>Gurgaon STP</v>
          </cell>
          <cell r="G8">
            <v>90000</v>
          </cell>
          <cell r="H8">
            <v>80278</v>
          </cell>
          <cell r="I8">
            <v>30</v>
          </cell>
          <cell r="J8">
            <v>28</v>
          </cell>
          <cell r="K8">
            <v>2</v>
          </cell>
          <cell r="L8">
            <v>29</v>
          </cell>
          <cell r="M8">
            <v>46561.24</v>
          </cell>
          <cell r="N8">
            <v>18624.495999999999</v>
          </cell>
          <cell r="O8">
            <v>2014</v>
          </cell>
          <cell r="P8">
            <v>2014</v>
          </cell>
          <cell r="Q8">
            <v>8501.3306666666613</v>
          </cell>
          <cell r="R8">
            <v>77715.066666666666</v>
          </cell>
          <cell r="S8">
            <v>1950</v>
          </cell>
          <cell r="T8">
            <v>1554.6089999999999</v>
          </cell>
          <cell r="U8">
            <v>2239.5956439999995</v>
          </cell>
          <cell r="V8">
            <v>3880.103333333333</v>
          </cell>
          <cell r="W8">
            <v>87339.374643999996</v>
          </cell>
          <cell r="Y8">
            <v>77715.066666666666</v>
          </cell>
          <cell r="AA8">
            <v>200</v>
          </cell>
          <cell r="AB8">
            <v>1800</v>
          </cell>
          <cell r="AC8">
            <v>440.76132899999999</v>
          </cell>
          <cell r="AE8">
            <v>2440.7613289999999</v>
          </cell>
          <cell r="AF8">
            <v>82948.30797733333</v>
          </cell>
        </row>
        <row r="9">
          <cell r="C9" t="str">
            <v>BITS-501</v>
          </cell>
          <cell r="D9">
            <v>2104022</v>
          </cell>
          <cell r="E9" t="str">
            <v>KRANTHI KUMAR VEDULLA</v>
          </cell>
          <cell r="F9" t="str">
            <v>Bhubaneshwar STP</v>
          </cell>
          <cell r="G9">
            <v>95000</v>
          </cell>
          <cell r="H9">
            <v>84912</v>
          </cell>
          <cell r="I9">
            <v>30</v>
          </cell>
          <cell r="J9">
            <v>30</v>
          </cell>
          <cell r="L9">
            <v>30</v>
          </cell>
          <cell r="M9">
            <v>50947.199999999997</v>
          </cell>
          <cell r="N9">
            <v>20378.88</v>
          </cell>
          <cell r="O9">
            <v>2083</v>
          </cell>
          <cell r="P9">
            <v>2083</v>
          </cell>
          <cell r="Q9">
            <v>9532.9199999999983</v>
          </cell>
          <cell r="R9">
            <v>85025</v>
          </cell>
          <cell r="S9">
            <v>1950</v>
          </cell>
          <cell r="T9">
            <v>1554.6089999999999</v>
          </cell>
          <cell r="U9">
            <v>2450.5603199999996</v>
          </cell>
          <cell r="V9">
            <v>4245.5999999999995</v>
          </cell>
          <cell r="W9">
            <v>95225.769320000007</v>
          </cell>
          <cell r="Y9">
            <v>85025</v>
          </cell>
          <cell r="AA9">
            <v>200</v>
          </cell>
          <cell r="AB9">
            <v>1800</v>
          </cell>
          <cell r="AC9">
            <v>391.787848</v>
          </cell>
          <cell r="AE9">
            <v>2391.7878479999999</v>
          </cell>
          <cell r="AF9">
            <v>90883.769320000007</v>
          </cell>
        </row>
        <row r="10">
          <cell r="C10" t="str">
            <v>BITS-507</v>
          </cell>
          <cell r="D10">
            <v>2104015</v>
          </cell>
          <cell r="E10" t="str">
            <v>Vipin U.N 8-4-2022</v>
          </cell>
          <cell r="F10" t="str">
            <v>Bhubaneshwar STP</v>
          </cell>
          <cell r="G10" t="str">
            <v xml:space="preserve"> 1,17,000</v>
          </cell>
          <cell r="H10">
            <v>105304</v>
          </cell>
          <cell r="I10">
            <v>30</v>
          </cell>
          <cell r="J10">
            <v>8</v>
          </cell>
          <cell r="L10">
            <v>8</v>
          </cell>
          <cell r="M10">
            <v>16848.64</v>
          </cell>
          <cell r="N10">
            <v>6739.4560000000001</v>
          </cell>
          <cell r="O10">
            <v>555</v>
          </cell>
          <cell r="P10">
            <v>555</v>
          </cell>
          <cell r="Q10">
            <v>3495.970666666668</v>
          </cell>
          <cell r="R10">
            <v>28194.066666666666</v>
          </cell>
          <cell r="S10">
            <v>1950</v>
          </cell>
          <cell r="T10">
            <v>1554.6089999999999</v>
          </cell>
          <cell r="U10">
            <v>810.41958399999987</v>
          </cell>
          <cell r="V10">
            <v>1404.0533333333333</v>
          </cell>
          <cell r="W10">
            <v>33913.148583999995</v>
          </cell>
          <cell r="Y10">
            <v>28194.066666666666</v>
          </cell>
          <cell r="AA10">
            <v>200</v>
          </cell>
          <cell r="AB10">
            <v>1800</v>
          </cell>
          <cell r="AC10">
            <v>391.787848</v>
          </cell>
          <cell r="AE10">
            <v>2391.7878479999999</v>
          </cell>
          <cell r="AF10">
            <v>29571.081917333333</v>
          </cell>
        </row>
        <row r="11">
          <cell r="C11" t="str">
            <v>BITS-528</v>
          </cell>
          <cell r="D11">
            <v>2107380</v>
          </cell>
          <cell r="E11" t="str">
            <v>VeerendraBabu Galam</v>
          </cell>
          <cell r="F11" t="str">
            <v>HYD SEZ</v>
          </cell>
          <cell r="G11">
            <v>75000</v>
          </cell>
          <cell r="H11">
            <v>66374</v>
          </cell>
          <cell r="I11">
            <v>30</v>
          </cell>
          <cell r="J11">
            <v>30</v>
          </cell>
          <cell r="L11">
            <v>30</v>
          </cell>
          <cell r="M11">
            <v>39824.400000000001</v>
          </cell>
          <cell r="N11">
            <v>15929.760000000002</v>
          </cell>
          <cell r="O11">
            <v>2083</v>
          </cell>
          <cell r="P11">
            <v>2083</v>
          </cell>
          <cell r="Q11">
            <v>6566.8399999999965</v>
          </cell>
          <cell r="R11">
            <v>66487</v>
          </cell>
          <cell r="S11">
            <v>1950</v>
          </cell>
          <cell r="T11">
            <v>1554.6089999999999</v>
          </cell>
          <cell r="U11">
            <v>1915.5536400000001</v>
          </cell>
          <cell r="V11">
            <v>3318.7000000000003</v>
          </cell>
          <cell r="W11">
            <v>75225.862639999992</v>
          </cell>
          <cell r="Y11">
            <v>66487</v>
          </cell>
          <cell r="AA11">
            <v>200</v>
          </cell>
          <cell r="AB11">
            <v>1800</v>
          </cell>
          <cell r="AC11">
            <v>391.787848</v>
          </cell>
          <cell r="AE11">
            <v>2391.7878479999999</v>
          </cell>
          <cell r="AF11">
            <v>70883.862639999992</v>
          </cell>
        </row>
        <row r="12">
          <cell r="C12" t="str">
            <v>BITS-542</v>
          </cell>
          <cell r="D12">
            <v>2108578</v>
          </cell>
          <cell r="E12" t="str">
            <v>Haneef</v>
          </cell>
          <cell r="F12" t="str">
            <v>PUNE ASC SEZ</v>
          </cell>
          <cell r="G12">
            <v>70000</v>
          </cell>
          <cell r="H12">
            <v>61740</v>
          </cell>
          <cell r="I12">
            <v>30</v>
          </cell>
          <cell r="J12">
            <v>30</v>
          </cell>
          <cell r="L12">
            <v>30</v>
          </cell>
          <cell r="M12">
            <v>37044</v>
          </cell>
          <cell r="N12">
            <v>14817.6</v>
          </cell>
          <cell r="O12">
            <v>2083</v>
          </cell>
          <cell r="P12">
            <v>2083</v>
          </cell>
          <cell r="Q12">
            <v>5825.4000000000015</v>
          </cell>
          <cell r="R12">
            <v>61853</v>
          </cell>
          <cell r="S12">
            <v>1950</v>
          </cell>
          <cell r="T12">
            <v>1554.6089999999999</v>
          </cell>
          <cell r="U12">
            <v>1781.8163999999999</v>
          </cell>
          <cell r="V12">
            <v>3087</v>
          </cell>
          <cell r="W12">
            <v>70226.425400000007</v>
          </cell>
          <cell r="Y12">
            <v>61853</v>
          </cell>
          <cell r="AA12">
            <v>200</v>
          </cell>
          <cell r="AB12">
            <v>1800</v>
          </cell>
          <cell r="AC12">
            <v>391.787848</v>
          </cell>
          <cell r="AE12">
            <v>2391.7878479999999</v>
          </cell>
          <cell r="AF12">
            <v>65884.425400000007</v>
          </cell>
        </row>
        <row r="13">
          <cell r="C13" t="str">
            <v>BITS-557</v>
          </cell>
          <cell r="D13">
            <v>2109800</v>
          </cell>
          <cell r="E13" t="str">
            <v>Ved Prakash 20-4-2022</v>
          </cell>
          <cell r="F13" t="str">
            <v>PUNE ASC SEZ</v>
          </cell>
          <cell r="G13">
            <v>80000</v>
          </cell>
          <cell r="H13">
            <v>71009</v>
          </cell>
          <cell r="I13">
            <v>30</v>
          </cell>
          <cell r="J13">
            <v>20</v>
          </cell>
          <cell r="L13">
            <v>20</v>
          </cell>
          <cell r="M13">
            <v>28403.599999999999</v>
          </cell>
          <cell r="N13">
            <v>11361.44</v>
          </cell>
          <cell r="O13">
            <v>1389</v>
          </cell>
          <cell r="P13">
            <v>1389</v>
          </cell>
          <cell r="Q13">
            <v>4909.2933333333349</v>
          </cell>
          <cell r="R13">
            <v>47452.333333333336</v>
          </cell>
          <cell r="S13">
            <v>1950</v>
          </cell>
          <cell r="T13">
            <v>1554.6089999999999</v>
          </cell>
          <cell r="U13">
            <v>1366.21316</v>
          </cell>
          <cell r="V13">
            <v>2366.9666666666667</v>
          </cell>
          <cell r="W13">
            <v>54690.122159999999</v>
          </cell>
          <cell r="Y13">
            <v>47452.333333333336</v>
          </cell>
          <cell r="AA13">
            <v>200</v>
          </cell>
          <cell r="AB13">
            <v>1800</v>
          </cell>
          <cell r="AC13">
            <v>440.76132899999999</v>
          </cell>
          <cell r="AE13">
            <v>2440.7613289999999</v>
          </cell>
          <cell r="AF13">
            <v>50299.788826666663</v>
          </cell>
        </row>
        <row r="14">
          <cell r="C14" t="str">
            <v>BITS-559</v>
          </cell>
          <cell r="D14">
            <v>2110592</v>
          </cell>
          <cell r="E14" t="str">
            <v>GauravVispute</v>
          </cell>
          <cell r="F14" t="str">
            <v>PUNE ASC SEZ</v>
          </cell>
          <cell r="G14">
            <v>50000</v>
          </cell>
          <cell r="H14">
            <v>43202</v>
          </cell>
          <cell r="I14">
            <v>30</v>
          </cell>
          <cell r="J14">
            <v>28</v>
          </cell>
          <cell r="K14">
            <v>2</v>
          </cell>
          <cell r="L14">
            <v>29</v>
          </cell>
          <cell r="M14">
            <v>25057.16</v>
          </cell>
          <cell r="N14">
            <v>10022.864000000001</v>
          </cell>
          <cell r="O14">
            <v>2014</v>
          </cell>
          <cell r="P14">
            <v>2014</v>
          </cell>
          <cell r="Q14">
            <v>2766.9093333333294</v>
          </cell>
          <cell r="R14">
            <v>41874.933333333334</v>
          </cell>
          <cell r="S14">
            <v>1950</v>
          </cell>
          <cell r="T14">
            <v>1554.6089999999999</v>
          </cell>
          <cell r="U14">
            <v>1205.2493959999999</v>
          </cell>
          <cell r="V14">
            <v>2088.0966666666668</v>
          </cell>
          <cell r="W14">
            <v>48672.888395999995</v>
          </cell>
          <cell r="Y14">
            <v>41874.933333333334</v>
          </cell>
          <cell r="AA14">
            <v>200</v>
          </cell>
          <cell r="AB14">
            <v>1800</v>
          </cell>
          <cell r="AC14">
            <v>391.787848</v>
          </cell>
          <cell r="AE14">
            <v>2391.7878479999999</v>
          </cell>
          <cell r="AF14">
            <v>44330.955062666661</v>
          </cell>
        </row>
        <row r="15">
          <cell r="C15" t="str">
            <v>BITS-564</v>
          </cell>
          <cell r="D15">
            <v>2110635</v>
          </cell>
          <cell r="E15" t="str">
            <v>Amith a</v>
          </cell>
          <cell r="F15" t="str">
            <v>PUNE STP</v>
          </cell>
          <cell r="G15">
            <v>65000</v>
          </cell>
          <cell r="H15">
            <v>57105</v>
          </cell>
          <cell r="I15">
            <v>30</v>
          </cell>
          <cell r="J15">
            <v>30</v>
          </cell>
          <cell r="L15">
            <v>30</v>
          </cell>
          <cell r="M15">
            <v>34263</v>
          </cell>
          <cell r="N15">
            <v>13705.2</v>
          </cell>
          <cell r="O15">
            <v>2083</v>
          </cell>
          <cell r="P15">
            <v>2083</v>
          </cell>
          <cell r="Q15">
            <v>5083.8000000000029</v>
          </cell>
          <cell r="R15">
            <v>57218</v>
          </cell>
          <cell r="S15">
            <v>1950</v>
          </cell>
          <cell r="T15">
            <v>1554.6089999999999</v>
          </cell>
          <cell r="U15">
            <v>1648.0502999999999</v>
          </cell>
          <cell r="V15">
            <v>2855.25</v>
          </cell>
          <cell r="W15">
            <v>65225.909299999999</v>
          </cell>
          <cell r="Y15">
            <v>57218</v>
          </cell>
          <cell r="AA15">
            <v>200</v>
          </cell>
          <cell r="AB15">
            <v>1800</v>
          </cell>
          <cell r="AC15">
            <v>440.76132899999999</v>
          </cell>
          <cell r="AE15">
            <v>2440.7613289999999</v>
          </cell>
          <cell r="AF15">
            <v>60834.909299999999</v>
          </cell>
        </row>
        <row r="16">
          <cell r="C16" t="str">
            <v>BITS-565</v>
          </cell>
          <cell r="D16">
            <v>2110700</v>
          </cell>
          <cell r="E16" t="str">
            <v>RajasekharReddy KN</v>
          </cell>
          <cell r="F16" t="str">
            <v>BNG STP</v>
          </cell>
          <cell r="G16">
            <v>75000</v>
          </cell>
          <cell r="H16">
            <v>66374</v>
          </cell>
          <cell r="I16">
            <v>30</v>
          </cell>
          <cell r="J16">
            <v>29</v>
          </cell>
          <cell r="K16">
            <v>1</v>
          </cell>
          <cell r="L16">
            <v>30</v>
          </cell>
          <cell r="M16">
            <v>39824.400000000001</v>
          </cell>
          <cell r="N16">
            <v>15929.760000000002</v>
          </cell>
          <cell r="O16">
            <v>2083</v>
          </cell>
          <cell r="P16">
            <v>2083</v>
          </cell>
          <cell r="Q16">
            <v>6566.8399999999965</v>
          </cell>
          <cell r="R16">
            <v>66487</v>
          </cell>
          <cell r="S16">
            <v>1950</v>
          </cell>
          <cell r="T16">
            <v>1554.6089999999999</v>
          </cell>
          <cell r="U16">
            <v>1915.5536400000001</v>
          </cell>
          <cell r="V16">
            <v>3318.7000000000003</v>
          </cell>
          <cell r="W16">
            <v>75225.862639999992</v>
          </cell>
          <cell r="Y16">
            <v>66487</v>
          </cell>
          <cell r="AA16">
            <v>200</v>
          </cell>
          <cell r="AB16">
            <v>1800</v>
          </cell>
          <cell r="AC16">
            <v>391.787848</v>
          </cell>
          <cell r="AE16">
            <v>2391.7878479999999</v>
          </cell>
          <cell r="AF16">
            <v>70883.862639999992</v>
          </cell>
        </row>
        <row r="17">
          <cell r="C17" t="str">
            <v>BITS-566</v>
          </cell>
          <cell r="D17">
            <v>2110684</v>
          </cell>
          <cell r="E17" t="str">
            <v>Moulika GM</v>
          </cell>
          <cell r="F17" t="str">
            <v>BNG STP</v>
          </cell>
          <cell r="G17">
            <v>25000</v>
          </cell>
          <cell r="H17">
            <v>20029</v>
          </cell>
          <cell r="I17">
            <v>30</v>
          </cell>
          <cell r="J17">
            <v>30</v>
          </cell>
          <cell r="L17">
            <v>30</v>
          </cell>
          <cell r="M17">
            <v>12017.4</v>
          </cell>
          <cell r="N17">
            <v>4806.96</v>
          </cell>
          <cell r="O17">
            <v>2083</v>
          </cell>
          <cell r="P17">
            <v>2083</v>
          </cell>
          <cell r="Q17">
            <v>-848.36000000000058</v>
          </cell>
          <cell r="R17">
            <v>20142</v>
          </cell>
          <cell r="S17">
            <v>1562.2619999999999</v>
          </cell>
          <cell r="T17">
            <v>1554.6089999999999</v>
          </cell>
          <cell r="U17">
            <v>578.03693999999996</v>
          </cell>
          <cell r="V17">
            <v>1001.4499999999999</v>
          </cell>
          <cell r="W17">
            <v>24838.357939999998</v>
          </cell>
          <cell r="Y17">
            <v>20142</v>
          </cell>
          <cell r="AA17">
            <v>200</v>
          </cell>
          <cell r="AB17">
            <v>1442</v>
          </cell>
          <cell r="AC17">
            <v>391.787848</v>
          </cell>
          <cell r="AE17">
            <v>2033.7878479999999</v>
          </cell>
          <cell r="AF17">
            <v>21242.095940000003</v>
          </cell>
        </row>
        <row r="18">
          <cell r="C18" t="str">
            <v>BITS-567</v>
          </cell>
          <cell r="D18">
            <v>2110899</v>
          </cell>
          <cell r="E18" t="str">
            <v>AsokKumar J</v>
          </cell>
          <cell r="F18" t="str">
            <v>BNG STP</v>
          </cell>
          <cell r="G18">
            <v>135000</v>
          </cell>
          <cell r="H18">
            <v>121988</v>
          </cell>
          <cell r="I18">
            <v>30</v>
          </cell>
          <cell r="J18">
            <v>27</v>
          </cell>
          <cell r="K18">
            <v>3</v>
          </cell>
          <cell r="L18">
            <v>28</v>
          </cell>
          <cell r="M18">
            <v>68313.279999999999</v>
          </cell>
          <cell r="N18">
            <v>27325.312000000002</v>
          </cell>
          <cell r="O18">
            <v>1944</v>
          </cell>
          <cell r="P18">
            <v>1944</v>
          </cell>
          <cell r="Q18">
            <v>14441.874666666656</v>
          </cell>
          <cell r="R18">
            <v>113968.46666666666</v>
          </cell>
          <cell r="S18">
            <v>1950</v>
          </cell>
          <cell r="T18">
            <v>1554.6089999999999</v>
          </cell>
          <cell r="U18">
            <v>3285.8687679999998</v>
          </cell>
          <cell r="V18">
            <v>5692.7733333333335</v>
          </cell>
          <cell r="W18">
            <v>126451.71776799999</v>
          </cell>
          <cell r="Y18">
            <v>113968.46666666666</v>
          </cell>
          <cell r="AA18">
            <v>200</v>
          </cell>
          <cell r="AB18">
            <v>1800</v>
          </cell>
          <cell r="AC18">
            <v>391.787848</v>
          </cell>
          <cell r="AE18">
            <v>2391.7878479999999</v>
          </cell>
          <cell r="AF18">
            <v>122110.25110133333</v>
          </cell>
        </row>
        <row r="19">
          <cell r="C19" t="str">
            <v>BITS-568</v>
          </cell>
          <cell r="D19">
            <v>2110947</v>
          </cell>
          <cell r="E19" t="str">
            <v>RUKNUDEEN S</v>
          </cell>
          <cell r="F19" t="str">
            <v>HYD SEZ</v>
          </cell>
          <cell r="G19">
            <v>100000</v>
          </cell>
          <cell r="H19">
            <v>89547</v>
          </cell>
          <cell r="I19">
            <v>30</v>
          </cell>
          <cell r="J19">
            <v>29</v>
          </cell>
          <cell r="K19">
            <v>1</v>
          </cell>
          <cell r="L19">
            <v>30</v>
          </cell>
          <cell r="M19">
            <v>53728.2</v>
          </cell>
          <cell r="N19">
            <v>21491.279999999999</v>
          </cell>
          <cell r="O19">
            <v>2083</v>
          </cell>
          <cell r="P19">
            <v>2083</v>
          </cell>
          <cell r="Q19">
            <v>10274.520000000004</v>
          </cell>
          <cell r="R19">
            <v>89660</v>
          </cell>
          <cell r="S19">
            <v>1950</v>
          </cell>
          <cell r="T19">
            <v>1554.6089999999999</v>
          </cell>
          <cell r="U19">
            <v>2584.3264199999994</v>
          </cell>
          <cell r="V19">
            <v>4477.3499999999995</v>
          </cell>
          <cell r="W19">
            <v>100226.28542</v>
          </cell>
          <cell r="Y19">
            <v>89660</v>
          </cell>
          <cell r="AA19">
            <v>200</v>
          </cell>
          <cell r="AB19">
            <v>1800</v>
          </cell>
          <cell r="AC19">
            <v>391.787848</v>
          </cell>
          <cell r="AE19">
            <v>2391.7878479999999</v>
          </cell>
          <cell r="AF19">
            <v>95884.28542</v>
          </cell>
        </row>
        <row r="20">
          <cell r="C20" t="str">
            <v>BITS-569</v>
          </cell>
          <cell r="D20">
            <v>2110966</v>
          </cell>
          <cell r="E20" t="str">
            <v>Rajesh Kongara</v>
          </cell>
          <cell r="F20" t="str">
            <v>BNG SEZ</v>
          </cell>
          <cell r="G20">
            <v>130000</v>
          </cell>
          <cell r="H20">
            <v>117354</v>
          </cell>
          <cell r="I20">
            <v>30</v>
          </cell>
          <cell r="J20">
            <v>29</v>
          </cell>
          <cell r="K20">
            <v>1</v>
          </cell>
          <cell r="L20">
            <v>30</v>
          </cell>
          <cell r="M20">
            <v>70412.399999999994</v>
          </cell>
          <cell r="N20">
            <v>28164.959999999999</v>
          </cell>
          <cell r="O20">
            <v>2083</v>
          </cell>
          <cell r="P20">
            <v>2083</v>
          </cell>
          <cell r="Q20">
            <v>14723.640000000014</v>
          </cell>
          <cell r="R20">
            <v>117467</v>
          </cell>
          <cell r="S20">
            <v>1950</v>
          </cell>
          <cell r="T20">
            <v>1554.6089999999999</v>
          </cell>
          <cell r="U20">
            <v>3386.8364399999996</v>
          </cell>
          <cell r="V20">
            <v>5867.7</v>
          </cell>
          <cell r="W20">
            <v>130226.14543999999</v>
          </cell>
          <cell r="Y20">
            <v>117467</v>
          </cell>
          <cell r="AA20">
            <v>200</v>
          </cell>
          <cell r="AB20">
            <v>1800</v>
          </cell>
          <cell r="AC20">
            <v>391.787848</v>
          </cell>
          <cell r="AE20">
            <v>2391.7878479999999</v>
          </cell>
          <cell r="AF20">
            <v>125884.14543999999</v>
          </cell>
        </row>
        <row r="21">
          <cell r="C21" t="str">
            <v>BITS-572</v>
          </cell>
          <cell r="D21">
            <v>2111448</v>
          </cell>
          <cell r="E21" t="str">
            <v>Yarramaddu Raveendra Reddy</v>
          </cell>
          <cell r="F21" t="str">
            <v>PUNE SEZ 1</v>
          </cell>
          <cell r="G21">
            <v>70000</v>
          </cell>
          <cell r="H21">
            <v>61740</v>
          </cell>
          <cell r="I21">
            <v>30</v>
          </cell>
          <cell r="J21">
            <v>29</v>
          </cell>
          <cell r="K21">
            <v>1</v>
          </cell>
          <cell r="L21">
            <v>30</v>
          </cell>
          <cell r="M21">
            <v>37044</v>
          </cell>
          <cell r="N21">
            <v>14817.6</v>
          </cell>
          <cell r="O21">
            <v>2083</v>
          </cell>
          <cell r="P21">
            <v>2083</v>
          </cell>
          <cell r="Q21">
            <v>5825.4000000000015</v>
          </cell>
          <cell r="R21">
            <v>61853</v>
          </cell>
          <cell r="S21">
            <v>1950</v>
          </cell>
          <cell r="T21">
            <v>1554.6089999999999</v>
          </cell>
          <cell r="U21">
            <v>1781.8163999999999</v>
          </cell>
          <cell r="V21">
            <v>3087</v>
          </cell>
          <cell r="W21">
            <v>70226.425400000007</v>
          </cell>
          <cell r="Y21">
            <v>61853</v>
          </cell>
          <cell r="AA21">
            <v>200</v>
          </cell>
          <cell r="AB21">
            <v>1800</v>
          </cell>
          <cell r="AC21">
            <v>391.787848</v>
          </cell>
          <cell r="AE21">
            <v>2391.7878479999999</v>
          </cell>
          <cell r="AF21">
            <v>65884.425400000007</v>
          </cell>
        </row>
        <row r="22">
          <cell r="C22" t="str">
            <v>BITS-574</v>
          </cell>
          <cell r="E22" t="str">
            <v>Naresh Kandhula</v>
          </cell>
          <cell r="F22" t="str">
            <v>Mumbai</v>
          </cell>
          <cell r="G22">
            <v>125000</v>
          </cell>
          <cell r="H22">
            <v>112719</v>
          </cell>
          <cell r="I22">
            <v>30</v>
          </cell>
          <cell r="J22">
            <v>30</v>
          </cell>
          <cell r="L22">
            <v>30</v>
          </cell>
          <cell r="M22">
            <v>67631.399999999994</v>
          </cell>
          <cell r="N22">
            <v>27052.559999999998</v>
          </cell>
          <cell r="O22">
            <v>2083</v>
          </cell>
          <cell r="P22">
            <v>2083</v>
          </cell>
          <cell r="Q22">
            <v>13982.040000000008</v>
          </cell>
          <cell r="R22">
            <v>112832</v>
          </cell>
          <cell r="S22">
            <v>1950</v>
          </cell>
          <cell r="T22">
            <v>1554.6089999999999</v>
          </cell>
          <cell r="U22">
            <v>3253.0703399999993</v>
          </cell>
          <cell r="V22">
            <v>5635.95</v>
          </cell>
          <cell r="W22">
            <v>125225.62934</v>
          </cell>
          <cell r="Y22">
            <v>112832</v>
          </cell>
          <cell r="AA22">
            <v>200</v>
          </cell>
          <cell r="AB22">
            <v>1800</v>
          </cell>
          <cell r="AC22">
            <v>440.76132899999999</v>
          </cell>
          <cell r="AE22">
            <v>2440.7613289999999</v>
          </cell>
          <cell r="AF22">
            <v>120834.62934</v>
          </cell>
        </row>
        <row r="23">
          <cell r="C23" t="str">
            <v>BITS-577</v>
          </cell>
          <cell r="D23">
            <v>2112033</v>
          </cell>
          <cell r="E23" t="str">
            <v>Majed Khan</v>
          </cell>
          <cell r="F23" t="str">
            <v>BNG STP</v>
          </cell>
          <cell r="G23">
            <v>150000</v>
          </cell>
          <cell r="H23">
            <v>135892</v>
          </cell>
          <cell r="I23">
            <v>30</v>
          </cell>
          <cell r="J23">
            <v>29</v>
          </cell>
          <cell r="K23">
            <v>1</v>
          </cell>
          <cell r="L23">
            <v>30</v>
          </cell>
          <cell r="M23">
            <v>81535.199999999997</v>
          </cell>
          <cell r="N23">
            <v>32614.080000000002</v>
          </cell>
          <cell r="O23">
            <v>2083</v>
          </cell>
          <cell r="P23">
            <v>2083</v>
          </cell>
          <cell r="Q23">
            <v>17689.72</v>
          </cell>
          <cell r="R23">
            <v>136005</v>
          </cell>
          <cell r="S23">
            <v>1950</v>
          </cell>
          <cell r="T23">
            <v>1554.6089999999999</v>
          </cell>
          <cell r="U23">
            <v>3921.8431199999995</v>
          </cell>
          <cell r="V23">
            <v>6794.5999999999995</v>
          </cell>
          <cell r="W23">
            <v>150226.05212000001</v>
          </cell>
          <cell r="Y23">
            <v>136005</v>
          </cell>
          <cell r="AA23">
            <v>200</v>
          </cell>
          <cell r="AB23">
            <v>1800</v>
          </cell>
          <cell r="AC23">
            <v>391.787848</v>
          </cell>
          <cell r="AE23">
            <v>2391.7878479999999</v>
          </cell>
          <cell r="AF23">
            <v>145884.05212000001</v>
          </cell>
        </row>
        <row r="24">
          <cell r="C24" t="str">
            <v>BITS-587</v>
          </cell>
          <cell r="E24" t="str">
            <v>Madan</v>
          </cell>
          <cell r="F24" t="str">
            <v>BNG STP</v>
          </cell>
          <cell r="G24">
            <v>105000</v>
          </cell>
          <cell r="H24">
            <v>94181</v>
          </cell>
          <cell r="I24">
            <v>30</v>
          </cell>
          <cell r="J24">
            <v>30</v>
          </cell>
          <cell r="L24">
            <v>30</v>
          </cell>
          <cell r="M24">
            <v>56508.6</v>
          </cell>
          <cell r="N24">
            <v>22603.440000000002</v>
          </cell>
          <cell r="O24">
            <v>2083</v>
          </cell>
          <cell r="P24">
            <v>2083</v>
          </cell>
          <cell r="Q24">
            <v>11015.959999999992</v>
          </cell>
          <cell r="R24">
            <v>94294</v>
          </cell>
          <cell r="S24">
            <v>1950</v>
          </cell>
          <cell r="T24">
            <v>1554.6089999999999</v>
          </cell>
          <cell r="U24">
            <v>2718.0636599999998</v>
          </cell>
          <cell r="V24">
            <v>4709.05</v>
          </cell>
          <cell r="W24">
            <v>105225.72266</v>
          </cell>
          <cell r="Y24">
            <v>94294</v>
          </cell>
          <cell r="AA24">
            <v>200</v>
          </cell>
          <cell r="AB24">
            <v>1800</v>
          </cell>
          <cell r="AC24">
            <v>391.787848</v>
          </cell>
          <cell r="AE24">
            <v>2391.7878479999999</v>
          </cell>
          <cell r="AF24">
            <v>100883.72266</v>
          </cell>
        </row>
        <row r="25">
          <cell r="C25" t="str">
            <v>BITS-592</v>
          </cell>
          <cell r="E25" t="str">
            <v>Sachin Ameshram</v>
          </cell>
          <cell r="F25" t="str">
            <v>BNG STP</v>
          </cell>
          <cell r="G25">
            <v>95000</v>
          </cell>
          <cell r="H25">
            <v>84912</v>
          </cell>
          <cell r="I25">
            <v>30</v>
          </cell>
          <cell r="J25">
            <v>13</v>
          </cell>
          <cell r="L25">
            <v>13</v>
          </cell>
          <cell r="M25">
            <v>22077.119999999999</v>
          </cell>
          <cell r="N25">
            <v>8830.848</v>
          </cell>
          <cell r="O25">
            <v>903</v>
          </cell>
          <cell r="P25">
            <v>903</v>
          </cell>
          <cell r="Q25">
            <v>4194.2319999999963</v>
          </cell>
          <cell r="R25">
            <v>36908.199999999997</v>
          </cell>
          <cell r="S25">
            <v>1950</v>
          </cell>
          <cell r="T25">
            <v>1554.6089999999999</v>
          </cell>
          <cell r="U25">
            <v>1061.9094719999998</v>
          </cell>
          <cell r="V25">
            <v>1839.76</v>
          </cell>
          <cell r="W25">
            <v>43314.478471999995</v>
          </cell>
          <cell r="Y25">
            <v>36908.199999999997</v>
          </cell>
          <cell r="AA25">
            <v>200</v>
          </cell>
          <cell r="AB25">
            <v>1800</v>
          </cell>
          <cell r="AC25">
            <v>391.787848</v>
          </cell>
          <cell r="AE25">
            <v>2391.7878479999999</v>
          </cell>
          <cell r="AF25">
            <v>38972.278471999998</v>
          </cell>
        </row>
        <row r="26">
          <cell r="C26" t="str">
            <v>BITS-597</v>
          </cell>
          <cell r="E26" t="str">
            <v>Srikanth Thota</v>
          </cell>
          <cell r="F26" t="str">
            <v>HYD SEZ</v>
          </cell>
          <cell r="G26">
            <v>115000</v>
          </cell>
          <cell r="H26">
            <v>103451</v>
          </cell>
          <cell r="I26">
            <v>30</v>
          </cell>
          <cell r="J26">
            <v>29</v>
          </cell>
          <cell r="K26">
            <v>1</v>
          </cell>
          <cell r="L26">
            <v>30</v>
          </cell>
          <cell r="M26">
            <v>62070.6</v>
          </cell>
          <cell r="N26">
            <v>24828.240000000002</v>
          </cell>
          <cell r="O26">
            <v>2083</v>
          </cell>
          <cell r="P26">
            <v>2083</v>
          </cell>
          <cell r="Q26">
            <v>12499.160000000003</v>
          </cell>
          <cell r="R26">
            <v>103564</v>
          </cell>
          <cell r="S26">
            <v>1950</v>
          </cell>
          <cell r="T26">
            <v>1554.6089999999999</v>
          </cell>
          <cell r="U26">
            <v>2985.5958599999994</v>
          </cell>
          <cell r="V26">
            <v>5172.55</v>
          </cell>
          <cell r="W26">
            <v>115226.75486</v>
          </cell>
          <cell r="Y26">
            <v>103564</v>
          </cell>
          <cell r="AA26">
            <v>200</v>
          </cell>
          <cell r="AB26">
            <v>1800</v>
          </cell>
          <cell r="AC26">
            <v>377</v>
          </cell>
          <cell r="AE26">
            <v>2377</v>
          </cell>
          <cell r="AF26">
            <v>110899.75486</v>
          </cell>
        </row>
        <row r="27">
          <cell r="C27" t="str">
            <v>BITS-600</v>
          </cell>
          <cell r="E27" t="str">
            <v>Shekhar Panchal</v>
          </cell>
          <cell r="F27" t="str">
            <v>HYD SEZ</v>
          </cell>
          <cell r="G27">
            <v>75000</v>
          </cell>
          <cell r="H27">
            <v>66374</v>
          </cell>
          <cell r="I27">
            <v>30</v>
          </cell>
          <cell r="J27">
            <v>30</v>
          </cell>
          <cell r="L27">
            <v>30</v>
          </cell>
          <cell r="M27">
            <v>39824.400000000001</v>
          </cell>
          <cell r="N27">
            <v>15929.760000000002</v>
          </cell>
          <cell r="O27">
            <v>2083</v>
          </cell>
          <cell r="P27">
            <v>2083</v>
          </cell>
          <cell r="Q27">
            <v>6566.8399999999965</v>
          </cell>
          <cell r="R27">
            <v>66487</v>
          </cell>
          <cell r="S27">
            <v>1950</v>
          </cell>
          <cell r="T27">
            <v>1554.6089999999999</v>
          </cell>
          <cell r="U27">
            <v>1915.5536400000001</v>
          </cell>
          <cell r="V27">
            <v>3318.7000000000003</v>
          </cell>
          <cell r="W27">
            <v>75225.862639999992</v>
          </cell>
          <cell r="Y27">
            <v>66487</v>
          </cell>
          <cell r="AA27">
            <v>200</v>
          </cell>
          <cell r="AB27">
            <v>1800</v>
          </cell>
          <cell r="AC27">
            <v>336</v>
          </cell>
          <cell r="AE27">
            <v>2336</v>
          </cell>
          <cell r="AF27">
            <v>70939.862639999992</v>
          </cell>
        </row>
        <row r="28">
          <cell r="C28" t="str">
            <v>BITS-602</v>
          </cell>
          <cell r="E28" t="str">
            <v>Girish Bandi</v>
          </cell>
          <cell r="F28" t="str">
            <v>BNG SEZ</v>
          </cell>
          <cell r="G28">
            <v>80000</v>
          </cell>
          <cell r="H28">
            <v>71009</v>
          </cell>
          <cell r="I28">
            <v>30</v>
          </cell>
          <cell r="J28">
            <v>29</v>
          </cell>
          <cell r="K28">
            <v>1</v>
          </cell>
          <cell r="L28">
            <v>30</v>
          </cell>
          <cell r="M28">
            <v>42605.4</v>
          </cell>
          <cell r="N28">
            <v>17042.16</v>
          </cell>
          <cell r="O28">
            <v>2083</v>
          </cell>
          <cell r="P28">
            <v>2083</v>
          </cell>
          <cell r="Q28">
            <v>7308.4400000000023</v>
          </cell>
          <cell r="R28">
            <v>71122</v>
          </cell>
          <cell r="S28">
            <v>1950</v>
          </cell>
          <cell r="T28">
            <v>1554.6089999999999</v>
          </cell>
          <cell r="U28">
            <v>2049.3197399999999</v>
          </cell>
          <cell r="V28">
            <v>3550.4500000000003</v>
          </cell>
          <cell r="W28">
            <v>80226.37874</v>
          </cell>
          <cell r="Y28">
            <v>71122</v>
          </cell>
          <cell r="AA28">
            <v>200</v>
          </cell>
          <cell r="AB28">
            <v>1800</v>
          </cell>
          <cell r="AC28">
            <v>335</v>
          </cell>
          <cell r="AE28">
            <v>2335</v>
          </cell>
          <cell r="AF28">
            <v>75941.37874</v>
          </cell>
        </row>
        <row r="29">
          <cell r="C29" t="str">
            <v>BITS-605</v>
          </cell>
          <cell r="E29" t="str">
            <v>Chitra Kulkarni</v>
          </cell>
          <cell r="F29" t="str">
            <v>PUNE SEZ 1</v>
          </cell>
          <cell r="G29">
            <v>92000</v>
          </cell>
          <cell r="H29">
            <v>82132</v>
          </cell>
          <cell r="I29">
            <v>30</v>
          </cell>
          <cell r="J29">
            <v>29</v>
          </cell>
          <cell r="K29">
            <v>1</v>
          </cell>
          <cell r="L29">
            <v>30</v>
          </cell>
          <cell r="M29">
            <v>49279.199999999997</v>
          </cell>
          <cell r="N29">
            <v>19711.68</v>
          </cell>
          <cell r="O29">
            <v>2083</v>
          </cell>
          <cell r="P29">
            <v>2083</v>
          </cell>
          <cell r="Q29">
            <v>9088.1199999999953</v>
          </cell>
          <cell r="R29">
            <v>82245</v>
          </cell>
          <cell r="S29">
            <v>1950</v>
          </cell>
          <cell r="T29">
            <v>1554.6089999999999</v>
          </cell>
          <cell r="U29">
            <v>2370.3295199999998</v>
          </cell>
          <cell r="V29">
            <v>4106.5999999999995</v>
          </cell>
          <cell r="W29">
            <v>92226.538520000002</v>
          </cell>
          <cell r="Y29">
            <v>82245</v>
          </cell>
          <cell r="AA29">
            <v>200</v>
          </cell>
          <cell r="AB29">
            <v>1800</v>
          </cell>
          <cell r="AC29">
            <v>335</v>
          </cell>
          <cell r="AE29">
            <v>2335</v>
          </cell>
          <cell r="AF29">
            <v>87941.538520000002</v>
          </cell>
        </row>
        <row r="30">
          <cell r="C30" t="str">
            <v>BITS-606</v>
          </cell>
          <cell r="E30" t="str">
            <v>Barathiyar A 14-4-2022</v>
          </cell>
          <cell r="F30" t="str">
            <v>BNG STP</v>
          </cell>
          <cell r="G30">
            <v>67000</v>
          </cell>
          <cell r="H30">
            <v>58959</v>
          </cell>
          <cell r="I30">
            <v>30</v>
          </cell>
          <cell r="J30">
            <v>12</v>
          </cell>
          <cell r="K30">
            <v>1</v>
          </cell>
          <cell r="L30">
            <v>13</v>
          </cell>
          <cell r="M30">
            <v>15329.34</v>
          </cell>
          <cell r="N30">
            <v>6131.7360000000008</v>
          </cell>
          <cell r="O30">
            <v>903</v>
          </cell>
          <cell r="P30">
            <v>903</v>
          </cell>
          <cell r="Q30">
            <v>2394.8240000000005</v>
          </cell>
          <cell r="R30">
            <v>25661.9</v>
          </cell>
          <cell r="S30">
            <v>1950</v>
          </cell>
          <cell r="T30">
            <v>1554.6089999999999</v>
          </cell>
          <cell r="U30">
            <v>737.34125399999994</v>
          </cell>
          <cell r="V30">
            <v>1277.4449999999999</v>
          </cell>
          <cell r="W30">
            <v>31181.295254000001</v>
          </cell>
          <cell r="Y30">
            <v>25661.9</v>
          </cell>
          <cell r="AA30">
            <v>200</v>
          </cell>
          <cell r="AB30">
            <v>1800</v>
          </cell>
          <cell r="AC30">
            <v>335</v>
          </cell>
          <cell r="AE30">
            <v>2335</v>
          </cell>
          <cell r="AF30">
            <v>26896.395253999999</v>
          </cell>
        </row>
        <row r="31">
          <cell r="C31" t="str">
            <v>BITS-607</v>
          </cell>
          <cell r="E31" t="str">
            <v>Kumaravel M</v>
          </cell>
          <cell r="F31" t="str">
            <v>BNG STP</v>
          </cell>
          <cell r="G31">
            <v>55000</v>
          </cell>
          <cell r="H31">
            <v>47836</v>
          </cell>
          <cell r="I31">
            <v>30</v>
          </cell>
          <cell r="J31">
            <v>29</v>
          </cell>
          <cell r="K31">
            <v>1</v>
          </cell>
          <cell r="L31">
            <v>30</v>
          </cell>
          <cell r="M31">
            <v>28701.599999999999</v>
          </cell>
          <cell r="N31">
            <v>11480.64</v>
          </cell>
          <cell r="O31">
            <v>2083</v>
          </cell>
          <cell r="P31">
            <v>2083</v>
          </cell>
          <cell r="Q31">
            <v>3600.760000000002</v>
          </cell>
          <cell r="R31">
            <v>47949</v>
          </cell>
          <cell r="S31">
            <v>1950</v>
          </cell>
          <cell r="T31">
            <v>1554.6089999999999</v>
          </cell>
          <cell r="U31">
            <v>1380.5469599999999</v>
          </cell>
          <cell r="V31">
            <v>2391.7999999999997</v>
          </cell>
          <cell r="W31">
            <v>55225.955959999999</v>
          </cell>
          <cell r="Y31">
            <v>47949</v>
          </cell>
          <cell r="AA31">
            <v>200</v>
          </cell>
          <cell r="AB31">
            <v>1800</v>
          </cell>
          <cell r="AC31">
            <v>335</v>
          </cell>
          <cell r="AE31">
            <v>2335</v>
          </cell>
          <cell r="AF31">
            <v>50940.955959999999</v>
          </cell>
        </row>
        <row r="32">
          <cell r="C32" t="str">
            <v>BITS-609</v>
          </cell>
          <cell r="E32" t="str">
            <v>CHANDRASEHARAN GERORGE 15-4-2022</v>
          </cell>
          <cell r="F32" t="str">
            <v>BNG STP</v>
          </cell>
          <cell r="G32">
            <v>58000</v>
          </cell>
          <cell r="H32">
            <v>50617</v>
          </cell>
          <cell r="I32">
            <v>30</v>
          </cell>
          <cell r="J32">
            <v>15</v>
          </cell>
          <cell r="L32">
            <v>15</v>
          </cell>
          <cell r="M32">
            <v>15185.1</v>
          </cell>
          <cell r="N32">
            <v>6074.0400000000009</v>
          </cell>
          <cell r="O32">
            <v>1042</v>
          </cell>
          <cell r="P32">
            <v>1042</v>
          </cell>
          <cell r="Q32">
            <v>2078.3600000000006</v>
          </cell>
          <cell r="R32">
            <v>25421.5</v>
          </cell>
          <cell r="S32">
            <v>1950</v>
          </cell>
          <cell r="T32">
            <v>1554.6089999999999</v>
          </cell>
          <cell r="U32">
            <v>730.40330999999992</v>
          </cell>
          <cell r="V32">
            <v>1265.425</v>
          </cell>
          <cell r="W32">
            <v>30921.937310000001</v>
          </cell>
          <cell r="Y32">
            <v>25421.5</v>
          </cell>
          <cell r="AA32">
            <v>200</v>
          </cell>
          <cell r="AB32">
            <v>1800</v>
          </cell>
          <cell r="AC32">
            <v>335</v>
          </cell>
          <cell r="AE32">
            <v>2335</v>
          </cell>
          <cell r="AF32">
            <v>26637.437310000001</v>
          </cell>
        </row>
        <row r="33">
          <cell r="C33" t="str">
            <v>BITS-611</v>
          </cell>
          <cell r="E33" t="str">
            <v>VISHNUPRASATH T</v>
          </cell>
          <cell r="F33" t="str">
            <v>BNG STP</v>
          </cell>
          <cell r="G33">
            <v>55000</v>
          </cell>
          <cell r="H33">
            <v>47836</v>
          </cell>
          <cell r="I33">
            <v>30</v>
          </cell>
          <cell r="J33">
            <v>29</v>
          </cell>
          <cell r="K33">
            <v>1</v>
          </cell>
          <cell r="L33">
            <v>30</v>
          </cell>
          <cell r="M33">
            <v>28701.599999999999</v>
          </cell>
          <cell r="N33">
            <v>11480.64</v>
          </cell>
          <cell r="O33">
            <v>2083</v>
          </cell>
          <cell r="P33">
            <v>2083</v>
          </cell>
          <cell r="Q33">
            <v>3600.760000000002</v>
          </cell>
          <cell r="R33">
            <v>47949</v>
          </cell>
          <cell r="S33">
            <v>1950</v>
          </cell>
          <cell r="T33">
            <v>1554.6089999999999</v>
          </cell>
          <cell r="U33">
            <v>1380.5469599999999</v>
          </cell>
          <cell r="V33">
            <v>2391.7999999999997</v>
          </cell>
          <cell r="W33">
            <v>55225.955959999999</v>
          </cell>
          <cell r="Y33">
            <v>47949</v>
          </cell>
          <cell r="AA33">
            <v>200</v>
          </cell>
          <cell r="AB33">
            <v>1800</v>
          </cell>
          <cell r="AC33">
            <v>335</v>
          </cell>
          <cell r="AE33">
            <v>2335</v>
          </cell>
          <cell r="AF33">
            <v>50940.955959999999</v>
          </cell>
        </row>
        <row r="34">
          <cell r="C34" t="str">
            <v>BITS-612</v>
          </cell>
          <cell r="E34" t="str">
            <v>Nagaranjan S</v>
          </cell>
          <cell r="F34" t="str">
            <v>BNG STP</v>
          </cell>
          <cell r="G34">
            <v>55000</v>
          </cell>
          <cell r="H34">
            <v>47836</v>
          </cell>
          <cell r="I34">
            <v>30</v>
          </cell>
          <cell r="J34">
            <v>30</v>
          </cell>
          <cell r="L34">
            <v>30</v>
          </cell>
          <cell r="M34">
            <v>28701.599999999999</v>
          </cell>
          <cell r="N34">
            <v>11480.64</v>
          </cell>
          <cell r="O34">
            <v>2083</v>
          </cell>
          <cell r="P34">
            <v>2083</v>
          </cell>
          <cell r="Q34">
            <v>3600.760000000002</v>
          </cell>
          <cell r="R34">
            <v>47949</v>
          </cell>
          <cell r="S34">
            <v>1950</v>
          </cell>
          <cell r="T34">
            <v>1554.6089999999999</v>
          </cell>
          <cell r="U34">
            <v>1380.5469599999999</v>
          </cell>
          <cell r="V34">
            <v>2391.7999999999997</v>
          </cell>
          <cell r="W34">
            <v>55225.955959999999</v>
          </cell>
          <cell r="Y34">
            <v>47949</v>
          </cell>
          <cell r="AA34">
            <v>200</v>
          </cell>
          <cell r="AB34">
            <v>1800</v>
          </cell>
          <cell r="AC34">
            <v>335</v>
          </cell>
          <cell r="AE34">
            <v>2335</v>
          </cell>
          <cell r="AF34">
            <v>50940.955959999999</v>
          </cell>
        </row>
        <row r="35">
          <cell r="C35" t="str">
            <v>BITS-613</v>
          </cell>
          <cell r="E35" t="str">
            <v>ELAMPARITHI SB 20-4-2022</v>
          </cell>
          <cell r="F35" t="str">
            <v>BNG STP</v>
          </cell>
          <cell r="G35">
            <v>55000</v>
          </cell>
          <cell r="H35">
            <v>47836</v>
          </cell>
          <cell r="I35">
            <v>30</v>
          </cell>
          <cell r="J35">
            <v>20</v>
          </cell>
          <cell r="L35">
            <v>20</v>
          </cell>
          <cell r="M35">
            <v>19134.400000000001</v>
          </cell>
          <cell r="N35">
            <v>7653.7600000000011</v>
          </cell>
          <cell r="O35">
            <v>1389</v>
          </cell>
          <cell r="P35">
            <v>1389</v>
          </cell>
          <cell r="Q35">
            <v>2437.5066666666644</v>
          </cell>
          <cell r="R35">
            <v>32003.666666666668</v>
          </cell>
          <cell r="S35">
            <v>1950</v>
          </cell>
          <cell r="T35">
            <v>1554.6089999999999</v>
          </cell>
          <cell r="U35">
            <v>920.36463999999989</v>
          </cell>
          <cell r="V35">
            <v>1594.5333333333335</v>
          </cell>
          <cell r="W35">
            <v>38023.173639999994</v>
          </cell>
          <cell r="Y35">
            <v>32003.666666666668</v>
          </cell>
          <cell r="AA35">
            <v>200</v>
          </cell>
          <cell r="AB35">
            <v>1800</v>
          </cell>
          <cell r="AC35">
            <v>335</v>
          </cell>
          <cell r="AE35">
            <v>2335</v>
          </cell>
          <cell r="AF35">
            <v>33738.506973333337</v>
          </cell>
        </row>
        <row r="36">
          <cell r="C36" t="str">
            <v>BITS-614</v>
          </cell>
          <cell r="E36" t="str">
            <v>KISHANPRASAD GANDHE</v>
          </cell>
          <cell r="F36" t="str">
            <v>HYD STP</v>
          </cell>
          <cell r="G36">
            <v>152000</v>
          </cell>
          <cell r="H36">
            <v>137746</v>
          </cell>
          <cell r="I36">
            <v>30</v>
          </cell>
          <cell r="J36">
            <v>30</v>
          </cell>
          <cell r="L36">
            <v>30</v>
          </cell>
          <cell r="M36">
            <v>82647.600000000006</v>
          </cell>
          <cell r="N36">
            <v>33059.040000000001</v>
          </cell>
          <cell r="O36">
            <v>2083</v>
          </cell>
          <cell r="P36">
            <v>2083</v>
          </cell>
          <cell r="Q36">
            <v>17986.359999999986</v>
          </cell>
          <cell r="R36">
            <v>137859</v>
          </cell>
          <cell r="S36">
            <v>1950</v>
          </cell>
          <cell r="T36">
            <v>1554.6089999999999</v>
          </cell>
          <cell r="U36">
            <v>3975.3495600000001</v>
          </cell>
          <cell r="V36">
            <v>6887.3</v>
          </cell>
          <cell r="W36">
            <v>152226.25855999999</v>
          </cell>
          <cell r="X36">
            <v>5066</v>
          </cell>
          <cell r="Y36">
            <v>142925</v>
          </cell>
          <cell r="AA36">
            <v>200</v>
          </cell>
          <cell r="AB36">
            <v>1800</v>
          </cell>
          <cell r="AC36">
            <v>839</v>
          </cell>
          <cell r="AE36">
            <v>2839</v>
          </cell>
          <cell r="AF36">
            <v>152503.25855999999</v>
          </cell>
        </row>
        <row r="37">
          <cell r="C37" t="str">
            <v>BITS-617</v>
          </cell>
          <cell r="E37" t="str">
            <v>Sunnapalli Anil</v>
          </cell>
          <cell r="F37" t="str">
            <v>PUNE SEZ 1</v>
          </cell>
          <cell r="G37">
            <v>80000</v>
          </cell>
          <cell r="H37">
            <v>69580</v>
          </cell>
          <cell r="I37">
            <v>30</v>
          </cell>
          <cell r="J37">
            <v>30</v>
          </cell>
          <cell r="L37">
            <v>30</v>
          </cell>
          <cell r="M37">
            <v>41748</v>
          </cell>
          <cell r="N37">
            <v>16699.2</v>
          </cell>
          <cell r="O37">
            <v>2083</v>
          </cell>
          <cell r="P37">
            <v>2083</v>
          </cell>
          <cell r="Q37">
            <v>7079.8000000000029</v>
          </cell>
          <cell r="R37">
            <v>69693</v>
          </cell>
          <cell r="S37">
            <v>1950</v>
          </cell>
          <cell r="T37">
            <v>1554.6089999999999</v>
          </cell>
          <cell r="U37">
            <v>2008.0787999999998</v>
          </cell>
          <cell r="V37">
            <v>3479</v>
          </cell>
          <cell r="W37">
            <v>78684.6878</v>
          </cell>
          <cell r="Y37">
            <v>69693</v>
          </cell>
          <cell r="AA37">
            <v>200</v>
          </cell>
          <cell r="AB37">
            <v>1800</v>
          </cell>
          <cell r="AC37">
            <v>335</v>
          </cell>
          <cell r="AE37">
            <v>2335</v>
          </cell>
          <cell r="AF37">
            <v>74399.6878</v>
          </cell>
        </row>
        <row r="38">
          <cell r="C38" t="str">
            <v>BITS-619</v>
          </cell>
          <cell r="D38" t="str">
            <v>Cognizant</v>
          </cell>
          <cell r="E38" t="str">
            <v>Varsha Bollu</v>
          </cell>
          <cell r="G38">
            <v>85000</v>
          </cell>
          <cell r="H38">
            <v>75643</v>
          </cell>
          <cell r="I38">
            <v>30</v>
          </cell>
          <cell r="J38">
            <v>30</v>
          </cell>
          <cell r="L38">
            <v>30</v>
          </cell>
          <cell r="M38">
            <v>45385.8</v>
          </cell>
          <cell r="N38">
            <v>18154.320000000003</v>
          </cell>
          <cell r="O38">
            <v>2083</v>
          </cell>
          <cell r="P38">
            <v>2083</v>
          </cell>
          <cell r="Q38">
            <v>8049.8799999999901</v>
          </cell>
          <cell r="R38">
            <v>75756</v>
          </cell>
          <cell r="S38">
            <v>1950</v>
          </cell>
          <cell r="T38">
            <v>1554.6089999999999</v>
          </cell>
          <cell r="U38">
            <v>2183.0569799999998</v>
          </cell>
          <cell r="V38">
            <v>3782.15</v>
          </cell>
          <cell r="W38">
            <v>85225.815979999985</v>
          </cell>
          <cell r="Y38">
            <v>75756</v>
          </cell>
          <cell r="AA38">
            <v>200</v>
          </cell>
          <cell r="AB38">
            <v>1800</v>
          </cell>
          <cell r="AC38">
            <v>335</v>
          </cell>
          <cell r="AE38">
            <v>2335</v>
          </cell>
          <cell r="AF38">
            <v>80940.815979999985</v>
          </cell>
        </row>
        <row r="39">
          <cell r="C39" t="str">
            <v>BITS-620</v>
          </cell>
          <cell r="D39" t="str">
            <v>Cognizant</v>
          </cell>
          <cell r="E39" t="str">
            <v>Bhaskar Reddy Sudha</v>
          </cell>
          <cell r="G39">
            <v>110000</v>
          </cell>
          <cell r="H39">
            <v>98816</v>
          </cell>
          <cell r="I39">
            <v>30</v>
          </cell>
          <cell r="J39">
            <v>28</v>
          </cell>
          <cell r="K39">
            <v>2</v>
          </cell>
          <cell r="L39">
            <v>29</v>
          </cell>
          <cell r="M39">
            <v>57313.279999999999</v>
          </cell>
          <cell r="N39">
            <v>22925.312000000002</v>
          </cell>
          <cell r="O39">
            <v>2014</v>
          </cell>
          <cell r="P39">
            <v>2014</v>
          </cell>
          <cell r="Q39">
            <v>11368.541333333327</v>
          </cell>
          <cell r="R39">
            <v>95635.133333333331</v>
          </cell>
          <cell r="S39">
            <v>1950</v>
          </cell>
          <cell r="T39">
            <v>1554.6089999999999</v>
          </cell>
          <cell r="U39">
            <v>2756.7687679999999</v>
          </cell>
          <cell r="V39">
            <v>4776.1066666666666</v>
          </cell>
          <cell r="W39">
            <v>106672.617768</v>
          </cell>
          <cell r="Y39">
            <v>95635.133333333331</v>
          </cell>
          <cell r="AA39">
            <v>200</v>
          </cell>
          <cell r="AB39">
            <v>1800</v>
          </cell>
          <cell r="AC39">
            <v>335</v>
          </cell>
          <cell r="AE39">
            <v>2335</v>
          </cell>
          <cell r="AF39">
            <v>102387.48443466667</v>
          </cell>
        </row>
        <row r="40">
          <cell r="C40" t="str">
            <v>BITS-645</v>
          </cell>
          <cell r="D40" t="str">
            <v>Cognizant</v>
          </cell>
          <cell r="E40" t="str">
            <v>BHARGAVI .R</v>
          </cell>
          <cell r="G40">
            <v>105000</v>
          </cell>
          <cell r="H40">
            <v>94181</v>
          </cell>
          <cell r="I40">
            <v>30</v>
          </cell>
          <cell r="J40">
            <v>29</v>
          </cell>
          <cell r="K40">
            <v>1</v>
          </cell>
          <cell r="L40">
            <v>30</v>
          </cell>
          <cell r="M40">
            <v>56508.6</v>
          </cell>
          <cell r="N40">
            <v>22603.440000000002</v>
          </cell>
          <cell r="O40">
            <v>2083</v>
          </cell>
          <cell r="P40">
            <v>2083</v>
          </cell>
          <cell r="Q40">
            <v>11015.959999999992</v>
          </cell>
          <cell r="R40">
            <v>94294</v>
          </cell>
          <cell r="S40">
            <v>1950</v>
          </cell>
          <cell r="T40">
            <v>1554.6089999999999</v>
          </cell>
          <cell r="U40">
            <v>2718.0636599999998</v>
          </cell>
          <cell r="V40">
            <v>4709.05</v>
          </cell>
          <cell r="W40">
            <v>105225.72266</v>
          </cell>
          <cell r="Y40">
            <v>94294</v>
          </cell>
          <cell r="AA40">
            <v>200</v>
          </cell>
          <cell r="AB40">
            <v>1800</v>
          </cell>
          <cell r="AC40">
            <v>378</v>
          </cell>
          <cell r="AE40">
            <v>2378</v>
          </cell>
          <cell r="AF40">
            <v>100897.72266</v>
          </cell>
        </row>
        <row r="41">
          <cell r="C41" t="str">
            <v>BITS-676</v>
          </cell>
          <cell r="D41" t="str">
            <v>Cognizant</v>
          </cell>
          <cell r="E41" t="str">
            <v>Siva Krishna</v>
          </cell>
          <cell r="G41">
            <v>80000</v>
          </cell>
          <cell r="H41">
            <v>71009</v>
          </cell>
          <cell r="I41">
            <v>30</v>
          </cell>
          <cell r="J41">
            <v>30</v>
          </cell>
          <cell r="L41">
            <v>30</v>
          </cell>
          <cell r="M41">
            <v>42605.4</v>
          </cell>
          <cell r="N41">
            <v>17042.16</v>
          </cell>
          <cell r="O41">
            <v>2083</v>
          </cell>
          <cell r="P41">
            <v>2083</v>
          </cell>
          <cell r="Q41">
            <v>7308.4400000000023</v>
          </cell>
          <cell r="R41">
            <v>71122</v>
          </cell>
          <cell r="S41">
            <v>1950</v>
          </cell>
          <cell r="T41">
            <v>1554.6089999999999</v>
          </cell>
          <cell r="U41">
            <v>2049.3197399999999</v>
          </cell>
          <cell r="V41">
            <v>3550.4500000000003</v>
          </cell>
          <cell r="W41">
            <v>80226.37874</v>
          </cell>
          <cell r="Y41">
            <v>71122</v>
          </cell>
          <cell r="AA41">
            <v>200</v>
          </cell>
          <cell r="AB41">
            <v>1800</v>
          </cell>
          <cell r="AC41">
            <v>378</v>
          </cell>
          <cell r="AE41">
            <v>2378</v>
          </cell>
          <cell r="AF41">
            <v>75898.37874</v>
          </cell>
        </row>
        <row r="42">
          <cell r="C42" t="str">
            <v>BITS-621</v>
          </cell>
          <cell r="E42" t="str">
            <v>ARJUN PUNDLIK JOSHI</v>
          </cell>
          <cell r="F42" t="str">
            <v>Mysore SEZ</v>
          </cell>
          <cell r="G42">
            <v>85000</v>
          </cell>
          <cell r="H42">
            <v>75643</v>
          </cell>
          <cell r="I42">
            <v>30</v>
          </cell>
          <cell r="J42">
            <v>30</v>
          </cell>
          <cell r="L42">
            <v>30</v>
          </cell>
          <cell r="M42">
            <v>45385.8</v>
          </cell>
          <cell r="N42">
            <v>18154.320000000003</v>
          </cell>
          <cell r="O42">
            <v>2083</v>
          </cell>
          <cell r="P42">
            <v>2083</v>
          </cell>
          <cell r="Q42">
            <v>8049.8799999999901</v>
          </cell>
          <cell r="R42">
            <v>75756</v>
          </cell>
          <cell r="S42">
            <v>1950</v>
          </cell>
          <cell r="T42">
            <v>1554.6089999999999</v>
          </cell>
          <cell r="U42">
            <v>2183.0569799999998</v>
          </cell>
          <cell r="V42">
            <v>3782.15</v>
          </cell>
          <cell r="W42">
            <v>85225.815979999985</v>
          </cell>
          <cell r="X42">
            <v>1000</v>
          </cell>
          <cell r="Y42">
            <v>76756</v>
          </cell>
          <cell r="AA42">
            <v>200</v>
          </cell>
          <cell r="AB42">
            <v>1800</v>
          </cell>
          <cell r="AC42">
            <v>336</v>
          </cell>
          <cell r="AE42">
            <v>2336</v>
          </cell>
          <cell r="AF42">
            <v>81939.815979999985</v>
          </cell>
        </row>
        <row r="43">
          <cell r="C43" t="str">
            <v>BITS-624</v>
          </cell>
          <cell r="E43" t="str">
            <v>Karthick G</v>
          </cell>
          <cell r="F43" t="str">
            <v>BNG STP</v>
          </cell>
          <cell r="G43">
            <v>100000</v>
          </cell>
          <cell r="H43">
            <v>89547</v>
          </cell>
          <cell r="I43">
            <v>30</v>
          </cell>
          <cell r="J43">
            <v>30</v>
          </cell>
          <cell r="L43">
            <v>30</v>
          </cell>
          <cell r="M43">
            <v>53728.2</v>
          </cell>
          <cell r="N43">
            <v>21491.279999999999</v>
          </cell>
          <cell r="O43">
            <v>2083</v>
          </cell>
          <cell r="P43">
            <v>2083</v>
          </cell>
          <cell r="Q43">
            <v>10274.520000000004</v>
          </cell>
          <cell r="R43">
            <v>89660</v>
          </cell>
          <cell r="S43">
            <v>1950</v>
          </cell>
          <cell r="T43">
            <v>1554.6089999999999</v>
          </cell>
          <cell r="U43">
            <v>2584.3264199999994</v>
          </cell>
          <cell r="V43">
            <v>4477.3499999999995</v>
          </cell>
          <cell r="W43">
            <v>100226.28542</v>
          </cell>
          <cell r="Y43">
            <v>89660</v>
          </cell>
          <cell r="AA43">
            <v>200</v>
          </cell>
          <cell r="AB43">
            <v>1800</v>
          </cell>
          <cell r="AC43">
            <v>336</v>
          </cell>
          <cell r="AE43">
            <v>2336</v>
          </cell>
          <cell r="AF43">
            <v>95940.28542</v>
          </cell>
        </row>
        <row r="44">
          <cell r="C44" t="str">
            <v>BITS-626</v>
          </cell>
          <cell r="E44" t="str">
            <v>Somisetty VenkataKrishna</v>
          </cell>
          <cell r="F44" t="str">
            <v>BNG SEZ</v>
          </cell>
          <cell r="G44">
            <v>75000</v>
          </cell>
          <cell r="H44">
            <v>66374</v>
          </cell>
          <cell r="I44">
            <v>30</v>
          </cell>
          <cell r="J44">
            <v>29</v>
          </cell>
          <cell r="K44">
            <v>1</v>
          </cell>
          <cell r="L44">
            <v>30</v>
          </cell>
          <cell r="M44">
            <v>39824.400000000001</v>
          </cell>
          <cell r="N44">
            <v>15929.760000000002</v>
          </cell>
          <cell r="O44">
            <v>2083</v>
          </cell>
          <cell r="P44">
            <v>2083</v>
          </cell>
          <cell r="Q44">
            <v>6566.8399999999965</v>
          </cell>
          <cell r="R44">
            <v>66487</v>
          </cell>
          <cell r="S44">
            <v>1950</v>
          </cell>
          <cell r="T44">
            <v>1554.6089999999999</v>
          </cell>
          <cell r="U44">
            <v>1915.5536400000001</v>
          </cell>
          <cell r="V44">
            <v>3318.7000000000003</v>
          </cell>
          <cell r="W44">
            <v>75225.862639999992</v>
          </cell>
          <cell r="Y44">
            <v>66487</v>
          </cell>
          <cell r="AA44">
            <v>200</v>
          </cell>
          <cell r="AB44">
            <v>1800</v>
          </cell>
          <cell r="AC44">
            <v>335</v>
          </cell>
          <cell r="AE44">
            <v>2335</v>
          </cell>
          <cell r="AF44">
            <v>70940.862639999992</v>
          </cell>
        </row>
        <row r="45">
          <cell r="C45" t="str">
            <v>BITS-629</v>
          </cell>
          <cell r="E45" t="str">
            <v>CHEREDDY MURALI KRISHNA NAIDU</v>
          </cell>
          <cell r="F45" t="str">
            <v>BNG SEZ</v>
          </cell>
          <cell r="G45">
            <v>115000</v>
          </cell>
          <cell r="H45">
            <v>103451</v>
          </cell>
          <cell r="I45">
            <v>30</v>
          </cell>
          <cell r="J45">
            <v>29</v>
          </cell>
          <cell r="K45">
            <v>1</v>
          </cell>
          <cell r="L45">
            <v>30</v>
          </cell>
          <cell r="M45">
            <v>62070.6</v>
          </cell>
          <cell r="N45">
            <v>24828.240000000002</v>
          </cell>
          <cell r="O45">
            <v>2083</v>
          </cell>
          <cell r="P45">
            <v>2083</v>
          </cell>
          <cell r="Q45">
            <v>12499.160000000003</v>
          </cell>
          <cell r="R45">
            <v>103564</v>
          </cell>
          <cell r="S45">
            <v>1950</v>
          </cell>
          <cell r="T45">
            <v>1554.6089999999999</v>
          </cell>
          <cell r="U45">
            <v>2985.5958599999994</v>
          </cell>
          <cell r="V45">
            <v>5172.55</v>
          </cell>
          <cell r="W45">
            <v>115226.75486</v>
          </cell>
          <cell r="Y45">
            <v>103564</v>
          </cell>
          <cell r="AA45">
            <v>200</v>
          </cell>
          <cell r="AB45">
            <v>1800</v>
          </cell>
          <cell r="AC45">
            <v>336</v>
          </cell>
          <cell r="AE45">
            <v>2336</v>
          </cell>
          <cell r="AF45">
            <v>110940.75486</v>
          </cell>
        </row>
        <row r="46">
          <cell r="C46" t="str">
            <v>BITS-630</v>
          </cell>
          <cell r="E46" t="str">
            <v>Gangadhar Yarabham</v>
          </cell>
          <cell r="F46" t="str">
            <v>HYD SEZ</v>
          </cell>
          <cell r="G46">
            <v>95000</v>
          </cell>
          <cell r="H46">
            <v>84912</v>
          </cell>
          <cell r="I46">
            <v>30</v>
          </cell>
          <cell r="J46">
            <v>30</v>
          </cell>
          <cell r="L46">
            <v>30</v>
          </cell>
          <cell r="M46">
            <v>50947.199999999997</v>
          </cell>
          <cell r="N46">
            <v>20378.88</v>
          </cell>
          <cell r="O46">
            <v>2083</v>
          </cell>
          <cell r="P46">
            <v>2083</v>
          </cell>
          <cell r="Q46">
            <v>9532.9199999999983</v>
          </cell>
          <cell r="R46">
            <v>85025</v>
          </cell>
          <cell r="S46">
            <v>1950</v>
          </cell>
          <cell r="T46">
            <v>1554.6089999999999</v>
          </cell>
          <cell r="U46">
            <v>2450.5603199999996</v>
          </cell>
          <cell r="V46">
            <v>4245.5999999999995</v>
          </cell>
          <cell r="W46">
            <v>95225.769320000007</v>
          </cell>
          <cell r="Y46">
            <v>85025</v>
          </cell>
          <cell r="AA46">
            <v>200</v>
          </cell>
          <cell r="AB46">
            <v>1800</v>
          </cell>
          <cell r="AC46">
            <v>377</v>
          </cell>
          <cell r="AE46">
            <v>2377</v>
          </cell>
          <cell r="AF46">
            <v>90898.769320000007</v>
          </cell>
        </row>
        <row r="47">
          <cell r="C47" t="str">
            <v>BITS-632</v>
          </cell>
          <cell r="E47" t="str">
            <v>Himanshu Anand</v>
          </cell>
          <cell r="F47" t="str">
            <v>PUNE SEZ 1</v>
          </cell>
          <cell r="G47">
            <v>110000</v>
          </cell>
          <cell r="H47">
            <v>98501</v>
          </cell>
          <cell r="I47">
            <v>30</v>
          </cell>
          <cell r="J47">
            <v>30</v>
          </cell>
          <cell r="L47">
            <v>30</v>
          </cell>
          <cell r="M47">
            <v>59100.6</v>
          </cell>
          <cell r="N47">
            <v>23640.240000000002</v>
          </cell>
          <cell r="O47">
            <v>2083</v>
          </cell>
          <cell r="P47">
            <v>2083</v>
          </cell>
          <cell r="Q47">
            <v>11707.160000000003</v>
          </cell>
          <cell r="R47">
            <v>98614</v>
          </cell>
          <cell r="S47">
            <v>1950</v>
          </cell>
          <cell r="T47">
            <v>1554.6089999999999</v>
          </cell>
          <cell r="U47">
            <v>2842.7388599999999</v>
          </cell>
          <cell r="V47">
            <v>4925.05</v>
          </cell>
          <cell r="W47">
            <v>109886.39786</v>
          </cell>
          <cell r="Y47">
            <v>98614</v>
          </cell>
          <cell r="AA47">
            <v>200</v>
          </cell>
          <cell r="AB47">
            <v>1800</v>
          </cell>
          <cell r="AC47">
            <v>336</v>
          </cell>
          <cell r="AE47">
            <v>2336</v>
          </cell>
          <cell r="AF47">
            <v>105600.39786</v>
          </cell>
        </row>
        <row r="48">
          <cell r="C48" t="str">
            <v>BITS-633</v>
          </cell>
          <cell r="E48" t="str">
            <v>Kanchupati Kondaiah</v>
          </cell>
          <cell r="F48" t="str">
            <v>PUNE SEZ 1</v>
          </cell>
          <cell r="G48">
            <v>54000</v>
          </cell>
          <cell r="H48">
            <v>46909</v>
          </cell>
          <cell r="I48">
            <v>30</v>
          </cell>
          <cell r="J48">
            <v>29</v>
          </cell>
          <cell r="K48">
            <v>1</v>
          </cell>
          <cell r="L48">
            <v>30</v>
          </cell>
          <cell r="M48">
            <v>28145.4</v>
          </cell>
          <cell r="N48">
            <v>11258.160000000002</v>
          </cell>
          <cell r="O48">
            <v>2083</v>
          </cell>
          <cell r="P48">
            <v>2083</v>
          </cell>
          <cell r="Q48">
            <v>3452.4399999999951</v>
          </cell>
          <cell r="R48">
            <v>47022</v>
          </cell>
          <cell r="S48">
            <v>1950</v>
          </cell>
          <cell r="T48">
            <v>1554.6089999999999</v>
          </cell>
          <cell r="U48">
            <v>1353.7937399999998</v>
          </cell>
          <cell r="V48">
            <v>2345.4500000000003</v>
          </cell>
          <cell r="W48">
            <v>54225.852739999995</v>
          </cell>
          <cell r="Y48">
            <v>47022</v>
          </cell>
          <cell r="AA48">
            <v>200</v>
          </cell>
          <cell r="AB48">
            <v>1800</v>
          </cell>
          <cell r="AC48">
            <v>336</v>
          </cell>
          <cell r="AE48">
            <v>2336</v>
          </cell>
          <cell r="AF48">
            <v>49939.852739999995</v>
          </cell>
        </row>
        <row r="49">
          <cell r="C49" t="str">
            <v>BITS-634</v>
          </cell>
          <cell r="E49" t="str">
            <v>Santosh Patel</v>
          </cell>
          <cell r="F49" t="str">
            <v>PUNE SEZ 1</v>
          </cell>
          <cell r="G49">
            <v>145000</v>
          </cell>
          <cell r="H49">
            <v>131257</v>
          </cell>
          <cell r="I49">
            <v>30</v>
          </cell>
          <cell r="J49">
            <v>30</v>
          </cell>
          <cell r="L49">
            <v>30</v>
          </cell>
          <cell r="M49">
            <v>78754.2</v>
          </cell>
          <cell r="N49">
            <v>31501.68</v>
          </cell>
          <cell r="O49">
            <v>2083</v>
          </cell>
          <cell r="P49">
            <v>2083</v>
          </cell>
          <cell r="Q49">
            <v>16948.119999999995</v>
          </cell>
          <cell r="R49">
            <v>131370</v>
          </cell>
          <cell r="S49">
            <v>1950</v>
          </cell>
          <cell r="T49">
            <v>1554.6089999999999</v>
          </cell>
          <cell r="U49">
            <v>3788.0770199999993</v>
          </cell>
          <cell r="V49">
            <v>6562.8499999999995</v>
          </cell>
          <cell r="W49">
            <v>145225.53602</v>
          </cell>
          <cell r="Y49">
            <v>131370</v>
          </cell>
          <cell r="AA49">
            <v>200</v>
          </cell>
          <cell r="AB49">
            <v>1800</v>
          </cell>
          <cell r="AC49">
            <v>336</v>
          </cell>
          <cell r="AE49">
            <v>2336</v>
          </cell>
          <cell r="AF49">
            <v>140939.53602</v>
          </cell>
        </row>
        <row r="50">
          <cell r="C50" t="str">
            <v>BITS-638</v>
          </cell>
          <cell r="E50" t="str">
            <v>Basweshwar Pawar</v>
          </cell>
          <cell r="F50" t="str">
            <v>PUNE SEZ 1</v>
          </cell>
          <cell r="G50">
            <v>100000</v>
          </cell>
          <cell r="H50">
            <v>89547</v>
          </cell>
          <cell r="I50">
            <v>30</v>
          </cell>
          <cell r="J50">
            <v>30</v>
          </cell>
          <cell r="L50">
            <v>30</v>
          </cell>
          <cell r="M50">
            <v>53728.2</v>
          </cell>
          <cell r="N50">
            <v>21491.279999999999</v>
          </cell>
          <cell r="O50">
            <v>2083</v>
          </cell>
          <cell r="P50">
            <v>2083</v>
          </cell>
          <cell r="Q50">
            <v>10274.520000000004</v>
          </cell>
          <cell r="R50">
            <v>89660</v>
          </cell>
          <cell r="S50">
            <v>1950</v>
          </cell>
          <cell r="T50">
            <v>1554.6089999999999</v>
          </cell>
          <cell r="U50">
            <v>2584.3264199999994</v>
          </cell>
          <cell r="V50">
            <v>4477.3499999999995</v>
          </cell>
          <cell r="W50">
            <v>100226.28542</v>
          </cell>
          <cell r="Y50">
            <v>89660</v>
          </cell>
          <cell r="AA50">
            <v>200</v>
          </cell>
          <cell r="AB50">
            <v>1800</v>
          </cell>
          <cell r="AC50">
            <v>224</v>
          </cell>
          <cell r="AE50">
            <v>2224</v>
          </cell>
          <cell r="AF50">
            <v>96052.28542</v>
          </cell>
        </row>
        <row r="51">
          <cell r="C51" t="str">
            <v>BITS-640</v>
          </cell>
          <cell r="E51" t="str">
            <v>K V Kannan</v>
          </cell>
          <cell r="F51" t="str">
            <v>BNG STP</v>
          </cell>
          <cell r="G51">
            <v>43000</v>
          </cell>
          <cell r="H51">
            <v>36713</v>
          </cell>
          <cell r="I51">
            <v>30</v>
          </cell>
          <cell r="J51">
            <v>29</v>
          </cell>
          <cell r="K51">
            <v>1</v>
          </cell>
          <cell r="L51">
            <v>30</v>
          </cell>
          <cell r="M51">
            <v>22027.8</v>
          </cell>
          <cell r="N51">
            <v>8811.1200000000008</v>
          </cell>
          <cell r="O51">
            <v>2083</v>
          </cell>
          <cell r="P51">
            <v>2083</v>
          </cell>
          <cell r="Q51">
            <v>1821.0800000000017</v>
          </cell>
          <cell r="R51">
            <v>36826</v>
          </cell>
          <cell r="S51">
            <v>1950</v>
          </cell>
          <cell r="T51">
            <v>1554.6089999999999</v>
          </cell>
          <cell r="U51">
            <v>1059.53718</v>
          </cell>
          <cell r="V51">
            <v>1835.6499999999999</v>
          </cell>
          <cell r="W51">
            <v>43225.796179999998</v>
          </cell>
          <cell r="Y51">
            <v>36826</v>
          </cell>
          <cell r="AA51">
            <v>200</v>
          </cell>
          <cell r="AB51">
            <v>1800</v>
          </cell>
          <cell r="AC51">
            <v>252</v>
          </cell>
          <cell r="AE51">
            <v>2252</v>
          </cell>
          <cell r="AF51">
            <v>39023.796179999998</v>
          </cell>
        </row>
        <row r="52">
          <cell r="C52" t="str">
            <v>BITS-641</v>
          </cell>
          <cell r="E52" t="str">
            <v>Thanigaivel.J</v>
          </cell>
          <cell r="F52" t="str">
            <v>BNG STP</v>
          </cell>
          <cell r="G52">
            <v>43000</v>
          </cell>
          <cell r="H52">
            <v>36713</v>
          </cell>
          <cell r="I52">
            <v>30</v>
          </cell>
          <cell r="J52">
            <v>30</v>
          </cell>
          <cell r="L52">
            <v>30</v>
          </cell>
          <cell r="M52">
            <v>22027.8</v>
          </cell>
          <cell r="N52">
            <v>8811.1200000000008</v>
          </cell>
          <cell r="O52">
            <v>2083</v>
          </cell>
          <cell r="P52">
            <v>2083</v>
          </cell>
          <cell r="Q52">
            <v>1821.0800000000017</v>
          </cell>
          <cell r="R52">
            <v>36826</v>
          </cell>
          <cell r="S52">
            <v>1950</v>
          </cell>
          <cell r="T52">
            <v>1554.6089999999999</v>
          </cell>
          <cell r="U52">
            <v>1059.53718</v>
          </cell>
          <cell r="V52">
            <v>1835.6499999999999</v>
          </cell>
          <cell r="W52">
            <v>43225.796179999998</v>
          </cell>
          <cell r="Y52">
            <v>36826</v>
          </cell>
          <cell r="AA52">
            <v>200</v>
          </cell>
          <cell r="AB52">
            <v>1800</v>
          </cell>
          <cell r="AC52">
            <v>224</v>
          </cell>
          <cell r="AE52">
            <v>2224</v>
          </cell>
          <cell r="AF52">
            <v>39051.796179999998</v>
          </cell>
        </row>
        <row r="53">
          <cell r="C53" t="str">
            <v>BITS-644</v>
          </cell>
          <cell r="E53" t="str">
            <v>gopi reddy chirra</v>
          </cell>
          <cell r="F53" t="str">
            <v>Chandigarh</v>
          </cell>
          <cell r="G53">
            <v>66000</v>
          </cell>
          <cell r="H53">
            <v>58032</v>
          </cell>
          <cell r="I53">
            <v>30</v>
          </cell>
          <cell r="J53">
            <v>29</v>
          </cell>
          <cell r="K53">
            <v>1</v>
          </cell>
          <cell r="L53">
            <v>30</v>
          </cell>
          <cell r="M53">
            <v>34819.199999999997</v>
          </cell>
          <cell r="N53">
            <v>13927.68</v>
          </cell>
          <cell r="O53">
            <v>2083</v>
          </cell>
          <cell r="P53">
            <v>2083</v>
          </cell>
          <cell r="Q53">
            <v>5232.1200000000026</v>
          </cell>
          <cell r="R53">
            <v>58145</v>
          </cell>
          <cell r="S53">
            <v>1950</v>
          </cell>
          <cell r="T53">
            <v>1554.6089999999999</v>
          </cell>
          <cell r="U53">
            <v>1674.8035199999999</v>
          </cell>
          <cell r="V53">
            <v>2901.6</v>
          </cell>
          <cell r="W53">
            <v>66226.012519999989</v>
          </cell>
          <cell r="Y53">
            <v>58145</v>
          </cell>
          <cell r="AA53">
            <v>200</v>
          </cell>
          <cell r="AB53">
            <v>1800</v>
          </cell>
          <cell r="AC53">
            <v>224</v>
          </cell>
          <cell r="AE53">
            <v>2224</v>
          </cell>
          <cell r="AF53">
            <v>62052.012519999997</v>
          </cell>
        </row>
        <row r="54">
          <cell r="C54" t="str">
            <v>BITS-645</v>
          </cell>
          <cell r="E54" t="str">
            <v>Anil kumar Redd kusam</v>
          </cell>
          <cell r="F54" t="str">
            <v>BNG STP</v>
          </cell>
          <cell r="G54">
            <v>90000</v>
          </cell>
          <cell r="H54">
            <v>80278</v>
          </cell>
          <cell r="I54">
            <v>30</v>
          </cell>
          <cell r="J54">
            <v>30</v>
          </cell>
          <cell r="L54">
            <v>30</v>
          </cell>
          <cell r="M54">
            <v>48166.8</v>
          </cell>
          <cell r="N54">
            <v>19266.72</v>
          </cell>
          <cell r="O54">
            <v>2083</v>
          </cell>
          <cell r="P54">
            <v>2083</v>
          </cell>
          <cell r="Q54">
            <v>8791.4799999999959</v>
          </cell>
          <cell r="R54">
            <v>80391</v>
          </cell>
          <cell r="S54">
            <v>1950</v>
          </cell>
          <cell r="T54">
            <v>1554.6089999999999</v>
          </cell>
          <cell r="U54">
            <v>2316.8230800000001</v>
          </cell>
          <cell r="V54">
            <v>4013.9</v>
          </cell>
          <cell r="W54">
            <v>90226.332079999993</v>
          </cell>
          <cell r="Y54">
            <v>80391</v>
          </cell>
          <cell r="AA54">
            <v>200</v>
          </cell>
          <cell r="AB54">
            <v>1800</v>
          </cell>
          <cell r="AC54">
            <v>224</v>
          </cell>
          <cell r="AE54">
            <v>2224</v>
          </cell>
          <cell r="AF54">
            <v>86052.332079999993</v>
          </cell>
        </row>
        <row r="55">
          <cell r="C55" t="str">
            <v>BITS-646</v>
          </cell>
          <cell r="E55" t="str">
            <v>Vijay Kumar Sundara</v>
          </cell>
          <cell r="F55" t="str">
            <v>HYD STP</v>
          </cell>
          <cell r="G55">
            <v>90000</v>
          </cell>
          <cell r="H55">
            <v>80278</v>
          </cell>
          <cell r="I55">
            <v>30</v>
          </cell>
          <cell r="J55">
            <v>30</v>
          </cell>
          <cell r="L55">
            <v>30</v>
          </cell>
          <cell r="M55">
            <v>48166.8</v>
          </cell>
          <cell r="N55">
            <v>19266.72</v>
          </cell>
          <cell r="O55">
            <v>2083</v>
          </cell>
          <cell r="P55">
            <v>2083</v>
          </cell>
          <cell r="Q55">
            <v>8791.4799999999959</v>
          </cell>
          <cell r="R55">
            <v>80391</v>
          </cell>
          <cell r="S55">
            <v>1950</v>
          </cell>
          <cell r="T55">
            <v>1554.6089999999999</v>
          </cell>
          <cell r="U55">
            <v>2316.8230800000001</v>
          </cell>
          <cell r="V55">
            <v>4013.9</v>
          </cell>
          <cell r="W55">
            <v>90226.332079999993</v>
          </cell>
          <cell r="Y55">
            <v>80391</v>
          </cell>
          <cell r="AA55">
            <v>200</v>
          </cell>
          <cell r="AB55">
            <v>1800</v>
          </cell>
          <cell r="AC55">
            <v>224</v>
          </cell>
          <cell r="AE55">
            <v>2224</v>
          </cell>
          <cell r="AF55">
            <v>86052.332079999993</v>
          </cell>
        </row>
        <row r="56">
          <cell r="C56" t="str">
            <v>BITS-650</v>
          </cell>
          <cell r="E56" t="str">
            <v>Bhaskar Idagottu</v>
          </cell>
          <cell r="G56">
            <v>125000</v>
          </cell>
          <cell r="H56">
            <v>112719</v>
          </cell>
          <cell r="I56">
            <v>30</v>
          </cell>
          <cell r="J56">
            <v>26</v>
          </cell>
          <cell r="K56">
            <v>4</v>
          </cell>
          <cell r="L56">
            <v>27</v>
          </cell>
          <cell r="M56">
            <v>60868.26</v>
          </cell>
          <cell r="N56">
            <v>24347.304000000004</v>
          </cell>
          <cell r="O56">
            <v>1875</v>
          </cell>
          <cell r="P56">
            <v>1875</v>
          </cell>
          <cell r="Q56">
            <v>12594.535999999993</v>
          </cell>
          <cell r="R56">
            <v>101560.1</v>
          </cell>
          <cell r="T56">
            <v>1554.6089999999999</v>
          </cell>
          <cell r="U56">
            <v>2927.7633059999998</v>
          </cell>
          <cell r="V56">
            <v>5072.3550000000005</v>
          </cell>
          <cell r="W56">
            <v>111114.82730599999</v>
          </cell>
          <cell r="Y56">
            <v>101560.1</v>
          </cell>
          <cell r="AA56">
            <v>200</v>
          </cell>
          <cell r="AC56">
            <v>283</v>
          </cell>
          <cell r="AE56">
            <v>483</v>
          </cell>
          <cell r="AF56">
            <v>110631.72730599999</v>
          </cell>
        </row>
        <row r="57">
          <cell r="C57" t="str">
            <v>BITS-652</v>
          </cell>
          <cell r="E57" t="str">
            <v>Shaikh Mohammed Sartaj</v>
          </cell>
          <cell r="F57" t="str">
            <v>PUNE SEZ 2</v>
          </cell>
          <cell r="G57">
            <v>90000</v>
          </cell>
          <cell r="H57">
            <v>80278</v>
          </cell>
          <cell r="I57">
            <v>30</v>
          </cell>
          <cell r="J57">
            <v>29</v>
          </cell>
          <cell r="K57">
            <v>1</v>
          </cell>
          <cell r="L57">
            <v>30</v>
          </cell>
          <cell r="M57">
            <v>48166.8</v>
          </cell>
          <cell r="N57">
            <v>19266.72</v>
          </cell>
          <cell r="O57">
            <v>2083</v>
          </cell>
          <cell r="P57">
            <v>2083</v>
          </cell>
          <cell r="Q57">
            <v>8791.4799999999959</v>
          </cell>
          <cell r="R57">
            <v>80391</v>
          </cell>
          <cell r="S57">
            <v>1950</v>
          </cell>
          <cell r="T57">
            <v>1554.6089999999999</v>
          </cell>
          <cell r="U57">
            <v>2316.8230800000001</v>
          </cell>
          <cell r="V57">
            <v>4013.9</v>
          </cell>
          <cell r="W57">
            <v>90226.332079999993</v>
          </cell>
          <cell r="Y57">
            <v>80391</v>
          </cell>
          <cell r="AA57">
            <v>200</v>
          </cell>
          <cell r="AB57">
            <v>1800</v>
          </cell>
          <cell r="AC57">
            <v>254</v>
          </cell>
          <cell r="AE57">
            <v>2254</v>
          </cell>
          <cell r="AF57">
            <v>86022.332079999993</v>
          </cell>
        </row>
        <row r="58">
          <cell r="C58" t="str">
            <v>BITS-654</v>
          </cell>
          <cell r="E58" t="str">
            <v>Dinesh Kumar Maran</v>
          </cell>
          <cell r="F58" t="str">
            <v>Chennai STP</v>
          </cell>
          <cell r="G58">
            <v>50000</v>
          </cell>
          <cell r="H58">
            <v>43202</v>
          </cell>
          <cell r="I58">
            <v>30</v>
          </cell>
          <cell r="J58">
            <v>29</v>
          </cell>
          <cell r="K58">
            <v>1</v>
          </cell>
          <cell r="L58">
            <v>30</v>
          </cell>
          <cell r="M58">
            <v>25921.200000000001</v>
          </cell>
          <cell r="N58">
            <v>10368.480000000001</v>
          </cell>
          <cell r="O58">
            <v>2083</v>
          </cell>
          <cell r="P58">
            <v>2083</v>
          </cell>
          <cell r="Q58">
            <v>2859.3199999999997</v>
          </cell>
          <cell r="R58">
            <v>43315</v>
          </cell>
          <cell r="S58">
            <v>1950</v>
          </cell>
          <cell r="T58">
            <v>1554.6089999999999</v>
          </cell>
          <cell r="U58">
            <v>1246.80972</v>
          </cell>
          <cell r="V58">
            <v>2160.1</v>
          </cell>
          <cell r="W58">
            <v>50226.518719999993</v>
          </cell>
          <cell r="Y58">
            <v>43315</v>
          </cell>
          <cell r="AA58">
            <v>200</v>
          </cell>
          <cell r="AB58">
            <v>1800</v>
          </cell>
          <cell r="AC58">
            <v>254</v>
          </cell>
          <cell r="AE58">
            <v>2254</v>
          </cell>
          <cell r="AF58">
            <v>46022.518719999993</v>
          </cell>
        </row>
        <row r="59">
          <cell r="C59" t="str">
            <v>BITS-656</v>
          </cell>
          <cell r="E59" t="str">
            <v>Ranjith Kumar Karanam</v>
          </cell>
          <cell r="F59" t="str">
            <v>HYD STP</v>
          </cell>
          <cell r="G59">
            <v>120000</v>
          </cell>
          <cell r="H59">
            <v>108085</v>
          </cell>
          <cell r="I59">
            <v>30</v>
          </cell>
          <cell r="J59">
            <v>29</v>
          </cell>
          <cell r="K59">
            <v>1</v>
          </cell>
          <cell r="L59">
            <v>30</v>
          </cell>
          <cell r="M59">
            <v>64851</v>
          </cell>
          <cell r="N59">
            <v>25940.400000000001</v>
          </cell>
          <cell r="O59">
            <v>2083</v>
          </cell>
          <cell r="P59">
            <v>2083</v>
          </cell>
          <cell r="Q59">
            <v>13240.600000000006</v>
          </cell>
          <cell r="R59">
            <v>108198</v>
          </cell>
          <cell r="S59">
            <v>1950</v>
          </cell>
          <cell r="T59">
            <v>1554.6089999999999</v>
          </cell>
          <cell r="U59">
            <v>3119.3330999999998</v>
          </cell>
          <cell r="V59">
            <v>5404.25</v>
          </cell>
          <cell r="W59">
            <v>120226.1921</v>
          </cell>
          <cell r="Y59">
            <v>108198</v>
          </cell>
          <cell r="AA59">
            <v>200</v>
          </cell>
          <cell r="AB59">
            <v>1800</v>
          </cell>
          <cell r="AC59">
            <v>254</v>
          </cell>
          <cell r="AE59">
            <v>2254</v>
          </cell>
          <cell r="AF59">
            <v>116022.1921</v>
          </cell>
        </row>
        <row r="60">
          <cell r="C60" t="str">
            <v>BITS-658</v>
          </cell>
          <cell r="E60" t="str">
            <v>Anjali Dubey</v>
          </cell>
          <cell r="F60" t="str">
            <v>PUNE ASC SEZ</v>
          </cell>
          <cell r="G60">
            <v>67000</v>
          </cell>
          <cell r="H60">
            <v>58959</v>
          </cell>
          <cell r="I60">
            <v>30</v>
          </cell>
          <cell r="J60">
            <v>27</v>
          </cell>
          <cell r="K60">
            <v>3</v>
          </cell>
          <cell r="L60">
            <v>28</v>
          </cell>
          <cell r="M60">
            <v>33017.040000000001</v>
          </cell>
          <cell r="N60">
            <v>13206.816000000001</v>
          </cell>
          <cell r="O60">
            <v>1944</v>
          </cell>
          <cell r="P60">
            <v>1944</v>
          </cell>
          <cell r="Q60">
            <v>5029.5440000000017</v>
          </cell>
          <cell r="R60">
            <v>55141.4</v>
          </cell>
          <cell r="S60">
            <v>1950</v>
          </cell>
          <cell r="T60">
            <v>1554.6089999999999</v>
          </cell>
          <cell r="U60">
            <v>1588.1196239999999</v>
          </cell>
          <cell r="V60">
            <v>2751.42</v>
          </cell>
          <cell r="W60">
            <v>62985.548623999995</v>
          </cell>
          <cell r="Y60">
            <v>55141.4</v>
          </cell>
          <cell r="AA60">
            <v>200</v>
          </cell>
          <cell r="AB60">
            <v>1800</v>
          </cell>
          <cell r="AC60">
            <v>254</v>
          </cell>
          <cell r="AE60">
            <v>2254</v>
          </cell>
          <cell r="AF60">
            <v>58781.148623999994</v>
          </cell>
        </row>
        <row r="61">
          <cell r="C61" t="str">
            <v>BITS-659</v>
          </cell>
          <cell r="E61" t="str">
            <v>Manzoor Ahamed</v>
          </cell>
          <cell r="F61" t="str">
            <v>BNG STP</v>
          </cell>
          <cell r="G61">
            <v>245000</v>
          </cell>
          <cell r="H61">
            <v>223948</v>
          </cell>
          <cell r="I61">
            <v>30</v>
          </cell>
          <cell r="J61">
            <v>30</v>
          </cell>
          <cell r="L61">
            <v>30</v>
          </cell>
          <cell r="M61">
            <v>134368.79999999999</v>
          </cell>
          <cell r="N61">
            <v>53747.519999999997</v>
          </cell>
          <cell r="O61">
            <v>2083</v>
          </cell>
          <cell r="P61">
            <v>2083</v>
          </cell>
          <cell r="Q61">
            <v>31778.680000000022</v>
          </cell>
          <cell r="R61">
            <v>224061</v>
          </cell>
          <cell r="S61">
            <v>1950</v>
          </cell>
          <cell r="T61">
            <v>1554.6089999999999</v>
          </cell>
          <cell r="U61">
            <v>6463.1392799999985</v>
          </cell>
          <cell r="V61">
            <v>11197.4</v>
          </cell>
          <cell r="W61">
            <v>245226.14827999999</v>
          </cell>
          <cell r="Y61">
            <v>224061</v>
          </cell>
          <cell r="AA61">
            <v>200</v>
          </cell>
          <cell r="AB61">
            <v>1800</v>
          </cell>
          <cell r="AC61">
            <v>286</v>
          </cell>
          <cell r="AE61">
            <v>2286</v>
          </cell>
          <cell r="AF61">
            <v>240990.14827999999</v>
          </cell>
        </row>
        <row r="62">
          <cell r="C62" t="str">
            <v>BITS-660</v>
          </cell>
          <cell r="E62" t="str">
            <v>Moin Ahemad Jahur Ahemad Kumarkiri</v>
          </cell>
          <cell r="F62" t="str">
            <v>PUNE SEZ 2</v>
          </cell>
          <cell r="G62">
            <v>158000</v>
          </cell>
          <cell r="H62">
            <v>143307</v>
          </cell>
          <cell r="I62">
            <v>30</v>
          </cell>
          <cell r="J62">
            <v>30</v>
          </cell>
          <cell r="L62">
            <v>30</v>
          </cell>
          <cell r="M62">
            <v>85984.2</v>
          </cell>
          <cell r="N62">
            <v>34393.68</v>
          </cell>
          <cell r="O62">
            <v>2083</v>
          </cell>
          <cell r="P62">
            <v>2083</v>
          </cell>
          <cell r="Q62">
            <v>18876.119999999995</v>
          </cell>
          <cell r="R62">
            <v>143420</v>
          </cell>
          <cell r="S62">
            <v>1950</v>
          </cell>
          <cell r="T62">
            <v>1554.6089999999999</v>
          </cell>
          <cell r="U62">
            <v>4135.8400199999996</v>
          </cell>
          <cell r="V62">
            <v>7165.3499999999995</v>
          </cell>
          <cell r="W62">
            <v>158225.79902000001</v>
          </cell>
          <cell r="Y62">
            <v>143420</v>
          </cell>
          <cell r="AA62">
            <v>200</v>
          </cell>
          <cell r="AB62">
            <v>1800</v>
          </cell>
          <cell r="AC62">
            <v>254</v>
          </cell>
          <cell r="AE62">
            <v>2254</v>
          </cell>
          <cell r="AF62">
            <v>154021.79902000001</v>
          </cell>
        </row>
        <row r="63">
          <cell r="C63" t="str">
            <v>BITS-661</v>
          </cell>
          <cell r="E63" t="str">
            <v>Hemanth Mishra</v>
          </cell>
          <cell r="F63" t="str">
            <v>PUNE SEZ 1</v>
          </cell>
          <cell r="G63">
            <v>110000</v>
          </cell>
          <cell r="H63">
            <v>98816</v>
          </cell>
          <cell r="I63">
            <v>30</v>
          </cell>
          <cell r="J63">
            <v>29</v>
          </cell>
          <cell r="K63">
            <v>1</v>
          </cell>
          <cell r="L63">
            <v>30</v>
          </cell>
          <cell r="M63">
            <v>59289.599999999999</v>
          </cell>
          <cell r="N63">
            <v>23715.84</v>
          </cell>
          <cell r="O63">
            <v>2083</v>
          </cell>
          <cell r="P63">
            <v>2083</v>
          </cell>
          <cell r="Q63">
            <v>11757.559999999998</v>
          </cell>
          <cell r="R63">
            <v>98929</v>
          </cell>
          <cell r="S63">
            <v>1950</v>
          </cell>
          <cell r="T63">
            <v>1554.6089999999999</v>
          </cell>
          <cell r="U63">
            <v>2851.8297599999996</v>
          </cell>
          <cell r="V63">
            <v>4940.8</v>
          </cell>
          <cell r="W63">
            <v>110226.23875999999</v>
          </cell>
          <cell r="Y63">
            <v>98929</v>
          </cell>
          <cell r="AA63">
            <v>200</v>
          </cell>
          <cell r="AB63">
            <v>1800</v>
          </cell>
          <cell r="AC63">
            <v>254</v>
          </cell>
          <cell r="AE63">
            <v>2254</v>
          </cell>
          <cell r="AF63">
            <v>106022.23875999999</v>
          </cell>
        </row>
        <row r="64">
          <cell r="C64" t="str">
            <v>BITS-663</v>
          </cell>
          <cell r="E64" t="str">
            <v>FAZALAHMED IRKAL 22-4-2022</v>
          </cell>
          <cell r="F64" t="str">
            <v>PUNE SEZ 1</v>
          </cell>
          <cell r="G64">
            <v>68000</v>
          </cell>
          <cell r="H64">
            <v>59886</v>
          </cell>
          <cell r="I64">
            <v>30</v>
          </cell>
          <cell r="J64">
            <v>22</v>
          </cell>
          <cell r="L64">
            <v>22</v>
          </cell>
          <cell r="M64">
            <v>26349.84</v>
          </cell>
          <cell r="N64">
            <v>10539.936000000002</v>
          </cell>
          <cell r="O64">
            <v>1528</v>
          </cell>
          <cell r="P64">
            <v>1528</v>
          </cell>
          <cell r="Q64">
            <v>4083.6240000000034</v>
          </cell>
          <cell r="R64">
            <v>44029.4</v>
          </cell>
          <cell r="S64">
            <v>1950</v>
          </cell>
          <cell r="T64">
            <v>1554.6089999999999</v>
          </cell>
          <cell r="U64">
            <v>1267.4273039999998</v>
          </cell>
          <cell r="V64">
            <v>2195.8200000000002</v>
          </cell>
          <cell r="W64">
            <v>50997.256303999995</v>
          </cell>
          <cell r="Y64">
            <v>44029.4</v>
          </cell>
          <cell r="AA64">
            <v>200</v>
          </cell>
          <cell r="AB64">
            <v>1800</v>
          </cell>
          <cell r="AC64">
            <v>254</v>
          </cell>
          <cell r="AE64">
            <v>2254</v>
          </cell>
          <cell r="AF64">
            <v>46792.856303999994</v>
          </cell>
        </row>
        <row r="65">
          <cell r="C65" t="str">
            <v>BITS-664</v>
          </cell>
          <cell r="E65" t="str">
            <v>Savana Saritha Dora</v>
          </cell>
          <cell r="F65" t="str">
            <v>PUNE SEZ 2</v>
          </cell>
          <cell r="G65">
            <v>63000</v>
          </cell>
          <cell r="H65">
            <v>55251</v>
          </cell>
          <cell r="I65">
            <v>30</v>
          </cell>
          <cell r="J65">
            <v>29</v>
          </cell>
          <cell r="K65">
            <v>1</v>
          </cell>
          <cell r="L65">
            <v>30</v>
          </cell>
          <cell r="M65">
            <v>33150.6</v>
          </cell>
          <cell r="N65">
            <v>13260.24</v>
          </cell>
          <cell r="O65">
            <v>2083</v>
          </cell>
          <cell r="P65">
            <v>2083</v>
          </cell>
          <cell r="Q65">
            <v>4787.1600000000035</v>
          </cell>
          <cell r="R65">
            <v>55364</v>
          </cell>
          <cell r="S65">
            <v>1950</v>
          </cell>
          <cell r="T65">
            <v>1554.6089999999999</v>
          </cell>
          <cell r="U65">
            <v>1594.5438599999998</v>
          </cell>
          <cell r="V65">
            <v>2762.5499999999997</v>
          </cell>
          <cell r="W65">
            <v>63225.702859999998</v>
          </cell>
          <cell r="Y65">
            <v>55364</v>
          </cell>
          <cell r="AA65">
            <v>200</v>
          </cell>
          <cell r="AB65">
            <v>1800</v>
          </cell>
          <cell r="AC65">
            <v>286</v>
          </cell>
          <cell r="AE65">
            <v>2286</v>
          </cell>
          <cell r="AF65">
            <v>58989.702859999998</v>
          </cell>
        </row>
        <row r="66">
          <cell r="C66" t="str">
            <v>BITS-667</v>
          </cell>
          <cell r="E66" t="str">
            <v>SUKRUTH YELLAMBOTLA</v>
          </cell>
          <cell r="F66" t="str">
            <v>PUNE SEZ 1</v>
          </cell>
          <cell r="G66">
            <v>42000</v>
          </cell>
          <cell r="H66">
            <v>35786</v>
          </cell>
          <cell r="I66">
            <v>30</v>
          </cell>
          <cell r="J66">
            <v>29</v>
          </cell>
          <cell r="K66">
            <v>1</v>
          </cell>
          <cell r="L66">
            <v>30</v>
          </cell>
          <cell r="M66">
            <v>21471.599999999999</v>
          </cell>
          <cell r="N66">
            <v>8588.64</v>
          </cell>
          <cell r="O66">
            <v>2083</v>
          </cell>
          <cell r="P66">
            <v>2083</v>
          </cell>
          <cell r="Q66">
            <v>1672.760000000002</v>
          </cell>
          <cell r="R66">
            <v>35899</v>
          </cell>
          <cell r="S66">
            <v>1950</v>
          </cell>
          <cell r="T66">
            <v>1554.6089999999999</v>
          </cell>
          <cell r="U66">
            <v>1032.7839599999998</v>
          </cell>
          <cell r="V66">
            <v>1789.3</v>
          </cell>
          <cell r="W66">
            <v>42225.69296</v>
          </cell>
          <cell r="Y66">
            <v>35899</v>
          </cell>
          <cell r="AA66">
            <v>200</v>
          </cell>
          <cell r="AB66">
            <v>1800</v>
          </cell>
          <cell r="AC66">
            <v>252</v>
          </cell>
          <cell r="AE66">
            <v>2252</v>
          </cell>
          <cell r="AF66">
            <v>38023.69296</v>
          </cell>
        </row>
        <row r="67">
          <cell r="C67" t="str">
            <v>BITS-668</v>
          </cell>
          <cell r="E67" t="str">
            <v xml:space="preserve">Mandar Shetty </v>
          </cell>
          <cell r="F67" t="str">
            <v>PUNE SEZ 2</v>
          </cell>
          <cell r="G67">
            <v>116000</v>
          </cell>
          <cell r="H67">
            <v>104377</v>
          </cell>
          <cell r="I67">
            <v>30</v>
          </cell>
          <cell r="J67">
            <v>29</v>
          </cell>
          <cell r="K67">
            <v>1</v>
          </cell>
          <cell r="L67">
            <v>30</v>
          </cell>
          <cell r="M67">
            <v>62626.2</v>
          </cell>
          <cell r="N67">
            <v>25050.48</v>
          </cell>
          <cell r="O67">
            <v>2083</v>
          </cell>
          <cell r="P67">
            <v>2083</v>
          </cell>
          <cell r="Q67">
            <v>12647.320000000007</v>
          </cell>
          <cell r="R67">
            <v>104490</v>
          </cell>
          <cell r="S67">
            <v>1950</v>
          </cell>
          <cell r="T67">
            <v>1554.6089999999999</v>
          </cell>
          <cell r="U67">
            <v>3012.3202199999996</v>
          </cell>
          <cell r="V67">
            <v>5218.8499999999995</v>
          </cell>
          <cell r="W67">
            <v>116225.77922</v>
          </cell>
          <cell r="Y67">
            <v>104490</v>
          </cell>
          <cell r="AA67">
            <v>200</v>
          </cell>
          <cell r="AB67">
            <v>1800</v>
          </cell>
          <cell r="AC67">
            <v>283</v>
          </cell>
          <cell r="AE67">
            <v>2283</v>
          </cell>
          <cell r="AF67">
            <v>111992.77922</v>
          </cell>
        </row>
        <row r="68">
          <cell r="C68" t="str">
            <v>BITS-671</v>
          </cell>
          <cell r="E68" t="str">
            <v>Ramakrishna J Reddy</v>
          </cell>
          <cell r="F68" t="str">
            <v>BNG STP</v>
          </cell>
          <cell r="G68">
            <v>210000</v>
          </cell>
          <cell r="H68">
            <v>191506</v>
          </cell>
          <cell r="I68">
            <v>30</v>
          </cell>
          <cell r="J68">
            <v>27</v>
          </cell>
          <cell r="K68">
            <v>3</v>
          </cell>
          <cell r="L68">
            <v>28</v>
          </cell>
          <cell r="M68">
            <v>107243.36</v>
          </cell>
          <cell r="N68">
            <v>42897.344000000005</v>
          </cell>
          <cell r="O68">
            <v>1944</v>
          </cell>
          <cell r="P68">
            <v>1944</v>
          </cell>
          <cell r="Q68">
            <v>24823.229333333322</v>
          </cell>
          <cell r="R68">
            <v>178851.93333333332</v>
          </cell>
          <cell r="S68">
            <v>1950</v>
          </cell>
          <cell r="T68">
            <v>1554.6089999999999</v>
          </cell>
          <cell r="U68">
            <v>5158.405616</v>
          </cell>
          <cell r="V68">
            <v>8936.9466666666667</v>
          </cell>
          <cell r="W68">
            <v>196451.89461599998</v>
          </cell>
          <cell r="Y68">
            <v>178851.93333333332</v>
          </cell>
          <cell r="AA68">
            <v>200</v>
          </cell>
          <cell r="AB68">
            <v>1800</v>
          </cell>
          <cell r="AC68">
            <v>252</v>
          </cell>
          <cell r="AE68">
            <v>2252</v>
          </cell>
          <cell r="AF68">
            <v>192249.96128266666</v>
          </cell>
        </row>
        <row r="69">
          <cell r="C69" t="str">
            <v>BITS-672</v>
          </cell>
          <cell r="E69" t="str">
            <v xml:space="preserve">Vivek Dongre </v>
          </cell>
          <cell r="F69" t="str">
            <v>PUNE SEZ 2</v>
          </cell>
          <cell r="G69">
            <v>75000</v>
          </cell>
          <cell r="H69">
            <v>66374</v>
          </cell>
          <cell r="I69">
            <v>30</v>
          </cell>
          <cell r="J69">
            <v>30</v>
          </cell>
          <cell r="L69">
            <v>30</v>
          </cell>
          <cell r="M69">
            <v>39824.400000000001</v>
          </cell>
          <cell r="N69">
            <v>15929.760000000002</v>
          </cell>
          <cell r="O69">
            <v>2083</v>
          </cell>
          <cell r="P69">
            <v>2083</v>
          </cell>
          <cell r="Q69">
            <v>6566.8399999999965</v>
          </cell>
          <cell r="R69">
            <v>66487</v>
          </cell>
          <cell r="S69">
            <v>1950</v>
          </cell>
          <cell r="T69">
            <v>1554.6089999999999</v>
          </cell>
          <cell r="U69">
            <v>1915.5536400000001</v>
          </cell>
          <cell r="V69">
            <v>3318.7000000000003</v>
          </cell>
          <cell r="W69">
            <v>75225.862639999992</v>
          </cell>
          <cell r="Y69">
            <v>66487</v>
          </cell>
          <cell r="AA69">
            <v>200</v>
          </cell>
          <cell r="AB69">
            <v>1800</v>
          </cell>
          <cell r="AC69">
            <v>252</v>
          </cell>
          <cell r="AE69">
            <v>2252</v>
          </cell>
          <cell r="AF69">
            <v>71023.862639999992</v>
          </cell>
        </row>
        <row r="70">
          <cell r="C70" t="str">
            <v>BITS-674</v>
          </cell>
          <cell r="E70" t="str">
            <v>Amit Chalwadi</v>
          </cell>
          <cell r="F70" t="str">
            <v>PUNE SEZ 2</v>
          </cell>
          <cell r="G70">
            <v>90000</v>
          </cell>
          <cell r="H70">
            <v>80278</v>
          </cell>
          <cell r="I70">
            <v>30</v>
          </cell>
          <cell r="J70">
            <v>30</v>
          </cell>
          <cell r="L70">
            <v>30</v>
          </cell>
          <cell r="M70">
            <v>48166.8</v>
          </cell>
          <cell r="N70">
            <v>19266.72</v>
          </cell>
          <cell r="O70">
            <v>2083</v>
          </cell>
          <cell r="P70">
            <v>2083</v>
          </cell>
          <cell r="Q70">
            <v>8791.4799999999959</v>
          </cell>
          <cell r="R70">
            <v>80391</v>
          </cell>
          <cell r="S70">
            <v>1950</v>
          </cell>
          <cell r="T70">
            <v>1554.6089999999999</v>
          </cell>
          <cell r="U70">
            <v>2316.8230800000001</v>
          </cell>
          <cell r="V70">
            <v>4013.9</v>
          </cell>
          <cell r="W70">
            <v>90226.332079999993</v>
          </cell>
          <cell r="Y70">
            <v>80391</v>
          </cell>
          <cell r="AA70">
            <v>200</v>
          </cell>
          <cell r="AB70">
            <v>1800</v>
          </cell>
          <cell r="AC70">
            <v>283</v>
          </cell>
          <cell r="AE70">
            <v>2283</v>
          </cell>
          <cell r="AF70">
            <v>85993.332079999993</v>
          </cell>
        </row>
        <row r="71">
          <cell r="C71" t="str">
            <v>BITS-675</v>
          </cell>
          <cell r="E71" t="str">
            <v xml:space="preserve">Nikhila Kaveri </v>
          </cell>
          <cell r="F71" t="str">
            <v>HYD SEZ</v>
          </cell>
          <cell r="G71">
            <v>120000</v>
          </cell>
          <cell r="H71">
            <v>108085</v>
          </cell>
          <cell r="I71">
            <v>30</v>
          </cell>
          <cell r="J71">
            <v>30</v>
          </cell>
          <cell r="L71">
            <v>30</v>
          </cell>
          <cell r="M71">
            <v>64851</v>
          </cell>
          <cell r="N71">
            <v>25940.400000000001</v>
          </cell>
          <cell r="O71">
            <v>2083</v>
          </cell>
          <cell r="P71">
            <v>2083</v>
          </cell>
          <cell r="Q71">
            <v>13240.600000000006</v>
          </cell>
          <cell r="R71">
            <v>108198</v>
          </cell>
          <cell r="S71">
            <v>1950</v>
          </cell>
          <cell r="T71">
            <v>1554.6089999999999</v>
          </cell>
          <cell r="U71">
            <v>3119.3330999999998</v>
          </cell>
          <cell r="V71">
            <v>5404.25</v>
          </cell>
          <cell r="W71">
            <v>120226.1921</v>
          </cell>
          <cell r="Y71">
            <v>108198</v>
          </cell>
          <cell r="AA71">
            <v>200</v>
          </cell>
          <cell r="AB71">
            <v>1800</v>
          </cell>
          <cell r="AC71">
            <v>252</v>
          </cell>
          <cell r="AE71">
            <v>2252</v>
          </cell>
          <cell r="AF71">
            <v>116024.1921</v>
          </cell>
        </row>
        <row r="72">
          <cell r="C72" t="str">
            <v>BITS-677</v>
          </cell>
          <cell r="E72" t="str">
            <v>Ashwini Nanaware</v>
          </cell>
          <cell r="F72" t="str">
            <v>PUNE SEZ 2</v>
          </cell>
          <cell r="G72">
            <v>62000</v>
          </cell>
          <cell r="H72">
            <v>54324</v>
          </cell>
          <cell r="I72">
            <v>30</v>
          </cell>
          <cell r="J72">
            <v>29</v>
          </cell>
          <cell r="K72">
            <v>1</v>
          </cell>
          <cell r="L72">
            <v>30</v>
          </cell>
          <cell r="M72">
            <v>32594.400000000001</v>
          </cell>
          <cell r="N72">
            <v>13037.760000000002</v>
          </cell>
          <cell r="O72">
            <v>2083</v>
          </cell>
          <cell r="P72">
            <v>2083</v>
          </cell>
          <cell r="Q72">
            <v>4638.8399999999965</v>
          </cell>
          <cell r="R72">
            <v>54437</v>
          </cell>
          <cell r="S72">
            <v>1950</v>
          </cell>
          <cell r="T72">
            <v>1554.6089999999999</v>
          </cell>
          <cell r="U72">
            <v>1567.7906399999999</v>
          </cell>
          <cell r="V72">
            <v>2716.2000000000003</v>
          </cell>
          <cell r="W72">
            <v>62225.599639999993</v>
          </cell>
          <cell r="Y72">
            <v>54437</v>
          </cell>
          <cell r="AA72">
            <v>200</v>
          </cell>
          <cell r="AB72">
            <v>1800</v>
          </cell>
          <cell r="AC72">
            <v>283</v>
          </cell>
          <cell r="AE72">
            <v>2283</v>
          </cell>
          <cell r="AF72">
            <v>57992.599639999993</v>
          </cell>
        </row>
        <row r="73">
          <cell r="C73" t="str">
            <v>BITS-678</v>
          </cell>
          <cell r="E73" t="str">
            <v>Kaushal Sushil Sharma</v>
          </cell>
          <cell r="F73" t="str">
            <v>PUNE SEZ 2</v>
          </cell>
          <cell r="G73">
            <v>70000</v>
          </cell>
          <cell r="H73">
            <v>61740</v>
          </cell>
          <cell r="I73">
            <v>30</v>
          </cell>
          <cell r="J73">
            <v>30</v>
          </cell>
          <cell r="L73">
            <v>30</v>
          </cell>
          <cell r="M73">
            <v>37044</v>
          </cell>
          <cell r="N73">
            <v>14817.6</v>
          </cell>
          <cell r="O73">
            <v>2083</v>
          </cell>
          <cell r="P73">
            <v>2083</v>
          </cell>
          <cell r="Q73">
            <v>5825.4000000000015</v>
          </cell>
          <cell r="R73">
            <v>61853</v>
          </cell>
          <cell r="S73">
            <v>1950</v>
          </cell>
          <cell r="T73">
            <v>1554.6089999999999</v>
          </cell>
          <cell r="U73">
            <v>1781.8163999999999</v>
          </cell>
          <cell r="V73">
            <v>3087</v>
          </cell>
          <cell r="W73">
            <v>70226.425400000007</v>
          </cell>
          <cell r="Y73">
            <v>61853</v>
          </cell>
          <cell r="AA73">
            <v>200</v>
          </cell>
          <cell r="AB73">
            <v>1800</v>
          </cell>
          <cell r="AC73">
            <v>283</v>
          </cell>
          <cell r="AE73">
            <v>2283</v>
          </cell>
          <cell r="AF73">
            <v>65993.425400000007</v>
          </cell>
        </row>
        <row r="74">
          <cell r="C74" t="str">
            <v>BITS-679</v>
          </cell>
          <cell r="E74" t="str">
            <v>Praveen Kumar Tandra</v>
          </cell>
          <cell r="F74" t="str">
            <v>BNG STP</v>
          </cell>
          <cell r="G74">
            <v>110000</v>
          </cell>
          <cell r="H74">
            <v>98816</v>
          </cell>
          <cell r="I74">
            <v>30</v>
          </cell>
          <cell r="J74">
            <v>30</v>
          </cell>
          <cell r="L74">
            <v>30</v>
          </cell>
          <cell r="M74">
            <v>59289.599999999999</v>
          </cell>
          <cell r="N74">
            <v>23715.84</v>
          </cell>
          <cell r="O74">
            <v>2083</v>
          </cell>
          <cell r="P74">
            <v>2083</v>
          </cell>
          <cell r="Q74">
            <v>11757.559999999998</v>
          </cell>
          <cell r="R74">
            <v>98929</v>
          </cell>
          <cell r="S74">
            <v>1950</v>
          </cell>
          <cell r="T74">
            <v>1554.6089999999999</v>
          </cell>
          <cell r="U74">
            <v>2851.8297599999996</v>
          </cell>
          <cell r="V74">
            <v>4940.8</v>
          </cell>
          <cell r="W74">
            <v>110226.23875999999</v>
          </cell>
          <cell r="Y74">
            <v>98929</v>
          </cell>
          <cell r="AA74">
            <v>200</v>
          </cell>
          <cell r="AB74">
            <v>1800</v>
          </cell>
          <cell r="AC74">
            <v>283</v>
          </cell>
          <cell r="AE74">
            <v>2283</v>
          </cell>
          <cell r="AF74">
            <v>105993.23875999999</v>
          </cell>
        </row>
        <row r="75">
          <cell r="C75" t="str">
            <v>BITS-680</v>
          </cell>
          <cell r="E75" t="str">
            <v>Arvind Akhare</v>
          </cell>
          <cell r="F75" t="str">
            <v>PUNE SEZ 2</v>
          </cell>
          <cell r="G75">
            <v>95000</v>
          </cell>
          <cell r="H75">
            <v>84912</v>
          </cell>
          <cell r="I75">
            <v>30</v>
          </cell>
          <cell r="J75">
            <v>27</v>
          </cell>
          <cell r="K75">
            <v>3</v>
          </cell>
          <cell r="L75">
            <v>28</v>
          </cell>
          <cell r="M75">
            <v>47550.720000000001</v>
          </cell>
          <cell r="N75">
            <v>19020.288</v>
          </cell>
          <cell r="O75">
            <v>1944</v>
          </cell>
          <cell r="P75">
            <v>1944</v>
          </cell>
          <cell r="Q75">
            <v>8905.1919999999955</v>
          </cell>
          <cell r="R75">
            <v>79364.2</v>
          </cell>
          <cell r="S75">
            <v>1950</v>
          </cell>
          <cell r="T75">
            <v>1554.6089999999999</v>
          </cell>
          <cell r="U75">
            <v>2287.1896320000001</v>
          </cell>
          <cell r="V75">
            <v>3962.56</v>
          </cell>
          <cell r="W75">
            <v>89118.558631999986</v>
          </cell>
          <cell r="Y75">
            <v>79364.2</v>
          </cell>
          <cell r="AA75">
            <v>200</v>
          </cell>
          <cell r="AB75">
            <v>1800</v>
          </cell>
          <cell r="AC75">
            <v>283</v>
          </cell>
          <cell r="AE75">
            <v>2283</v>
          </cell>
          <cell r="AF75">
            <v>84885.358631999989</v>
          </cell>
        </row>
        <row r="76">
          <cell r="C76" t="str">
            <v>BITS-681</v>
          </cell>
          <cell r="E76" t="str">
            <v>Pallavi Rishikesh Naik</v>
          </cell>
          <cell r="F76" t="str">
            <v>PUNE SEZ 2</v>
          </cell>
          <cell r="G76">
            <v>80000</v>
          </cell>
          <cell r="H76">
            <v>71009</v>
          </cell>
          <cell r="I76">
            <v>30</v>
          </cell>
          <cell r="J76">
            <v>30</v>
          </cell>
          <cell r="L76">
            <v>30</v>
          </cell>
          <cell r="M76">
            <v>42605.4</v>
          </cell>
          <cell r="N76">
            <v>17042.16</v>
          </cell>
          <cell r="O76">
            <v>2083</v>
          </cell>
          <cell r="P76">
            <v>2083</v>
          </cell>
          <cell r="Q76">
            <v>7308.4400000000023</v>
          </cell>
          <cell r="R76">
            <v>71122</v>
          </cell>
          <cell r="S76">
            <v>1950</v>
          </cell>
          <cell r="T76">
            <v>1554.6089999999999</v>
          </cell>
          <cell r="U76">
            <v>2049.3197399999999</v>
          </cell>
          <cell r="V76">
            <v>3550.4500000000003</v>
          </cell>
          <cell r="W76">
            <v>80226.37874</v>
          </cell>
          <cell r="Y76">
            <v>71122</v>
          </cell>
          <cell r="AA76">
            <v>200</v>
          </cell>
          <cell r="AB76">
            <v>1800</v>
          </cell>
          <cell r="AC76">
            <v>283</v>
          </cell>
          <cell r="AE76">
            <v>2283</v>
          </cell>
          <cell r="AF76">
            <v>75993.37874</v>
          </cell>
        </row>
        <row r="77">
          <cell r="C77" t="str">
            <v>BITS-682</v>
          </cell>
          <cell r="E77" t="str">
            <v>Ajay Singh</v>
          </cell>
          <cell r="F77" t="str">
            <v>PUNE SEZ 1</v>
          </cell>
          <cell r="G77">
            <v>142000</v>
          </cell>
          <cell r="H77">
            <v>128477</v>
          </cell>
          <cell r="I77">
            <v>30</v>
          </cell>
          <cell r="J77">
            <v>29</v>
          </cell>
          <cell r="K77">
            <v>1</v>
          </cell>
          <cell r="L77">
            <v>30</v>
          </cell>
          <cell r="M77">
            <v>77086.2</v>
          </cell>
          <cell r="N77">
            <v>30834.48</v>
          </cell>
          <cell r="O77">
            <v>2083</v>
          </cell>
          <cell r="P77">
            <v>2083</v>
          </cell>
          <cell r="Q77">
            <v>16503.320000000007</v>
          </cell>
          <cell r="R77">
            <v>128590</v>
          </cell>
          <cell r="S77">
            <v>1950</v>
          </cell>
          <cell r="T77">
            <v>1554.6089999999999</v>
          </cell>
          <cell r="U77">
            <v>3707.8462199999999</v>
          </cell>
          <cell r="V77">
            <v>6423.8499999999995</v>
          </cell>
          <cell r="W77">
            <v>142226.30522000001</v>
          </cell>
          <cell r="Y77">
            <v>128590</v>
          </cell>
          <cell r="AA77">
            <v>200</v>
          </cell>
          <cell r="AB77">
            <v>1800</v>
          </cell>
          <cell r="AC77">
            <v>283</v>
          </cell>
          <cell r="AE77">
            <v>2283</v>
          </cell>
          <cell r="AF77">
            <v>137993.30522000001</v>
          </cell>
        </row>
        <row r="78">
          <cell r="C78" t="str">
            <v>BITS-683</v>
          </cell>
          <cell r="E78" t="str">
            <v>TUSHAR UCHAGAONKAR</v>
          </cell>
          <cell r="F78" t="str">
            <v>PUNE ASC SEZ</v>
          </cell>
          <cell r="G78">
            <v>87000</v>
          </cell>
          <cell r="H78">
            <v>77497</v>
          </cell>
          <cell r="I78">
            <v>30</v>
          </cell>
          <cell r="J78">
            <v>29</v>
          </cell>
          <cell r="K78">
            <v>1</v>
          </cell>
          <cell r="L78">
            <v>30</v>
          </cell>
          <cell r="M78">
            <v>46498.2</v>
          </cell>
          <cell r="N78">
            <v>18599.28</v>
          </cell>
          <cell r="O78">
            <v>2083</v>
          </cell>
          <cell r="P78">
            <v>2083</v>
          </cell>
          <cell r="Q78">
            <v>8346.5200000000041</v>
          </cell>
          <cell r="R78">
            <v>77610</v>
          </cell>
          <cell r="S78">
            <v>1950</v>
          </cell>
          <cell r="T78">
            <v>1554.6089999999999</v>
          </cell>
          <cell r="U78">
            <v>2236.56342</v>
          </cell>
          <cell r="V78">
            <v>3874.85</v>
          </cell>
          <cell r="W78">
            <v>87226.022420000008</v>
          </cell>
          <cell r="Y78">
            <v>77610</v>
          </cell>
          <cell r="AA78">
            <v>200</v>
          </cell>
          <cell r="AB78">
            <v>1800</v>
          </cell>
          <cell r="AC78">
            <v>283</v>
          </cell>
          <cell r="AE78">
            <v>2283</v>
          </cell>
          <cell r="AF78">
            <v>82993.022420000008</v>
          </cell>
        </row>
        <row r="79">
          <cell r="C79" t="str">
            <v>BITS-684</v>
          </cell>
          <cell r="E79" t="str">
            <v>PRAVEEN M</v>
          </cell>
          <cell r="F79" t="str">
            <v>HYD STP</v>
          </cell>
          <cell r="G79">
            <v>155000</v>
          </cell>
          <cell r="H79">
            <v>140526</v>
          </cell>
          <cell r="I79">
            <v>30</v>
          </cell>
          <cell r="J79">
            <v>30</v>
          </cell>
          <cell r="L79">
            <v>30</v>
          </cell>
          <cell r="M79">
            <v>84315.6</v>
          </cell>
          <cell r="N79">
            <v>33726.240000000005</v>
          </cell>
          <cell r="O79">
            <v>2083</v>
          </cell>
          <cell r="P79">
            <v>2083</v>
          </cell>
          <cell r="Q79">
            <v>18431.159999999989</v>
          </cell>
          <cell r="R79">
            <v>140639</v>
          </cell>
          <cell r="S79">
            <v>1950</v>
          </cell>
          <cell r="T79">
            <v>1554.6089999999999</v>
          </cell>
          <cell r="U79">
            <v>4055.5803600000004</v>
          </cell>
          <cell r="V79">
            <v>7026.3</v>
          </cell>
          <cell r="W79">
            <v>155225.48936000001</v>
          </cell>
          <cell r="Y79">
            <v>140639</v>
          </cell>
          <cell r="AA79">
            <v>200</v>
          </cell>
          <cell r="AB79">
            <v>1800</v>
          </cell>
          <cell r="AC79">
            <v>283</v>
          </cell>
          <cell r="AE79">
            <v>2283</v>
          </cell>
          <cell r="AF79">
            <v>150992.48935999998</v>
          </cell>
        </row>
        <row r="80">
          <cell r="C80" t="str">
            <v>BITS-686</v>
          </cell>
          <cell r="E80" t="str">
            <v>Amit Kumar</v>
          </cell>
          <cell r="F80" t="str">
            <v>PUNE SEZ 2</v>
          </cell>
          <cell r="G80">
            <v>105000</v>
          </cell>
          <cell r="H80">
            <v>94181</v>
          </cell>
          <cell r="I80">
            <v>30</v>
          </cell>
          <cell r="J80">
            <v>29</v>
          </cell>
          <cell r="K80">
            <v>1</v>
          </cell>
          <cell r="L80">
            <v>30</v>
          </cell>
          <cell r="M80">
            <v>56508.6</v>
          </cell>
          <cell r="N80">
            <v>22603.440000000002</v>
          </cell>
          <cell r="O80">
            <v>2083</v>
          </cell>
          <cell r="P80">
            <v>2083</v>
          </cell>
          <cell r="Q80">
            <v>11015.959999999992</v>
          </cell>
          <cell r="R80">
            <v>94294</v>
          </cell>
          <cell r="S80">
            <v>1950</v>
          </cell>
          <cell r="T80">
            <v>1554.6089999999999</v>
          </cell>
          <cell r="U80">
            <v>2718.0636599999998</v>
          </cell>
          <cell r="V80">
            <v>4709.05</v>
          </cell>
          <cell r="W80">
            <v>105225.72266</v>
          </cell>
          <cell r="Y80">
            <v>94294</v>
          </cell>
          <cell r="AA80">
            <v>200</v>
          </cell>
          <cell r="AB80">
            <v>1800</v>
          </cell>
          <cell r="AC80">
            <v>283</v>
          </cell>
          <cell r="AE80">
            <v>2283</v>
          </cell>
          <cell r="AF80">
            <v>100992.72266</v>
          </cell>
        </row>
        <row r="81">
          <cell r="C81" t="str">
            <v>BITS-688</v>
          </cell>
          <cell r="E81" t="str">
            <v>Pranav Thakare</v>
          </cell>
          <cell r="F81" t="str">
            <v>PUNE SEZ 2</v>
          </cell>
          <cell r="G81">
            <v>85000</v>
          </cell>
          <cell r="H81">
            <v>75643</v>
          </cell>
          <cell r="I81">
            <v>30</v>
          </cell>
          <cell r="J81">
            <v>26</v>
          </cell>
          <cell r="K81">
            <v>4</v>
          </cell>
          <cell r="L81">
            <v>27</v>
          </cell>
          <cell r="M81">
            <v>40847.22</v>
          </cell>
          <cell r="N81">
            <v>16338.888000000001</v>
          </cell>
          <cell r="O81">
            <v>1875</v>
          </cell>
          <cell r="P81">
            <v>1875</v>
          </cell>
          <cell r="Q81">
            <v>7255.5919999999969</v>
          </cell>
          <cell r="R81">
            <v>68191.7</v>
          </cell>
          <cell r="S81">
            <v>1950</v>
          </cell>
          <cell r="T81">
            <v>1554.6089999999999</v>
          </cell>
          <cell r="U81">
            <v>1964.7512819999997</v>
          </cell>
          <cell r="V81">
            <v>3403.9349999999999</v>
          </cell>
          <cell r="W81">
            <v>77064.995281999989</v>
          </cell>
          <cell r="Y81">
            <v>68191.7</v>
          </cell>
          <cell r="AA81">
            <v>200</v>
          </cell>
          <cell r="AB81">
            <v>1800</v>
          </cell>
          <cell r="AC81">
            <v>283</v>
          </cell>
          <cell r="AE81">
            <v>2283</v>
          </cell>
          <cell r="AF81">
            <v>72832.295281999992</v>
          </cell>
        </row>
        <row r="82">
          <cell r="C82" t="str">
            <v>BITS-689</v>
          </cell>
          <cell r="E82" t="str">
            <v>Nagarjun KV</v>
          </cell>
          <cell r="F82" t="str">
            <v>BNG STP</v>
          </cell>
          <cell r="G82">
            <v>85000</v>
          </cell>
          <cell r="H82">
            <v>75643</v>
          </cell>
          <cell r="I82">
            <v>30</v>
          </cell>
          <cell r="J82">
            <v>30</v>
          </cell>
          <cell r="L82">
            <v>30</v>
          </cell>
          <cell r="M82">
            <v>45385.8</v>
          </cell>
          <cell r="N82">
            <v>18154.320000000003</v>
          </cell>
          <cell r="O82">
            <v>2083</v>
          </cell>
          <cell r="P82">
            <v>2083</v>
          </cell>
          <cell r="Q82">
            <v>8049.8799999999901</v>
          </cell>
          <cell r="R82">
            <v>75756</v>
          </cell>
          <cell r="S82">
            <v>1950</v>
          </cell>
          <cell r="T82">
            <v>1554.6089999999999</v>
          </cell>
          <cell r="U82">
            <v>2183.0569799999998</v>
          </cell>
          <cell r="V82">
            <v>3782.15</v>
          </cell>
          <cell r="W82">
            <v>85225.815979999985</v>
          </cell>
          <cell r="Y82">
            <v>75756</v>
          </cell>
          <cell r="AA82">
            <v>200</v>
          </cell>
          <cell r="AB82">
            <v>1800</v>
          </cell>
          <cell r="AC82">
            <v>283</v>
          </cell>
          <cell r="AE82">
            <v>2283</v>
          </cell>
          <cell r="AF82">
            <v>80992.815979999985</v>
          </cell>
        </row>
        <row r="83">
          <cell r="C83" t="str">
            <v>BITS-690</v>
          </cell>
          <cell r="E83" t="str">
            <v>Thaposh Ghosh</v>
          </cell>
          <cell r="F83" t="str">
            <v>HYD SEZ</v>
          </cell>
          <cell r="G83">
            <v>155000</v>
          </cell>
          <cell r="H83">
            <v>140526</v>
          </cell>
          <cell r="I83">
            <v>30</v>
          </cell>
          <cell r="J83">
            <v>30</v>
          </cell>
          <cell r="L83">
            <v>30</v>
          </cell>
          <cell r="M83">
            <v>84315.6</v>
          </cell>
          <cell r="N83">
            <v>33726.240000000005</v>
          </cell>
          <cell r="O83">
            <v>2083</v>
          </cell>
          <cell r="P83">
            <v>2083</v>
          </cell>
          <cell r="Q83">
            <v>18431.159999999989</v>
          </cell>
          <cell r="R83">
            <v>140639</v>
          </cell>
          <cell r="S83">
            <v>1950</v>
          </cell>
          <cell r="T83">
            <v>1554.6089999999999</v>
          </cell>
          <cell r="U83">
            <v>4055.5803600000004</v>
          </cell>
          <cell r="V83">
            <v>7026.3</v>
          </cell>
          <cell r="W83">
            <v>155225.48936000001</v>
          </cell>
          <cell r="Y83">
            <v>140639</v>
          </cell>
          <cell r="AA83">
            <v>200</v>
          </cell>
          <cell r="AB83">
            <v>1800</v>
          </cell>
          <cell r="AC83">
            <v>283</v>
          </cell>
          <cell r="AE83">
            <v>2283</v>
          </cell>
          <cell r="AF83">
            <v>150992.48935999998</v>
          </cell>
        </row>
        <row r="84">
          <cell r="C84" t="str">
            <v>BITS-691</v>
          </cell>
          <cell r="E84" t="str">
            <v xml:space="preserve">Boopathi Palani </v>
          </cell>
          <cell r="F84" t="str">
            <v>BNG STP</v>
          </cell>
          <cell r="G84">
            <v>85000</v>
          </cell>
          <cell r="H84">
            <v>75643</v>
          </cell>
          <cell r="I84">
            <v>30</v>
          </cell>
          <cell r="J84">
            <v>29</v>
          </cell>
          <cell r="K84">
            <v>1</v>
          </cell>
          <cell r="L84">
            <v>30</v>
          </cell>
          <cell r="M84">
            <v>45385.8</v>
          </cell>
          <cell r="N84">
            <v>18154.320000000003</v>
          </cell>
          <cell r="O84">
            <v>2083</v>
          </cell>
          <cell r="P84">
            <v>2083</v>
          </cell>
          <cell r="Q84">
            <v>8049.8799999999901</v>
          </cell>
          <cell r="R84">
            <v>75756</v>
          </cell>
          <cell r="S84">
            <v>1950</v>
          </cell>
          <cell r="T84">
            <v>1554.6089999999999</v>
          </cell>
          <cell r="U84">
            <v>2183.0569799999998</v>
          </cell>
          <cell r="V84">
            <v>3782.15</v>
          </cell>
          <cell r="W84">
            <v>85225.815979999985</v>
          </cell>
          <cell r="Y84">
            <v>75756</v>
          </cell>
          <cell r="AA84">
            <v>200</v>
          </cell>
          <cell r="AB84">
            <v>1800</v>
          </cell>
          <cell r="AC84">
            <v>283</v>
          </cell>
          <cell r="AE84">
            <v>2283</v>
          </cell>
          <cell r="AF84">
            <v>80992.815979999985</v>
          </cell>
        </row>
        <row r="85">
          <cell r="C85" t="str">
            <v>BITS-692</v>
          </cell>
          <cell r="E85" t="str">
            <v>Sneha Hande</v>
          </cell>
          <cell r="F85" t="str">
            <v>PUNE ASC SEZ</v>
          </cell>
          <cell r="G85">
            <v>58000</v>
          </cell>
          <cell r="H85">
            <v>50617</v>
          </cell>
          <cell r="I85">
            <v>30</v>
          </cell>
          <cell r="J85">
            <v>30</v>
          </cell>
          <cell r="L85">
            <v>30</v>
          </cell>
          <cell r="M85">
            <v>30370.2</v>
          </cell>
          <cell r="N85">
            <v>12148.080000000002</v>
          </cell>
          <cell r="O85">
            <v>2083</v>
          </cell>
          <cell r="P85">
            <v>2083</v>
          </cell>
          <cell r="Q85">
            <v>4045.7200000000012</v>
          </cell>
          <cell r="R85">
            <v>50730</v>
          </cell>
          <cell r="S85">
            <v>1950</v>
          </cell>
          <cell r="T85">
            <v>1554.6089999999999</v>
          </cell>
          <cell r="U85">
            <v>1460.8066199999998</v>
          </cell>
          <cell r="V85">
            <v>2530.85</v>
          </cell>
          <cell r="W85">
            <v>58226.265619999998</v>
          </cell>
          <cell r="Y85">
            <v>50730</v>
          </cell>
          <cell r="AA85">
            <v>200</v>
          </cell>
          <cell r="AB85">
            <v>1800</v>
          </cell>
          <cell r="AC85">
            <v>283</v>
          </cell>
          <cell r="AE85">
            <v>2283</v>
          </cell>
          <cell r="AF85">
            <v>53993.265619999998</v>
          </cell>
        </row>
        <row r="86">
          <cell r="C86" t="str">
            <v>BITS-693</v>
          </cell>
          <cell r="E86" t="str">
            <v>JNANESWARARAO G</v>
          </cell>
          <cell r="F86" t="str">
            <v>BNG STP</v>
          </cell>
          <cell r="G86">
            <v>108000</v>
          </cell>
          <cell r="H86">
            <v>96962</v>
          </cell>
          <cell r="I86">
            <v>30</v>
          </cell>
          <cell r="J86">
            <v>30</v>
          </cell>
          <cell r="L86">
            <v>30</v>
          </cell>
          <cell r="M86">
            <v>58177.2</v>
          </cell>
          <cell r="N86">
            <v>23270.880000000001</v>
          </cell>
          <cell r="O86">
            <v>2083</v>
          </cell>
          <cell r="P86">
            <v>2083</v>
          </cell>
          <cell r="Q86">
            <v>11460.919999999998</v>
          </cell>
          <cell r="R86">
            <v>97075</v>
          </cell>
          <cell r="S86">
            <v>1950</v>
          </cell>
          <cell r="T86">
            <v>1554.6089999999999</v>
          </cell>
          <cell r="U86">
            <v>2798.3233199999995</v>
          </cell>
          <cell r="V86">
            <v>4848.0999999999995</v>
          </cell>
          <cell r="W86">
            <v>108226.03232</v>
          </cell>
          <cell r="X86">
            <v>14400</v>
          </cell>
          <cell r="Y86">
            <v>111475</v>
          </cell>
          <cell r="AA86">
            <v>200</v>
          </cell>
          <cell r="AB86">
            <v>1800</v>
          </cell>
          <cell r="AC86">
            <v>283</v>
          </cell>
          <cell r="AE86">
            <v>2283</v>
          </cell>
          <cell r="AF86">
            <v>118393.03232</v>
          </cell>
        </row>
        <row r="87">
          <cell r="C87" t="str">
            <v>BITS-694</v>
          </cell>
          <cell r="E87" t="str">
            <v>Asita Kumar Sahoo</v>
          </cell>
          <cell r="F87" t="str">
            <v>PUNE SEZ 2</v>
          </cell>
          <cell r="G87">
            <v>60000</v>
          </cell>
          <cell r="H87">
            <v>52471</v>
          </cell>
          <cell r="I87">
            <v>30</v>
          </cell>
          <cell r="J87">
            <v>30</v>
          </cell>
          <cell r="L87">
            <v>30</v>
          </cell>
          <cell r="M87">
            <v>31482.6</v>
          </cell>
          <cell r="N87">
            <v>12593.04</v>
          </cell>
          <cell r="O87">
            <v>2083</v>
          </cell>
          <cell r="P87">
            <v>2083</v>
          </cell>
          <cell r="Q87">
            <v>4342.3600000000006</v>
          </cell>
          <cell r="R87">
            <v>52584</v>
          </cell>
          <cell r="S87">
            <v>1950</v>
          </cell>
          <cell r="T87">
            <v>1554.6089999999999</v>
          </cell>
          <cell r="U87">
            <v>1514.3130599999997</v>
          </cell>
          <cell r="V87">
            <v>2623.5499999999997</v>
          </cell>
          <cell r="W87">
            <v>60226.47206</v>
          </cell>
          <cell r="Y87">
            <v>52584</v>
          </cell>
          <cell r="AA87">
            <v>200</v>
          </cell>
          <cell r="AB87">
            <v>1800</v>
          </cell>
          <cell r="AC87">
            <v>283</v>
          </cell>
          <cell r="AE87">
            <v>2283</v>
          </cell>
          <cell r="AF87">
            <v>55993.47206</v>
          </cell>
        </row>
        <row r="88">
          <cell r="C88" t="str">
            <v>BITS-695</v>
          </cell>
          <cell r="E88" t="str">
            <v>Nagashree Narayan</v>
          </cell>
          <cell r="F88" t="str">
            <v>HYD SEZ</v>
          </cell>
          <cell r="G88">
            <v>110000</v>
          </cell>
          <cell r="H88">
            <v>98816</v>
          </cell>
          <cell r="I88">
            <v>30</v>
          </cell>
          <cell r="J88">
            <v>28</v>
          </cell>
          <cell r="K88">
            <v>2</v>
          </cell>
          <cell r="L88">
            <v>29</v>
          </cell>
          <cell r="M88">
            <v>57313.279999999999</v>
          </cell>
          <cell r="N88">
            <v>22925.312000000002</v>
          </cell>
          <cell r="O88">
            <v>2014</v>
          </cell>
          <cell r="P88">
            <v>2014</v>
          </cell>
          <cell r="Q88">
            <v>11368.541333333327</v>
          </cell>
          <cell r="R88">
            <v>95635.133333333331</v>
          </cell>
          <cell r="S88">
            <v>1950</v>
          </cell>
          <cell r="T88">
            <v>1554.6089999999999</v>
          </cell>
          <cell r="U88">
            <v>2756.7687679999999</v>
          </cell>
          <cell r="V88">
            <v>4776.1066666666666</v>
          </cell>
          <cell r="W88">
            <v>106672.617768</v>
          </cell>
          <cell r="Y88">
            <v>95635.133333333331</v>
          </cell>
          <cell r="AA88">
            <v>200</v>
          </cell>
          <cell r="AB88">
            <v>1800</v>
          </cell>
          <cell r="AC88">
            <v>283</v>
          </cell>
          <cell r="AE88">
            <v>2283</v>
          </cell>
          <cell r="AF88">
            <v>102439.48443466667</v>
          </cell>
        </row>
        <row r="89">
          <cell r="C89" t="str">
            <v>BITS-696</v>
          </cell>
          <cell r="E89" t="str">
            <v>Amarnath Reddy</v>
          </cell>
          <cell r="F89" t="str">
            <v>Chennai SEZ</v>
          </cell>
          <cell r="G89">
            <v>130000</v>
          </cell>
          <cell r="H89">
            <v>117354</v>
          </cell>
          <cell r="I89">
            <v>30</v>
          </cell>
          <cell r="J89">
            <v>29</v>
          </cell>
          <cell r="K89">
            <v>1</v>
          </cell>
          <cell r="L89">
            <v>30</v>
          </cell>
          <cell r="M89">
            <v>70412.399999999994</v>
          </cell>
          <cell r="N89">
            <v>28164.959999999999</v>
          </cell>
          <cell r="O89">
            <v>2083</v>
          </cell>
          <cell r="P89">
            <v>2083</v>
          </cell>
          <cell r="Q89">
            <v>14723.640000000014</v>
          </cell>
          <cell r="R89">
            <v>117467</v>
          </cell>
          <cell r="T89">
            <v>1554.6089999999999</v>
          </cell>
          <cell r="U89">
            <v>3386.8364399999996</v>
          </cell>
          <cell r="V89">
            <v>5867.7</v>
          </cell>
          <cell r="W89">
            <v>128276.14543999999</v>
          </cell>
          <cell r="Y89">
            <v>117467</v>
          </cell>
          <cell r="AA89">
            <v>200</v>
          </cell>
          <cell r="AC89">
            <v>283</v>
          </cell>
          <cell r="AE89">
            <v>483</v>
          </cell>
          <cell r="AF89">
            <v>127793.14543999999</v>
          </cell>
        </row>
        <row r="90">
          <cell r="C90" t="str">
            <v>BITS-697</v>
          </cell>
          <cell r="E90" t="str">
            <v>Rajesh Dhumal</v>
          </cell>
          <cell r="F90" t="str">
            <v>PUNE SEZ 1</v>
          </cell>
          <cell r="G90">
            <v>84000</v>
          </cell>
          <cell r="H90">
            <v>74716</v>
          </cell>
          <cell r="I90">
            <v>30</v>
          </cell>
          <cell r="J90">
            <v>30</v>
          </cell>
          <cell r="L90">
            <v>30</v>
          </cell>
          <cell r="M90">
            <v>44829.599999999999</v>
          </cell>
          <cell r="N90">
            <v>17931.84</v>
          </cell>
          <cell r="O90">
            <v>2083</v>
          </cell>
          <cell r="P90">
            <v>2083</v>
          </cell>
          <cell r="Q90">
            <v>7901.5599999999977</v>
          </cell>
          <cell r="R90">
            <v>74829</v>
          </cell>
          <cell r="S90">
            <v>1950</v>
          </cell>
          <cell r="T90">
            <v>1554.6089999999999</v>
          </cell>
          <cell r="U90">
            <v>2156.3037599999998</v>
          </cell>
          <cell r="V90">
            <v>3735.7999999999997</v>
          </cell>
          <cell r="W90">
            <v>84225.712759999995</v>
          </cell>
          <cell r="Y90">
            <v>74829</v>
          </cell>
          <cell r="AA90">
            <v>200</v>
          </cell>
          <cell r="AB90">
            <v>1800</v>
          </cell>
          <cell r="AC90">
            <v>283</v>
          </cell>
          <cell r="AE90">
            <v>2283</v>
          </cell>
          <cell r="AF90">
            <v>79992.712759999995</v>
          </cell>
        </row>
        <row r="91">
          <cell r="C91" t="str">
            <v>BITS-698</v>
          </cell>
          <cell r="E91" t="str">
            <v xml:space="preserve">Amol Gole </v>
          </cell>
          <cell r="F91" t="str">
            <v>PUNE ASC SEZ</v>
          </cell>
          <cell r="G91">
            <v>75000</v>
          </cell>
          <cell r="H91">
            <v>66374</v>
          </cell>
          <cell r="I91">
            <v>30</v>
          </cell>
          <cell r="J91">
            <v>29</v>
          </cell>
          <cell r="K91">
            <v>1</v>
          </cell>
          <cell r="L91">
            <v>30</v>
          </cell>
          <cell r="M91">
            <v>39824.400000000001</v>
          </cell>
          <cell r="N91">
            <v>15929.760000000002</v>
          </cell>
          <cell r="O91">
            <v>2083</v>
          </cell>
          <cell r="P91">
            <v>2083</v>
          </cell>
          <cell r="Q91">
            <v>6566.8399999999965</v>
          </cell>
          <cell r="R91">
            <v>66487</v>
          </cell>
          <cell r="S91">
            <v>1950</v>
          </cell>
          <cell r="T91">
            <v>1554.6089999999999</v>
          </cell>
          <cell r="U91">
            <v>1915.5536400000001</v>
          </cell>
          <cell r="V91">
            <v>3318.7000000000003</v>
          </cell>
          <cell r="W91">
            <v>75225.862639999992</v>
          </cell>
          <cell r="Y91">
            <v>66487</v>
          </cell>
          <cell r="AA91">
            <v>200</v>
          </cell>
          <cell r="AB91">
            <v>1800</v>
          </cell>
          <cell r="AC91">
            <v>283</v>
          </cell>
          <cell r="AE91">
            <v>2283</v>
          </cell>
          <cell r="AF91">
            <v>70992.862639999992</v>
          </cell>
        </row>
        <row r="92">
          <cell r="C92" t="str">
            <v>BITS-699</v>
          </cell>
          <cell r="E92" t="str">
            <v>Srinivasa Rao yellaneni</v>
          </cell>
          <cell r="F92" t="str">
            <v>BNG SEZ</v>
          </cell>
          <cell r="G92">
            <v>150000</v>
          </cell>
          <cell r="H92">
            <v>135892</v>
          </cell>
          <cell r="I92">
            <v>30</v>
          </cell>
          <cell r="J92">
            <v>30</v>
          </cell>
          <cell r="L92">
            <v>30</v>
          </cell>
          <cell r="M92">
            <v>81535.199999999997</v>
          </cell>
          <cell r="N92">
            <v>32614.080000000002</v>
          </cell>
          <cell r="O92">
            <v>2083</v>
          </cell>
          <cell r="P92">
            <v>2083</v>
          </cell>
          <cell r="Q92">
            <v>17689.72</v>
          </cell>
          <cell r="R92">
            <v>136005</v>
          </cell>
          <cell r="S92">
            <v>1950</v>
          </cell>
          <cell r="T92">
            <v>1554.6089999999999</v>
          </cell>
          <cell r="U92">
            <v>3921.8431199999995</v>
          </cell>
          <cell r="V92">
            <v>6794.5999999999995</v>
          </cell>
          <cell r="W92">
            <v>150226.05212000001</v>
          </cell>
          <cell r="Y92">
            <v>136005</v>
          </cell>
          <cell r="AA92">
            <v>200</v>
          </cell>
          <cell r="AB92">
            <v>1800</v>
          </cell>
          <cell r="AC92">
            <v>283</v>
          </cell>
          <cell r="AE92">
            <v>2283</v>
          </cell>
          <cell r="AF92">
            <v>145993.05212000001</v>
          </cell>
        </row>
        <row r="93">
          <cell r="C93" t="str">
            <v>BITS-700</v>
          </cell>
          <cell r="E93" t="str">
            <v>Sandeep Dixit</v>
          </cell>
          <cell r="F93" t="str">
            <v>PUNE ASC SEZ</v>
          </cell>
          <cell r="G93">
            <v>190000</v>
          </cell>
          <cell r="H93">
            <v>172968</v>
          </cell>
          <cell r="I93">
            <v>30</v>
          </cell>
          <cell r="J93">
            <v>30</v>
          </cell>
          <cell r="L93">
            <v>30</v>
          </cell>
          <cell r="M93">
            <v>103780.8</v>
          </cell>
          <cell r="N93">
            <v>41512.320000000007</v>
          </cell>
          <cell r="O93">
            <v>2083</v>
          </cell>
          <cell r="P93">
            <v>2083</v>
          </cell>
          <cell r="Q93">
            <v>23621.880000000005</v>
          </cell>
          <cell r="R93">
            <v>173081</v>
          </cell>
          <cell r="S93">
            <v>1950</v>
          </cell>
          <cell r="T93">
            <v>1554.6089999999999</v>
          </cell>
          <cell r="U93">
            <v>4991.8564799999995</v>
          </cell>
          <cell r="V93">
            <v>8648.4</v>
          </cell>
          <cell r="W93">
            <v>190225.86547999998</v>
          </cell>
          <cell r="Y93">
            <v>173081</v>
          </cell>
          <cell r="AA93">
            <v>200</v>
          </cell>
          <cell r="AB93">
            <v>1800</v>
          </cell>
          <cell r="AC93">
            <v>283</v>
          </cell>
          <cell r="AE93">
            <v>2283</v>
          </cell>
          <cell r="AF93">
            <v>185992.86547999998</v>
          </cell>
        </row>
        <row r="94">
          <cell r="C94" t="str">
            <v>BITS-701</v>
          </cell>
          <cell r="E94" t="str">
            <v>Shridhar Madlur</v>
          </cell>
          <cell r="F94" t="str">
            <v>BNG STP</v>
          </cell>
          <cell r="G94">
            <v>58000</v>
          </cell>
          <cell r="H94">
            <v>50617</v>
          </cell>
          <cell r="I94">
            <v>30</v>
          </cell>
          <cell r="J94">
            <v>29</v>
          </cell>
          <cell r="K94">
            <v>1</v>
          </cell>
          <cell r="L94">
            <v>30</v>
          </cell>
          <cell r="M94">
            <v>30370.2</v>
          </cell>
          <cell r="N94">
            <v>12148.080000000002</v>
          </cell>
          <cell r="O94">
            <v>2083</v>
          </cell>
          <cell r="P94">
            <v>2083</v>
          </cell>
          <cell r="Q94">
            <v>4045.7200000000012</v>
          </cell>
          <cell r="R94">
            <v>50730</v>
          </cell>
          <cell r="S94">
            <v>1950</v>
          </cell>
          <cell r="T94">
            <v>1554.6089999999999</v>
          </cell>
          <cell r="U94">
            <v>1460.8066199999998</v>
          </cell>
          <cell r="V94">
            <v>2530.85</v>
          </cell>
          <cell r="W94">
            <v>58226.265619999998</v>
          </cell>
          <cell r="Y94">
            <v>50730</v>
          </cell>
          <cell r="AA94">
            <v>200</v>
          </cell>
          <cell r="AB94">
            <v>1800</v>
          </cell>
          <cell r="AC94">
            <v>283</v>
          </cell>
          <cell r="AE94">
            <v>2283</v>
          </cell>
          <cell r="AF94">
            <v>53993.265619999998</v>
          </cell>
        </row>
        <row r="95">
          <cell r="C95" t="str">
            <v>BITS-702</v>
          </cell>
          <cell r="E95" t="str">
            <v>Samarjit Saha</v>
          </cell>
          <cell r="F95" t="str">
            <v>BNG STP</v>
          </cell>
          <cell r="G95">
            <v>140000</v>
          </cell>
          <cell r="H95">
            <v>126623</v>
          </cell>
          <cell r="I95">
            <v>30</v>
          </cell>
          <cell r="J95">
            <v>30</v>
          </cell>
          <cell r="L95">
            <v>30</v>
          </cell>
          <cell r="M95">
            <v>75973.8</v>
          </cell>
          <cell r="N95">
            <v>30389.520000000004</v>
          </cell>
          <cell r="O95">
            <v>2083</v>
          </cell>
          <cell r="P95">
            <v>2083</v>
          </cell>
          <cell r="Q95">
            <v>16206.679999999993</v>
          </cell>
          <cell r="R95">
            <v>126736</v>
          </cell>
          <cell r="S95">
            <v>1950</v>
          </cell>
          <cell r="T95">
            <v>1554.6089999999999</v>
          </cell>
          <cell r="U95">
            <v>3654.3397800000002</v>
          </cell>
          <cell r="V95">
            <v>6331.1500000000005</v>
          </cell>
          <cell r="W95">
            <v>140226.09878</v>
          </cell>
          <cell r="Y95">
            <v>126736</v>
          </cell>
          <cell r="AA95">
            <v>200</v>
          </cell>
          <cell r="AB95">
            <v>1800</v>
          </cell>
          <cell r="AC95">
            <v>283</v>
          </cell>
          <cell r="AE95">
            <v>2283</v>
          </cell>
          <cell r="AF95">
            <v>135993.09878</v>
          </cell>
        </row>
        <row r="96">
          <cell r="C96" t="str">
            <v>BITS-703</v>
          </cell>
          <cell r="E96" t="str">
            <v>Arun kh 30-4-2022</v>
          </cell>
          <cell r="F96" t="str">
            <v>HYD STP</v>
          </cell>
          <cell r="G96">
            <v>85000</v>
          </cell>
          <cell r="H96">
            <v>75643</v>
          </cell>
          <cell r="I96">
            <v>30</v>
          </cell>
          <cell r="J96">
            <v>30</v>
          </cell>
          <cell r="L96">
            <v>30</v>
          </cell>
          <cell r="M96">
            <v>45385.8</v>
          </cell>
          <cell r="N96">
            <v>18154.320000000003</v>
          </cell>
          <cell r="O96">
            <v>2083</v>
          </cell>
          <cell r="P96">
            <v>2083</v>
          </cell>
          <cell r="Q96">
            <v>8049.8799999999901</v>
          </cell>
          <cell r="R96">
            <v>75756</v>
          </cell>
          <cell r="S96">
            <v>1950</v>
          </cell>
          <cell r="T96">
            <v>1554.6089999999999</v>
          </cell>
          <cell r="U96">
            <v>2183.0569799999998</v>
          </cell>
          <cell r="V96">
            <v>3782.15</v>
          </cell>
          <cell r="W96">
            <v>85225.815979999985</v>
          </cell>
          <cell r="Y96">
            <v>75756</v>
          </cell>
          <cell r="AA96">
            <v>200</v>
          </cell>
          <cell r="AB96">
            <v>1800</v>
          </cell>
          <cell r="AC96">
            <v>283</v>
          </cell>
          <cell r="AE96">
            <v>2283</v>
          </cell>
          <cell r="AF96">
            <v>80992.815979999985</v>
          </cell>
        </row>
        <row r="97">
          <cell r="C97" t="str">
            <v>BITS-704</v>
          </cell>
          <cell r="E97" t="str">
            <v>Ajay Pal Singh</v>
          </cell>
          <cell r="F97" t="str">
            <v>PUNE SEZ 1</v>
          </cell>
          <cell r="G97">
            <v>80000</v>
          </cell>
          <cell r="H97">
            <v>71009</v>
          </cell>
          <cell r="I97">
            <v>30</v>
          </cell>
          <cell r="J97">
            <v>29</v>
          </cell>
          <cell r="K97">
            <v>1</v>
          </cell>
          <cell r="L97">
            <v>30</v>
          </cell>
          <cell r="M97">
            <v>42605.4</v>
          </cell>
          <cell r="N97">
            <v>17042.16</v>
          </cell>
          <cell r="O97">
            <v>2083</v>
          </cell>
          <cell r="P97">
            <v>2083</v>
          </cell>
          <cell r="Q97">
            <v>7308.4400000000023</v>
          </cell>
          <cell r="R97">
            <v>71122</v>
          </cell>
          <cell r="S97">
            <v>1950</v>
          </cell>
          <cell r="T97">
            <v>1554.6089999999999</v>
          </cell>
          <cell r="U97">
            <v>2049.3197399999999</v>
          </cell>
          <cell r="V97">
            <v>3550.4500000000003</v>
          </cell>
          <cell r="W97">
            <v>80226.37874</v>
          </cell>
          <cell r="Y97">
            <v>71122</v>
          </cell>
          <cell r="AA97">
            <v>200</v>
          </cell>
          <cell r="AB97">
            <v>1800</v>
          </cell>
          <cell r="AC97">
            <v>283</v>
          </cell>
          <cell r="AE97">
            <v>2283</v>
          </cell>
          <cell r="AF97">
            <v>75993.37874</v>
          </cell>
        </row>
        <row r="98">
          <cell r="C98" t="str">
            <v>BITS-705</v>
          </cell>
          <cell r="E98" t="str">
            <v>Narasimha rao Gurazala</v>
          </cell>
          <cell r="F98" t="str">
            <v>BNG STP</v>
          </cell>
          <cell r="G98">
            <v>100000</v>
          </cell>
          <cell r="H98">
            <v>89547</v>
          </cell>
          <cell r="I98">
            <v>30</v>
          </cell>
          <cell r="J98">
            <v>29</v>
          </cell>
          <cell r="K98">
            <v>1</v>
          </cell>
          <cell r="L98">
            <v>30</v>
          </cell>
          <cell r="M98">
            <v>53728.2</v>
          </cell>
          <cell r="N98">
            <v>21491.279999999999</v>
          </cell>
          <cell r="O98">
            <v>2083</v>
          </cell>
          <cell r="P98">
            <v>2083</v>
          </cell>
          <cell r="Q98">
            <v>10274.520000000004</v>
          </cell>
          <cell r="R98">
            <v>89660</v>
          </cell>
          <cell r="S98">
            <v>1950</v>
          </cell>
          <cell r="T98">
            <v>1554.6089999999999</v>
          </cell>
          <cell r="U98">
            <v>2584.3264199999994</v>
          </cell>
          <cell r="V98">
            <v>4477.3499999999995</v>
          </cell>
          <cell r="W98">
            <v>100226.28542</v>
          </cell>
          <cell r="Y98">
            <v>89660</v>
          </cell>
          <cell r="AA98">
            <v>200</v>
          </cell>
          <cell r="AB98">
            <v>1800</v>
          </cell>
          <cell r="AC98">
            <v>283</v>
          </cell>
          <cell r="AE98">
            <v>2283</v>
          </cell>
          <cell r="AF98">
            <v>95993.28542</v>
          </cell>
        </row>
        <row r="99">
          <cell r="C99" t="str">
            <v>BITS-706</v>
          </cell>
          <cell r="D99" t="str">
            <v>SAP</v>
          </cell>
          <cell r="E99" t="str">
            <v>Arun Arra</v>
          </cell>
          <cell r="F99" t="str">
            <v>PUNE SEZ 2</v>
          </cell>
          <cell r="G99">
            <v>45000</v>
          </cell>
          <cell r="H99">
            <v>38567</v>
          </cell>
          <cell r="I99">
            <v>30</v>
          </cell>
          <cell r="J99">
            <v>30</v>
          </cell>
          <cell r="L99">
            <v>30</v>
          </cell>
          <cell r="M99">
            <v>23140.2</v>
          </cell>
          <cell r="N99">
            <v>9256.08</v>
          </cell>
          <cell r="O99">
            <v>2083</v>
          </cell>
          <cell r="P99">
            <v>2083</v>
          </cell>
          <cell r="Q99">
            <v>2117.7200000000012</v>
          </cell>
          <cell r="R99">
            <v>38680</v>
          </cell>
          <cell r="S99">
            <v>1950</v>
          </cell>
          <cell r="T99">
            <v>1554.6089999999999</v>
          </cell>
          <cell r="U99">
            <v>1113.0436199999999</v>
          </cell>
          <cell r="V99">
            <v>1928.3500000000001</v>
          </cell>
          <cell r="W99">
            <v>45226.002619999992</v>
          </cell>
          <cell r="Y99">
            <v>38680</v>
          </cell>
          <cell r="AA99">
            <v>200</v>
          </cell>
          <cell r="AB99">
            <v>1800</v>
          </cell>
          <cell r="AC99">
            <v>283</v>
          </cell>
          <cell r="AE99">
            <v>2283</v>
          </cell>
          <cell r="AF99">
            <v>40993.002619999992</v>
          </cell>
        </row>
        <row r="100">
          <cell r="C100" t="str">
            <v>BITS-707</v>
          </cell>
          <cell r="D100" t="str">
            <v>SAP</v>
          </cell>
          <cell r="E100" t="str">
            <v>Ramya Nalla</v>
          </cell>
          <cell r="F100" t="str">
            <v>PUNE SEZ 2</v>
          </cell>
          <cell r="G100">
            <v>45000</v>
          </cell>
          <cell r="H100">
            <v>38567</v>
          </cell>
          <cell r="I100">
            <v>30</v>
          </cell>
          <cell r="J100">
            <v>29</v>
          </cell>
          <cell r="K100">
            <v>1</v>
          </cell>
          <cell r="L100">
            <v>30</v>
          </cell>
          <cell r="M100">
            <v>23140.2</v>
          </cell>
          <cell r="N100">
            <v>9256.08</v>
          </cell>
          <cell r="O100">
            <v>2083</v>
          </cell>
          <cell r="P100">
            <v>2083</v>
          </cell>
          <cell r="Q100">
            <v>2117.7200000000012</v>
          </cell>
          <cell r="R100">
            <v>38680</v>
          </cell>
          <cell r="S100">
            <v>1950</v>
          </cell>
          <cell r="T100">
            <v>1554.6089999999999</v>
          </cell>
          <cell r="U100">
            <v>1113.0436199999999</v>
          </cell>
          <cell r="V100">
            <v>1928.3500000000001</v>
          </cell>
          <cell r="W100">
            <v>45226.002619999992</v>
          </cell>
          <cell r="Y100">
            <v>38680</v>
          </cell>
          <cell r="AA100">
            <v>200</v>
          </cell>
          <cell r="AB100">
            <v>1800</v>
          </cell>
          <cell r="AC100">
            <v>283</v>
          </cell>
          <cell r="AE100">
            <v>2283</v>
          </cell>
          <cell r="AF100">
            <v>40993.002619999992</v>
          </cell>
        </row>
        <row r="101">
          <cell r="C101" t="str">
            <v>BITS-709</v>
          </cell>
          <cell r="D101" t="str">
            <v>SAP</v>
          </cell>
          <cell r="E101" t="str">
            <v>Uma  Mahesh P</v>
          </cell>
          <cell r="F101" t="str">
            <v>PUNE SEZ 2</v>
          </cell>
          <cell r="G101">
            <v>45000</v>
          </cell>
          <cell r="H101">
            <v>38567</v>
          </cell>
          <cell r="I101">
            <v>30</v>
          </cell>
          <cell r="J101">
            <v>28</v>
          </cell>
          <cell r="K101">
            <v>2</v>
          </cell>
          <cell r="L101">
            <v>29</v>
          </cell>
          <cell r="M101">
            <v>22368.86</v>
          </cell>
          <cell r="N101">
            <v>8947.5439999999999</v>
          </cell>
          <cell r="O101">
            <v>2014</v>
          </cell>
          <cell r="P101">
            <v>2014</v>
          </cell>
          <cell r="Q101">
            <v>2050.029333333332</v>
          </cell>
          <cell r="R101">
            <v>37394.433333333334</v>
          </cell>
          <cell r="S101">
            <v>1950</v>
          </cell>
          <cell r="T101">
            <v>1554.6089999999999</v>
          </cell>
          <cell r="U101">
            <v>1075.942166</v>
          </cell>
          <cell r="V101">
            <v>1864.0716666666667</v>
          </cell>
          <cell r="W101">
            <v>43839.056166000002</v>
          </cell>
          <cell r="Y101">
            <v>37394.433333333334</v>
          </cell>
          <cell r="AA101">
            <v>200</v>
          </cell>
          <cell r="AB101">
            <v>1800</v>
          </cell>
          <cell r="AC101">
            <v>283</v>
          </cell>
          <cell r="AE101">
            <v>2283</v>
          </cell>
          <cell r="AF101">
            <v>39605.622832666661</v>
          </cell>
        </row>
        <row r="102">
          <cell r="C102" t="str">
            <v>BITS-713</v>
          </cell>
          <cell r="D102" t="str">
            <v>SAP</v>
          </cell>
          <cell r="E102" t="str">
            <v>NAGA SAI TEJA NUTHI</v>
          </cell>
          <cell r="F102" t="str">
            <v>PUNE SEZ 2</v>
          </cell>
          <cell r="G102">
            <v>50000</v>
          </cell>
          <cell r="H102">
            <v>43202</v>
          </cell>
          <cell r="I102">
            <v>30</v>
          </cell>
          <cell r="J102">
            <v>26</v>
          </cell>
          <cell r="K102">
            <v>4</v>
          </cell>
          <cell r="L102">
            <v>27</v>
          </cell>
          <cell r="M102">
            <v>23329.08</v>
          </cell>
          <cell r="N102">
            <v>9331.6320000000014</v>
          </cell>
          <cell r="O102">
            <v>1875</v>
          </cell>
          <cell r="P102">
            <v>1875</v>
          </cell>
          <cell r="Q102">
            <v>2584.0880000000034</v>
          </cell>
          <cell r="R102">
            <v>38994.800000000003</v>
          </cell>
          <cell r="S102">
            <v>1950</v>
          </cell>
          <cell r="T102">
            <v>1554.6089999999999</v>
          </cell>
          <cell r="U102">
            <v>1122.1287480000001</v>
          </cell>
          <cell r="V102">
            <v>1944.0900000000001</v>
          </cell>
          <cell r="W102">
            <v>45565.627747999999</v>
          </cell>
          <cell r="Y102">
            <v>38994.800000000003</v>
          </cell>
          <cell r="AA102">
            <v>200</v>
          </cell>
          <cell r="AB102">
            <v>1800</v>
          </cell>
          <cell r="AC102">
            <v>283</v>
          </cell>
          <cell r="AE102">
            <v>2283</v>
          </cell>
          <cell r="AF102">
            <v>41332.827747999996</v>
          </cell>
        </row>
        <row r="103">
          <cell r="C103" t="str">
            <v>BITS-714</v>
          </cell>
          <cell r="D103" t="str">
            <v>SAP</v>
          </cell>
          <cell r="E103" t="str">
            <v>Mani Krishna Nandineedi</v>
          </cell>
          <cell r="F103" t="str">
            <v>PUNE SEZ 2</v>
          </cell>
          <cell r="G103">
            <v>45000</v>
          </cell>
          <cell r="H103">
            <v>38567</v>
          </cell>
          <cell r="I103">
            <v>30</v>
          </cell>
          <cell r="J103">
            <v>30</v>
          </cell>
          <cell r="L103">
            <v>30</v>
          </cell>
          <cell r="M103">
            <v>23140.2</v>
          </cell>
          <cell r="N103">
            <v>9256.08</v>
          </cell>
          <cell r="O103">
            <v>2083</v>
          </cell>
          <cell r="P103">
            <v>2083</v>
          </cell>
          <cell r="Q103">
            <v>2117.7200000000012</v>
          </cell>
          <cell r="R103">
            <v>38680</v>
          </cell>
          <cell r="S103">
            <v>1950</v>
          </cell>
          <cell r="T103">
            <v>1554.6089999999999</v>
          </cell>
          <cell r="U103">
            <v>1113.0436199999999</v>
          </cell>
          <cell r="V103">
            <v>1928.3500000000001</v>
          </cell>
          <cell r="W103">
            <v>45226.002619999992</v>
          </cell>
          <cell r="Y103">
            <v>38680</v>
          </cell>
          <cell r="AA103">
            <v>200</v>
          </cell>
          <cell r="AB103">
            <v>1800</v>
          </cell>
          <cell r="AC103">
            <v>283</v>
          </cell>
          <cell r="AE103">
            <v>2283</v>
          </cell>
          <cell r="AF103">
            <v>40993.002619999992</v>
          </cell>
        </row>
        <row r="104">
          <cell r="C104" t="str">
            <v>BITS-715</v>
          </cell>
          <cell r="D104" t="str">
            <v>SAP</v>
          </cell>
          <cell r="E104" t="str">
            <v>Sushma P</v>
          </cell>
          <cell r="F104" t="str">
            <v>PUNE SEZ 2</v>
          </cell>
          <cell r="G104">
            <v>45000</v>
          </cell>
          <cell r="H104">
            <v>38567</v>
          </cell>
          <cell r="I104">
            <v>30</v>
          </cell>
          <cell r="J104">
            <v>30</v>
          </cell>
          <cell r="L104">
            <v>30</v>
          </cell>
          <cell r="M104">
            <v>23140.2</v>
          </cell>
          <cell r="N104">
            <v>9256.08</v>
          </cell>
          <cell r="O104">
            <v>2083</v>
          </cell>
          <cell r="P104">
            <v>2083</v>
          </cell>
          <cell r="Q104">
            <v>2117.7200000000012</v>
          </cell>
          <cell r="R104">
            <v>38680</v>
          </cell>
          <cell r="S104">
            <v>1950</v>
          </cell>
          <cell r="T104">
            <v>1554.6089999999999</v>
          </cell>
          <cell r="U104">
            <v>1113.0436199999999</v>
          </cell>
          <cell r="V104">
            <v>1928.3500000000001</v>
          </cell>
          <cell r="W104">
            <v>45226.002619999992</v>
          </cell>
          <cell r="Y104">
            <v>38680</v>
          </cell>
          <cell r="AA104">
            <v>200</v>
          </cell>
          <cell r="AB104">
            <v>1800</v>
          </cell>
          <cell r="AC104">
            <v>283</v>
          </cell>
          <cell r="AE104">
            <v>2283</v>
          </cell>
          <cell r="AF104">
            <v>40993.002619999992</v>
          </cell>
        </row>
        <row r="105">
          <cell r="C105" t="str">
            <v>BITS-716</v>
          </cell>
          <cell r="D105" t="str">
            <v>SAP</v>
          </cell>
          <cell r="E105" t="str">
            <v>PAVANKUMAR</v>
          </cell>
          <cell r="F105" t="str">
            <v>PUNE SEZ 1</v>
          </cell>
          <cell r="G105">
            <v>45000</v>
          </cell>
          <cell r="H105">
            <v>38567</v>
          </cell>
          <cell r="I105">
            <v>30</v>
          </cell>
          <cell r="J105">
            <v>30</v>
          </cell>
          <cell r="L105">
            <v>30</v>
          </cell>
          <cell r="M105">
            <v>23140.2</v>
          </cell>
          <cell r="N105">
            <v>9256.08</v>
          </cell>
          <cell r="O105">
            <v>2083</v>
          </cell>
          <cell r="P105">
            <v>2083</v>
          </cell>
          <cell r="Q105">
            <v>2117.7200000000012</v>
          </cell>
          <cell r="R105">
            <v>38680</v>
          </cell>
          <cell r="S105">
            <v>1950</v>
          </cell>
          <cell r="T105">
            <v>1554.6089999999999</v>
          </cell>
          <cell r="U105">
            <v>1113.0436199999999</v>
          </cell>
          <cell r="V105">
            <v>1928.3500000000001</v>
          </cell>
          <cell r="W105">
            <v>45226.002619999992</v>
          </cell>
          <cell r="Y105">
            <v>38680</v>
          </cell>
          <cell r="AA105">
            <v>200</v>
          </cell>
          <cell r="AB105">
            <v>1800</v>
          </cell>
          <cell r="AC105">
            <v>283</v>
          </cell>
          <cell r="AE105">
            <v>2283</v>
          </cell>
          <cell r="AF105">
            <v>40993.002619999992</v>
          </cell>
        </row>
        <row r="106">
          <cell r="C106" t="str">
            <v>BITS-717</v>
          </cell>
          <cell r="E106" t="str">
            <v>Jaikesh Upadhyay  </v>
          </cell>
          <cell r="F106" t="str">
            <v>PUNE ASC SEZ</v>
          </cell>
          <cell r="G106">
            <v>125000</v>
          </cell>
          <cell r="H106">
            <v>112719</v>
          </cell>
          <cell r="I106">
            <v>30</v>
          </cell>
          <cell r="J106">
            <v>29</v>
          </cell>
          <cell r="K106">
            <v>1</v>
          </cell>
          <cell r="L106">
            <v>30</v>
          </cell>
          <cell r="M106">
            <v>67631.399999999994</v>
          </cell>
          <cell r="N106">
            <v>27052.559999999998</v>
          </cell>
          <cell r="O106">
            <v>2083</v>
          </cell>
          <cell r="P106">
            <v>2083</v>
          </cell>
          <cell r="Q106">
            <v>13982.040000000008</v>
          </cell>
          <cell r="R106">
            <v>112832</v>
          </cell>
          <cell r="S106">
            <v>1950</v>
          </cell>
          <cell r="T106">
            <v>1554.6089999999999</v>
          </cell>
          <cell r="U106">
            <v>3253.0703399999993</v>
          </cell>
          <cell r="V106">
            <v>5635.95</v>
          </cell>
          <cell r="W106">
            <v>125225.62934</v>
          </cell>
          <cell r="Y106">
            <v>112832</v>
          </cell>
          <cell r="AA106">
            <v>200</v>
          </cell>
          <cell r="AB106">
            <v>1800</v>
          </cell>
          <cell r="AC106">
            <v>283</v>
          </cell>
          <cell r="AE106">
            <v>2283</v>
          </cell>
          <cell r="AF106">
            <v>120992.62934</v>
          </cell>
        </row>
        <row r="107">
          <cell r="C107" t="str">
            <v>BITS-718</v>
          </cell>
          <cell r="E107" t="str">
            <v>Mahanth Devasani</v>
          </cell>
          <cell r="F107" t="str">
            <v>BNG STP</v>
          </cell>
          <cell r="G107">
            <v>160000</v>
          </cell>
          <cell r="H107">
            <v>145161</v>
          </cell>
          <cell r="I107">
            <v>30</v>
          </cell>
          <cell r="J107">
            <v>30</v>
          </cell>
          <cell r="L107">
            <v>30</v>
          </cell>
          <cell r="M107">
            <v>87096.6</v>
          </cell>
          <cell r="N107">
            <v>34838.640000000007</v>
          </cell>
          <cell r="O107">
            <v>2083</v>
          </cell>
          <cell r="P107">
            <v>2083</v>
          </cell>
          <cell r="Q107">
            <v>19172.75999999998</v>
          </cell>
          <cell r="R107">
            <v>145274</v>
          </cell>
          <cell r="S107">
            <v>1950</v>
          </cell>
          <cell r="T107">
            <v>1554.6089999999999</v>
          </cell>
          <cell r="U107">
            <v>4189.3464599999998</v>
          </cell>
          <cell r="V107">
            <v>7258.05</v>
          </cell>
          <cell r="W107">
            <v>160226.00545999999</v>
          </cell>
          <cell r="Y107">
            <v>145274</v>
          </cell>
          <cell r="AA107">
            <v>200</v>
          </cell>
          <cell r="AB107">
            <v>1800</v>
          </cell>
          <cell r="AC107">
            <v>283</v>
          </cell>
          <cell r="AE107">
            <v>2283</v>
          </cell>
          <cell r="AF107">
            <v>155993.00545999999</v>
          </cell>
        </row>
        <row r="108">
          <cell r="C108" t="str">
            <v>BITS-719</v>
          </cell>
          <cell r="E108" t="str">
            <v>ROOPINI CHIYYARAPU</v>
          </cell>
          <cell r="F108" t="str">
            <v>HYD SEZ</v>
          </cell>
          <cell r="G108">
            <v>85000</v>
          </cell>
          <cell r="H108">
            <v>75643</v>
          </cell>
          <cell r="I108">
            <v>30</v>
          </cell>
          <cell r="J108">
            <v>29</v>
          </cell>
          <cell r="K108">
            <v>1</v>
          </cell>
          <cell r="L108">
            <v>30</v>
          </cell>
          <cell r="M108">
            <v>45385.8</v>
          </cell>
          <cell r="N108">
            <v>18154.320000000003</v>
          </cell>
          <cell r="O108">
            <v>2083</v>
          </cell>
          <cell r="P108">
            <v>2083</v>
          </cell>
          <cell r="Q108">
            <v>8049.8799999999901</v>
          </cell>
          <cell r="R108">
            <v>75756</v>
          </cell>
          <cell r="S108">
            <v>1950</v>
          </cell>
          <cell r="T108">
            <v>1554.6089999999999</v>
          </cell>
          <cell r="U108">
            <v>2183.0569799999998</v>
          </cell>
          <cell r="V108">
            <v>3782.15</v>
          </cell>
          <cell r="W108">
            <v>85225.815979999985</v>
          </cell>
          <cell r="Y108">
            <v>75756</v>
          </cell>
          <cell r="AA108">
            <v>200</v>
          </cell>
          <cell r="AB108">
            <v>1800</v>
          </cell>
          <cell r="AC108">
            <v>283</v>
          </cell>
          <cell r="AE108">
            <v>2283</v>
          </cell>
          <cell r="AF108">
            <v>80992.815979999985</v>
          </cell>
        </row>
        <row r="109">
          <cell r="C109" t="str">
            <v>BITS-720</v>
          </cell>
          <cell r="E109" t="str">
            <v>Jyoti Singh</v>
          </cell>
          <cell r="F109" t="str">
            <v>PUNE ASC SEZ</v>
          </cell>
          <cell r="G109">
            <v>115000</v>
          </cell>
          <cell r="H109">
            <v>103450</v>
          </cell>
          <cell r="I109">
            <v>30</v>
          </cell>
          <cell r="J109">
            <v>30</v>
          </cell>
          <cell r="L109">
            <v>30</v>
          </cell>
          <cell r="M109">
            <v>62070</v>
          </cell>
          <cell r="N109">
            <v>24828</v>
          </cell>
          <cell r="O109">
            <v>2083</v>
          </cell>
          <cell r="P109">
            <v>2083</v>
          </cell>
          <cell r="Q109">
            <v>12499</v>
          </cell>
          <cell r="R109">
            <v>103563</v>
          </cell>
          <cell r="S109">
            <v>1950</v>
          </cell>
          <cell r="T109">
            <v>1554.6089999999999</v>
          </cell>
          <cell r="U109">
            <v>2985.5669999999996</v>
          </cell>
          <cell r="V109">
            <v>5172.5</v>
          </cell>
          <cell r="W109">
            <v>115225.67599999999</v>
          </cell>
          <cell r="Y109">
            <v>103563</v>
          </cell>
          <cell r="AA109">
            <v>200</v>
          </cell>
          <cell r="AC109">
            <v>283</v>
          </cell>
          <cell r="AE109">
            <v>483</v>
          </cell>
          <cell r="AF109">
            <v>112792.67599999999</v>
          </cell>
        </row>
        <row r="110">
          <cell r="C110" t="str">
            <v>BITS-722</v>
          </cell>
          <cell r="E110" t="str">
            <v>Inturi Ramakrishna</v>
          </cell>
          <cell r="G110">
            <v>90000</v>
          </cell>
          <cell r="H110">
            <v>80278</v>
          </cell>
          <cell r="I110">
            <v>30</v>
          </cell>
          <cell r="J110">
            <v>30</v>
          </cell>
          <cell r="L110">
            <v>30</v>
          </cell>
          <cell r="M110">
            <v>48166.8</v>
          </cell>
          <cell r="N110">
            <v>19266.72</v>
          </cell>
          <cell r="O110">
            <v>2083</v>
          </cell>
          <cell r="P110">
            <v>2083</v>
          </cell>
          <cell r="Q110">
            <v>8791.4799999999959</v>
          </cell>
          <cell r="R110">
            <v>80391</v>
          </cell>
          <cell r="S110">
            <v>1950</v>
          </cell>
          <cell r="T110">
            <v>1554.6089999999999</v>
          </cell>
          <cell r="U110">
            <v>2316.8230800000001</v>
          </cell>
          <cell r="V110">
            <v>4013.9</v>
          </cell>
          <cell r="W110">
            <v>90226.332079999993</v>
          </cell>
          <cell r="Y110">
            <v>80391</v>
          </cell>
          <cell r="AA110">
            <v>200</v>
          </cell>
          <cell r="AB110">
            <v>1800</v>
          </cell>
          <cell r="AC110">
            <v>283</v>
          </cell>
          <cell r="AE110">
            <v>2283</v>
          </cell>
          <cell r="AF110">
            <v>85993.332079999993</v>
          </cell>
        </row>
        <row r="111">
          <cell r="C111" t="str">
            <v>BITS-723</v>
          </cell>
          <cell r="D111" t="str">
            <v>SAP</v>
          </cell>
          <cell r="E111" t="str">
            <v>D.Santhoshi</v>
          </cell>
          <cell r="F111" t="str">
            <v>HYD SEZ</v>
          </cell>
          <cell r="G111">
            <v>45000</v>
          </cell>
          <cell r="H111">
            <v>38567</v>
          </cell>
          <cell r="I111">
            <v>30</v>
          </cell>
          <cell r="J111">
            <v>30</v>
          </cell>
          <cell r="L111">
            <v>30</v>
          </cell>
          <cell r="M111">
            <v>23140.2</v>
          </cell>
          <cell r="N111">
            <v>9256.08</v>
          </cell>
          <cell r="O111">
            <v>2083</v>
          </cell>
          <cell r="P111">
            <v>2083</v>
          </cell>
          <cell r="Q111">
            <v>2117.7200000000012</v>
          </cell>
          <cell r="R111">
            <v>38680</v>
          </cell>
          <cell r="S111">
            <v>1950</v>
          </cell>
          <cell r="T111">
            <v>1554.6089999999999</v>
          </cell>
          <cell r="U111">
            <v>1113.0436199999999</v>
          </cell>
          <cell r="V111">
            <v>1928.3500000000001</v>
          </cell>
          <cell r="W111">
            <v>45226.002619999992</v>
          </cell>
          <cell r="Y111">
            <v>38680</v>
          </cell>
          <cell r="AA111">
            <v>200</v>
          </cell>
          <cell r="AB111">
            <v>1800</v>
          </cell>
          <cell r="AC111">
            <v>283</v>
          </cell>
          <cell r="AE111">
            <v>2283</v>
          </cell>
          <cell r="AF111">
            <v>40993.002619999992</v>
          </cell>
        </row>
        <row r="112">
          <cell r="C112" t="str">
            <v>BITS-724</v>
          </cell>
          <cell r="D112" t="str">
            <v>SAP</v>
          </cell>
          <cell r="E112" t="str">
            <v>Bharath</v>
          </cell>
          <cell r="F112" t="str">
            <v>HYD SEZ</v>
          </cell>
          <cell r="G112">
            <v>30000</v>
          </cell>
          <cell r="H112">
            <v>24636</v>
          </cell>
          <cell r="I112">
            <v>30</v>
          </cell>
          <cell r="J112">
            <v>30</v>
          </cell>
          <cell r="L112">
            <v>30</v>
          </cell>
          <cell r="M112">
            <v>14781.6</v>
          </cell>
          <cell r="N112">
            <v>5912.64</v>
          </cell>
          <cell r="O112">
            <v>1500</v>
          </cell>
          <cell r="P112">
            <v>1500</v>
          </cell>
          <cell r="Q112">
            <v>1054.7599999999984</v>
          </cell>
          <cell r="R112">
            <v>24749</v>
          </cell>
          <cell r="S112">
            <v>1921.6080000000002</v>
          </cell>
          <cell r="T112">
            <v>1554.6089999999999</v>
          </cell>
          <cell r="U112">
            <v>710.99495999999999</v>
          </cell>
          <cell r="V112">
            <v>1231.8</v>
          </cell>
          <cell r="W112">
            <v>30168.01196</v>
          </cell>
          <cell r="Y112">
            <v>24749</v>
          </cell>
          <cell r="AA112">
            <v>200</v>
          </cell>
          <cell r="AB112">
            <v>1774</v>
          </cell>
          <cell r="AC112">
            <v>283</v>
          </cell>
          <cell r="AE112">
            <v>2257</v>
          </cell>
          <cell r="AF112">
            <v>25989.40396</v>
          </cell>
        </row>
        <row r="113">
          <cell r="C113" t="str">
            <v>BITS-725</v>
          </cell>
          <cell r="D113" t="str">
            <v>SAP</v>
          </cell>
          <cell r="E113" t="str">
            <v>NEERUDU SAI KUMAR</v>
          </cell>
          <cell r="F113" t="str">
            <v>HYD SEZ</v>
          </cell>
          <cell r="G113">
            <v>45000</v>
          </cell>
          <cell r="H113">
            <v>38567</v>
          </cell>
          <cell r="I113">
            <v>30</v>
          </cell>
          <cell r="J113">
            <v>30</v>
          </cell>
          <cell r="L113">
            <v>30</v>
          </cell>
          <cell r="M113">
            <v>23140.2</v>
          </cell>
          <cell r="N113">
            <v>9256.08</v>
          </cell>
          <cell r="O113">
            <v>2083</v>
          </cell>
          <cell r="P113">
            <v>2083</v>
          </cell>
          <cell r="Q113">
            <v>2117.7200000000012</v>
          </cell>
          <cell r="R113">
            <v>38680</v>
          </cell>
          <cell r="S113">
            <v>1950</v>
          </cell>
          <cell r="T113">
            <v>1554.6089999999999</v>
          </cell>
          <cell r="U113">
            <v>1113.0436199999999</v>
          </cell>
          <cell r="V113">
            <v>1928.3500000000001</v>
          </cell>
          <cell r="W113">
            <v>45226.002619999992</v>
          </cell>
          <cell r="Y113">
            <v>38680</v>
          </cell>
          <cell r="AA113">
            <v>200</v>
          </cell>
          <cell r="AB113">
            <v>1800</v>
          </cell>
          <cell r="AC113">
            <v>283</v>
          </cell>
          <cell r="AE113">
            <v>2283</v>
          </cell>
          <cell r="AF113">
            <v>40993.002619999992</v>
          </cell>
        </row>
        <row r="114">
          <cell r="C114" t="str">
            <v>BITS-726</v>
          </cell>
          <cell r="D114" t="str">
            <v>SAP</v>
          </cell>
          <cell r="E114" t="str">
            <v>Ramineni Abhilash</v>
          </cell>
          <cell r="F114" t="str">
            <v>HYD SEZ</v>
          </cell>
          <cell r="G114">
            <v>45000</v>
          </cell>
          <cell r="H114">
            <v>38567</v>
          </cell>
          <cell r="I114">
            <v>30</v>
          </cell>
          <cell r="J114">
            <v>30</v>
          </cell>
          <cell r="L114">
            <v>30</v>
          </cell>
          <cell r="M114">
            <v>23140.2</v>
          </cell>
          <cell r="N114">
            <v>9256.08</v>
          </cell>
          <cell r="O114">
            <v>2083</v>
          </cell>
          <cell r="P114">
            <v>2083</v>
          </cell>
          <cell r="Q114">
            <v>2117.7200000000012</v>
          </cell>
          <cell r="R114">
            <v>38680</v>
          </cell>
          <cell r="S114">
            <v>1950</v>
          </cell>
          <cell r="T114">
            <v>1554.6089999999999</v>
          </cell>
          <cell r="U114">
            <v>1113.0436199999999</v>
          </cell>
          <cell r="V114">
            <v>1928.3500000000001</v>
          </cell>
          <cell r="W114">
            <v>45226.002619999992</v>
          </cell>
          <cell r="Y114">
            <v>38680</v>
          </cell>
          <cell r="AA114">
            <v>200</v>
          </cell>
          <cell r="AB114">
            <v>1800</v>
          </cell>
          <cell r="AC114">
            <v>283</v>
          </cell>
          <cell r="AE114">
            <v>2283</v>
          </cell>
          <cell r="AF114">
            <v>40993.002619999992</v>
          </cell>
        </row>
        <row r="115">
          <cell r="C115" t="str">
            <v>BITS-727</v>
          </cell>
          <cell r="E115" t="str">
            <v>SRILATHA</v>
          </cell>
          <cell r="F115" t="str">
            <v>HYD SEZ</v>
          </cell>
          <cell r="G115">
            <v>115000</v>
          </cell>
          <cell r="H115">
            <v>103450</v>
          </cell>
          <cell r="I115">
            <v>30</v>
          </cell>
          <cell r="J115">
            <v>30</v>
          </cell>
          <cell r="L115">
            <v>30</v>
          </cell>
          <cell r="M115">
            <v>62070</v>
          </cell>
          <cell r="N115">
            <v>24828</v>
          </cell>
          <cell r="O115">
            <v>2083</v>
          </cell>
          <cell r="P115">
            <v>2083</v>
          </cell>
          <cell r="Q115">
            <v>12499</v>
          </cell>
          <cell r="R115">
            <v>103563</v>
          </cell>
          <cell r="S115">
            <v>1950</v>
          </cell>
          <cell r="T115">
            <v>1554.6089999999999</v>
          </cell>
          <cell r="U115">
            <v>2985.5669999999996</v>
          </cell>
          <cell r="V115">
            <v>5172.5</v>
          </cell>
          <cell r="W115">
            <v>115225.67599999999</v>
          </cell>
          <cell r="Y115">
            <v>103563</v>
          </cell>
          <cell r="AA115">
            <v>200</v>
          </cell>
          <cell r="AB115">
            <v>1800</v>
          </cell>
          <cell r="AC115">
            <v>283</v>
          </cell>
          <cell r="AE115">
            <v>2283</v>
          </cell>
          <cell r="AF115">
            <v>110992.67599999999</v>
          </cell>
        </row>
        <row r="116">
          <cell r="C116" t="str">
            <v>BITS-729</v>
          </cell>
          <cell r="E116" t="str">
            <v>Rahul Suryawanshi</v>
          </cell>
          <cell r="F116" t="str">
            <v>PUNE SEZ 1</v>
          </cell>
          <cell r="G116">
            <v>90000</v>
          </cell>
          <cell r="H116">
            <v>80278</v>
          </cell>
          <cell r="I116">
            <v>30</v>
          </cell>
          <cell r="J116">
            <v>29</v>
          </cell>
          <cell r="K116">
            <v>1</v>
          </cell>
          <cell r="L116">
            <v>30</v>
          </cell>
          <cell r="M116">
            <v>48166.8</v>
          </cell>
          <cell r="N116">
            <v>19266.72</v>
          </cell>
          <cell r="O116">
            <v>2083</v>
          </cell>
          <cell r="P116">
            <v>2083</v>
          </cell>
          <cell r="Q116">
            <v>8791.4799999999959</v>
          </cell>
          <cell r="R116">
            <v>80391</v>
          </cell>
          <cell r="S116">
            <v>1950</v>
          </cell>
          <cell r="T116">
            <v>1554.6089999999999</v>
          </cell>
          <cell r="U116">
            <v>2316.8230800000001</v>
          </cell>
          <cell r="V116">
            <v>4013.9</v>
          </cell>
          <cell r="W116">
            <v>90226.332079999993</v>
          </cell>
          <cell r="Y116">
            <v>80391</v>
          </cell>
          <cell r="AA116">
            <v>200</v>
          </cell>
          <cell r="AB116">
            <v>1800</v>
          </cell>
          <cell r="AC116">
            <v>283</v>
          </cell>
          <cell r="AE116">
            <v>2283</v>
          </cell>
          <cell r="AF116">
            <v>85993.332079999993</v>
          </cell>
        </row>
        <row r="117">
          <cell r="C117" t="str">
            <v>BITS-730</v>
          </cell>
          <cell r="E117" t="str">
            <v xml:space="preserve">Shantanu Patankar </v>
          </cell>
          <cell r="F117" t="str">
            <v>PUNE SEZ 1</v>
          </cell>
          <cell r="G117">
            <v>125000</v>
          </cell>
          <cell r="H117">
            <v>112719</v>
          </cell>
          <cell r="I117">
            <v>30</v>
          </cell>
          <cell r="J117">
            <v>30</v>
          </cell>
          <cell r="L117">
            <v>30</v>
          </cell>
          <cell r="M117">
            <v>67631.399999999994</v>
          </cell>
          <cell r="N117">
            <v>27052.559999999998</v>
          </cell>
          <cell r="O117">
            <v>2083</v>
          </cell>
          <cell r="P117">
            <v>2083</v>
          </cell>
          <cell r="Q117">
            <v>13982.040000000008</v>
          </cell>
          <cell r="R117">
            <v>112832</v>
          </cell>
          <cell r="S117">
            <v>1950</v>
          </cell>
          <cell r="T117">
            <v>1554.6089999999999</v>
          </cell>
          <cell r="U117">
            <v>3253.0703399999993</v>
          </cell>
          <cell r="V117">
            <v>5635.95</v>
          </cell>
          <cell r="W117">
            <v>125225.62934</v>
          </cell>
          <cell r="Y117">
            <v>112832</v>
          </cell>
          <cell r="AA117">
            <v>200</v>
          </cell>
          <cell r="AB117">
            <v>1800</v>
          </cell>
          <cell r="AC117">
            <v>283</v>
          </cell>
          <cell r="AE117">
            <v>2283</v>
          </cell>
          <cell r="AF117">
            <v>120992.62934</v>
          </cell>
        </row>
        <row r="118">
          <cell r="C118" t="str">
            <v>BITS-731</v>
          </cell>
          <cell r="E118" t="str">
            <v xml:space="preserve">YAMUNA S </v>
          </cell>
          <cell r="F118" t="str">
            <v>BNG STP</v>
          </cell>
          <cell r="G118">
            <v>135000</v>
          </cell>
          <cell r="H118">
            <v>121988</v>
          </cell>
          <cell r="I118">
            <v>30</v>
          </cell>
          <cell r="J118">
            <v>30</v>
          </cell>
          <cell r="L118">
            <v>30</v>
          </cell>
          <cell r="M118">
            <v>73192.800000000003</v>
          </cell>
          <cell r="N118">
            <v>29277.120000000003</v>
          </cell>
          <cell r="O118">
            <v>2083</v>
          </cell>
          <cell r="P118">
            <v>2083</v>
          </cell>
          <cell r="Q118">
            <v>15465.079999999987</v>
          </cell>
          <cell r="R118">
            <v>122101</v>
          </cell>
          <cell r="S118">
            <v>1950</v>
          </cell>
          <cell r="T118">
            <v>1554.6089999999999</v>
          </cell>
          <cell r="U118">
            <v>3520.5736799999995</v>
          </cell>
          <cell r="V118">
            <v>6099.4000000000005</v>
          </cell>
          <cell r="W118">
            <v>135225.58267999999</v>
          </cell>
          <cell r="Y118">
            <v>122101</v>
          </cell>
          <cell r="AA118">
            <v>200</v>
          </cell>
          <cell r="AB118">
            <v>1800</v>
          </cell>
          <cell r="AC118">
            <v>283</v>
          </cell>
          <cell r="AE118">
            <v>2283</v>
          </cell>
          <cell r="AF118">
            <v>130992.58267999999</v>
          </cell>
        </row>
        <row r="119">
          <cell r="C119" t="str">
            <v>BITS-732</v>
          </cell>
          <cell r="E119" t="str">
            <v xml:space="preserve">ChetanMadhukar Mundhe </v>
          </cell>
          <cell r="F119" t="str">
            <v>BNG STP</v>
          </cell>
          <cell r="G119">
            <v>125000</v>
          </cell>
          <cell r="H119">
            <v>112719</v>
          </cell>
          <cell r="I119">
            <v>30</v>
          </cell>
          <cell r="J119">
            <v>29</v>
          </cell>
          <cell r="K119">
            <v>1</v>
          </cell>
          <cell r="L119">
            <v>30</v>
          </cell>
          <cell r="M119">
            <v>67631.399999999994</v>
          </cell>
          <cell r="N119">
            <v>27052.559999999998</v>
          </cell>
          <cell r="O119">
            <v>2083</v>
          </cell>
          <cell r="P119">
            <v>2083</v>
          </cell>
          <cell r="Q119">
            <v>13982.040000000008</v>
          </cell>
          <cell r="R119">
            <v>112832</v>
          </cell>
          <cell r="S119">
            <v>1950</v>
          </cell>
          <cell r="T119">
            <v>1554.6089999999999</v>
          </cell>
          <cell r="U119">
            <v>3253.0703399999993</v>
          </cell>
          <cell r="V119">
            <v>5635.95</v>
          </cell>
          <cell r="W119">
            <v>125225.62934</v>
          </cell>
          <cell r="Y119">
            <v>112832</v>
          </cell>
          <cell r="AA119">
            <v>200</v>
          </cell>
          <cell r="AB119">
            <v>1800</v>
          </cell>
          <cell r="AC119">
            <v>283</v>
          </cell>
          <cell r="AE119">
            <v>2283</v>
          </cell>
          <cell r="AF119">
            <v>120992.62934</v>
          </cell>
        </row>
        <row r="120">
          <cell r="C120" t="str">
            <v>BITS-733</v>
          </cell>
          <cell r="E120" t="str">
            <v>Chandrashekar Patil</v>
          </cell>
          <cell r="F120" t="str">
            <v>PUNE ASC SEZ</v>
          </cell>
          <cell r="G120">
            <v>83000</v>
          </cell>
          <cell r="H120">
            <v>73789</v>
          </cell>
          <cell r="I120">
            <v>30</v>
          </cell>
          <cell r="J120">
            <v>26</v>
          </cell>
          <cell r="K120">
            <v>4</v>
          </cell>
          <cell r="L120">
            <v>27</v>
          </cell>
          <cell r="M120">
            <v>39846.060000000005</v>
          </cell>
          <cell r="N120">
            <v>15938.424000000003</v>
          </cell>
          <cell r="O120">
            <v>1875</v>
          </cell>
          <cell r="P120">
            <v>1875</v>
          </cell>
          <cell r="Q120">
            <v>6988.6159999999945</v>
          </cell>
          <cell r="R120">
            <v>66523.100000000006</v>
          </cell>
          <cell r="S120">
            <v>1950</v>
          </cell>
          <cell r="T120">
            <v>1554.6089999999999</v>
          </cell>
          <cell r="U120">
            <v>1916.5954860000002</v>
          </cell>
          <cell r="V120">
            <v>3320.5050000000006</v>
          </cell>
          <cell r="W120">
            <v>75264.809485999998</v>
          </cell>
          <cell r="Y120">
            <v>66523.100000000006</v>
          </cell>
          <cell r="AA120">
            <v>200</v>
          </cell>
          <cell r="AB120">
            <v>1800</v>
          </cell>
          <cell r="AC120">
            <v>283</v>
          </cell>
          <cell r="AE120">
            <v>2283</v>
          </cell>
          <cell r="AF120">
            <v>71031.709486000007</v>
          </cell>
        </row>
        <row r="121">
          <cell r="C121" t="str">
            <v>BITS-734</v>
          </cell>
          <cell r="E121" t="str">
            <v xml:space="preserve">ShaikFarooq Basha </v>
          </cell>
          <cell r="F121" t="str">
            <v>PUNE ASC SEZ</v>
          </cell>
          <cell r="G121">
            <v>115000</v>
          </cell>
          <cell r="H121">
            <v>103450</v>
          </cell>
          <cell r="I121">
            <v>30</v>
          </cell>
          <cell r="J121">
            <v>30</v>
          </cell>
          <cell r="L121">
            <v>30</v>
          </cell>
          <cell r="M121">
            <v>62070</v>
          </cell>
          <cell r="N121">
            <v>24828</v>
          </cell>
          <cell r="O121">
            <v>2083</v>
          </cell>
          <cell r="P121">
            <v>2083</v>
          </cell>
          <cell r="Q121">
            <v>12499</v>
          </cell>
          <cell r="R121">
            <v>103563</v>
          </cell>
          <cell r="S121">
            <v>1950</v>
          </cell>
          <cell r="T121">
            <v>1554.6089999999999</v>
          </cell>
          <cell r="U121">
            <v>2985.5669999999996</v>
          </cell>
          <cell r="V121">
            <v>5172.5</v>
          </cell>
          <cell r="W121">
            <v>115225.67599999999</v>
          </cell>
          <cell r="Y121">
            <v>103563</v>
          </cell>
          <cell r="Z121">
            <v>7419</v>
          </cell>
          <cell r="AA121">
            <v>200</v>
          </cell>
          <cell r="AB121">
            <v>1800</v>
          </cell>
          <cell r="AC121">
            <v>283</v>
          </cell>
          <cell r="AE121">
            <v>9702</v>
          </cell>
          <cell r="AF121">
            <v>103573.67599999999</v>
          </cell>
        </row>
        <row r="122">
          <cell r="C122" t="str">
            <v>BITS-734</v>
          </cell>
          <cell r="E122" t="str">
            <v>SathishKumar dhandu</v>
          </cell>
          <cell r="F122" t="str">
            <v>BNG STP</v>
          </cell>
          <cell r="G122">
            <v>95000</v>
          </cell>
          <cell r="H122">
            <v>84812</v>
          </cell>
          <cell r="I122">
            <v>30</v>
          </cell>
          <cell r="J122">
            <v>30</v>
          </cell>
          <cell r="L122">
            <v>30</v>
          </cell>
          <cell r="M122">
            <v>50887.199999999997</v>
          </cell>
          <cell r="N122">
            <v>20354.88</v>
          </cell>
          <cell r="O122">
            <v>2083</v>
          </cell>
          <cell r="P122">
            <v>2083</v>
          </cell>
          <cell r="Q122">
            <v>9516.9199999999983</v>
          </cell>
          <cell r="R122">
            <v>84925</v>
          </cell>
          <cell r="S122">
            <v>1950</v>
          </cell>
          <cell r="T122">
            <v>1554.6089999999999</v>
          </cell>
          <cell r="U122">
            <v>2447.6743199999996</v>
          </cell>
          <cell r="V122">
            <v>4240.5999999999995</v>
          </cell>
          <cell r="W122">
            <v>95117.883320000008</v>
          </cell>
          <cell r="Y122">
            <v>84925</v>
          </cell>
          <cell r="AA122">
            <v>200</v>
          </cell>
          <cell r="AC122">
            <v>283</v>
          </cell>
          <cell r="AE122">
            <v>483</v>
          </cell>
          <cell r="AF122">
            <v>92684.883320000008</v>
          </cell>
        </row>
        <row r="123">
          <cell r="C123" t="str">
            <v>BITS-735</v>
          </cell>
          <cell r="E123" t="str">
            <v>SURESH Kumar KOLA</v>
          </cell>
          <cell r="F123" t="str">
            <v>HYD SEZ</v>
          </cell>
          <cell r="G123">
            <v>90000</v>
          </cell>
          <cell r="H123">
            <v>80278</v>
          </cell>
          <cell r="I123">
            <v>30</v>
          </cell>
          <cell r="J123">
            <v>30</v>
          </cell>
          <cell r="L123">
            <v>30</v>
          </cell>
          <cell r="M123">
            <v>48166.8</v>
          </cell>
          <cell r="N123">
            <v>19266.72</v>
          </cell>
          <cell r="O123">
            <v>2083</v>
          </cell>
          <cell r="P123">
            <v>2083</v>
          </cell>
          <cell r="Q123">
            <v>8791.4799999999959</v>
          </cell>
          <cell r="R123">
            <v>80391</v>
          </cell>
          <cell r="S123">
            <v>1950</v>
          </cell>
          <cell r="T123">
            <v>1554.6089999999999</v>
          </cell>
          <cell r="U123">
            <v>2316.8230800000001</v>
          </cell>
          <cell r="V123">
            <v>4013.9</v>
          </cell>
          <cell r="W123">
            <v>90226.332079999993</v>
          </cell>
          <cell r="Y123">
            <v>80391</v>
          </cell>
          <cell r="AA123">
            <v>200</v>
          </cell>
          <cell r="AB123">
            <v>1800</v>
          </cell>
          <cell r="AC123">
            <v>283</v>
          </cell>
          <cell r="AE123">
            <v>2283</v>
          </cell>
          <cell r="AF123">
            <v>85993.332079999993</v>
          </cell>
        </row>
        <row r="124">
          <cell r="C124" t="str">
            <v>BITS-736</v>
          </cell>
          <cell r="E124" t="str">
            <v>Varalakshmi Vijay</v>
          </cell>
          <cell r="F124" t="str">
            <v>PUNE SEZ 1</v>
          </cell>
          <cell r="G124">
            <v>75000</v>
          </cell>
          <cell r="H124">
            <v>66374</v>
          </cell>
          <cell r="I124">
            <v>30</v>
          </cell>
          <cell r="J124">
            <v>30</v>
          </cell>
          <cell r="L124">
            <v>30</v>
          </cell>
          <cell r="M124">
            <v>39824.400000000001</v>
          </cell>
          <cell r="N124">
            <v>15929.760000000002</v>
          </cell>
          <cell r="O124">
            <v>2083</v>
          </cell>
          <cell r="P124">
            <v>2083</v>
          </cell>
          <cell r="Q124">
            <v>6566.8399999999965</v>
          </cell>
          <cell r="R124">
            <v>66487</v>
          </cell>
          <cell r="S124">
            <v>1950</v>
          </cell>
          <cell r="T124">
            <v>1554.6089999999999</v>
          </cell>
          <cell r="U124">
            <v>1915.5536400000001</v>
          </cell>
          <cell r="V124">
            <v>3318.7000000000003</v>
          </cell>
          <cell r="W124">
            <v>75225.862639999992</v>
          </cell>
          <cell r="Y124">
            <v>66487</v>
          </cell>
          <cell r="AA124">
            <v>200</v>
          </cell>
          <cell r="AB124">
            <v>1800</v>
          </cell>
          <cell r="AC124">
            <v>283</v>
          </cell>
          <cell r="AE124">
            <v>2283</v>
          </cell>
          <cell r="AF124">
            <v>70992.862639999992</v>
          </cell>
        </row>
        <row r="125">
          <cell r="C125" t="str">
            <v>BITS-737</v>
          </cell>
          <cell r="E125" t="str">
            <v>Rammohan Mothukuri</v>
          </cell>
          <cell r="F125" t="str">
            <v>HYD STP</v>
          </cell>
          <cell r="G125">
            <v>97000</v>
          </cell>
          <cell r="H125">
            <v>86766</v>
          </cell>
          <cell r="I125">
            <v>30</v>
          </cell>
          <cell r="J125">
            <v>30</v>
          </cell>
          <cell r="L125">
            <v>30</v>
          </cell>
          <cell r="M125">
            <v>52059.6</v>
          </cell>
          <cell r="N125">
            <v>20823.84</v>
          </cell>
          <cell r="O125">
            <v>2083</v>
          </cell>
          <cell r="P125">
            <v>2083</v>
          </cell>
          <cell r="Q125">
            <v>9829.5599999999977</v>
          </cell>
          <cell r="R125">
            <v>86879</v>
          </cell>
          <cell r="S125">
            <v>1950</v>
          </cell>
          <cell r="T125">
            <v>1554.6089999999999</v>
          </cell>
          <cell r="U125">
            <v>2504.0667599999997</v>
          </cell>
          <cell r="V125">
            <v>4338.3</v>
          </cell>
          <cell r="W125">
            <v>97225.975760000001</v>
          </cell>
          <cell r="Y125">
            <v>86879</v>
          </cell>
          <cell r="AA125">
            <v>200</v>
          </cell>
          <cell r="AB125">
            <v>1800</v>
          </cell>
          <cell r="AC125">
            <v>283</v>
          </cell>
          <cell r="AE125">
            <v>2283</v>
          </cell>
          <cell r="AF125">
            <v>92992.975760000001</v>
          </cell>
        </row>
        <row r="126">
          <cell r="C126" t="str">
            <v>BITS-738</v>
          </cell>
          <cell r="E126" t="str">
            <v>NILOTPAL BHOWAL</v>
          </cell>
          <cell r="F126" t="str">
            <v>PUNE ASC SEZ</v>
          </cell>
          <cell r="G126">
            <v>135000</v>
          </cell>
          <cell r="H126">
            <v>121988</v>
          </cell>
          <cell r="I126">
            <v>30</v>
          </cell>
          <cell r="J126">
            <v>30</v>
          </cell>
          <cell r="L126">
            <v>30</v>
          </cell>
          <cell r="M126">
            <v>73192.800000000003</v>
          </cell>
          <cell r="N126">
            <v>29277.120000000003</v>
          </cell>
          <cell r="O126">
            <v>2083</v>
          </cell>
          <cell r="P126">
            <v>2083</v>
          </cell>
          <cell r="Q126">
            <v>15465.079999999987</v>
          </cell>
          <cell r="R126">
            <v>122101</v>
          </cell>
          <cell r="S126">
            <v>1950</v>
          </cell>
          <cell r="T126">
            <v>1554.6089999999999</v>
          </cell>
          <cell r="U126">
            <v>3520.5736799999995</v>
          </cell>
          <cell r="V126">
            <v>6099.4000000000005</v>
          </cell>
          <cell r="W126">
            <v>135225.58267999999</v>
          </cell>
          <cell r="Y126">
            <v>122101</v>
          </cell>
          <cell r="AA126">
            <v>200</v>
          </cell>
          <cell r="AB126">
            <v>1800</v>
          </cell>
          <cell r="AC126">
            <v>283</v>
          </cell>
          <cell r="AE126">
            <v>2283</v>
          </cell>
          <cell r="AF126">
            <v>130992.58267999999</v>
          </cell>
        </row>
        <row r="127">
          <cell r="C127" t="str">
            <v>BITS-739</v>
          </cell>
          <cell r="E127" t="str">
            <v>PraveenKumar GATTU</v>
          </cell>
          <cell r="F127" t="str">
            <v>BNG STP</v>
          </cell>
          <cell r="G127">
            <v>90000</v>
          </cell>
          <cell r="H127">
            <v>80278</v>
          </cell>
          <cell r="I127">
            <v>30</v>
          </cell>
          <cell r="J127">
            <v>30</v>
          </cell>
          <cell r="L127">
            <v>30</v>
          </cell>
          <cell r="M127">
            <v>48166.8</v>
          </cell>
          <cell r="N127">
            <v>19266.72</v>
          </cell>
          <cell r="O127">
            <v>2083</v>
          </cell>
          <cell r="P127">
            <v>2083</v>
          </cell>
          <cell r="Q127">
            <v>8791.4799999999959</v>
          </cell>
          <cell r="R127">
            <v>80391</v>
          </cell>
          <cell r="S127">
            <v>1950</v>
          </cell>
          <cell r="T127">
            <v>1554.6089999999999</v>
          </cell>
          <cell r="U127">
            <v>2316.8230800000001</v>
          </cell>
          <cell r="V127">
            <v>4013.9</v>
          </cell>
          <cell r="W127">
            <v>90226.332079999993</v>
          </cell>
          <cell r="Y127">
            <v>80391</v>
          </cell>
          <cell r="AA127">
            <v>200</v>
          </cell>
          <cell r="AB127">
            <v>1800</v>
          </cell>
          <cell r="AC127">
            <v>283</v>
          </cell>
          <cell r="AE127">
            <v>2283</v>
          </cell>
          <cell r="AF127">
            <v>85993.332079999993</v>
          </cell>
        </row>
        <row r="128">
          <cell r="C128" t="str">
            <v>BITS-740</v>
          </cell>
          <cell r="E128" t="str">
            <v>ANILKUMAR MUMMANA</v>
          </cell>
          <cell r="F128" t="str">
            <v>HYD SEZ</v>
          </cell>
          <cell r="G128">
            <v>145000</v>
          </cell>
          <cell r="H128">
            <v>131257</v>
          </cell>
          <cell r="I128">
            <v>30</v>
          </cell>
          <cell r="J128">
            <v>30</v>
          </cell>
          <cell r="L128">
            <v>30</v>
          </cell>
          <cell r="M128">
            <v>78754.2</v>
          </cell>
          <cell r="N128">
            <v>31501.68</v>
          </cell>
          <cell r="O128">
            <v>2083</v>
          </cell>
          <cell r="P128">
            <v>2083</v>
          </cell>
          <cell r="Q128">
            <v>16948.119999999995</v>
          </cell>
          <cell r="R128">
            <v>131370</v>
          </cell>
          <cell r="S128">
            <v>1950</v>
          </cell>
          <cell r="T128">
            <v>1554.6089999999999</v>
          </cell>
          <cell r="U128">
            <v>3788.0770199999993</v>
          </cell>
          <cell r="V128">
            <v>6562.8499999999995</v>
          </cell>
          <cell r="W128">
            <v>145225.53602</v>
          </cell>
          <cell r="Y128">
            <v>131370</v>
          </cell>
          <cell r="AA128">
            <v>200</v>
          </cell>
          <cell r="AB128">
            <v>1800</v>
          </cell>
          <cell r="AC128">
            <v>283</v>
          </cell>
          <cell r="AE128">
            <v>2283</v>
          </cell>
          <cell r="AF128">
            <v>140992.53602</v>
          </cell>
        </row>
        <row r="129">
          <cell r="C129" t="str">
            <v>BITS-741</v>
          </cell>
          <cell r="E129" t="str">
            <v>susheelKumar Gabndla</v>
          </cell>
          <cell r="F129" t="str">
            <v>PUNE SEZ 2</v>
          </cell>
          <cell r="G129">
            <v>90000</v>
          </cell>
          <cell r="H129">
            <v>80278</v>
          </cell>
          <cell r="I129">
            <v>30</v>
          </cell>
          <cell r="J129">
            <v>30</v>
          </cell>
          <cell r="L129">
            <v>30</v>
          </cell>
          <cell r="M129">
            <v>48166.8</v>
          </cell>
          <cell r="N129">
            <v>19266.72</v>
          </cell>
          <cell r="O129">
            <v>2083</v>
          </cell>
          <cell r="P129">
            <v>2083</v>
          </cell>
          <cell r="Q129">
            <v>8791.4799999999959</v>
          </cell>
          <cell r="R129">
            <v>80391</v>
          </cell>
          <cell r="S129">
            <v>1950</v>
          </cell>
          <cell r="T129">
            <v>1554.6089999999999</v>
          </cell>
          <cell r="U129">
            <v>2316.8230800000001</v>
          </cell>
          <cell r="V129">
            <v>4013.9</v>
          </cell>
          <cell r="W129">
            <v>90226.332079999993</v>
          </cell>
          <cell r="Y129">
            <v>80391</v>
          </cell>
          <cell r="AA129">
            <v>200</v>
          </cell>
          <cell r="AE129">
            <v>200</v>
          </cell>
          <cell r="AF129">
            <v>88076.332079999993</v>
          </cell>
        </row>
        <row r="130">
          <cell r="C130" t="str">
            <v>BITS-742</v>
          </cell>
          <cell r="E130" t="str">
            <v xml:space="preserve">Ravi Gande </v>
          </cell>
          <cell r="F130" t="str">
            <v>HYD SEZ</v>
          </cell>
          <cell r="G130">
            <v>75000</v>
          </cell>
          <cell r="H130">
            <v>68182</v>
          </cell>
          <cell r="I130">
            <v>30</v>
          </cell>
          <cell r="J130">
            <v>30</v>
          </cell>
          <cell r="L130">
            <v>30</v>
          </cell>
          <cell r="M130">
            <v>40909.199999999997</v>
          </cell>
          <cell r="N130">
            <v>16363.68</v>
          </cell>
          <cell r="O130">
            <v>2083</v>
          </cell>
          <cell r="P130">
            <v>2083</v>
          </cell>
          <cell r="Q130">
            <v>6856.1200000000026</v>
          </cell>
          <cell r="R130">
            <v>68295</v>
          </cell>
          <cell r="S130">
            <v>1950</v>
          </cell>
          <cell r="T130">
            <v>1441.6089999999999</v>
          </cell>
          <cell r="U130">
            <v>1967.7325199999998</v>
          </cell>
          <cell r="V130">
            <v>3409.1</v>
          </cell>
          <cell r="W130">
            <v>77063.441519999993</v>
          </cell>
          <cell r="Y130">
            <v>68295</v>
          </cell>
          <cell r="AA130">
            <v>200</v>
          </cell>
          <cell r="AE130">
            <v>200</v>
          </cell>
          <cell r="AF130">
            <v>74913.441520000008</v>
          </cell>
        </row>
        <row r="131">
          <cell r="C131" t="str">
            <v>BITS-743</v>
          </cell>
          <cell r="E131" t="str">
            <v xml:space="preserve">Vinoth Vairavan </v>
          </cell>
          <cell r="F131" t="str">
            <v>BNG STP</v>
          </cell>
          <cell r="G131">
            <v>150000</v>
          </cell>
          <cell r="H131">
            <v>135892</v>
          </cell>
          <cell r="I131">
            <v>30</v>
          </cell>
          <cell r="J131">
            <v>25</v>
          </cell>
          <cell r="L131">
            <v>25</v>
          </cell>
          <cell r="M131">
            <v>67946</v>
          </cell>
          <cell r="N131">
            <v>27178.400000000001</v>
          </cell>
          <cell r="O131">
            <v>1736</v>
          </cell>
          <cell r="P131">
            <v>1736</v>
          </cell>
          <cell r="Q131">
            <v>14759.933333333334</v>
          </cell>
          <cell r="R131">
            <v>113356.33333333333</v>
          </cell>
          <cell r="S131">
            <v>1950</v>
          </cell>
          <cell r="T131">
            <v>1554.6089999999999</v>
          </cell>
          <cell r="U131">
            <v>3268.2025999999996</v>
          </cell>
          <cell r="V131">
            <v>5662.166666666667</v>
          </cell>
          <cell r="W131">
            <v>125791.3116</v>
          </cell>
          <cell r="Y131">
            <v>113356.33333333333</v>
          </cell>
          <cell r="AA131">
            <v>200</v>
          </cell>
          <cell r="AB131">
            <v>1800</v>
          </cell>
          <cell r="AE131">
            <v>2000</v>
          </cell>
          <cell r="AF131">
            <v>121840.97826666667</v>
          </cell>
        </row>
        <row r="132">
          <cell r="C132" t="str">
            <v>BITS-744</v>
          </cell>
          <cell r="E132" t="str">
            <v xml:space="preserve">OMPRAKASH PURI </v>
          </cell>
          <cell r="F132" t="str">
            <v>PUNE SEZ 1</v>
          </cell>
          <cell r="G132">
            <v>120000</v>
          </cell>
          <cell r="H132">
            <v>108085</v>
          </cell>
          <cell r="I132">
            <v>30</v>
          </cell>
          <cell r="J132">
            <v>30</v>
          </cell>
          <cell r="L132">
            <v>30</v>
          </cell>
          <cell r="M132">
            <v>64851</v>
          </cell>
          <cell r="N132">
            <v>25940.400000000001</v>
          </cell>
          <cell r="O132">
            <v>2083</v>
          </cell>
          <cell r="P132">
            <v>2083</v>
          </cell>
          <cell r="Q132">
            <v>13240.600000000006</v>
          </cell>
          <cell r="R132">
            <v>108198</v>
          </cell>
          <cell r="S132">
            <v>1950</v>
          </cell>
          <cell r="T132">
            <v>1554.6089999999999</v>
          </cell>
          <cell r="U132">
            <v>3119.3330999999998</v>
          </cell>
          <cell r="V132">
            <v>5404.25</v>
          </cell>
          <cell r="W132">
            <v>120226.1921</v>
          </cell>
          <cell r="Y132">
            <v>108198</v>
          </cell>
          <cell r="AA132">
            <v>200</v>
          </cell>
          <cell r="AB132">
            <v>1800</v>
          </cell>
          <cell r="AE132">
            <v>2000</v>
          </cell>
          <cell r="AF132">
            <v>116276.1921</v>
          </cell>
        </row>
        <row r="133">
          <cell r="C133" t="str">
            <v>BITS-745</v>
          </cell>
          <cell r="E133" t="str">
            <v xml:space="preserve">NarsiReddy Venna </v>
          </cell>
          <cell r="F133" t="str">
            <v>HYD SEZ</v>
          </cell>
          <cell r="G133">
            <v>125000</v>
          </cell>
          <cell r="H133">
            <v>112719</v>
          </cell>
          <cell r="I133">
            <v>30</v>
          </cell>
          <cell r="J133">
            <v>27</v>
          </cell>
          <cell r="L133">
            <v>27</v>
          </cell>
          <cell r="M133">
            <v>60868.26</v>
          </cell>
          <cell r="N133">
            <v>24347.304000000004</v>
          </cell>
          <cell r="O133">
            <v>1875</v>
          </cell>
          <cell r="P133">
            <v>1875</v>
          </cell>
          <cell r="Q133">
            <v>12594.535999999993</v>
          </cell>
          <cell r="R133">
            <v>101560.1</v>
          </cell>
          <cell r="S133">
            <v>1950</v>
          </cell>
          <cell r="T133">
            <v>1554.6089999999999</v>
          </cell>
          <cell r="U133">
            <v>2927.7633059999998</v>
          </cell>
          <cell r="V133">
            <v>5072.3550000000005</v>
          </cell>
          <cell r="W133">
            <v>113064.82730599999</v>
          </cell>
          <cell r="Y133">
            <v>101560.1</v>
          </cell>
          <cell r="AA133">
            <v>200</v>
          </cell>
          <cell r="AB133">
            <v>1800</v>
          </cell>
          <cell r="AE133">
            <v>2000</v>
          </cell>
          <cell r="AF133">
            <v>109114.72730599999</v>
          </cell>
        </row>
        <row r="134">
          <cell r="C134" t="str">
            <v>BITS-746</v>
          </cell>
          <cell r="E134" t="str">
            <v xml:space="preserve">DiptiRanjan Dikhit </v>
          </cell>
          <cell r="F134" t="str">
            <v>PUNE SEZ 1</v>
          </cell>
          <cell r="G134">
            <v>71000</v>
          </cell>
          <cell r="H134">
            <v>62667</v>
          </cell>
          <cell r="I134">
            <v>30</v>
          </cell>
          <cell r="J134">
            <v>27</v>
          </cell>
          <cell r="L134">
            <v>27</v>
          </cell>
          <cell r="M134">
            <v>33840.18</v>
          </cell>
          <cell r="N134">
            <v>13536.072</v>
          </cell>
          <cell r="O134">
            <v>1875</v>
          </cell>
          <cell r="P134">
            <v>1875</v>
          </cell>
          <cell r="Q134">
            <v>5387.0480000000025</v>
          </cell>
          <cell r="R134">
            <v>56513.3</v>
          </cell>
          <cell r="S134">
            <v>1950</v>
          </cell>
          <cell r="T134">
            <v>1554.6089999999999</v>
          </cell>
          <cell r="U134">
            <v>1627.7126579999999</v>
          </cell>
          <cell r="V134">
            <v>2820.0149999999999</v>
          </cell>
          <cell r="W134">
            <v>64465.636657999996</v>
          </cell>
          <cell r="Y134">
            <v>56513.3</v>
          </cell>
          <cell r="AA134">
            <v>200</v>
          </cell>
          <cell r="AB134">
            <v>1800</v>
          </cell>
          <cell r="AE134">
            <v>2000</v>
          </cell>
          <cell r="AF134">
            <v>60515.336657999993</v>
          </cell>
        </row>
        <row r="135">
          <cell r="C135" t="str">
            <v>BITS-747</v>
          </cell>
          <cell r="E135" t="str">
            <v xml:space="preserve">Govarthanan TK </v>
          </cell>
          <cell r="F135" t="str">
            <v>BNG STP</v>
          </cell>
          <cell r="G135">
            <v>135000</v>
          </cell>
          <cell r="H135">
            <v>121988</v>
          </cell>
          <cell r="I135">
            <v>30</v>
          </cell>
          <cell r="J135">
            <v>20</v>
          </cell>
          <cell r="L135">
            <v>20</v>
          </cell>
          <cell r="M135">
            <v>48795.199999999997</v>
          </cell>
          <cell r="N135">
            <v>19518.079999999998</v>
          </cell>
          <cell r="O135">
            <v>1389</v>
          </cell>
          <cell r="P135">
            <v>1389</v>
          </cell>
          <cell r="Q135">
            <v>10347.05333333333</v>
          </cell>
          <cell r="R135">
            <v>81438.333333333328</v>
          </cell>
          <cell r="S135">
            <v>1950</v>
          </cell>
          <cell r="T135">
            <v>1554.6089999999999</v>
          </cell>
          <cell r="U135">
            <v>2347.0491199999997</v>
          </cell>
          <cell r="V135">
            <v>4066.2666666666664</v>
          </cell>
          <cell r="W135">
            <v>91356.258119999984</v>
          </cell>
          <cell r="Y135">
            <v>81438.333333333328</v>
          </cell>
          <cell r="AA135">
            <v>200</v>
          </cell>
          <cell r="AB135">
            <v>1800</v>
          </cell>
          <cell r="AE135">
            <v>2000</v>
          </cell>
          <cell r="AF135">
            <v>87405.924786666656</v>
          </cell>
        </row>
        <row r="136">
          <cell r="C136" t="str">
            <v>BITS-748</v>
          </cell>
          <cell r="E136" t="str">
            <v xml:space="preserve">BIKSHAPATHI ENDLA </v>
          </cell>
          <cell r="F136" t="str">
            <v>HYD STP</v>
          </cell>
          <cell r="G136">
            <v>116000</v>
          </cell>
          <cell r="H136">
            <v>104377</v>
          </cell>
          <cell r="I136">
            <v>30</v>
          </cell>
          <cell r="J136">
            <v>19</v>
          </cell>
          <cell r="L136">
            <v>19</v>
          </cell>
          <cell r="M136">
            <v>39663.26</v>
          </cell>
          <cell r="N136">
            <v>15865.304000000002</v>
          </cell>
          <cell r="O136">
            <v>1319</v>
          </cell>
          <cell r="P136">
            <v>1319</v>
          </cell>
          <cell r="Q136">
            <v>8051.8693333333285</v>
          </cell>
          <cell r="R136">
            <v>66218.433333333334</v>
          </cell>
          <cell r="S136">
            <v>1950</v>
          </cell>
          <cell r="T136">
            <v>1554.6089999999999</v>
          </cell>
          <cell r="U136">
            <v>1907.8028059999999</v>
          </cell>
          <cell r="V136">
            <v>3305.271666666667</v>
          </cell>
          <cell r="W136">
            <v>74936.116806000005</v>
          </cell>
          <cell r="Y136">
            <v>66218.433333333334</v>
          </cell>
          <cell r="AA136">
            <v>200</v>
          </cell>
          <cell r="AB136">
            <v>1800</v>
          </cell>
          <cell r="AE136">
            <v>2000</v>
          </cell>
          <cell r="AF136">
            <v>70985.683472666671</v>
          </cell>
        </row>
        <row r="137">
          <cell r="C137" t="str">
            <v>BITS-749</v>
          </cell>
          <cell r="E137" t="str">
            <v xml:space="preserve">LaxmiSoujanya Mudunuri </v>
          </cell>
          <cell r="F137" t="str">
            <v>BNG STP</v>
          </cell>
          <cell r="G137">
            <v>175000</v>
          </cell>
          <cell r="H137">
            <v>159065</v>
          </cell>
          <cell r="I137">
            <v>30</v>
          </cell>
          <cell r="J137">
            <v>11</v>
          </cell>
          <cell r="L137">
            <v>11</v>
          </cell>
          <cell r="M137">
            <v>34994.300000000003</v>
          </cell>
          <cell r="N137">
            <v>13997.720000000001</v>
          </cell>
          <cell r="O137">
            <v>764</v>
          </cell>
          <cell r="P137">
            <v>764</v>
          </cell>
          <cell r="Q137">
            <v>7916.8133333333317</v>
          </cell>
          <cell r="R137">
            <v>58436.833333333336</v>
          </cell>
          <cell r="S137">
            <v>1950</v>
          </cell>
          <cell r="T137">
            <v>1554.6089999999999</v>
          </cell>
          <cell r="U137">
            <v>1683.2258300000001</v>
          </cell>
          <cell r="V137">
            <v>2916.1916666666671</v>
          </cell>
          <cell r="W137">
            <v>66540.859830000001</v>
          </cell>
          <cell r="Y137">
            <v>58436.833333333336</v>
          </cell>
          <cell r="AA137">
            <v>200</v>
          </cell>
          <cell r="AB137">
            <v>1800</v>
          </cell>
          <cell r="AE137">
            <v>2000</v>
          </cell>
          <cell r="AF137">
            <v>62591.026496666665</v>
          </cell>
        </row>
        <row r="138">
          <cell r="C138" t="str">
            <v>BITS-750</v>
          </cell>
          <cell r="E138" t="str">
            <v xml:space="preserve">AbdulSaleem Sunkesula </v>
          </cell>
          <cell r="F138" t="str">
            <v>HYD SEZ</v>
          </cell>
          <cell r="G138">
            <v>85000</v>
          </cell>
          <cell r="H138">
            <v>75643</v>
          </cell>
          <cell r="I138">
            <v>30</v>
          </cell>
          <cell r="J138">
            <v>11</v>
          </cell>
          <cell r="L138">
            <v>11</v>
          </cell>
          <cell r="M138">
            <v>16641.46</v>
          </cell>
          <cell r="N138">
            <v>6656.5839999999998</v>
          </cell>
          <cell r="O138">
            <v>764</v>
          </cell>
          <cell r="P138">
            <v>764</v>
          </cell>
          <cell r="Q138">
            <v>3022.7226666666684</v>
          </cell>
          <cell r="R138">
            <v>27848.766666666666</v>
          </cell>
          <cell r="S138">
            <v>1950</v>
          </cell>
          <cell r="T138">
            <v>1554.6089999999999</v>
          </cell>
          <cell r="U138">
            <v>800.45422599999995</v>
          </cell>
          <cell r="V138">
            <v>1386.7883333333332</v>
          </cell>
          <cell r="W138">
            <v>33540.618226000006</v>
          </cell>
          <cell r="Y138">
            <v>27848.766666666666</v>
          </cell>
          <cell r="AA138">
            <v>200</v>
          </cell>
          <cell r="AB138">
            <v>1800</v>
          </cell>
          <cell r="AE138">
            <v>2000</v>
          </cell>
          <cell r="AF138">
            <v>29590.851559333336</v>
          </cell>
        </row>
        <row r="139">
          <cell r="C139" t="str">
            <v>BITS-751</v>
          </cell>
          <cell r="E139" t="str">
            <v>Varsha AmitKadam</v>
          </cell>
          <cell r="F139" t="str">
            <v>PUNE ASC SEZ</v>
          </cell>
          <cell r="G139">
            <v>62000</v>
          </cell>
          <cell r="H139">
            <v>54324</v>
          </cell>
          <cell r="I139">
            <v>30</v>
          </cell>
          <cell r="J139">
            <v>6</v>
          </cell>
          <cell r="L139">
            <v>6</v>
          </cell>
          <cell r="M139">
            <v>6518.88</v>
          </cell>
          <cell r="N139">
            <v>2607.5520000000001</v>
          </cell>
          <cell r="O139">
            <v>417</v>
          </cell>
          <cell r="P139">
            <v>417</v>
          </cell>
          <cell r="Q139">
            <v>1017.3679999999986</v>
          </cell>
          <cell r="R139">
            <v>10977.8</v>
          </cell>
          <cell r="S139">
            <v>847.45440000000008</v>
          </cell>
          <cell r="T139">
            <v>1554.6089999999999</v>
          </cell>
          <cell r="U139">
            <v>313.55812800000001</v>
          </cell>
          <cell r="V139">
            <v>543.24</v>
          </cell>
          <cell r="W139">
            <v>14236.661528000001</v>
          </cell>
          <cell r="Y139">
            <v>10977.8</v>
          </cell>
          <cell r="AA139">
            <v>0</v>
          </cell>
          <cell r="AB139">
            <v>782</v>
          </cell>
          <cell r="AE139">
            <v>782</v>
          </cell>
          <cell r="AF139">
            <v>12607.407128000001</v>
          </cell>
        </row>
        <row r="140">
          <cell r="C140" t="str">
            <v>BITS-752</v>
          </cell>
          <cell r="E140" t="str">
            <v xml:space="preserve">SADHAMHUSSAIN </v>
          </cell>
          <cell r="F140" t="str">
            <v>HYD SEZ</v>
          </cell>
          <cell r="G140">
            <v>150000</v>
          </cell>
          <cell r="H140">
            <v>135892</v>
          </cell>
          <cell r="I140">
            <v>30</v>
          </cell>
          <cell r="J140">
            <v>6</v>
          </cell>
          <cell r="L140">
            <v>6</v>
          </cell>
          <cell r="M140">
            <v>16307.04</v>
          </cell>
          <cell r="N140">
            <v>6522.8160000000007</v>
          </cell>
          <cell r="O140">
            <v>417</v>
          </cell>
          <cell r="P140">
            <v>417</v>
          </cell>
          <cell r="Q140">
            <v>3627.5440000000017</v>
          </cell>
          <cell r="R140">
            <v>27291.4</v>
          </cell>
          <cell r="S140">
            <v>1950</v>
          </cell>
          <cell r="T140">
            <v>1554.6089999999999</v>
          </cell>
          <cell r="U140">
            <v>784.36862399999995</v>
          </cell>
          <cell r="V140">
            <v>1358.92</v>
          </cell>
          <cell r="W140">
            <v>32939.297623999999</v>
          </cell>
          <cell r="Y140">
            <v>27291.4</v>
          </cell>
          <cell r="AA140">
            <v>200</v>
          </cell>
          <cell r="AB140">
            <v>1800</v>
          </cell>
          <cell r="AE140">
            <v>2000</v>
          </cell>
          <cell r="AF140">
            <v>28988.897623999997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 sheet-MARCH- 2022"/>
      <sheetName val="Emp Details "/>
      <sheetName val="kaja Venkat Ragavendra"/>
      <sheetName val="Venegella Kanaka durga"/>
      <sheetName val="Ayyappa Kopparapu "/>
      <sheetName val="Moeenahmed Shakilahmed Shaikh"/>
      <sheetName val="AKASH DEEP CHUNAP "/>
      <sheetName val="Jagdish Salian "/>
      <sheetName val="Parteek Arora"/>
      <sheetName val="Gaunda Mohammad Arief"/>
      <sheetName val="KRANTHI KUMAR VEDULLA"/>
      <sheetName val="Vipin U.N"/>
      <sheetName val="VeerendraBabu Galam"/>
      <sheetName val="SatishKumar Dhandu"/>
      <sheetName val="RAMBABU PYDI"/>
      <sheetName val="Sudhir Perka"/>
      <sheetName val="Haneef"/>
      <sheetName val="Ramesh Baira"/>
      <sheetName val="Nilesh Baviskar"/>
      <sheetName val="Ved Prakash"/>
      <sheetName val="GauravVispute"/>
      <sheetName val="Amith a"/>
      <sheetName val="RajasekharReddy KN"/>
      <sheetName val="Moulika GM"/>
      <sheetName val="AsokKumar J"/>
      <sheetName val="RUKNUDEEN S"/>
      <sheetName val="Rajesh Kongara"/>
      <sheetName val="Dhrubajyoti Goswami"/>
      <sheetName val="Yarramaddu Raveendra Reddy"/>
      <sheetName val="Ravindra bathoji"/>
      <sheetName val="Naresh Kandhula"/>
      <sheetName val="Reno Vijayan"/>
      <sheetName val="Majed Khan"/>
      <sheetName val="SathishKumar V"/>
      <sheetName val="Madan"/>
      <sheetName val="Kutagolla Mohazzer"/>
      <sheetName val="Sachin Ameshram"/>
      <sheetName val="Naresh Subbarajulu "/>
      <sheetName val="Srikanth Thota"/>
      <sheetName val="Shekhar Panchal"/>
      <sheetName val="Girish Bandi"/>
      <sheetName val="DESIR KOIPURATH"/>
      <sheetName val="Chitra Kulkarni"/>
      <sheetName val="Barathiyar A"/>
      <sheetName val="Kumaravel M"/>
      <sheetName val="CHANDRASEHARAN GERORGE"/>
      <sheetName val="Kannan Selvakumar"/>
      <sheetName val="VISHNUPRASATH T"/>
      <sheetName val="Nagaranjan S"/>
      <sheetName val="ELAMPARITHI SB"/>
      <sheetName val="KISHANPRASAD GANDHE"/>
      <sheetName val="Sunnapalli Anil"/>
      <sheetName val="Varsha Bollu"/>
      <sheetName val="Bhaskar Reddy Sudha"/>
      <sheetName val="BHARGAVI .R"/>
      <sheetName val="Shiva Krishna"/>
      <sheetName val="ARJUN PUNDLIK JOSHI"/>
      <sheetName val="Karthick G"/>
      <sheetName val="Somisetty VenkataKrishna"/>
      <sheetName val="CHEREDDY MURALI KRISHNA NAIDU"/>
      <sheetName val="Gangadhar Yarabham"/>
      <sheetName val="Himanshu Anand"/>
      <sheetName val="Kanchupati Kondaiah"/>
      <sheetName val="Santosh Patel"/>
      <sheetName val="Saleem Ahmed Natamkar"/>
      <sheetName val="Sambasivarao M"/>
      <sheetName val="Basweshwar Pawar"/>
      <sheetName val="K V Kannan"/>
      <sheetName val="Thanigaivel.J"/>
      <sheetName val="gopi reddy chirra"/>
      <sheetName val="Anil kumar Redd kusam"/>
      <sheetName val="Vijay Kumar Sundara"/>
      <sheetName val="Swati Bhattacharya"/>
      <sheetName val="Paparao"/>
      <sheetName val="Bhaskar Idagottu"/>
      <sheetName val="Snehal Shirsat"/>
      <sheetName val="Shaikh Mohammed Sartaj"/>
      <sheetName val="Dinesh Kumar Maran"/>
      <sheetName val="Ranjith Kumar Karanam"/>
      <sheetName val="Shashanki Mishra"/>
      <sheetName val="Anjali Dubey"/>
      <sheetName val="Manzoor Ahamed"/>
      <sheetName val="Moin Ahemad jahur"/>
      <sheetName val="Hemanth Mishra"/>
      <sheetName val="Sandeep Kumar Gupta"/>
      <sheetName val="FAZALAHMED IRKAL"/>
      <sheetName val="Savana Saritha Dora"/>
      <sheetName val="SUKRUTH YELLAMBOTLA"/>
      <sheetName val="Mandar Shetty"/>
      <sheetName val="Ramakrishna J Reddy"/>
      <sheetName val="Vivek Dongre "/>
      <sheetName val="Praveen Kumar Beesabat"/>
      <sheetName val="Amit Chawadi"/>
      <sheetName val="Nikhila Kaveri "/>
      <sheetName val="Ashwini Nanaware"/>
      <sheetName val="Kaushal Sushil Sharma"/>
      <sheetName val="Praveen Kumar Tandra"/>
      <sheetName val="Arvind Akhare"/>
      <sheetName val="Pallavi Rishikesh Naik"/>
      <sheetName val="Ajay Singh"/>
      <sheetName val="TUSHAR UCHAGAONKAR"/>
      <sheetName val="PRAVEEN M"/>
      <sheetName val="Amit Kumar"/>
      <sheetName val="Pranav Thakare"/>
      <sheetName val="Nagarjun KV"/>
      <sheetName val="Thaposh Ghosh"/>
      <sheetName val="Boopathi Palani "/>
      <sheetName val="Sneha Hande"/>
      <sheetName val="JNANESWARARAO G"/>
      <sheetName val="Asita Kumar Sahoo"/>
      <sheetName val="Nagashree Narayan"/>
      <sheetName val="Amarnath Reddy"/>
      <sheetName val=" Rajesh Dhumal"/>
      <sheetName val="Amol Gole "/>
      <sheetName val="Srinivasa Rao yellaneni"/>
      <sheetName val="Sandeep Dixit"/>
      <sheetName val="Shridhar Madlur"/>
      <sheetName val="Samarjit Saha"/>
      <sheetName val="Arun kh"/>
      <sheetName val="Ajay Pal Singh"/>
      <sheetName val="Narasimha rao Gurazala"/>
      <sheetName val="Arun Arra"/>
      <sheetName val="Ramya Nalla"/>
      <sheetName val="SYED  MOHAMMED AZHER"/>
      <sheetName val="Uma  Mahesh P"/>
      <sheetName val="GONTHINI  SAIBABU"/>
      <sheetName val="Pavan  Nagendra Tatina"/>
      <sheetName val="Mohd  Azhar Shareef"/>
      <sheetName val="NAGA SAI TEJA NUTHI"/>
      <sheetName val="Mani Krishna Nandineedi"/>
      <sheetName val="Sushma P"/>
      <sheetName val="PAVANKUMAR"/>
      <sheetName val="Jaikesh Upadhyay  "/>
      <sheetName val="Mahanth Devasani"/>
      <sheetName val="ROOPINI CHIYYARAPU"/>
      <sheetName val="Jyoti Singh"/>
      <sheetName val="Rohit Kamble"/>
      <sheetName val="Inturi Ramakrishna"/>
      <sheetName val="D.Santhoshi"/>
      <sheetName val="Bharath"/>
      <sheetName val="NEERUDU SAI KUMAR"/>
      <sheetName val="Ramineni Abhilash"/>
      <sheetName val="Sheet29"/>
    </sheetNames>
    <sheetDataSet>
      <sheetData sheetId="0" refreshError="1">
        <row r="4">
          <cell r="C4" t="str">
            <v>BITS-432</v>
          </cell>
          <cell r="D4">
            <v>275531</v>
          </cell>
          <cell r="E4" t="str">
            <v>kaja Venkat Ragavendra</v>
          </cell>
          <cell r="F4" t="str">
            <v>HYD SEZ</v>
          </cell>
          <cell r="G4">
            <v>95000</v>
          </cell>
          <cell r="H4">
            <v>84913</v>
          </cell>
          <cell r="I4">
            <v>31</v>
          </cell>
          <cell r="J4">
            <v>31</v>
          </cell>
          <cell r="K4">
            <v>0</v>
          </cell>
          <cell r="L4">
            <v>31</v>
          </cell>
          <cell r="M4">
            <v>50947.8</v>
          </cell>
          <cell r="N4">
            <v>20379.120000000003</v>
          </cell>
          <cell r="O4">
            <v>2083</v>
          </cell>
          <cell r="P4">
            <v>2083</v>
          </cell>
          <cell r="Q4">
            <v>9420.0799999999872</v>
          </cell>
          <cell r="R4">
            <v>84913</v>
          </cell>
          <cell r="S4">
            <v>1950</v>
          </cell>
          <cell r="T4">
            <v>1441.6089999999999</v>
          </cell>
          <cell r="U4">
            <v>2450.5891799999999</v>
          </cell>
          <cell r="V4">
            <v>4245.6500000000005</v>
          </cell>
          <cell r="W4">
            <v>95001.848179999986</v>
          </cell>
          <cell r="Y4">
            <v>84913</v>
          </cell>
          <cell r="Z4">
            <v>4306</v>
          </cell>
          <cell r="AA4">
            <v>200</v>
          </cell>
          <cell r="AB4">
            <v>1800</v>
          </cell>
          <cell r="AC4">
            <v>391.787848</v>
          </cell>
          <cell r="AD4">
            <v>0</v>
          </cell>
          <cell r="AE4">
            <v>6697.7878479999999</v>
          </cell>
          <cell r="AF4">
            <v>86352.848179999986</v>
          </cell>
        </row>
        <row r="5">
          <cell r="C5" t="str">
            <v>BITS-461</v>
          </cell>
          <cell r="D5">
            <v>261521</v>
          </cell>
          <cell r="E5" t="str">
            <v>Venegella Kanaka durga</v>
          </cell>
          <cell r="F5" t="str">
            <v>PUNE SEZ 1</v>
          </cell>
          <cell r="G5">
            <v>85000</v>
          </cell>
          <cell r="H5">
            <v>75643</v>
          </cell>
          <cell r="I5">
            <v>31</v>
          </cell>
          <cell r="J5">
            <v>31</v>
          </cell>
          <cell r="K5">
            <v>0</v>
          </cell>
          <cell r="L5">
            <v>31</v>
          </cell>
          <cell r="M5">
            <v>45385.8</v>
          </cell>
          <cell r="N5">
            <v>18154.320000000003</v>
          </cell>
          <cell r="O5">
            <v>2083</v>
          </cell>
          <cell r="P5">
            <v>2083</v>
          </cell>
          <cell r="Q5">
            <v>7936.8799999999901</v>
          </cell>
          <cell r="R5">
            <v>75643</v>
          </cell>
          <cell r="S5">
            <v>1950</v>
          </cell>
          <cell r="T5">
            <v>1441.6089999999999</v>
          </cell>
          <cell r="U5">
            <v>2183.0569799999998</v>
          </cell>
          <cell r="V5">
            <v>3782.15</v>
          </cell>
          <cell r="W5">
            <v>84999.815979999985</v>
          </cell>
          <cell r="Y5">
            <v>75643</v>
          </cell>
          <cell r="Z5">
            <v>7268</v>
          </cell>
          <cell r="AA5">
            <v>200</v>
          </cell>
          <cell r="AB5">
            <v>1800</v>
          </cell>
          <cell r="AC5">
            <v>391.787848</v>
          </cell>
          <cell r="AD5">
            <v>0</v>
          </cell>
          <cell r="AE5">
            <v>9659.7878479999999</v>
          </cell>
          <cell r="AF5">
            <v>73389.815979999985</v>
          </cell>
        </row>
        <row r="6">
          <cell r="C6" t="str">
            <v>BITS-469</v>
          </cell>
          <cell r="D6">
            <v>2100155</v>
          </cell>
          <cell r="E6" t="str">
            <v>Moeenahmed Shakilahmed Shaikh</v>
          </cell>
          <cell r="F6" t="str">
            <v>PUNE SEZ 1</v>
          </cell>
          <cell r="G6">
            <v>165000</v>
          </cell>
          <cell r="H6">
            <v>149795</v>
          </cell>
          <cell r="I6">
            <v>31</v>
          </cell>
          <cell r="J6">
            <v>30</v>
          </cell>
          <cell r="K6">
            <v>1</v>
          </cell>
          <cell r="L6">
            <v>31</v>
          </cell>
          <cell r="M6">
            <v>89877</v>
          </cell>
          <cell r="N6">
            <v>35950.800000000003</v>
          </cell>
          <cell r="O6">
            <v>2083</v>
          </cell>
          <cell r="P6">
            <v>2083</v>
          </cell>
          <cell r="Q6">
            <v>19801.199999999997</v>
          </cell>
          <cell r="R6">
            <v>149795</v>
          </cell>
          <cell r="S6">
            <v>1950</v>
          </cell>
          <cell r="T6">
            <v>1441.6089999999999</v>
          </cell>
          <cell r="U6">
            <v>4323.0836999999992</v>
          </cell>
          <cell r="V6">
            <v>7489.75</v>
          </cell>
          <cell r="W6">
            <v>164999.44269999996</v>
          </cell>
          <cell r="Y6">
            <v>149795</v>
          </cell>
          <cell r="Z6">
            <v>39000</v>
          </cell>
          <cell r="AA6">
            <v>200</v>
          </cell>
          <cell r="AB6">
            <v>6000</v>
          </cell>
          <cell r="AC6">
            <v>440.76132899999999</v>
          </cell>
          <cell r="AD6">
            <v>0</v>
          </cell>
          <cell r="AE6">
            <v>45640.761329000001</v>
          </cell>
          <cell r="AF6">
            <v>117408.4427</v>
          </cell>
        </row>
        <row r="7">
          <cell r="C7" t="str">
            <v>BITS-485</v>
          </cell>
          <cell r="D7">
            <v>2101796</v>
          </cell>
          <cell r="E7" t="str">
            <v xml:space="preserve">AKASH DEEP CHUNAP </v>
          </cell>
          <cell r="F7" t="str">
            <v>BNG STP</v>
          </cell>
          <cell r="G7">
            <v>150000</v>
          </cell>
          <cell r="H7">
            <v>135892</v>
          </cell>
          <cell r="I7">
            <v>31</v>
          </cell>
          <cell r="J7">
            <v>31</v>
          </cell>
          <cell r="K7">
            <v>0</v>
          </cell>
          <cell r="L7">
            <v>31</v>
          </cell>
          <cell r="M7">
            <v>81535.199999999997</v>
          </cell>
          <cell r="N7">
            <v>32614.080000000002</v>
          </cell>
          <cell r="O7">
            <v>2083</v>
          </cell>
          <cell r="P7">
            <v>2083</v>
          </cell>
          <cell r="Q7">
            <v>17576.72</v>
          </cell>
          <cell r="R7">
            <v>135892</v>
          </cell>
          <cell r="S7">
            <v>1950</v>
          </cell>
          <cell r="T7">
            <v>1441.6089999999999</v>
          </cell>
          <cell r="U7">
            <v>3921.8431199999995</v>
          </cell>
          <cell r="V7">
            <v>6794.5999999999995</v>
          </cell>
          <cell r="W7">
            <v>150000.05212000001</v>
          </cell>
          <cell r="X7">
            <v>0</v>
          </cell>
          <cell r="Y7">
            <v>135892</v>
          </cell>
          <cell r="Z7">
            <v>40018</v>
          </cell>
          <cell r="AA7">
            <v>200</v>
          </cell>
          <cell r="AB7">
            <v>1800</v>
          </cell>
          <cell r="AC7">
            <v>0</v>
          </cell>
          <cell r="AD7">
            <v>0</v>
          </cell>
          <cell r="AE7">
            <v>42018</v>
          </cell>
          <cell r="AF7">
            <v>106032.05212000001</v>
          </cell>
        </row>
        <row r="8">
          <cell r="C8" t="str">
            <v>BITS-496</v>
          </cell>
          <cell r="D8">
            <v>2102378</v>
          </cell>
          <cell r="E8" t="str">
            <v>Jagdish Salian 11-3-2022</v>
          </cell>
          <cell r="F8" t="str">
            <v>PUNE SEZ 1</v>
          </cell>
          <cell r="G8">
            <v>170000</v>
          </cell>
          <cell r="H8">
            <v>154430</v>
          </cell>
          <cell r="I8">
            <v>31</v>
          </cell>
          <cell r="J8">
            <v>11</v>
          </cell>
          <cell r="K8">
            <v>0</v>
          </cell>
          <cell r="L8">
            <v>11</v>
          </cell>
          <cell r="M8">
            <v>32878.645161290326</v>
          </cell>
          <cell r="N8">
            <v>13151.458064516131</v>
          </cell>
          <cell r="O8">
            <v>739</v>
          </cell>
          <cell r="P8">
            <v>739</v>
          </cell>
          <cell r="Q8">
            <v>7289.6387096774124</v>
          </cell>
          <cell r="R8">
            <v>54797.741935483871</v>
          </cell>
          <cell r="S8">
            <v>1950</v>
          </cell>
          <cell r="T8">
            <v>1441.6089999999999</v>
          </cell>
          <cell r="U8">
            <v>1581.4628322580645</v>
          </cell>
          <cell r="V8">
            <v>2739.8870967741937</v>
          </cell>
          <cell r="W8">
            <v>62510.700864516126</v>
          </cell>
          <cell r="X8">
            <v>0</v>
          </cell>
          <cell r="Y8">
            <v>54797.741935483871</v>
          </cell>
          <cell r="Z8">
            <v>10000</v>
          </cell>
          <cell r="AA8">
            <v>200</v>
          </cell>
          <cell r="AB8">
            <v>1800</v>
          </cell>
          <cell r="AC8">
            <v>798.9207200466667</v>
          </cell>
          <cell r="AD8">
            <v>0</v>
          </cell>
          <cell r="AE8">
            <v>12798.920720046666</v>
          </cell>
          <cell r="AF8">
            <v>47761.958929032255</v>
          </cell>
        </row>
        <row r="9">
          <cell r="C9" t="str">
            <v>BITS-500</v>
          </cell>
          <cell r="D9">
            <v>2103494</v>
          </cell>
          <cell r="E9" t="str">
            <v>Gaunda Mohammad Arief</v>
          </cell>
          <cell r="F9" t="str">
            <v>Gurgaon STP</v>
          </cell>
          <cell r="G9">
            <v>90000</v>
          </cell>
          <cell r="H9">
            <v>80278</v>
          </cell>
          <cell r="I9">
            <v>31</v>
          </cell>
          <cell r="J9">
            <v>30</v>
          </cell>
          <cell r="K9">
            <v>1</v>
          </cell>
          <cell r="L9">
            <v>31</v>
          </cell>
          <cell r="M9">
            <v>48166.8</v>
          </cell>
          <cell r="N9">
            <v>19266.72</v>
          </cell>
          <cell r="O9">
            <v>2083</v>
          </cell>
          <cell r="P9">
            <v>2083</v>
          </cell>
          <cell r="Q9">
            <v>8678.4799999999959</v>
          </cell>
          <cell r="R9">
            <v>80278</v>
          </cell>
          <cell r="S9">
            <v>1950</v>
          </cell>
          <cell r="T9">
            <v>1441.6089999999999</v>
          </cell>
          <cell r="U9">
            <v>2316.8230800000001</v>
          </cell>
          <cell r="V9">
            <v>4013.9</v>
          </cell>
          <cell r="W9">
            <v>90000.332079999993</v>
          </cell>
          <cell r="X9">
            <v>0</v>
          </cell>
          <cell r="Y9">
            <v>80278</v>
          </cell>
          <cell r="Z9">
            <v>7988</v>
          </cell>
          <cell r="AA9">
            <v>200</v>
          </cell>
          <cell r="AB9">
            <v>1800</v>
          </cell>
          <cell r="AC9">
            <v>440.76132899999999</v>
          </cell>
          <cell r="AD9">
            <v>0</v>
          </cell>
          <cell r="AE9">
            <v>10428.761329000001</v>
          </cell>
          <cell r="AF9">
            <v>77621.332079999993</v>
          </cell>
        </row>
        <row r="10">
          <cell r="C10" t="str">
            <v>BITS-501</v>
          </cell>
          <cell r="D10">
            <v>2104022</v>
          </cell>
          <cell r="E10" t="str">
            <v>KRANTHI KUMAR VEDULLA</v>
          </cell>
          <cell r="F10" t="str">
            <v>Bhubaneshwar STP</v>
          </cell>
          <cell r="G10">
            <v>95000</v>
          </cell>
          <cell r="H10">
            <v>84912</v>
          </cell>
          <cell r="I10">
            <v>31</v>
          </cell>
          <cell r="J10">
            <v>31</v>
          </cell>
          <cell r="K10">
            <v>0</v>
          </cell>
          <cell r="L10">
            <v>31</v>
          </cell>
          <cell r="M10">
            <v>50947.199999999997</v>
          </cell>
          <cell r="N10">
            <v>20378.88</v>
          </cell>
          <cell r="O10">
            <v>2083</v>
          </cell>
          <cell r="P10">
            <v>2083</v>
          </cell>
          <cell r="Q10">
            <v>9419.9199999999983</v>
          </cell>
          <cell r="R10">
            <v>84912</v>
          </cell>
          <cell r="S10">
            <v>1950</v>
          </cell>
          <cell r="T10">
            <v>1441.6089999999999</v>
          </cell>
          <cell r="U10">
            <v>2450.5603199999996</v>
          </cell>
          <cell r="V10">
            <v>4245.5999999999995</v>
          </cell>
          <cell r="W10">
            <v>94999.769320000007</v>
          </cell>
          <cell r="X10">
            <v>0</v>
          </cell>
          <cell r="Y10">
            <v>84912</v>
          </cell>
          <cell r="Z10">
            <v>7616</v>
          </cell>
          <cell r="AA10">
            <v>200</v>
          </cell>
          <cell r="AB10">
            <v>1800</v>
          </cell>
          <cell r="AC10">
            <v>391.787848</v>
          </cell>
          <cell r="AD10">
            <v>0</v>
          </cell>
          <cell r="AE10">
            <v>10007.787848</v>
          </cell>
          <cell r="AF10">
            <v>83041.769320000007</v>
          </cell>
        </row>
        <row r="11">
          <cell r="C11" t="str">
            <v>BITS-507</v>
          </cell>
          <cell r="D11">
            <v>2104015</v>
          </cell>
          <cell r="E11" t="str">
            <v>Vipin U.N</v>
          </cell>
          <cell r="F11" t="str">
            <v>Bhubaneshwar STP</v>
          </cell>
          <cell r="G11" t="str">
            <v xml:space="preserve"> 1,17,000</v>
          </cell>
          <cell r="H11">
            <v>105304</v>
          </cell>
          <cell r="I11">
            <v>31</v>
          </cell>
          <cell r="J11">
            <v>30</v>
          </cell>
          <cell r="K11">
            <v>1</v>
          </cell>
          <cell r="L11">
            <v>31</v>
          </cell>
          <cell r="M11">
            <v>63182.400000000001</v>
          </cell>
          <cell r="N11">
            <v>25272.960000000003</v>
          </cell>
          <cell r="O11">
            <v>2083</v>
          </cell>
          <cell r="P11">
            <v>2083</v>
          </cell>
          <cell r="Q11">
            <v>12682.64</v>
          </cell>
          <cell r="R11">
            <v>105304</v>
          </cell>
          <cell r="S11">
            <v>1950</v>
          </cell>
          <cell r="T11">
            <v>1441.6089999999999</v>
          </cell>
          <cell r="U11">
            <v>3039.0734399999997</v>
          </cell>
          <cell r="V11">
            <v>5265.2</v>
          </cell>
          <cell r="W11">
            <v>116999.88243999999</v>
          </cell>
          <cell r="X11">
            <v>0</v>
          </cell>
          <cell r="Y11">
            <v>105304</v>
          </cell>
          <cell r="Z11">
            <v>17847</v>
          </cell>
          <cell r="AA11">
            <v>200</v>
          </cell>
          <cell r="AB11">
            <v>1800</v>
          </cell>
          <cell r="AC11">
            <v>391.787848</v>
          </cell>
          <cell r="AD11">
            <v>0</v>
          </cell>
          <cell r="AE11">
            <v>20238.787848</v>
          </cell>
          <cell r="AF11">
            <v>94810.882439999987</v>
          </cell>
        </row>
        <row r="12">
          <cell r="C12" t="str">
            <v>BITS-528</v>
          </cell>
          <cell r="D12">
            <v>2107380</v>
          </cell>
          <cell r="E12" t="str">
            <v>VeerendraBabu Galam</v>
          </cell>
          <cell r="F12" t="str">
            <v>HYD SEZ</v>
          </cell>
          <cell r="G12">
            <v>75000</v>
          </cell>
          <cell r="H12">
            <v>66374</v>
          </cell>
          <cell r="I12">
            <v>31</v>
          </cell>
          <cell r="J12">
            <v>29</v>
          </cell>
          <cell r="K12">
            <v>2</v>
          </cell>
          <cell r="L12">
            <v>30</v>
          </cell>
          <cell r="M12">
            <v>38539.741935483871</v>
          </cell>
          <cell r="N12">
            <v>15415.896774193548</v>
          </cell>
          <cell r="O12">
            <v>2016</v>
          </cell>
          <cell r="P12">
            <v>2016</v>
          </cell>
          <cell r="Q12">
            <v>6245.2645161290347</v>
          </cell>
          <cell r="R12">
            <v>64232.903225806454</v>
          </cell>
          <cell r="S12">
            <v>1950</v>
          </cell>
          <cell r="T12">
            <v>1441.6089999999999</v>
          </cell>
          <cell r="U12">
            <v>1853.7615870967741</v>
          </cell>
          <cell r="V12">
            <v>3211.6451612903224</v>
          </cell>
          <cell r="W12">
            <v>72689.918974193541</v>
          </cell>
          <cell r="X12">
            <v>0</v>
          </cell>
          <cell r="Y12">
            <v>64232.903225806454</v>
          </cell>
          <cell r="Z12">
            <v>0</v>
          </cell>
          <cell r="AA12">
            <v>200</v>
          </cell>
          <cell r="AB12">
            <v>1800</v>
          </cell>
          <cell r="AC12">
            <v>391.787848</v>
          </cell>
          <cell r="AD12">
            <v>0</v>
          </cell>
          <cell r="AE12">
            <v>2391.7878479999999</v>
          </cell>
          <cell r="AF12">
            <v>68348.015748387086</v>
          </cell>
        </row>
        <row r="13">
          <cell r="C13" t="str">
            <v>BITS-542</v>
          </cell>
          <cell r="D13">
            <v>2108578</v>
          </cell>
          <cell r="E13" t="str">
            <v>Haneef</v>
          </cell>
          <cell r="F13" t="str">
            <v>PUNE ASC SEZ</v>
          </cell>
          <cell r="G13">
            <v>70000</v>
          </cell>
          <cell r="H13">
            <v>61740</v>
          </cell>
          <cell r="I13">
            <v>31</v>
          </cell>
          <cell r="J13">
            <v>15</v>
          </cell>
          <cell r="K13">
            <v>16</v>
          </cell>
          <cell r="L13">
            <v>16</v>
          </cell>
          <cell r="M13">
            <v>19119.483870967742</v>
          </cell>
          <cell r="N13">
            <v>7647.793548387097</v>
          </cell>
          <cell r="O13">
            <v>1075</v>
          </cell>
          <cell r="P13">
            <v>1075</v>
          </cell>
          <cell r="Q13">
            <v>2948.5290322580622</v>
          </cell>
          <cell r="R13">
            <v>31865.806451612902</v>
          </cell>
          <cell r="S13">
            <v>1950</v>
          </cell>
          <cell r="T13">
            <v>1441.6089999999999</v>
          </cell>
          <cell r="U13">
            <v>919.64717419354827</v>
          </cell>
          <cell r="V13">
            <v>1593.2903225806451</v>
          </cell>
          <cell r="W13">
            <v>37770.352948387095</v>
          </cell>
          <cell r="X13">
            <v>0</v>
          </cell>
          <cell r="Y13">
            <v>31865.806451612902</v>
          </cell>
          <cell r="Z13">
            <v>1837</v>
          </cell>
          <cell r="AA13">
            <v>200</v>
          </cell>
          <cell r="AB13">
            <v>1800</v>
          </cell>
          <cell r="AC13">
            <v>391.787848</v>
          </cell>
          <cell r="AD13">
            <v>0</v>
          </cell>
          <cell r="AE13">
            <v>4228.7878479999999</v>
          </cell>
          <cell r="AF13">
            <v>31591.546496774194</v>
          </cell>
        </row>
        <row r="14">
          <cell r="C14" t="str">
            <v>BITS-556</v>
          </cell>
          <cell r="D14">
            <v>0</v>
          </cell>
          <cell r="E14" t="str">
            <v>Nilesh Baviskar 16-3-2022</v>
          </cell>
          <cell r="F14" t="str">
            <v>PUNE ASC SEZ</v>
          </cell>
          <cell r="G14">
            <v>77000</v>
          </cell>
          <cell r="H14">
            <v>68228</v>
          </cell>
          <cell r="I14">
            <v>31</v>
          </cell>
          <cell r="J14">
            <v>16</v>
          </cell>
          <cell r="K14">
            <v>0</v>
          </cell>
          <cell r="L14">
            <v>16</v>
          </cell>
          <cell r="M14">
            <v>21128.670967741935</v>
          </cell>
          <cell r="N14">
            <v>8451.4683870967747</v>
          </cell>
          <cell r="O14">
            <v>1075</v>
          </cell>
          <cell r="P14">
            <v>1075</v>
          </cell>
          <cell r="Q14">
            <v>3484.3122580645177</v>
          </cell>
          <cell r="R14">
            <v>35214.451612903227</v>
          </cell>
          <cell r="S14">
            <v>1950</v>
          </cell>
          <cell r="T14">
            <v>1441.6089999999999</v>
          </cell>
          <cell r="U14">
            <v>1016.2890735483869</v>
          </cell>
          <cell r="V14">
            <v>1760.7225806451613</v>
          </cell>
          <cell r="W14">
            <v>41383.072267096781</v>
          </cell>
          <cell r="X14">
            <v>0</v>
          </cell>
          <cell r="Y14">
            <v>35214.451612903227</v>
          </cell>
          <cell r="Z14">
            <v>3232</v>
          </cell>
          <cell r="AA14">
            <v>200</v>
          </cell>
          <cell r="AB14">
            <v>1800</v>
          </cell>
          <cell r="AC14">
            <v>391.787848</v>
          </cell>
          <cell r="AD14">
            <v>0</v>
          </cell>
          <cell r="AE14">
            <v>5623.7878479999999</v>
          </cell>
          <cell r="AF14">
            <v>33809.620654193546</v>
          </cell>
        </row>
        <row r="15">
          <cell r="C15" t="str">
            <v>BITS-557</v>
          </cell>
          <cell r="D15">
            <v>2109800</v>
          </cell>
          <cell r="E15" t="str">
            <v>Ved Prakash</v>
          </cell>
          <cell r="F15" t="str">
            <v>PUNE ASC SEZ</v>
          </cell>
          <cell r="G15">
            <v>80000</v>
          </cell>
          <cell r="H15">
            <v>71009</v>
          </cell>
          <cell r="I15">
            <v>31</v>
          </cell>
          <cell r="J15">
            <v>30</v>
          </cell>
          <cell r="K15">
            <v>1</v>
          </cell>
          <cell r="L15">
            <v>31</v>
          </cell>
          <cell r="M15">
            <v>42605.4</v>
          </cell>
          <cell r="N15">
            <v>17042.16</v>
          </cell>
          <cell r="O15">
            <v>2083</v>
          </cell>
          <cell r="P15">
            <v>2083</v>
          </cell>
          <cell r="Q15">
            <v>7195.4400000000023</v>
          </cell>
          <cell r="R15">
            <v>71009</v>
          </cell>
          <cell r="S15">
            <v>1950</v>
          </cell>
          <cell r="T15">
            <v>1441.6089999999999</v>
          </cell>
          <cell r="U15">
            <v>2049.3197399999999</v>
          </cell>
          <cell r="V15">
            <v>3550.4500000000003</v>
          </cell>
          <cell r="W15">
            <v>80000.37874</v>
          </cell>
          <cell r="X15">
            <v>0</v>
          </cell>
          <cell r="Y15">
            <v>71009</v>
          </cell>
          <cell r="Z15">
            <v>3744</v>
          </cell>
          <cell r="AA15">
            <v>200</v>
          </cell>
          <cell r="AB15">
            <v>1800</v>
          </cell>
          <cell r="AC15">
            <v>440.76132899999999</v>
          </cell>
          <cell r="AD15">
            <v>0</v>
          </cell>
          <cell r="AE15">
            <v>6184.7613289999999</v>
          </cell>
          <cell r="AF15">
            <v>71865.37874</v>
          </cell>
        </row>
        <row r="16">
          <cell r="C16" t="str">
            <v>BITS-559</v>
          </cell>
          <cell r="D16">
            <v>2110592</v>
          </cell>
          <cell r="E16" t="str">
            <v>GauravVispute</v>
          </cell>
          <cell r="F16" t="str">
            <v>PUNE ASC SEZ</v>
          </cell>
          <cell r="G16">
            <v>50000</v>
          </cell>
          <cell r="H16">
            <v>43202</v>
          </cell>
          <cell r="I16">
            <v>31</v>
          </cell>
          <cell r="J16">
            <v>31</v>
          </cell>
          <cell r="K16">
            <v>0</v>
          </cell>
          <cell r="L16">
            <v>31</v>
          </cell>
          <cell r="M16">
            <v>25921.200000000001</v>
          </cell>
          <cell r="N16">
            <v>10368.480000000001</v>
          </cell>
          <cell r="O16">
            <v>2083</v>
          </cell>
          <cell r="P16">
            <v>2083</v>
          </cell>
          <cell r="Q16">
            <v>2746.3199999999997</v>
          </cell>
          <cell r="R16">
            <v>43202</v>
          </cell>
          <cell r="S16">
            <v>1950</v>
          </cell>
          <cell r="T16">
            <v>1441.6089999999999</v>
          </cell>
          <cell r="U16">
            <v>1246.80972</v>
          </cell>
          <cell r="V16">
            <v>2160.1</v>
          </cell>
          <cell r="W16">
            <v>50000.518719999993</v>
          </cell>
          <cell r="X16">
            <v>0</v>
          </cell>
          <cell r="Y16">
            <v>43202</v>
          </cell>
          <cell r="Z16">
            <v>0</v>
          </cell>
          <cell r="AA16">
            <v>200</v>
          </cell>
          <cell r="AB16">
            <v>1800</v>
          </cell>
          <cell r="AC16">
            <v>391.787848</v>
          </cell>
          <cell r="AD16">
            <v>0</v>
          </cell>
          <cell r="AE16">
            <v>2391.7878479999999</v>
          </cell>
          <cell r="AF16">
            <v>45658.518719999993</v>
          </cell>
        </row>
        <row r="17">
          <cell r="C17" t="str">
            <v>BITS-564</v>
          </cell>
          <cell r="D17">
            <v>2110635</v>
          </cell>
          <cell r="E17" t="str">
            <v>Amith a</v>
          </cell>
          <cell r="F17" t="str">
            <v>PUNE STP</v>
          </cell>
          <cell r="G17">
            <v>65000</v>
          </cell>
          <cell r="H17">
            <v>57105</v>
          </cell>
          <cell r="I17">
            <v>31</v>
          </cell>
          <cell r="J17">
            <v>30</v>
          </cell>
          <cell r="K17">
            <v>1</v>
          </cell>
          <cell r="L17">
            <v>31</v>
          </cell>
          <cell r="M17">
            <v>34263</v>
          </cell>
          <cell r="N17">
            <v>13705.2</v>
          </cell>
          <cell r="O17">
            <v>2083</v>
          </cell>
          <cell r="P17">
            <v>2083</v>
          </cell>
          <cell r="Q17">
            <v>4970.8000000000029</v>
          </cell>
          <cell r="R17">
            <v>57105</v>
          </cell>
          <cell r="S17">
            <v>1950</v>
          </cell>
          <cell r="T17">
            <v>1441.6089999999999</v>
          </cell>
          <cell r="U17">
            <v>1648.0502999999999</v>
          </cell>
          <cell r="V17">
            <v>2855.25</v>
          </cell>
          <cell r="W17">
            <v>64999.909299999999</v>
          </cell>
          <cell r="X17">
            <v>0</v>
          </cell>
          <cell r="Y17">
            <v>57105</v>
          </cell>
          <cell r="Z17">
            <v>0</v>
          </cell>
          <cell r="AA17">
            <v>200</v>
          </cell>
          <cell r="AB17">
            <v>1800</v>
          </cell>
          <cell r="AC17">
            <v>440.76132899999999</v>
          </cell>
          <cell r="AD17">
            <v>0</v>
          </cell>
          <cell r="AE17">
            <v>2440.7613289999999</v>
          </cell>
          <cell r="AF17">
            <v>60608.909299999999</v>
          </cell>
        </row>
        <row r="18">
          <cell r="C18" t="str">
            <v>BITS-565</v>
          </cell>
          <cell r="D18">
            <v>2110700</v>
          </cell>
          <cell r="E18" t="str">
            <v>RajasekharReddy KN</v>
          </cell>
          <cell r="F18" t="str">
            <v>BNG STP</v>
          </cell>
          <cell r="G18">
            <v>75000</v>
          </cell>
          <cell r="H18">
            <v>66374</v>
          </cell>
          <cell r="I18">
            <v>31</v>
          </cell>
          <cell r="J18">
            <v>29</v>
          </cell>
          <cell r="K18">
            <v>2</v>
          </cell>
          <cell r="L18">
            <v>30</v>
          </cell>
          <cell r="M18">
            <v>38539.741935483871</v>
          </cell>
          <cell r="N18">
            <v>15415.896774193548</v>
          </cell>
          <cell r="O18">
            <v>2016</v>
          </cell>
          <cell r="P18">
            <v>2016</v>
          </cell>
          <cell r="Q18">
            <v>6245.2645161290347</v>
          </cell>
          <cell r="R18">
            <v>64232.903225806454</v>
          </cell>
          <cell r="S18">
            <v>1950</v>
          </cell>
          <cell r="T18">
            <v>1441.6089999999999</v>
          </cell>
          <cell r="U18">
            <v>1853.7615870967741</v>
          </cell>
          <cell r="V18">
            <v>3211.6451612903224</v>
          </cell>
          <cell r="W18">
            <v>72689.918974193541</v>
          </cell>
          <cell r="X18">
            <v>0</v>
          </cell>
          <cell r="Y18">
            <v>64232.903225806454</v>
          </cell>
          <cell r="Z18">
            <v>2682</v>
          </cell>
          <cell r="AA18">
            <v>200</v>
          </cell>
          <cell r="AB18">
            <v>1800</v>
          </cell>
          <cell r="AC18">
            <v>391.787848</v>
          </cell>
          <cell r="AD18">
            <v>0</v>
          </cell>
          <cell r="AE18">
            <v>5073.7878479999999</v>
          </cell>
          <cell r="AF18">
            <v>65666.015748387086</v>
          </cell>
        </row>
        <row r="19">
          <cell r="C19" t="str">
            <v>BITS-566</v>
          </cell>
          <cell r="D19">
            <v>2110684</v>
          </cell>
          <cell r="E19" t="str">
            <v>Moulika GM</v>
          </cell>
          <cell r="F19" t="str">
            <v>BNG STP</v>
          </cell>
          <cell r="G19">
            <v>25000</v>
          </cell>
          <cell r="H19">
            <v>20029</v>
          </cell>
          <cell r="I19">
            <v>31</v>
          </cell>
          <cell r="J19">
            <v>31</v>
          </cell>
          <cell r="K19">
            <v>0</v>
          </cell>
          <cell r="L19">
            <v>31</v>
          </cell>
          <cell r="M19">
            <v>12017.4</v>
          </cell>
          <cell r="N19">
            <v>4806.96</v>
          </cell>
          <cell r="O19">
            <v>2083</v>
          </cell>
          <cell r="P19">
            <v>2083</v>
          </cell>
          <cell r="Q19">
            <v>-961.36000000000058</v>
          </cell>
          <cell r="R19">
            <v>20029</v>
          </cell>
          <cell r="S19">
            <v>1562.2619999999999</v>
          </cell>
          <cell r="T19">
            <v>1441.6089999999999</v>
          </cell>
          <cell r="U19">
            <v>578.03693999999996</v>
          </cell>
          <cell r="V19">
            <v>1001.4499999999999</v>
          </cell>
          <cell r="W19">
            <v>24612.357939999998</v>
          </cell>
          <cell r="X19">
            <v>0</v>
          </cell>
          <cell r="Y19">
            <v>20029</v>
          </cell>
          <cell r="Z19">
            <v>0</v>
          </cell>
          <cell r="AA19">
            <v>200</v>
          </cell>
          <cell r="AB19">
            <v>1442</v>
          </cell>
          <cell r="AC19">
            <v>391.787848</v>
          </cell>
          <cell r="AD19">
            <v>0</v>
          </cell>
          <cell r="AE19">
            <v>2033.7878479999999</v>
          </cell>
          <cell r="AF19">
            <v>21016.095940000003</v>
          </cell>
        </row>
        <row r="20">
          <cell r="C20" t="str">
            <v>BITS-567</v>
          </cell>
          <cell r="D20">
            <v>2110899</v>
          </cell>
          <cell r="E20" t="str">
            <v>AsokKumar J</v>
          </cell>
          <cell r="F20" t="str">
            <v>BNG STP</v>
          </cell>
          <cell r="G20">
            <v>135000</v>
          </cell>
          <cell r="H20">
            <v>121988</v>
          </cell>
          <cell r="I20">
            <v>31</v>
          </cell>
          <cell r="J20">
            <v>30</v>
          </cell>
          <cell r="K20">
            <v>1</v>
          </cell>
          <cell r="L20">
            <v>31</v>
          </cell>
          <cell r="M20">
            <v>73192.800000000003</v>
          </cell>
          <cell r="N20">
            <v>29277.120000000003</v>
          </cell>
          <cell r="O20">
            <v>2083</v>
          </cell>
          <cell r="P20">
            <v>2083</v>
          </cell>
          <cell r="Q20">
            <v>15352.079999999987</v>
          </cell>
          <cell r="R20">
            <v>121988</v>
          </cell>
          <cell r="S20">
            <v>1950</v>
          </cell>
          <cell r="T20">
            <v>1441.6089999999999</v>
          </cell>
          <cell r="U20">
            <v>3520.5736799999995</v>
          </cell>
          <cell r="V20">
            <v>6099.4000000000005</v>
          </cell>
          <cell r="W20">
            <v>134999.58267999999</v>
          </cell>
          <cell r="X20">
            <v>0</v>
          </cell>
          <cell r="Y20">
            <v>121988</v>
          </cell>
          <cell r="Z20">
            <v>25607</v>
          </cell>
          <cell r="AA20">
            <v>200</v>
          </cell>
          <cell r="AB20">
            <v>1800</v>
          </cell>
          <cell r="AC20">
            <v>391.787848</v>
          </cell>
          <cell r="AD20">
            <v>0</v>
          </cell>
          <cell r="AE20">
            <v>27998.787848</v>
          </cell>
          <cell r="AF20">
            <v>105050.58267999999</v>
          </cell>
        </row>
        <row r="21">
          <cell r="C21" t="str">
            <v>BITS-568</v>
          </cell>
          <cell r="D21">
            <v>2110947</v>
          </cell>
          <cell r="E21" t="str">
            <v>RUKNUDEEN S</v>
          </cell>
          <cell r="F21" t="str">
            <v>HYD SEZ</v>
          </cell>
          <cell r="G21">
            <v>100000</v>
          </cell>
          <cell r="H21">
            <v>89547</v>
          </cell>
          <cell r="I21">
            <v>31</v>
          </cell>
          <cell r="J21">
            <v>31</v>
          </cell>
          <cell r="K21">
            <v>0</v>
          </cell>
          <cell r="L21">
            <v>31</v>
          </cell>
          <cell r="M21">
            <v>53728.2</v>
          </cell>
          <cell r="N21">
            <v>21491.279999999999</v>
          </cell>
          <cell r="O21">
            <v>2083</v>
          </cell>
          <cell r="P21">
            <v>2083</v>
          </cell>
          <cell r="Q21">
            <v>10161.520000000004</v>
          </cell>
          <cell r="R21">
            <v>89547</v>
          </cell>
          <cell r="S21">
            <v>1950</v>
          </cell>
          <cell r="T21">
            <v>1441.6089999999999</v>
          </cell>
          <cell r="U21">
            <v>2584.3264199999994</v>
          </cell>
          <cell r="V21">
            <v>4477.3499999999995</v>
          </cell>
          <cell r="W21">
            <v>100000.28542</v>
          </cell>
          <cell r="X21">
            <v>0</v>
          </cell>
          <cell r="Y21">
            <v>89547</v>
          </cell>
          <cell r="Z21">
            <v>8328</v>
          </cell>
          <cell r="AA21">
            <v>200</v>
          </cell>
          <cell r="AB21">
            <v>1800</v>
          </cell>
          <cell r="AC21">
            <v>391.787848</v>
          </cell>
          <cell r="AD21">
            <v>0</v>
          </cell>
          <cell r="AE21">
            <v>10719.787848</v>
          </cell>
          <cell r="AF21">
            <v>87330.28542</v>
          </cell>
        </row>
        <row r="22">
          <cell r="C22" t="str">
            <v>BITS-569</v>
          </cell>
          <cell r="D22">
            <v>2110966</v>
          </cell>
          <cell r="E22" t="str">
            <v>Rajesh Kongara</v>
          </cell>
          <cell r="F22" t="str">
            <v>BNG SEZ</v>
          </cell>
          <cell r="G22">
            <v>130000</v>
          </cell>
          <cell r="H22">
            <v>117354</v>
          </cell>
          <cell r="I22">
            <v>31</v>
          </cell>
          <cell r="J22">
            <v>30</v>
          </cell>
          <cell r="K22">
            <v>1</v>
          </cell>
          <cell r="L22">
            <v>31</v>
          </cell>
          <cell r="M22">
            <v>70412.399999999994</v>
          </cell>
          <cell r="N22">
            <v>28164.959999999999</v>
          </cell>
          <cell r="O22">
            <v>2083</v>
          </cell>
          <cell r="P22">
            <v>2083</v>
          </cell>
          <cell r="Q22">
            <v>14610.640000000014</v>
          </cell>
          <cell r="R22">
            <v>117354</v>
          </cell>
          <cell r="S22">
            <v>1950</v>
          </cell>
          <cell r="T22">
            <v>1441.6089999999999</v>
          </cell>
          <cell r="U22">
            <v>3386.8364399999996</v>
          </cell>
          <cell r="V22">
            <v>5867.7</v>
          </cell>
          <cell r="W22">
            <v>130000.14543999999</v>
          </cell>
          <cell r="X22">
            <v>0</v>
          </cell>
          <cell r="Y22">
            <v>117354</v>
          </cell>
          <cell r="Z22">
            <v>15443</v>
          </cell>
          <cell r="AA22">
            <v>200</v>
          </cell>
          <cell r="AB22">
            <v>1800</v>
          </cell>
          <cell r="AC22">
            <v>391.787848</v>
          </cell>
          <cell r="AD22">
            <v>0</v>
          </cell>
          <cell r="AE22">
            <v>17834.787848</v>
          </cell>
          <cell r="AF22">
            <v>110215.14543999999</v>
          </cell>
        </row>
        <row r="23">
          <cell r="C23" t="str">
            <v>BITS-572</v>
          </cell>
          <cell r="D23">
            <v>2111448</v>
          </cell>
          <cell r="E23" t="str">
            <v>Yarramaddu Raveendra Reddy</v>
          </cell>
          <cell r="F23" t="str">
            <v>PUNE SEZ 1</v>
          </cell>
          <cell r="G23">
            <v>70000</v>
          </cell>
          <cell r="H23">
            <v>61740</v>
          </cell>
          <cell r="I23">
            <v>31</v>
          </cell>
          <cell r="J23">
            <v>31</v>
          </cell>
          <cell r="K23">
            <v>0</v>
          </cell>
          <cell r="L23">
            <v>31</v>
          </cell>
          <cell r="M23">
            <v>37044</v>
          </cell>
          <cell r="N23">
            <v>14817.6</v>
          </cell>
          <cell r="O23">
            <v>2083</v>
          </cell>
          <cell r="P23">
            <v>2083</v>
          </cell>
          <cell r="Q23">
            <v>5712.4000000000015</v>
          </cell>
          <cell r="R23">
            <v>61740</v>
          </cell>
          <cell r="S23">
            <v>1950</v>
          </cell>
          <cell r="T23">
            <v>1441.6089999999999</v>
          </cell>
          <cell r="U23">
            <v>1781.8163999999999</v>
          </cell>
          <cell r="V23">
            <v>3087</v>
          </cell>
          <cell r="W23">
            <v>70000.425400000007</v>
          </cell>
          <cell r="X23">
            <v>0</v>
          </cell>
          <cell r="Y23">
            <v>61740</v>
          </cell>
          <cell r="Z23">
            <v>0</v>
          </cell>
          <cell r="AA23">
            <v>200</v>
          </cell>
          <cell r="AB23">
            <v>1800</v>
          </cell>
          <cell r="AC23">
            <v>391.787848</v>
          </cell>
          <cell r="AD23">
            <v>0</v>
          </cell>
          <cell r="AE23">
            <v>2391.7878479999999</v>
          </cell>
          <cell r="AF23">
            <v>65658.425400000007</v>
          </cell>
        </row>
        <row r="24">
          <cell r="C24" t="str">
            <v>BITS-574</v>
          </cell>
          <cell r="D24">
            <v>0</v>
          </cell>
          <cell r="E24" t="str">
            <v>Naresh Kandhula</v>
          </cell>
          <cell r="F24" t="str">
            <v>Mumbai</v>
          </cell>
          <cell r="G24">
            <v>125000</v>
          </cell>
          <cell r="H24">
            <v>112719</v>
          </cell>
          <cell r="I24">
            <v>31</v>
          </cell>
          <cell r="J24">
            <v>31</v>
          </cell>
          <cell r="K24">
            <v>0</v>
          </cell>
          <cell r="L24">
            <v>31</v>
          </cell>
          <cell r="M24">
            <v>67631.399999999994</v>
          </cell>
          <cell r="N24">
            <v>27052.559999999998</v>
          </cell>
          <cell r="O24">
            <v>2083</v>
          </cell>
          <cell r="P24">
            <v>2083</v>
          </cell>
          <cell r="Q24">
            <v>13869.040000000008</v>
          </cell>
          <cell r="R24">
            <v>112719</v>
          </cell>
          <cell r="S24">
            <v>1950</v>
          </cell>
          <cell r="T24">
            <v>1441.6089999999999</v>
          </cell>
          <cell r="U24">
            <v>3253.0703399999993</v>
          </cell>
          <cell r="V24">
            <v>5635.95</v>
          </cell>
          <cell r="W24">
            <v>124999.62934</v>
          </cell>
          <cell r="X24">
            <v>4032</v>
          </cell>
          <cell r="Y24">
            <v>116751</v>
          </cell>
          <cell r="Z24">
            <v>0</v>
          </cell>
          <cell r="AA24">
            <v>200</v>
          </cell>
          <cell r="AB24">
            <v>1800</v>
          </cell>
          <cell r="AC24">
            <v>440.76132899999999</v>
          </cell>
          <cell r="AD24">
            <v>0</v>
          </cell>
          <cell r="AE24">
            <v>2440.7613289999999</v>
          </cell>
          <cell r="AF24">
            <v>124640.62934</v>
          </cell>
        </row>
        <row r="25">
          <cell r="C25" t="str">
            <v>BITS-575</v>
          </cell>
          <cell r="D25">
            <v>0</v>
          </cell>
          <cell r="E25" t="str">
            <v>Reno Vijayan</v>
          </cell>
          <cell r="F25" t="str">
            <v>BNG STP</v>
          </cell>
          <cell r="G25">
            <v>70000</v>
          </cell>
          <cell r="H25">
            <v>61740</v>
          </cell>
          <cell r="I25">
            <v>31</v>
          </cell>
          <cell r="J25">
            <v>31</v>
          </cell>
          <cell r="K25">
            <v>0</v>
          </cell>
          <cell r="L25">
            <v>31</v>
          </cell>
          <cell r="M25">
            <v>37044</v>
          </cell>
          <cell r="N25">
            <v>14817.6</v>
          </cell>
          <cell r="O25">
            <v>2083</v>
          </cell>
          <cell r="P25">
            <v>2083</v>
          </cell>
          <cell r="Q25">
            <v>5712.4000000000015</v>
          </cell>
          <cell r="R25">
            <v>61740</v>
          </cell>
          <cell r="S25">
            <v>1950</v>
          </cell>
          <cell r="T25">
            <v>1441.6089999999999</v>
          </cell>
          <cell r="U25">
            <v>1781.8163999999999</v>
          </cell>
          <cell r="V25">
            <v>3087</v>
          </cell>
          <cell r="W25">
            <v>70000.425400000007</v>
          </cell>
          <cell r="X25">
            <v>0</v>
          </cell>
          <cell r="Y25">
            <v>61740</v>
          </cell>
          <cell r="Z25">
            <v>0</v>
          </cell>
          <cell r="AA25">
            <v>200</v>
          </cell>
          <cell r="AB25">
            <v>1800</v>
          </cell>
          <cell r="AC25">
            <v>391.787848</v>
          </cell>
          <cell r="AD25">
            <v>0</v>
          </cell>
          <cell r="AE25">
            <v>2391.7878479999999</v>
          </cell>
          <cell r="AF25">
            <v>65658.425400000007</v>
          </cell>
        </row>
        <row r="26">
          <cell r="C26" t="str">
            <v>BITS-577</v>
          </cell>
          <cell r="D26">
            <v>2112033</v>
          </cell>
          <cell r="E26" t="str">
            <v>Majed Khan</v>
          </cell>
          <cell r="F26" t="str">
            <v>BNG STP</v>
          </cell>
          <cell r="G26">
            <v>150000</v>
          </cell>
          <cell r="H26">
            <v>135892</v>
          </cell>
          <cell r="I26">
            <v>31</v>
          </cell>
          <cell r="J26">
            <v>31</v>
          </cell>
          <cell r="K26">
            <v>0</v>
          </cell>
          <cell r="L26">
            <v>31</v>
          </cell>
          <cell r="M26">
            <v>81535.199999999997</v>
          </cell>
          <cell r="N26">
            <v>32614.080000000002</v>
          </cell>
          <cell r="O26">
            <v>2083</v>
          </cell>
          <cell r="P26">
            <v>2083</v>
          </cell>
          <cell r="Q26">
            <v>17576.72</v>
          </cell>
          <cell r="R26">
            <v>135892</v>
          </cell>
          <cell r="S26">
            <v>1950</v>
          </cell>
          <cell r="T26">
            <v>1441.6089999999999</v>
          </cell>
          <cell r="U26">
            <v>3921.8431199999995</v>
          </cell>
          <cell r="V26">
            <v>6794.5999999999995</v>
          </cell>
          <cell r="W26">
            <v>150000.05212000001</v>
          </cell>
          <cell r="X26">
            <v>0</v>
          </cell>
          <cell r="Y26">
            <v>135892</v>
          </cell>
          <cell r="Z26">
            <v>17230</v>
          </cell>
          <cell r="AA26">
            <v>200</v>
          </cell>
          <cell r="AB26">
            <v>1800</v>
          </cell>
          <cell r="AC26">
            <v>391.787848</v>
          </cell>
          <cell r="AD26">
            <v>0</v>
          </cell>
          <cell r="AE26">
            <v>19621.787848</v>
          </cell>
          <cell r="AF26">
            <v>128428.05212000001</v>
          </cell>
        </row>
        <row r="27">
          <cell r="C27" t="str">
            <v>BITS-582</v>
          </cell>
          <cell r="D27">
            <v>0</v>
          </cell>
          <cell r="E27" t="str">
            <v>SathishKumar V 11-3-2022</v>
          </cell>
          <cell r="F27" t="str">
            <v>BNG STP</v>
          </cell>
          <cell r="G27">
            <v>130000</v>
          </cell>
          <cell r="H27">
            <v>117354</v>
          </cell>
          <cell r="I27">
            <v>31</v>
          </cell>
          <cell r="J27">
            <v>31</v>
          </cell>
          <cell r="K27">
            <v>0</v>
          </cell>
          <cell r="L27">
            <v>31</v>
          </cell>
          <cell r="M27">
            <v>70412.399999999994</v>
          </cell>
          <cell r="N27">
            <v>28164.959999999999</v>
          </cell>
          <cell r="O27">
            <v>2083</v>
          </cell>
          <cell r="P27">
            <v>2083</v>
          </cell>
          <cell r="Q27">
            <v>14610.640000000014</v>
          </cell>
          <cell r="R27">
            <v>117354</v>
          </cell>
          <cell r="S27">
            <v>1950</v>
          </cell>
          <cell r="T27">
            <v>1441.6089999999999</v>
          </cell>
          <cell r="U27">
            <v>3386.8364399999996</v>
          </cell>
          <cell r="V27">
            <v>5867.7</v>
          </cell>
          <cell r="W27">
            <v>130000.14543999999</v>
          </cell>
          <cell r="X27">
            <v>0</v>
          </cell>
          <cell r="Y27">
            <v>117354</v>
          </cell>
          <cell r="Z27">
            <v>0</v>
          </cell>
          <cell r="AA27">
            <v>200</v>
          </cell>
          <cell r="AB27">
            <v>1800</v>
          </cell>
          <cell r="AC27">
            <v>391.787848</v>
          </cell>
          <cell r="AD27">
            <v>0</v>
          </cell>
          <cell r="AE27">
            <v>2391.7878479999999</v>
          </cell>
          <cell r="AF27">
            <v>125658.14543999999</v>
          </cell>
        </row>
        <row r="28">
          <cell r="C28" t="str">
            <v>BITS-587</v>
          </cell>
          <cell r="D28">
            <v>0</v>
          </cell>
          <cell r="E28" t="str">
            <v>Madan</v>
          </cell>
          <cell r="F28" t="str">
            <v>BNG STP</v>
          </cell>
          <cell r="G28">
            <v>105000</v>
          </cell>
          <cell r="H28">
            <v>94181</v>
          </cell>
          <cell r="I28">
            <v>31</v>
          </cell>
          <cell r="J28">
            <v>31</v>
          </cell>
          <cell r="K28">
            <v>0</v>
          </cell>
          <cell r="L28">
            <v>31</v>
          </cell>
          <cell r="M28">
            <v>56508.6</v>
          </cell>
          <cell r="N28">
            <v>22603.440000000002</v>
          </cell>
          <cell r="O28">
            <v>2083</v>
          </cell>
          <cell r="P28">
            <v>2083</v>
          </cell>
          <cell r="Q28">
            <v>10902.959999999992</v>
          </cell>
          <cell r="R28">
            <v>94181</v>
          </cell>
          <cell r="S28">
            <v>1950</v>
          </cell>
          <cell r="T28">
            <v>1441.6089999999999</v>
          </cell>
          <cell r="U28">
            <v>2718.0636599999998</v>
          </cell>
          <cell r="V28">
            <v>4709.05</v>
          </cell>
          <cell r="W28">
            <v>104999.72266</v>
          </cell>
          <cell r="X28">
            <v>0</v>
          </cell>
          <cell r="Y28">
            <v>94181</v>
          </cell>
          <cell r="Z28">
            <v>7527</v>
          </cell>
          <cell r="AA28">
            <v>200</v>
          </cell>
          <cell r="AB28">
            <v>1800</v>
          </cell>
          <cell r="AC28">
            <v>391.787848</v>
          </cell>
          <cell r="AD28">
            <v>0</v>
          </cell>
          <cell r="AE28">
            <v>9918.7878479999999</v>
          </cell>
          <cell r="AF28">
            <v>93130.722659999999</v>
          </cell>
        </row>
        <row r="29">
          <cell r="C29" t="str">
            <v>BITS-588</v>
          </cell>
          <cell r="D29">
            <v>0</v>
          </cell>
          <cell r="E29" t="str">
            <v>Kutagolla Mohazzer 31-3-2022</v>
          </cell>
          <cell r="F29" t="str">
            <v>BNG STP</v>
          </cell>
          <cell r="G29">
            <v>75000</v>
          </cell>
          <cell r="H29">
            <v>66374</v>
          </cell>
          <cell r="I29">
            <v>31</v>
          </cell>
          <cell r="J29">
            <v>31</v>
          </cell>
          <cell r="K29">
            <v>0</v>
          </cell>
          <cell r="L29">
            <v>31</v>
          </cell>
          <cell r="M29">
            <v>39824.400000000001</v>
          </cell>
          <cell r="N29">
            <v>15929.760000000002</v>
          </cell>
          <cell r="O29">
            <v>2083</v>
          </cell>
          <cell r="P29">
            <v>2083</v>
          </cell>
          <cell r="Q29">
            <v>6453.8399999999965</v>
          </cell>
          <cell r="R29">
            <v>66374</v>
          </cell>
          <cell r="S29">
            <v>1950</v>
          </cell>
          <cell r="T29">
            <v>1441.6089999999999</v>
          </cell>
          <cell r="U29">
            <v>1915.5536400000001</v>
          </cell>
          <cell r="V29">
            <v>3318.7000000000003</v>
          </cell>
          <cell r="W29">
            <v>74999.862639999992</v>
          </cell>
          <cell r="X29">
            <v>0</v>
          </cell>
          <cell r="Y29">
            <v>66374</v>
          </cell>
          <cell r="Z29">
            <v>0</v>
          </cell>
          <cell r="AA29">
            <v>200</v>
          </cell>
          <cell r="AB29">
            <v>1800</v>
          </cell>
          <cell r="AC29">
            <v>391.787848</v>
          </cell>
          <cell r="AD29">
            <v>0</v>
          </cell>
          <cell r="AE29">
            <v>2391.7878479999999</v>
          </cell>
          <cell r="AF29">
            <v>70657.862639999992</v>
          </cell>
        </row>
        <row r="30">
          <cell r="C30" t="str">
            <v>BITS-592</v>
          </cell>
          <cell r="D30">
            <v>0</v>
          </cell>
          <cell r="E30" t="str">
            <v>Sachin Ameshram</v>
          </cell>
          <cell r="F30" t="str">
            <v>BNG STP</v>
          </cell>
          <cell r="G30">
            <v>95000</v>
          </cell>
          <cell r="H30">
            <v>84912</v>
          </cell>
          <cell r="I30">
            <v>31</v>
          </cell>
          <cell r="J30">
            <v>30</v>
          </cell>
          <cell r="K30">
            <v>0</v>
          </cell>
          <cell r="L30">
            <v>31</v>
          </cell>
          <cell r="M30">
            <v>50947.199999999997</v>
          </cell>
          <cell r="N30">
            <v>20378.88</v>
          </cell>
          <cell r="O30">
            <v>2083</v>
          </cell>
          <cell r="P30">
            <v>2083</v>
          </cell>
          <cell r="Q30">
            <v>9419.9199999999983</v>
          </cell>
          <cell r="R30">
            <v>84912</v>
          </cell>
          <cell r="S30">
            <v>1950</v>
          </cell>
          <cell r="T30">
            <v>1441.6089999999999</v>
          </cell>
          <cell r="U30">
            <v>2450.5603199999996</v>
          </cell>
          <cell r="V30">
            <v>4245.5999999999995</v>
          </cell>
          <cell r="W30">
            <v>94999.769320000007</v>
          </cell>
          <cell r="X30">
            <v>0</v>
          </cell>
          <cell r="Y30">
            <v>84912</v>
          </cell>
          <cell r="Z30">
            <v>4800</v>
          </cell>
          <cell r="AA30">
            <v>200</v>
          </cell>
          <cell r="AB30">
            <v>1800</v>
          </cell>
          <cell r="AC30">
            <v>391.787848</v>
          </cell>
          <cell r="AD30">
            <v>0</v>
          </cell>
          <cell r="AE30">
            <v>7191.7878479999999</v>
          </cell>
          <cell r="AF30">
            <v>85857.769320000007</v>
          </cell>
        </row>
        <row r="31">
          <cell r="C31" t="str">
            <v>BITS-597</v>
          </cell>
          <cell r="D31">
            <v>0</v>
          </cell>
          <cell r="E31" t="str">
            <v>Srikanth Thota</v>
          </cell>
          <cell r="F31" t="str">
            <v>HYD SEZ</v>
          </cell>
          <cell r="G31">
            <v>115000</v>
          </cell>
          <cell r="H31">
            <v>103451</v>
          </cell>
          <cell r="I31">
            <v>31</v>
          </cell>
          <cell r="J31">
            <v>31</v>
          </cell>
          <cell r="K31">
            <v>0</v>
          </cell>
          <cell r="L31">
            <v>31</v>
          </cell>
          <cell r="M31">
            <v>62070.6</v>
          </cell>
          <cell r="N31">
            <v>24828.240000000002</v>
          </cell>
          <cell r="O31">
            <v>2083</v>
          </cell>
          <cell r="P31">
            <v>2083</v>
          </cell>
          <cell r="Q31">
            <v>12386.160000000003</v>
          </cell>
          <cell r="R31">
            <v>103451</v>
          </cell>
          <cell r="S31">
            <v>1950</v>
          </cell>
          <cell r="T31">
            <v>1441.6089999999999</v>
          </cell>
          <cell r="U31">
            <v>2985.5958599999994</v>
          </cell>
          <cell r="V31">
            <v>5172.55</v>
          </cell>
          <cell r="W31">
            <v>115000.75486</v>
          </cell>
          <cell r="X31">
            <v>0</v>
          </cell>
          <cell r="Y31">
            <v>103451</v>
          </cell>
          <cell r="Z31">
            <v>9924</v>
          </cell>
          <cell r="AA31">
            <v>200</v>
          </cell>
          <cell r="AB31">
            <v>1800</v>
          </cell>
          <cell r="AC31">
            <v>377</v>
          </cell>
          <cell r="AD31">
            <v>0</v>
          </cell>
          <cell r="AE31">
            <v>12301</v>
          </cell>
          <cell r="AF31">
            <v>100749.75486</v>
          </cell>
        </row>
        <row r="32">
          <cell r="C32" t="str">
            <v>BITS-600</v>
          </cell>
          <cell r="D32">
            <v>0</v>
          </cell>
          <cell r="E32" t="str">
            <v>Shekhar Panchal</v>
          </cell>
          <cell r="F32" t="str">
            <v>HYD SEZ</v>
          </cell>
          <cell r="G32">
            <v>75000</v>
          </cell>
          <cell r="H32">
            <v>66374</v>
          </cell>
          <cell r="I32">
            <v>31</v>
          </cell>
          <cell r="J32">
            <v>31</v>
          </cell>
          <cell r="K32">
            <v>0</v>
          </cell>
          <cell r="L32">
            <v>31</v>
          </cell>
          <cell r="M32">
            <v>39824.400000000001</v>
          </cell>
          <cell r="N32">
            <v>15929.760000000002</v>
          </cell>
          <cell r="O32">
            <v>2083</v>
          </cell>
          <cell r="P32">
            <v>2083</v>
          </cell>
          <cell r="Q32">
            <v>6453.8399999999965</v>
          </cell>
          <cell r="R32">
            <v>66374</v>
          </cell>
          <cell r="S32">
            <v>1950</v>
          </cell>
          <cell r="T32">
            <v>1441.6089999999999</v>
          </cell>
          <cell r="U32">
            <v>1915.5536400000001</v>
          </cell>
          <cell r="V32">
            <v>3318.7000000000003</v>
          </cell>
          <cell r="W32">
            <v>74999.862639999992</v>
          </cell>
          <cell r="X32">
            <v>0</v>
          </cell>
          <cell r="Y32">
            <v>66374</v>
          </cell>
          <cell r="Z32">
            <v>0</v>
          </cell>
          <cell r="AA32">
            <v>200</v>
          </cell>
          <cell r="AB32">
            <v>1800</v>
          </cell>
          <cell r="AC32">
            <v>336</v>
          </cell>
          <cell r="AD32">
            <v>0</v>
          </cell>
          <cell r="AE32">
            <v>2336</v>
          </cell>
          <cell r="AF32">
            <v>70713.862639999992</v>
          </cell>
        </row>
        <row r="33">
          <cell r="C33" t="str">
            <v>BITS-602</v>
          </cell>
          <cell r="D33">
            <v>0</v>
          </cell>
          <cell r="E33" t="str">
            <v>Girish Bandi</v>
          </cell>
          <cell r="F33" t="str">
            <v>BNG SEZ</v>
          </cell>
          <cell r="G33">
            <v>80000</v>
          </cell>
          <cell r="H33">
            <v>71009</v>
          </cell>
          <cell r="I33">
            <v>31</v>
          </cell>
          <cell r="J33">
            <v>30</v>
          </cell>
          <cell r="K33">
            <v>1</v>
          </cell>
          <cell r="L33">
            <v>31</v>
          </cell>
          <cell r="M33">
            <v>42605.4</v>
          </cell>
          <cell r="N33">
            <v>17042.16</v>
          </cell>
          <cell r="O33">
            <v>2083</v>
          </cell>
          <cell r="P33">
            <v>2083</v>
          </cell>
          <cell r="Q33">
            <v>7195.4400000000023</v>
          </cell>
          <cell r="R33">
            <v>71009</v>
          </cell>
          <cell r="S33">
            <v>1950</v>
          </cell>
          <cell r="T33">
            <v>1441.6089999999999</v>
          </cell>
          <cell r="U33">
            <v>2049.3197399999999</v>
          </cell>
          <cell r="V33">
            <v>3550.4500000000003</v>
          </cell>
          <cell r="W33">
            <v>80000.37874</v>
          </cell>
          <cell r="X33">
            <v>0</v>
          </cell>
          <cell r="Y33">
            <v>71009</v>
          </cell>
          <cell r="Z33">
            <v>0</v>
          </cell>
          <cell r="AA33">
            <v>200</v>
          </cell>
          <cell r="AB33">
            <v>1800</v>
          </cell>
          <cell r="AC33">
            <v>335</v>
          </cell>
          <cell r="AD33">
            <v>0</v>
          </cell>
          <cell r="AE33">
            <v>2335</v>
          </cell>
          <cell r="AF33">
            <v>75715.37874</v>
          </cell>
        </row>
        <row r="34">
          <cell r="C34" t="str">
            <v>BITS-603</v>
          </cell>
          <cell r="D34">
            <v>0</v>
          </cell>
          <cell r="E34" t="str">
            <v>DESIR KOIPURATH 25-3-2022</v>
          </cell>
          <cell r="F34" t="str">
            <v>PUNE SEZ 2</v>
          </cell>
          <cell r="G34">
            <v>112000</v>
          </cell>
          <cell r="H34">
            <v>100670</v>
          </cell>
          <cell r="I34">
            <v>31</v>
          </cell>
          <cell r="J34">
            <v>25</v>
          </cell>
          <cell r="K34">
            <v>0</v>
          </cell>
          <cell r="L34">
            <v>25</v>
          </cell>
          <cell r="M34">
            <v>48711.290322580644</v>
          </cell>
          <cell r="N34">
            <v>19484.516129032258</v>
          </cell>
          <cell r="O34">
            <v>1680</v>
          </cell>
          <cell r="P34">
            <v>1680</v>
          </cell>
          <cell r="Q34">
            <v>9629.6774193548335</v>
          </cell>
          <cell r="R34">
            <v>81185.483870967742</v>
          </cell>
          <cell r="S34">
            <v>1950</v>
          </cell>
          <cell r="T34">
            <v>1441.6089999999999</v>
          </cell>
          <cell r="U34">
            <v>2343.0130645161289</v>
          </cell>
          <cell r="V34">
            <v>4059.2741935483868</v>
          </cell>
          <cell r="W34">
            <v>90979.380129032259</v>
          </cell>
          <cell r="X34">
            <v>0</v>
          </cell>
          <cell r="Y34">
            <v>81185.483870967742</v>
          </cell>
          <cell r="Z34">
            <v>7200</v>
          </cell>
          <cell r="AA34">
            <v>200</v>
          </cell>
          <cell r="AB34">
            <v>1800</v>
          </cell>
          <cell r="AC34">
            <v>378</v>
          </cell>
          <cell r="AD34">
            <v>0</v>
          </cell>
          <cell r="AE34">
            <v>9578</v>
          </cell>
          <cell r="AF34">
            <v>79450.896258064517</v>
          </cell>
        </row>
        <row r="35">
          <cell r="C35" t="str">
            <v>BITS-605</v>
          </cell>
          <cell r="D35">
            <v>0</v>
          </cell>
          <cell r="E35" t="str">
            <v>Chitra Kulkarni</v>
          </cell>
          <cell r="F35" t="str">
            <v>PUNE SEZ 1</v>
          </cell>
          <cell r="G35">
            <v>92000</v>
          </cell>
          <cell r="H35">
            <v>82132</v>
          </cell>
          <cell r="I35">
            <v>31</v>
          </cell>
          <cell r="J35">
            <v>31</v>
          </cell>
          <cell r="K35">
            <v>0</v>
          </cell>
          <cell r="L35">
            <v>31</v>
          </cell>
          <cell r="M35">
            <v>49279.199999999997</v>
          </cell>
          <cell r="N35">
            <v>19711.68</v>
          </cell>
          <cell r="O35">
            <v>2083</v>
          </cell>
          <cell r="P35">
            <v>2083</v>
          </cell>
          <cell r="Q35">
            <v>8975.1199999999953</v>
          </cell>
          <cell r="R35">
            <v>82132</v>
          </cell>
          <cell r="S35">
            <v>1950</v>
          </cell>
          <cell r="T35">
            <v>1441.6089999999999</v>
          </cell>
          <cell r="U35">
            <v>2370.3295199999998</v>
          </cell>
          <cell r="V35">
            <v>4106.5999999999995</v>
          </cell>
          <cell r="W35">
            <v>92000.538520000002</v>
          </cell>
          <cell r="X35">
            <v>0</v>
          </cell>
          <cell r="Y35">
            <v>82132</v>
          </cell>
          <cell r="Z35">
            <v>1772</v>
          </cell>
          <cell r="AA35">
            <v>200</v>
          </cell>
          <cell r="AB35">
            <v>1800</v>
          </cell>
          <cell r="AC35">
            <v>335</v>
          </cell>
          <cell r="AD35">
            <v>0</v>
          </cell>
          <cell r="AE35">
            <v>4107</v>
          </cell>
          <cell r="AF35">
            <v>85943.538520000002</v>
          </cell>
        </row>
        <row r="36">
          <cell r="C36" t="str">
            <v>BITS-606</v>
          </cell>
          <cell r="D36">
            <v>0</v>
          </cell>
          <cell r="E36" t="str">
            <v>Barathiyar A</v>
          </cell>
          <cell r="F36" t="str">
            <v>BNG STP</v>
          </cell>
          <cell r="G36">
            <v>67000</v>
          </cell>
          <cell r="H36">
            <v>58959</v>
          </cell>
          <cell r="I36">
            <v>31</v>
          </cell>
          <cell r="J36">
            <v>31</v>
          </cell>
          <cell r="K36">
            <v>0</v>
          </cell>
          <cell r="L36">
            <v>31</v>
          </cell>
          <cell r="M36">
            <v>35375.4</v>
          </cell>
          <cell r="N36">
            <v>14150.160000000002</v>
          </cell>
          <cell r="O36">
            <v>2083</v>
          </cell>
          <cell r="P36">
            <v>2083</v>
          </cell>
          <cell r="Q36">
            <v>5267.4399999999951</v>
          </cell>
          <cell r="R36">
            <v>58959</v>
          </cell>
          <cell r="S36">
            <v>1950</v>
          </cell>
          <cell r="T36">
            <v>1441.6089999999999</v>
          </cell>
          <cell r="U36">
            <v>1701.55674</v>
          </cell>
          <cell r="V36">
            <v>2947.9500000000003</v>
          </cell>
          <cell r="W36">
            <v>67000.115739999994</v>
          </cell>
          <cell r="X36">
            <v>0</v>
          </cell>
          <cell r="Y36">
            <v>58959</v>
          </cell>
          <cell r="Z36">
            <v>0</v>
          </cell>
          <cell r="AA36">
            <v>200</v>
          </cell>
          <cell r="AB36">
            <v>1800</v>
          </cell>
          <cell r="AC36">
            <v>335</v>
          </cell>
          <cell r="AD36">
            <v>0</v>
          </cell>
          <cell r="AE36">
            <v>2335</v>
          </cell>
          <cell r="AF36">
            <v>62715.115739999994</v>
          </cell>
        </row>
        <row r="37">
          <cell r="C37" t="str">
            <v>BITS-607</v>
          </cell>
          <cell r="D37">
            <v>0</v>
          </cell>
          <cell r="E37" t="str">
            <v>Kumaravel M</v>
          </cell>
          <cell r="F37" t="str">
            <v>BNG STP</v>
          </cell>
          <cell r="G37">
            <v>55000</v>
          </cell>
          <cell r="H37">
            <v>47836</v>
          </cell>
          <cell r="I37">
            <v>31</v>
          </cell>
          <cell r="J37">
            <v>31</v>
          </cell>
          <cell r="K37">
            <v>0</v>
          </cell>
          <cell r="L37">
            <v>31</v>
          </cell>
          <cell r="M37">
            <v>28701.599999999999</v>
          </cell>
          <cell r="N37">
            <v>11480.64</v>
          </cell>
          <cell r="O37">
            <v>2083</v>
          </cell>
          <cell r="P37">
            <v>2083</v>
          </cell>
          <cell r="Q37">
            <v>3487.760000000002</v>
          </cell>
          <cell r="R37">
            <v>47836</v>
          </cell>
          <cell r="S37">
            <v>1950</v>
          </cell>
          <cell r="T37">
            <v>1441.6089999999999</v>
          </cell>
          <cell r="U37">
            <v>1380.5469599999999</v>
          </cell>
          <cell r="V37">
            <v>2391.7999999999997</v>
          </cell>
          <cell r="W37">
            <v>54999.955959999999</v>
          </cell>
          <cell r="X37">
            <v>0</v>
          </cell>
          <cell r="Y37">
            <v>47836</v>
          </cell>
          <cell r="Z37">
            <v>0</v>
          </cell>
          <cell r="AA37">
            <v>200</v>
          </cell>
          <cell r="AB37">
            <v>1800</v>
          </cell>
          <cell r="AC37">
            <v>335</v>
          </cell>
          <cell r="AD37">
            <v>0</v>
          </cell>
          <cell r="AE37">
            <v>2335</v>
          </cell>
          <cell r="AF37">
            <v>50714.955959999999</v>
          </cell>
        </row>
        <row r="38">
          <cell r="C38" t="str">
            <v>BITS-609</v>
          </cell>
          <cell r="D38">
            <v>0</v>
          </cell>
          <cell r="E38" t="str">
            <v>CHANDRASEHARAN GERORGE</v>
          </cell>
          <cell r="F38" t="str">
            <v>BNG STP</v>
          </cell>
          <cell r="G38">
            <v>58000</v>
          </cell>
          <cell r="H38">
            <v>50617</v>
          </cell>
          <cell r="I38">
            <v>31</v>
          </cell>
          <cell r="J38">
            <v>31</v>
          </cell>
          <cell r="K38">
            <v>0</v>
          </cell>
          <cell r="L38">
            <v>31</v>
          </cell>
          <cell r="M38">
            <v>30370.2</v>
          </cell>
          <cell r="N38">
            <v>12148.080000000002</v>
          </cell>
          <cell r="O38">
            <v>2083</v>
          </cell>
          <cell r="P38">
            <v>2083</v>
          </cell>
          <cell r="Q38">
            <v>3932.7200000000012</v>
          </cell>
          <cell r="R38">
            <v>50617</v>
          </cell>
          <cell r="S38">
            <v>1950</v>
          </cell>
          <cell r="T38">
            <v>1441.6089999999999</v>
          </cell>
          <cell r="U38">
            <v>1460.8066199999998</v>
          </cell>
          <cell r="V38">
            <v>2530.85</v>
          </cell>
          <cell r="W38">
            <v>58000.265619999998</v>
          </cell>
          <cell r="X38">
            <v>0</v>
          </cell>
          <cell r="Y38">
            <v>50617</v>
          </cell>
          <cell r="Z38">
            <v>0</v>
          </cell>
          <cell r="AA38">
            <v>200</v>
          </cell>
          <cell r="AB38">
            <v>1800</v>
          </cell>
          <cell r="AC38">
            <v>335</v>
          </cell>
          <cell r="AD38">
            <v>0</v>
          </cell>
          <cell r="AE38">
            <v>2335</v>
          </cell>
          <cell r="AF38">
            <v>53715.265619999998</v>
          </cell>
        </row>
        <row r="39">
          <cell r="C39" t="str">
            <v>BITS-610</v>
          </cell>
          <cell r="D39">
            <v>0</v>
          </cell>
          <cell r="E39" t="str">
            <v>Kannan Selvakumar</v>
          </cell>
          <cell r="F39" t="str">
            <v>BNG STP</v>
          </cell>
          <cell r="G39">
            <v>65000</v>
          </cell>
          <cell r="H39">
            <v>57105</v>
          </cell>
          <cell r="I39">
            <v>31</v>
          </cell>
          <cell r="J39">
            <v>31</v>
          </cell>
          <cell r="K39">
            <v>0</v>
          </cell>
          <cell r="L39">
            <v>31</v>
          </cell>
          <cell r="M39">
            <v>34263</v>
          </cell>
          <cell r="N39">
            <v>13705.2</v>
          </cell>
          <cell r="O39">
            <v>2083</v>
          </cell>
          <cell r="P39">
            <v>2083</v>
          </cell>
          <cell r="Q39">
            <v>4970.8000000000029</v>
          </cell>
          <cell r="R39">
            <v>57105</v>
          </cell>
          <cell r="S39">
            <v>1950</v>
          </cell>
          <cell r="T39">
            <v>1441.6089999999999</v>
          </cell>
          <cell r="U39">
            <v>1648.0502999999999</v>
          </cell>
          <cell r="V39">
            <v>2855.25</v>
          </cell>
          <cell r="W39">
            <v>64999.909299999999</v>
          </cell>
          <cell r="X39">
            <v>0</v>
          </cell>
          <cell r="Y39">
            <v>57105</v>
          </cell>
          <cell r="Z39">
            <v>0</v>
          </cell>
          <cell r="AA39">
            <v>200</v>
          </cell>
          <cell r="AB39">
            <v>1800</v>
          </cell>
          <cell r="AC39">
            <v>335</v>
          </cell>
          <cell r="AD39">
            <v>0</v>
          </cell>
          <cell r="AE39">
            <v>2335</v>
          </cell>
          <cell r="AF39">
            <v>60714.909299999999</v>
          </cell>
        </row>
        <row r="40">
          <cell r="C40" t="str">
            <v>BITS-611</v>
          </cell>
          <cell r="D40">
            <v>0</v>
          </cell>
          <cell r="E40" t="str">
            <v>VISHNUPRASATH T</v>
          </cell>
          <cell r="F40" t="str">
            <v>BNG STP</v>
          </cell>
          <cell r="G40">
            <v>55000</v>
          </cell>
          <cell r="H40">
            <v>47836</v>
          </cell>
          <cell r="I40">
            <v>31</v>
          </cell>
          <cell r="J40">
            <v>31</v>
          </cell>
          <cell r="K40">
            <v>0</v>
          </cell>
          <cell r="L40">
            <v>31</v>
          </cell>
          <cell r="M40">
            <v>28701.599999999999</v>
          </cell>
          <cell r="N40">
            <v>11480.64</v>
          </cell>
          <cell r="O40">
            <v>2083</v>
          </cell>
          <cell r="P40">
            <v>2083</v>
          </cell>
          <cell r="Q40">
            <v>3487.760000000002</v>
          </cell>
          <cell r="R40">
            <v>47836</v>
          </cell>
          <cell r="S40">
            <v>1950</v>
          </cell>
          <cell r="T40">
            <v>1441.6089999999999</v>
          </cell>
          <cell r="U40">
            <v>1380.5469599999999</v>
          </cell>
          <cell r="V40">
            <v>2391.7999999999997</v>
          </cell>
          <cell r="W40">
            <v>54999.955959999999</v>
          </cell>
          <cell r="X40">
            <v>0</v>
          </cell>
          <cell r="Y40">
            <v>47836</v>
          </cell>
          <cell r="Z40">
            <v>0</v>
          </cell>
          <cell r="AA40">
            <v>200</v>
          </cell>
          <cell r="AB40">
            <v>1800</v>
          </cell>
          <cell r="AC40">
            <v>335</v>
          </cell>
          <cell r="AD40">
            <v>0</v>
          </cell>
          <cell r="AE40">
            <v>2335</v>
          </cell>
          <cell r="AF40">
            <v>50714.955959999999</v>
          </cell>
        </row>
        <row r="41">
          <cell r="C41" t="str">
            <v>BITS-612</v>
          </cell>
          <cell r="D41">
            <v>0</v>
          </cell>
          <cell r="E41" t="str">
            <v>Nagaranjan S</v>
          </cell>
          <cell r="F41" t="str">
            <v>BNG STP</v>
          </cell>
          <cell r="G41">
            <v>55000</v>
          </cell>
          <cell r="H41">
            <v>47836</v>
          </cell>
          <cell r="I41">
            <v>31</v>
          </cell>
          <cell r="J41">
            <v>30</v>
          </cell>
          <cell r="K41">
            <v>1</v>
          </cell>
          <cell r="L41">
            <v>31</v>
          </cell>
          <cell r="M41">
            <v>28701.599999999999</v>
          </cell>
          <cell r="N41">
            <v>11480.64</v>
          </cell>
          <cell r="O41">
            <v>2083</v>
          </cell>
          <cell r="P41">
            <v>2083</v>
          </cell>
          <cell r="Q41">
            <v>3487.760000000002</v>
          </cell>
          <cell r="R41">
            <v>47836</v>
          </cell>
          <cell r="S41">
            <v>1950</v>
          </cell>
          <cell r="T41">
            <v>1441.6089999999999</v>
          </cell>
          <cell r="U41">
            <v>1380.5469599999999</v>
          </cell>
          <cell r="V41">
            <v>2391.7999999999997</v>
          </cell>
          <cell r="W41">
            <v>54999.955959999999</v>
          </cell>
          <cell r="X41">
            <v>0</v>
          </cell>
          <cell r="Y41">
            <v>47836</v>
          </cell>
          <cell r="Z41">
            <v>0</v>
          </cell>
          <cell r="AA41">
            <v>200</v>
          </cell>
          <cell r="AB41">
            <v>1800</v>
          </cell>
          <cell r="AC41">
            <v>335</v>
          </cell>
          <cell r="AD41">
            <v>0</v>
          </cell>
          <cell r="AE41">
            <v>2335</v>
          </cell>
          <cell r="AF41">
            <v>50714.955959999999</v>
          </cell>
        </row>
        <row r="42">
          <cell r="C42" t="str">
            <v>BITS-613</v>
          </cell>
          <cell r="D42">
            <v>0</v>
          </cell>
          <cell r="E42" t="str">
            <v>ELAMPARITHI SB</v>
          </cell>
          <cell r="F42" t="str">
            <v>BNG STP</v>
          </cell>
          <cell r="G42">
            <v>55000</v>
          </cell>
          <cell r="H42">
            <v>47836</v>
          </cell>
          <cell r="I42">
            <v>31</v>
          </cell>
          <cell r="J42">
            <v>31</v>
          </cell>
          <cell r="K42">
            <v>0</v>
          </cell>
          <cell r="L42">
            <v>31</v>
          </cell>
          <cell r="M42">
            <v>28701.599999999999</v>
          </cell>
          <cell r="N42">
            <v>11480.64</v>
          </cell>
          <cell r="O42">
            <v>2083</v>
          </cell>
          <cell r="P42">
            <v>2083</v>
          </cell>
          <cell r="Q42">
            <v>3487.760000000002</v>
          </cell>
          <cell r="R42">
            <v>47836</v>
          </cell>
          <cell r="S42">
            <v>1950</v>
          </cell>
          <cell r="T42">
            <v>1441.6089999999999</v>
          </cell>
          <cell r="U42">
            <v>1380.5469599999999</v>
          </cell>
          <cell r="V42">
            <v>2391.7999999999997</v>
          </cell>
          <cell r="W42">
            <v>54999.955959999999</v>
          </cell>
          <cell r="X42">
            <v>0</v>
          </cell>
          <cell r="Y42">
            <v>47836</v>
          </cell>
          <cell r="Z42">
            <v>0</v>
          </cell>
          <cell r="AA42">
            <v>200</v>
          </cell>
          <cell r="AB42">
            <v>1800</v>
          </cell>
          <cell r="AC42">
            <v>335</v>
          </cell>
          <cell r="AD42">
            <v>0</v>
          </cell>
          <cell r="AE42">
            <v>2335</v>
          </cell>
          <cell r="AF42">
            <v>50714.955959999999</v>
          </cell>
        </row>
        <row r="43">
          <cell r="C43" t="str">
            <v>BITS-614</v>
          </cell>
          <cell r="D43">
            <v>0</v>
          </cell>
          <cell r="E43" t="str">
            <v>KISHANPRASAD GANDHE</v>
          </cell>
          <cell r="F43" t="str">
            <v>HYD STP</v>
          </cell>
          <cell r="G43">
            <v>152000</v>
          </cell>
          <cell r="H43">
            <v>137746</v>
          </cell>
          <cell r="I43">
            <v>31</v>
          </cell>
          <cell r="J43">
            <v>31</v>
          </cell>
          <cell r="K43">
            <v>0</v>
          </cell>
          <cell r="L43">
            <v>31</v>
          </cell>
          <cell r="M43">
            <v>82647.600000000006</v>
          </cell>
          <cell r="N43">
            <v>33059.040000000001</v>
          </cell>
          <cell r="O43">
            <v>2083</v>
          </cell>
          <cell r="P43">
            <v>2083</v>
          </cell>
          <cell r="Q43">
            <v>17873.359999999986</v>
          </cell>
          <cell r="R43">
            <v>137746</v>
          </cell>
          <cell r="S43">
            <v>1950</v>
          </cell>
          <cell r="T43">
            <v>1441.6089999999999</v>
          </cell>
          <cell r="U43">
            <v>3975.3495600000001</v>
          </cell>
          <cell r="V43">
            <v>6887.3</v>
          </cell>
          <cell r="W43">
            <v>152000.25855999999</v>
          </cell>
          <cell r="X43">
            <v>9806</v>
          </cell>
          <cell r="Y43">
            <v>147552</v>
          </cell>
          <cell r="Z43">
            <v>17127</v>
          </cell>
          <cell r="AA43">
            <v>200</v>
          </cell>
          <cell r="AB43">
            <v>1800</v>
          </cell>
          <cell r="AC43">
            <v>839</v>
          </cell>
          <cell r="AD43">
            <v>0</v>
          </cell>
          <cell r="AE43">
            <v>19966</v>
          </cell>
          <cell r="AF43">
            <v>139890.25855999999</v>
          </cell>
        </row>
        <row r="44">
          <cell r="C44" t="str">
            <v>BITS-617</v>
          </cell>
          <cell r="D44">
            <v>0</v>
          </cell>
          <cell r="E44" t="str">
            <v>Sunnapalli Anil</v>
          </cell>
          <cell r="F44" t="str">
            <v>PUNE SEZ 1</v>
          </cell>
          <cell r="G44">
            <v>80000</v>
          </cell>
          <cell r="H44">
            <v>69580</v>
          </cell>
          <cell r="I44">
            <v>31</v>
          </cell>
          <cell r="J44">
            <v>31</v>
          </cell>
          <cell r="K44">
            <v>0</v>
          </cell>
          <cell r="L44">
            <v>31</v>
          </cell>
          <cell r="M44">
            <v>41748</v>
          </cell>
          <cell r="N44">
            <v>16699.2</v>
          </cell>
          <cell r="O44">
            <v>2083</v>
          </cell>
          <cell r="P44">
            <v>2083</v>
          </cell>
          <cell r="Q44">
            <v>6966.8000000000029</v>
          </cell>
          <cell r="R44">
            <v>69580</v>
          </cell>
          <cell r="S44">
            <v>1950</v>
          </cell>
          <cell r="T44">
            <v>1441.6089999999999</v>
          </cell>
          <cell r="U44">
            <v>2008.0787999999998</v>
          </cell>
          <cell r="V44">
            <v>3479</v>
          </cell>
          <cell r="W44">
            <v>78458.6878</v>
          </cell>
          <cell r="X44">
            <v>0</v>
          </cell>
          <cell r="Y44">
            <v>69580</v>
          </cell>
          <cell r="Z44">
            <v>0</v>
          </cell>
          <cell r="AA44">
            <v>200</v>
          </cell>
          <cell r="AB44">
            <v>1800</v>
          </cell>
          <cell r="AC44">
            <v>335</v>
          </cell>
          <cell r="AD44">
            <v>0</v>
          </cell>
          <cell r="AE44">
            <v>2335</v>
          </cell>
          <cell r="AF44">
            <v>74173.6878</v>
          </cell>
        </row>
        <row r="45">
          <cell r="C45" t="str">
            <v>BITS-619</v>
          </cell>
          <cell r="D45" t="str">
            <v>Cognizant</v>
          </cell>
          <cell r="E45" t="str">
            <v>Varsha Bollu</v>
          </cell>
          <cell r="F45">
            <v>0</v>
          </cell>
          <cell r="G45">
            <v>85000</v>
          </cell>
          <cell r="H45">
            <v>75643</v>
          </cell>
          <cell r="I45">
            <v>31</v>
          </cell>
          <cell r="J45">
            <v>31</v>
          </cell>
          <cell r="K45">
            <v>0</v>
          </cell>
          <cell r="L45">
            <v>31</v>
          </cell>
          <cell r="M45">
            <v>45385.8</v>
          </cell>
          <cell r="N45">
            <v>18154.320000000003</v>
          </cell>
          <cell r="O45">
            <v>2083</v>
          </cell>
          <cell r="P45">
            <v>2083</v>
          </cell>
          <cell r="Q45">
            <v>7936.8799999999901</v>
          </cell>
          <cell r="R45">
            <v>75643</v>
          </cell>
          <cell r="S45">
            <v>1950</v>
          </cell>
          <cell r="T45">
            <v>1441.6089999999999</v>
          </cell>
          <cell r="U45">
            <v>2183.0569799999998</v>
          </cell>
          <cell r="V45">
            <v>3782.15</v>
          </cell>
          <cell r="W45">
            <v>84999.815979999985</v>
          </cell>
          <cell r="X45">
            <v>0</v>
          </cell>
          <cell r="Y45">
            <v>75643</v>
          </cell>
          <cell r="Z45">
            <v>0</v>
          </cell>
          <cell r="AA45">
            <v>200</v>
          </cell>
          <cell r="AB45">
            <v>1800</v>
          </cell>
          <cell r="AC45">
            <v>335</v>
          </cell>
          <cell r="AD45">
            <v>0</v>
          </cell>
          <cell r="AE45">
            <v>2335</v>
          </cell>
          <cell r="AF45">
            <v>80714.815979999985</v>
          </cell>
        </row>
        <row r="46">
          <cell r="C46" t="str">
            <v>BITS-620</v>
          </cell>
          <cell r="D46" t="str">
            <v>Cognizant</v>
          </cell>
          <cell r="E46" t="str">
            <v>Bhaskar Reddy Sudha</v>
          </cell>
          <cell r="F46">
            <v>0</v>
          </cell>
          <cell r="G46">
            <v>110000</v>
          </cell>
          <cell r="H46">
            <v>98816</v>
          </cell>
          <cell r="I46">
            <v>31</v>
          </cell>
          <cell r="J46">
            <v>31</v>
          </cell>
          <cell r="K46">
            <v>0</v>
          </cell>
          <cell r="L46">
            <v>31</v>
          </cell>
          <cell r="M46">
            <v>59289.599999999999</v>
          </cell>
          <cell r="N46">
            <v>23715.84</v>
          </cell>
          <cell r="O46">
            <v>2083</v>
          </cell>
          <cell r="P46">
            <v>2083</v>
          </cell>
          <cell r="Q46">
            <v>11644.559999999998</v>
          </cell>
          <cell r="R46">
            <v>98816</v>
          </cell>
          <cell r="S46">
            <v>1950</v>
          </cell>
          <cell r="T46">
            <v>1441.6089999999999</v>
          </cell>
          <cell r="U46">
            <v>2851.8297599999996</v>
          </cell>
          <cell r="V46">
            <v>4940.8</v>
          </cell>
          <cell r="W46">
            <v>110000.23875999999</v>
          </cell>
          <cell r="X46">
            <v>0</v>
          </cell>
          <cell r="Y46">
            <v>98816</v>
          </cell>
          <cell r="Z46">
            <v>5494</v>
          </cell>
          <cell r="AA46">
            <v>200</v>
          </cell>
          <cell r="AB46">
            <v>1800</v>
          </cell>
          <cell r="AC46">
            <v>335</v>
          </cell>
          <cell r="AD46">
            <v>0</v>
          </cell>
          <cell r="AE46">
            <v>7829</v>
          </cell>
          <cell r="AF46">
            <v>100221.23875999999</v>
          </cell>
        </row>
        <row r="47">
          <cell r="C47" t="str">
            <v>BITS-645</v>
          </cell>
          <cell r="D47" t="str">
            <v>Cognizant</v>
          </cell>
          <cell r="E47" t="str">
            <v>BHARGAVI .R</v>
          </cell>
          <cell r="F47">
            <v>0</v>
          </cell>
          <cell r="G47">
            <v>105000</v>
          </cell>
          <cell r="H47">
            <v>94181</v>
          </cell>
          <cell r="I47">
            <v>31</v>
          </cell>
          <cell r="J47">
            <v>31</v>
          </cell>
          <cell r="K47">
            <v>0</v>
          </cell>
          <cell r="L47">
            <v>31</v>
          </cell>
          <cell r="M47">
            <v>56508.6</v>
          </cell>
          <cell r="N47">
            <v>22603.440000000002</v>
          </cell>
          <cell r="O47">
            <v>2083</v>
          </cell>
          <cell r="P47">
            <v>2083</v>
          </cell>
          <cell r="Q47">
            <v>10902.959999999992</v>
          </cell>
          <cell r="R47">
            <v>94181</v>
          </cell>
          <cell r="S47">
            <v>1950</v>
          </cell>
          <cell r="T47">
            <v>1441.6089999999999</v>
          </cell>
          <cell r="U47">
            <v>2718.0636599999998</v>
          </cell>
          <cell r="V47">
            <v>4709.05</v>
          </cell>
          <cell r="W47">
            <v>104999.72266</v>
          </cell>
          <cell r="X47">
            <v>0</v>
          </cell>
          <cell r="Y47">
            <v>94181</v>
          </cell>
          <cell r="Z47">
            <v>0</v>
          </cell>
          <cell r="AA47">
            <v>200</v>
          </cell>
          <cell r="AB47">
            <v>1800</v>
          </cell>
          <cell r="AC47">
            <v>378</v>
          </cell>
          <cell r="AD47">
            <v>0</v>
          </cell>
          <cell r="AE47">
            <v>2378</v>
          </cell>
          <cell r="AF47">
            <v>100671.72266</v>
          </cell>
        </row>
        <row r="48">
          <cell r="C48" t="str">
            <v>BITS-676</v>
          </cell>
          <cell r="D48" t="str">
            <v>Cognizant</v>
          </cell>
          <cell r="E48" t="str">
            <v>Siva Krishna</v>
          </cell>
          <cell r="F48">
            <v>0</v>
          </cell>
          <cell r="G48">
            <v>80000</v>
          </cell>
          <cell r="H48">
            <v>71009</v>
          </cell>
          <cell r="I48">
            <v>31</v>
          </cell>
          <cell r="J48">
            <v>29</v>
          </cell>
          <cell r="K48">
            <v>2</v>
          </cell>
          <cell r="L48">
            <v>30</v>
          </cell>
          <cell r="M48">
            <v>41231.032258064515</v>
          </cell>
          <cell r="N48">
            <v>16492.412903225806</v>
          </cell>
          <cell r="O48">
            <v>2016</v>
          </cell>
          <cell r="P48">
            <v>2016</v>
          </cell>
          <cell r="Q48">
            <v>6962.9419354838756</v>
          </cell>
          <cell r="R48">
            <v>68718.387096774197</v>
          </cell>
          <cell r="S48">
            <v>1950</v>
          </cell>
          <cell r="T48">
            <v>1441.6089999999999</v>
          </cell>
          <cell r="U48">
            <v>1983.2126516129031</v>
          </cell>
          <cell r="V48">
            <v>3435.9193548387098</v>
          </cell>
          <cell r="W48">
            <v>77529.128103225812</v>
          </cell>
          <cell r="X48">
            <v>0</v>
          </cell>
          <cell r="Y48">
            <v>68718.387096774197</v>
          </cell>
          <cell r="Z48">
            <v>0</v>
          </cell>
          <cell r="AA48">
            <v>200</v>
          </cell>
          <cell r="AB48">
            <v>1800</v>
          </cell>
          <cell r="AC48">
            <v>378</v>
          </cell>
          <cell r="AD48">
            <v>0</v>
          </cell>
          <cell r="AE48">
            <v>2378</v>
          </cell>
          <cell r="AF48">
            <v>73200.741006451615</v>
          </cell>
        </row>
        <row r="49">
          <cell r="C49" t="str">
            <v>BITS-621</v>
          </cell>
          <cell r="D49">
            <v>0</v>
          </cell>
          <cell r="E49" t="str">
            <v>ARJUN PUNDLIK JOSHI</v>
          </cell>
          <cell r="F49" t="str">
            <v>Mysore SEZ</v>
          </cell>
          <cell r="G49">
            <v>85000</v>
          </cell>
          <cell r="H49">
            <v>75643</v>
          </cell>
          <cell r="I49">
            <v>31</v>
          </cell>
          <cell r="J49">
            <v>31</v>
          </cell>
          <cell r="K49">
            <v>0</v>
          </cell>
          <cell r="L49">
            <v>31</v>
          </cell>
          <cell r="M49">
            <v>45385.8</v>
          </cell>
          <cell r="N49">
            <v>18154.320000000003</v>
          </cell>
          <cell r="O49">
            <v>2083</v>
          </cell>
          <cell r="P49">
            <v>2083</v>
          </cell>
          <cell r="Q49">
            <v>7936.8799999999901</v>
          </cell>
          <cell r="R49">
            <v>75643</v>
          </cell>
          <cell r="S49">
            <v>1950</v>
          </cell>
          <cell r="T49">
            <v>1441.6089999999999</v>
          </cell>
          <cell r="U49">
            <v>2183.0569799999998</v>
          </cell>
          <cell r="V49">
            <v>3782.15</v>
          </cell>
          <cell r="W49">
            <v>84999.815979999985</v>
          </cell>
          <cell r="X49">
            <v>1000</v>
          </cell>
          <cell r="Y49">
            <v>76643</v>
          </cell>
          <cell r="Z49">
            <v>0</v>
          </cell>
          <cell r="AA49">
            <v>200</v>
          </cell>
          <cell r="AB49">
            <v>1800</v>
          </cell>
          <cell r="AC49">
            <v>336</v>
          </cell>
          <cell r="AD49">
            <v>0</v>
          </cell>
          <cell r="AE49">
            <v>2336</v>
          </cell>
          <cell r="AF49">
            <v>81713.815979999985</v>
          </cell>
        </row>
        <row r="50">
          <cell r="C50" t="str">
            <v>BITS-624</v>
          </cell>
          <cell r="D50">
            <v>0</v>
          </cell>
          <cell r="E50" t="str">
            <v>Karthick G</v>
          </cell>
          <cell r="F50" t="str">
            <v>BNG STP</v>
          </cell>
          <cell r="G50">
            <v>100000</v>
          </cell>
          <cell r="H50">
            <v>89547</v>
          </cell>
          <cell r="I50">
            <v>31</v>
          </cell>
          <cell r="J50">
            <v>31</v>
          </cell>
          <cell r="K50">
            <v>0</v>
          </cell>
          <cell r="L50">
            <v>31</v>
          </cell>
          <cell r="M50">
            <v>53728.2</v>
          </cell>
          <cell r="N50">
            <v>21491.279999999999</v>
          </cell>
          <cell r="O50">
            <v>2083</v>
          </cell>
          <cell r="P50">
            <v>2083</v>
          </cell>
          <cell r="Q50">
            <v>10161.520000000004</v>
          </cell>
          <cell r="R50">
            <v>89547</v>
          </cell>
          <cell r="S50">
            <v>1950</v>
          </cell>
          <cell r="T50">
            <v>1441.6089999999999</v>
          </cell>
          <cell r="U50">
            <v>2584.3264199999994</v>
          </cell>
          <cell r="V50">
            <v>4477.3499999999995</v>
          </cell>
          <cell r="W50">
            <v>100000.28542</v>
          </cell>
          <cell r="X50">
            <v>0</v>
          </cell>
          <cell r="Y50">
            <v>89547</v>
          </cell>
          <cell r="Z50">
            <v>0</v>
          </cell>
          <cell r="AA50">
            <v>200</v>
          </cell>
          <cell r="AB50">
            <v>1800</v>
          </cell>
          <cell r="AC50">
            <v>336</v>
          </cell>
          <cell r="AD50">
            <v>0</v>
          </cell>
          <cell r="AE50">
            <v>2336</v>
          </cell>
          <cell r="AF50">
            <v>95714.28542</v>
          </cell>
        </row>
        <row r="51">
          <cell r="C51" t="str">
            <v>BITS-626</v>
          </cell>
          <cell r="D51">
            <v>0</v>
          </cell>
          <cell r="E51" t="str">
            <v>Somisetty VenkataKrishna</v>
          </cell>
          <cell r="F51" t="str">
            <v>BNG SEZ</v>
          </cell>
          <cell r="G51">
            <v>75000</v>
          </cell>
          <cell r="H51">
            <v>66374</v>
          </cell>
          <cell r="I51">
            <v>31</v>
          </cell>
          <cell r="J51">
            <v>30</v>
          </cell>
          <cell r="K51">
            <v>1</v>
          </cell>
          <cell r="L51">
            <v>31</v>
          </cell>
          <cell r="M51">
            <v>39824.400000000001</v>
          </cell>
          <cell r="N51">
            <v>15929.760000000002</v>
          </cell>
          <cell r="O51">
            <v>2083</v>
          </cell>
          <cell r="P51">
            <v>2083</v>
          </cell>
          <cell r="Q51">
            <v>6453.8399999999965</v>
          </cell>
          <cell r="R51">
            <v>66374</v>
          </cell>
          <cell r="S51">
            <v>1950</v>
          </cell>
          <cell r="T51">
            <v>1441.6089999999999</v>
          </cell>
          <cell r="U51">
            <v>1915.5536400000001</v>
          </cell>
          <cell r="V51">
            <v>3318.7000000000003</v>
          </cell>
          <cell r="W51">
            <v>74999.862639999992</v>
          </cell>
          <cell r="X51">
            <v>0</v>
          </cell>
          <cell r="Y51">
            <v>66374</v>
          </cell>
          <cell r="Z51">
            <v>0</v>
          </cell>
          <cell r="AA51">
            <v>200</v>
          </cell>
          <cell r="AB51">
            <v>1800</v>
          </cell>
          <cell r="AC51">
            <v>335</v>
          </cell>
          <cell r="AD51">
            <v>0</v>
          </cell>
          <cell r="AE51">
            <v>2335</v>
          </cell>
          <cell r="AF51">
            <v>70714.862639999992</v>
          </cell>
        </row>
        <row r="52">
          <cell r="C52" t="str">
            <v>BITS-629</v>
          </cell>
          <cell r="D52">
            <v>0</v>
          </cell>
          <cell r="E52" t="str">
            <v>CHEREDDY MURALI KRISHNA NAIDU</v>
          </cell>
          <cell r="F52" t="str">
            <v>BNG SEZ</v>
          </cell>
          <cell r="G52">
            <v>115000</v>
          </cell>
          <cell r="H52">
            <v>103451</v>
          </cell>
          <cell r="I52">
            <v>31</v>
          </cell>
          <cell r="J52">
            <v>30</v>
          </cell>
          <cell r="K52">
            <v>1</v>
          </cell>
          <cell r="L52">
            <v>31</v>
          </cell>
          <cell r="M52">
            <v>62070.6</v>
          </cell>
          <cell r="N52">
            <v>24828.240000000002</v>
          </cell>
          <cell r="O52">
            <v>2083</v>
          </cell>
          <cell r="P52">
            <v>2083</v>
          </cell>
          <cell r="Q52">
            <v>12386.160000000003</v>
          </cell>
          <cell r="R52">
            <v>103451</v>
          </cell>
          <cell r="S52">
            <v>1950</v>
          </cell>
          <cell r="T52">
            <v>1441.6089999999999</v>
          </cell>
          <cell r="U52">
            <v>2985.5958599999994</v>
          </cell>
          <cell r="V52">
            <v>5172.55</v>
          </cell>
          <cell r="W52">
            <v>115000.75486</v>
          </cell>
          <cell r="X52">
            <v>0</v>
          </cell>
          <cell r="Y52">
            <v>103451</v>
          </cell>
          <cell r="Z52">
            <v>8469</v>
          </cell>
          <cell r="AA52">
            <v>200</v>
          </cell>
          <cell r="AB52">
            <v>1800</v>
          </cell>
          <cell r="AC52">
            <v>336</v>
          </cell>
          <cell r="AD52">
            <v>0</v>
          </cell>
          <cell r="AE52">
            <v>10805</v>
          </cell>
          <cell r="AF52">
            <v>102245.75486</v>
          </cell>
        </row>
        <row r="53">
          <cell r="C53" t="str">
            <v>BITS-630</v>
          </cell>
          <cell r="D53">
            <v>0</v>
          </cell>
          <cell r="E53" t="str">
            <v>Gangadhar Yarabham</v>
          </cell>
          <cell r="F53" t="str">
            <v>HYD SEZ</v>
          </cell>
          <cell r="G53">
            <v>95000</v>
          </cell>
          <cell r="H53">
            <v>84912</v>
          </cell>
          <cell r="I53">
            <v>31</v>
          </cell>
          <cell r="J53">
            <v>31</v>
          </cell>
          <cell r="K53">
            <v>0</v>
          </cell>
          <cell r="L53">
            <v>31</v>
          </cell>
          <cell r="M53">
            <v>50947.199999999997</v>
          </cell>
          <cell r="N53">
            <v>20378.88</v>
          </cell>
          <cell r="O53">
            <v>2083</v>
          </cell>
          <cell r="P53">
            <v>2083</v>
          </cell>
          <cell r="Q53">
            <v>9419.9199999999983</v>
          </cell>
          <cell r="R53">
            <v>84912</v>
          </cell>
          <cell r="S53">
            <v>1950</v>
          </cell>
          <cell r="T53">
            <v>1441.6089999999999</v>
          </cell>
          <cell r="U53">
            <v>2450.5603199999996</v>
          </cell>
          <cell r="V53">
            <v>4245.5999999999995</v>
          </cell>
          <cell r="W53">
            <v>94999.769320000007</v>
          </cell>
          <cell r="X53">
            <v>0</v>
          </cell>
          <cell r="Y53">
            <v>84912</v>
          </cell>
          <cell r="Z53">
            <v>0</v>
          </cell>
          <cell r="AA53">
            <v>200</v>
          </cell>
          <cell r="AB53">
            <v>1800</v>
          </cell>
          <cell r="AC53">
            <v>377</v>
          </cell>
          <cell r="AD53">
            <v>0</v>
          </cell>
          <cell r="AE53">
            <v>2377</v>
          </cell>
          <cell r="AF53">
            <v>90672.769320000007</v>
          </cell>
        </row>
        <row r="54">
          <cell r="C54" t="str">
            <v>BITS-632</v>
          </cell>
          <cell r="D54">
            <v>0</v>
          </cell>
          <cell r="E54" t="str">
            <v>Himanshu Anand</v>
          </cell>
          <cell r="F54" t="str">
            <v>PUNE SEZ 1</v>
          </cell>
          <cell r="G54">
            <v>110000</v>
          </cell>
          <cell r="H54">
            <v>98501</v>
          </cell>
          <cell r="I54">
            <v>31</v>
          </cell>
          <cell r="J54">
            <v>31</v>
          </cell>
          <cell r="K54">
            <v>0</v>
          </cell>
          <cell r="L54">
            <v>31</v>
          </cell>
          <cell r="M54">
            <v>59100.6</v>
          </cell>
          <cell r="N54">
            <v>23640.240000000002</v>
          </cell>
          <cell r="O54">
            <v>2083</v>
          </cell>
          <cell r="P54">
            <v>2083</v>
          </cell>
          <cell r="Q54">
            <v>11594.160000000003</v>
          </cell>
          <cell r="R54">
            <v>98501</v>
          </cell>
          <cell r="S54">
            <v>1950</v>
          </cell>
          <cell r="T54">
            <v>1441.6089999999999</v>
          </cell>
          <cell r="U54">
            <v>2842.7388599999999</v>
          </cell>
          <cell r="V54">
            <v>4925.05</v>
          </cell>
          <cell r="W54">
            <v>109660.39786</v>
          </cell>
          <cell r="X54">
            <v>0</v>
          </cell>
          <cell r="Y54">
            <v>98501</v>
          </cell>
          <cell r="Z54">
            <v>6461</v>
          </cell>
          <cell r="AA54">
            <v>200</v>
          </cell>
          <cell r="AB54">
            <v>1800</v>
          </cell>
          <cell r="AC54">
            <v>336</v>
          </cell>
          <cell r="AD54">
            <v>0</v>
          </cell>
          <cell r="AE54">
            <v>8797</v>
          </cell>
          <cell r="AF54">
            <v>98913.397859999997</v>
          </cell>
        </row>
        <row r="55">
          <cell r="C55" t="str">
            <v>BITS-633</v>
          </cell>
          <cell r="D55">
            <v>0</v>
          </cell>
          <cell r="E55" t="str">
            <v>Kanchupati Kondaiah</v>
          </cell>
          <cell r="F55" t="str">
            <v>PUNE SEZ 1</v>
          </cell>
          <cell r="G55">
            <v>54000</v>
          </cell>
          <cell r="H55">
            <v>46909</v>
          </cell>
          <cell r="I55">
            <v>31</v>
          </cell>
          <cell r="J55">
            <v>27.5</v>
          </cell>
          <cell r="K55">
            <v>3.5</v>
          </cell>
          <cell r="L55">
            <v>28.5</v>
          </cell>
          <cell r="M55">
            <v>25875.609677419354</v>
          </cell>
          <cell r="N55">
            <v>10350.243870967743</v>
          </cell>
          <cell r="O55">
            <v>1915</v>
          </cell>
          <cell r="P55">
            <v>1915</v>
          </cell>
          <cell r="Q55">
            <v>3070.162580645163</v>
          </cell>
          <cell r="R55">
            <v>43126.016129032258</v>
          </cell>
          <cell r="S55">
            <v>1950</v>
          </cell>
          <cell r="T55">
            <v>1441.6089999999999</v>
          </cell>
          <cell r="U55">
            <v>1244.6168254838708</v>
          </cell>
          <cell r="V55">
            <v>2156.300806451613</v>
          </cell>
          <cell r="W55">
            <v>49918.542760967735</v>
          </cell>
          <cell r="X55">
            <v>0</v>
          </cell>
          <cell r="Y55">
            <v>43126.016129032258</v>
          </cell>
          <cell r="Z55">
            <v>0</v>
          </cell>
          <cell r="AA55">
            <v>200</v>
          </cell>
          <cell r="AB55">
            <v>1800</v>
          </cell>
          <cell r="AC55">
            <v>336</v>
          </cell>
          <cell r="AD55">
            <v>0</v>
          </cell>
          <cell r="AE55">
            <v>2336</v>
          </cell>
          <cell r="AF55">
            <v>45632.526631935478</v>
          </cell>
        </row>
        <row r="56">
          <cell r="C56" t="str">
            <v>BITS-634</v>
          </cell>
          <cell r="D56">
            <v>0</v>
          </cell>
          <cell r="E56" t="str">
            <v>Santosh Patel</v>
          </cell>
          <cell r="F56" t="str">
            <v>PUNE SEZ 1</v>
          </cell>
          <cell r="G56">
            <v>145000</v>
          </cell>
          <cell r="H56">
            <v>131257</v>
          </cell>
          <cell r="I56">
            <v>31</v>
          </cell>
          <cell r="J56">
            <v>31</v>
          </cell>
          <cell r="K56">
            <v>0</v>
          </cell>
          <cell r="L56">
            <v>31</v>
          </cell>
          <cell r="M56">
            <v>78754.2</v>
          </cell>
          <cell r="N56">
            <v>31501.68</v>
          </cell>
          <cell r="O56">
            <v>2083</v>
          </cell>
          <cell r="P56">
            <v>2083</v>
          </cell>
          <cell r="Q56">
            <v>16835.119999999995</v>
          </cell>
          <cell r="R56">
            <v>131257</v>
          </cell>
          <cell r="S56">
            <v>1950</v>
          </cell>
          <cell r="T56">
            <v>1441.6089999999999</v>
          </cell>
          <cell r="U56">
            <v>3788.0770199999993</v>
          </cell>
          <cell r="V56">
            <v>6562.8499999999995</v>
          </cell>
          <cell r="W56">
            <v>144999.53602</v>
          </cell>
          <cell r="X56">
            <v>0</v>
          </cell>
          <cell r="Y56">
            <v>131257</v>
          </cell>
          <cell r="Z56">
            <v>17416</v>
          </cell>
          <cell r="AA56">
            <v>200</v>
          </cell>
          <cell r="AB56">
            <v>1800</v>
          </cell>
          <cell r="AC56">
            <v>336</v>
          </cell>
          <cell r="AD56">
            <v>0</v>
          </cell>
          <cell r="AE56">
            <v>19752</v>
          </cell>
          <cell r="AF56">
            <v>123297.53602</v>
          </cell>
        </row>
        <row r="57">
          <cell r="C57" t="str">
            <v>BITS-635</v>
          </cell>
          <cell r="D57">
            <v>0</v>
          </cell>
          <cell r="E57" t="str">
            <v>Saleem Ahmed Natamkar</v>
          </cell>
          <cell r="F57" t="str">
            <v>BNG SEZ</v>
          </cell>
          <cell r="G57">
            <v>75000</v>
          </cell>
          <cell r="H57">
            <v>66374</v>
          </cell>
          <cell r="I57">
            <v>31</v>
          </cell>
          <cell r="J57">
            <v>0</v>
          </cell>
          <cell r="K57">
            <v>0</v>
          </cell>
          <cell r="L57">
            <v>0</v>
          </cell>
          <cell r="M57">
            <v>0</v>
          </cell>
          <cell r="N57">
            <v>0</v>
          </cell>
          <cell r="O57">
            <v>0</v>
          </cell>
          <cell r="P57">
            <v>0</v>
          </cell>
          <cell r="Q57">
            <v>0</v>
          </cell>
          <cell r="R57">
            <v>0</v>
          </cell>
          <cell r="S57">
            <v>0</v>
          </cell>
          <cell r="T57">
            <v>1441.6089999999999</v>
          </cell>
          <cell r="U57">
            <v>0</v>
          </cell>
          <cell r="V57">
            <v>0</v>
          </cell>
          <cell r="W57">
            <v>1441.6089999999999</v>
          </cell>
          <cell r="X57">
            <v>0</v>
          </cell>
          <cell r="Y57">
            <v>0</v>
          </cell>
          <cell r="Z57">
            <v>0</v>
          </cell>
          <cell r="AA57">
            <v>0</v>
          </cell>
          <cell r="AB57">
            <v>0</v>
          </cell>
          <cell r="AC57">
            <v>377</v>
          </cell>
          <cell r="AD57">
            <v>0</v>
          </cell>
          <cell r="AE57">
            <v>377</v>
          </cell>
          <cell r="AF57">
            <v>1064.6089999999999</v>
          </cell>
        </row>
        <row r="58">
          <cell r="C58" t="str">
            <v>BITS-637</v>
          </cell>
          <cell r="D58">
            <v>0</v>
          </cell>
          <cell r="E58" t="str">
            <v>Sambasivarao M left</v>
          </cell>
          <cell r="F58" t="str">
            <v>BNG STP</v>
          </cell>
          <cell r="G58">
            <v>105000</v>
          </cell>
          <cell r="H58">
            <v>94181</v>
          </cell>
          <cell r="I58">
            <v>31</v>
          </cell>
          <cell r="J58">
            <v>31</v>
          </cell>
          <cell r="K58">
            <v>0</v>
          </cell>
          <cell r="L58">
            <v>31</v>
          </cell>
          <cell r="M58">
            <v>56508.6</v>
          </cell>
          <cell r="N58">
            <v>22603.440000000002</v>
          </cell>
          <cell r="O58">
            <v>2083</v>
          </cell>
          <cell r="P58">
            <v>2083</v>
          </cell>
          <cell r="Q58">
            <v>10902.959999999992</v>
          </cell>
          <cell r="R58">
            <v>94181</v>
          </cell>
          <cell r="S58">
            <v>1950</v>
          </cell>
          <cell r="T58">
            <v>1441.6089999999999</v>
          </cell>
          <cell r="U58">
            <v>2718.0636599999998</v>
          </cell>
          <cell r="V58">
            <v>4709.05</v>
          </cell>
          <cell r="W58">
            <v>104999.72266</v>
          </cell>
          <cell r="X58">
            <v>0</v>
          </cell>
          <cell r="Y58">
            <v>94181</v>
          </cell>
          <cell r="Z58">
            <v>0</v>
          </cell>
          <cell r="AA58">
            <v>200</v>
          </cell>
          <cell r="AB58">
            <v>1800</v>
          </cell>
          <cell r="AC58">
            <v>224</v>
          </cell>
          <cell r="AD58">
            <v>0</v>
          </cell>
          <cell r="AE58">
            <v>2224</v>
          </cell>
          <cell r="AF58">
            <v>100825.72266</v>
          </cell>
        </row>
        <row r="59">
          <cell r="C59" t="str">
            <v>BITS-638</v>
          </cell>
          <cell r="D59">
            <v>0</v>
          </cell>
          <cell r="E59" t="str">
            <v>Basweshwar Pawar</v>
          </cell>
          <cell r="F59" t="str">
            <v>PUNE SEZ 1</v>
          </cell>
          <cell r="G59">
            <v>100000</v>
          </cell>
          <cell r="H59">
            <v>89547</v>
          </cell>
          <cell r="I59">
            <v>31</v>
          </cell>
          <cell r="J59">
            <v>31</v>
          </cell>
          <cell r="K59">
            <v>0</v>
          </cell>
          <cell r="L59">
            <v>31</v>
          </cell>
          <cell r="M59">
            <v>53728.2</v>
          </cell>
          <cell r="N59">
            <v>21491.279999999999</v>
          </cell>
          <cell r="O59">
            <v>2083</v>
          </cell>
          <cell r="P59">
            <v>2083</v>
          </cell>
          <cell r="Q59">
            <v>10161.520000000004</v>
          </cell>
          <cell r="R59">
            <v>89547</v>
          </cell>
          <cell r="S59">
            <v>1950</v>
          </cell>
          <cell r="T59">
            <v>1441.6089999999999</v>
          </cell>
          <cell r="U59">
            <v>2584.3264199999994</v>
          </cell>
          <cell r="V59">
            <v>4477.3499999999995</v>
          </cell>
          <cell r="W59">
            <v>100000.28542</v>
          </cell>
          <cell r="X59">
            <v>0</v>
          </cell>
          <cell r="Y59">
            <v>89547</v>
          </cell>
          <cell r="Z59">
            <v>0</v>
          </cell>
          <cell r="AA59">
            <v>200</v>
          </cell>
          <cell r="AB59">
            <v>1800</v>
          </cell>
          <cell r="AC59">
            <v>224</v>
          </cell>
          <cell r="AD59">
            <v>0</v>
          </cell>
          <cell r="AE59">
            <v>2224</v>
          </cell>
          <cell r="AF59">
            <v>95826.28542</v>
          </cell>
        </row>
        <row r="60">
          <cell r="C60" t="str">
            <v>BITS-640</v>
          </cell>
          <cell r="D60">
            <v>0</v>
          </cell>
          <cell r="E60" t="str">
            <v>K V Kannan</v>
          </cell>
          <cell r="F60" t="str">
            <v>BNG STP</v>
          </cell>
          <cell r="G60">
            <v>43000</v>
          </cell>
          <cell r="H60">
            <v>36713</v>
          </cell>
          <cell r="I60">
            <v>31</v>
          </cell>
          <cell r="J60">
            <v>30</v>
          </cell>
          <cell r="K60">
            <v>1</v>
          </cell>
          <cell r="L60">
            <v>31</v>
          </cell>
          <cell r="M60">
            <v>22027.8</v>
          </cell>
          <cell r="N60">
            <v>8811.1200000000008</v>
          </cell>
          <cell r="O60">
            <v>2083</v>
          </cell>
          <cell r="P60">
            <v>2083</v>
          </cell>
          <cell r="Q60">
            <v>1708.0800000000017</v>
          </cell>
          <cell r="R60">
            <v>36713</v>
          </cell>
          <cell r="S60">
            <v>1950</v>
          </cell>
          <cell r="T60">
            <v>1441.6089999999999</v>
          </cell>
          <cell r="U60">
            <v>1059.53718</v>
          </cell>
          <cell r="V60">
            <v>1835.6499999999999</v>
          </cell>
          <cell r="W60">
            <v>42999.796179999998</v>
          </cell>
          <cell r="X60">
            <v>0</v>
          </cell>
          <cell r="Y60">
            <v>36713</v>
          </cell>
          <cell r="Z60">
            <v>0</v>
          </cell>
          <cell r="AA60">
            <v>200</v>
          </cell>
          <cell r="AB60">
            <v>1800</v>
          </cell>
          <cell r="AC60">
            <v>252</v>
          </cell>
          <cell r="AD60">
            <v>0</v>
          </cell>
          <cell r="AE60">
            <v>2252</v>
          </cell>
          <cell r="AF60">
            <v>38797.796179999998</v>
          </cell>
        </row>
        <row r="61">
          <cell r="C61" t="str">
            <v>BITS-641</v>
          </cell>
          <cell r="D61">
            <v>0</v>
          </cell>
          <cell r="E61" t="str">
            <v>Thanigaivel.J</v>
          </cell>
          <cell r="F61" t="str">
            <v>BNG STP</v>
          </cell>
          <cell r="G61">
            <v>43000</v>
          </cell>
          <cell r="H61">
            <v>36713</v>
          </cell>
          <cell r="I61">
            <v>31</v>
          </cell>
          <cell r="J61">
            <v>31</v>
          </cell>
          <cell r="K61">
            <v>0</v>
          </cell>
          <cell r="L61">
            <v>31</v>
          </cell>
          <cell r="M61">
            <v>22027.8</v>
          </cell>
          <cell r="N61">
            <v>8811.1200000000008</v>
          </cell>
          <cell r="O61">
            <v>2083</v>
          </cell>
          <cell r="P61">
            <v>2083</v>
          </cell>
          <cell r="Q61">
            <v>1708.0800000000017</v>
          </cell>
          <cell r="R61">
            <v>36713</v>
          </cell>
          <cell r="S61">
            <v>1950</v>
          </cell>
          <cell r="T61">
            <v>1441.6089999999999</v>
          </cell>
          <cell r="U61">
            <v>1059.53718</v>
          </cell>
          <cell r="V61">
            <v>1835.6499999999999</v>
          </cell>
          <cell r="W61">
            <v>42999.796179999998</v>
          </cell>
          <cell r="X61">
            <v>0</v>
          </cell>
          <cell r="Y61">
            <v>36713</v>
          </cell>
          <cell r="Z61">
            <v>0</v>
          </cell>
          <cell r="AA61">
            <v>200</v>
          </cell>
          <cell r="AB61">
            <v>1800</v>
          </cell>
          <cell r="AC61">
            <v>224</v>
          </cell>
          <cell r="AD61">
            <v>0</v>
          </cell>
          <cell r="AE61">
            <v>2224</v>
          </cell>
          <cell r="AF61">
            <v>38825.796179999998</v>
          </cell>
        </row>
        <row r="62">
          <cell r="C62" t="str">
            <v>BITS-644</v>
          </cell>
          <cell r="D62">
            <v>0</v>
          </cell>
          <cell r="E62" t="str">
            <v>gopi reddy chirra</v>
          </cell>
          <cell r="F62" t="str">
            <v>Chandigarh</v>
          </cell>
          <cell r="G62">
            <v>66000</v>
          </cell>
          <cell r="H62">
            <v>58032</v>
          </cell>
          <cell r="I62">
            <v>31</v>
          </cell>
          <cell r="J62">
            <v>30</v>
          </cell>
          <cell r="K62">
            <v>1</v>
          </cell>
          <cell r="L62">
            <v>31</v>
          </cell>
          <cell r="M62">
            <v>34819.199999999997</v>
          </cell>
          <cell r="N62">
            <v>13927.68</v>
          </cell>
          <cell r="O62">
            <v>2083</v>
          </cell>
          <cell r="P62">
            <v>2083</v>
          </cell>
          <cell r="Q62">
            <v>5119.1200000000026</v>
          </cell>
          <cell r="R62">
            <v>58032</v>
          </cell>
          <cell r="S62">
            <v>1950</v>
          </cell>
          <cell r="T62">
            <v>1441.6089999999999</v>
          </cell>
          <cell r="U62">
            <v>1674.8035199999999</v>
          </cell>
          <cell r="V62">
            <v>2901.6</v>
          </cell>
          <cell r="W62">
            <v>66000.012519999989</v>
          </cell>
          <cell r="X62">
            <v>0</v>
          </cell>
          <cell r="Y62">
            <v>58032</v>
          </cell>
          <cell r="Z62">
            <v>0</v>
          </cell>
          <cell r="AA62">
            <v>200</v>
          </cell>
          <cell r="AB62">
            <v>1800</v>
          </cell>
          <cell r="AC62">
            <v>224</v>
          </cell>
          <cell r="AD62">
            <v>0</v>
          </cell>
          <cell r="AE62">
            <v>2224</v>
          </cell>
          <cell r="AF62">
            <v>61826.012519999997</v>
          </cell>
        </row>
        <row r="63">
          <cell r="C63" t="str">
            <v>BITS-645</v>
          </cell>
          <cell r="D63">
            <v>0</v>
          </cell>
          <cell r="E63" t="str">
            <v>Anil kumar Redd kusam</v>
          </cell>
          <cell r="F63" t="str">
            <v>BNG STP</v>
          </cell>
          <cell r="G63">
            <v>90000</v>
          </cell>
          <cell r="H63">
            <v>80278</v>
          </cell>
          <cell r="I63">
            <v>31</v>
          </cell>
          <cell r="J63">
            <v>31</v>
          </cell>
          <cell r="K63">
            <v>0</v>
          </cell>
          <cell r="L63">
            <v>31</v>
          </cell>
          <cell r="M63">
            <v>48166.8</v>
          </cell>
          <cell r="N63">
            <v>19266.72</v>
          </cell>
          <cell r="O63">
            <v>2083</v>
          </cell>
          <cell r="P63">
            <v>2083</v>
          </cell>
          <cell r="Q63">
            <v>8678.4799999999959</v>
          </cell>
          <cell r="R63">
            <v>80278</v>
          </cell>
          <cell r="S63">
            <v>1950</v>
          </cell>
          <cell r="T63">
            <v>1441.6089999999999</v>
          </cell>
          <cell r="U63">
            <v>2316.8230800000001</v>
          </cell>
          <cell r="V63">
            <v>4013.9</v>
          </cell>
          <cell r="W63">
            <v>90000.332079999993</v>
          </cell>
          <cell r="X63">
            <v>0</v>
          </cell>
          <cell r="Y63">
            <v>80278</v>
          </cell>
          <cell r="Z63">
            <v>0</v>
          </cell>
          <cell r="AA63">
            <v>200</v>
          </cell>
          <cell r="AB63">
            <v>1800</v>
          </cell>
          <cell r="AC63">
            <v>224</v>
          </cell>
          <cell r="AD63">
            <v>0</v>
          </cell>
          <cell r="AE63">
            <v>2224</v>
          </cell>
          <cell r="AF63">
            <v>85826.332079999993</v>
          </cell>
        </row>
        <row r="64">
          <cell r="C64" t="str">
            <v>BITS-646</v>
          </cell>
          <cell r="D64">
            <v>0</v>
          </cell>
          <cell r="E64" t="str">
            <v>Vijay Kumar Sundara</v>
          </cell>
          <cell r="F64" t="str">
            <v>HYD STP</v>
          </cell>
          <cell r="G64">
            <v>90000</v>
          </cell>
          <cell r="H64">
            <v>80278</v>
          </cell>
          <cell r="I64">
            <v>31</v>
          </cell>
          <cell r="J64">
            <v>29</v>
          </cell>
          <cell r="K64">
            <v>2</v>
          </cell>
          <cell r="L64">
            <v>30</v>
          </cell>
          <cell r="M64">
            <v>46613.032258064515</v>
          </cell>
          <cell r="N64">
            <v>18645.212903225805</v>
          </cell>
          <cell r="O64">
            <v>2016</v>
          </cell>
          <cell r="P64">
            <v>2016</v>
          </cell>
          <cell r="Q64">
            <v>8398.1419354838727</v>
          </cell>
          <cell r="R64">
            <v>77688.387096774197</v>
          </cell>
          <cell r="S64">
            <v>1950</v>
          </cell>
          <cell r="T64">
            <v>1441.6089999999999</v>
          </cell>
          <cell r="U64">
            <v>2242.086851612903</v>
          </cell>
          <cell r="V64">
            <v>3884.4193548387098</v>
          </cell>
          <cell r="W64">
            <v>87206.502303225803</v>
          </cell>
          <cell r="X64">
            <v>0</v>
          </cell>
          <cell r="Y64">
            <v>77688.387096774197</v>
          </cell>
          <cell r="Z64">
            <v>0</v>
          </cell>
          <cell r="AA64">
            <v>200</v>
          </cell>
          <cell r="AB64">
            <v>1800</v>
          </cell>
          <cell r="AC64">
            <v>224</v>
          </cell>
          <cell r="AD64">
            <v>0</v>
          </cell>
          <cell r="AE64">
            <v>2224</v>
          </cell>
          <cell r="AF64">
            <v>83032.115206451606</v>
          </cell>
        </row>
        <row r="65">
          <cell r="C65" t="str">
            <v>BITS-649</v>
          </cell>
          <cell r="D65">
            <v>0</v>
          </cell>
          <cell r="E65" t="str">
            <v>Paparao</v>
          </cell>
          <cell r="F65">
            <v>44629</v>
          </cell>
          <cell r="G65">
            <v>125000</v>
          </cell>
          <cell r="H65">
            <v>112719</v>
          </cell>
          <cell r="I65">
            <v>31</v>
          </cell>
          <cell r="J65">
            <v>9</v>
          </cell>
          <cell r="K65">
            <v>0</v>
          </cell>
          <cell r="L65">
            <v>9</v>
          </cell>
          <cell r="M65">
            <v>19634.922580645161</v>
          </cell>
          <cell r="N65">
            <v>7853.9690322580645</v>
          </cell>
          <cell r="O65">
            <v>605</v>
          </cell>
          <cell r="P65">
            <v>605</v>
          </cell>
          <cell r="Q65">
            <v>4025.9793548387097</v>
          </cell>
          <cell r="R65">
            <v>32724.870967741936</v>
          </cell>
          <cell r="S65">
            <v>1950</v>
          </cell>
          <cell r="T65">
            <v>1441.6089999999999</v>
          </cell>
          <cell r="U65">
            <v>944.43977612903223</v>
          </cell>
          <cell r="V65">
            <v>1636.2435483870968</v>
          </cell>
          <cell r="W65">
            <v>38697.163292258061</v>
          </cell>
          <cell r="X65">
            <v>0</v>
          </cell>
          <cell r="Y65">
            <v>32724.870967741936</v>
          </cell>
          <cell r="Z65">
            <v>0</v>
          </cell>
          <cell r="AA65">
            <v>200</v>
          </cell>
          <cell r="AB65">
            <v>1800</v>
          </cell>
          <cell r="AC65">
            <v>224</v>
          </cell>
          <cell r="AD65">
            <v>0</v>
          </cell>
          <cell r="AE65">
            <v>2224</v>
          </cell>
          <cell r="AF65">
            <v>34523.292324516129</v>
          </cell>
        </row>
        <row r="66">
          <cell r="C66" t="str">
            <v>BITS-650</v>
          </cell>
          <cell r="D66">
            <v>0</v>
          </cell>
          <cell r="E66" t="str">
            <v>Bhaskar Idagottu</v>
          </cell>
          <cell r="F66">
            <v>0</v>
          </cell>
          <cell r="G66">
            <v>125000</v>
          </cell>
          <cell r="H66">
            <v>112719</v>
          </cell>
          <cell r="I66">
            <v>31</v>
          </cell>
          <cell r="J66">
            <v>30</v>
          </cell>
          <cell r="K66">
            <v>1</v>
          </cell>
          <cell r="L66">
            <v>31</v>
          </cell>
          <cell r="M66">
            <v>67631.399999999994</v>
          </cell>
          <cell r="N66">
            <v>27052.559999999998</v>
          </cell>
          <cell r="O66">
            <v>2083</v>
          </cell>
          <cell r="P66">
            <v>2083</v>
          </cell>
          <cell r="Q66">
            <v>13869.040000000008</v>
          </cell>
          <cell r="R66">
            <v>112719</v>
          </cell>
          <cell r="S66">
            <v>0</v>
          </cell>
          <cell r="T66">
            <v>1441.6089999999999</v>
          </cell>
          <cell r="U66">
            <v>3253.0703399999993</v>
          </cell>
          <cell r="V66">
            <v>5635.95</v>
          </cell>
          <cell r="W66">
            <v>123049.62934</v>
          </cell>
          <cell r="X66">
            <v>0</v>
          </cell>
          <cell r="Y66">
            <v>112719</v>
          </cell>
          <cell r="Z66">
            <v>4446</v>
          </cell>
          <cell r="AA66">
            <v>200</v>
          </cell>
          <cell r="AB66">
            <v>0</v>
          </cell>
          <cell r="AC66">
            <v>0</v>
          </cell>
          <cell r="AD66">
            <v>0</v>
          </cell>
          <cell r="AE66">
            <v>4646</v>
          </cell>
          <cell r="AF66">
            <v>118403.62934</v>
          </cell>
        </row>
        <row r="67">
          <cell r="C67" t="str">
            <v>BITS-651</v>
          </cell>
          <cell r="D67">
            <v>0</v>
          </cell>
          <cell r="E67" t="str">
            <v>Snehal Shirsat</v>
          </cell>
          <cell r="F67" t="str">
            <v>PUNE ASC SEZ</v>
          </cell>
          <cell r="G67">
            <v>67000</v>
          </cell>
          <cell r="H67">
            <v>58959</v>
          </cell>
          <cell r="I67">
            <v>31</v>
          </cell>
          <cell r="J67">
            <v>30</v>
          </cell>
          <cell r="K67">
            <v>1</v>
          </cell>
          <cell r="L67">
            <v>31</v>
          </cell>
          <cell r="M67">
            <v>35375.4</v>
          </cell>
          <cell r="N67">
            <v>14150.160000000002</v>
          </cell>
          <cell r="O67">
            <v>2083</v>
          </cell>
          <cell r="P67">
            <v>2083</v>
          </cell>
          <cell r="Q67">
            <v>5267.4399999999951</v>
          </cell>
          <cell r="R67">
            <v>58959</v>
          </cell>
          <cell r="S67">
            <v>1950</v>
          </cell>
          <cell r="T67">
            <v>1441.6089999999999</v>
          </cell>
          <cell r="U67">
            <v>1701.55674</v>
          </cell>
          <cell r="V67">
            <v>2947.9500000000003</v>
          </cell>
          <cell r="W67">
            <v>67000.115739999994</v>
          </cell>
          <cell r="X67">
            <v>0</v>
          </cell>
          <cell r="Y67">
            <v>58959</v>
          </cell>
          <cell r="Z67">
            <v>0</v>
          </cell>
          <cell r="AA67">
            <v>200</v>
          </cell>
          <cell r="AB67">
            <v>1800</v>
          </cell>
          <cell r="AC67">
            <v>254</v>
          </cell>
          <cell r="AD67">
            <v>0</v>
          </cell>
          <cell r="AE67">
            <v>2254</v>
          </cell>
          <cell r="AF67">
            <v>62796.115739999994</v>
          </cell>
        </row>
        <row r="68">
          <cell r="C68" t="str">
            <v>BITS-652</v>
          </cell>
          <cell r="D68">
            <v>0</v>
          </cell>
          <cell r="E68" t="str">
            <v>Shaikh Mohammed Sartaj</v>
          </cell>
          <cell r="F68" t="str">
            <v>PUNE SEZ 2</v>
          </cell>
          <cell r="G68">
            <v>90000</v>
          </cell>
          <cell r="H68">
            <v>80278</v>
          </cell>
          <cell r="I68">
            <v>31</v>
          </cell>
          <cell r="J68">
            <v>27</v>
          </cell>
          <cell r="K68">
            <v>4</v>
          </cell>
          <cell r="L68">
            <v>28</v>
          </cell>
          <cell r="M68">
            <v>43505.49677419354</v>
          </cell>
          <cell r="N68">
            <v>17402.198709677417</v>
          </cell>
          <cell r="O68">
            <v>1881</v>
          </cell>
          <cell r="P68">
            <v>1881</v>
          </cell>
          <cell r="Q68">
            <v>7839.4658064516188</v>
          </cell>
          <cell r="R68">
            <v>72509.161290322576</v>
          </cell>
          <cell r="S68">
            <v>1950</v>
          </cell>
          <cell r="T68">
            <v>1441.6089999999999</v>
          </cell>
          <cell r="U68">
            <v>2092.6143948387089</v>
          </cell>
          <cell r="V68">
            <v>3625.4580645161282</v>
          </cell>
          <cell r="W68">
            <v>81618.842749677395</v>
          </cell>
          <cell r="X68">
            <v>0</v>
          </cell>
          <cell r="Y68">
            <v>72509.161290322576</v>
          </cell>
          <cell r="Z68">
            <v>0</v>
          </cell>
          <cell r="AA68">
            <v>200</v>
          </cell>
          <cell r="AB68">
            <v>1800</v>
          </cell>
          <cell r="AC68">
            <v>254</v>
          </cell>
          <cell r="AD68">
            <v>0</v>
          </cell>
          <cell r="AE68">
            <v>2254</v>
          </cell>
          <cell r="AF68">
            <v>77414.681459354833</v>
          </cell>
        </row>
        <row r="69">
          <cell r="C69" t="str">
            <v>BITS-654</v>
          </cell>
          <cell r="D69">
            <v>0</v>
          </cell>
          <cell r="E69" t="str">
            <v>Dinesh Kumar Maran</v>
          </cell>
          <cell r="F69" t="str">
            <v>Chennai STP</v>
          </cell>
          <cell r="G69">
            <v>50000</v>
          </cell>
          <cell r="H69">
            <v>43202</v>
          </cell>
          <cell r="I69">
            <v>31</v>
          </cell>
          <cell r="J69">
            <v>30</v>
          </cell>
          <cell r="K69">
            <v>1</v>
          </cell>
          <cell r="L69">
            <v>31</v>
          </cell>
          <cell r="M69">
            <v>25921.200000000001</v>
          </cell>
          <cell r="N69">
            <v>10368.480000000001</v>
          </cell>
          <cell r="O69">
            <v>2083</v>
          </cell>
          <cell r="P69">
            <v>2083</v>
          </cell>
          <cell r="Q69">
            <v>2746.3199999999997</v>
          </cell>
          <cell r="R69">
            <v>43202</v>
          </cell>
          <cell r="S69">
            <v>1950</v>
          </cell>
          <cell r="T69">
            <v>1441.6089999999999</v>
          </cell>
          <cell r="U69">
            <v>1246.80972</v>
          </cell>
          <cell r="V69">
            <v>2160.1</v>
          </cell>
          <cell r="W69">
            <v>50000.518719999993</v>
          </cell>
          <cell r="X69">
            <v>0</v>
          </cell>
          <cell r="Y69">
            <v>43202</v>
          </cell>
          <cell r="Z69">
            <v>0</v>
          </cell>
          <cell r="AA69">
            <v>200</v>
          </cell>
          <cell r="AB69">
            <v>1800</v>
          </cell>
          <cell r="AC69">
            <v>254</v>
          </cell>
          <cell r="AD69">
            <v>0</v>
          </cell>
          <cell r="AE69">
            <v>2254</v>
          </cell>
          <cell r="AF69">
            <v>45796.518719999993</v>
          </cell>
        </row>
        <row r="70">
          <cell r="C70" t="str">
            <v>BITS-656</v>
          </cell>
          <cell r="D70">
            <v>0</v>
          </cell>
          <cell r="E70" t="str">
            <v>Ranjith Kumar Karanam</v>
          </cell>
          <cell r="F70" t="str">
            <v>HYD STP</v>
          </cell>
          <cell r="G70">
            <v>120000</v>
          </cell>
          <cell r="H70">
            <v>108085</v>
          </cell>
          <cell r="I70">
            <v>31</v>
          </cell>
          <cell r="J70">
            <v>31</v>
          </cell>
          <cell r="K70">
            <v>0</v>
          </cell>
          <cell r="L70">
            <v>31</v>
          </cell>
          <cell r="M70">
            <v>64851</v>
          </cell>
          <cell r="N70">
            <v>25940.400000000001</v>
          </cell>
          <cell r="O70">
            <v>2083</v>
          </cell>
          <cell r="P70">
            <v>2083</v>
          </cell>
          <cell r="Q70">
            <v>13127.600000000006</v>
          </cell>
          <cell r="R70">
            <v>108085</v>
          </cell>
          <cell r="S70">
            <v>1950</v>
          </cell>
          <cell r="T70">
            <v>1441.6089999999999</v>
          </cell>
          <cell r="U70">
            <v>3119.3330999999998</v>
          </cell>
          <cell r="V70">
            <v>5404.25</v>
          </cell>
          <cell r="W70">
            <v>120000.1921</v>
          </cell>
          <cell r="X70">
            <v>0</v>
          </cell>
          <cell r="Y70">
            <v>108085</v>
          </cell>
          <cell r="Z70">
            <v>0</v>
          </cell>
          <cell r="AA70">
            <v>200</v>
          </cell>
          <cell r="AB70">
            <v>1800</v>
          </cell>
          <cell r="AC70">
            <v>254</v>
          </cell>
          <cell r="AD70">
            <v>0</v>
          </cell>
          <cell r="AE70">
            <v>2254</v>
          </cell>
          <cell r="AF70">
            <v>115796.1921</v>
          </cell>
        </row>
        <row r="71">
          <cell r="C71" t="str">
            <v>BITS-657</v>
          </cell>
          <cell r="D71">
            <v>0</v>
          </cell>
          <cell r="E71" t="str">
            <v>Shashanki Mishra 15-3-2022</v>
          </cell>
          <cell r="F71" t="str">
            <v>PUNE ASC SEZ</v>
          </cell>
          <cell r="G71">
            <v>55000</v>
          </cell>
          <cell r="H71">
            <v>47836</v>
          </cell>
          <cell r="I71">
            <v>31</v>
          </cell>
          <cell r="J71">
            <v>15</v>
          </cell>
          <cell r="K71">
            <v>0</v>
          </cell>
          <cell r="L71">
            <v>15</v>
          </cell>
          <cell r="M71">
            <v>13887.870967741937</v>
          </cell>
          <cell r="N71">
            <v>5555.148387096775</v>
          </cell>
          <cell r="O71">
            <v>1008</v>
          </cell>
          <cell r="P71">
            <v>1008</v>
          </cell>
          <cell r="Q71">
            <v>1687.4322580645166</v>
          </cell>
          <cell r="R71">
            <v>23146.451612903227</v>
          </cell>
          <cell r="S71">
            <v>1805.4232258064519</v>
          </cell>
          <cell r="T71">
            <v>1441.6089999999999</v>
          </cell>
          <cell r="U71">
            <v>668.00659354838717</v>
          </cell>
          <cell r="V71">
            <v>1157.3225806451615</v>
          </cell>
          <cell r="W71">
            <v>28218.813012903229</v>
          </cell>
          <cell r="X71">
            <v>0</v>
          </cell>
          <cell r="Y71">
            <v>23146.451612903227</v>
          </cell>
          <cell r="Z71">
            <v>0</v>
          </cell>
          <cell r="AA71">
            <v>200</v>
          </cell>
          <cell r="AB71">
            <v>1667</v>
          </cell>
          <cell r="AC71">
            <v>254</v>
          </cell>
          <cell r="AD71">
            <v>0</v>
          </cell>
          <cell r="AE71">
            <v>2121</v>
          </cell>
          <cell r="AF71">
            <v>24291.93817419355</v>
          </cell>
        </row>
        <row r="72">
          <cell r="C72" t="str">
            <v>BITS-658</v>
          </cell>
          <cell r="D72">
            <v>0</v>
          </cell>
          <cell r="E72" t="str">
            <v>Anjali Dubey</v>
          </cell>
          <cell r="F72" t="str">
            <v>PUNE ASC SEZ</v>
          </cell>
          <cell r="G72">
            <v>67000</v>
          </cell>
          <cell r="H72">
            <v>58959</v>
          </cell>
          <cell r="I72">
            <v>31</v>
          </cell>
          <cell r="J72">
            <v>30</v>
          </cell>
          <cell r="K72">
            <v>1</v>
          </cell>
          <cell r="L72">
            <v>31</v>
          </cell>
          <cell r="M72">
            <v>35375.4</v>
          </cell>
          <cell r="N72">
            <v>14150.160000000002</v>
          </cell>
          <cell r="O72">
            <v>2083</v>
          </cell>
          <cell r="P72">
            <v>2083</v>
          </cell>
          <cell r="Q72">
            <v>5267.4399999999951</v>
          </cell>
          <cell r="R72">
            <v>58959</v>
          </cell>
          <cell r="S72">
            <v>1950</v>
          </cell>
          <cell r="T72">
            <v>1441.6089999999999</v>
          </cell>
          <cell r="U72">
            <v>1701.55674</v>
          </cell>
          <cell r="V72">
            <v>2947.9500000000003</v>
          </cell>
          <cell r="W72">
            <v>67000.115739999994</v>
          </cell>
          <cell r="X72">
            <v>0</v>
          </cell>
          <cell r="Y72">
            <v>58959</v>
          </cell>
          <cell r="Z72">
            <v>0</v>
          </cell>
          <cell r="AA72">
            <v>200</v>
          </cell>
          <cell r="AB72">
            <v>1800</v>
          </cell>
          <cell r="AC72">
            <v>254</v>
          </cell>
          <cell r="AD72">
            <v>0</v>
          </cell>
          <cell r="AE72">
            <v>2254</v>
          </cell>
          <cell r="AF72">
            <v>62796.115739999994</v>
          </cell>
        </row>
        <row r="73">
          <cell r="C73" t="str">
            <v>BITS-659</v>
          </cell>
          <cell r="D73">
            <v>0</v>
          </cell>
          <cell r="E73" t="str">
            <v>Manzoor Ahamed</v>
          </cell>
          <cell r="F73" t="str">
            <v>BNG STP</v>
          </cell>
          <cell r="G73">
            <v>245000</v>
          </cell>
          <cell r="H73">
            <v>223948</v>
          </cell>
          <cell r="I73">
            <v>31</v>
          </cell>
          <cell r="J73">
            <v>31</v>
          </cell>
          <cell r="K73">
            <v>0</v>
          </cell>
          <cell r="L73">
            <v>31</v>
          </cell>
          <cell r="M73">
            <v>134368.79999999999</v>
          </cell>
          <cell r="N73">
            <v>53747.519999999997</v>
          </cell>
          <cell r="O73">
            <v>2083</v>
          </cell>
          <cell r="P73">
            <v>2083</v>
          </cell>
          <cell r="Q73">
            <v>31665.680000000022</v>
          </cell>
          <cell r="R73">
            <v>223948</v>
          </cell>
          <cell r="S73">
            <v>1950</v>
          </cell>
          <cell r="T73">
            <v>1441.6089999999999</v>
          </cell>
          <cell r="U73">
            <v>6463.1392799999985</v>
          </cell>
          <cell r="V73">
            <v>11197.4</v>
          </cell>
          <cell r="W73">
            <v>245000.14827999999</v>
          </cell>
          <cell r="X73">
            <v>0</v>
          </cell>
          <cell r="Y73">
            <v>223948</v>
          </cell>
          <cell r="Z73">
            <v>35917</v>
          </cell>
          <cell r="AA73">
            <v>200</v>
          </cell>
          <cell r="AB73">
            <v>1800</v>
          </cell>
          <cell r="AC73">
            <v>286</v>
          </cell>
          <cell r="AD73">
            <v>0</v>
          </cell>
          <cell r="AE73">
            <v>38203</v>
          </cell>
          <cell r="AF73">
            <v>204847.14827999999</v>
          </cell>
        </row>
        <row r="74">
          <cell r="C74" t="str">
            <v>BITS-660</v>
          </cell>
          <cell r="D74">
            <v>0</v>
          </cell>
          <cell r="E74" t="str">
            <v>Moin Ahemad Jahur Ahemad Kumarkiri</v>
          </cell>
          <cell r="F74" t="str">
            <v>PUNE SEZ 2</v>
          </cell>
          <cell r="G74">
            <v>158000</v>
          </cell>
          <cell r="H74">
            <v>143307</v>
          </cell>
          <cell r="I74">
            <v>31</v>
          </cell>
          <cell r="J74">
            <v>31</v>
          </cell>
          <cell r="K74">
            <v>0</v>
          </cell>
          <cell r="L74">
            <v>31</v>
          </cell>
          <cell r="M74">
            <v>85984.2</v>
          </cell>
          <cell r="N74">
            <v>34393.68</v>
          </cell>
          <cell r="O74">
            <v>2083</v>
          </cell>
          <cell r="P74">
            <v>2083</v>
          </cell>
          <cell r="Q74">
            <v>18763.119999999995</v>
          </cell>
          <cell r="R74">
            <v>143307</v>
          </cell>
          <cell r="S74">
            <v>1950</v>
          </cell>
          <cell r="T74">
            <v>1441.6089999999999</v>
          </cell>
          <cell r="U74">
            <v>4135.8400199999996</v>
          </cell>
          <cell r="V74">
            <v>7165.3499999999995</v>
          </cell>
          <cell r="W74">
            <v>157999.79902000001</v>
          </cell>
          <cell r="X74">
            <v>0</v>
          </cell>
          <cell r="Y74">
            <v>143307</v>
          </cell>
          <cell r="Z74">
            <v>11561</v>
          </cell>
          <cell r="AA74">
            <v>200</v>
          </cell>
          <cell r="AB74">
            <v>1800</v>
          </cell>
          <cell r="AC74">
            <v>254</v>
          </cell>
          <cell r="AD74">
            <v>0</v>
          </cell>
          <cell r="AE74">
            <v>13815</v>
          </cell>
          <cell r="AF74">
            <v>142234.79902000001</v>
          </cell>
        </row>
        <row r="75">
          <cell r="C75" t="str">
            <v>BITS-661</v>
          </cell>
          <cell r="D75">
            <v>0</v>
          </cell>
          <cell r="E75" t="str">
            <v>Hemanth Mishra</v>
          </cell>
          <cell r="F75" t="str">
            <v>PUNE SEZ 1</v>
          </cell>
          <cell r="G75">
            <v>110000</v>
          </cell>
          <cell r="H75">
            <v>98816</v>
          </cell>
          <cell r="I75">
            <v>31</v>
          </cell>
          <cell r="J75">
            <v>30</v>
          </cell>
          <cell r="K75">
            <v>1</v>
          </cell>
          <cell r="L75">
            <v>31</v>
          </cell>
          <cell r="M75">
            <v>59289.599999999999</v>
          </cell>
          <cell r="N75">
            <v>23715.84</v>
          </cell>
          <cell r="O75">
            <v>2083</v>
          </cell>
          <cell r="P75">
            <v>2083</v>
          </cell>
          <cell r="Q75">
            <v>11644.559999999998</v>
          </cell>
          <cell r="R75">
            <v>98816</v>
          </cell>
          <cell r="S75">
            <v>1950</v>
          </cell>
          <cell r="T75">
            <v>1441.6089999999999</v>
          </cell>
          <cell r="U75">
            <v>2851.8297599999996</v>
          </cell>
          <cell r="V75">
            <v>4940.8</v>
          </cell>
          <cell r="W75">
            <v>110000.23875999999</v>
          </cell>
          <cell r="X75">
            <v>0</v>
          </cell>
          <cell r="Y75">
            <v>98816</v>
          </cell>
          <cell r="Z75">
            <v>0</v>
          </cell>
          <cell r="AA75">
            <v>200</v>
          </cell>
          <cell r="AB75">
            <v>1800</v>
          </cell>
          <cell r="AC75">
            <v>254</v>
          </cell>
          <cell r="AD75">
            <v>0</v>
          </cell>
          <cell r="AE75">
            <v>2254</v>
          </cell>
          <cell r="AF75">
            <v>105796.23875999999</v>
          </cell>
        </row>
        <row r="76">
          <cell r="C76" t="str">
            <v>BITS-662</v>
          </cell>
          <cell r="D76">
            <v>0</v>
          </cell>
          <cell r="E76" t="str">
            <v>Sandeep Kumar Gupta</v>
          </cell>
          <cell r="F76" t="str">
            <v>HYD SEZ</v>
          </cell>
          <cell r="G76">
            <v>125000</v>
          </cell>
          <cell r="H76">
            <v>112719</v>
          </cell>
          <cell r="I76">
            <v>31</v>
          </cell>
          <cell r="J76">
            <v>29</v>
          </cell>
          <cell r="K76">
            <v>2</v>
          </cell>
          <cell r="L76">
            <v>30</v>
          </cell>
          <cell r="M76">
            <v>65449.741935483871</v>
          </cell>
          <cell r="N76">
            <v>26179.896774193548</v>
          </cell>
          <cell r="O76">
            <v>2016</v>
          </cell>
          <cell r="P76">
            <v>2016</v>
          </cell>
          <cell r="Q76">
            <v>13421.264516129042</v>
          </cell>
          <cell r="R76">
            <v>109082.90322580645</v>
          </cell>
          <cell r="S76">
            <v>1950</v>
          </cell>
          <cell r="T76">
            <v>1441.6089999999999</v>
          </cell>
          <cell r="U76">
            <v>3148.1325870967739</v>
          </cell>
          <cell r="V76">
            <v>5454.1451612903229</v>
          </cell>
          <cell r="W76">
            <v>121076.78997419354</v>
          </cell>
          <cell r="X76">
            <v>0</v>
          </cell>
          <cell r="Y76">
            <v>109082.90322580645</v>
          </cell>
          <cell r="Z76">
            <v>0</v>
          </cell>
          <cell r="AA76">
            <v>200</v>
          </cell>
          <cell r="AB76">
            <v>1800</v>
          </cell>
          <cell r="AC76">
            <v>254</v>
          </cell>
          <cell r="AD76">
            <v>0</v>
          </cell>
          <cell r="AE76">
            <v>2254</v>
          </cell>
          <cell r="AF76">
            <v>116872.88674838709</v>
          </cell>
        </row>
        <row r="77">
          <cell r="C77" t="str">
            <v>BITS-663</v>
          </cell>
          <cell r="D77">
            <v>0</v>
          </cell>
          <cell r="E77" t="str">
            <v>FAZALAHMED IRKAL</v>
          </cell>
          <cell r="F77" t="str">
            <v>PUNE SEZ 1</v>
          </cell>
          <cell r="G77">
            <v>68000</v>
          </cell>
          <cell r="H77">
            <v>59886</v>
          </cell>
          <cell r="I77">
            <v>31</v>
          </cell>
          <cell r="J77">
            <v>30</v>
          </cell>
          <cell r="K77">
            <v>1</v>
          </cell>
          <cell r="L77">
            <v>31</v>
          </cell>
          <cell r="M77">
            <v>35931.599999999999</v>
          </cell>
          <cell r="N77">
            <v>14372.64</v>
          </cell>
          <cell r="O77">
            <v>2083</v>
          </cell>
          <cell r="P77">
            <v>2083</v>
          </cell>
          <cell r="Q77">
            <v>5415.760000000002</v>
          </cell>
          <cell r="R77">
            <v>59886</v>
          </cell>
          <cell r="S77">
            <v>1950</v>
          </cell>
          <cell r="T77">
            <v>1441.6089999999999</v>
          </cell>
          <cell r="U77">
            <v>1728.3099599999998</v>
          </cell>
          <cell r="V77">
            <v>2994.2999999999997</v>
          </cell>
          <cell r="W77">
            <v>68000.218959999998</v>
          </cell>
          <cell r="X77">
            <v>0</v>
          </cell>
          <cell r="Y77">
            <v>59886</v>
          </cell>
          <cell r="Z77">
            <v>0</v>
          </cell>
          <cell r="AA77">
            <v>200</v>
          </cell>
          <cell r="AB77">
            <v>1800</v>
          </cell>
          <cell r="AC77">
            <v>254</v>
          </cell>
          <cell r="AD77">
            <v>0</v>
          </cell>
          <cell r="AE77">
            <v>2254</v>
          </cell>
          <cell r="AF77">
            <v>63796.218959999998</v>
          </cell>
        </row>
        <row r="78">
          <cell r="C78" t="str">
            <v>BITS-664</v>
          </cell>
          <cell r="D78">
            <v>0</v>
          </cell>
          <cell r="E78" t="str">
            <v>Savana Saritha Dora</v>
          </cell>
          <cell r="F78" t="str">
            <v>PUNE SEZ 2</v>
          </cell>
          <cell r="G78">
            <v>63000</v>
          </cell>
          <cell r="H78">
            <v>55251</v>
          </cell>
          <cell r="I78">
            <v>31</v>
          </cell>
          <cell r="J78">
            <v>30</v>
          </cell>
          <cell r="K78">
            <v>1</v>
          </cell>
          <cell r="L78">
            <v>31</v>
          </cell>
          <cell r="M78">
            <v>33150.6</v>
          </cell>
          <cell r="N78">
            <v>13260.24</v>
          </cell>
          <cell r="O78">
            <v>2083</v>
          </cell>
          <cell r="P78">
            <v>2083</v>
          </cell>
          <cell r="Q78">
            <v>4674.1600000000035</v>
          </cell>
          <cell r="R78">
            <v>55251</v>
          </cell>
          <cell r="S78">
            <v>1950</v>
          </cell>
          <cell r="T78">
            <v>1441.6089999999999</v>
          </cell>
          <cell r="U78">
            <v>1594.5438599999998</v>
          </cell>
          <cell r="V78">
            <v>2762.5499999999997</v>
          </cell>
          <cell r="W78">
            <v>62999.702859999998</v>
          </cell>
          <cell r="X78">
            <v>0</v>
          </cell>
          <cell r="Y78">
            <v>55251</v>
          </cell>
          <cell r="Z78">
            <v>0</v>
          </cell>
          <cell r="AA78">
            <v>200</v>
          </cell>
          <cell r="AB78">
            <v>1800</v>
          </cell>
          <cell r="AC78">
            <v>286</v>
          </cell>
          <cell r="AD78">
            <v>0</v>
          </cell>
          <cell r="AE78">
            <v>2286</v>
          </cell>
          <cell r="AF78">
            <v>58763.702859999998</v>
          </cell>
        </row>
        <row r="79">
          <cell r="C79" t="str">
            <v>BITS-667</v>
          </cell>
          <cell r="D79">
            <v>0</v>
          </cell>
          <cell r="E79" t="str">
            <v>SUKRUTH YELLAMBOTLA</v>
          </cell>
          <cell r="F79" t="str">
            <v>PUNE SEZ 1</v>
          </cell>
          <cell r="G79">
            <v>42000</v>
          </cell>
          <cell r="H79">
            <v>35786</v>
          </cell>
          <cell r="I79">
            <v>31</v>
          </cell>
          <cell r="J79">
            <v>28</v>
          </cell>
          <cell r="K79">
            <v>3</v>
          </cell>
          <cell r="L79">
            <v>29</v>
          </cell>
          <cell r="M79">
            <v>20086.335483870967</v>
          </cell>
          <cell r="N79">
            <v>8034.5341935483875</v>
          </cell>
          <cell r="O79">
            <v>1949</v>
          </cell>
          <cell r="P79">
            <v>1949</v>
          </cell>
          <cell r="Q79">
            <v>1458.3561290322577</v>
          </cell>
          <cell r="R79">
            <v>33477.225806451614</v>
          </cell>
          <cell r="S79">
            <v>1950</v>
          </cell>
          <cell r="T79">
            <v>1441.6089999999999</v>
          </cell>
          <cell r="U79">
            <v>966.1527367741935</v>
          </cell>
          <cell r="V79">
            <v>1673.8612903225805</v>
          </cell>
          <cell r="W79">
            <v>39508.848833548385</v>
          </cell>
          <cell r="X79">
            <v>0</v>
          </cell>
          <cell r="Y79">
            <v>33477.225806451614</v>
          </cell>
          <cell r="Z79">
            <v>0</v>
          </cell>
          <cell r="AA79">
            <v>200</v>
          </cell>
          <cell r="AB79">
            <v>1800</v>
          </cell>
          <cell r="AC79">
            <v>252</v>
          </cell>
          <cell r="AD79">
            <v>0</v>
          </cell>
          <cell r="AE79">
            <v>2252</v>
          </cell>
          <cell r="AF79">
            <v>35306.623027096772</v>
          </cell>
        </row>
        <row r="80">
          <cell r="C80" t="str">
            <v>BITS-668</v>
          </cell>
          <cell r="D80">
            <v>0</v>
          </cell>
          <cell r="E80" t="str">
            <v xml:space="preserve">Mandar Shetty </v>
          </cell>
          <cell r="F80" t="str">
            <v>PUNE SEZ 2</v>
          </cell>
          <cell r="G80">
            <v>116000</v>
          </cell>
          <cell r="H80">
            <v>104377</v>
          </cell>
          <cell r="I80">
            <v>31</v>
          </cell>
          <cell r="J80">
            <v>31</v>
          </cell>
          <cell r="K80">
            <v>0</v>
          </cell>
          <cell r="L80">
            <v>31</v>
          </cell>
          <cell r="M80">
            <v>62626.2</v>
          </cell>
          <cell r="N80">
            <v>25050.48</v>
          </cell>
          <cell r="O80">
            <v>2083</v>
          </cell>
          <cell r="P80">
            <v>2083</v>
          </cell>
          <cell r="Q80">
            <v>12534.320000000007</v>
          </cell>
          <cell r="R80">
            <v>104377</v>
          </cell>
          <cell r="S80">
            <v>1950</v>
          </cell>
          <cell r="T80">
            <v>1441.6089999999999</v>
          </cell>
          <cell r="U80">
            <v>3012.3202199999996</v>
          </cell>
          <cell r="V80">
            <v>5218.8499999999995</v>
          </cell>
          <cell r="W80">
            <v>115999.77922</v>
          </cell>
          <cell r="X80">
            <v>0</v>
          </cell>
          <cell r="Y80">
            <v>104377</v>
          </cell>
          <cell r="Z80">
            <v>0</v>
          </cell>
          <cell r="AA80">
            <v>200</v>
          </cell>
          <cell r="AB80">
            <v>1800</v>
          </cell>
          <cell r="AC80">
            <v>283</v>
          </cell>
          <cell r="AD80">
            <v>0</v>
          </cell>
          <cell r="AE80">
            <v>2283</v>
          </cell>
          <cell r="AF80">
            <v>111766.77922</v>
          </cell>
        </row>
        <row r="81">
          <cell r="C81" t="str">
            <v>BITS-671</v>
          </cell>
          <cell r="D81">
            <v>0</v>
          </cell>
          <cell r="E81" t="str">
            <v>Ramakrishna J Reddy</v>
          </cell>
          <cell r="F81" t="str">
            <v>BNG STP</v>
          </cell>
          <cell r="G81">
            <v>210000</v>
          </cell>
          <cell r="H81">
            <v>191506</v>
          </cell>
          <cell r="I81">
            <v>31</v>
          </cell>
          <cell r="J81">
            <v>31</v>
          </cell>
          <cell r="K81">
            <v>0</v>
          </cell>
          <cell r="L81">
            <v>31</v>
          </cell>
          <cell r="M81">
            <v>114903.6</v>
          </cell>
          <cell r="N81">
            <v>45961.440000000002</v>
          </cell>
          <cell r="O81">
            <v>2083</v>
          </cell>
          <cell r="P81">
            <v>2083</v>
          </cell>
          <cell r="Q81">
            <v>26474.959999999992</v>
          </cell>
          <cell r="R81">
            <v>191506</v>
          </cell>
          <cell r="S81">
            <v>1950</v>
          </cell>
          <cell r="T81">
            <v>1441.6089999999999</v>
          </cell>
          <cell r="U81">
            <v>5526.8631599999999</v>
          </cell>
          <cell r="V81">
            <v>9575.3000000000011</v>
          </cell>
          <cell r="W81">
            <v>209999.77215999999</v>
          </cell>
          <cell r="X81">
            <v>0</v>
          </cell>
          <cell r="Y81">
            <v>191506</v>
          </cell>
          <cell r="Z81">
            <v>0</v>
          </cell>
          <cell r="AA81">
            <v>200</v>
          </cell>
          <cell r="AB81">
            <v>1800</v>
          </cell>
          <cell r="AC81">
            <v>252</v>
          </cell>
          <cell r="AD81">
            <v>0</v>
          </cell>
          <cell r="AE81">
            <v>2252</v>
          </cell>
          <cell r="AF81">
            <v>205797.77215999999</v>
          </cell>
        </row>
        <row r="82">
          <cell r="C82" t="str">
            <v>BITS-672</v>
          </cell>
          <cell r="D82">
            <v>0</v>
          </cell>
          <cell r="E82" t="str">
            <v xml:space="preserve">Vivek Dongre </v>
          </cell>
          <cell r="F82" t="str">
            <v>PUNE SEZ 2</v>
          </cell>
          <cell r="G82">
            <v>75000</v>
          </cell>
          <cell r="H82">
            <v>66374</v>
          </cell>
          <cell r="I82">
            <v>31</v>
          </cell>
          <cell r="J82">
            <v>29</v>
          </cell>
          <cell r="K82">
            <v>2</v>
          </cell>
          <cell r="L82">
            <v>30</v>
          </cell>
          <cell r="M82">
            <v>38539.741935483871</v>
          </cell>
          <cell r="N82">
            <v>15415.896774193548</v>
          </cell>
          <cell r="O82">
            <v>2016</v>
          </cell>
          <cell r="P82">
            <v>2016</v>
          </cell>
          <cell r="Q82">
            <v>6245.2645161290347</v>
          </cell>
          <cell r="R82">
            <v>64232.903225806454</v>
          </cell>
          <cell r="S82">
            <v>1950</v>
          </cell>
          <cell r="T82">
            <v>1441.6089999999999</v>
          </cell>
          <cell r="U82">
            <v>1853.7615870967741</v>
          </cell>
          <cell r="V82">
            <v>3211.6451612903224</v>
          </cell>
          <cell r="W82">
            <v>72689.918974193541</v>
          </cell>
          <cell r="X82">
            <v>0</v>
          </cell>
          <cell r="Y82">
            <v>64232.903225806454</v>
          </cell>
          <cell r="Z82">
            <v>0</v>
          </cell>
          <cell r="AA82">
            <v>200</v>
          </cell>
          <cell r="AB82">
            <v>1800</v>
          </cell>
          <cell r="AC82">
            <v>252</v>
          </cell>
          <cell r="AD82">
            <v>0</v>
          </cell>
          <cell r="AE82">
            <v>2252</v>
          </cell>
          <cell r="AF82">
            <v>68488.015748387086</v>
          </cell>
        </row>
        <row r="83">
          <cell r="C83" t="str">
            <v>BITS-673</v>
          </cell>
          <cell r="D83">
            <v>0</v>
          </cell>
          <cell r="E83" t="str">
            <v>Praveen Kumar Beesabat 9-3-2022</v>
          </cell>
          <cell r="F83" t="str">
            <v>HYD SEZ</v>
          </cell>
          <cell r="G83">
            <v>90000</v>
          </cell>
          <cell r="H83">
            <v>80278</v>
          </cell>
          <cell r="I83">
            <v>31</v>
          </cell>
          <cell r="J83">
            <v>31</v>
          </cell>
          <cell r="K83">
            <v>0</v>
          </cell>
          <cell r="L83">
            <v>31</v>
          </cell>
          <cell r="M83">
            <v>48166.8</v>
          </cell>
          <cell r="N83">
            <v>19266.72</v>
          </cell>
          <cell r="O83">
            <v>2083</v>
          </cell>
          <cell r="P83">
            <v>2083</v>
          </cell>
          <cell r="Q83">
            <v>8678.4799999999959</v>
          </cell>
          <cell r="R83">
            <v>80278</v>
          </cell>
          <cell r="S83">
            <v>1950</v>
          </cell>
          <cell r="T83">
            <v>1441.6089999999999</v>
          </cell>
          <cell r="U83">
            <v>2316.8230800000001</v>
          </cell>
          <cell r="V83">
            <v>4013.9</v>
          </cell>
          <cell r="W83">
            <v>90000.332079999993</v>
          </cell>
          <cell r="X83">
            <v>0</v>
          </cell>
          <cell r="Y83">
            <v>80278</v>
          </cell>
          <cell r="Z83">
            <v>0</v>
          </cell>
          <cell r="AA83">
            <v>200</v>
          </cell>
          <cell r="AB83">
            <v>1800</v>
          </cell>
          <cell r="AC83">
            <v>252</v>
          </cell>
          <cell r="AD83">
            <v>0</v>
          </cell>
          <cell r="AE83">
            <v>2252</v>
          </cell>
          <cell r="AF83">
            <v>85798.332079999993</v>
          </cell>
        </row>
        <row r="84">
          <cell r="C84" t="str">
            <v>BITS-674</v>
          </cell>
          <cell r="D84">
            <v>0</v>
          </cell>
          <cell r="E84" t="str">
            <v>Amit Chalwadi</v>
          </cell>
          <cell r="F84" t="str">
            <v>PUNE SEZ 2</v>
          </cell>
          <cell r="G84">
            <v>90000</v>
          </cell>
          <cell r="H84">
            <v>80278</v>
          </cell>
          <cell r="I84">
            <v>31</v>
          </cell>
          <cell r="J84">
            <v>31</v>
          </cell>
          <cell r="K84">
            <v>0</v>
          </cell>
          <cell r="L84">
            <v>31</v>
          </cell>
          <cell r="M84">
            <v>48166.8</v>
          </cell>
          <cell r="N84">
            <v>19266.72</v>
          </cell>
          <cell r="O84">
            <v>2083</v>
          </cell>
          <cell r="P84">
            <v>2083</v>
          </cell>
          <cell r="Q84">
            <v>8678.4799999999959</v>
          </cell>
          <cell r="R84">
            <v>80278</v>
          </cell>
          <cell r="S84">
            <v>1950</v>
          </cell>
          <cell r="T84">
            <v>1441.6089999999999</v>
          </cell>
          <cell r="U84">
            <v>2316.8230800000001</v>
          </cell>
          <cell r="V84">
            <v>4013.9</v>
          </cell>
          <cell r="W84">
            <v>90000.332079999993</v>
          </cell>
          <cell r="X84">
            <v>0</v>
          </cell>
          <cell r="Y84">
            <v>80278</v>
          </cell>
          <cell r="Z84">
            <v>0</v>
          </cell>
          <cell r="AA84">
            <v>200</v>
          </cell>
          <cell r="AB84">
            <v>1800</v>
          </cell>
          <cell r="AC84">
            <v>283</v>
          </cell>
          <cell r="AD84">
            <v>0</v>
          </cell>
          <cell r="AE84">
            <v>2283</v>
          </cell>
          <cell r="AF84">
            <v>85767.332079999993</v>
          </cell>
        </row>
        <row r="85">
          <cell r="C85" t="str">
            <v>BITS-675</v>
          </cell>
          <cell r="D85">
            <v>0</v>
          </cell>
          <cell r="E85" t="str">
            <v xml:space="preserve">Nikhila Kaveri </v>
          </cell>
          <cell r="F85" t="str">
            <v>HYD SEZ</v>
          </cell>
          <cell r="G85">
            <v>120000</v>
          </cell>
          <cell r="H85">
            <v>108085</v>
          </cell>
          <cell r="I85">
            <v>31</v>
          </cell>
          <cell r="J85">
            <v>29</v>
          </cell>
          <cell r="K85">
            <v>2</v>
          </cell>
          <cell r="L85">
            <v>30</v>
          </cell>
          <cell r="M85">
            <v>62759.032258064515</v>
          </cell>
          <cell r="N85">
            <v>25103.612903225807</v>
          </cell>
          <cell r="O85">
            <v>2016</v>
          </cell>
          <cell r="P85">
            <v>2016</v>
          </cell>
          <cell r="Q85">
            <v>12703.741935483878</v>
          </cell>
          <cell r="R85">
            <v>104598.3870967742</v>
          </cell>
          <cell r="S85">
            <v>1950</v>
          </cell>
          <cell r="T85">
            <v>1441.6089999999999</v>
          </cell>
          <cell r="U85">
            <v>3018.7094516129027</v>
          </cell>
          <cell r="V85">
            <v>5229.9193548387093</v>
          </cell>
          <cell r="W85">
            <v>116238.62490322581</v>
          </cell>
          <cell r="X85">
            <v>0</v>
          </cell>
          <cell r="Y85">
            <v>104598.3870967742</v>
          </cell>
          <cell r="Z85">
            <v>0</v>
          </cell>
          <cell r="AA85">
            <v>200</v>
          </cell>
          <cell r="AB85">
            <v>1800</v>
          </cell>
          <cell r="AC85">
            <v>252</v>
          </cell>
          <cell r="AD85">
            <v>0</v>
          </cell>
          <cell r="AE85">
            <v>2252</v>
          </cell>
          <cell r="AF85">
            <v>112036.23780645161</v>
          </cell>
        </row>
        <row r="86">
          <cell r="C86" t="str">
            <v>BITS-677</v>
          </cell>
          <cell r="D86">
            <v>0</v>
          </cell>
          <cell r="E86" t="str">
            <v>Ashwini Nanaware</v>
          </cell>
          <cell r="F86" t="str">
            <v>PUNE SEZ 2</v>
          </cell>
          <cell r="G86">
            <v>62000</v>
          </cell>
          <cell r="H86">
            <v>54324</v>
          </cell>
          <cell r="I86">
            <v>31</v>
          </cell>
          <cell r="J86">
            <v>31</v>
          </cell>
          <cell r="K86">
            <v>0</v>
          </cell>
          <cell r="L86">
            <v>31</v>
          </cell>
          <cell r="M86">
            <v>32594.400000000001</v>
          </cell>
          <cell r="N86">
            <v>13037.760000000002</v>
          </cell>
          <cell r="O86">
            <v>2083</v>
          </cell>
          <cell r="P86">
            <v>2083</v>
          </cell>
          <cell r="Q86">
            <v>4525.8399999999965</v>
          </cell>
          <cell r="R86">
            <v>54324</v>
          </cell>
          <cell r="S86">
            <v>1950</v>
          </cell>
          <cell r="T86">
            <v>1441.6089999999999</v>
          </cell>
          <cell r="U86">
            <v>1567.7906399999999</v>
          </cell>
          <cell r="V86">
            <v>2716.2000000000003</v>
          </cell>
          <cell r="W86">
            <v>61999.599639999993</v>
          </cell>
          <cell r="X86">
            <v>0</v>
          </cell>
          <cell r="Y86">
            <v>54324</v>
          </cell>
          <cell r="Z86">
            <v>0</v>
          </cell>
          <cell r="AA86">
            <v>200</v>
          </cell>
          <cell r="AB86">
            <v>1800</v>
          </cell>
          <cell r="AC86">
            <v>283</v>
          </cell>
          <cell r="AD86">
            <v>0</v>
          </cell>
          <cell r="AE86">
            <v>2283</v>
          </cell>
          <cell r="AF86">
            <v>57766.599639999993</v>
          </cell>
        </row>
        <row r="87">
          <cell r="C87" t="str">
            <v>BITS-678</v>
          </cell>
          <cell r="D87">
            <v>0</v>
          </cell>
          <cell r="E87" t="str">
            <v>Kaushal Sushil Sharma</v>
          </cell>
          <cell r="F87" t="str">
            <v>PUNE SEZ 2</v>
          </cell>
          <cell r="G87">
            <v>70000</v>
          </cell>
          <cell r="H87">
            <v>61740</v>
          </cell>
          <cell r="I87">
            <v>31</v>
          </cell>
          <cell r="J87">
            <v>30</v>
          </cell>
          <cell r="K87">
            <v>1</v>
          </cell>
          <cell r="L87">
            <v>31</v>
          </cell>
          <cell r="M87">
            <v>37044</v>
          </cell>
          <cell r="N87">
            <v>14817.6</v>
          </cell>
          <cell r="O87">
            <v>2083</v>
          </cell>
          <cell r="P87">
            <v>2083</v>
          </cell>
          <cell r="Q87">
            <v>5712.4000000000015</v>
          </cell>
          <cell r="R87">
            <v>61740</v>
          </cell>
          <cell r="S87">
            <v>1950</v>
          </cell>
          <cell r="T87">
            <v>1441.6089999999999</v>
          </cell>
          <cell r="U87">
            <v>1781.8163999999999</v>
          </cell>
          <cell r="V87">
            <v>3087</v>
          </cell>
          <cell r="W87">
            <v>70000.425400000007</v>
          </cell>
          <cell r="X87">
            <v>0</v>
          </cell>
          <cell r="Y87">
            <v>61740</v>
          </cell>
          <cell r="Z87">
            <v>0</v>
          </cell>
          <cell r="AA87">
            <v>200</v>
          </cell>
          <cell r="AB87">
            <v>1800</v>
          </cell>
          <cell r="AC87">
            <v>283</v>
          </cell>
          <cell r="AD87">
            <v>0</v>
          </cell>
          <cell r="AE87">
            <v>2283</v>
          </cell>
          <cell r="AF87">
            <v>65767.425400000007</v>
          </cell>
        </row>
        <row r="88">
          <cell r="C88" t="str">
            <v>BITS-679</v>
          </cell>
          <cell r="D88">
            <v>0</v>
          </cell>
          <cell r="E88" t="str">
            <v>Praveen Kumar Tandra</v>
          </cell>
          <cell r="F88" t="str">
            <v>BNG STP</v>
          </cell>
          <cell r="G88">
            <v>110000</v>
          </cell>
          <cell r="H88">
            <v>98816</v>
          </cell>
          <cell r="I88">
            <v>31</v>
          </cell>
          <cell r="J88">
            <v>31</v>
          </cell>
          <cell r="K88">
            <v>0</v>
          </cell>
          <cell r="L88">
            <v>31</v>
          </cell>
          <cell r="M88">
            <v>59289.599999999999</v>
          </cell>
          <cell r="N88">
            <v>23715.84</v>
          </cell>
          <cell r="O88">
            <v>2083</v>
          </cell>
          <cell r="P88">
            <v>2083</v>
          </cell>
          <cell r="Q88">
            <v>11644.559999999998</v>
          </cell>
          <cell r="R88">
            <v>98816</v>
          </cell>
          <cell r="S88">
            <v>1950</v>
          </cell>
          <cell r="T88">
            <v>1441.6089999999999</v>
          </cell>
          <cell r="U88">
            <v>2851.8297599999996</v>
          </cell>
          <cell r="V88">
            <v>4940.8</v>
          </cell>
          <cell r="W88">
            <v>110000.23875999999</v>
          </cell>
          <cell r="X88">
            <v>0</v>
          </cell>
          <cell r="Y88">
            <v>98816</v>
          </cell>
          <cell r="Z88">
            <v>0</v>
          </cell>
          <cell r="AA88">
            <v>200</v>
          </cell>
          <cell r="AB88">
            <v>1800</v>
          </cell>
          <cell r="AC88">
            <v>283</v>
          </cell>
          <cell r="AD88">
            <v>0</v>
          </cell>
          <cell r="AE88">
            <v>2283</v>
          </cell>
          <cell r="AF88">
            <v>105767.23875999999</v>
          </cell>
        </row>
        <row r="89">
          <cell r="C89" t="str">
            <v>BITS-680</v>
          </cell>
          <cell r="D89">
            <v>0</v>
          </cell>
          <cell r="E89" t="str">
            <v>Arvind Akhare</v>
          </cell>
          <cell r="F89" t="str">
            <v>PUNE SEZ 2</v>
          </cell>
          <cell r="G89">
            <v>95000</v>
          </cell>
          <cell r="H89">
            <v>84912</v>
          </cell>
          <cell r="I89">
            <v>31</v>
          </cell>
          <cell r="J89">
            <v>31</v>
          </cell>
          <cell r="K89">
            <v>0</v>
          </cell>
          <cell r="L89">
            <v>31</v>
          </cell>
          <cell r="M89">
            <v>50947.199999999997</v>
          </cell>
          <cell r="N89">
            <v>20378.88</v>
          </cell>
          <cell r="O89">
            <v>2083</v>
          </cell>
          <cell r="P89">
            <v>2083</v>
          </cell>
          <cell r="Q89">
            <v>9419.9199999999983</v>
          </cell>
          <cell r="R89">
            <v>84912</v>
          </cell>
          <cell r="S89">
            <v>1950</v>
          </cell>
          <cell r="T89">
            <v>1441.6089999999999</v>
          </cell>
          <cell r="U89">
            <v>2450.5603199999996</v>
          </cell>
          <cell r="V89">
            <v>4245.5999999999995</v>
          </cell>
          <cell r="W89">
            <v>94999.769320000007</v>
          </cell>
          <cell r="X89">
            <v>0</v>
          </cell>
          <cell r="Y89">
            <v>84912</v>
          </cell>
          <cell r="Z89">
            <v>0</v>
          </cell>
          <cell r="AA89">
            <v>200</v>
          </cell>
          <cell r="AB89">
            <v>1800</v>
          </cell>
          <cell r="AC89">
            <v>283</v>
          </cell>
          <cell r="AD89">
            <v>0</v>
          </cell>
          <cell r="AE89">
            <v>2283</v>
          </cell>
          <cell r="AF89">
            <v>90766.769320000007</v>
          </cell>
        </row>
        <row r="90">
          <cell r="C90" t="str">
            <v>BITS-681</v>
          </cell>
          <cell r="D90">
            <v>0</v>
          </cell>
          <cell r="E90" t="str">
            <v>Pallavi Rishikesh Naik</v>
          </cell>
          <cell r="F90" t="str">
            <v>PUNE SEZ 2</v>
          </cell>
          <cell r="G90">
            <v>80000</v>
          </cell>
          <cell r="H90">
            <v>71009</v>
          </cell>
          <cell r="I90">
            <v>31</v>
          </cell>
          <cell r="J90">
            <v>30</v>
          </cell>
          <cell r="K90">
            <v>1</v>
          </cell>
          <cell r="L90">
            <v>31</v>
          </cell>
          <cell r="M90">
            <v>42605.4</v>
          </cell>
          <cell r="N90">
            <v>17042.16</v>
          </cell>
          <cell r="O90">
            <v>2083</v>
          </cell>
          <cell r="P90">
            <v>2083</v>
          </cell>
          <cell r="Q90">
            <v>7195.4400000000023</v>
          </cell>
          <cell r="R90">
            <v>71009</v>
          </cell>
          <cell r="S90">
            <v>1950</v>
          </cell>
          <cell r="T90">
            <v>1441.6089999999999</v>
          </cell>
          <cell r="U90">
            <v>2049.3197399999999</v>
          </cell>
          <cell r="V90">
            <v>3550.4500000000003</v>
          </cell>
          <cell r="W90">
            <v>80000.37874</v>
          </cell>
          <cell r="X90">
            <v>0</v>
          </cell>
          <cell r="Y90">
            <v>71009</v>
          </cell>
          <cell r="Z90">
            <v>0</v>
          </cell>
          <cell r="AA90">
            <v>200</v>
          </cell>
          <cell r="AB90">
            <v>1800</v>
          </cell>
          <cell r="AC90">
            <v>283</v>
          </cell>
          <cell r="AD90">
            <v>0</v>
          </cell>
          <cell r="AE90">
            <v>2283</v>
          </cell>
          <cell r="AF90">
            <v>75767.37874</v>
          </cell>
        </row>
        <row r="91">
          <cell r="C91" t="str">
            <v>BITS-682</v>
          </cell>
          <cell r="D91">
            <v>0</v>
          </cell>
          <cell r="E91" t="str">
            <v>Ajay Singh</v>
          </cell>
          <cell r="F91" t="str">
            <v>PUNE SEZ 1</v>
          </cell>
          <cell r="G91">
            <v>142000</v>
          </cell>
          <cell r="H91">
            <v>128477</v>
          </cell>
          <cell r="I91">
            <v>31</v>
          </cell>
          <cell r="J91">
            <v>30</v>
          </cell>
          <cell r="K91">
            <v>1</v>
          </cell>
          <cell r="L91">
            <v>31</v>
          </cell>
          <cell r="M91">
            <v>77086.2</v>
          </cell>
          <cell r="N91">
            <v>30834.48</v>
          </cell>
          <cell r="O91">
            <v>2083</v>
          </cell>
          <cell r="P91">
            <v>2083</v>
          </cell>
          <cell r="Q91">
            <v>16390.320000000007</v>
          </cell>
          <cell r="R91">
            <v>128477</v>
          </cell>
          <cell r="S91">
            <v>1950</v>
          </cell>
          <cell r="T91">
            <v>1441.6089999999999</v>
          </cell>
          <cell r="U91">
            <v>3707.8462199999999</v>
          </cell>
          <cell r="V91">
            <v>6423.8499999999995</v>
          </cell>
          <cell r="W91">
            <v>142000.30522000001</v>
          </cell>
          <cell r="X91">
            <v>0</v>
          </cell>
          <cell r="Y91">
            <v>128477</v>
          </cell>
          <cell r="Z91">
            <v>0</v>
          </cell>
          <cell r="AA91">
            <v>200</v>
          </cell>
          <cell r="AB91">
            <v>1800</v>
          </cell>
          <cell r="AC91">
            <v>283</v>
          </cell>
          <cell r="AD91">
            <v>0</v>
          </cell>
          <cell r="AE91">
            <v>2283</v>
          </cell>
          <cell r="AF91">
            <v>137767.30522000001</v>
          </cell>
        </row>
        <row r="92">
          <cell r="C92" t="str">
            <v>BITS-683</v>
          </cell>
          <cell r="D92">
            <v>0</v>
          </cell>
          <cell r="E92" t="str">
            <v>TUSHAR UCHAGAONKAR</v>
          </cell>
          <cell r="F92" t="str">
            <v>PUNE ASC SEZ</v>
          </cell>
          <cell r="G92">
            <v>87000</v>
          </cell>
          <cell r="H92">
            <v>77497</v>
          </cell>
          <cell r="I92">
            <v>31</v>
          </cell>
          <cell r="J92">
            <v>30</v>
          </cell>
          <cell r="K92">
            <v>1</v>
          </cell>
          <cell r="L92">
            <v>31</v>
          </cell>
          <cell r="M92">
            <v>46498.2</v>
          </cell>
          <cell r="N92">
            <v>18599.28</v>
          </cell>
          <cell r="O92">
            <v>2083</v>
          </cell>
          <cell r="P92">
            <v>2083</v>
          </cell>
          <cell r="Q92">
            <v>8233.5200000000041</v>
          </cell>
          <cell r="R92">
            <v>77497</v>
          </cell>
          <cell r="S92">
            <v>1950</v>
          </cell>
          <cell r="T92">
            <v>1441.6089999999999</v>
          </cell>
          <cell r="U92">
            <v>2236.56342</v>
          </cell>
          <cell r="V92">
            <v>3874.85</v>
          </cell>
          <cell r="W92">
            <v>87000.022420000008</v>
          </cell>
          <cell r="X92">
            <v>0</v>
          </cell>
          <cell r="Y92">
            <v>77497</v>
          </cell>
          <cell r="Z92">
            <v>0</v>
          </cell>
          <cell r="AA92">
            <v>200</v>
          </cell>
          <cell r="AB92">
            <v>1800</v>
          </cell>
          <cell r="AC92">
            <v>283</v>
          </cell>
          <cell r="AD92">
            <v>0</v>
          </cell>
          <cell r="AE92">
            <v>2283</v>
          </cell>
          <cell r="AF92">
            <v>82767.022420000008</v>
          </cell>
        </row>
        <row r="93">
          <cell r="C93" t="str">
            <v>BITS-684</v>
          </cell>
          <cell r="D93">
            <v>0</v>
          </cell>
          <cell r="E93" t="str">
            <v>PRAVEEN M</v>
          </cell>
          <cell r="F93" t="str">
            <v>HYD STP</v>
          </cell>
          <cell r="G93">
            <v>155000</v>
          </cell>
          <cell r="H93">
            <v>140526</v>
          </cell>
          <cell r="I93">
            <v>31</v>
          </cell>
          <cell r="J93">
            <v>31</v>
          </cell>
          <cell r="K93">
            <v>0</v>
          </cell>
          <cell r="L93">
            <v>31</v>
          </cell>
          <cell r="M93">
            <v>84315.6</v>
          </cell>
          <cell r="N93">
            <v>33726.240000000005</v>
          </cell>
          <cell r="O93">
            <v>2083</v>
          </cell>
          <cell r="P93">
            <v>2083</v>
          </cell>
          <cell r="Q93">
            <v>18318.159999999989</v>
          </cell>
          <cell r="R93">
            <v>140526</v>
          </cell>
          <cell r="S93">
            <v>1950</v>
          </cell>
          <cell r="T93">
            <v>1441.6089999999999</v>
          </cell>
          <cell r="U93">
            <v>4055.5803600000004</v>
          </cell>
          <cell r="V93">
            <v>7026.3</v>
          </cell>
          <cell r="W93">
            <v>154999.48936000001</v>
          </cell>
          <cell r="X93">
            <v>0</v>
          </cell>
          <cell r="Y93">
            <v>140526</v>
          </cell>
          <cell r="Z93">
            <v>0</v>
          </cell>
          <cell r="AA93">
            <v>200</v>
          </cell>
          <cell r="AB93">
            <v>1800</v>
          </cell>
          <cell r="AC93">
            <v>283</v>
          </cell>
          <cell r="AD93">
            <v>0</v>
          </cell>
          <cell r="AE93">
            <v>2283</v>
          </cell>
          <cell r="AF93">
            <v>150766.48935999998</v>
          </cell>
        </row>
        <row r="94">
          <cell r="C94" t="str">
            <v>BITS-686</v>
          </cell>
          <cell r="D94">
            <v>0</v>
          </cell>
          <cell r="E94" t="str">
            <v>Amit Kumar</v>
          </cell>
          <cell r="F94" t="str">
            <v>PUNE SEZ 2</v>
          </cell>
          <cell r="G94">
            <v>105000</v>
          </cell>
          <cell r="H94">
            <v>94181</v>
          </cell>
          <cell r="I94">
            <v>31</v>
          </cell>
          <cell r="J94">
            <v>31</v>
          </cell>
          <cell r="K94">
            <v>0</v>
          </cell>
          <cell r="L94">
            <v>31</v>
          </cell>
          <cell r="M94">
            <v>56508.6</v>
          </cell>
          <cell r="N94">
            <v>22603.440000000002</v>
          </cell>
          <cell r="O94">
            <v>2083</v>
          </cell>
          <cell r="P94">
            <v>2083</v>
          </cell>
          <cell r="Q94">
            <v>10902.959999999992</v>
          </cell>
          <cell r="R94">
            <v>94181</v>
          </cell>
          <cell r="S94">
            <v>1950</v>
          </cell>
          <cell r="T94">
            <v>1441.6089999999999</v>
          </cell>
          <cell r="U94">
            <v>2718.0636599999998</v>
          </cell>
          <cell r="V94">
            <v>4709.05</v>
          </cell>
          <cell r="W94">
            <v>104999.72266</v>
          </cell>
          <cell r="X94">
            <v>0</v>
          </cell>
          <cell r="Y94">
            <v>94181</v>
          </cell>
          <cell r="Z94">
            <v>0</v>
          </cell>
          <cell r="AA94">
            <v>200</v>
          </cell>
          <cell r="AB94">
            <v>1800</v>
          </cell>
          <cell r="AC94">
            <v>283</v>
          </cell>
          <cell r="AD94">
            <v>0</v>
          </cell>
          <cell r="AE94">
            <v>2283</v>
          </cell>
          <cell r="AF94">
            <v>100766.72266</v>
          </cell>
        </row>
        <row r="95">
          <cell r="C95" t="str">
            <v>BITS-688</v>
          </cell>
          <cell r="D95">
            <v>0</v>
          </cell>
          <cell r="E95" t="str">
            <v>Pranav Thakare</v>
          </cell>
          <cell r="F95" t="str">
            <v>PUNE SEZ 2</v>
          </cell>
          <cell r="G95">
            <v>85000</v>
          </cell>
          <cell r="H95">
            <v>75643</v>
          </cell>
          <cell r="I95">
            <v>31</v>
          </cell>
          <cell r="J95">
            <v>30</v>
          </cell>
          <cell r="K95">
            <v>1</v>
          </cell>
          <cell r="L95">
            <v>31</v>
          </cell>
          <cell r="M95">
            <v>45385.8</v>
          </cell>
          <cell r="N95">
            <v>18154.320000000003</v>
          </cell>
          <cell r="O95">
            <v>2083</v>
          </cell>
          <cell r="P95">
            <v>2083</v>
          </cell>
          <cell r="Q95">
            <v>7936.8799999999901</v>
          </cell>
          <cell r="R95">
            <v>75643</v>
          </cell>
          <cell r="S95">
            <v>1950</v>
          </cell>
          <cell r="T95">
            <v>1441.6089999999999</v>
          </cell>
          <cell r="U95">
            <v>2183.0569799999998</v>
          </cell>
          <cell r="V95">
            <v>3782.15</v>
          </cell>
          <cell r="W95">
            <v>84999.815979999985</v>
          </cell>
          <cell r="X95">
            <v>0</v>
          </cell>
          <cell r="Y95">
            <v>75643</v>
          </cell>
          <cell r="Z95">
            <v>0</v>
          </cell>
          <cell r="AA95">
            <v>200</v>
          </cell>
          <cell r="AB95">
            <v>1800</v>
          </cell>
          <cell r="AC95">
            <v>283</v>
          </cell>
          <cell r="AD95">
            <v>0</v>
          </cell>
          <cell r="AE95">
            <v>2283</v>
          </cell>
          <cell r="AF95">
            <v>80766.815979999985</v>
          </cell>
        </row>
        <row r="96">
          <cell r="C96" t="str">
            <v>BITS-689</v>
          </cell>
          <cell r="D96">
            <v>0</v>
          </cell>
          <cell r="E96" t="str">
            <v>Nagarjun KV</v>
          </cell>
          <cell r="F96" t="str">
            <v>BNG STP</v>
          </cell>
          <cell r="G96">
            <v>85000</v>
          </cell>
          <cell r="H96">
            <v>75643</v>
          </cell>
          <cell r="I96">
            <v>31</v>
          </cell>
          <cell r="J96">
            <v>31</v>
          </cell>
          <cell r="K96">
            <v>0</v>
          </cell>
          <cell r="L96">
            <v>31</v>
          </cell>
          <cell r="M96">
            <v>45385.8</v>
          </cell>
          <cell r="N96">
            <v>18154.320000000003</v>
          </cell>
          <cell r="O96">
            <v>2083</v>
          </cell>
          <cell r="P96">
            <v>2083</v>
          </cell>
          <cell r="Q96">
            <v>7936.8799999999901</v>
          </cell>
          <cell r="R96">
            <v>75643</v>
          </cell>
          <cell r="S96">
            <v>1950</v>
          </cell>
          <cell r="T96">
            <v>1441.6089999999999</v>
          </cell>
          <cell r="U96">
            <v>2183.0569799999998</v>
          </cell>
          <cell r="V96">
            <v>3782.15</v>
          </cell>
          <cell r="W96">
            <v>84999.815979999985</v>
          </cell>
          <cell r="X96">
            <v>0</v>
          </cell>
          <cell r="Y96">
            <v>75643</v>
          </cell>
          <cell r="Z96">
            <v>0</v>
          </cell>
          <cell r="AA96">
            <v>200</v>
          </cell>
          <cell r="AB96">
            <v>1800</v>
          </cell>
          <cell r="AC96">
            <v>283</v>
          </cell>
          <cell r="AD96">
            <v>0</v>
          </cell>
          <cell r="AE96">
            <v>2283</v>
          </cell>
          <cell r="AF96">
            <v>80766.815979999985</v>
          </cell>
        </row>
        <row r="97">
          <cell r="C97" t="str">
            <v>BITS-690</v>
          </cell>
          <cell r="D97">
            <v>0</v>
          </cell>
          <cell r="E97" t="str">
            <v>Thaposh Ghosh</v>
          </cell>
          <cell r="F97" t="str">
            <v>HYD SEZ</v>
          </cell>
          <cell r="G97">
            <v>155000</v>
          </cell>
          <cell r="H97">
            <v>140526</v>
          </cell>
          <cell r="I97">
            <v>31</v>
          </cell>
          <cell r="J97">
            <v>30</v>
          </cell>
          <cell r="K97">
            <v>1</v>
          </cell>
          <cell r="L97">
            <v>31</v>
          </cell>
          <cell r="M97">
            <v>84315.6</v>
          </cell>
          <cell r="N97">
            <v>33726.240000000005</v>
          </cell>
          <cell r="O97">
            <v>2083</v>
          </cell>
          <cell r="P97">
            <v>2083</v>
          </cell>
          <cell r="Q97">
            <v>18318.159999999989</v>
          </cell>
          <cell r="R97">
            <v>140526</v>
          </cell>
          <cell r="S97">
            <v>1950</v>
          </cell>
          <cell r="T97">
            <v>1441.6089999999999</v>
          </cell>
          <cell r="U97">
            <v>4055.5803600000004</v>
          </cell>
          <cell r="V97">
            <v>7026.3</v>
          </cell>
          <cell r="W97">
            <v>154999.48936000001</v>
          </cell>
          <cell r="X97">
            <v>0</v>
          </cell>
          <cell r="Y97">
            <v>140526</v>
          </cell>
          <cell r="Z97">
            <v>0</v>
          </cell>
          <cell r="AA97">
            <v>200</v>
          </cell>
          <cell r="AB97">
            <v>1800</v>
          </cell>
          <cell r="AC97">
            <v>283</v>
          </cell>
          <cell r="AD97">
            <v>0</v>
          </cell>
          <cell r="AE97">
            <v>2283</v>
          </cell>
          <cell r="AF97">
            <v>150766.48935999998</v>
          </cell>
        </row>
        <row r="98">
          <cell r="C98" t="str">
            <v>BITS-691</v>
          </cell>
          <cell r="D98">
            <v>0</v>
          </cell>
          <cell r="E98" t="str">
            <v xml:space="preserve">Boopathi Palani </v>
          </cell>
          <cell r="F98" t="str">
            <v>BNG STP</v>
          </cell>
          <cell r="G98">
            <v>85000</v>
          </cell>
          <cell r="H98">
            <v>75643</v>
          </cell>
          <cell r="I98">
            <v>31</v>
          </cell>
          <cell r="J98">
            <v>30</v>
          </cell>
          <cell r="K98">
            <v>1</v>
          </cell>
          <cell r="L98">
            <v>31</v>
          </cell>
          <cell r="M98">
            <v>45385.8</v>
          </cell>
          <cell r="N98">
            <v>18154.320000000003</v>
          </cell>
          <cell r="O98">
            <v>2083</v>
          </cell>
          <cell r="P98">
            <v>2083</v>
          </cell>
          <cell r="Q98">
            <v>7936.8799999999901</v>
          </cell>
          <cell r="R98">
            <v>75643</v>
          </cell>
          <cell r="S98">
            <v>1950</v>
          </cell>
          <cell r="T98">
            <v>1441.6089999999999</v>
          </cell>
          <cell r="U98">
            <v>2183.0569799999998</v>
          </cell>
          <cell r="V98">
            <v>3782.15</v>
          </cell>
          <cell r="W98">
            <v>84999.815979999985</v>
          </cell>
          <cell r="X98">
            <v>0</v>
          </cell>
          <cell r="Y98">
            <v>75643</v>
          </cell>
          <cell r="Z98">
            <v>0</v>
          </cell>
          <cell r="AA98">
            <v>200</v>
          </cell>
          <cell r="AB98">
            <v>1800</v>
          </cell>
          <cell r="AC98">
            <v>283</v>
          </cell>
          <cell r="AD98">
            <v>0</v>
          </cell>
          <cell r="AE98">
            <v>2283</v>
          </cell>
          <cell r="AF98">
            <v>80766.815979999985</v>
          </cell>
        </row>
        <row r="99">
          <cell r="C99" t="str">
            <v>BITS-692</v>
          </cell>
          <cell r="D99">
            <v>0</v>
          </cell>
          <cell r="E99" t="str">
            <v>Sneha Hande</v>
          </cell>
          <cell r="F99" t="str">
            <v>PUNE ASC SEZ</v>
          </cell>
          <cell r="G99">
            <v>58000</v>
          </cell>
          <cell r="H99">
            <v>50617</v>
          </cell>
          <cell r="I99">
            <v>31</v>
          </cell>
          <cell r="J99">
            <v>31</v>
          </cell>
          <cell r="K99">
            <v>0</v>
          </cell>
          <cell r="L99">
            <v>31</v>
          </cell>
          <cell r="M99">
            <v>30370.2</v>
          </cell>
          <cell r="N99">
            <v>12148.080000000002</v>
          </cell>
          <cell r="O99">
            <v>2083</v>
          </cell>
          <cell r="P99">
            <v>2083</v>
          </cell>
          <cell r="Q99">
            <v>3932.7200000000012</v>
          </cell>
          <cell r="R99">
            <v>50617</v>
          </cell>
          <cell r="S99">
            <v>1950</v>
          </cell>
          <cell r="T99">
            <v>1441.6089999999999</v>
          </cell>
          <cell r="U99">
            <v>1460.8066199999998</v>
          </cell>
          <cell r="V99">
            <v>2530.85</v>
          </cell>
          <cell r="W99">
            <v>58000.265619999998</v>
          </cell>
          <cell r="X99">
            <v>0</v>
          </cell>
          <cell r="Y99">
            <v>50617</v>
          </cell>
          <cell r="Z99">
            <v>0</v>
          </cell>
          <cell r="AA99">
            <v>200</v>
          </cell>
          <cell r="AB99">
            <v>1800</v>
          </cell>
          <cell r="AC99">
            <v>283</v>
          </cell>
          <cell r="AD99">
            <v>0</v>
          </cell>
          <cell r="AE99">
            <v>2283</v>
          </cell>
          <cell r="AF99">
            <v>53767.265619999998</v>
          </cell>
        </row>
        <row r="100">
          <cell r="C100" t="str">
            <v>BITS-693</v>
          </cell>
          <cell r="D100">
            <v>0</v>
          </cell>
          <cell r="E100" t="str">
            <v>JNANESWARARAO G</v>
          </cell>
          <cell r="F100" t="str">
            <v>BNG STP</v>
          </cell>
          <cell r="G100">
            <v>108000</v>
          </cell>
          <cell r="H100">
            <v>96962</v>
          </cell>
          <cell r="I100">
            <v>31</v>
          </cell>
          <cell r="J100">
            <v>28</v>
          </cell>
          <cell r="K100">
            <v>3</v>
          </cell>
          <cell r="L100">
            <v>29</v>
          </cell>
          <cell r="M100">
            <v>54423.832258064511</v>
          </cell>
          <cell r="N100">
            <v>21769.532903225805</v>
          </cell>
          <cell r="O100">
            <v>1949</v>
          </cell>
          <cell r="P100">
            <v>1949</v>
          </cell>
          <cell r="Q100">
            <v>10615.021935483877</v>
          </cell>
          <cell r="R100">
            <v>90706.387096774197</v>
          </cell>
          <cell r="S100">
            <v>1950</v>
          </cell>
          <cell r="T100">
            <v>1441.6089999999999</v>
          </cell>
          <cell r="U100">
            <v>2617.7863316129028</v>
          </cell>
          <cell r="V100">
            <v>4535.3193548387089</v>
          </cell>
          <cell r="W100">
            <v>101251.10178322581</v>
          </cell>
          <cell r="X100">
            <v>0</v>
          </cell>
          <cell r="Y100">
            <v>90706.387096774197</v>
          </cell>
          <cell r="Z100">
            <v>0</v>
          </cell>
          <cell r="AA100">
            <v>200</v>
          </cell>
          <cell r="AB100">
            <v>1800</v>
          </cell>
          <cell r="AC100">
            <v>283</v>
          </cell>
          <cell r="AD100">
            <v>0</v>
          </cell>
          <cell r="AE100">
            <v>2283</v>
          </cell>
          <cell r="AF100">
            <v>97017.714686451611</v>
          </cell>
        </row>
        <row r="101">
          <cell r="C101" t="str">
            <v>BITS-694</v>
          </cell>
          <cell r="D101">
            <v>0</v>
          </cell>
          <cell r="E101" t="str">
            <v>Asita Kumar Sahoo</v>
          </cell>
          <cell r="F101" t="str">
            <v>PUNE SEZ 2</v>
          </cell>
          <cell r="G101">
            <v>60000</v>
          </cell>
          <cell r="H101">
            <v>52471</v>
          </cell>
          <cell r="I101">
            <v>31</v>
          </cell>
          <cell r="J101">
            <v>31</v>
          </cell>
          <cell r="K101">
            <v>0</v>
          </cell>
          <cell r="L101">
            <v>31</v>
          </cell>
          <cell r="M101">
            <v>31482.6</v>
          </cell>
          <cell r="N101">
            <v>12593.04</v>
          </cell>
          <cell r="O101">
            <v>2083</v>
          </cell>
          <cell r="P101">
            <v>2083</v>
          </cell>
          <cell r="Q101">
            <v>4229.3600000000006</v>
          </cell>
          <cell r="R101">
            <v>52471</v>
          </cell>
          <cell r="S101">
            <v>1950</v>
          </cell>
          <cell r="T101">
            <v>1441.6089999999999</v>
          </cell>
          <cell r="U101">
            <v>1514.3130599999997</v>
          </cell>
          <cell r="V101">
            <v>2623.5499999999997</v>
          </cell>
          <cell r="W101">
            <v>60000.47206</v>
          </cell>
          <cell r="X101">
            <v>0</v>
          </cell>
          <cell r="Y101">
            <v>52471</v>
          </cell>
          <cell r="Z101">
            <v>0</v>
          </cell>
          <cell r="AA101">
            <v>200</v>
          </cell>
          <cell r="AB101">
            <v>1800</v>
          </cell>
          <cell r="AC101">
            <v>283</v>
          </cell>
          <cell r="AD101">
            <v>0</v>
          </cell>
          <cell r="AE101">
            <v>2283</v>
          </cell>
          <cell r="AF101">
            <v>55767.47206</v>
          </cell>
        </row>
        <row r="102">
          <cell r="C102" t="str">
            <v>BITS-695</v>
          </cell>
          <cell r="D102">
            <v>0</v>
          </cell>
          <cell r="E102" t="str">
            <v>Nagashree Narayan</v>
          </cell>
          <cell r="F102" t="str">
            <v>HYD SEZ</v>
          </cell>
          <cell r="G102">
            <v>110000</v>
          </cell>
          <cell r="H102">
            <v>98816</v>
          </cell>
          <cell r="I102">
            <v>31</v>
          </cell>
          <cell r="J102">
            <v>31</v>
          </cell>
          <cell r="K102">
            <v>0</v>
          </cell>
          <cell r="L102">
            <v>31</v>
          </cell>
          <cell r="M102">
            <v>59289.599999999999</v>
          </cell>
          <cell r="N102">
            <v>23715.84</v>
          </cell>
          <cell r="O102">
            <v>2083</v>
          </cell>
          <cell r="P102">
            <v>2083</v>
          </cell>
          <cell r="Q102">
            <v>11644.559999999998</v>
          </cell>
          <cell r="R102">
            <v>98816</v>
          </cell>
          <cell r="S102">
            <v>1950</v>
          </cell>
          <cell r="T102">
            <v>1441.6089999999999</v>
          </cell>
          <cell r="U102">
            <v>2851.8297599999996</v>
          </cell>
          <cell r="V102">
            <v>4940.8</v>
          </cell>
          <cell r="W102">
            <v>110000.23875999999</v>
          </cell>
          <cell r="X102">
            <v>0</v>
          </cell>
          <cell r="Y102">
            <v>98816</v>
          </cell>
          <cell r="Z102">
            <v>0</v>
          </cell>
          <cell r="AA102">
            <v>200</v>
          </cell>
          <cell r="AB102">
            <v>1800</v>
          </cell>
          <cell r="AC102">
            <v>283</v>
          </cell>
          <cell r="AD102">
            <v>0</v>
          </cell>
          <cell r="AE102">
            <v>2283</v>
          </cell>
          <cell r="AF102">
            <v>105767.23875999999</v>
          </cell>
        </row>
        <row r="103">
          <cell r="C103" t="str">
            <v>BITS-696</v>
          </cell>
          <cell r="D103">
            <v>0</v>
          </cell>
          <cell r="E103" t="str">
            <v>Amarnath Reddy</v>
          </cell>
          <cell r="F103" t="str">
            <v>Chennai SEZ</v>
          </cell>
          <cell r="G103">
            <v>130000</v>
          </cell>
          <cell r="H103">
            <v>117354</v>
          </cell>
          <cell r="I103">
            <v>31</v>
          </cell>
          <cell r="J103">
            <v>29</v>
          </cell>
          <cell r="K103">
            <v>2</v>
          </cell>
          <cell r="L103">
            <v>30</v>
          </cell>
          <cell r="M103">
            <v>68141.032258064515</v>
          </cell>
          <cell r="N103">
            <v>27256.412903225806</v>
          </cell>
          <cell r="O103">
            <v>2016</v>
          </cell>
          <cell r="P103">
            <v>2016</v>
          </cell>
          <cell r="Q103">
            <v>14138.941935483876</v>
          </cell>
          <cell r="R103">
            <v>113568.3870967742</v>
          </cell>
          <cell r="S103">
            <v>0</v>
          </cell>
          <cell r="T103">
            <v>1441.6089999999999</v>
          </cell>
          <cell r="U103">
            <v>3277.5836516129029</v>
          </cell>
          <cell r="V103">
            <v>5678.4193548387093</v>
          </cell>
          <cell r="W103">
            <v>123965.99910322581</v>
          </cell>
          <cell r="X103">
            <v>0</v>
          </cell>
          <cell r="Y103">
            <v>113568.3870967742</v>
          </cell>
          <cell r="Z103">
            <v>0</v>
          </cell>
          <cell r="AA103">
            <v>200</v>
          </cell>
          <cell r="AB103">
            <v>0</v>
          </cell>
          <cell r="AC103">
            <v>283</v>
          </cell>
          <cell r="AD103">
            <v>0</v>
          </cell>
          <cell r="AE103">
            <v>483</v>
          </cell>
          <cell r="AF103">
            <v>123482.61200645161</v>
          </cell>
        </row>
        <row r="104">
          <cell r="C104" t="str">
            <v>BITS-697</v>
          </cell>
          <cell r="D104">
            <v>0</v>
          </cell>
          <cell r="E104" t="str">
            <v> Rajesh Dhumal</v>
          </cell>
          <cell r="F104" t="str">
            <v>PUNE SEZ 1</v>
          </cell>
          <cell r="G104">
            <v>84000</v>
          </cell>
          <cell r="H104">
            <v>74716</v>
          </cell>
          <cell r="I104">
            <v>31</v>
          </cell>
          <cell r="J104">
            <v>31</v>
          </cell>
          <cell r="K104">
            <v>0</v>
          </cell>
          <cell r="L104">
            <v>31</v>
          </cell>
          <cell r="M104">
            <v>44829.599999999999</v>
          </cell>
          <cell r="N104">
            <v>17931.84</v>
          </cell>
          <cell r="O104">
            <v>2083</v>
          </cell>
          <cell r="P104">
            <v>2083</v>
          </cell>
          <cell r="Q104">
            <v>7788.5599999999977</v>
          </cell>
          <cell r="R104">
            <v>74716</v>
          </cell>
          <cell r="S104">
            <v>1950</v>
          </cell>
          <cell r="T104">
            <v>1441.6089999999999</v>
          </cell>
          <cell r="U104">
            <v>2156.3037599999998</v>
          </cell>
          <cell r="V104">
            <v>3735.7999999999997</v>
          </cell>
          <cell r="W104">
            <v>83999.712759999995</v>
          </cell>
          <cell r="X104">
            <v>0</v>
          </cell>
          <cell r="Y104">
            <v>74716</v>
          </cell>
          <cell r="Z104">
            <v>0</v>
          </cell>
          <cell r="AA104">
            <v>200</v>
          </cell>
          <cell r="AB104">
            <v>1800</v>
          </cell>
          <cell r="AC104">
            <v>283</v>
          </cell>
          <cell r="AD104">
            <v>0</v>
          </cell>
          <cell r="AE104">
            <v>2283</v>
          </cell>
          <cell r="AF104">
            <v>79766.712759999995</v>
          </cell>
        </row>
        <row r="105">
          <cell r="C105" t="str">
            <v>BITS-698</v>
          </cell>
          <cell r="D105">
            <v>0</v>
          </cell>
          <cell r="E105" t="str">
            <v xml:space="preserve">Amol Gole </v>
          </cell>
          <cell r="F105" t="str">
            <v>PUNE ASC SEZ</v>
          </cell>
          <cell r="G105">
            <v>75000</v>
          </cell>
          <cell r="H105">
            <v>66374</v>
          </cell>
          <cell r="I105">
            <v>31</v>
          </cell>
          <cell r="J105">
            <v>31</v>
          </cell>
          <cell r="K105">
            <v>0</v>
          </cell>
          <cell r="L105">
            <v>31</v>
          </cell>
          <cell r="M105">
            <v>39824.400000000001</v>
          </cell>
          <cell r="N105">
            <v>15929.760000000002</v>
          </cell>
          <cell r="O105">
            <v>2083</v>
          </cell>
          <cell r="P105">
            <v>2083</v>
          </cell>
          <cell r="Q105">
            <v>6453.8399999999965</v>
          </cell>
          <cell r="R105">
            <v>66374</v>
          </cell>
          <cell r="S105">
            <v>1950</v>
          </cell>
          <cell r="T105">
            <v>1441.6089999999999</v>
          </cell>
          <cell r="U105">
            <v>1915.5536400000001</v>
          </cell>
          <cell r="V105">
            <v>3318.7000000000003</v>
          </cell>
          <cell r="W105">
            <v>74999.862639999992</v>
          </cell>
          <cell r="X105">
            <v>0</v>
          </cell>
          <cell r="Y105">
            <v>66374</v>
          </cell>
          <cell r="Z105">
            <v>0</v>
          </cell>
          <cell r="AA105">
            <v>200</v>
          </cell>
          <cell r="AB105">
            <v>1800</v>
          </cell>
          <cell r="AC105">
            <v>283</v>
          </cell>
          <cell r="AD105">
            <v>0</v>
          </cell>
          <cell r="AE105">
            <v>2283</v>
          </cell>
          <cell r="AF105">
            <v>70766.862639999992</v>
          </cell>
        </row>
        <row r="106">
          <cell r="C106" t="str">
            <v>BITS-699</v>
          </cell>
          <cell r="D106">
            <v>0</v>
          </cell>
          <cell r="E106" t="str">
            <v>Srinivasa Rao yellaneni</v>
          </cell>
          <cell r="F106" t="str">
            <v>BNG SEZ</v>
          </cell>
          <cell r="G106">
            <v>150000</v>
          </cell>
          <cell r="H106">
            <v>135892</v>
          </cell>
          <cell r="I106">
            <v>31</v>
          </cell>
          <cell r="J106">
            <v>31</v>
          </cell>
          <cell r="K106">
            <v>0</v>
          </cell>
          <cell r="L106">
            <v>31</v>
          </cell>
          <cell r="M106">
            <v>81535.199999999997</v>
          </cell>
          <cell r="N106">
            <v>32614.080000000002</v>
          </cell>
          <cell r="O106">
            <v>2083</v>
          </cell>
          <cell r="P106">
            <v>2083</v>
          </cell>
          <cell r="Q106">
            <v>17576.72</v>
          </cell>
          <cell r="R106">
            <v>135892</v>
          </cell>
          <cell r="S106">
            <v>1950</v>
          </cell>
          <cell r="T106">
            <v>1441.6089999999999</v>
          </cell>
          <cell r="U106">
            <v>3921.8431199999995</v>
          </cell>
          <cell r="V106">
            <v>6794.5999999999995</v>
          </cell>
          <cell r="W106">
            <v>150000.05212000001</v>
          </cell>
          <cell r="X106">
            <v>24190</v>
          </cell>
          <cell r="Y106">
            <v>160082</v>
          </cell>
          <cell r="Z106">
            <v>0</v>
          </cell>
          <cell r="AA106">
            <v>200</v>
          </cell>
          <cell r="AB106">
            <v>1800</v>
          </cell>
          <cell r="AC106">
            <v>283</v>
          </cell>
          <cell r="AD106">
            <v>0</v>
          </cell>
          <cell r="AE106">
            <v>2283</v>
          </cell>
          <cell r="AF106">
            <v>169957.05212000001</v>
          </cell>
        </row>
        <row r="107">
          <cell r="C107" t="str">
            <v>BITS-700</v>
          </cell>
          <cell r="D107">
            <v>0</v>
          </cell>
          <cell r="E107" t="str">
            <v>Sandeep Dixit</v>
          </cell>
          <cell r="F107" t="str">
            <v>PUNE ASC SEZ</v>
          </cell>
          <cell r="G107">
            <v>190000</v>
          </cell>
          <cell r="H107">
            <v>172968</v>
          </cell>
          <cell r="I107">
            <v>31</v>
          </cell>
          <cell r="J107">
            <v>31</v>
          </cell>
          <cell r="K107">
            <v>0</v>
          </cell>
          <cell r="L107">
            <v>31</v>
          </cell>
          <cell r="M107">
            <v>103780.8</v>
          </cell>
          <cell r="N107">
            <v>41512.320000000007</v>
          </cell>
          <cell r="O107">
            <v>2083</v>
          </cell>
          <cell r="P107">
            <v>2083</v>
          </cell>
          <cell r="Q107">
            <v>23508.880000000005</v>
          </cell>
          <cell r="R107">
            <v>172968</v>
          </cell>
          <cell r="S107">
            <v>1950</v>
          </cell>
          <cell r="T107">
            <v>1441.6089999999999</v>
          </cell>
          <cell r="U107">
            <v>4991.8564799999995</v>
          </cell>
          <cell r="V107">
            <v>8648.4</v>
          </cell>
          <cell r="W107">
            <v>189999.86547999998</v>
          </cell>
          <cell r="X107">
            <v>0</v>
          </cell>
          <cell r="Y107">
            <v>172968</v>
          </cell>
          <cell r="Z107">
            <v>0</v>
          </cell>
          <cell r="AA107">
            <v>200</v>
          </cell>
          <cell r="AB107">
            <v>1800</v>
          </cell>
          <cell r="AC107">
            <v>283</v>
          </cell>
          <cell r="AD107">
            <v>0</v>
          </cell>
          <cell r="AE107">
            <v>2283</v>
          </cell>
          <cell r="AF107">
            <v>185766.86547999998</v>
          </cell>
        </row>
        <row r="108">
          <cell r="C108" t="str">
            <v>BITS-701</v>
          </cell>
          <cell r="D108">
            <v>0</v>
          </cell>
          <cell r="E108" t="str">
            <v>Shridhar Madlur</v>
          </cell>
          <cell r="F108" t="str">
            <v>BNG STP</v>
          </cell>
          <cell r="G108">
            <v>58000</v>
          </cell>
          <cell r="H108">
            <v>50617</v>
          </cell>
          <cell r="I108">
            <v>31</v>
          </cell>
          <cell r="J108">
            <v>31</v>
          </cell>
          <cell r="K108">
            <v>0</v>
          </cell>
          <cell r="L108">
            <v>31</v>
          </cell>
          <cell r="M108">
            <v>30370.2</v>
          </cell>
          <cell r="N108">
            <v>12148.080000000002</v>
          </cell>
          <cell r="O108">
            <v>2083</v>
          </cell>
          <cell r="P108">
            <v>2083</v>
          </cell>
          <cell r="Q108">
            <v>3932.7200000000012</v>
          </cell>
          <cell r="R108">
            <v>50617</v>
          </cell>
          <cell r="S108">
            <v>1950</v>
          </cell>
          <cell r="T108">
            <v>1441.6089999999999</v>
          </cell>
          <cell r="U108">
            <v>1460.8066199999998</v>
          </cell>
          <cell r="V108">
            <v>2530.85</v>
          </cell>
          <cell r="W108">
            <v>58000.265619999998</v>
          </cell>
          <cell r="X108">
            <v>0</v>
          </cell>
          <cell r="Y108">
            <v>50617</v>
          </cell>
          <cell r="Z108">
            <v>0</v>
          </cell>
          <cell r="AA108">
            <v>200</v>
          </cell>
          <cell r="AB108">
            <v>1800</v>
          </cell>
          <cell r="AC108">
            <v>283</v>
          </cell>
          <cell r="AD108">
            <v>0</v>
          </cell>
          <cell r="AE108">
            <v>2283</v>
          </cell>
          <cell r="AF108">
            <v>53767.265619999998</v>
          </cell>
        </row>
        <row r="109">
          <cell r="C109" t="str">
            <v>BITS-702</v>
          </cell>
          <cell r="D109">
            <v>0</v>
          </cell>
          <cell r="E109" t="str">
            <v>Samarjit Saha</v>
          </cell>
          <cell r="F109" t="str">
            <v>BNG STP</v>
          </cell>
          <cell r="G109">
            <v>140000</v>
          </cell>
          <cell r="H109">
            <v>126623</v>
          </cell>
          <cell r="I109">
            <v>31</v>
          </cell>
          <cell r="J109">
            <v>30</v>
          </cell>
          <cell r="K109">
            <v>1</v>
          </cell>
          <cell r="L109">
            <v>31</v>
          </cell>
          <cell r="M109">
            <v>75973.8</v>
          </cell>
          <cell r="N109">
            <v>30389.520000000004</v>
          </cell>
          <cell r="O109">
            <v>2083</v>
          </cell>
          <cell r="P109">
            <v>2083</v>
          </cell>
          <cell r="Q109">
            <v>16093.679999999993</v>
          </cell>
          <cell r="R109">
            <v>126623</v>
          </cell>
          <cell r="S109">
            <v>1950</v>
          </cell>
          <cell r="T109">
            <v>1441.6089999999999</v>
          </cell>
          <cell r="U109">
            <v>3654.3397800000002</v>
          </cell>
          <cell r="V109">
            <v>6331.1500000000005</v>
          </cell>
          <cell r="W109">
            <v>140000.09878</v>
          </cell>
          <cell r="X109">
            <v>0</v>
          </cell>
          <cell r="Y109">
            <v>126623</v>
          </cell>
          <cell r="Z109">
            <v>0</v>
          </cell>
          <cell r="AA109">
            <v>200</v>
          </cell>
          <cell r="AB109">
            <v>1800</v>
          </cell>
          <cell r="AC109">
            <v>283</v>
          </cell>
          <cell r="AD109">
            <v>0</v>
          </cell>
          <cell r="AE109">
            <v>2283</v>
          </cell>
          <cell r="AF109">
            <v>135767.09878</v>
          </cell>
        </row>
        <row r="110">
          <cell r="C110" t="str">
            <v>BITS-703</v>
          </cell>
          <cell r="D110">
            <v>0</v>
          </cell>
          <cell r="E110" t="str">
            <v>Arun kh</v>
          </cell>
          <cell r="F110" t="str">
            <v>HYD STP</v>
          </cell>
          <cell r="G110">
            <v>85000</v>
          </cell>
          <cell r="H110">
            <v>75643</v>
          </cell>
          <cell r="I110">
            <v>31</v>
          </cell>
          <cell r="J110">
            <v>31</v>
          </cell>
          <cell r="K110">
            <v>0</v>
          </cell>
          <cell r="L110">
            <v>31</v>
          </cell>
          <cell r="M110">
            <v>45385.8</v>
          </cell>
          <cell r="N110">
            <v>18154.320000000003</v>
          </cell>
          <cell r="O110">
            <v>2083</v>
          </cell>
          <cell r="P110">
            <v>2083</v>
          </cell>
          <cell r="Q110">
            <v>7936.8799999999901</v>
          </cell>
          <cell r="R110">
            <v>75643</v>
          </cell>
          <cell r="S110">
            <v>1950</v>
          </cell>
          <cell r="T110">
            <v>1441.6089999999999</v>
          </cell>
          <cell r="U110">
            <v>2183.0569799999998</v>
          </cell>
          <cell r="V110">
            <v>3782.15</v>
          </cell>
          <cell r="W110">
            <v>84999.815979999985</v>
          </cell>
          <cell r="X110">
            <v>0</v>
          </cell>
          <cell r="Y110">
            <v>75643</v>
          </cell>
          <cell r="Z110">
            <v>0</v>
          </cell>
          <cell r="AA110">
            <v>200</v>
          </cell>
          <cell r="AB110">
            <v>1800</v>
          </cell>
          <cell r="AC110">
            <v>283</v>
          </cell>
          <cell r="AD110">
            <v>8744</v>
          </cell>
          <cell r="AE110">
            <v>11027</v>
          </cell>
          <cell r="AF110">
            <v>72022.815979999985</v>
          </cell>
        </row>
        <row r="111">
          <cell r="C111" t="str">
            <v>BITS-704</v>
          </cell>
          <cell r="D111">
            <v>0</v>
          </cell>
          <cell r="E111" t="str">
            <v>Ajay Pal Singh</v>
          </cell>
          <cell r="F111" t="str">
            <v>PUNE SEZ 1</v>
          </cell>
          <cell r="G111">
            <v>80000</v>
          </cell>
          <cell r="H111">
            <v>71009</v>
          </cell>
          <cell r="I111">
            <v>31</v>
          </cell>
          <cell r="J111">
            <v>31</v>
          </cell>
          <cell r="K111">
            <v>0</v>
          </cell>
          <cell r="L111">
            <v>31</v>
          </cell>
          <cell r="M111">
            <v>42605.4</v>
          </cell>
          <cell r="N111">
            <v>17042.16</v>
          </cell>
          <cell r="O111">
            <v>2083</v>
          </cell>
          <cell r="P111">
            <v>2083</v>
          </cell>
          <cell r="Q111">
            <v>7195.4400000000023</v>
          </cell>
          <cell r="R111">
            <v>71009</v>
          </cell>
          <cell r="S111">
            <v>1950</v>
          </cell>
          <cell r="T111">
            <v>1441.6089999999999</v>
          </cell>
          <cell r="U111">
            <v>2049.3197399999999</v>
          </cell>
          <cell r="V111">
            <v>3550.4500000000003</v>
          </cell>
          <cell r="W111">
            <v>80000.37874</v>
          </cell>
          <cell r="X111">
            <v>0</v>
          </cell>
          <cell r="Y111">
            <v>71009</v>
          </cell>
          <cell r="Z111">
            <v>0</v>
          </cell>
          <cell r="AA111">
            <v>200</v>
          </cell>
          <cell r="AB111">
            <v>1800</v>
          </cell>
          <cell r="AC111">
            <v>283</v>
          </cell>
          <cell r="AD111">
            <v>0</v>
          </cell>
          <cell r="AE111">
            <v>2283</v>
          </cell>
          <cell r="AF111">
            <v>75767.37874</v>
          </cell>
        </row>
        <row r="112">
          <cell r="C112" t="str">
            <v>BITS-705</v>
          </cell>
          <cell r="D112">
            <v>0</v>
          </cell>
          <cell r="E112" t="str">
            <v>Narasimha rao Gurazala</v>
          </cell>
          <cell r="F112" t="str">
            <v>BNG STP</v>
          </cell>
          <cell r="G112">
            <v>100000</v>
          </cell>
          <cell r="H112">
            <v>89547</v>
          </cell>
          <cell r="I112">
            <v>31</v>
          </cell>
          <cell r="J112">
            <v>31</v>
          </cell>
          <cell r="K112">
            <v>0</v>
          </cell>
          <cell r="L112">
            <v>31</v>
          </cell>
          <cell r="M112">
            <v>53728.2</v>
          </cell>
          <cell r="N112">
            <v>21491.279999999999</v>
          </cell>
          <cell r="O112">
            <v>2083</v>
          </cell>
          <cell r="P112">
            <v>2083</v>
          </cell>
          <cell r="Q112">
            <v>10161.520000000004</v>
          </cell>
          <cell r="R112">
            <v>89547</v>
          </cell>
          <cell r="S112">
            <v>1950</v>
          </cell>
          <cell r="T112">
            <v>1441.6089999999999</v>
          </cell>
          <cell r="U112">
            <v>2584.3264199999994</v>
          </cell>
          <cell r="V112">
            <v>4477.3499999999995</v>
          </cell>
          <cell r="W112">
            <v>100000.28542</v>
          </cell>
          <cell r="X112">
            <v>0</v>
          </cell>
          <cell r="Y112">
            <v>89547</v>
          </cell>
          <cell r="Z112">
            <v>0</v>
          </cell>
          <cell r="AA112">
            <v>200</v>
          </cell>
          <cell r="AB112">
            <v>1800</v>
          </cell>
          <cell r="AC112">
            <v>283</v>
          </cell>
          <cell r="AD112">
            <v>0</v>
          </cell>
          <cell r="AE112">
            <v>2283</v>
          </cell>
          <cell r="AF112">
            <v>95767.28542</v>
          </cell>
        </row>
        <row r="113">
          <cell r="C113" t="str">
            <v>BITS-706</v>
          </cell>
          <cell r="D113" t="str">
            <v>SAP</v>
          </cell>
          <cell r="E113" t="str">
            <v>Arun Arra</v>
          </cell>
          <cell r="F113" t="str">
            <v>PUNE SEZ 2</v>
          </cell>
          <cell r="G113">
            <v>45000</v>
          </cell>
          <cell r="H113">
            <v>38567</v>
          </cell>
          <cell r="I113">
            <v>31</v>
          </cell>
          <cell r="J113">
            <v>31</v>
          </cell>
          <cell r="K113">
            <v>0</v>
          </cell>
          <cell r="L113">
            <v>31</v>
          </cell>
          <cell r="M113">
            <v>23140.2</v>
          </cell>
          <cell r="N113">
            <v>9256.08</v>
          </cell>
          <cell r="O113">
            <v>2083</v>
          </cell>
          <cell r="P113">
            <v>2083</v>
          </cell>
          <cell r="Q113">
            <v>2004.7200000000012</v>
          </cell>
          <cell r="R113">
            <v>38567</v>
          </cell>
          <cell r="S113">
            <v>1950</v>
          </cell>
          <cell r="T113">
            <v>1441.6089999999999</v>
          </cell>
          <cell r="U113">
            <v>1113.0436199999999</v>
          </cell>
          <cell r="V113">
            <v>1928.3500000000001</v>
          </cell>
          <cell r="W113">
            <v>45000.002619999992</v>
          </cell>
          <cell r="X113">
            <v>0</v>
          </cell>
          <cell r="Y113">
            <v>38567</v>
          </cell>
          <cell r="Z113">
            <v>0</v>
          </cell>
          <cell r="AA113">
            <v>200</v>
          </cell>
          <cell r="AB113">
            <v>1800</v>
          </cell>
          <cell r="AC113">
            <v>283</v>
          </cell>
          <cell r="AD113">
            <v>0</v>
          </cell>
          <cell r="AE113">
            <v>2283</v>
          </cell>
          <cell r="AF113">
            <v>40767.002619999992</v>
          </cell>
        </row>
        <row r="114">
          <cell r="C114" t="str">
            <v>BITS-707</v>
          </cell>
          <cell r="D114" t="str">
            <v>SAP</v>
          </cell>
          <cell r="E114" t="str">
            <v>Ramya Nalla</v>
          </cell>
          <cell r="F114" t="str">
            <v>PUNE SEZ 2</v>
          </cell>
          <cell r="G114">
            <v>45000</v>
          </cell>
          <cell r="H114">
            <v>38567</v>
          </cell>
          <cell r="I114">
            <v>31</v>
          </cell>
          <cell r="J114">
            <v>31</v>
          </cell>
          <cell r="K114">
            <v>0</v>
          </cell>
          <cell r="L114">
            <v>31</v>
          </cell>
          <cell r="M114">
            <v>23140.2</v>
          </cell>
          <cell r="N114">
            <v>9256.08</v>
          </cell>
          <cell r="O114">
            <v>2083</v>
          </cell>
          <cell r="P114">
            <v>2083</v>
          </cell>
          <cell r="Q114">
            <v>2004.7200000000012</v>
          </cell>
          <cell r="R114">
            <v>38567</v>
          </cell>
          <cell r="S114">
            <v>1950</v>
          </cell>
          <cell r="T114">
            <v>1441.6089999999999</v>
          </cell>
          <cell r="U114">
            <v>1113.0436199999999</v>
          </cell>
          <cell r="V114">
            <v>1928.3500000000001</v>
          </cell>
          <cell r="W114">
            <v>45000.002619999992</v>
          </cell>
          <cell r="X114">
            <v>0</v>
          </cell>
          <cell r="Y114">
            <v>38567</v>
          </cell>
          <cell r="Z114">
            <v>0</v>
          </cell>
          <cell r="AA114">
            <v>200</v>
          </cell>
          <cell r="AB114">
            <v>1800</v>
          </cell>
          <cell r="AC114">
            <v>283</v>
          </cell>
          <cell r="AD114">
            <v>0</v>
          </cell>
          <cell r="AE114">
            <v>2283</v>
          </cell>
          <cell r="AF114">
            <v>40767.002619999992</v>
          </cell>
        </row>
        <row r="115">
          <cell r="C115" t="str">
            <v>BITS-708</v>
          </cell>
          <cell r="D115" t="str">
            <v>SAP</v>
          </cell>
          <cell r="E115" t="str">
            <v>SYED  MOHAMMED AZHER</v>
          </cell>
          <cell r="F115" t="str">
            <v>PUNE SEZ 2</v>
          </cell>
          <cell r="G115">
            <v>45000</v>
          </cell>
          <cell r="H115">
            <v>38567</v>
          </cell>
          <cell r="I115">
            <v>31</v>
          </cell>
          <cell r="J115">
            <v>30</v>
          </cell>
          <cell r="K115">
            <v>1</v>
          </cell>
          <cell r="L115">
            <v>31</v>
          </cell>
          <cell r="M115">
            <v>23140.2</v>
          </cell>
          <cell r="N115">
            <v>9256.08</v>
          </cell>
          <cell r="O115">
            <v>2083</v>
          </cell>
          <cell r="P115">
            <v>2083</v>
          </cell>
          <cell r="Q115">
            <v>2004.7200000000012</v>
          </cell>
          <cell r="R115">
            <v>38567</v>
          </cell>
          <cell r="S115">
            <v>1950</v>
          </cell>
          <cell r="T115">
            <v>1441.6089999999999</v>
          </cell>
          <cell r="U115">
            <v>1113.0436199999999</v>
          </cell>
          <cell r="V115">
            <v>1928.3500000000001</v>
          </cell>
          <cell r="W115">
            <v>45000.002619999992</v>
          </cell>
          <cell r="X115">
            <v>0</v>
          </cell>
          <cell r="Y115">
            <v>38567</v>
          </cell>
          <cell r="Z115">
            <v>0</v>
          </cell>
          <cell r="AA115">
            <v>200</v>
          </cell>
          <cell r="AB115">
            <v>1800</v>
          </cell>
          <cell r="AC115">
            <v>283</v>
          </cell>
          <cell r="AD115">
            <v>0</v>
          </cell>
          <cell r="AE115">
            <v>2283</v>
          </cell>
          <cell r="AF115">
            <v>40767.002619999992</v>
          </cell>
        </row>
        <row r="116">
          <cell r="C116" t="str">
            <v>BITS-709</v>
          </cell>
          <cell r="D116" t="str">
            <v>SAP</v>
          </cell>
          <cell r="E116" t="str">
            <v>Uma  Mahesh P</v>
          </cell>
          <cell r="F116" t="str">
            <v>PUNE SEZ 2</v>
          </cell>
          <cell r="G116">
            <v>45000</v>
          </cell>
          <cell r="H116">
            <v>38567</v>
          </cell>
          <cell r="I116">
            <v>31</v>
          </cell>
          <cell r="J116">
            <v>31</v>
          </cell>
          <cell r="K116">
            <v>0</v>
          </cell>
          <cell r="L116">
            <v>31</v>
          </cell>
          <cell r="M116">
            <v>23140.2</v>
          </cell>
          <cell r="N116">
            <v>9256.08</v>
          </cell>
          <cell r="O116">
            <v>2083</v>
          </cell>
          <cell r="P116">
            <v>2083</v>
          </cell>
          <cell r="Q116">
            <v>2004.7200000000012</v>
          </cell>
          <cell r="R116">
            <v>38567</v>
          </cell>
          <cell r="S116">
            <v>1950</v>
          </cell>
          <cell r="T116">
            <v>1441.6089999999999</v>
          </cell>
          <cell r="U116">
            <v>1113.0436199999999</v>
          </cell>
          <cell r="V116">
            <v>1928.3500000000001</v>
          </cell>
          <cell r="W116">
            <v>45000.002619999992</v>
          </cell>
          <cell r="X116">
            <v>0</v>
          </cell>
          <cell r="Y116">
            <v>38567</v>
          </cell>
          <cell r="Z116">
            <v>0</v>
          </cell>
          <cell r="AA116">
            <v>200</v>
          </cell>
          <cell r="AB116">
            <v>1800</v>
          </cell>
          <cell r="AC116">
            <v>283</v>
          </cell>
          <cell r="AD116">
            <v>0</v>
          </cell>
          <cell r="AE116">
            <v>2283</v>
          </cell>
          <cell r="AF116">
            <v>40767.002619999992</v>
          </cell>
        </row>
        <row r="117">
          <cell r="C117" t="str">
            <v>BITS-710</v>
          </cell>
          <cell r="D117" t="str">
            <v>SAP</v>
          </cell>
          <cell r="E117" t="str">
            <v>GONTHINI  SAIBABU 25-3-2022</v>
          </cell>
          <cell r="F117" t="str">
            <v>PUNE SEZ 2</v>
          </cell>
          <cell r="G117">
            <v>45000</v>
          </cell>
          <cell r="H117">
            <v>38567</v>
          </cell>
          <cell r="I117">
            <v>31</v>
          </cell>
          <cell r="J117">
            <v>25</v>
          </cell>
          <cell r="K117">
            <v>0</v>
          </cell>
          <cell r="L117">
            <v>25</v>
          </cell>
          <cell r="M117">
            <v>18661.451612903224</v>
          </cell>
          <cell r="N117">
            <v>7464.5806451612898</v>
          </cell>
          <cell r="O117">
            <v>1680</v>
          </cell>
          <cell r="P117">
            <v>1680</v>
          </cell>
          <cell r="Q117">
            <v>1616.3870967741932</v>
          </cell>
          <cell r="R117">
            <v>31102.419354838708</v>
          </cell>
          <cell r="S117">
            <v>1950</v>
          </cell>
          <cell r="T117">
            <v>1441.6089999999999</v>
          </cell>
          <cell r="U117">
            <v>897.61582258064504</v>
          </cell>
          <cell r="V117">
            <v>1555.1209677419354</v>
          </cell>
          <cell r="W117">
            <v>36946.765145161276</v>
          </cell>
          <cell r="X117">
            <v>0</v>
          </cell>
          <cell r="Y117">
            <v>31102.419354838708</v>
          </cell>
          <cell r="Z117">
            <v>0</v>
          </cell>
          <cell r="AA117">
            <v>200</v>
          </cell>
          <cell r="AB117">
            <v>1800</v>
          </cell>
          <cell r="AC117">
            <v>283</v>
          </cell>
          <cell r="AD117">
            <v>0</v>
          </cell>
          <cell r="AE117">
            <v>2283</v>
          </cell>
          <cell r="AF117">
            <v>32713.345790322583</v>
          </cell>
        </row>
        <row r="118">
          <cell r="C118" t="str">
            <v>BITS-711</v>
          </cell>
          <cell r="D118" t="str">
            <v>SAP</v>
          </cell>
          <cell r="E118" t="str">
            <v>Pavan  Nagendra Tatina 25-3-2022</v>
          </cell>
          <cell r="F118" t="str">
            <v>PUNE SEZ 2</v>
          </cell>
          <cell r="G118">
            <v>35000</v>
          </cell>
          <cell r="H118">
            <v>29298</v>
          </cell>
          <cell r="I118">
            <v>31</v>
          </cell>
          <cell r="J118">
            <v>25</v>
          </cell>
          <cell r="K118">
            <v>0</v>
          </cell>
          <cell r="L118">
            <v>25</v>
          </cell>
          <cell r="M118">
            <v>14176.451612903224</v>
          </cell>
          <cell r="N118">
            <v>5670.5806451612898</v>
          </cell>
          <cell r="O118">
            <v>1680</v>
          </cell>
          <cell r="P118">
            <v>1680</v>
          </cell>
          <cell r="Q118">
            <v>420.3870967741932</v>
          </cell>
          <cell r="R118">
            <v>23627.419354838708</v>
          </cell>
          <cell r="S118">
            <v>1842.9387096774192</v>
          </cell>
          <cell r="T118">
            <v>1441.6089999999999</v>
          </cell>
          <cell r="U118">
            <v>681.88732258064499</v>
          </cell>
          <cell r="V118">
            <v>1181.3709677419354</v>
          </cell>
          <cell r="W118">
            <v>28775.225354838709</v>
          </cell>
          <cell r="X118">
            <v>0</v>
          </cell>
          <cell r="Y118">
            <v>23627.419354838708</v>
          </cell>
          <cell r="Z118">
            <v>0</v>
          </cell>
          <cell r="AA118">
            <v>200</v>
          </cell>
          <cell r="AB118">
            <v>1701</v>
          </cell>
          <cell r="AC118">
            <v>283</v>
          </cell>
          <cell r="AD118">
            <v>0</v>
          </cell>
          <cell r="AE118">
            <v>2184</v>
          </cell>
          <cell r="AF118">
            <v>24747.867290322582</v>
          </cell>
        </row>
        <row r="119">
          <cell r="C119" t="str">
            <v>BITS-712</v>
          </cell>
          <cell r="D119" t="str">
            <v>SAP</v>
          </cell>
          <cell r="E119" t="str">
            <v>Mohd  Azhar Shareef 25-3-2022</v>
          </cell>
          <cell r="F119" t="str">
            <v>PUNE SEZ 2</v>
          </cell>
          <cell r="G119">
            <v>45000</v>
          </cell>
          <cell r="H119">
            <v>38567</v>
          </cell>
          <cell r="I119">
            <v>31</v>
          </cell>
          <cell r="J119">
            <v>19</v>
          </cell>
          <cell r="K119">
            <v>0</v>
          </cell>
          <cell r="L119">
            <v>19</v>
          </cell>
          <cell r="M119">
            <v>14182.703225806454</v>
          </cell>
          <cell r="N119">
            <v>5673.0812903225815</v>
          </cell>
          <cell r="O119">
            <v>1277</v>
          </cell>
          <cell r="P119">
            <v>1277</v>
          </cell>
          <cell r="Q119">
            <v>1228.0541935483852</v>
          </cell>
          <cell r="R119">
            <v>23637.83870967742</v>
          </cell>
          <cell r="S119">
            <v>1843.7514193548391</v>
          </cell>
          <cell r="T119">
            <v>1441.6089999999999</v>
          </cell>
          <cell r="U119">
            <v>682.1880251612904</v>
          </cell>
          <cell r="V119">
            <v>1181.8919354838711</v>
          </cell>
          <cell r="W119">
            <v>28787.27908967742</v>
          </cell>
          <cell r="X119">
            <v>0</v>
          </cell>
          <cell r="Y119">
            <v>23637.83870967742</v>
          </cell>
          <cell r="Z119">
            <v>0</v>
          </cell>
          <cell r="AA119">
            <v>200</v>
          </cell>
          <cell r="AB119">
            <v>1702</v>
          </cell>
          <cell r="AC119">
            <v>283</v>
          </cell>
          <cell r="AD119">
            <v>0</v>
          </cell>
          <cell r="AE119">
            <v>2185</v>
          </cell>
          <cell r="AF119">
            <v>24758.688960645162</v>
          </cell>
        </row>
        <row r="120">
          <cell r="C120" t="str">
            <v>BITS-713</v>
          </cell>
          <cell r="D120" t="str">
            <v>SAP</v>
          </cell>
          <cell r="E120" t="str">
            <v>NAGA SAI TEJA NUTHI</v>
          </cell>
          <cell r="F120" t="str">
            <v>PUNE SEZ 2</v>
          </cell>
          <cell r="G120">
            <v>50000</v>
          </cell>
          <cell r="H120">
            <v>43202</v>
          </cell>
          <cell r="I120">
            <v>31</v>
          </cell>
          <cell r="J120">
            <v>30</v>
          </cell>
          <cell r="K120">
            <v>1</v>
          </cell>
          <cell r="L120">
            <v>31</v>
          </cell>
          <cell r="M120">
            <v>25921.200000000001</v>
          </cell>
          <cell r="N120">
            <v>10368.480000000001</v>
          </cell>
          <cell r="O120">
            <v>2083</v>
          </cell>
          <cell r="P120">
            <v>2083</v>
          </cell>
          <cell r="Q120">
            <v>2746.3199999999997</v>
          </cell>
          <cell r="R120">
            <v>43202</v>
          </cell>
          <cell r="S120">
            <v>1950</v>
          </cell>
          <cell r="T120">
            <v>1441.6089999999999</v>
          </cell>
          <cell r="U120">
            <v>1246.80972</v>
          </cell>
          <cell r="V120">
            <v>2160.1</v>
          </cell>
          <cell r="W120">
            <v>50000.518719999993</v>
          </cell>
          <cell r="X120">
            <v>0</v>
          </cell>
          <cell r="Y120">
            <v>43202</v>
          </cell>
          <cell r="Z120">
            <v>0</v>
          </cell>
          <cell r="AA120">
            <v>200</v>
          </cell>
          <cell r="AB120">
            <v>1800</v>
          </cell>
          <cell r="AC120">
            <v>283</v>
          </cell>
          <cell r="AD120">
            <v>0</v>
          </cell>
          <cell r="AE120">
            <v>2283</v>
          </cell>
          <cell r="AF120">
            <v>45767.518719999993</v>
          </cell>
        </row>
        <row r="121">
          <cell r="C121" t="str">
            <v>BITS-714</v>
          </cell>
          <cell r="D121" t="str">
            <v>SAP</v>
          </cell>
          <cell r="E121" t="str">
            <v>Mani Krishna Nandineedi</v>
          </cell>
          <cell r="F121" t="str">
            <v>PUNE SEZ 2</v>
          </cell>
          <cell r="G121">
            <v>45000</v>
          </cell>
          <cell r="H121">
            <v>38567</v>
          </cell>
          <cell r="I121">
            <v>31</v>
          </cell>
          <cell r="J121">
            <v>31</v>
          </cell>
          <cell r="K121">
            <v>0</v>
          </cell>
          <cell r="L121">
            <v>31</v>
          </cell>
          <cell r="M121">
            <v>23140.2</v>
          </cell>
          <cell r="N121">
            <v>9256.08</v>
          </cell>
          <cell r="O121">
            <v>2083</v>
          </cell>
          <cell r="P121">
            <v>2083</v>
          </cell>
          <cell r="Q121">
            <v>2004.7200000000012</v>
          </cell>
          <cell r="R121">
            <v>38567</v>
          </cell>
          <cell r="S121">
            <v>1950</v>
          </cell>
          <cell r="T121">
            <v>1441.6089999999999</v>
          </cell>
          <cell r="U121">
            <v>1113.0436199999999</v>
          </cell>
          <cell r="V121">
            <v>1928.3500000000001</v>
          </cell>
          <cell r="W121">
            <v>45000.002619999992</v>
          </cell>
          <cell r="X121">
            <v>0</v>
          </cell>
          <cell r="Y121">
            <v>38567</v>
          </cell>
          <cell r="Z121">
            <v>0</v>
          </cell>
          <cell r="AA121">
            <v>200</v>
          </cell>
          <cell r="AB121">
            <v>1800</v>
          </cell>
          <cell r="AC121">
            <v>283</v>
          </cell>
          <cell r="AD121">
            <v>0</v>
          </cell>
          <cell r="AE121">
            <v>2283</v>
          </cell>
          <cell r="AF121">
            <v>40767.002619999992</v>
          </cell>
        </row>
        <row r="122">
          <cell r="C122" t="str">
            <v>BITS-715</v>
          </cell>
          <cell r="D122" t="str">
            <v>SAP</v>
          </cell>
          <cell r="E122" t="str">
            <v>Sushma P</v>
          </cell>
          <cell r="F122" t="str">
            <v>PUNE SEZ 2</v>
          </cell>
          <cell r="G122">
            <v>45000</v>
          </cell>
          <cell r="H122">
            <v>38567</v>
          </cell>
          <cell r="I122">
            <v>31</v>
          </cell>
          <cell r="J122">
            <v>31</v>
          </cell>
          <cell r="K122">
            <v>0</v>
          </cell>
          <cell r="L122">
            <v>31</v>
          </cell>
          <cell r="M122">
            <v>23140.2</v>
          </cell>
          <cell r="N122">
            <v>9256.08</v>
          </cell>
          <cell r="O122">
            <v>2083</v>
          </cell>
          <cell r="P122">
            <v>2083</v>
          </cell>
          <cell r="Q122">
            <v>2004.7200000000012</v>
          </cell>
          <cell r="R122">
            <v>38567</v>
          </cell>
          <cell r="S122">
            <v>1950</v>
          </cell>
          <cell r="T122">
            <v>1441.6089999999999</v>
          </cell>
          <cell r="U122">
            <v>1113.0436199999999</v>
          </cell>
          <cell r="V122">
            <v>1928.3500000000001</v>
          </cell>
          <cell r="W122">
            <v>45000.002619999992</v>
          </cell>
          <cell r="X122">
            <v>0</v>
          </cell>
          <cell r="Y122">
            <v>38567</v>
          </cell>
          <cell r="Z122">
            <v>0</v>
          </cell>
          <cell r="AA122">
            <v>200</v>
          </cell>
          <cell r="AB122">
            <v>1800</v>
          </cell>
          <cell r="AC122">
            <v>283</v>
          </cell>
          <cell r="AD122">
            <v>0</v>
          </cell>
          <cell r="AE122">
            <v>2283</v>
          </cell>
          <cell r="AF122">
            <v>40767.002619999992</v>
          </cell>
        </row>
        <row r="123">
          <cell r="C123" t="str">
            <v>BITS-716</v>
          </cell>
          <cell r="D123" t="str">
            <v>SAP</v>
          </cell>
          <cell r="E123" t="str">
            <v>PAVANKUMAR</v>
          </cell>
          <cell r="F123" t="str">
            <v>PUNE SEZ 1</v>
          </cell>
          <cell r="G123">
            <v>45000</v>
          </cell>
          <cell r="H123">
            <v>38567</v>
          </cell>
          <cell r="I123">
            <v>31</v>
          </cell>
          <cell r="J123">
            <v>30</v>
          </cell>
          <cell r="K123">
            <v>1</v>
          </cell>
          <cell r="L123">
            <v>31</v>
          </cell>
          <cell r="M123">
            <v>23140.2</v>
          </cell>
          <cell r="N123">
            <v>9256.08</v>
          </cell>
          <cell r="O123">
            <v>2083</v>
          </cell>
          <cell r="P123">
            <v>2083</v>
          </cell>
          <cell r="Q123">
            <v>2004.7200000000012</v>
          </cell>
          <cell r="R123">
            <v>38567</v>
          </cell>
          <cell r="S123">
            <v>1950</v>
          </cell>
          <cell r="T123">
            <v>1441.6089999999999</v>
          </cell>
          <cell r="U123">
            <v>1113.0436199999999</v>
          </cell>
          <cell r="V123">
            <v>1928.3500000000001</v>
          </cell>
          <cell r="W123">
            <v>45000.002619999992</v>
          </cell>
          <cell r="X123">
            <v>0</v>
          </cell>
          <cell r="Y123">
            <v>38567</v>
          </cell>
          <cell r="Z123">
            <v>0</v>
          </cell>
          <cell r="AA123">
            <v>200</v>
          </cell>
          <cell r="AB123">
            <v>1800</v>
          </cell>
          <cell r="AC123">
            <v>283</v>
          </cell>
          <cell r="AD123">
            <v>0</v>
          </cell>
          <cell r="AE123">
            <v>2283</v>
          </cell>
          <cell r="AF123">
            <v>40767.002619999992</v>
          </cell>
        </row>
        <row r="124">
          <cell r="C124" t="str">
            <v>BITS-717</v>
          </cell>
          <cell r="D124">
            <v>0</v>
          </cell>
          <cell r="E124" t="str">
            <v>Jaikesh Upadhyay  </v>
          </cell>
          <cell r="F124" t="str">
            <v>PUNE ASC SEZ</v>
          </cell>
          <cell r="G124">
            <v>125000</v>
          </cell>
          <cell r="H124">
            <v>112719</v>
          </cell>
          <cell r="I124">
            <v>31</v>
          </cell>
          <cell r="J124">
            <v>30</v>
          </cell>
          <cell r="K124">
            <v>1</v>
          </cell>
          <cell r="L124">
            <v>31</v>
          </cell>
          <cell r="M124">
            <v>67631.399999999994</v>
          </cell>
          <cell r="N124">
            <v>27052.559999999998</v>
          </cell>
          <cell r="O124">
            <v>2083</v>
          </cell>
          <cell r="P124">
            <v>2083</v>
          </cell>
          <cell r="Q124">
            <v>13869.040000000008</v>
          </cell>
          <cell r="R124">
            <v>112719</v>
          </cell>
          <cell r="S124">
            <v>1950</v>
          </cell>
          <cell r="T124">
            <v>1441.6089999999999</v>
          </cell>
          <cell r="U124">
            <v>3253.0703399999993</v>
          </cell>
          <cell r="V124">
            <v>5635.95</v>
          </cell>
          <cell r="W124">
            <v>124999.62934</v>
          </cell>
          <cell r="X124">
            <v>0</v>
          </cell>
          <cell r="Y124">
            <v>112719</v>
          </cell>
          <cell r="Z124">
            <v>0</v>
          </cell>
          <cell r="AA124">
            <v>200</v>
          </cell>
          <cell r="AB124">
            <v>1800</v>
          </cell>
          <cell r="AC124">
            <v>283</v>
          </cell>
          <cell r="AD124">
            <v>0</v>
          </cell>
          <cell r="AE124">
            <v>2283</v>
          </cell>
          <cell r="AF124">
            <v>120766.62934</v>
          </cell>
        </row>
        <row r="125">
          <cell r="C125" t="str">
            <v>BITS-718</v>
          </cell>
          <cell r="D125">
            <v>0</v>
          </cell>
          <cell r="E125" t="str">
            <v>Mahanth Devasani</v>
          </cell>
          <cell r="F125" t="str">
            <v>BNG STP</v>
          </cell>
          <cell r="G125">
            <v>160000</v>
          </cell>
          <cell r="H125">
            <v>145161</v>
          </cell>
          <cell r="I125">
            <v>31</v>
          </cell>
          <cell r="J125">
            <v>30</v>
          </cell>
          <cell r="K125">
            <v>1</v>
          </cell>
          <cell r="L125">
            <v>31</v>
          </cell>
          <cell r="M125">
            <v>87096.6</v>
          </cell>
          <cell r="N125">
            <v>34838.640000000007</v>
          </cell>
          <cell r="O125">
            <v>2083</v>
          </cell>
          <cell r="P125">
            <v>2083</v>
          </cell>
          <cell r="Q125">
            <v>19059.75999999998</v>
          </cell>
          <cell r="R125">
            <v>145161</v>
          </cell>
          <cell r="S125">
            <v>1950</v>
          </cell>
          <cell r="T125">
            <v>1441.6089999999999</v>
          </cell>
          <cell r="U125">
            <v>4189.3464599999998</v>
          </cell>
          <cell r="V125">
            <v>7258.05</v>
          </cell>
          <cell r="W125">
            <v>160000.00545999999</v>
          </cell>
          <cell r="X125">
            <v>0</v>
          </cell>
          <cell r="Y125">
            <v>145161</v>
          </cell>
          <cell r="Z125">
            <v>0</v>
          </cell>
          <cell r="AA125">
            <v>200</v>
          </cell>
          <cell r="AB125">
            <v>1800</v>
          </cell>
          <cell r="AC125">
            <v>283</v>
          </cell>
          <cell r="AD125">
            <v>0</v>
          </cell>
          <cell r="AE125">
            <v>2283</v>
          </cell>
          <cell r="AF125">
            <v>155767.00545999999</v>
          </cell>
        </row>
        <row r="126">
          <cell r="C126" t="str">
            <v>BITS-719</v>
          </cell>
          <cell r="D126">
            <v>0</v>
          </cell>
          <cell r="E126" t="str">
            <v>ROOPINI CHIYYARAPU</v>
          </cell>
          <cell r="F126" t="str">
            <v>HYD SEZ</v>
          </cell>
          <cell r="G126">
            <v>85000</v>
          </cell>
          <cell r="H126">
            <v>75643</v>
          </cell>
          <cell r="I126">
            <v>31</v>
          </cell>
          <cell r="J126">
            <v>30</v>
          </cell>
          <cell r="K126">
            <v>1</v>
          </cell>
          <cell r="L126">
            <v>31</v>
          </cell>
          <cell r="M126">
            <v>45385.8</v>
          </cell>
          <cell r="N126">
            <v>18154.320000000003</v>
          </cell>
          <cell r="O126">
            <v>2083</v>
          </cell>
          <cell r="P126">
            <v>2083</v>
          </cell>
          <cell r="Q126">
            <v>7936.8799999999901</v>
          </cell>
          <cell r="R126">
            <v>75643</v>
          </cell>
          <cell r="S126">
            <v>1950</v>
          </cell>
          <cell r="T126">
            <v>1441.6089999999999</v>
          </cell>
          <cell r="U126">
            <v>2183.0569799999998</v>
          </cell>
          <cell r="V126">
            <v>3782.15</v>
          </cell>
          <cell r="W126">
            <v>84999.815979999985</v>
          </cell>
          <cell r="X126">
            <v>0</v>
          </cell>
          <cell r="Y126">
            <v>75643</v>
          </cell>
          <cell r="Z126">
            <v>0</v>
          </cell>
          <cell r="AA126">
            <v>200</v>
          </cell>
          <cell r="AB126">
            <v>1800</v>
          </cell>
          <cell r="AC126">
            <v>283</v>
          </cell>
          <cell r="AD126">
            <v>0</v>
          </cell>
          <cell r="AE126">
            <v>2283</v>
          </cell>
          <cell r="AF126">
            <v>80766.815979999985</v>
          </cell>
        </row>
        <row r="127">
          <cell r="C127" t="str">
            <v>BITS-720</v>
          </cell>
          <cell r="D127">
            <v>0</v>
          </cell>
          <cell r="E127" t="str">
            <v>Jyoti Singh</v>
          </cell>
          <cell r="F127" t="str">
            <v>PUNE ASC SEZ</v>
          </cell>
          <cell r="G127">
            <v>115000</v>
          </cell>
          <cell r="H127">
            <v>103450</v>
          </cell>
          <cell r="I127">
            <v>31</v>
          </cell>
          <cell r="J127">
            <v>31</v>
          </cell>
          <cell r="K127">
            <v>0</v>
          </cell>
          <cell r="L127">
            <v>31</v>
          </cell>
          <cell r="M127">
            <v>62070</v>
          </cell>
          <cell r="N127">
            <v>24828</v>
          </cell>
          <cell r="O127">
            <v>2083</v>
          </cell>
          <cell r="P127">
            <v>2083</v>
          </cell>
          <cell r="Q127">
            <v>12386</v>
          </cell>
          <cell r="R127">
            <v>103450</v>
          </cell>
          <cell r="S127">
            <v>1950</v>
          </cell>
          <cell r="T127">
            <v>1441.6089999999999</v>
          </cell>
          <cell r="U127">
            <v>2985.5669999999996</v>
          </cell>
          <cell r="V127">
            <v>5172.5</v>
          </cell>
          <cell r="W127">
            <v>114999.67599999999</v>
          </cell>
          <cell r="X127">
            <v>0</v>
          </cell>
          <cell r="Y127">
            <v>103450</v>
          </cell>
          <cell r="Z127">
            <v>0</v>
          </cell>
          <cell r="AA127">
            <v>200</v>
          </cell>
          <cell r="AB127">
            <v>0</v>
          </cell>
          <cell r="AC127">
            <v>283</v>
          </cell>
          <cell r="AD127">
            <v>0</v>
          </cell>
          <cell r="AE127">
            <v>483</v>
          </cell>
          <cell r="AF127">
            <v>112566.67599999999</v>
          </cell>
        </row>
        <row r="128">
          <cell r="C128" t="str">
            <v>BITS-721</v>
          </cell>
          <cell r="D128">
            <v>0</v>
          </cell>
          <cell r="E128" t="str">
            <v>Rohit Kamble 11-3-2022</v>
          </cell>
          <cell r="F128">
            <v>0</v>
          </cell>
          <cell r="G128">
            <v>84000</v>
          </cell>
          <cell r="H128">
            <v>74716</v>
          </cell>
          <cell r="I128">
            <v>31</v>
          </cell>
          <cell r="J128">
            <v>11</v>
          </cell>
          <cell r="K128">
            <v>0</v>
          </cell>
          <cell r="L128">
            <v>11</v>
          </cell>
          <cell r="M128">
            <v>15907.277419354839</v>
          </cell>
          <cell r="N128">
            <v>6362.9109677419365</v>
          </cell>
          <cell r="O128">
            <v>739</v>
          </cell>
          <cell r="P128">
            <v>739</v>
          </cell>
          <cell r="Q128">
            <v>2763.9406451612886</v>
          </cell>
          <cell r="R128">
            <v>26512.129032258064</v>
          </cell>
          <cell r="S128">
            <v>1950</v>
          </cell>
          <cell r="T128">
            <v>1441.6089999999999</v>
          </cell>
          <cell r="U128">
            <v>765.14004387096782</v>
          </cell>
          <cell r="V128">
            <v>1325.6064516129034</v>
          </cell>
          <cell r="W128">
            <v>31994.484527741937</v>
          </cell>
          <cell r="X128">
            <v>0</v>
          </cell>
          <cell r="Y128">
            <v>26512.129032258064</v>
          </cell>
          <cell r="Z128">
            <v>0</v>
          </cell>
          <cell r="AA128">
            <v>200</v>
          </cell>
          <cell r="AB128">
            <v>1800</v>
          </cell>
          <cell r="AC128">
            <v>283</v>
          </cell>
          <cell r="AD128">
            <v>0</v>
          </cell>
          <cell r="AE128">
            <v>2283</v>
          </cell>
          <cell r="AF128">
            <v>27761.355495483873</v>
          </cell>
        </row>
        <row r="129">
          <cell r="C129" t="str">
            <v>BITS-722</v>
          </cell>
          <cell r="D129">
            <v>0</v>
          </cell>
          <cell r="E129" t="str">
            <v>Inturi Ramakrishna</v>
          </cell>
          <cell r="F129">
            <v>0</v>
          </cell>
          <cell r="G129">
            <v>90000</v>
          </cell>
          <cell r="H129">
            <v>80278</v>
          </cell>
          <cell r="I129">
            <v>31</v>
          </cell>
          <cell r="J129">
            <v>31</v>
          </cell>
          <cell r="K129">
            <v>0</v>
          </cell>
          <cell r="L129">
            <v>31</v>
          </cell>
          <cell r="M129">
            <v>48166.8</v>
          </cell>
          <cell r="N129">
            <v>19266.72</v>
          </cell>
          <cell r="O129">
            <v>2083</v>
          </cell>
          <cell r="P129">
            <v>2083</v>
          </cell>
          <cell r="Q129">
            <v>8678.4799999999959</v>
          </cell>
          <cell r="R129">
            <v>80278</v>
          </cell>
          <cell r="S129">
            <v>1950</v>
          </cell>
          <cell r="T129">
            <v>1441.6089999999999</v>
          </cell>
          <cell r="U129">
            <v>2316.8230800000001</v>
          </cell>
          <cell r="V129">
            <v>4013.9</v>
          </cell>
          <cell r="W129">
            <v>90000.332079999993</v>
          </cell>
          <cell r="X129">
            <v>24336</v>
          </cell>
          <cell r="Y129">
            <v>104614</v>
          </cell>
          <cell r="Z129">
            <v>0</v>
          </cell>
          <cell r="AA129">
            <v>200</v>
          </cell>
          <cell r="AB129">
            <v>1800</v>
          </cell>
          <cell r="AC129">
            <v>283</v>
          </cell>
          <cell r="AD129">
            <v>0</v>
          </cell>
          <cell r="AE129">
            <v>2283</v>
          </cell>
          <cell r="AF129">
            <v>110103.33207999999</v>
          </cell>
        </row>
        <row r="130">
          <cell r="C130" t="str">
            <v>BITS-723</v>
          </cell>
          <cell r="D130" t="str">
            <v>SAP</v>
          </cell>
          <cell r="E130" t="str">
            <v>D.Santhoshi</v>
          </cell>
          <cell r="F130" t="str">
            <v>HYD SEZ</v>
          </cell>
          <cell r="G130">
            <v>45000</v>
          </cell>
          <cell r="H130">
            <v>38567</v>
          </cell>
          <cell r="I130">
            <v>31</v>
          </cell>
          <cell r="J130">
            <v>31</v>
          </cell>
          <cell r="K130">
            <v>0</v>
          </cell>
          <cell r="L130">
            <v>31</v>
          </cell>
          <cell r="M130">
            <v>23140.2</v>
          </cell>
          <cell r="N130">
            <v>9256.08</v>
          </cell>
          <cell r="O130">
            <v>2083</v>
          </cell>
          <cell r="P130">
            <v>2083</v>
          </cell>
          <cell r="Q130">
            <v>2004.7200000000012</v>
          </cell>
          <cell r="R130">
            <v>38567</v>
          </cell>
          <cell r="S130">
            <v>1950</v>
          </cell>
          <cell r="T130">
            <v>1441.6089999999999</v>
          </cell>
          <cell r="U130">
            <v>1113.0436199999999</v>
          </cell>
          <cell r="V130">
            <v>1928.3500000000001</v>
          </cell>
          <cell r="W130">
            <v>45000.002619999992</v>
          </cell>
          <cell r="X130">
            <v>0</v>
          </cell>
          <cell r="Y130">
            <v>38567</v>
          </cell>
          <cell r="Z130">
            <v>0</v>
          </cell>
          <cell r="AA130">
            <v>200</v>
          </cell>
          <cell r="AB130">
            <v>1800</v>
          </cell>
          <cell r="AC130">
            <v>283</v>
          </cell>
          <cell r="AD130">
            <v>0</v>
          </cell>
          <cell r="AE130">
            <v>2283</v>
          </cell>
          <cell r="AF130">
            <v>40767.002619999992</v>
          </cell>
        </row>
        <row r="131">
          <cell r="C131" t="str">
            <v>BITS-724</v>
          </cell>
          <cell r="D131" t="str">
            <v>SAP</v>
          </cell>
          <cell r="E131" t="str">
            <v>Bharath</v>
          </cell>
          <cell r="F131" t="str">
            <v>HYD SEZ</v>
          </cell>
          <cell r="G131">
            <v>30000</v>
          </cell>
          <cell r="H131">
            <v>24636</v>
          </cell>
          <cell r="I131">
            <v>31</v>
          </cell>
          <cell r="J131">
            <v>31</v>
          </cell>
          <cell r="K131">
            <v>0</v>
          </cell>
          <cell r="L131">
            <v>31</v>
          </cell>
          <cell r="M131">
            <v>14781.6</v>
          </cell>
          <cell r="N131">
            <v>5912.64</v>
          </cell>
          <cell r="O131">
            <v>1500</v>
          </cell>
          <cell r="P131">
            <v>1500</v>
          </cell>
          <cell r="Q131">
            <v>631</v>
          </cell>
          <cell r="R131">
            <v>24325.24</v>
          </cell>
          <cell r="S131">
            <v>1921.6080000000002</v>
          </cell>
          <cell r="T131">
            <v>1441.6089999999999</v>
          </cell>
          <cell r="U131">
            <v>710.99495999999999</v>
          </cell>
          <cell r="V131">
            <v>1231.8</v>
          </cell>
          <cell r="W131">
            <v>29631.251960000001</v>
          </cell>
          <cell r="X131">
            <v>0</v>
          </cell>
          <cell r="Y131">
            <v>24325.24</v>
          </cell>
          <cell r="Z131">
            <v>0</v>
          </cell>
          <cell r="AA131">
            <v>200</v>
          </cell>
          <cell r="AB131">
            <v>1774</v>
          </cell>
          <cell r="AC131">
            <v>283</v>
          </cell>
          <cell r="AD131">
            <v>0</v>
          </cell>
          <cell r="AE131">
            <v>2257</v>
          </cell>
          <cell r="AF131">
            <v>25452.40396</v>
          </cell>
        </row>
        <row r="132">
          <cell r="C132" t="str">
            <v>BITS-725</v>
          </cell>
          <cell r="D132" t="str">
            <v>SAP</v>
          </cell>
          <cell r="E132" t="str">
            <v>NEERUDU SAI KUMAR</v>
          </cell>
          <cell r="F132" t="str">
            <v>HYD SEZ</v>
          </cell>
          <cell r="G132">
            <v>45000</v>
          </cell>
          <cell r="H132">
            <v>38567</v>
          </cell>
          <cell r="I132">
            <v>31</v>
          </cell>
          <cell r="J132">
            <v>31</v>
          </cell>
          <cell r="K132">
            <v>0</v>
          </cell>
          <cell r="L132">
            <v>31</v>
          </cell>
          <cell r="M132">
            <v>23140.2</v>
          </cell>
          <cell r="N132">
            <v>9256.08</v>
          </cell>
          <cell r="O132">
            <v>2083</v>
          </cell>
          <cell r="P132">
            <v>2083</v>
          </cell>
          <cell r="Q132">
            <v>2004.7200000000012</v>
          </cell>
          <cell r="R132">
            <v>38567</v>
          </cell>
          <cell r="S132">
            <v>1950</v>
          </cell>
          <cell r="T132">
            <v>1441.6089999999999</v>
          </cell>
          <cell r="U132">
            <v>1113.0436199999999</v>
          </cell>
          <cell r="V132">
            <v>1928.3500000000001</v>
          </cell>
          <cell r="W132">
            <v>45000.002619999992</v>
          </cell>
          <cell r="X132">
            <v>0</v>
          </cell>
          <cell r="Y132">
            <v>38567</v>
          </cell>
          <cell r="Z132">
            <v>0</v>
          </cell>
          <cell r="AA132">
            <v>200</v>
          </cell>
          <cell r="AB132">
            <v>1800</v>
          </cell>
          <cell r="AC132">
            <v>283</v>
          </cell>
          <cell r="AD132">
            <v>0</v>
          </cell>
          <cell r="AE132">
            <v>2283</v>
          </cell>
          <cell r="AF132">
            <v>40767.002619999992</v>
          </cell>
        </row>
        <row r="133">
          <cell r="C133" t="str">
            <v>BITS-726</v>
          </cell>
          <cell r="D133" t="str">
            <v>SAP</v>
          </cell>
          <cell r="E133" t="str">
            <v>Ramineni Abhilash</v>
          </cell>
          <cell r="F133" t="str">
            <v>HYD SEZ</v>
          </cell>
          <cell r="G133">
            <v>45000</v>
          </cell>
          <cell r="H133">
            <v>38567</v>
          </cell>
          <cell r="I133">
            <v>31</v>
          </cell>
          <cell r="J133">
            <v>31</v>
          </cell>
          <cell r="K133">
            <v>0</v>
          </cell>
          <cell r="L133">
            <v>31</v>
          </cell>
          <cell r="M133">
            <v>23140.2</v>
          </cell>
          <cell r="N133">
            <v>9256.08</v>
          </cell>
          <cell r="O133">
            <v>2083</v>
          </cell>
          <cell r="P133">
            <v>2083</v>
          </cell>
          <cell r="Q133">
            <v>2004.7200000000012</v>
          </cell>
          <cell r="R133">
            <v>38567</v>
          </cell>
          <cell r="S133">
            <v>1950</v>
          </cell>
          <cell r="T133">
            <v>1441.6089999999999</v>
          </cell>
          <cell r="U133">
            <v>1113.0436199999999</v>
          </cell>
          <cell r="V133">
            <v>1928.3500000000001</v>
          </cell>
          <cell r="W133">
            <v>45000.002619999992</v>
          </cell>
          <cell r="X133">
            <v>0</v>
          </cell>
          <cell r="Y133">
            <v>38567</v>
          </cell>
          <cell r="Z133">
            <v>0</v>
          </cell>
          <cell r="AA133">
            <v>200</v>
          </cell>
          <cell r="AB133">
            <v>1800</v>
          </cell>
          <cell r="AC133">
            <v>283</v>
          </cell>
          <cell r="AD133">
            <v>0</v>
          </cell>
          <cell r="AE133">
            <v>2283</v>
          </cell>
          <cell r="AF133">
            <v>40767.002619999992</v>
          </cell>
        </row>
        <row r="134">
          <cell r="C134" t="str">
            <v>BITS-727</v>
          </cell>
          <cell r="D134">
            <v>0</v>
          </cell>
          <cell r="E134" t="str">
            <v>SRILATHA</v>
          </cell>
          <cell r="F134" t="str">
            <v>HYD SEZ</v>
          </cell>
          <cell r="G134">
            <v>115000</v>
          </cell>
          <cell r="H134">
            <v>103450</v>
          </cell>
          <cell r="I134">
            <v>31</v>
          </cell>
          <cell r="J134">
            <v>31</v>
          </cell>
          <cell r="K134">
            <v>0</v>
          </cell>
          <cell r="L134">
            <v>31</v>
          </cell>
          <cell r="M134">
            <v>62070</v>
          </cell>
          <cell r="N134">
            <v>24828</v>
          </cell>
          <cell r="O134">
            <v>2083</v>
          </cell>
          <cell r="P134">
            <v>2083</v>
          </cell>
          <cell r="Q134">
            <v>12386</v>
          </cell>
          <cell r="R134">
            <v>103450</v>
          </cell>
          <cell r="S134">
            <v>1950</v>
          </cell>
          <cell r="T134">
            <v>1441.6089999999999</v>
          </cell>
          <cell r="U134">
            <v>2985.5669999999996</v>
          </cell>
          <cell r="V134">
            <v>5172.5</v>
          </cell>
          <cell r="W134">
            <v>114999.67599999999</v>
          </cell>
          <cell r="X134">
            <v>0</v>
          </cell>
          <cell r="Y134">
            <v>103450</v>
          </cell>
          <cell r="Z134">
            <v>0</v>
          </cell>
          <cell r="AA134">
            <v>200</v>
          </cell>
          <cell r="AB134">
            <v>1800</v>
          </cell>
          <cell r="AC134">
            <v>0</v>
          </cell>
          <cell r="AD134">
            <v>0</v>
          </cell>
          <cell r="AE134">
            <v>2000</v>
          </cell>
          <cell r="AF134">
            <v>111049.67599999999</v>
          </cell>
        </row>
        <row r="135">
          <cell r="C135" t="str">
            <v>BITS-728</v>
          </cell>
          <cell r="D135">
            <v>0</v>
          </cell>
          <cell r="E135" t="str">
            <v>Reshma Punde</v>
          </cell>
          <cell r="F135" t="str">
            <v>hold</v>
          </cell>
          <cell r="G135">
            <v>80000</v>
          </cell>
          <cell r="H135">
            <v>71009</v>
          </cell>
          <cell r="I135">
            <v>31</v>
          </cell>
          <cell r="J135">
            <v>29</v>
          </cell>
          <cell r="K135">
            <v>0</v>
          </cell>
          <cell r="L135">
            <v>29</v>
          </cell>
          <cell r="M135">
            <v>39856.664516129036</v>
          </cell>
          <cell r="N135">
            <v>15942.665806451616</v>
          </cell>
          <cell r="O135">
            <v>1949</v>
          </cell>
          <cell r="P135">
            <v>1949</v>
          </cell>
          <cell r="Q135">
            <v>6730.4438709677415</v>
          </cell>
          <cell r="R135">
            <v>66427.774193548394</v>
          </cell>
          <cell r="S135">
            <v>1950</v>
          </cell>
          <cell r="T135">
            <v>1441.6089999999999</v>
          </cell>
          <cell r="U135">
            <v>1917.1055632258065</v>
          </cell>
          <cell r="V135">
            <v>3321.3887096774197</v>
          </cell>
          <cell r="W135">
            <v>75057.87746645161</v>
          </cell>
          <cell r="X135">
            <v>0</v>
          </cell>
          <cell r="Y135">
            <v>66427.774193548394</v>
          </cell>
          <cell r="Z135">
            <v>0</v>
          </cell>
          <cell r="AA135">
            <v>200</v>
          </cell>
          <cell r="AB135">
            <v>0</v>
          </cell>
          <cell r="AC135">
            <v>0</v>
          </cell>
          <cell r="AD135">
            <v>0</v>
          </cell>
          <cell r="AE135">
            <v>200</v>
          </cell>
          <cell r="AF135">
            <v>72908.103272903216</v>
          </cell>
        </row>
        <row r="136">
          <cell r="C136" t="str">
            <v>BITS-729</v>
          </cell>
          <cell r="D136">
            <v>0</v>
          </cell>
          <cell r="E136" t="str">
            <v>Rahul Suryawanshi</v>
          </cell>
          <cell r="F136" t="str">
            <v>PUNE SEZ 1</v>
          </cell>
          <cell r="G136">
            <v>90000</v>
          </cell>
          <cell r="H136">
            <v>80278</v>
          </cell>
          <cell r="I136">
            <v>31</v>
          </cell>
          <cell r="J136">
            <v>28</v>
          </cell>
          <cell r="K136">
            <v>0</v>
          </cell>
          <cell r="L136">
            <v>28</v>
          </cell>
          <cell r="M136">
            <v>43505.49677419354</v>
          </cell>
          <cell r="N136">
            <v>17402.198709677417</v>
          </cell>
          <cell r="O136">
            <v>1881</v>
          </cell>
          <cell r="P136">
            <v>1881</v>
          </cell>
          <cell r="Q136">
            <v>7839.4658064516188</v>
          </cell>
          <cell r="R136">
            <v>72509.161290322576</v>
          </cell>
          <cell r="S136">
            <v>1950</v>
          </cell>
          <cell r="T136">
            <v>1441.6089999999999</v>
          </cell>
          <cell r="U136">
            <v>2092.6143948387089</v>
          </cell>
          <cell r="V136">
            <v>3625.4580645161282</v>
          </cell>
          <cell r="W136">
            <v>81618.842749677395</v>
          </cell>
          <cell r="X136">
            <v>0</v>
          </cell>
          <cell r="Y136">
            <v>72509.161290322576</v>
          </cell>
          <cell r="Z136">
            <v>0</v>
          </cell>
          <cell r="AA136">
            <v>200</v>
          </cell>
          <cell r="AB136">
            <v>1800</v>
          </cell>
          <cell r="AC136">
            <v>0</v>
          </cell>
          <cell r="AD136">
            <v>0</v>
          </cell>
          <cell r="AE136">
            <v>2000</v>
          </cell>
          <cell r="AF136">
            <v>77668.681459354833</v>
          </cell>
        </row>
        <row r="137">
          <cell r="C137" t="str">
            <v>BITS-730</v>
          </cell>
          <cell r="D137">
            <v>0</v>
          </cell>
          <cell r="E137" t="str">
            <v xml:space="preserve">Shantanu Patankar </v>
          </cell>
          <cell r="F137" t="str">
            <v>PUNE SEZ 1</v>
          </cell>
          <cell r="G137">
            <v>125000</v>
          </cell>
          <cell r="H137">
            <v>112719</v>
          </cell>
          <cell r="I137">
            <v>31</v>
          </cell>
          <cell r="J137">
            <v>23</v>
          </cell>
          <cell r="K137">
            <v>0</v>
          </cell>
          <cell r="L137">
            <v>23</v>
          </cell>
          <cell r="M137">
            <v>50178.135483870959</v>
          </cell>
          <cell r="N137">
            <v>20071.254193548386</v>
          </cell>
          <cell r="O137">
            <v>1545</v>
          </cell>
          <cell r="P137">
            <v>1545</v>
          </cell>
          <cell r="Q137">
            <v>10290.836129032265</v>
          </cell>
          <cell r="R137">
            <v>83630.225806451606</v>
          </cell>
          <cell r="S137">
            <v>1950</v>
          </cell>
          <cell r="T137">
            <v>1441.6089999999999</v>
          </cell>
          <cell r="U137">
            <v>2413.5683167741931</v>
          </cell>
          <cell r="V137">
            <v>4181.51129032258</v>
          </cell>
          <cell r="W137">
            <v>93616.91441354838</v>
          </cell>
          <cell r="X137">
            <v>0</v>
          </cell>
          <cell r="Y137">
            <v>83630.225806451606</v>
          </cell>
          <cell r="Z137">
            <v>0</v>
          </cell>
          <cell r="AA137">
            <v>200</v>
          </cell>
          <cell r="AB137">
            <v>1800</v>
          </cell>
          <cell r="AC137">
            <v>0</v>
          </cell>
          <cell r="AD137">
            <v>0</v>
          </cell>
          <cell r="AE137">
            <v>2000</v>
          </cell>
          <cell r="AF137">
            <v>89666.688607096774</v>
          </cell>
        </row>
        <row r="138">
          <cell r="C138" t="str">
            <v>BITS-731</v>
          </cell>
          <cell r="D138">
            <v>0</v>
          </cell>
          <cell r="E138" t="str">
            <v xml:space="preserve">YAMUNA S </v>
          </cell>
          <cell r="F138" t="str">
            <v>BNG STP</v>
          </cell>
          <cell r="G138">
            <v>135000</v>
          </cell>
          <cell r="H138">
            <v>121988</v>
          </cell>
          <cell r="I138">
            <v>31</v>
          </cell>
          <cell r="J138">
            <v>21</v>
          </cell>
          <cell r="K138">
            <v>0</v>
          </cell>
          <cell r="L138">
            <v>21</v>
          </cell>
          <cell r="M138">
            <v>49582.219354838708</v>
          </cell>
          <cell r="N138">
            <v>19832.887741935483</v>
          </cell>
          <cell r="O138">
            <v>1411</v>
          </cell>
          <cell r="P138">
            <v>1411</v>
          </cell>
          <cell r="Q138">
            <v>10399.925161290332</v>
          </cell>
          <cell r="R138">
            <v>82637.032258064515</v>
          </cell>
          <cell r="S138">
            <v>1950</v>
          </cell>
          <cell r="T138">
            <v>1441.6089999999999</v>
          </cell>
          <cell r="U138">
            <v>2384.9047509677416</v>
          </cell>
          <cell r="V138">
            <v>4131.8516129032259</v>
          </cell>
          <cell r="W138">
            <v>92545.397621935481</v>
          </cell>
          <cell r="X138">
            <v>0</v>
          </cell>
          <cell r="Y138">
            <v>82637.032258064515</v>
          </cell>
          <cell r="Z138">
            <v>0</v>
          </cell>
          <cell r="AA138">
            <v>200</v>
          </cell>
          <cell r="AB138">
            <v>1800</v>
          </cell>
          <cell r="AC138">
            <v>0</v>
          </cell>
          <cell r="AD138">
            <v>0</v>
          </cell>
          <cell r="AE138">
            <v>2000</v>
          </cell>
          <cell r="AF138">
            <v>88595.365363870966</v>
          </cell>
        </row>
        <row r="139">
          <cell r="C139" t="str">
            <v>BITS-732</v>
          </cell>
          <cell r="D139">
            <v>0</v>
          </cell>
          <cell r="E139" t="str">
            <v xml:space="preserve">ChetanMadhukar Mundhe </v>
          </cell>
          <cell r="F139" t="str">
            <v>BNG STP</v>
          </cell>
          <cell r="G139">
            <v>125000</v>
          </cell>
          <cell r="H139">
            <v>112719</v>
          </cell>
          <cell r="I139">
            <v>31</v>
          </cell>
          <cell r="J139">
            <v>17</v>
          </cell>
          <cell r="K139">
            <v>0</v>
          </cell>
          <cell r="L139">
            <v>17</v>
          </cell>
          <cell r="M139">
            <v>37088.1870967742</v>
          </cell>
          <cell r="N139">
            <v>14835.27483870968</v>
          </cell>
          <cell r="O139">
            <v>1142</v>
          </cell>
          <cell r="P139">
            <v>1142</v>
          </cell>
          <cell r="Q139">
            <v>7606.183225806446</v>
          </cell>
          <cell r="R139">
            <v>61813.645161290326</v>
          </cell>
          <cell r="S139">
            <v>1950</v>
          </cell>
          <cell r="T139">
            <v>1441.6089999999999</v>
          </cell>
          <cell r="U139">
            <v>1783.9417993548386</v>
          </cell>
          <cell r="V139">
            <v>3090.6822580645166</v>
          </cell>
          <cell r="W139">
            <v>70079.87821870968</v>
          </cell>
          <cell r="X139">
            <v>0</v>
          </cell>
          <cell r="Y139">
            <v>61813.645161290326</v>
          </cell>
          <cell r="Z139">
            <v>0</v>
          </cell>
          <cell r="AA139">
            <v>200</v>
          </cell>
          <cell r="AB139">
            <v>1800</v>
          </cell>
          <cell r="AC139">
            <v>0</v>
          </cell>
          <cell r="AD139">
            <v>0</v>
          </cell>
          <cell r="AE139">
            <v>2000</v>
          </cell>
          <cell r="AF139">
            <v>66130.233057419362</v>
          </cell>
        </row>
        <row r="140">
          <cell r="C140" t="str">
            <v>BITS-733</v>
          </cell>
          <cell r="D140">
            <v>0</v>
          </cell>
          <cell r="E140" t="str">
            <v>Chandrashekar Patil</v>
          </cell>
          <cell r="F140" t="str">
            <v>PUNE ASC SEZ</v>
          </cell>
          <cell r="G140">
            <v>83000</v>
          </cell>
          <cell r="H140">
            <v>73789</v>
          </cell>
          <cell r="I140">
            <v>31</v>
          </cell>
          <cell r="J140">
            <v>17</v>
          </cell>
          <cell r="K140">
            <v>1</v>
          </cell>
          <cell r="L140">
            <v>18</v>
          </cell>
          <cell r="M140">
            <v>25707.135483870967</v>
          </cell>
          <cell r="N140">
            <v>10282.854193548388</v>
          </cell>
          <cell r="O140">
            <v>1209</v>
          </cell>
          <cell r="P140">
            <v>1209</v>
          </cell>
          <cell r="Q140">
            <v>4437.2361290322588</v>
          </cell>
          <cell r="R140">
            <v>42845.225806451614</v>
          </cell>
          <cell r="S140">
            <v>1950</v>
          </cell>
          <cell r="T140">
            <v>1441.6089999999999</v>
          </cell>
          <cell r="U140">
            <v>1236.5132167741933</v>
          </cell>
          <cell r="V140">
            <v>2142.2612903225804</v>
          </cell>
          <cell r="W140">
            <v>49615.609313548382</v>
          </cell>
          <cell r="X140">
            <v>0</v>
          </cell>
          <cell r="Y140">
            <v>42845.225806451614</v>
          </cell>
          <cell r="Z140">
            <v>0</v>
          </cell>
          <cell r="AA140">
            <v>200</v>
          </cell>
          <cell r="AB140">
            <v>1800</v>
          </cell>
          <cell r="AC140">
            <v>0</v>
          </cell>
          <cell r="AD140">
            <v>0</v>
          </cell>
          <cell r="AE140">
            <v>2000</v>
          </cell>
          <cell r="AF140">
            <v>45665.383507096769</v>
          </cell>
        </row>
        <row r="141">
          <cell r="C141" t="str">
            <v>BITS-734</v>
          </cell>
          <cell r="D141">
            <v>0</v>
          </cell>
          <cell r="E141" t="str">
            <v xml:space="preserve">ShaikFarooq Basha </v>
          </cell>
          <cell r="F141" t="str">
            <v>PUNE ASC SEZ</v>
          </cell>
          <cell r="G141">
            <v>115000</v>
          </cell>
          <cell r="H141">
            <v>103450</v>
          </cell>
          <cell r="I141">
            <v>31</v>
          </cell>
          <cell r="J141">
            <v>16</v>
          </cell>
          <cell r="K141">
            <v>0</v>
          </cell>
          <cell r="L141">
            <v>16</v>
          </cell>
          <cell r="M141">
            <v>32036.129032258064</v>
          </cell>
          <cell r="N141">
            <v>12814.451612903227</v>
          </cell>
          <cell r="O141">
            <v>1075</v>
          </cell>
          <cell r="P141">
            <v>1075</v>
          </cell>
          <cell r="Q141">
            <v>6392.9677419354848</v>
          </cell>
          <cell r="R141">
            <v>53393.548387096773</v>
          </cell>
          <cell r="S141">
            <v>1950</v>
          </cell>
          <cell r="T141">
            <v>1441.6089999999999</v>
          </cell>
          <cell r="U141">
            <v>1540.9378064516129</v>
          </cell>
          <cell r="V141">
            <v>2669.6774193548385</v>
          </cell>
          <cell r="W141">
            <v>60995.772612903223</v>
          </cell>
          <cell r="X141">
            <v>0</v>
          </cell>
          <cell r="Y141">
            <v>53393.548387096773</v>
          </cell>
          <cell r="Z141">
            <v>0</v>
          </cell>
          <cell r="AA141">
            <v>200</v>
          </cell>
          <cell r="AB141">
            <v>1800</v>
          </cell>
          <cell r="AC141">
            <v>0</v>
          </cell>
          <cell r="AD141">
            <v>0</v>
          </cell>
          <cell r="AE141">
            <v>2000</v>
          </cell>
          <cell r="AF141">
            <v>57046.224225806451</v>
          </cell>
        </row>
        <row r="142">
          <cell r="C142" t="str">
            <v>BITS-734</v>
          </cell>
          <cell r="D142">
            <v>0</v>
          </cell>
          <cell r="E142" t="str">
            <v>SathishKumar dhandu</v>
          </cell>
          <cell r="F142" t="str">
            <v>BNG STP</v>
          </cell>
          <cell r="G142">
            <v>95000</v>
          </cell>
          <cell r="H142">
            <v>84812</v>
          </cell>
          <cell r="I142">
            <v>31</v>
          </cell>
          <cell r="J142">
            <v>16</v>
          </cell>
          <cell r="K142">
            <v>0</v>
          </cell>
          <cell r="L142">
            <v>16</v>
          </cell>
          <cell r="M142">
            <v>26264.36129032258</v>
          </cell>
          <cell r="N142">
            <v>10505.744516129032</v>
          </cell>
          <cell r="O142">
            <v>1075</v>
          </cell>
          <cell r="P142">
            <v>1075</v>
          </cell>
          <cell r="Q142">
            <v>4853.8296774193586</v>
          </cell>
          <cell r="R142">
            <v>43773.93548387097</v>
          </cell>
          <cell r="S142">
            <v>0</v>
          </cell>
          <cell r="T142">
            <v>1441.6089999999999</v>
          </cell>
          <cell r="U142">
            <v>1263.3157780645161</v>
          </cell>
          <cell r="V142">
            <v>2188.6967741935482</v>
          </cell>
          <cell r="W142">
            <v>48667.55703612903</v>
          </cell>
          <cell r="X142">
            <v>0</v>
          </cell>
          <cell r="Y142">
            <v>43773.93548387097</v>
          </cell>
          <cell r="Z142">
            <v>0</v>
          </cell>
          <cell r="AA142">
            <v>200</v>
          </cell>
          <cell r="AB142">
            <v>0</v>
          </cell>
          <cell r="AC142">
            <v>0</v>
          </cell>
          <cell r="AD142">
            <v>0</v>
          </cell>
          <cell r="AE142">
            <v>200</v>
          </cell>
          <cell r="AF142">
            <v>48467.621552258061</v>
          </cell>
        </row>
        <row r="143">
          <cell r="C143" t="str">
            <v>BITS-735</v>
          </cell>
          <cell r="D143">
            <v>0</v>
          </cell>
          <cell r="E143" t="str">
            <v> SURESH Kumar KOLA</v>
          </cell>
          <cell r="F143" t="str">
            <v>HYD SEZ</v>
          </cell>
          <cell r="G143">
            <v>90000</v>
          </cell>
          <cell r="H143">
            <v>80278</v>
          </cell>
          <cell r="I143">
            <v>31</v>
          </cell>
          <cell r="J143">
            <v>15</v>
          </cell>
          <cell r="K143">
            <v>0</v>
          </cell>
          <cell r="L143">
            <v>15</v>
          </cell>
          <cell r="M143">
            <v>23306.516129032258</v>
          </cell>
          <cell r="N143">
            <v>9322.6064516129027</v>
          </cell>
          <cell r="O143">
            <v>1008</v>
          </cell>
          <cell r="P143">
            <v>1008</v>
          </cell>
          <cell r="Q143">
            <v>4199.0709677419363</v>
          </cell>
          <cell r="R143">
            <v>38844.193548387098</v>
          </cell>
          <cell r="S143">
            <v>1950</v>
          </cell>
          <cell r="T143">
            <v>1441.6089999999999</v>
          </cell>
          <cell r="U143">
            <v>1121.0434258064515</v>
          </cell>
          <cell r="V143">
            <v>1942.2096774193549</v>
          </cell>
          <cell r="W143">
            <v>45299.0556516129</v>
          </cell>
          <cell r="X143">
            <v>0</v>
          </cell>
          <cell r="Y143">
            <v>38844.193548387098</v>
          </cell>
          <cell r="Z143">
            <v>0</v>
          </cell>
          <cell r="AA143">
            <v>200</v>
          </cell>
          <cell r="AB143">
            <v>1800</v>
          </cell>
          <cell r="AC143">
            <v>0</v>
          </cell>
          <cell r="AD143">
            <v>0</v>
          </cell>
          <cell r="AE143">
            <v>2000</v>
          </cell>
          <cell r="AF143">
            <v>41348.862103225802</v>
          </cell>
        </row>
        <row r="144">
          <cell r="C144" t="str">
            <v>BITS-736</v>
          </cell>
          <cell r="D144">
            <v>0</v>
          </cell>
          <cell r="E144" t="str">
            <v>Varalakshmi Vijay</v>
          </cell>
          <cell r="F144" t="str">
            <v>PUNE SEZ 1</v>
          </cell>
          <cell r="G144">
            <v>75000</v>
          </cell>
          <cell r="H144">
            <v>66374</v>
          </cell>
          <cell r="I144">
            <v>31</v>
          </cell>
          <cell r="J144">
            <v>11</v>
          </cell>
          <cell r="K144">
            <v>0</v>
          </cell>
          <cell r="L144">
            <v>11</v>
          </cell>
          <cell r="M144">
            <v>14131.23870967742</v>
          </cell>
          <cell r="N144">
            <v>5652.4954838709682</v>
          </cell>
          <cell r="O144">
            <v>739</v>
          </cell>
          <cell r="P144">
            <v>739</v>
          </cell>
          <cell r="Q144">
            <v>2290.3303225806449</v>
          </cell>
          <cell r="R144">
            <v>23552.064516129034</v>
          </cell>
          <cell r="S144">
            <v>1837.0610322580646</v>
          </cell>
          <cell r="T144">
            <v>1441.6089999999999</v>
          </cell>
          <cell r="U144">
            <v>679.71258193548385</v>
          </cell>
          <cell r="V144">
            <v>1177.6032258064517</v>
          </cell>
          <cell r="W144">
            <v>28688.050356129035</v>
          </cell>
          <cell r="X144">
            <v>0</v>
          </cell>
          <cell r="Y144">
            <v>23552.064516129034</v>
          </cell>
          <cell r="Z144">
            <v>0</v>
          </cell>
          <cell r="AA144">
            <v>200</v>
          </cell>
          <cell r="AB144">
            <v>1696</v>
          </cell>
          <cell r="AC144">
            <v>0</v>
          </cell>
          <cell r="AD144">
            <v>0</v>
          </cell>
          <cell r="AE144">
            <v>1896</v>
          </cell>
          <cell r="AF144">
            <v>24954.924807741936</v>
          </cell>
        </row>
        <row r="145">
          <cell r="C145" t="str">
            <v>BITS-737</v>
          </cell>
          <cell r="D145">
            <v>0</v>
          </cell>
          <cell r="E145" t="str">
            <v>Rammohan Mothukuri</v>
          </cell>
          <cell r="F145" t="str">
            <v>HYD STP</v>
          </cell>
          <cell r="G145">
            <v>97000</v>
          </cell>
          <cell r="H145">
            <v>86766</v>
          </cell>
          <cell r="I145">
            <v>31</v>
          </cell>
          <cell r="J145">
            <v>11</v>
          </cell>
          <cell r="K145">
            <v>0</v>
          </cell>
          <cell r="L145">
            <v>11</v>
          </cell>
          <cell r="M145">
            <v>18472.761290322578</v>
          </cell>
          <cell r="N145">
            <v>7389.1045161290313</v>
          </cell>
          <cell r="O145">
            <v>739</v>
          </cell>
          <cell r="P145">
            <v>739</v>
          </cell>
          <cell r="Q145">
            <v>3448.0696774193566</v>
          </cell>
          <cell r="R145">
            <v>30787.935483870966</v>
          </cell>
          <cell r="S145">
            <v>1950</v>
          </cell>
          <cell r="T145">
            <v>1441.6089999999999</v>
          </cell>
          <cell r="U145">
            <v>888.539818064516</v>
          </cell>
          <cell r="V145">
            <v>1539.3967741935483</v>
          </cell>
          <cell r="W145">
            <v>36607.481076129028</v>
          </cell>
          <cell r="X145">
            <v>0</v>
          </cell>
          <cell r="Y145">
            <v>30787.935483870966</v>
          </cell>
          <cell r="Z145">
            <v>0</v>
          </cell>
          <cell r="AA145">
            <v>200</v>
          </cell>
          <cell r="AB145">
            <v>1800</v>
          </cell>
          <cell r="AC145">
            <v>0</v>
          </cell>
          <cell r="AD145">
            <v>0</v>
          </cell>
          <cell r="AE145">
            <v>2000</v>
          </cell>
          <cell r="AF145">
            <v>32657.545592258066</v>
          </cell>
        </row>
        <row r="146">
          <cell r="C146" t="str">
            <v>BITS-738</v>
          </cell>
          <cell r="D146">
            <v>0</v>
          </cell>
          <cell r="E146" t="str">
            <v>NILOTPAL BHOWAL</v>
          </cell>
          <cell r="F146" t="str">
            <v>PUNE ASC SEZ</v>
          </cell>
          <cell r="G146">
            <v>135000</v>
          </cell>
          <cell r="H146">
            <v>121988</v>
          </cell>
          <cell r="I146">
            <v>31</v>
          </cell>
          <cell r="J146">
            <v>2</v>
          </cell>
          <cell r="K146">
            <v>0</v>
          </cell>
          <cell r="L146">
            <v>2</v>
          </cell>
          <cell r="M146">
            <v>4722.116129032258</v>
          </cell>
          <cell r="N146">
            <v>1888.8464516129034</v>
          </cell>
          <cell r="O146">
            <v>134</v>
          </cell>
          <cell r="P146">
            <v>134</v>
          </cell>
          <cell r="Q146">
            <v>991.23096774193527</v>
          </cell>
          <cell r="R146">
            <v>7870.1935483870966</v>
          </cell>
          <cell r="S146">
            <v>613.87509677419359</v>
          </cell>
          <cell r="T146">
            <v>1441.6089999999999</v>
          </cell>
          <cell r="U146">
            <v>227.13378580645158</v>
          </cell>
          <cell r="V146">
            <v>393.50967741935483</v>
          </cell>
          <cell r="W146">
            <v>10546.321108387096</v>
          </cell>
          <cell r="X146">
            <v>0</v>
          </cell>
          <cell r="Y146">
            <v>7870.1935483870966</v>
          </cell>
          <cell r="Z146">
            <v>0</v>
          </cell>
          <cell r="AA146">
            <v>0</v>
          </cell>
          <cell r="AB146">
            <v>567</v>
          </cell>
          <cell r="AC146">
            <v>0</v>
          </cell>
          <cell r="AD146">
            <v>0</v>
          </cell>
          <cell r="AE146">
            <v>567</v>
          </cell>
          <cell r="AF146">
            <v>9365.2524632258064</v>
          </cell>
        </row>
        <row r="147">
          <cell r="C147" t="str">
            <v>BITS-739</v>
          </cell>
          <cell r="D147">
            <v>0</v>
          </cell>
          <cell r="E147" t="str">
            <v>PraveenKumar GATTU</v>
          </cell>
          <cell r="F147" t="str">
            <v>BNG STP</v>
          </cell>
          <cell r="G147">
            <v>90000</v>
          </cell>
          <cell r="H147">
            <v>80278</v>
          </cell>
          <cell r="I147">
            <v>31</v>
          </cell>
          <cell r="J147">
            <v>4</v>
          </cell>
          <cell r="K147">
            <v>0</v>
          </cell>
          <cell r="L147">
            <v>4</v>
          </cell>
          <cell r="M147">
            <v>6215.0709677419354</v>
          </cell>
          <cell r="N147">
            <v>2486.0283870967742</v>
          </cell>
          <cell r="O147">
            <v>269</v>
          </cell>
          <cell r="P147">
            <v>269</v>
          </cell>
          <cell r="Q147">
            <v>1119.3522580645167</v>
          </cell>
          <cell r="R147">
            <v>10358.451612903225</v>
          </cell>
          <cell r="S147">
            <v>807.95922580645163</v>
          </cell>
          <cell r="T147">
            <v>1441.6089999999999</v>
          </cell>
          <cell r="U147">
            <v>298.94491354838709</v>
          </cell>
          <cell r="V147">
            <v>517.92258064516125</v>
          </cell>
          <cell r="W147">
            <v>13424.887332903225</v>
          </cell>
          <cell r="X147">
            <v>0</v>
          </cell>
          <cell r="Y147">
            <v>10358.451612903225</v>
          </cell>
          <cell r="Z147">
            <v>0</v>
          </cell>
          <cell r="AA147">
            <v>0</v>
          </cell>
          <cell r="AB147">
            <v>746</v>
          </cell>
          <cell r="AC147">
            <v>0</v>
          </cell>
          <cell r="AD147">
            <v>0</v>
          </cell>
          <cell r="AE147">
            <v>746</v>
          </cell>
          <cell r="AF147">
            <v>11870.476494193548</v>
          </cell>
        </row>
        <row r="148">
          <cell r="C148" t="str">
            <v>BITS-740</v>
          </cell>
          <cell r="D148">
            <v>0</v>
          </cell>
          <cell r="E148" t="str">
            <v xml:space="preserve">MUMMANA ANILKUMAR </v>
          </cell>
          <cell r="F148" t="str">
            <v>HYD SEZ</v>
          </cell>
          <cell r="G148">
            <v>145000</v>
          </cell>
          <cell r="H148">
            <v>131257</v>
          </cell>
          <cell r="I148">
            <v>31</v>
          </cell>
          <cell r="J148">
            <v>4</v>
          </cell>
          <cell r="K148">
            <v>0</v>
          </cell>
          <cell r="L148">
            <v>4</v>
          </cell>
          <cell r="M148">
            <v>10161.832258064516</v>
          </cell>
          <cell r="N148">
            <v>4064.7329032258067</v>
          </cell>
          <cell r="O148">
            <v>269</v>
          </cell>
          <cell r="P148">
            <v>269</v>
          </cell>
          <cell r="Q148">
            <v>2171.8219354838693</v>
          </cell>
          <cell r="R148">
            <v>16936.387096774193</v>
          </cell>
          <cell r="S148">
            <v>1321.0381935483872</v>
          </cell>
          <cell r="T148">
            <v>1441.6089999999999</v>
          </cell>
          <cell r="U148">
            <v>488.7841316129032</v>
          </cell>
          <cell r="V148">
            <v>846.81935483870973</v>
          </cell>
          <cell r="W148">
            <v>21034.637776774191</v>
          </cell>
          <cell r="X148">
            <v>0</v>
          </cell>
          <cell r="Y148">
            <v>16936.387096774193</v>
          </cell>
          <cell r="Z148">
            <v>0</v>
          </cell>
          <cell r="AA148">
            <v>150</v>
          </cell>
          <cell r="AB148">
            <v>1219</v>
          </cell>
          <cell r="AC148">
            <v>0</v>
          </cell>
          <cell r="AD148">
            <v>0</v>
          </cell>
          <cell r="AE148">
            <v>1369</v>
          </cell>
          <cell r="AF148">
            <v>18344.212486451612</v>
          </cell>
        </row>
        <row r="149">
          <cell r="C149" t="str">
            <v>BITS-741</v>
          </cell>
          <cell r="D149">
            <v>0</v>
          </cell>
          <cell r="E149" t="str">
            <v>susheelKumar Gabndla</v>
          </cell>
          <cell r="F149" t="str">
            <v>PUNE SEZ 2</v>
          </cell>
          <cell r="G149">
            <v>90000</v>
          </cell>
          <cell r="H149">
            <v>80278</v>
          </cell>
          <cell r="I149">
            <v>31</v>
          </cell>
          <cell r="J149">
            <v>4</v>
          </cell>
          <cell r="K149">
            <v>0</v>
          </cell>
          <cell r="L149">
            <v>4</v>
          </cell>
          <cell r="M149">
            <v>6215.0709677419354</v>
          </cell>
          <cell r="N149">
            <v>2486.0283870967742</v>
          </cell>
          <cell r="O149">
            <v>269</v>
          </cell>
          <cell r="P149">
            <v>269</v>
          </cell>
          <cell r="Q149">
            <v>1119.3522580645167</v>
          </cell>
          <cell r="R149">
            <v>10358.451612903225</v>
          </cell>
          <cell r="S149">
            <v>807.95922580645163</v>
          </cell>
          <cell r="T149">
            <v>1441.6089999999999</v>
          </cell>
          <cell r="U149">
            <v>298.94491354838709</v>
          </cell>
          <cell r="V149">
            <v>517.92258064516125</v>
          </cell>
          <cell r="W149">
            <v>13424.887332903225</v>
          </cell>
          <cell r="X149">
            <v>0</v>
          </cell>
          <cell r="Y149">
            <v>10358.451612903225</v>
          </cell>
          <cell r="Z149">
            <v>0</v>
          </cell>
          <cell r="AA149">
            <v>0</v>
          </cell>
          <cell r="AB149">
            <v>0</v>
          </cell>
          <cell r="AC149">
            <v>0</v>
          </cell>
          <cell r="AD149">
            <v>0</v>
          </cell>
          <cell r="AE149">
            <v>0</v>
          </cell>
          <cell r="AF149">
            <v>12616.476494193548</v>
          </cell>
        </row>
        <row r="150">
          <cell r="C150" t="str">
            <v>BITS-742</v>
          </cell>
          <cell r="D150">
            <v>0</v>
          </cell>
          <cell r="E150" t="str">
            <v xml:space="preserve">Ravi Gande </v>
          </cell>
          <cell r="F150" t="str">
            <v>HYD SEZ</v>
          </cell>
          <cell r="G150">
            <v>75000</v>
          </cell>
          <cell r="H150">
            <v>68182</v>
          </cell>
          <cell r="I150">
            <v>31</v>
          </cell>
          <cell r="J150">
            <v>4</v>
          </cell>
          <cell r="K150">
            <v>0</v>
          </cell>
          <cell r="L150">
            <v>4</v>
          </cell>
          <cell r="M150">
            <v>5278.6064516129027</v>
          </cell>
          <cell r="N150">
            <v>2111.4425806451613</v>
          </cell>
          <cell r="O150">
            <v>269</v>
          </cell>
          <cell r="P150">
            <v>269</v>
          </cell>
          <cell r="Q150">
            <v>869.62838709677453</v>
          </cell>
          <cell r="R150">
            <v>8797.677419354839</v>
          </cell>
          <cell r="S150">
            <v>686.21883870967736</v>
          </cell>
          <cell r="T150">
            <v>1441.6089999999999</v>
          </cell>
          <cell r="U150">
            <v>253.9009703225806</v>
          </cell>
          <cell r="V150">
            <v>439.88387096774187</v>
          </cell>
          <cell r="W150">
            <v>11619.290099354839</v>
          </cell>
          <cell r="X150">
            <v>0</v>
          </cell>
          <cell r="Y150">
            <v>8797.677419354839</v>
          </cell>
          <cell r="Z150">
            <v>0</v>
          </cell>
          <cell r="AA150">
            <v>0</v>
          </cell>
          <cell r="AB150">
            <v>0</v>
          </cell>
          <cell r="AC150">
            <v>0</v>
          </cell>
          <cell r="AD150">
            <v>0</v>
          </cell>
          <cell r="AE150">
            <v>0</v>
          </cell>
          <cell r="AF150">
            <v>10933.393841290323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DBAD-Workmen RegJULY21"/>
      <sheetName val="HYD-Master-JULY21"/>
      <sheetName val="Equal remuneration"/>
      <sheetName val="Employment Cards"/>
      <sheetName val="Serive Certificate"/>
      <sheetName val="HYBAD-Muster Roll"/>
      <sheetName val="Leave Reg"/>
      <sheetName val="wages Reg"/>
      <sheetName val="wage sllips"/>
      <sheetName val="Deductions"/>
      <sheetName val="Fines"/>
      <sheetName val="Advances"/>
      <sheetName val="Overtime"/>
      <sheetName val="Accident"/>
      <sheetName val="Bonus-C"/>
      <sheetName val="Bonus-D"/>
      <sheetName val="FORM-E"/>
      <sheetName val="FORM-A"/>
      <sheetName val="FORM-B"/>
      <sheetName val="FORM-C"/>
      <sheetName val="FORM-D"/>
    </sheetNames>
    <sheetDataSet>
      <sheetData sheetId="0"/>
      <sheetData sheetId="1">
        <row r="8">
          <cell r="F8" t="str">
            <v>IT Support Services &amp; Hyderabad</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 sheet-Feb- 2019"/>
      <sheetName val="Sheet1"/>
      <sheetName val="Payslips"/>
      <sheetName val="LEFT"/>
      <sheetName val="Master"/>
      <sheetName val="Workmen Reg"/>
      <sheetName val="Muster Roll"/>
      <sheetName val="Leave Reg"/>
      <sheetName val="wages Reg"/>
      <sheetName val="Employment Cards"/>
      <sheetName val="wage sllips"/>
      <sheetName val="Deductions"/>
      <sheetName val="Fines"/>
      <sheetName val="Advances"/>
      <sheetName val="Overtime"/>
      <sheetName val="Accident"/>
      <sheetName val="Bonus"/>
      <sheetName val="Equal remuneration"/>
      <sheetName val="ESI cards Reg"/>
      <sheetName val="Form-I"/>
      <sheetName val="Form-2"/>
      <sheetName val="Form 11"/>
      <sheetName val="Form-F"/>
      <sheetName val="Serive Certificate"/>
    </sheetNames>
    <sheetDataSet>
      <sheetData sheetId="0" refreshError="1"/>
      <sheetData sheetId="1" refreshError="1"/>
      <sheetData sheetId="2" refreshError="1"/>
      <sheetData sheetId="3" refreshError="1">
        <row r="3">
          <cell r="A3">
            <v>26</v>
          </cell>
          <cell r="T3" t="str">
            <v>N/A</v>
          </cell>
          <cell r="U3" t="str">
            <v xml:space="preserve">Bharath Dommaraju </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B107"/>
  <sheetViews>
    <sheetView showFormulas="1" topLeftCell="D93" zoomScale="96" zoomScaleNormal="96" workbookViewId="0">
      <selection activeCell="C102" sqref="C102:H102"/>
    </sheetView>
  </sheetViews>
  <sheetFormatPr defaultColWidth="10.5703125" defaultRowHeight="15"/>
  <cols>
    <col min="1" max="1" width="3.85546875" style="327" customWidth="1"/>
    <col min="2" max="2" width="19" style="638" customWidth="1"/>
    <col min="3" max="3" width="10.5703125" style="543" customWidth="1"/>
    <col min="4" max="5" width="10.5703125" style="11" customWidth="1"/>
    <col min="6" max="6" width="10.5703125" style="727" customWidth="1"/>
    <col min="7" max="7" width="17" style="11" customWidth="1"/>
    <col min="8" max="8" width="20.7109375" style="11" customWidth="1"/>
    <col min="9" max="9" width="10.5703125" style="11" customWidth="1"/>
    <col min="10" max="10" width="17.140625" style="898" customWidth="1"/>
    <col min="11" max="14" width="10.5703125" style="11" customWidth="1"/>
    <col min="15" max="15" width="10.5703125" style="320" customWidth="1"/>
    <col min="16" max="16" width="10.5703125" style="11"/>
    <col min="17" max="17" width="10.5703125" style="672"/>
    <col min="18" max="16384" width="10.5703125" style="11"/>
  </cols>
  <sheetData>
    <row r="1" spans="1:17" s="535" customFormat="1" ht="67.5" customHeight="1">
      <c r="A1" s="1098" t="s">
        <v>545</v>
      </c>
      <c r="B1" s="1098"/>
      <c r="C1" s="1098"/>
      <c r="D1" s="1098"/>
      <c r="E1" s="1098"/>
      <c r="F1" s="1098"/>
      <c r="G1" s="1098"/>
      <c r="H1" s="1098"/>
      <c r="I1" s="1098"/>
      <c r="J1" s="1098"/>
      <c r="K1" s="1098"/>
      <c r="L1" s="1098"/>
      <c r="M1" s="1098"/>
      <c r="O1" s="642"/>
      <c r="Q1" s="671"/>
    </row>
    <row r="2" spans="1:17" ht="39.75" customHeight="1">
      <c r="A2" s="1104" t="s">
        <v>50</v>
      </c>
      <c r="B2" s="1104"/>
      <c r="C2" s="1104"/>
      <c r="D2" s="1104"/>
      <c r="E2" s="1104"/>
      <c r="F2" s="1104"/>
      <c r="G2" s="1104"/>
      <c r="H2" s="1104"/>
      <c r="I2" s="1104"/>
      <c r="J2" s="1104"/>
      <c r="K2" s="1104"/>
      <c r="L2" s="1104"/>
      <c r="M2" s="1104"/>
    </row>
    <row r="3" spans="1:17" ht="39.75" customHeight="1">
      <c r="A3" s="1099" t="s">
        <v>0</v>
      </c>
      <c r="B3" s="1099"/>
      <c r="C3" s="1099"/>
      <c r="D3" s="726"/>
      <c r="E3" s="726"/>
      <c r="F3" s="1107" t="s">
        <v>425</v>
      </c>
      <c r="G3" s="1107"/>
      <c r="H3" s="1107"/>
      <c r="I3" s="318"/>
      <c r="J3" s="897" t="s">
        <v>935</v>
      </c>
      <c r="K3" s="317" t="s">
        <v>425</v>
      </c>
      <c r="L3" s="318"/>
      <c r="M3" s="318"/>
    </row>
    <row r="4" spans="1:17" ht="39.75" customHeight="1">
      <c r="A4" s="550"/>
      <c r="F4" s="1108" t="s">
        <v>934</v>
      </c>
      <c r="G4" s="1108"/>
      <c r="H4" s="1108"/>
      <c r="I4" s="1108"/>
      <c r="J4" s="589"/>
      <c r="K4" s="150" t="s">
        <v>426</v>
      </c>
      <c r="L4" s="150"/>
      <c r="M4" s="150"/>
    </row>
    <row r="5" spans="1:17" ht="39.75" customHeight="1">
      <c r="A5" s="1099" t="s">
        <v>2</v>
      </c>
      <c r="B5" s="1099"/>
      <c r="C5" s="1099"/>
      <c r="D5" s="726"/>
      <c r="E5" s="726"/>
      <c r="F5" s="1108" t="s">
        <v>819</v>
      </c>
      <c r="G5" s="1108"/>
      <c r="H5" s="1108"/>
      <c r="I5" s="1108"/>
      <c r="J5" s="664"/>
      <c r="K5" s="322"/>
      <c r="L5" s="322"/>
      <c r="M5" s="322"/>
    </row>
    <row r="6" spans="1:17" ht="39.75" customHeight="1">
      <c r="A6" s="550"/>
    </row>
    <row r="7" spans="1:17" ht="39.75" customHeight="1">
      <c r="A7" s="1099" t="s">
        <v>3</v>
      </c>
      <c r="B7" s="1099"/>
      <c r="C7" s="1099"/>
      <c r="E7" s="726"/>
      <c r="F7" s="633"/>
      <c r="G7" s="324"/>
      <c r="H7" s="324"/>
      <c r="I7" s="324"/>
      <c r="J7" s="899" t="s">
        <v>4</v>
      </c>
      <c r="K7" s="726" t="s">
        <v>936</v>
      </c>
      <c r="L7" s="324"/>
      <c r="M7" s="324"/>
    </row>
    <row r="8" spans="1:17" ht="39.75" customHeight="1">
      <c r="K8" s="1109" t="s">
        <v>937</v>
      </c>
      <c r="L8" s="1109"/>
      <c r="M8" s="1109"/>
    </row>
    <row r="9" spans="1:17" ht="39.75" customHeight="1"/>
    <row r="10" spans="1:17" ht="39.75" customHeight="1" thickBot="1"/>
    <row r="11" spans="1:17" s="536" customFormat="1" ht="39.75" customHeight="1">
      <c r="A11" s="548" t="s">
        <v>7</v>
      </c>
      <c r="B11" s="1100" t="s">
        <v>6</v>
      </c>
      <c r="C11" s="544" t="s">
        <v>51</v>
      </c>
      <c r="D11" s="520" t="s">
        <v>40</v>
      </c>
      <c r="E11" s="520" t="s">
        <v>43</v>
      </c>
      <c r="F11" s="1102" t="s">
        <v>8</v>
      </c>
      <c r="G11" s="519" t="s">
        <v>44</v>
      </c>
      <c r="H11" s="519" t="s">
        <v>45</v>
      </c>
      <c r="I11" s="1105" t="s">
        <v>46</v>
      </c>
      <c r="J11" s="900" t="s">
        <v>47</v>
      </c>
      <c r="K11" s="519" t="s">
        <v>48</v>
      </c>
      <c r="L11" s="519" t="s">
        <v>49</v>
      </c>
      <c r="M11" s="519" t="s">
        <v>41</v>
      </c>
      <c r="O11" s="643"/>
      <c r="Q11" s="643"/>
    </row>
    <row r="12" spans="1:17" s="528" customFormat="1" ht="39.75" customHeight="1">
      <c r="A12" s="549"/>
      <c r="B12" s="1101"/>
      <c r="C12" s="545"/>
      <c r="D12" s="517"/>
      <c r="E12" s="517"/>
      <c r="F12" s="1103"/>
      <c r="G12" s="518"/>
      <c r="H12" s="518"/>
      <c r="I12" s="1106"/>
      <c r="J12" s="901"/>
      <c r="K12" s="518"/>
      <c r="L12" s="518"/>
      <c r="M12" s="518"/>
      <c r="O12" s="644"/>
      <c r="Q12" s="673"/>
    </row>
    <row r="13" spans="1:17" s="735" customFormat="1" ht="76.5" hidden="1" customHeight="1">
      <c r="A13" s="728">
        <v>13</v>
      </c>
      <c r="B13" s="639" t="s">
        <v>449</v>
      </c>
      <c r="C13" s="729" t="s">
        <v>450</v>
      </c>
      <c r="D13" s="730" t="s">
        <v>208</v>
      </c>
      <c r="E13" s="730" t="s">
        <v>451</v>
      </c>
      <c r="F13" s="731" t="s">
        <v>533</v>
      </c>
      <c r="G13" s="732" t="s">
        <v>491</v>
      </c>
      <c r="H13" s="732" t="s">
        <v>492</v>
      </c>
      <c r="I13" s="733" t="s">
        <v>939</v>
      </c>
      <c r="J13" s="902"/>
      <c r="K13" s="733">
        <v>43205</v>
      </c>
      <c r="L13" s="730" t="s">
        <v>690</v>
      </c>
      <c r="M13" s="734"/>
      <c r="O13" s="736"/>
      <c r="Q13" s="737"/>
    </row>
    <row r="14" spans="1:17" s="735" customFormat="1" ht="76.5" hidden="1" customHeight="1">
      <c r="A14" s="728">
        <v>14</v>
      </c>
      <c r="B14" s="639" t="s">
        <v>452</v>
      </c>
      <c r="C14" s="729" t="s">
        <v>453</v>
      </c>
      <c r="D14" s="730" t="s">
        <v>208</v>
      </c>
      <c r="E14" s="730" t="s">
        <v>454</v>
      </c>
      <c r="F14" s="731" t="s">
        <v>533</v>
      </c>
      <c r="G14" s="732" t="s">
        <v>493</v>
      </c>
      <c r="H14" s="732" t="s">
        <v>494</v>
      </c>
      <c r="I14" s="733" t="s">
        <v>938</v>
      </c>
      <c r="J14" s="902"/>
      <c r="K14" s="733">
        <v>43676</v>
      </c>
      <c r="L14" s="730" t="s">
        <v>690</v>
      </c>
      <c r="M14" s="734"/>
      <c r="O14" s="736"/>
      <c r="Q14" s="737"/>
    </row>
    <row r="15" spans="1:17" s="735" customFormat="1" ht="76.5" hidden="1" customHeight="1">
      <c r="A15" s="728">
        <v>15</v>
      </c>
      <c r="B15" s="639" t="s">
        <v>476</v>
      </c>
      <c r="C15" s="729" t="s">
        <v>477</v>
      </c>
      <c r="D15" s="730" t="s">
        <v>208</v>
      </c>
      <c r="E15" s="730" t="s">
        <v>478</v>
      </c>
      <c r="F15" s="731" t="s">
        <v>533</v>
      </c>
      <c r="G15" s="732" t="s">
        <v>525</v>
      </c>
      <c r="H15" s="732" t="s">
        <v>526</v>
      </c>
      <c r="I15" s="733" t="s">
        <v>479</v>
      </c>
      <c r="J15" s="902"/>
      <c r="K15" s="738" t="s">
        <v>638</v>
      </c>
      <c r="L15" s="730" t="s">
        <v>690</v>
      </c>
      <c r="M15" s="739"/>
      <c r="O15" s="736"/>
      <c r="Q15" s="737"/>
    </row>
    <row r="16" spans="1:17" s="735" customFormat="1" ht="76.5" hidden="1" customHeight="1">
      <c r="A16" s="728">
        <v>16</v>
      </c>
      <c r="B16" s="639" t="s">
        <v>639</v>
      </c>
      <c r="C16" s="729" t="s">
        <v>402</v>
      </c>
      <c r="D16" s="730" t="s">
        <v>208</v>
      </c>
      <c r="E16" s="730" t="s">
        <v>640</v>
      </c>
      <c r="F16" s="731" t="s">
        <v>533</v>
      </c>
      <c r="G16" s="732" t="s">
        <v>641</v>
      </c>
      <c r="H16" s="732" t="s">
        <v>642</v>
      </c>
      <c r="I16" s="733">
        <v>43276</v>
      </c>
      <c r="J16" s="902"/>
      <c r="K16" s="733">
        <v>43371</v>
      </c>
      <c r="L16" s="730" t="s">
        <v>690</v>
      </c>
      <c r="M16" s="734"/>
      <c r="O16" s="736"/>
      <c r="Q16" s="737"/>
    </row>
    <row r="17" spans="1:236" s="735" customFormat="1" ht="76.5" hidden="1" customHeight="1">
      <c r="A17" s="740">
        <v>17</v>
      </c>
      <c r="B17" s="640" t="s">
        <v>401</v>
      </c>
      <c r="C17" s="741" t="s">
        <v>402</v>
      </c>
      <c r="D17" s="742" t="s">
        <v>208</v>
      </c>
      <c r="E17" s="742" t="s">
        <v>403</v>
      </c>
      <c r="F17" s="731" t="s">
        <v>533</v>
      </c>
      <c r="G17" s="732" t="s">
        <v>497</v>
      </c>
      <c r="H17" s="732" t="s">
        <v>498</v>
      </c>
      <c r="I17" s="733">
        <v>43290</v>
      </c>
      <c r="J17" s="902"/>
      <c r="K17" s="733">
        <v>43734</v>
      </c>
      <c r="L17" s="730" t="s">
        <v>690</v>
      </c>
      <c r="M17" s="734"/>
      <c r="O17" s="736"/>
      <c r="Q17" s="737"/>
    </row>
    <row r="18" spans="1:236" s="735" customFormat="1" ht="76.5" hidden="1" customHeight="1">
      <c r="A18" s="743">
        <v>18</v>
      </c>
      <c r="B18" s="639" t="s">
        <v>458</v>
      </c>
      <c r="C18" s="729" t="s">
        <v>459</v>
      </c>
      <c r="D18" s="730" t="s">
        <v>208</v>
      </c>
      <c r="E18" s="730" t="s">
        <v>460</v>
      </c>
      <c r="F18" s="731" t="s">
        <v>533</v>
      </c>
      <c r="G18" s="731" t="s">
        <v>499</v>
      </c>
      <c r="H18" s="731" t="s">
        <v>500</v>
      </c>
      <c r="I18" s="733">
        <v>43291</v>
      </c>
      <c r="J18" s="902"/>
      <c r="K18" s="733">
        <v>43602</v>
      </c>
      <c r="L18" s="730" t="s">
        <v>690</v>
      </c>
      <c r="M18" s="734"/>
      <c r="O18" s="736"/>
      <c r="Q18" s="737"/>
    </row>
    <row r="19" spans="1:236" s="735" customFormat="1" ht="76.5" hidden="1" customHeight="1">
      <c r="A19" s="743">
        <v>19</v>
      </c>
      <c r="B19" s="639" t="s">
        <v>404</v>
      </c>
      <c r="C19" s="729" t="s">
        <v>405</v>
      </c>
      <c r="D19" s="730" t="s">
        <v>208</v>
      </c>
      <c r="E19" s="730" t="s">
        <v>406</v>
      </c>
      <c r="F19" s="731" t="s">
        <v>533</v>
      </c>
      <c r="G19" s="731" t="s">
        <v>501</v>
      </c>
      <c r="H19" s="731" t="s">
        <v>502</v>
      </c>
      <c r="I19" s="733">
        <v>43292</v>
      </c>
      <c r="J19" s="902"/>
      <c r="K19" s="733">
        <v>43738</v>
      </c>
      <c r="L19" s="730" t="s">
        <v>690</v>
      </c>
      <c r="M19" s="734"/>
      <c r="O19" s="736"/>
      <c r="Q19" s="737"/>
    </row>
    <row r="20" spans="1:236" s="735" customFormat="1" ht="76.5" hidden="1" customHeight="1">
      <c r="A20" s="743">
        <v>20</v>
      </c>
      <c r="B20" s="639" t="s">
        <v>407</v>
      </c>
      <c r="C20" s="729" t="s">
        <v>408</v>
      </c>
      <c r="D20" s="730" t="s">
        <v>208</v>
      </c>
      <c r="E20" s="730" t="s">
        <v>409</v>
      </c>
      <c r="F20" s="731" t="s">
        <v>533</v>
      </c>
      <c r="G20" s="731" t="s">
        <v>503</v>
      </c>
      <c r="H20" s="731" t="s">
        <v>504</v>
      </c>
      <c r="I20" s="744">
        <v>43313</v>
      </c>
      <c r="J20" s="902"/>
      <c r="K20" s="733">
        <v>43738</v>
      </c>
      <c r="L20" s="730" t="s">
        <v>690</v>
      </c>
      <c r="M20" s="734"/>
      <c r="O20" s="736"/>
      <c r="Q20" s="737"/>
    </row>
    <row r="21" spans="1:236" s="735" customFormat="1" ht="76.5" hidden="1" customHeight="1">
      <c r="A21" s="743">
        <v>21</v>
      </c>
      <c r="B21" s="639" t="s">
        <v>461</v>
      </c>
      <c r="C21" s="729" t="s">
        <v>462</v>
      </c>
      <c r="D21" s="730" t="s">
        <v>208</v>
      </c>
      <c r="E21" s="730" t="s">
        <v>463</v>
      </c>
      <c r="F21" s="731" t="s">
        <v>533</v>
      </c>
      <c r="G21" s="731" t="s">
        <v>505</v>
      </c>
      <c r="H21" s="731" t="s">
        <v>506</v>
      </c>
      <c r="I21" s="744">
        <v>43313</v>
      </c>
      <c r="J21" s="902"/>
      <c r="K21" s="733">
        <v>43637</v>
      </c>
      <c r="L21" s="730" t="s">
        <v>690</v>
      </c>
      <c r="M21" s="734"/>
      <c r="O21" s="736"/>
      <c r="Q21" s="737"/>
    </row>
    <row r="22" spans="1:236" s="735" customFormat="1" ht="76.5" hidden="1" customHeight="1">
      <c r="A22" s="743">
        <v>22</v>
      </c>
      <c r="B22" s="639" t="s">
        <v>464</v>
      </c>
      <c r="C22" s="729" t="s">
        <v>465</v>
      </c>
      <c r="D22" s="730" t="s">
        <v>208</v>
      </c>
      <c r="E22" s="730" t="s">
        <v>466</v>
      </c>
      <c r="F22" s="731" t="s">
        <v>533</v>
      </c>
      <c r="G22" s="731" t="s">
        <v>507</v>
      </c>
      <c r="H22" s="731" t="s">
        <v>508</v>
      </c>
      <c r="I22" s="744">
        <v>43319</v>
      </c>
      <c r="J22" s="902"/>
      <c r="K22" s="733">
        <v>43665</v>
      </c>
      <c r="L22" s="730" t="s">
        <v>690</v>
      </c>
      <c r="M22" s="734"/>
      <c r="O22" s="736"/>
      <c r="Q22" s="737"/>
    </row>
    <row r="23" spans="1:236" s="735" customFormat="1" ht="76.5" hidden="1" customHeight="1">
      <c r="A23" s="743">
        <v>23</v>
      </c>
      <c r="B23" s="639" t="s">
        <v>643</v>
      </c>
      <c r="C23" s="729" t="s">
        <v>644</v>
      </c>
      <c r="D23" s="730" t="s">
        <v>208</v>
      </c>
      <c r="E23" s="730" t="s">
        <v>645</v>
      </c>
      <c r="F23" s="731" t="s">
        <v>533</v>
      </c>
      <c r="G23" s="731" t="s">
        <v>646</v>
      </c>
      <c r="H23" s="731" t="s">
        <v>647</v>
      </c>
      <c r="I23" s="744">
        <v>43321</v>
      </c>
      <c r="J23" s="902"/>
      <c r="K23" s="733">
        <v>43434</v>
      </c>
      <c r="L23" s="730" t="s">
        <v>690</v>
      </c>
      <c r="M23" s="734"/>
      <c r="O23" s="736"/>
      <c r="Q23" s="737"/>
    </row>
    <row r="24" spans="1:236" s="735" customFormat="1" ht="76.5" hidden="1" customHeight="1">
      <c r="A24" s="743">
        <v>24</v>
      </c>
      <c r="B24" s="639" t="s">
        <v>467</v>
      </c>
      <c r="C24" s="729" t="s">
        <v>468</v>
      </c>
      <c r="D24" s="730" t="s">
        <v>208</v>
      </c>
      <c r="E24" s="730" t="s">
        <v>469</v>
      </c>
      <c r="F24" s="731" t="s">
        <v>533</v>
      </c>
      <c r="G24" s="731" t="s">
        <v>509</v>
      </c>
      <c r="H24" s="731" t="s">
        <v>510</v>
      </c>
      <c r="I24" s="744">
        <v>43326</v>
      </c>
      <c r="J24" s="902"/>
      <c r="K24" s="733">
        <v>43665</v>
      </c>
      <c r="L24" s="730" t="s">
        <v>690</v>
      </c>
      <c r="M24" s="739"/>
      <c r="O24" s="736"/>
      <c r="Q24" s="737"/>
    </row>
    <row r="25" spans="1:236" s="735" customFormat="1" ht="76.5" hidden="1" customHeight="1">
      <c r="A25" s="728">
        <v>25</v>
      </c>
      <c r="B25" s="639" t="s">
        <v>455</v>
      </c>
      <c r="C25" s="729" t="s">
        <v>456</v>
      </c>
      <c r="D25" s="730" t="s">
        <v>208</v>
      </c>
      <c r="E25" s="730" t="s">
        <v>457</v>
      </c>
      <c r="F25" s="731" t="s">
        <v>533</v>
      </c>
      <c r="G25" s="732" t="s">
        <v>495</v>
      </c>
      <c r="H25" s="732" t="s">
        <v>496</v>
      </c>
      <c r="I25" s="744">
        <v>43271</v>
      </c>
      <c r="J25" s="902"/>
      <c r="K25" s="733">
        <v>43677</v>
      </c>
      <c r="L25" s="730" t="s">
        <v>690</v>
      </c>
      <c r="M25" s="734"/>
      <c r="O25" s="736"/>
      <c r="Q25" s="737"/>
    </row>
    <row r="26" spans="1:236" s="735" customFormat="1" ht="76.5" hidden="1" customHeight="1">
      <c r="A26" s="743">
        <v>26</v>
      </c>
      <c r="B26" s="639" t="s">
        <v>470</v>
      </c>
      <c r="C26" s="729" t="s">
        <v>471</v>
      </c>
      <c r="D26" s="730" t="s">
        <v>208</v>
      </c>
      <c r="E26" s="730" t="s">
        <v>472</v>
      </c>
      <c r="F26" s="731" t="s">
        <v>533</v>
      </c>
      <c r="G26" s="731" t="s">
        <v>513</v>
      </c>
      <c r="H26" s="731" t="s">
        <v>514</v>
      </c>
      <c r="I26" s="744">
        <v>43362</v>
      </c>
      <c r="J26" s="902"/>
      <c r="K26" s="733">
        <v>43494</v>
      </c>
      <c r="L26" s="730" t="s">
        <v>690</v>
      </c>
      <c r="M26" s="734"/>
      <c r="O26" s="736"/>
      <c r="Q26" s="737"/>
    </row>
    <row r="27" spans="1:236" s="735" customFormat="1" ht="76.5" hidden="1" customHeight="1">
      <c r="A27" s="743">
        <v>27</v>
      </c>
      <c r="B27" s="639" t="s">
        <v>410</v>
      </c>
      <c r="C27" s="729" t="s">
        <v>411</v>
      </c>
      <c r="D27" s="730" t="s">
        <v>208</v>
      </c>
      <c r="E27" s="730" t="s">
        <v>412</v>
      </c>
      <c r="F27" s="731" t="s">
        <v>533</v>
      </c>
      <c r="G27" s="731" t="s">
        <v>511</v>
      </c>
      <c r="H27" s="731" t="s">
        <v>512</v>
      </c>
      <c r="I27" s="744">
        <v>43346</v>
      </c>
      <c r="J27" s="902"/>
      <c r="K27" s="733">
        <v>43738</v>
      </c>
      <c r="L27" s="730" t="s">
        <v>690</v>
      </c>
      <c r="M27" s="739"/>
      <c r="O27" s="736"/>
      <c r="Q27" s="737"/>
    </row>
    <row r="28" spans="1:236" s="735" customFormat="1" ht="76.5" hidden="1" customHeight="1">
      <c r="A28" s="743">
        <v>28</v>
      </c>
      <c r="B28" s="639" t="s">
        <v>413</v>
      </c>
      <c r="C28" s="729" t="s">
        <v>414</v>
      </c>
      <c r="D28" s="730" t="s">
        <v>208</v>
      </c>
      <c r="E28" s="730" t="s">
        <v>415</v>
      </c>
      <c r="F28" s="731" t="s">
        <v>533</v>
      </c>
      <c r="G28" s="731" t="s">
        <v>515</v>
      </c>
      <c r="H28" s="731" t="s">
        <v>516</v>
      </c>
      <c r="I28" s="744">
        <v>43388</v>
      </c>
      <c r="J28" s="902"/>
      <c r="K28" s="733">
        <v>43694</v>
      </c>
      <c r="L28" s="730" t="s">
        <v>690</v>
      </c>
      <c r="M28" s="739"/>
      <c r="O28" s="736"/>
      <c r="Q28" s="737"/>
    </row>
    <row r="29" spans="1:236" s="735" customFormat="1" ht="76.5" hidden="1" customHeight="1">
      <c r="A29" s="743">
        <v>29</v>
      </c>
      <c r="B29" s="639" t="s">
        <v>473</v>
      </c>
      <c r="C29" s="729" t="s">
        <v>474</v>
      </c>
      <c r="D29" s="730" t="s">
        <v>394</v>
      </c>
      <c r="E29" s="730" t="s">
        <v>475</v>
      </c>
      <c r="F29" s="731" t="s">
        <v>533</v>
      </c>
      <c r="G29" s="731" t="s">
        <v>517</v>
      </c>
      <c r="H29" s="731" t="s">
        <v>518</v>
      </c>
      <c r="I29" s="744">
        <v>43395</v>
      </c>
      <c r="J29" s="902"/>
      <c r="K29" s="733">
        <v>43658</v>
      </c>
      <c r="L29" s="730" t="s">
        <v>690</v>
      </c>
      <c r="M29" s="739"/>
      <c r="O29" s="736"/>
      <c r="Q29" s="737"/>
    </row>
    <row r="30" spans="1:236" s="735" customFormat="1" ht="76.5" hidden="1" customHeight="1">
      <c r="A30" s="743">
        <v>31</v>
      </c>
      <c r="B30" s="639" t="s">
        <v>416</v>
      </c>
      <c r="C30" s="729" t="s">
        <v>417</v>
      </c>
      <c r="D30" s="730" t="s">
        <v>208</v>
      </c>
      <c r="E30" s="730" t="s">
        <v>418</v>
      </c>
      <c r="F30" s="731" t="s">
        <v>533</v>
      </c>
      <c r="G30" s="731" t="s">
        <v>519</v>
      </c>
      <c r="H30" s="731" t="s">
        <v>520</v>
      </c>
      <c r="I30" s="744">
        <v>43396</v>
      </c>
      <c r="J30" s="902"/>
      <c r="K30" s="733">
        <v>43805</v>
      </c>
      <c r="L30" s="730" t="s">
        <v>690</v>
      </c>
      <c r="M30" s="739"/>
      <c r="O30" s="736"/>
      <c r="Q30" s="737"/>
    </row>
    <row r="31" spans="1:236" s="735" customFormat="1" ht="76.5" hidden="1" customHeight="1">
      <c r="A31" s="743">
        <v>32</v>
      </c>
      <c r="B31" s="639" t="s">
        <v>419</v>
      </c>
      <c r="C31" s="729" t="s">
        <v>420</v>
      </c>
      <c r="D31" s="730" t="s">
        <v>208</v>
      </c>
      <c r="E31" s="730" t="s">
        <v>421</v>
      </c>
      <c r="F31" s="731" t="s">
        <v>533</v>
      </c>
      <c r="G31" s="731" t="s">
        <v>521</v>
      </c>
      <c r="H31" s="731" t="s">
        <v>522</v>
      </c>
      <c r="I31" s="744">
        <v>43409</v>
      </c>
      <c r="J31" s="902"/>
      <c r="K31" s="733">
        <v>43679</v>
      </c>
      <c r="L31" s="730" t="s">
        <v>690</v>
      </c>
      <c r="M31" s="739"/>
      <c r="N31" s="745"/>
      <c r="O31" s="746"/>
      <c r="Q31" s="747"/>
      <c r="R31" s="745"/>
      <c r="S31" s="745"/>
      <c r="T31" s="745"/>
      <c r="U31" s="745"/>
      <c r="V31" s="745"/>
      <c r="W31" s="745"/>
      <c r="X31" s="745"/>
      <c r="Y31" s="745"/>
      <c r="Z31" s="745"/>
      <c r="AA31" s="745"/>
      <c r="AB31" s="745"/>
      <c r="AC31" s="745"/>
      <c r="AD31" s="745"/>
      <c r="AE31" s="745"/>
      <c r="AF31" s="745"/>
      <c r="AG31" s="745"/>
      <c r="AH31" s="745"/>
      <c r="AI31" s="745"/>
      <c r="AJ31" s="745"/>
      <c r="AK31" s="745"/>
      <c r="AL31" s="745"/>
      <c r="AM31" s="745"/>
      <c r="AN31" s="745"/>
      <c r="AO31" s="745"/>
      <c r="AP31" s="745"/>
      <c r="AQ31" s="745"/>
      <c r="AR31" s="745"/>
      <c r="AS31" s="745"/>
      <c r="AT31" s="745"/>
      <c r="AU31" s="745"/>
      <c r="AV31" s="745"/>
      <c r="AW31" s="745"/>
      <c r="AX31" s="745"/>
      <c r="AY31" s="745"/>
      <c r="AZ31" s="745"/>
      <c r="BA31" s="745"/>
      <c r="BB31" s="745"/>
      <c r="BC31" s="745"/>
      <c r="BD31" s="745"/>
      <c r="BE31" s="745"/>
      <c r="BF31" s="745"/>
      <c r="BG31" s="745"/>
      <c r="BH31" s="745"/>
      <c r="BI31" s="745"/>
      <c r="BJ31" s="745"/>
      <c r="BK31" s="745"/>
      <c r="BL31" s="745"/>
      <c r="BM31" s="745"/>
      <c r="BN31" s="745"/>
      <c r="BO31" s="745"/>
      <c r="BP31" s="745"/>
      <c r="BQ31" s="745"/>
      <c r="BR31" s="745"/>
      <c r="BS31" s="745"/>
      <c r="BT31" s="745"/>
      <c r="BU31" s="745"/>
      <c r="BV31" s="745"/>
      <c r="BW31" s="745"/>
      <c r="BX31" s="745"/>
      <c r="BY31" s="745"/>
      <c r="BZ31" s="745"/>
      <c r="CA31" s="745"/>
      <c r="CB31" s="745"/>
      <c r="CC31" s="745"/>
      <c r="CD31" s="745"/>
      <c r="CE31" s="745"/>
      <c r="CF31" s="745"/>
      <c r="CG31" s="745"/>
      <c r="CH31" s="745"/>
      <c r="CI31" s="745"/>
      <c r="CJ31" s="745"/>
      <c r="CK31" s="745"/>
      <c r="CL31" s="745"/>
      <c r="CM31" s="745"/>
      <c r="CN31" s="745"/>
      <c r="CO31" s="745"/>
      <c r="CP31" s="745"/>
      <c r="CQ31" s="745"/>
      <c r="CR31" s="745"/>
      <c r="CS31" s="745"/>
      <c r="CT31" s="745"/>
      <c r="CU31" s="745"/>
      <c r="CV31" s="745"/>
      <c r="CW31" s="745"/>
      <c r="CX31" s="745"/>
      <c r="CY31" s="745"/>
      <c r="CZ31" s="745"/>
      <c r="DA31" s="745"/>
      <c r="DB31" s="745"/>
      <c r="DC31" s="745"/>
      <c r="DD31" s="745"/>
      <c r="DE31" s="745"/>
      <c r="DF31" s="745"/>
      <c r="DG31" s="745"/>
      <c r="DH31" s="745"/>
      <c r="DI31" s="745"/>
      <c r="DJ31" s="745"/>
      <c r="DK31" s="745"/>
      <c r="DL31" s="745"/>
      <c r="DM31" s="745"/>
      <c r="DN31" s="745"/>
      <c r="DO31" s="745"/>
      <c r="DP31" s="745"/>
      <c r="DQ31" s="745"/>
      <c r="DR31" s="745"/>
      <c r="DS31" s="745"/>
      <c r="DT31" s="745"/>
      <c r="DU31" s="745"/>
      <c r="DV31" s="745"/>
      <c r="DW31" s="745"/>
      <c r="DX31" s="745"/>
      <c r="DY31" s="745"/>
      <c r="DZ31" s="745"/>
      <c r="EA31" s="745"/>
      <c r="EB31" s="745"/>
      <c r="EC31" s="745"/>
      <c r="ED31" s="745"/>
      <c r="EE31" s="745"/>
      <c r="EF31" s="745"/>
      <c r="EG31" s="745"/>
      <c r="EH31" s="745"/>
      <c r="EI31" s="745"/>
      <c r="EJ31" s="745"/>
      <c r="EK31" s="745"/>
      <c r="EL31" s="745"/>
      <c r="EM31" s="745"/>
      <c r="EN31" s="745"/>
      <c r="EO31" s="745"/>
      <c r="EP31" s="745"/>
      <c r="EQ31" s="745"/>
      <c r="ER31" s="745"/>
      <c r="ES31" s="745"/>
      <c r="ET31" s="745"/>
      <c r="EU31" s="745"/>
      <c r="EV31" s="745"/>
      <c r="EW31" s="745"/>
      <c r="EX31" s="745"/>
      <c r="EY31" s="745"/>
      <c r="EZ31" s="745"/>
      <c r="FA31" s="745"/>
      <c r="FB31" s="745"/>
      <c r="FC31" s="745"/>
      <c r="FD31" s="745"/>
      <c r="FE31" s="745"/>
      <c r="FF31" s="745"/>
      <c r="FG31" s="745"/>
      <c r="FH31" s="745"/>
      <c r="FI31" s="745"/>
      <c r="FJ31" s="745"/>
      <c r="FK31" s="745"/>
      <c r="FL31" s="745"/>
      <c r="FM31" s="745"/>
      <c r="FN31" s="745"/>
      <c r="FO31" s="745"/>
      <c r="FP31" s="745"/>
      <c r="FQ31" s="745"/>
      <c r="FR31" s="745"/>
      <c r="FS31" s="745"/>
      <c r="FT31" s="745"/>
      <c r="FU31" s="745"/>
      <c r="FV31" s="745"/>
      <c r="FW31" s="745"/>
      <c r="FX31" s="745"/>
      <c r="FY31" s="745"/>
      <c r="FZ31" s="745"/>
      <c r="GA31" s="745"/>
      <c r="GB31" s="745"/>
      <c r="GC31" s="745"/>
      <c r="GD31" s="745"/>
      <c r="GE31" s="745"/>
      <c r="GF31" s="745"/>
      <c r="GG31" s="745"/>
      <c r="GH31" s="745"/>
      <c r="GI31" s="745"/>
      <c r="GJ31" s="745"/>
      <c r="GK31" s="745"/>
      <c r="GL31" s="745"/>
      <c r="GM31" s="745"/>
      <c r="GN31" s="745"/>
      <c r="GO31" s="745"/>
      <c r="GP31" s="745"/>
      <c r="GQ31" s="745"/>
      <c r="GR31" s="745"/>
      <c r="GS31" s="745"/>
      <c r="GT31" s="745"/>
      <c r="GU31" s="745"/>
      <c r="GV31" s="745"/>
      <c r="GW31" s="745"/>
      <c r="GX31" s="745"/>
      <c r="GY31" s="745"/>
      <c r="GZ31" s="745"/>
      <c r="HA31" s="745"/>
      <c r="HB31" s="745"/>
      <c r="HC31" s="745"/>
      <c r="HD31" s="745"/>
      <c r="HE31" s="745"/>
      <c r="HF31" s="745"/>
      <c r="HG31" s="745"/>
      <c r="HH31" s="745"/>
      <c r="HI31" s="745"/>
      <c r="HJ31" s="745"/>
      <c r="HK31" s="745"/>
      <c r="HL31" s="745"/>
      <c r="HM31" s="745"/>
      <c r="HN31" s="745"/>
      <c r="HO31" s="745"/>
      <c r="HP31" s="745"/>
      <c r="HQ31" s="745"/>
      <c r="HR31" s="745"/>
      <c r="HS31" s="745"/>
      <c r="HT31" s="745"/>
      <c r="HU31" s="745"/>
      <c r="HV31" s="745"/>
      <c r="HW31" s="745"/>
      <c r="HX31" s="745"/>
      <c r="HY31" s="745"/>
      <c r="HZ31" s="745"/>
      <c r="IA31" s="745"/>
      <c r="IB31" s="745"/>
    </row>
    <row r="32" spans="1:236" s="735" customFormat="1" ht="76.5" hidden="1" customHeight="1">
      <c r="A32" s="743">
        <v>33</v>
      </c>
      <c r="B32" s="639" t="s">
        <v>422</v>
      </c>
      <c r="C32" s="729" t="s">
        <v>423</v>
      </c>
      <c r="D32" s="730" t="s">
        <v>394</v>
      </c>
      <c r="E32" s="730" t="s">
        <v>424</v>
      </c>
      <c r="F32" s="731" t="s">
        <v>533</v>
      </c>
      <c r="G32" s="732" t="s">
        <v>523</v>
      </c>
      <c r="H32" s="731" t="s">
        <v>524</v>
      </c>
      <c r="I32" s="744">
        <v>43416</v>
      </c>
      <c r="J32" s="902"/>
      <c r="K32" s="733">
        <v>43714</v>
      </c>
      <c r="L32" s="730" t="s">
        <v>690</v>
      </c>
      <c r="M32" s="739"/>
      <c r="O32" s="736"/>
      <c r="Q32" s="737"/>
    </row>
    <row r="33" spans="1:17" s="735" customFormat="1" ht="76.5" hidden="1" customHeight="1">
      <c r="A33" s="728">
        <v>34</v>
      </c>
      <c r="B33" s="639" t="s">
        <v>648</v>
      </c>
      <c r="C33" s="729" t="s">
        <v>649</v>
      </c>
      <c r="D33" s="730" t="s">
        <v>208</v>
      </c>
      <c r="E33" s="730" t="s">
        <v>650</v>
      </c>
      <c r="F33" s="731" t="s">
        <v>533</v>
      </c>
      <c r="G33" s="732" t="s">
        <v>651</v>
      </c>
      <c r="H33" s="732" t="s">
        <v>652</v>
      </c>
      <c r="I33" s="733" t="s">
        <v>653</v>
      </c>
      <c r="J33" s="902"/>
      <c r="K33" s="733">
        <v>43714</v>
      </c>
      <c r="L33" s="730" t="s">
        <v>690</v>
      </c>
      <c r="M33" s="739"/>
      <c r="O33" s="736"/>
      <c r="Q33" s="737"/>
    </row>
    <row r="34" spans="1:17" s="735" customFormat="1" ht="76.5" hidden="1" customHeight="1">
      <c r="A34" s="728">
        <v>35</v>
      </c>
      <c r="B34" s="639" t="s">
        <v>480</v>
      </c>
      <c r="C34" s="729" t="s">
        <v>481</v>
      </c>
      <c r="D34" s="730" t="s">
        <v>208</v>
      </c>
      <c r="E34" s="730" t="s">
        <v>482</v>
      </c>
      <c r="F34" s="731" t="s">
        <v>533</v>
      </c>
      <c r="G34" s="731" t="s">
        <v>483</v>
      </c>
      <c r="H34" s="731" t="s">
        <v>527</v>
      </c>
      <c r="I34" s="744">
        <v>43493</v>
      </c>
      <c r="J34" s="902"/>
      <c r="K34" s="733">
        <v>43646</v>
      </c>
      <c r="L34" s="730" t="s">
        <v>690</v>
      </c>
      <c r="M34" s="739"/>
      <c r="O34" s="736"/>
      <c r="Q34" s="737"/>
    </row>
    <row r="35" spans="1:17" s="735" customFormat="1" ht="76.5" hidden="1" customHeight="1">
      <c r="A35" s="743">
        <v>36</v>
      </c>
      <c r="B35" s="639" t="s">
        <v>484</v>
      </c>
      <c r="C35" s="729" t="s">
        <v>485</v>
      </c>
      <c r="D35" s="730" t="s">
        <v>208</v>
      </c>
      <c r="E35" s="730" t="s">
        <v>486</v>
      </c>
      <c r="F35" s="731" t="s">
        <v>533</v>
      </c>
      <c r="G35" s="731" t="s">
        <v>487</v>
      </c>
      <c r="H35" s="731" t="s">
        <v>528</v>
      </c>
      <c r="I35" s="748">
        <v>43503</v>
      </c>
      <c r="J35" s="902"/>
      <c r="K35" s="733">
        <v>43553</v>
      </c>
      <c r="L35" s="730" t="s">
        <v>690</v>
      </c>
      <c r="M35" s="739"/>
      <c r="O35" s="736"/>
      <c r="Q35" s="737"/>
    </row>
    <row r="36" spans="1:17" s="735" customFormat="1" ht="76.5" hidden="1" customHeight="1">
      <c r="A36" s="743">
        <v>37</v>
      </c>
      <c r="B36" s="639" t="s">
        <v>488</v>
      </c>
      <c r="C36" s="729" t="s">
        <v>489</v>
      </c>
      <c r="D36" s="730" t="s">
        <v>208</v>
      </c>
      <c r="E36" s="730" t="s">
        <v>490</v>
      </c>
      <c r="F36" s="731" t="s">
        <v>533</v>
      </c>
      <c r="G36" s="731" t="s">
        <v>529</v>
      </c>
      <c r="H36" s="731" t="s">
        <v>530</v>
      </c>
      <c r="I36" s="748">
        <v>43619</v>
      </c>
      <c r="J36" s="903" t="s">
        <v>654</v>
      </c>
      <c r="K36" s="748">
        <v>44035</v>
      </c>
      <c r="L36" s="730" t="s">
        <v>690</v>
      </c>
      <c r="M36" s="639"/>
      <c r="O36" s="736"/>
      <c r="Q36" s="737"/>
    </row>
    <row r="37" spans="1:17" s="735" customFormat="1" ht="76.150000000000006" hidden="1" customHeight="1">
      <c r="A37" s="743">
        <v>38</v>
      </c>
      <c r="B37" s="639" t="s">
        <v>430</v>
      </c>
      <c r="C37" s="729" t="s">
        <v>531</v>
      </c>
      <c r="D37" s="730" t="s">
        <v>208</v>
      </c>
      <c r="E37" s="730" t="s">
        <v>532</v>
      </c>
      <c r="F37" s="749" t="s">
        <v>537</v>
      </c>
      <c r="G37" s="731" t="s">
        <v>517</v>
      </c>
      <c r="H37" s="731" t="s">
        <v>518</v>
      </c>
      <c r="I37" s="744">
        <v>43647</v>
      </c>
      <c r="J37" s="903"/>
      <c r="K37" s="748"/>
      <c r="L37" s="730" t="s">
        <v>690</v>
      </c>
      <c r="M37" s="639"/>
      <c r="O37" s="736"/>
      <c r="Q37" s="737"/>
    </row>
    <row r="38" spans="1:17" ht="76.150000000000006" hidden="1" customHeight="1">
      <c r="A38" s="590">
        <v>39</v>
      </c>
      <c r="B38" s="637" t="s">
        <v>655</v>
      </c>
      <c r="C38" s="591" t="s">
        <v>656</v>
      </c>
      <c r="D38" s="516" t="s">
        <v>208</v>
      </c>
      <c r="E38" s="516" t="s">
        <v>657</v>
      </c>
      <c r="F38" s="595" t="s">
        <v>619</v>
      </c>
      <c r="G38" s="592" t="s">
        <v>658</v>
      </c>
      <c r="H38" s="592" t="s">
        <v>659</v>
      </c>
      <c r="I38" s="593" t="s">
        <v>940</v>
      </c>
      <c r="J38" s="904"/>
      <c r="K38" s="603"/>
      <c r="L38" s="328"/>
      <c r="M38" s="328"/>
    </row>
    <row r="39" spans="1:17" ht="76.5" hidden="1" customHeight="1">
      <c r="A39" s="590">
        <v>40</v>
      </c>
      <c r="B39" s="637" t="s">
        <v>534</v>
      </c>
      <c r="C39" s="591" t="s">
        <v>884</v>
      </c>
      <c r="D39" s="516" t="s">
        <v>208</v>
      </c>
      <c r="E39" s="516" t="s">
        <v>535</v>
      </c>
      <c r="F39" s="595" t="s">
        <v>576</v>
      </c>
      <c r="G39" s="592" t="s">
        <v>536</v>
      </c>
      <c r="H39" s="592" t="s">
        <v>536</v>
      </c>
      <c r="I39" s="593" t="s">
        <v>859</v>
      </c>
      <c r="J39" s="904"/>
      <c r="K39" s="603"/>
      <c r="L39" s="328"/>
      <c r="M39" s="328"/>
    </row>
    <row r="40" spans="1:17" s="791" customFormat="1" ht="76.5" customHeight="1">
      <c r="A40" s="757">
        <v>41</v>
      </c>
      <c r="B40" s="1006" t="s">
        <v>562</v>
      </c>
      <c r="C40" s="758" t="s">
        <v>885</v>
      </c>
      <c r="D40" s="751" t="s">
        <v>208</v>
      </c>
      <c r="E40" s="751" t="s">
        <v>565</v>
      </c>
      <c r="F40" s="750" t="s">
        <v>577</v>
      </c>
      <c r="G40" s="790" t="s">
        <v>567</v>
      </c>
      <c r="H40" s="790" t="s">
        <v>566</v>
      </c>
      <c r="I40" s="759" t="s">
        <v>860</v>
      </c>
      <c r="J40" s="752"/>
      <c r="K40" s="759"/>
      <c r="L40" s="751"/>
      <c r="M40" s="751"/>
      <c r="O40" s="792"/>
      <c r="Q40" s="793">
        <v>1</v>
      </c>
    </row>
    <row r="41" spans="1:17" s="795" customFormat="1" ht="76.5" customHeight="1">
      <c r="A41" s="760">
        <v>42</v>
      </c>
      <c r="B41" s="761" t="s">
        <v>563</v>
      </c>
      <c r="C41" s="762" t="s">
        <v>886</v>
      </c>
      <c r="D41" s="594" t="s">
        <v>208</v>
      </c>
      <c r="E41" s="594" t="s">
        <v>568</v>
      </c>
      <c r="F41" s="595" t="s">
        <v>538</v>
      </c>
      <c r="G41" s="794" t="s">
        <v>570</v>
      </c>
      <c r="H41" s="794" t="s">
        <v>569</v>
      </c>
      <c r="I41" s="763" t="s">
        <v>861</v>
      </c>
      <c r="J41" s="645"/>
      <c r="K41" s="762" t="s">
        <v>948</v>
      </c>
      <c r="L41" s="594" t="s">
        <v>690</v>
      </c>
      <c r="M41" s="594"/>
      <c r="O41" s="796"/>
      <c r="Q41" s="797"/>
    </row>
    <row r="42" spans="1:17" s="795" customFormat="1" ht="76.5" customHeight="1">
      <c r="A42" s="760">
        <v>43</v>
      </c>
      <c r="B42" s="761" t="s">
        <v>564</v>
      </c>
      <c r="C42" s="762" t="s">
        <v>887</v>
      </c>
      <c r="D42" s="594" t="s">
        <v>208</v>
      </c>
      <c r="E42" s="594" t="s">
        <v>572</v>
      </c>
      <c r="F42" s="594" t="s">
        <v>660</v>
      </c>
      <c r="G42" s="592" t="s">
        <v>574</v>
      </c>
      <c r="H42" s="592" t="s">
        <v>573</v>
      </c>
      <c r="I42" s="763" t="s">
        <v>861</v>
      </c>
      <c r="J42" s="645"/>
      <c r="K42" s="763" t="s">
        <v>950</v>
      </c>
      <c r="L42" s="594" t="s">
        <v>690</v>
      </c>
      <c r="M42" s="594"/>
      <c r="O42" s="796"/>
      <c r="Q42" s="797"/>
    </row>
    <row r="43" spans="1:17" s="795" customFormat="1" ht="76.5" customHeight="1">
      <c r="A43" s="760">
        <v>44</v>
      </c>
      <c r="B43" s="761" t="s">
        <v>575</v>
      </c>
      <c r="C43" s="762" t="s">
        <v>581</v>
      </c>
      <c r="D43" s="594" t="s">
        <v>208</v>
      </c>
      <c r="E43" s="594" t="s">
        <v>582</v>
      </c>
      <c r="F43" s="594" t="s">
        <v>580</v>
      </c>
      <c r="G43" s="594" t="s">
        <v>584</v>
      </c>
      <c r="H43" s="594" t="s">
        <v>583</v>
      </c>
      <c r="I43" s="764" t="s">
        <v>862</v>
      </c>
      <c r="J43" s="645"/>
      <c r="K43" s="764" t="s">
        <v>951</v>
      </c>
      <c r="L43" s="594" t="s">
        <v>690</v>
      </c>
      <c r="M43" s="594"/>
      <c r="O43" s="796"/>
      <c r="Q43" s="797"/>
    </row>
    <row r="44" spans="1:17" s="795" customFormat="1" ht="76.5" customHeight="1">
      <c r="A44" s="760">
        <v>45</v>
      </c>
      <c r="B44" s="761" t="s">
        <v>578</v>
      </c>
      <c r="C44" s="762" t="s">
        <v>586</v>
      </c>
      <c r="D44" s="594" t="s">
        <v>394</v>
      </c>
      <c r="E44" s="594" t="s">
        <v>585</v>
      </c>
      <c r="F44" s="594" t="s">
        <v>588</v>
      </c>
      <c r="G44" s="594" t="s">
        <v>589</v>
      </c>
      <c r="H44" s="594" t="s">
        <v>587</v>
      </c>
      <c r="I44" s="764" t="s">
        <v>863</v>
      </c>
      <c r="J44" s="645"/>
      <c r="K44" s="764" t="s">
        <v>952</v>
      </c>
      <c r="L44" s="594" t="s">
        <v>690</v>
      </c>
      <c r="M44" s="594"/>
      <c r="O44" s="796"/>
      <c r="Q44" s="797"/>
    </row>
    <row r="45" spans="1:17" s="795" customFormat="1" ht="76.5" customHeight="1">
      <c r="A45" s="760">
        <v>46</v>
      </c>
      <c r="B45" s="761" t="s">
        <v>579</v>
      </c>
      <c r="C45" s="762" t="s">
        <v>888</v>
      </c>
      <c r="D45" s="594" t="s">
        <v>208</v>
      </c>
      <c r="E45" s="594" t="s">
        <v>591</v>
      </c>
      <c r="F45" s="594" t="s">
        <v>590</v>
      </c>
      <c r="G45" s="594" t="s">
        <v>592</v>
      </c>
      <c r="H45" s="594" t="s">
        <v>593</v>
      </c>
      <c r="I45" s="764" t="s">
        <v>864</v>
      </c>
      <c r="J45" s="645"/>
      <c r="K45" s="764" t="s">
        <v>863</v>
      </c>
      <c r="L45" s="594" t="s">
        <v>690</v>
      </c>
      <c r="M45" s="594"/>
      <c r="O45" s="796"/>
      <c r="Q45" s="797"/>
    </row>
    <row r="46" spans="1:17" s="795" customFormat="1" ht="76.5" customHeight="1">
      <c r="A46" s="760">
        <v>47</v>
      </c>
      <c r="B46" s="761" t="s">
        <v>597</v>
      </c>
      <c r="C46" s="762" t="s">
        <v>601</v>
      </c>
      <c r="D46" s="594" t="s">
        <v>394</v>
      </c>
      <c r="E46" s="594" t="s">
        <v>602</v>
      </c>
      <c r="F46" s="594" t="s">
        <v>610</v>
      </c>
      <c r="G46" s="594" t="s">
        <v>604</v>
      </c>
      <c r="H46" s="594" t="s">
        <v>603</v>
      </c>
      <c r="I46" s="764" t="s">
        <v>867</v>
      </c>
      <c r="J46" s="645"/>
      <c r="K46" s="764" t="s">
        <v>953</v>
      </c>
      <c r="L46" s="594" t="s">
        <v>690</v>
      </c>
      <c r="M46" s="594"/>
      <c r="O46" s="796"/>
      <c r="Q46" s="797"/>
    </row>
    <row r="47" spans="1:17" s="795" customFormat="1" ht="76.5" customHeight="1">
      <c r="A47" s="760">
        <v>48</v>
      </c>
      <c r="B47" s="761" t="s">
        <v>596</v>
      </c>
      <c r="C47" s="762" t="s">
        <v>889</v>
      </c>
      <c r="D47" s="594" t="s">
        <v>208</v>
      </c>
      <c r="E47" s="594" t="s">
        <v>605</v>
      </c>
      <c r="F47" s="594" t="s">
        <v>609</v>
      </c>
      <c r="G47" s="594" t="s">
        <v>607</v>
      </c>
      <c r="H47" s="594" t="s">
        <v>606</v>
      </c>
      <c r="I47" s="764" t="s">
        <v>866</v>
      </c>
      <c r="J47" s="645"/>
      <c r="K47" s="764" t="s">
        <v>954</v>
      </c>
      <c r="L47" s="594" t="s">
        <v>690</v>
      </c>
      <c r="M47" s="594"/>
      <c r="O47" s="796"/>
      <c r="Q47" s="797"/>
    </row>
    <row r="48" spans="1:17" s="795" customFormat="1" ht="76.5" customHeight="1">
      <c r="A48" s="760">
        <v>49</v>
      </c>
      <c r="B48" s="761" t="s">
        <v>595</v>
      </c>
      <c r="C48" s="798" t="s">
        <v>600</v>
      </c>
      <c r="D48" s="594" t="s">
        <v>394</v>
      </c>
      <c r="E48" s="796" t="s">
        <v>598</v>
      </c>
      <c r="F48" s="594" t="s">
        <v>608</v>
      </c>
      <c r="G48" s="796" t="s">
        <v>599</v>
      </c>
      <c r="H48" s="594" t="s">
        <v>599</v>
      </c>
      <c r="I48" s="764" t="s">
        <v>865</v>
      </c>
      <c r="J48" s="645"/>
      <c r="K48" s="764" t="s">
        <v>955</v>
      </c>
      <c r="L48" s="594" t="s">
        <v>690</v>
      </c>
      <c r="M48" s="594"/>
      <c r="O48" s="796"/>
      <c r="Q48" s="797"/>
    </row>
    <row r="49" spans="1:17" s="795" customFormat="1" ht="76.5" customHeight="1">
      <c r="A49" s="760">
        <v>50</v>
      </c>
      <c r="B49" s="761" t="s">
        <v>611</v>
      </c>
      <c r="C49" s="762" t="s">
        <v>890</v>
      </c>
      <c r="D49" s="594" t="s">
        <v>208</v>
      </c>
      <c r="E49" s="594" t="s">
        <v>612</v>
      </c>
      <c r="F49" s="594" t="s">
        <v>615</v>
      </c>
      <c r="G49" s="596" t="s">
        <v>614</v>
      </c>
      <c r="H49" s="597" t="s">
        <v>613</v>
      </c>
      <c r="I49" s="764" t="s">
        <v>868</v>
      </c>
      <c r="J49" s="645"/>
      <c r="K49" s="764" t="s">
        <v>944</v>
      </c>
      <c r="L49" s="594" t="s">
        <v>690</v>
      </c>
      <c r="M49" s="594"/>
      <c r="O49" s="796"/>
      <c r="Q49" s="797"/>
    </row>
    <row r="50" spans="1:17" s="795" customFormat="1" ht="76.5" customHeight="1">
      <c r="A50" s="760">
        <v>51</v>
      </c>
      <c r="B50" s="761" t="s">
        <v>616</v>
      </c>
      <c r="C50" s="762" t="s">
        <v>620</v>
      </c>
      <c r="D50" s="594" t="s">
        <v>208</v>
      </c>
      <c r="E50" s="594" t="s">
        <v>621</v>
      </c>
      <c r="F50" s="594" t="s">
        <v>618</v>
      </c>
      <c r="G50" s="594" t="s">
        <v>622</v>
      </c>
      <c r="H50" s="594" t="s">
        <v>623</v>
      </c>
      <c r="I50" s="762" t="s">
        <v>941</v>
      </c>
      <c r="J50" s="645"/>
      <c r="K50" s="764" t="s">
        <v>1082</v>
      </c>
      <c r="L50" s="594" t="s">
        <v>690</v>
      </c>
      <c r="M50" s="594"/>
      <c r="O50" s="796"/>
      <c r="Q50" s="797"/>
    </row>
    <row r="51" spans="1:17" s="795" customFormat="1" ht="76.5" customHeight="1">
      <c r="A51" s="760">
        <v>52</v>
      </c>
      <c r="B51" s="761" t="s">
        <v>617</v>
      </c>
      <c r="C51" s="762" t="s">
        <v>891</v>
      </c>
      <c r="D51" s="594" t="s">
        <v>394</v>
      </c>
      <c r="E51" s="594" t="s">
        <v>624</v>
      </c>
      <c r="F51" s="594" t="s">
        <v>619</v>
      </c>
      <c r="G51" s="594" t="s">
        <v>625</v>
      </c>
      <c r="H51" s="594" t="s">
        <v>626</v>
      </c>
      <c r="I51" s="762" t="s">
        <v>942</v>
      </c>
      <c r="J51" s="645"/>
      <c r="K51" s="762" t="s">
        <v>956</v>
      </c>
      <c r="L51" s="594" t="s">
        <v>690</v>
      </c>
      <c r="M51" s="594"/>
      <c r="O51" s="796"/>
      <c r="Q51" s="797"/>
    </row>
    <row r="52" spans="1:17" s="795" customFormat="1" ht="25.15" customHeight="1">
      <c r="A52" s="760">
        <v>53</v>
      </c>
      <c r="B52" s="761" t="s">
        <v>627</v>
      </c>
      <c r="C52" s="762" t="s">
        <v>892</v>
      </c>
      <c r="D52" s="594" t="s">
        <v>208</v>
      </c>
      <c r="E52" s="594" t="s">
        <v>628</v>
      </c>
      <c r="F52" s="594" t="s">
        <v>630</v>
      </c>
      <c r="G52" s="594" t="s">
        <v>629</v>
      </c>
      <c r="H52" s="594" t="s">
        <v>629</v>
      </c>
      <c r="I52" s="762" t="s">
        <v>869</v>
      </c>
      <c r="J52" s="645"/>
      <c r="K52" s="762" t="s">
        <v>949</v>
      </c>
      <c r="L52" s="594" t="s">
        <v>690</v>
      </c>
      <c r="O52" s="796"/>
      <c r="Q52" s="797"/>
    </row>
    <row r="53" spans="1:17" s="795" customFormat="1" ht="25.15" customHeight="1">
      <c r="A53" s="760">
        <v>54</v>
      </c>
      <c r="B53" s="636" t="s">
        <v>924</v>
      </c>
      <c r="C53" s="762" t="s">
        <v>540</v>
      </c>
      <c r="D53" s="594" t="s">
        <v>208</v>
      </c>
      <c r="E53" s="594" t="s">
        <v>541</v>
      </c>
      <c r="F53" s="594" t="s">
        <v>539</v>
      </c>
      <c r="G53" s="592" t="s">
        <v>542</v>
      </c>
      <c r="H53" s="592" t="s">
        <v>543</v>
      </c>
      <c r="I53" s="762" t="s">
        <v>943</v>
      </c>
      <c r="J53" s="645"/>
      <c r="K53" s="762" t="s">
        <v>957</v>
      </c>
      <c r="L53" s="594" t="s">
        <v>690</v>
      </c>
      <c r="M53" s="594"/>
      <c r="O53" s="796"/>
      <c r="Q53" s="797"/>
    </row>
    <row r="54" spans="1:17" s="795" customFormat="1" ht="25.15" customHeight="1">
      <c r="A54" s="760">
        <v>55</v>
      </c>
      <c r="B54" s="761" t="s">
        <v>631</v>
      </c>
      <c r="C54" s="762" t="s">
        <v>633</v>
      </c>
      <c r="D54" s="594" t="s">
        <v>208</v>
      </c>
      <c r="E54" s="594" t="s">
        <v>634</v>
      </c>
      <c r="F54" s="594"/>
      <c r="G54" s="594" t="s">
        <v>635</v>
      </c>
      <c r="H54" s="594" t="s">
        <v>635</v>
      </c>
      <c r="I54" s="764" t="s">
        <v>870</v>
      </c>
      <c r="J54" s="645"/>
      <c r="K54" s="764" t="s">
        <v>958</v>
      </c>
      <c r="L54" s="594" t="s">
        <v>690</v>
      </c>
      <c r="O54" s="796"/>
      <c r="Q54" s="797"/>
    </row>
    <row r="55" spans="1:17" s="795" customFormat="1" ht="25.15" customHeight="1">
      <c r="A55" s="760">
        <v>56</v>
      </c>
      <c r="B55" s="761" t="s">
        <v>632</v>
      </c>
      <c r="C55" s="762" t="s">
        <v>893</v>
      </c>
      <c r="D55" s="594" t="s">
        <v>208</v>
      </c>
      <c r="E55" s="594" t="s">
        <v>636</v>
      </c>
      <c r="F55" s="594" t="s">
        <v>661</v>
      </c>
      <c r="G55" s="594" t="s">
        <v>637</v>
      </c>
      <c r="H55" s="594" t="s">
        <v>637</v>
      </c>
      <c r="I55" s="764" t="s">
        <v>871</v>
      </c>
      <c r="J55" s="645"/>
      <c r="K55" s="765" t="s">
        <v>957</v>
      </c>
      <c r="L55" s="594" t="s">
        <v>690</v>
      </c>
      <c r="M55" s="594"/>
      <c r="O55" s="796"/>
      <c r="Q55" s="797"/>
    </row>
    <row r="56" spans="1:17" s="795" customFormat="1" ht="25.15" customHeight="1">
      <c r="A56" s="760">
        <v>57</v>
      </c>
      <c r="B56" s="761" t="s">
        <v>662</v>
      </c>
      <c r="C56" s="763" t="s">
        <v>894</v>
      </c>
      <c r="D56" s="598" t="s">
        <v>208</v>
      </c>
      <c r="E56" s="598" t="s">
        <v>665</v>
      </c>
      <c r="F56" s="598" t="s">
        <v>666</v>
      </c>
      <c r="G56" s="598" t="s">
        <v>668</v>
      </c>
      <c r="H56" s="598" t="s">
        <v>667</v>
      </c>
      <c r="I56" s="764" t="s">
        <v>872</v>
      </c>
      <c r="J56" s="905"/>
      <c r="K56" s="764" t="s">
        <v>959</v>
      </c>
      <c r="L56" s="594" t="s">
        <v>690</v>
      </c>
      <c r="M56" s="594"/>
      <c r="O56" s="796"/>
      <c r="Q56" s="797"/>
    </row>
    <row r="57" spans="1:17" s="795" customFormat="1" ht="25.15" customHeight="1">
      <c r="A57" s="760">
        <v>58</v>
      </c>
      <c r="B57" s="761" t="s">
        <v>663</v>
      </c>
      <c r="C57" s="763" t="s">
        <v>895</v>
      </c>
      <c r="D57" s="598" t="s">
        <v>208</v>
      </c>
      <c r="E57" s="598" t="s">
        <v>671</v>
      </c>
      <c r="F57" s="598" t="s">
        <v>669</v>
      </c>
      <c r="G57" s="598" t="s">
        <v>672</v>
      </c>
      <c r="H57" s="598" t="s">
        <v>672</v>
      </c>
      <c r="I57" s="763" t="s">
        <v>873</v>
      </c>
      <c r="J57" s="905"/>
      <c r="K57" s="763" t="s">
        <v>960</v>
      </c>
      <c r="L57" s="594" t="s">
        <v>690</v>
      </c>
      <c r="M57" s="594"/>
      <c r="O57" s="796"/>
      <c r="Q57" s="797"/>
    </row>
    <row r="58" spans="1:17" s="795" customFormat="1" ht="25.15" customHeight="1">
      <c r="A58" s="760">
        <v>59</v>
      </c>
      <c r="B58" s="766" t="s">
        <v>664</v>
      </c>
      <c r="C58" s="767" t="s">
        <v>673</v>
      </c>
      <c r="D58" s="599" t="s">
        <v>208</v>
      </c>
      <c r="E58" s="599" t="s">
        <v>674</v>
      </c>
      <c r="F58" s="599" t="s">
        <v>670</v>
      </c>
      <c r="G58" s="599" t="s">
        <v>675</v>
      </c>
      <c r="H58" s="599" t="s">
        <v>676</v>
      </c>
      <c r="I58" s="767" t="s">
        <v>944</v>
      </c>
      <c r="J58" s="906"/>
      <c r="K58" s="767" t="s">
        <v>961</v>
      </c>
      <c r="L58" s="594" t="s">
        <v>690</v>
      </c>
      <c r="M58" s="641"/>
      <c r="O58" s="796"/>
      <c r="Q58" s="797"/>
    </row>
    <row r="59" spans="1:17" s="795" customFormat="1" ht="25.15" customHeight="1">
      <c r="A59" s="760">
        <v>60</v>
      </c>
      <c r="B59" s="761" t="s">
        <v>677</v>
      </c>
      <c r="C59" s="763" t="s">
        <v>683</v>
      </c>
      <c r="D59" s="598" t="s">
        <v>208</v>
      </c>
      <c r="E59" s="598" t="s">
        <v>684</v>
      </c>
      <c r="F59" s="598" t="s">
        <v>680</v>
      </c>
      <c r="G59" s="598" t="s">
        <v>685</v>
      </c>
      <c r="H59" s="598" t="s">
        <v>685</v>
      </c>
      <c r="I59" s="764" t="s">
        <v>874</v>
      </c>
      <c r="J59" s="905"/>
      <c r="K59" s="764" t="s">
        <v>959</v>
      </c>
      <c r="L59" s="594" t="s">
        <v>690</v>
      </c>
      <c r="M59" s="594"/>
      <c r="O59" s="796"/>
      <c r="Q59" s="797"/>
    </row>
    <row r="60" spans="1:17" s="795" customFormat="1" ht="25.15" customHeight="1">
      <c r="A60" s="760">
        <v>61</v>
      </c>
      <c r="B60" s="761" t="s">
        <v>678</v>
      </c>
      <c r="C60" s="763" t="s">
        <v>896</v>
      </c>
      <c r="D60" s="598" t="s">
        <v>208</v>
      </c>
      <c r="E60" s="598" t="s">
        <v>686</v>
      </c>
      <c r="F60" s="598" t="s">
        <v>681</v>
      </c>
      <c r="G60" s="598" t="s">
        <v>687</v>
      </c>
      <c r="H60" s="598" t="s">
        <v>687</v>
      </c>
      <c r="I60" s="764" t="s">
        <v>874</v>
      </c>
      <c r="J60" s="905"/>
      <c r="K60" s="764" t="s">
        <v>962</v>
      </c>
      <c r="L60" s="594" t="s">
        <v>690</v>
      </c>
      <c r="M60" s="594"/>
      <c r="O60" s="796"/>
      <c r="Q60" s="797"/>
    </row>
    <row r="61" spans="1:17" s="795" customFormat="1" ht="25.15" customHeight="1">
      <c r="A61" s="760">
        <v>62</v>
      </c>
      <c r="B61" s="761" t="s">
        <v>679</v>
      </c>
      <c r="C61" s="763" t="s">
        <v>897</v>
      </c>
      <c r="D61" s="598" t="s">
        <v>208</v>
      </c>
      <c r="E61" s="598" t="s">
        <v>688</v>
      </c>
      <c r="F61" s="598" t="s">
        <v>682</v>
      </c>
      <c r="G61" s="598" t="s">
        <v>689</v>
      </c>
      <c r="H61" s="598" t="s">
        <v>689</v>
      </c>
      <c r="I61" s="764" t="s">
        <v>875</v>
      </c>
      <c r="J61" s="905"/>
      <c r="K61" s="764" t="s">
        <v>963</v>
      </c>
      <c r="L61" s="594" t="s">
        <v>690</v>
      </c>
      <c r="M61" s="594"/>
      <c r="O61" s="796"/>
      <c r="Q61" s="797"/>
    </row>
    <row r="62" spans="1:17" s="795" customFormat="1" ht="25.15" customHeight="1">
      <c r="A62" s="760">
        <v>63</v>
      </c>
      <c r="B62" s="636" t="s">
        <v>691</v>
      </c>
      <c r="C62" s="763" t="s">
        <v>898</v>
      </c>
      <c r="D62" s="598" t="s">
        <v>208</v>
      </c>
      <c r="E62" s="598" t="s">
        <v>699</v>
      </c>
      <c r="F62" s="598" t="s">
        <v>693</v>
      </c>
      <c r="G62" s="598" t="s">
        <v>698</v>
      </c>
      <c r="H62" s="598" t="s">
        <v>698</v>
      </c>
      <c r="I62" s="764" t="s">
        <v>876</v>
      </c>
      <c r="J62" s="905"/>
      <c r="K62" s="764"/>
      <c r="L62" s="594"/>
      <c r="M62" s="594"/>
      <c r="O62" s="796"/>
      <c r="Q62" s="797"/>
    </row>
    <row r="63" spans="1:17" s="795" customFormat="1" ht="25.15" customHeight="1">
      <c r="A63" s="760">
        <v>64</v>
      </c>
      <c r="B63" s="768" t="s">
        <v>692</v>
      </c>
      <c r="C63" s="763" t="s">
        <v>695</v>
      </c>
      <c r="D63" s="598" t="s">
        <v>208</v>
      </c>
      <c r="E63" s="598" t="s">
        <v>696</v>
      </c>
      <c r="F63" s="598" t="s">
        <v>694</v>
      </c>
      <c r="G63" s="598" t="s">
        <v>697</v>
      </c>
      <c r="H63" s="598" t="s">
        <v>697</v>
      </c>
      <c r="I63" s="764" t="s">
        <v>877</v>
      </c>
      <c r="J63" s="905"/>
      <c r="K63" s="764"/>
      <c r="L63" s="594"/>
      <c r="M63" s="594"/>
      <c r="O63" s="796"/>
      <c r="Q63" s="797"/>
    </row>
    <row r="64" spans="1:17" s="795" customFormat="1" ht="25.15" customHeight="1">
      <c r="A64" s="760">
        <v>65</v>
      </c>
      <c r="B64" s="761" t="s">
        <v>700</v>
      </c>
      <c r="C64" s="762" t="s">
        <v>899</v>
      </c>
      <c r="D64" s="598" t="s">
        <v>208</v>
      </c>
      <c r="E64" s="796" t="s">
        <v>704</v>
      </c>
      <c r="F64" s="594" t="s">
        <v>714</v>
      </c>
      <c r="G64" s="594" t="s">
        <v>705</v>
      </c>
      <c r="H64" s="594" t="s">
        <v>706</v>
      </c>
      <c r="I64" s="762" t="s">
        <v>878</v>
      </c>
      <c r="J64" s="645"/>
      <c r="K64" s="762" t="s">
        <v>878</v>
      </c>
      <c r="L64" s="594" t="s">
        <v>690</v>
      </c>
      <c r="M64" s="594"/>
      <c r="O64" s="796"/>
      <c r="Q64" s="797"/>
    </row>
    <row r="65" spans="1:17" s="795" customFormat="1" ht="25.15" customHeight="1">
      <c r="A65" s="760">
        <v>66</v>
      </c>
      <c r="B65" s="761" t="s">
        <v>701</v>
      </c>
      <c r="C65" s="762" t="s">
        <v>707</v>
      </c>
      <c r="D65" s="594" t="s">
        <v>394</v>
      </c>
      <c r="E65" s="594" t="s">
        <v>708</v>
      </c>
      <c r="F65" s="594" t="s">
        <v>715</v>
      </c>
      <c r="G65" s="594" t="s">
        <v>709</v>
      </c>
      <c r="H65" s="594" t="s">
        <v>710</v>
      </c>
      <c r="I65" s="762" t="s">
        <v>945</v>
      </c>
      <c r="J65" s="645"/>
      <c r="K65" s="762" t="s">
        <v>711</v>
      </c>
      <c r="L65" s="594" t="s">
        <v>690</v>
      </c>
      <c r="M65" s="594"/>
      <c r="O65" s="796"/>
      <c r="Q65" s="797"/>
    </row>
    <row r="66" spans="1:17" s="795" customFormat="1" ht="25.15" customHeight="1">
      <c r="A66" s="760">
        <v>67</v>
      </c>
      <c r="B66" s="761" t="s">
        <v>702</v>
      </c>
      <c r="C66" s="762" t="s">
        <v>900</v>
      </c>
      <c r="D66" s="594" t="s">
        <v>394</v>
      </c>
      <c r="E66" s="594" t="s">
        <v>712</v>
      </c>
      <c r="F66" s="594" t="s">
        <v>716</v>
      </c>
      <c r="G66" s="594" t="s">
        <v>713</v>
      </c>
      <c r="H66" s="594" t="s">
        <v>713</v>
      </c>
      <c r="I66" s="762" t="s">
        <v>879</v>
      </c>
      <c r="J66" s="645"/>
      <c r="K66" s="762" t="s">
        <v>966</v>
      </c>
      <c r="L66" s="594" t="s">
        <v>690</v>
      </c>
      <c r="M66" s="594"/>
      <c r="O66" s="796"/>
      <c r="Q66" s="797"/>
    </row>
    <row r="67" spans="1:17" s="791" customFormat="1" ht="25.15" customHeight="1">
      <c r="A67" s="757">
        <v>68</v>
      </c>
      <c r="B67" s="1006" t="s">
        <v>703</v>
      </c>
      <c r="C67" s="758" t="s">
        <v>901</v>
      </c>
      <c r="D67" s="751" t="s">
        <v>208</v>
      </c>
      <c r="E67" s="751" t="s">
        <v>721</v>
      </c>
      <c r="F67" s="751" t="s">
        <v>717</v>
      </c>
      <c r="G67" s="751" t="s">
        <v>720</v>
      </c>
      <c r="H67" s="751" t="s">
        <v>720</v>
      </c>
      <c r="I67" s="758" t="s">
        <v>879</v>
      </c>
      <c r="J67" s="752"/>
      <c r="K67" s="758"/>
      <c r="L67" s="751"/>
      <c r="M67" s="751"/>
      <c r="O67" s="792"/>
      <c r="Q67" s="793">
        <v>2</v>
      </c>
    </row>
    <row r="68" spans="1:17" s="795" customFormat="1" ht="25.15" customHeight="1">
      <c r="A68" s="760">
        <v>69</v>
      </c>
      <c r="B68" s="761" t="s">
        <v>722</v>
      </c>
      <c r="C68" s="762" t="s">
        <v>902</v>
      </c>
      <c r="D68" s="594" t="s">
        <v>208</v>
      </c>
      <c r="E68" s="594" t="s">
        <v>731</v>
      </c>
      <c r="F68" s="594" t="s">
        <v>726</v>
      </c>
      <c r="G68" s="594" t="s">
        <v>738</v>
      </c>
      <c r="H68" s="594" t="s">
        <v>738</v>
      </c>
      <c r="I68" s="762" t="s">
        <v>880</v>
      </c>
      <c r="J68" s="645"/>
      <c r="K68" s="762" t="s">
        <v>964</v>
      </c>
      <c r="L68" s="604" t="s">
        <v>690</v>
      </c>
      <c r="M68" s="594"/>
      <c r="O68" s="796"/>
      <c r="Q68" s="797"/>
    </row>
    <row r="69" spans="1:17" s="795" customFormat="1" ht="25.15" customHeight="1">
      <c r="A69" s="760">
        <v>70</v>
      </c>
      <c r="B69" s="761" t="s">
        <v>723</v>
      </c>
      <c r="C69" s="762" t="s">
        <v>729</v>
      </c>
      <c r="D69" s="594" t="s">
        <v>208</v>
      </c>
      <c r="E69" s="594" t="s">
        <v>732</v>
      </c>
      <c r="F69" s="594" t="s">
        <v>735</v>
      </c>
      <c r="G69" s="594" t="s">
        <v>739</v>
      </c>
      <c r="H69" s="594" t="s">
        <v>739</v>
      </c>
      <c r="I69" s="762" t="s">
        <v>881</v>
      </c>
      <c r="J69" s="645"/>
      <c r="K69" s="762" t="s">
        <v>965</v>
      </c>
      <c r="L69" s="604" t="s">
        <v>690</v>
      </c>
      <c r="M69" s="594"/>
      <c r="O69" s="796"/>
      <c r="Q69" s="797"/>
    </row>
    <row r="70" spans="1:17" s="795" customFormat="1" ht="25.15" customHeight="1">
      <c r="A70" s="760">
        <v>71</v>
      </c>
      <c r="B70" s="761" t="s">
        <v>724</v>
      </c>
      <c r="C70" s="762" t="s">
        <v>730</v>
      </c>
      <c r="D70" s="594" t="s">
        <v>208</v>
      </c>
      <c r="E70" s="594" t="s">
        <v>733</v>
      </c>
      <c r="F70" s="594" t="s">
        <v>736</v>
      </c>
      <c r="G70" s="594" t="s">
        <v>740</v>
      </c>
      <c r="H70" s="594" t="s">
        <v>740</v>
      </c>
      <c r="I70" s="762" t="s">
        <v>882</v>
      </c>
      <c r="J70" s="645"/>
      <c r="K70" s="762" t="s">
        <v>1083</v>
      </c>
      <c r="L70" s="604" t="s">
        <v>690</v>
      </c>
      <c r="M70" s="594"/>
      <c r="O70" s="796"/>
      <c r="Q70" s="797"/>
    </row>
    <row r="71" spans="1:17" s="795" customFormat="1" ht="25.15" customHeight="1">
      <c r="A71" s="760">
        <v>72</v>
      </c>
      <c r="B71" s="761" t="s">
        <v>725</v>
      </c>
      <c r="C71" s="762" t="s">
        <v>903</v>
      </c>
      <c r="D71" s="594" t="s">
        <v>208</v>
      </c>
      <c r="E71" s="594" t="s">
        <v>734</v>
      </c>
      <c r="F71" s="594" t="s">
        <v>737</v>
      </c>
      <c r="G71" s="594" t="s">
        <v>741</v>
      </c>
      <c r="H71" s="594" t="s">
        <v>741</v>
      </c>
      <c r="I71" s="762" t="s">
        <v>883</v>
      </c>
      <c r="J71" s="645"/>
      <c r="K71" s="762" t="s">
        <v>967</v>
      </c>
      <c r="L71" s="604" t="s">
        <v>690</v>
      </c>
      <c r="M71" s="594"/>
      <c r="O71" s="796"/>
      <c r="Q71" s="797"/>
    </row>
    <row r="72" spans="1:17" s="795" customFormat="1" ht="25.15" customHeight="1">
      <c r="A72" s="760">
        <v>73</v>
      </c>
      <c r="B72" s="761" t="s">
        <v>810</v>
      </c>
      <c r="C72" s="762" t="s">
        <v>904</v>
      </c>
      <c r="D72" s="594" t="s">
        <v>822</v>
      </c>
      <c r="E72" s="594" t="s">
        <v>823</v>
      </c>
      <c r="F72" s="594" t="s">
        <v>824</v>
      </c>
      <c r="G72" s="594" t="s">
        <v>832</v>
      </c>
      <c r="H72" s="594" t="s">
        <v>832</v>
      </c>
      <c r="I72" s="762" t="s">
        <v>850</v>
      </c>
      <c r="J72" s="645"/>
      <c r="K72" s="762" t="s">
        <v>968</v>
      </c>
      <c r="L72" s="604" t="s">
        <v>690</v>
      </c>
      <c r="M72" s="594"/>
      <c r="O72" s="796"/>
      <c r="Q72" s="797"/>
    </row>
    <row r="73" spans="1:17" s="795" customFormat="1" ht="25.15" customHeight="1">
      <c r="A73" s="760">
        <v>74</v>
      </c>
      <c r="B73" s="761" t="s">
        <v>811</v>
      </c>
      <c r="C73" s="762" t="s">
        <v>905</v>
      </c>
      <c r="D73" s="594" t="s">
        <v>822</v>
      </c>
      <c r="E73" s="594" t="s">
        <v>825</v>
      </c>
      <c r="F73" s="594" t="s">
        <v>666</v>
      </c>
      <c r="G73" s="594" t="s">
        <v>833</v>
      </c>
      <c r="H73" s="594" t="s">
        <v>833</v>
      </c>
      <c r="I73" s="762" t="s">
        <v>850</v>
      </c>
      <c r="J73" s="645"/>
      <c r="K73" s="762"/>
      <c r="L73" s="604" t="s">
        <v>690</v>
      </c>
      <c r="M73" s="594"/>
      <c r="O73" s="796"/>
      <c r="Q73" s="797"/>
    </row>
    <row r="74" spans="1:17" s="791" customFormat="1" ht="25.15" customHeight="1">
      <c r="A74" s="757">
        <v>75</v>
      </c>
      <c r="B74" s="1007" t="s">
        <v>812</v>
      </c>
      <c r="C74" s="758" t="s">
        <v>906</v>
      </c>
      <c r="D74" s="751" t="s">
        <v>822</v>
      </c>
      <c r="E74" s="751" t="s">
        <v>826</v>
      </c>
      <c r="F74" s="751" t="s">
        <v>827</v>
      </c>
      <c r="G74" s="751" t="s">
        <v>834</v>
      </c>
      <c r="H74" s="751" t="s">
        <v>834</v>
      </c>
      <c r="I74" s="758" t="s">
        <v>851</v>
      </c>
      <c r="J74" s="752"/>
      <c r="K74" s="758"/>
      <c r="L74" s="751"/>
      <c r="M74" s="751"/>
      <c r="O74" s="792"/>
      <c r="Q74" s="793">
        <v>3</v>
      </c>
    </row>
    <row r="75" spans="1:17" s="795" customFormat="1" ht="25.15" customHeight="1">
      <c r="A75" s="760">
        <v>76</v>
      </c>
      <c r="B75" s="761" t="s">
        <v>813</v>
      </c>
      <c r="C75" s="762" t="s">
        <v>907</v>
      </c>
      <c r="D75" s="594" t="s">
        <v>822</v>
      </c>
      <c r="E75" s="594" t="s">
        <v>828</v>
      </c>
      <c r="F75" s="594" t="s">
        <v>829</v>
      </c>
      <c r="G75" s="594" t="s">
        <v>835</v>
      </c>
      <c r="H75" s="594" t="s">
        <v>835</v>
      </c>
      <c r="I75" s="762" t="s">
        <v>852</v>
      </c>
      <c r="J75" s="645"/>
      <c r="K75" s="762"/>
      <c r="L75" s="594"/>
      <c r="M75" s="594"/>
      <c r="O75" s="796"/>
      <c r="Q75" s="797"/>
    </row>
    <row r="76" spans="1:17" s="795" customFormat="1" ht="25.15" customHeight="1">
      <c r="A76" s="760">
        <v>77</v>
      </c>
      <c r="B76" s="766" t="s">
        <v>814</v>
      </c>
      <c r="C76" s="769" t="s">
        <v>908</v>
      </c>
      <c r="D76" s="770" t="s">
        <v>822</v>
      </c>
      <c r="E76" s="641" t="s">
        <v>830</v>
      </c>
      <c r="F76" s="641" t="s">
        <v>831</v>
      </c>
      <c r="G76" s="641" t="s">
        <v>836</v>
      </c>
      <c r="H76" s="641" t="s">
        <v>836</v>
      </c>
      <c r="I76" s="769" t="s">
        <v>853</v>
      </c>
      <c r="J76" s="908"/>
      <c r="K76" s="769"/>
      <c r="L76" s="594"/>
      <c r="M76" s="594"/>
      <c r="O76" s="796"/>
      <c r="Q76" s="799"/>
    </row>
    <row r="77" spans="1:17" s="795" customFormat="1" ht="25.15" customHeight="1">
      <c r="A77" s="760">
        <v>78</v>
      </c>
      <c r="B77" s="771" t="s">
        <v>838</v>
      </c>
      <c r="C77" s="772" t="s">
        <v>854</v>
      </c>
      <c r="D77" s="773" t="s">
        <v>822</v>
      </c>
      <c r="E77" s="604" t="s">
        <v>947</v>
      </c>
      <c r="F77" s="604" t="s">
        <v>837</v>
      </c>
      <c r="G77" s="604" t="s">
        <v>946</v>
      </c>
      <c r="H77" s="604" t="s">
        <v>946</v>
      </c>
      <c r="I77" s="772" t="s">
        <v>854</v>
      </c>
      <c r="J77" s="645"/>
      <c r="K77" s="909" t="s">
        <v>969</v>
      </c>
      <c r="L77" s="594" t="s">
        <v>690</v>
      </c>
      <c r="M77" s="645"/>
      <c r="O77" s="796"/>
      <c r="Q77" s="799"/>
    </row>
    <row r="78" spans="1:17" s="886" customFormat="1" ht="25.15" customHeight="1">
      <c r="A78" s="760">
        <v>79</v>
      </c>
      <c r="B78" s="882" t="s">
        <v>931</v>
      </c>
      <c r="C78" s="883" t="s">
        <v>855</v>
      </c>
      <c r="D78" s="884" t="s">
        <v>822</v>
      </c>
      <c r="E78" s="782" t="s">
        <v>913</v>
      </c>
      <c r="F78" s="782" t="s">
        <v>839</v>
      </c>
      <c r="G78" s="885" t="s">
        <v>917</v>
      </c>
      <c r="H78" s="885" t="s">
        <v>917</v>
      </c>
      <c r="I78" s="883" t="s">
        <v>855</v>
      </c>
      <c r="J78" s="885"/>
      <c r="K78" s="883"/>
      <c r="L78" s="885"/>
      <c r="M78" s="885"/>
      <c r="O78" s="887"/>
      <c r="Q78" s="799"/>
    </row>
    <row r="79" spans="1:17" s="801" customFormat="1" ht="25.15" customHeight="1">
      <c r="A79" s="757">
        <v>80</v>
      </c>
      <c r="B79" s="1008" t="s">
        <v>932</v>
      </c>
      <c r="C79" s="753" t="s">
        <v>972</v>
      </c>
      <c r="D79" s="775" t="s">
        <v>822</v>
      </c>
      <c r="E79" s="571" t="s">
        <v>914</v>
      </c>
      <c r="F79" s="752" t="s">
        <v>846</v>
      </c>
      <c r="G79" s="752" t="s">
        <v>918</v>
      </c>
      <c r="H79" s="752" t="s">
        <v>918</v>
      </c>
      <c r="I79" s="758" t="s">
        <v>856</v>
      </c>
      <c r="J79" s="774"/>
      <c r="K79" s="758"/>
      <c r="L79" s="774"/>
      <c r="M79" s="774"/>
      <c r="O79" s="802"/>
      <c r="Q79" s="800">
        <v>4</v>
      </c>
    </row>
    <row r="80" spans="1:17" s="801" customFormat="1" ht="25.15" customHeight="1">
      <c r="A80" s="757">
        <v>81</v>
      </c>
      <c r="B80" s="1008" t="s">
        <v>933</v>
      </c>
      <c r="C80" s="753" t="s">
        <v>973</v>
      </c>
      <c r="D80" s="775" t="s">
        <v>822</v>
      </c>
      <c r="E80" s="571" t="s">
        <v>915</v>
      </c>
      <c r="F80" s="752" t="s">
        <v>847</v>
      </c>
      <c r="G80" s="791" t="s">
        <v>919</v>
      </c>
      <c r="H80" s="791" t="s">
        <v>919</v>
      </c>
      <c r="I80" s="758" t="s">
        <v>857</v>
      </c>
      <c r="J80" s="774"/>
      <c r="K80" s="758"/>
      <c r="L80" s="774"/>
      <c r="M80" s="774"/>
      <c r="O80" s="802"/>
      <c r="Q80" s="793">
        <v>5</v>
      </c>
    </row>
    <row r="81" spans="1:17" s="803" customFormat="1" ht="25.15" customHeight="1">
      <c r="A81" s="760">
        <v>82</v>
      </c>
      <c r="B81" s="776" t="s">
        <v>925</v>
      </c>
      <c r="C81" s="669" t="s">
        <v>974</v>
      </c>
      <c r="D81" s="773" t="s">
        <v>822</v>
      </c>
      <c r="E81" s="646" t="s">
        <v>916</v>
      </c>
      <c r="F81" s="645" t="s">
        <v>848</v>
      </c>
      <c r="G81" s="645" t="s">
        <v>920</v>
      </c>
      <c r="H81" s="645" t="s">
        <v>920</v>
      </c>
      <c r="I81" s="762" t="s">
        <v>858</v>
      </c>
      <c r="J81" s="771"/>
      <c r="K81" s="762"/>
      <c r="L81" s="771"/>
      <c r="M81" s="771"/>
      <c r="O81" s="804"/>
      <c r="Q81" s="797"/>
    </row>
    <row r="82" spans="1:17" s="805" customFormat="1" ht="25.15" customHeight="1">
      <c r="A82" s="757">
        <v>83</v>
      </c>
      <c r="B82" s="1008" t="s">
        <v>844</v>
      </c>
      <c r="C82" s="777" t="s">
        <v>975</v>
      </c>
      <c r="D82" s="775" t="s">
        <v>822</v>
      </c>
      <c r="E82" s="752" t="s">
        <v>926</v>
      </c>
      <c r="F82" s="752" t="s">
        <v>845</v>
      </c>
      <c r="G82" s="752" t="s">
        <v>927</v>
      </c>
      <c r="H82" s="752" t="s">
        <v>927</v>
      </c>
      <c r="I82" s="758" t="s">
        <v>849</v>
      </c>
      <c r="J82" s="778"/>
      <c r="K82" s="779"/>
      <c r="L82" s="778"/>
      <c r="M82" s="778"/>
      <c r="O82" s="806"/>
      <c r="Q82" s="800">
        <v>6</v>
      </c>
    </row>
    <row r="83" spans="1:17" s="795" customFormat="1" ht="25.15" customHeight="1">
      <c r="A83" s="760">
        <v>84</v>
      </c>
      <c r="B83" s="780" t="s">
        <v>970</v>
      </c>
      <c r="C83" s="781" t="s">
        <v>985</v>
      </c>
      <c r="D83" s="645" t="s">
        <v>208</v>
      </c>
      <c r="E83" s="645" t="s">
        <v>983</v>
      </c>
      <c r="F83" s="754" t="s">
        <v>980</v>
      </c>
      <c r="G83" s="782" t="s">
        <v>984</v>
      </c>
      <c r="H83" s="782" t="s">
        <v>984</v>
      </c>
      <c r="I83" s="783" t="s">
        <v>976</v>
      </c>
      <c r="J83" s="645"/>
      <c r="K83" s="645"/>
      <c r="L83" s="645"/>
      <c r="M83" s="645"/>
      <c r="O83" s="796"/>
      <c r="Q83" s="797"/>
    </row>
    <row r="84" spans="1:17" s="795" customFormat="1" ht="25.15" customHeight="1">
      <c r="A84" s="760">
        <v>85</v>
      </c>
      <c r="B84" s="1020" t="s">
        <v>971</v>
      </c>
      <c r="C84" s="840" t="s">
        <v>981</v>
      </c>
      <c r="D84" s="784" t="s">
        <v>208</v>
      </c>
      <c r="E84" s="795" t="s">
        <v>978</v>
      </c>
      <c r="F84" s="1021" t="s">
        <v>982</v>
      </c>
      <c r="G84" s="795" t="s">
        <v>979</v>
      </c>
      <c r="H84" s="795" t="s">
        <v>979</v>
      </c>
      <c r="I84" s="783" t="s">
        <v>977</v>
      </c>
      <c r="J84" s="784"/>
      <c r="K84" s="784"/>
      <c r="L84" s="784"/>
      <c r="M84" s="784"/>
      <c r="O84" s="796"/>
      <c r="Q84" s="797"/>
    </row>
    <row r="85" spans="1:17" s="795" customFormat="1" ht="25.15" customHeight="1">
      <c r="A85" s="760">
        <v>86</v>
      </c>
      <c r="B85" s="839" t="s">
        <v>987</v>
      </c>
      <c r="C85" s="840" t="s">
        <v>1004</v>
      </c>
      <c r="D85" s="784" t="s">
        <v>208</v>
      </c>
      <c r="E85" s="645" t="s">
        <v>1003</v>
      </c>
      <c r="F85" s="670" t="s">
        <v>992</v>
      </c>
      <c r="G85" s="645" t="s">
        <v>1005</v>
      </c>
      <c r="H85" s="645" t="s">
        <v>1005</v>
      </c>
      <c r="I85" s="783" t="s">
        <v>990</v>
      </c>
      <c r="J85" s="645"/>
      <c r="K85" s="645"/>
      <c r="L85" s="645"/>
      <c r="M85" s="645"/>
      <c r="O85" s="796"/>
      <c r="Q85" s="797"/>
    </row>
    <row r="86" spans="1:17" s="795" customFormat="1" ht="25.15" customHeight="1" thickBot="1">
      <c r="A86" s="760">
        <v>87</v>
      </c>
      <c r="B86" s="1022" t="s">
        <v>988</v>
      </c>
      <c r="C86" s="1023" t="s">
        <v>1008</v>
      </c>
      <c r="D86" s="784" t="s">
        <v>208</v>
      </c>
      <c r="E86" s="604" t="s">
        <v>1006</v>
      </c>
      <c r="F86" s="1024" t="s">
        <v>993</v>
      </c>
      <c r="G86" s="604" t="s">
        <v>1007</v>
      </c>
      <c r="H86" s="604" t="s">
        <v>1007</v>
      </c>
      <c r="I86" s="783" t="s">
        <v>991</v>
      </c>
      <c r="J86" s="645"/>
      <c r="K86" s="645"/>
      <c r="L86" s="645"/>
      <c r="M86" s="645"/>
      <c r="O86" s="796"/>
      <c r="Q86" s="797"/>
    </row>
    <row r="87" spans="1:17" s="795" customFormat="1" ht="25.15" customHeight="1">
      <c r="A87" s="760">
        <v>88</v>
      </c>
      <c r="B87" s="785" t="s">
        <v>678</v>
      </c>
      <c r="C87" s="767" t="s">
        <v>896</v>
      </c>
      <c r="D87" s="784" t="s">
        <v>208</v>
      </c>
      <c r="E87" s="599" t="s">
        <v>686</v>
      </c>
      <c r="F87" s="755" t="s">
        <v>989</v>
      </c>
      <c r="G87" s="647" t="s">
        <v>687</v>
      </c>
      <c r="H87" s="647" t="s">
        <v>687</v>
      </c>
      <c r="I87" s="783" t="s">
        <v>874</v>
      </c>
      <c r="J87" s="784"/>
      <c r="K87" s="784"/>
      <c r="L87" s="645"/>
      <c r="M87" s="645"/>
      <c r="O87" s="796"/>
      <c r="Q87" s="797"/>
    </row>
    <row r="88" spans="1:17" s="791" customFormat="1" ht="25.15" customHeight="1">
      <c r="A88" s="756">
        <v>89</v>
      </c>
      <c r="B88" s="1009" t="s">
        <v>1009</v>
      </c>
      <c r="C88" s="816" t="s">
        <v>1032</v>
      </c>
      <c r="D88" s="752" t="s">
        <v>1013</v>
      </c>
      <c r="E88" s="815" t="s">
        <v>1031</v>
      </c>
      <c r="F88" s="756" t="s">
        <v>1011</v>
      </c>
      <c r="G88" s="817" t="s">
        <v>1033</v>
      </c>
      <c r="H88" s="818" t="s">
        <v>1033</v>
      </c>
      <c r="I88" s="786" t="s">
        <v>1014</v>
      </c>
      <c r="J88" s="752"/>
      <c r="K88" s="752"/>
      <c r="L88" s="752"/>
      <c r="M88" s="752"/>
      <c r="O88" s="792"/>
      <c r="Q88" s="793">
        <v>7</v>
      </c>
    </row>
    <row r="89" spans="1:17" s="807" customFormat="1" ht="25.15" customHeight="1">
      <c r="A89" s="787">
        <v>90</v>
      </c>
      <c r="B89" s="1010" t="s">
        <v>1015</v>
      </c>
      <c r="C89" s="820" t="s">
        <v>1035</v>
      </c>
      <c r="D89" s="575" t="s">
        <v>208</v>
      </c>
      <c r="E89" s="819" t="s">
        <v>1034</v>
      </c>
      <c r="F89" s="821" t="s">
        <v>1022</v>
      </c>
      <c r="G89" s="819" t="s">
        <v>1036</v>
      </c>
      <c r="H89" s="819" t="s">
        <v>1036</v>
      </c>
      <c r="I89" s="788" t="s">
        <v>1019</v>
      </c>
      <c r="J89" s="787"/>
      <c r="K89" s="787"/>
      <c r="L89" s="787"/>
      <c r="M89" s="787"/>
      <c r="O89" s="808"/>
      <c r="Q89" s="809">
        <v>8</v>
      </c>
    </row>
    <row r="90" spans="1:17" s="810" customFormat="1" ht="25.15" customHeight="1">
      <c r="A90" s="789">
        <v>91</v>
      </c>
      <c r="B90" s="1010" t="s">
        <v>1016</v>
      </c>
      <c r="C90" s="822" t="s">
        <v>1037</v>
      </c>
      <c r="D90" s="562" t="s">
        <v>208</v>
      </c>
      <c r="E90" s="826" t="s">
        <v>1038</v>
      </c>
      <c r="F90" s="444" t="s">
        <v>666</v>
      </c>
      <c r="G90" s="825" t="s">
        <v>1040</v>
      </c>
      <c r="H90" s="824" t="s">
        <v>1039</v>
      </c>
      <c r="I90" s="788" t="s">
        <v>1020</v>
      </c>
      <c r="J90" s="787"/>
      <c r="K90" s="787"/>
      <c r="L90" s="787"/>
      <c r="M90" s="787"/>
      <c r="O90" s="811"/>
      <c r="Q90" s="812">
        <v>9</v>
      </c>
    </row>
    <row r="91" spans="1:17" ht="25.15" customHeight="1">
      <c r="A91" s="787">
        <v>92</v>
      </c>
      <c r="B91" s="1011" t="s">
        <v>1041</v>
      </c>
      <c r="C91" s="871" t="s">
        <v>1077</v>
      </c>
      <c r="D91" s="1081" t="s">
        <v>1013</v>
      </c>
      <c r="E91" s="857" t="s">
        <v>1054</v>
      </c>
      <c r="F91" s="571" t="s">
        <v>1059</v>
      </c>
      <c r="G91" s="824" t="s">
        <v>1056</v>
      </c>
      <c r="H91" s="824" t="s">
        <v>1055</v>
      </c>
      <c r="I91" s="834" t="s">
        <v>1046</v>
      </c>
      <c r="J91" s="904"/>
      <c r="K91" s="835"/>
      <c r="L91" s="835"/>
      <c r="M91" s="835"/>
      <c r="Q91" s="672">
        <v>10</v>
      </c>
    </row>
    <row r="92" spans="1:17" ht="25.15" customHeight="1">
      <c r="A92" s="789">
        <v>93</v>
      </c>
      <c r="B92" s="1011" t="s">
        <v>1042</v>
      </c>
      <c r="C92" s="871" t="s">
        <v>1078</v>
      </c>
      <c r="D92" s="1081" t="s">
        <v>1013</v>
      </c>
      <c r="E92" s="857" t="s">
        <v>1057</v>
      </c>
      <c r="F92" s="571" t="s">
        <v>1061</v>
      </c>
      <c r="G92" s="857" t="s">
        <v>1058</v>
      </c>
      <c r="H92" s="857" t="s">
        <v>1058</v>
      </c>
      <c r="I92" s="834" t="s">
        <v>1047</v>
      </c>
      <c r="J92" s="904"/>
      <c r="K92" s="835"/>
      <c r="L92" s="835"/>
      <c r="M92" s="835"/>
      <c r="Q92" s="672">
        <v>11</v>
      </c>
    </row>
    <row r="93" spans="1:17" ht="25.15" customHeight="1">
      <c r="A93" s="787">
        <v>94</v>
      </c>
      <c r="B93" s="1011" t="s">
        <v>1043</v>
      </c>
      <c r="C93" s="872" t="s">
        <v>1079</v>
      </c>
      <c r="D93" s="1082" t="s">
        <v>208</v>
      </c>
      <c r="E93" s="861" t="s">
        <v>1065</v>
      </c>
      <c r="F93" s="571" t="s">
        <v>1061</v>
      </c>
      <c r="G93" s="861" t="s">
        <v>1066</v>
      </c>
      <c r="H93" s="861" t="s">
        <v>1066</v>
      </c>
      <c r="I93" s="834" t="s">
        <v>1047</v>
      </c>
      <c r="J93" s="904"/>
      <c r="K93" s="835"/>
      <c r="L93" s="835"/>
      <c r="M93" s="835"/>
      <c r="Q93" s="672">
        <v>12</v>
      </c>
    </row>
    <row r="94" spans="1:17" ht="25.15" customHeight="1">
      <c r="A94" s="789">
        <v>95</v>
      </c>
      <c r="B94" s="1011" t="s">
        <v>1044</v>
      </c>
      <c r="C94" s="871" t="s">
        <v>1080</v>
      </c>
      <c r="D94" s="1081" t="s">
        <v>208</v>
      </c>
      <c r="E94" s="857" t="s">
        <v>1068</v>
      </c>
      <c r="F94" s="571" t="s">
        <v>1061</v>
      </c>
      <c r="G94" s="859" t="s">
        <v>1069</v>
      </c>
      <c r="H94" s="857" t="s">
        <v>1069</v>
      </c>
      <c r="I94" s="834" t="s">
        <v>1047</v>
      </c>
      <c r="J94" s="904"/>
      <c r="K94" s="835"/>
      <c r="L94" s="835"/>
      <c r="M94" s="835"/>
      <c r="Q94" s="672">
        <v>13</v>
      </c>
    </row>
    <row r="95" spans="1:17" ht="25.15" customHeight="1">
      <c r="A95" s="787">
        <v>96</v>
      </c>
      <c r="B95" s="1012" t="s">
        <v>1045</v>
      </c>
      <c r="C95" s="892" t="s">
        <v>1081</v>
      </c>
      <c r="D95" s="1082" t="s">
        <v>208</v>
      </c>
      <c r="E95" s="893" t="s">
        <v>1071</v>
      </c>
      <c r="F95" s="576" t="s">
        <v>1061</v>
      </c>
      <c r="G95" s="894" t="s">
        <v>1073</v>
      </c>
      <c r="H95" s="894" t="s">
        <v>1072</v>
      </c>
      <c r="I95" s="895" t="s">
        <v>1047</v>
      </c>
      <c r="J95" s="907"/>
      <c r="K95" s="896"/>
      <c r="L95" s="896"/>
      <c r="M95" s="896"/>
      <c r="Q95" s="672">
        <v>14</v>
      </c>
    </row>
    <row r="96" spans="1:17" ht="21">
      <c r="A96" s="789">
        <v>97</v>
      </c>
      <c r="B96" s="1083" t="s">
        <v>1084</v>
      </c>
      <c r="C96" s="892" t="s">
        <v>1153</v>
      </c>
      <c r="D96" s="927" t="s">
        <v>1013</v>
      </c>
      <c r="E96" s="579" t="s">
        <v>1109</v>
      </c>
      <c r="F96" s="579" t="s">
        <v>1111</v>
      </c>
      <c r="G96" s="579" t="s">
        <v>1110</v>
      </c>
      <c r="H96" s="579" t="s">
        <v>1110</v>
      </c>
      <c r="I96" s="834" t="s">
        <v>1092</v>
      </c>
      <c r="J96" s="904"/>
      <c r="K96" s="835"/>
      <c r="L96" s="835"/>
      <c r="M96" s="835"/>
      <c r="N96" s="835"/>
      <c r="O96" s="328"/>
      <c r="Q96" s="672">
        <v>15</v>
      </c>
    </row>
    <row r="97" spans="1:17" ht="21">
      <c r="A97" s="787">
        <v>98</v>
      </c>
      <c r="B97" s="1083" t="s">
        <v>1144</v>
      </c>
      <c r="C97" s="1000" t="s">
        <v>1102</v>
      </c>
      <c r="D97" s="835" t="s">
        <v>208</v>
      </c>
      <c r="E97" s="1001" t="s">
        <v>1103</v>
      </c>
      <c r="F97" s="1036" t="s">
        <v>1133</v>
      </c>
      <c r="G97" s="835" t="s">
        <v>1112</v>
      </c>
      <c r="H97" s="835" t="s">
        <v>1112</v>
      </c>
      <c r="I97" s="834" t="s">
        <v>1093</v>
      </c>
      <c r="J97" s="904"/>
      <c r="K97" s="835"/>
      <c r="L97" s="835"/>
      <c r="M97" s="835"/>
      <c r="N97" s="835"/>
      <c r="O97" s="328"/>
      <c r="Q97" s="672">
        <v>16</v>
      </c>
    </row>
    <row r="98" spans="1:17" ht="28.5" customHeight="1">
      <c r="A98" s="789">
        <v>99</v>
      </c>
      <c r="B98" s="1013" t="s">
        <v>1086</v>
      </c>
      <c r="C98" s="1000" t="s">
        <v>1101</v>
      </c>
      <c r="D98" s="927" t="s">
        <v>208</v>
      </c>
      <c r="E98" s="881" t="s">
        <v>1096</v>
      </c>
      <c r="F98" s="579" t="s">
        <v>1116</v>
      </c>
      <c r="G98" s="579" t="s">
        <v>1115</v>
      </c>
      <c r="H98" s="579" t="s">
        <v>1115</v>
      </c>
      <c r="I98" s="834" t="s">
        <v>1094</v>
      </c>
      <c r="J98" s="904"/>
      <c r="K98" s="835"/>
      <c r="L98" s="835"/>
      <c r="M98" s="835"/>
      <c r="N98" s="835"/>
      <c r="O98" s="328"/>
      <c r="Q98" s="672">
        <v>17</v>
      </c>
    </row>
    <row r="99" spans="1:17" ht="21">
      <c r="A99" s="787">
        <v>100</v>
      </c>
      <c r="B99" s="1013" t="s">
        <v>1087</v>
      </c>
      <c r="C99" s="871" t="s">
        <v>1107</v>
      </c>
      <c r="D99" s="927" t="s">
        <v>208</v>
      </c>
      <c r="E99" s="857" t="s">
        <v>1106</v>
      </c>
      <c r="F99" s="1036" t="s">
        <v>1131</v>
      </c>
      <c r="G99" s="579" t="s">
        <v>1117</v>
      </c>
      <c r="H99" s="579" t="s">
        <v>1117</v>
      </c>
      <c r="I99" s="878" t="s">
        <v>1094</v>
      </c>
      <c r="J99" s="904"/>
      <c r="K99" s="835"/>
      <c r="L99" s="835"/>
      <c r="M99" s="835"/>
      <c r="N99" s="835"/>
      <c r="O99" s="328"/>
      <c r="Q99" s="672">
        <v>18</v>
      </c>
    </row>
    <row r="100" spans="1:17" ht="21">
      <c r="A100" s="789">
        <v>101</v>
      </c>
      <c r="B100" s="1014" t="s">
        <v>1120</v>
      </c>
      <c r="C100" s="1084" t="s">
        <v>1146</v>
      </c>
      <c r="D100" s="927" t="s">
        <v>208</v>
      </c>
      <c r="E100" s="579" t="s">
        <v>1145</v>
      </c>
      <c r="F100" s="1015" t="s">
        <v>670</v>
      </c>
      <c r="G100" s="579" t="s">
        <v>1147</v>
      </c>
      <c r="H100" s="579" t="s">
        <v>1147</v>
      </c>
      <c r="I100" s="1079" t="s">
        <v>1141</v>
      </c>
      <c r="J100" s="904"/>
      <c r="K100" s="835"/>
      <c r="L100" s="835"/>
      <c r="M100" s="835"/>
      <c r="N100" s="835"/>
      <c r="O100" s="328"/>
      <c r="Q100" s="672">
        <v>19</v>
      </c>
    </row>
    <row r="101" spans="1:17" ht="21">
      <c r="A101" s="787">
        <v>102</v>
      </c>
      <c r="B101" s="1014" t="s">
        <v>1121</v>
      </c>
      <c r="C101" s="1002" t="s">
        <v>1148</v>
      </c>
      <c r="D101" s="927" t="s">
        <v>208</v>
      </c>
      <c r="E101" s="579" t="s">
        <v>1149</v>
      </c>
      <c r="F101" s="1036" t="s">
        <v>1129</v>
      </c>
      <c r="G101" s="579" t="s">
        <v>1150</v>
      </c>
      <c r="H101" s="579" t="s">
        <v>1150</v>
      </c>
      <c r="I101" s="1079" t="s">
        <v>1142</v>
      </c>
      <c r="J101" s="904"/>
      <c r="K101" s="835"/>
      <c r="L101" s="835"/>
      <c r="M101" s="835"/>
      <c r="N101" s="835"/>
      <c r="O101" s="328"/>
      <c r="Q101" s="672">
        <v>20</v>
      </c>
    </row>
    <row r="102" spans="1:17" ht="21">
      <c r="A102" s="789">
        <v>103</v>
      </c>
      <c r="B102" s="1014" t="s">
        <v>1138</v>
      </c>
      <c r="C102" s="1084" t="s">
        <v>1154</v>
      </c>
      <c r="D102" s="927" t="s">
        <v>208</v>
      </c>
      <c r="E102" s="579" t="s">
        <v>1152</v>
      </c>
      <c r="F102" s="1036" t="s">
        <v>1134</v>
      </c>
      <c r="G102" s="579" t="s">
        <v>1155</v>
      </c>
      <c r="H102" s="579" t="s">
        <v>1155</v>
      </c>
      <c r="I102" s="1080" t="s">
        <v>1143</v>
      </c>
      <c r="N102" s="635"/>
      <c r="O102" s="1025"/>
      <c r="Q102" s="672">
        <v>21</v>
      </c>
    </row>
    <row r="103" spans="1:17" ht="21">
      <c r="A103" s="1017"/>
      <c r="B103" s="1018"/>
      <c r="C103" s="917"/>
      <c r="D103" s="924"/>
      <c r="E103" s="917"/>
      <c r="F103" s="917"/>
      <c r="G103" s="917"/>
      <c r="H103" s="917"/>
      <c r="I103" s="1019"/>
    </row>
    <row r="104" spans="1:17" ht="21">
      <c r="A104" s="1017"/>
      <c r="B104" s="1018"/>
      <c r="C104" s="917"/>
      <c r="D104" s="924"/>
      <c r="E104" s="917"/>
      <c r="F104" s="917"/>
      <c r="G104" s="917"/>
      <c r="H104" s="917"/>
      <c r="I104" s="1019"/>
    </row>
    <row r="105" spans="1:17" ht="21">
      <c r="A105" s="1017"/>
      <c r="B105" s="1018"/>
      <c r="C105" s="917"/>
      <c r="D105" s="924"/>
      <c r="E105" s="917"/>
      <c r="F105" s="917"/>
      <c r="G105" s="917"/>
      <c r="H105" s="917"/>
      <c r="I105" s="1019"/>
    </row>
    <row r="106" spans="1:17" ht="21">
      <c r="A106" s="1017"/>
      <c r="B106" s="1018"/>
      <c r="C106" s="917"/>
      <c r="D106" s="924"/>
      <c r="E106" s="917"/>
      <c r="F106" s="917"/>
      <c r="G106" s="917"/>
      <c r="H106" s="917"/>
      <c r="I106" s="1019"/>
    </row>
    <row r="107" spans="1:17" ht="20.25">
      <c r="B107" s="888"/>
      <c r="C107" s="889"/>
      <c r="D107" s="401"/>
      <c r="E107" s="401"/>
      <c r="F107" s="401"/>
      <c r="G107" s="401"/>
      <c r="H107" s="401"/>
      <c r="I107" s="890"/>
    </row>
  </sheetData>
  <mergeCells count="12">
    <mergeCell ref="A1:M1"/>
    <mergeCell ref="A3:C3"/>
    <mergeCell ref="A5:C5"/>
    <mergeCell ref="A7:C7"/>
    <mergeCell ref="B11:B12"/>
    <mergeCell ref="F11:F12"/>
    <mergeCell ref="A2:M2"/>
    <mergeCell ref="I11:I12"/>
    <mergeCell ref="F3:H3"/>
    <mergeCell ref="F4:I4"/>
    <mergeCell ref="F5:I5"/>
    <mergeCell ref="K8:M8"/>
  </mergeCells>
  <phoneticPr fontId="83" type="noConversion"/>
  <printOptions horizontalCentered="1" verticalCentered="1"/>
  <pageMargins left="0" right="0" top="0" bottom="0" header="0.31496062992125984" footer="0.31496062992125984"/>
  <pageSetup paperSize="8" scale="50" orientation="landscape" horizontalDpi="4294967293"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667"/>
  <sheetViews>
    <sheetView topLeftCell="A32" zoomScale="85" zoomScaleNormal="85" workbookViewId="0">
      <pane xSplit="2" topLeftCell="C1" activePane="topRight" state="frozen"/>
      <selection activeCell="A13" sqref="A13"/>
      <selection pane="topRight" activeCell="AO36" sqref="AO36"/>
    </sheetView>
  </sheetViews>
  <sheetFormatPr defaultColWidth="15.140625" defaultRowHeight="15" customHeight="1"/>
  <cols>
    <col min="1" max="1" width="8.28515625" style="580" customWidth="1"/>
    <col min="2" max="2" width="30.140625" style="676" customWidth="1"/>
    <col min="3" max="3" width="11.140625" style="325" customWidth="1"/>
    <col min="4" max="4" width="12.140625" style="922" customWidth="1"/>
    <col min="5" max="5" width="12.28515625" style="325" customWidth="1"/>
    <col min="6" max="6" width="17" style="667" customWidth="1"/>
    <col min="7" max="7" width="28.42578125" style="325" customWidth="1"/>
    <col min="8" max="8" width="31" style="325" customWidth="1"/>
    <col min="9" max="9" width="15.140625" style="581" customWidth="1"/>
    <col min="10" max="13" width="15.140625" style="325" customWidth="1"/>
    <col min="14" max="14" width="17.28515625" style="652" customWidth="1"/>
    <col min="15" max="15" width="7.5703125" style="325" customWidth="1"/>
    <col min="16" max="16" width="15.140625" style="582" customWidth="1"/>
    <col min="17" max="17" width="8.140625" style="325" customWidth="1"/>
    <col min="18" max="18" width="0.28515625" style="325" customWidth="1"/>
    <col min="19" max="19" width="10.7109375" style="583" customWidth="1"/>
    <col min="20" max="20" width="15.140625" style="581" customWidth="1"/>
    <col min="21" max="21" width="7.42578125" style="581" customWidth="1"/>
    <col min="22" max="22" width="5.42578125" style="581" customWidth="1"/>
    <col min="23" max="23" width="9.28515625" style="581" customWidth="1"/>
    <col min="24" max="25" width="15.140625" style="581" customWidth="1"/>
    <col min="26" max="26" width="11" style="581" customWidth="1"/>
    <col min="27" max="27" width="15.140625" style="581" customWidth="1"/>
    <col min="28" max="28" width="15.140625" style="584" customWidth="1"/>
    <col min="29" max="31" width="15.140625" style="581" customWidth="1"/>
    <col min="32" max="32" width="10.140625" style="325" customWidth="1"/>
    <col min="33" max="33" width="15.140625" style="325"/>
    <col min="34" max="34" width="10" style="326" customWidth="1"/>
    <col min="35" max="35" width="12.28515625" style="326" customWidth="1"/>
    <col min="36" max="36" width="11.5703125" style="326" customWidth="1"/>
    <col min="37" max="37" width="9.28515625" style="547" customWidth="1"/>
    <col min="38" max="38" width="15.85546875" style="326" customWidth="1"/>
    <col min="39" max="39" width="10" style="326" customWidth="1"/>
    <col min="40" max="40" width="11.28515625" style="326" customWidth="1"/>
    <col min="41" max="41" width="15.140625" style="585"/>
    <col min="42" max="42" width="16.5703125" style="325" bestFit="1" customWidth="1"/>
    <col min="43" max="43" width="15.140625" style="325" customWidth="1"/>
    <col min="44" max="44" width="16.7109375" style="325" customWidth="1"/>
    <col min="45" max="47" width="15.140625" style="325" customWidth="1"/>
    <col min="48" max="64" width="15.140625" style="918"/>
    <col min="65" max="16384" width="15.140625" style="325"/>
  </cols>
  <sheetData>
    <row r="1" spans="1:64" ht="38.25" customHeight="1">
      <c r="AI1" s="677"/>
    </row>
    <row r="2" spans="1:64" ht="38.25" customHeight="1"/>
    <row r="3" spans="1:64" ht="38.25" customHeight="1">
      <c r="A3" s="676" t="s">
        <v>1029</v>
      </c>
      <c r="AH3" s="325"/>
      <c r="AI3" s="325"/>
      <c r="AJ3" s="325"/>
      <c r="AK3" s="582"/>
      <c r="AL3" s="325"/>
      <c r="AM3" s="325"/>
      <c r="AN3" s="325"/>
    </row>
    <row r="4" spans="1:64" ht="38.25" customHeight="1">
      <c r="B4" s="678" t="s">
        <v>50</v>
      </c>
    </row>
    <row r="5" spans="1:64" ht="38.25" customHeight="1">
      <c r="A5" s="1122" t="s">
        <v>0</v>
      </c>
      <c r="B5" s="1122"/>
      <c r="C5" s="1122"/>
      <c r="D5" s="921"/>
      <c r="E5" s="679"/>
      <c r="F5" s="663" t="s">
        <v>425</v>
      </c>
      <c r="G5" s="586"/>
      <c r="H5" s="586"/>
      <c r="I5" s="529"/>
      <c r="J5" s="318"/>
      <c r="K5" s="318"/>
      <c r="L5" s="318"/>
      <c r="M5" s="318"/>
      <c r="N5" s="529"/>
      <c r="O5" s="318"/>
      <c r="P5" s="318"/>
      <c r="V5" s="1121" t="s">
        <v>1</v>
      </c>
      <c r="W5" s="1121"/>
      <c r="X5" s="1121"/>
      <c r="Y5" s="1121"/>
      <c r="Z5" s="1121"/>
      <c r="AA5" s="1121"/>
      <c r="AB5" s="1121"/>
      <c r="AC5" s="1121"/>
      <c r="AD5" s="1121"/>
      <c r="AE5" s="1121"/>
      <c r="AF5" s="1121"/>
      <c r="AG5" s="1121"/>
      <c r="AH5" s="1121"/>
      <c r="AI5" s="1121"/>
      <c r="AJ5" s="317" t="str">
        <f>F5</f>
        <v>Burgeon IT Services Pvt.Ltd.</v>
      </c>
      <c r="AK5" s="680"/>
      <c r="AL5" s="586"/>
      <c r="AM5" s="586"/>
      <c r="AN5" s="586"/>
      <c r="AO5" s="676"/>
      <c r="AP5" s="586"/>
      <c r="AQ5" s="586"/>
      <c r="AR5" s="586"/>
      <c r="AS5" s="586"/>
      <c r="AT5" s="319"/>
      <c r="AU5" s="319"/>
    </row>
    <row r="6" spans="1:64" ht="38.25" customHeight="1">
      <c r="F6" s="589" t="s">
        <v>426</v>
      </c>
      <c r="I6" s="530"/>
      <c r="J6" s="150"/>
      <c r="K6" s="150"/>
      <c r="L6" s="150"/>
      <c r="M6" s="150"/>
      <c r="N6" s="530"/>
      <c r="O6" s="150"/>
      <c r="P6" s="150"/>
      <c r="AF6" s="323"/>
      <c r="AG6" s="323"/>
      <c r="AJ6" s="150" t="str">
        <f>F6</f>
        <v>Siri Mansion LIGB 436 Dr.A S Rao Nagar,Hyderabad</v>
      </c>
      <c r="AK6" s="582"/>
      <c r="AL6" s="325"/>
      <c r="AM6" s="325"/>
      <c r="AN6" s="321"/>
      <c r="AO6" s="533"/>
      <c r="AP6" s="321"/>
      <c r="AQ6" s="321"/>
      <c r="AR6" s="321"/>
      <c r="AS6" s="321"/>
      <c r="AT6" s="321"/>
      <c r="AU6" s="321"/>
    </row>
    <row r="7" spans="1:64" ht="38.25" customHeight="1">
      <c r="F7" s="589"/>
      <c r="I7" s="530"/>
      <c r="J7" s="150"/>
      <c r="K7" s="150"/>
      <c r="L7" s="150"/>
      <c r="M7" s="150"/>
      <c r="N7" s="530"/>
      <c r="O7" s="150"/>
      <c r="P7" s="150"/>
      <c r="AF7" s="323"/>
      <c r="AG7" s="323"/>
      <c r="AJ7" s="150"/>
      <c r="AK7" s="582"/>
      <c r="AL7" s="325"/>
      <c r="AM7" s="325"/>
      <c r="AN7" s="321"/>
      <c r="AO7" s="533"/>
      <c r="AP7" s="321"/>
      <c r="AQ7" s="321"/>
      <c r="AR7" s="321"/>
      <c r="AS7" s="321"/>
      <c r="AT7" s="321"/>
      <c r="AU7" s="321"/>
    </row>
    <row r="8" spans="1:64" ht="38.25" customHeight="1">
      <c r="A8" s="1122" t="s">
        <v>2</v>
      </c>
      <c r="B8" s="1122"/>
      <c r="C8" s="1122"/>
      <c r="D8" s="921"/>
      <c r="E8" s="679"/>
      <c r="F8" s="664" t="s">
        <v>819</v>
      </c>
      <c r="G8" s="322"/>
      <c r="H8" s="322"/>
      <c r="I8" s="531"/>
      <c r="J8" s="322"/>
      <c r="K8" s="322"/>
      <c r="L8" s="322"/>
      <c r="M8" s="322"/>
      <c r="N8" s="531"/>
      <c r="O8" s="322"/>
      <c r="P8" s="322"/>
      <c r="AF8" s="323"/>
      <c r="AG8" s="323"/>
      <c r="AJ8" s="323"/>
      <c r="AK8" s="546"/>
      <c r="AL8" s="323"/>
      <c r="AM8" s="323"/>
      <c r="AN8" s="323"/>
      <c r="AO8" s="534"/>
      <c r="AP8" s="323"/>
      <c r="AQ8" s="323"/>
      <c r="AR8" s="323"/>
      <c r="AS8" s="323"/>
      <c r="AT8" s="323"/>
      <c r="AU8" s="323"/>
    </row>
    <row r="9" spans="1:64" ht="38.25" customHeight="1" thickBot="1">
      <c r="AF9" s="323"/>
      <c r="AG9" s="323"/>
      <c r="AJ9" s="1123"/>
      <c r="AK9" s="1123"/>
      <c r="AL9" s="1123"/>
      <c r="AM9" s="1123"/>
      <c r="AN9" s="1123"/>
      <c r="AO9" s="1123"/>
      <c r="AP9" s="1123"/>
      <c r="AQ9" s="1123"/>
      <c r="AR9" s="1123"/>
      <c r="AS9" s="1123"/>
    </row>
    <row r="10" spans="1:64" ht="38.25" customHeight="1" thickBot="1">
      <c r="A10" s="1122" t="s">
        <v>3</v>
      </c>
      <c r="B10" s="1122"/>
      <c r="C10" s="1122"/>
      <c r="D10" s="920">
        <v>44652</v>
      </c>
      <c r="E10" s="679"/>
      <c r="G10" s="681"/>
      <c r="H10" s="681"/>
      <c r="I10" s="682"/>
      <c r="J10" s="681"/>
      <c r="K10" s="681"/>
      <c r="L10" s="681"/>
      <c r="M10" s="681"/>
      <c r="N10" s="683"/>
      <c r="O10" s="681"/>
      <c r="P10" s="684"/>
      <c r="W10" s="685"/>
      <c r="X10" s="685"/>
      <c r="Y10" s="685"/>
      <c r="Z10" s="685"/>
      <c r="AA10" s="685"/>
      <c r="AC10" s="685"/>
      <c r="AD10" s="685"/>
      <c r="AE10" s="685" t="s">
        <v>4</v>
      </c>
      <c r="AF10" s="686"/>
      <c r="AG10" s="686"/>
      <c r="AH10" s="686"/>
      <c r="AI10" s="686"/>
      <c r="AJ10" s="679" t="s">
        <v>821</v>
      </c>
      <c r="AK10" s="680"/>
      <c r="AL10" s="586"/>
      <c r="AM10" s="586"/>
      <c r="AN10" s="586"/>
      <c r="AO10" s="676"/>
      <c r="AP10" s="586"/>
      <c r="AQ10" s="586"/>
      <c r="AR10" s="319"/>
      <c r="AS10" s="319"/>
      <c r="AT10" s="319"/>
      <c r="AU10" s="1088"/>
    </row>
    <row r="11" spans="1:64" ht="38.25" customHeight="1">
      <c r="AJ11" s="325" t="s">
        <v>427</v>
      </c>
      <c r="AN11" s="321"/>
      <c r="AO11" s="533"/>
      <c r="AP11" s="321"/>
      <c r="AQ11" s="321"/>
      <c r="AR11" s="321"/>
      <c r="AS11" s="321"/>
      <c r="AT11" s="321"/>
      <c r="AU11" s="1088"/>
    </row>
    <row r="12" spans="1:64" ht="46.5" customHeight="1">
      <c r="AU12" s="1088"/>
    </row>
    <row r="13" spans="1:64" ht="43.5" customHeight="1" thickBot="1">
      <c r="B13" s="701">
        <v>1</v>
      </c>
      <c r="C13" s="848">
        <v>2</v>
      </c>
      <c r="D13" s="921">
        <v>3</v>
      </c>
      <c r="E13" s="848">
        <v>4</v>
      </c>
      <c r="F13" s="701">
        <v>5</v>
      </c>
      <c r="G13" s="848">
        <v>6</v>
      </c>
      <c r="H13" s="701">
        <v>7</v>
      </c>
      <c r="I13" s="848">
        <v>8</v>
      </c>
      <c r="J13" s="701">
        <v>9</v>
      </c>
      <c r="K13" s="848">
        <v>10</v>
      </c>
      <c r="L13" s="701">
        <v>11</v>
      </c>
      <c r="M13" s="848">
        <v>12</v>
      </c>
      <c r="N13" s="701">
        <v>13</v>
      </c>
      <c r="O13" s="848">
        <v>14</v>
      </c>
      <c r="P13" s="701">
        <v>15</v>
      </c>
      <c r="Q13" s="848">
        <v>16</v>
      </c>
      <c r="R13" s="701">
        <v>17</v>
      </c>
      <c r="S13" s="848">
        <v>18</v>
      </c>
      <c r="T13" s="701">
        <v>19</v>
      </c>
      <c r="U13" s="848">
        <v>20</v>
      </c>
      <c r="V13" s="701">
        <v>21</v>
      </c>
      <c r="W13" s="848">
        <v>22</v>
      </c>
      <c r="X13" s="701">
        <v>23</v>
      </c>
      <c r="Y13" s="848">
        <v>24</v>
      </c>
      <c r="Z13" s="701">
        <v>25</v>
      </c>
      <c r="AA13" s="848">
        <v>26</v>
      </c>
      <c r="AB13" s="701">
        <v>27</v>
      </c>
      <c r="AC13" s="848">
        <v>28</v>
      </c>
      <c r="AD13" s="701">
        <v>29</v>
      </c>
      <c r="AE13" s="848">
        <v>30</v>
      </c>
      <c r="AF13" s="701">
        <v>31</v>
      </c>
      <c r="AG13" s="848">
        <v>32</v>
      </c>
      <c r="AH13" s="701">
        <v>33</v>
      </c>
      <c r="AI13" s="848">
        <v>34</v>
      </c>
      <c r="AJ13" s="701">
        <v>35</v>
      </c>
      <c r="AK13" s="848">
        <v>36</v>
      </c>
      <c r="AL13" s="701">
        <v>37</v>
      </c>
      <c r="AM13" s="848">
        <v>38</v>
      </c>
      <c r="AN13" s="701">
        <v>39</v>
      </c>
      <c r="AO13" s="848">
        <v>40</v>
      </c>
      <c r="AP13" s="701">
        <v>41</v>
      </c>
      <c r="AQ13" s="848">
        <v>42</v>
      </c>
      <c r="AR13" s="701">
        <v>43</v>
      </c>
      <c r="AS13" s="848">
        <v>44</v>
      </c>
      <c r="AT13" s="701">
        <v>45</v>
      </c>
      <c r="AU13" s="848">
        <v>46</v>
      </c>
    </row>
    <row r="14" spans="1:64" s="687" customFormat="1" ht="27" customHeight="1">
      <c r="A14" s="869"/>
      <c r="B14" s="1128" t="s">
        <v>6</v>
      </c>
      <c r="C14" s="688" t="s">
        <v>51</v>
      </c>
      <c r="D14" s="923" t="s">
        <v>40</v>
      </c>
      <c r="E14" s="688" t="s">
        <v>43</v>
      </c>
      <c r="F14" s="1124" t="s">
        <v>8</v>
      </c>
      <c r="G14" s="689" t="s">
        <v>44</v>
      </c>
      <c r="H14" s="689" t="s">
        <v>45</v>
      </c>
      <c r="I14" s="690" t="s">
        <v>46</v>
      </c>
      <c r="J14" s="689" t="s">
        <v>47</v>
      </c>
      <c r="K14" s="689" t="s">
        <v>48</v>
      </c>
      <c r="L14" s="689" t="s">
        <v>49</v>
      </c>
      <c r="M14" s="689" t="s">
        <v>41</v>
      </c>
      <c r="N14" s="691" t="s">
        <v>143</v>
      </c>
      <c r="O14" s="692" t="s">
        <v>144</v>
      </c>
      <c r="P14" s="1130" t="s">
        <v>6</v>
      </c>
      <c r="Q14" s="1110" t="s">
        <v>9</v>
      </c>
      <c r="R14" s="1110" t="s">
        <v>10</v>
      </c>
      <c r="S14" s="1132" t="s">
        <v>200</v>
      </c>
      <c r="T14" s="1134" t="s">
        <v>11</v>
      </c>
      <c r="U14" s="1134" t="s">
        <v>12</v>
      </c>
      <c r="V14" s="1134" t="s">
        <v>13</v>
      </c>
      <c r="W14" s="1112" t="s">
        <v>14</v>
      </c>
      <c r="X14" s="661" t="s">
        <v>15</v>
      </c>
      <c r="Y14" s="693" t="s">
        <v>16</v>
      </c>
      <c r="Z14" s="693" t="s">
        <v>17</v>
      </c>
      <c r="AA14" s="693" t="s">
        <v>18</v>
      </c>
      <c r="AB14" s="1114" t="s">
        <v>19</v>
      </c>
      <c r="AC14" s="694" t="s">
        <v>20</v>
      </c>
      <c r="AD14" s="694" t="s">
        <v>21</v>
      </c>
      <c r="AE14" s="694" t="s">
        <v>22</v>
      </c>
      <c r="AF14" s="1110" t="s">
        <v>23</v>
      </c>
      <c r="AG14" s="695" t="s">
        <v>24</v>
      </c>
      <c r="AH14" s="696" t="s">
        <v>25</v>
      </c>
      <c r="AI14" s="697"/>
      <c r="AJ14" s="697"/>
      <c r="AK14" s="698"/>
      <c r="AL14" s="697"/>
      <c r="AM14" s="697"/>
      <c r="AN14" s="699"/>
      <c r="AO14" s="1116" t="s">
        <v>26</v>
      </c>
      <c r="AP14" s="1110" t="s">
        <v>27</v>
      </c>
      <c r="AQ14" s="661" t="s">
        <v>28</v>
      </c>
      <c r="AR14" s="1110" t="s">
        <v>29</v>
      </c>
      <c r="AS14" s="1126" t="s">
        <v>30</v>
      </c>
      <c r="AT14" s="1119" t="s">
        <v>7</v>
      </c>
      <c r="AU14" s="700"/>
      <c r="AV14" s="971"/>
      <c r="AW14" s="971"/>
      <c r="AX14" s="971"/>
      <c r="AY14" s="971"/>
      <c r="AZ14" s="971"/>
      <c r="BA14" s="971"/>
      <c r="BB14" s="971"/>
      <c r="BC14" s="971"/>
      <c r="BD14" s="971"/>
      <c r="BE14" s="971"/>
      <c r="BF14" s="971"/>
      <c r="BG14" s="971"/>
      <c r="BH14" s="971"/>
      <c r="BI14" s="971"/>
      <c r="BJ14" s="971"/>
      <c r="BK14" s="971"/>
      <c r="BL14" s="971"/>
    </row>
    <row r="15" spans="1:64" s="687" customFormat="1" ht="24.75" customHeight="1">
      <c r="A15" s="870"/>
      <c r="B15" s="1129"/>
      <c r="C15" s="700"/>
      <c r="D15" s="924"/>
      <c r="E15" s="700"/>
      <c r="F15" s="1125"/>
      <c r="G15" s="702"/>
      <c r="H15" s="702"/>
      <c r="I15" s="703"/>
      <c r="J15" s="702"/>
      <c r="K15" s="702"/>
      <c r="L15" s="702"/>
      <c r="M15" s="702"/>
      <c r="N15" s="704"/>
      <c r="O15" s="705"/>
      <c r="P15" s="1131"/>
      <c r="Q15" s="1118"/>
      <c r="R15" s="1111"/>
      <c r="S15" s="1133"/>
      <c r="T15" s="1135"/>
      <c r="U15" s="1135"/>
      <c r="V15" s="1135"/>
      <c r="W15" s="1113"/>
      <c r="X15" s="706"/>
      <c r="Y15" s="706"/>
      <c r="Z15" s="706"/>
      <c r="AA15" s="706"/>
      <c r="AB15" s="1115"/>
      <c r="AC15" s="707"/>
      <c r="AD15" s="707"/>
      <c r="AE15" s="707"/>
      <c r="AF15" s="1118"/>
      <c r="AG15" s="708"/>
      <c r="AH15" s="709" t="s">
        <v>31</v>
      </c>
      <c r="AI15" s="709" t="s">
        <v>32</v>
      </c>
      <c r="AJ15" s="709" t="s">
        <v>33</v>
      </c>
      <c r="AK15" s="710" t="s">
        <v>34</v>
      </c>
      <c r="AL15" s="709" t="s">
        <v>35</v>
      </c>
      <c r="AM15" s="709" t="s">
        <v>843</v>
      </c>
      <c r="AN15" s="705" t="s">
        <v>36</v>
      </c>
      <c r="AO15" s="1117"/>
      <c r="AP15" s="1111"/>
      <c r="AQ15" s="662"/>
      <c r="AR15" s="1111"/>
      <c r="AS15" s="1127"/>
      <c r="AT15" s="1120"/>
      <c r="AU15" s="700"/>
      <c r="AV15" s="971"/>
      <c r="AW15" s="971"/>
      <c r="AX15" s="971"/>
      <c r="AY15" s="971"/>
      <c r="AZ15" s="971"/>
      <c r="BA15" s="971"/>
      <c r="BB15" s="971"/>
      <c r="BC15" s="971"/>
      <c r="BD15" s="971"/>
      <c r="BE15" s="971"/>
      <c r="BF15" s="971"/>
      <c r="BG15" s="971"/>
      <c r="BH15" s="971"/>
      <c r="BI15" s="971"/>
      <c r="BJ15" s="971"/>
      <c r="BK15" s="971"/>
      <c r="BL15" s="971"/>
    </row>
    <row r="16" spans="1:64" s="563" customFormat="1" ht="47.25" customHeight="1">
      <c r="A16" s="634" t="s">
        <v>994</v>
      </c>
      <c r="B16" s="1026" t="s">
        <v>562</v>
      </c>
      <c r="C16" s="561">
        <v>33019</v>
      </c>
      <c r="D16" s="925" t="s">
        <v>208</v>
      </c>
      <c r="E16" s="563" t="s">
        <v>565</v>
      </c>
      <c r="F16" s="665" t="s">
        <v>577</v>
      </c>
      <c r="G16" s="564" t="s">
        <v>567</v>
      </c>
      <c r="H16" s="564" t="s">
        <v>566</v>
      </c>
      <c r="I16" s="538">
        <v>43864</v>
      </c>
      <c r="J16" s="562"/>
      <c r="K16" s="562"/>
      <c r="L16" s="562"/>
      <c r="M16" s="562"/>
      <c r="N16" s="648">
        <v>101308550178</v>
      </c>
      <c r="O16" s="565" t="s">
        <v>37</v>
      </c>
      <c r="P16" s="537" t="str">
        <f>B16</f>
        <v>kaja Venkat Ragavendra</v>
      </c>
      <c r="Q16" s="653">
        <f>VLOOKUP(A16,'[1]Pay sheet-APRIL- 2022'!$C$4:$AF$140,10,0)</f>
        <v>30</v>
      </c>
      <c r="R16" s="566" t="s">
        <v>37</v>
      </c>
      <c r="S16" s="1041">
        <v>84913</v>
      </c>
      <c r="T16" s="1054">
        <f>VLOOKUP(A16,'[1]Pay sheet-APRIL- 2022'!$C$4:$AF$140,11,0)</f>
        <v>50947.8</v>
      </c>
      <c r="U16" s="1051">
        <v>0</v>
      </c>
      <c r="V16" s="567">
        <v>0</v>
      </c>
      <c r="W16" s="568">
        <v>0</v>
      </c>
      <c r="X16" s="653">
        <f>VLOOKUP(A16,'[1]Pay sheet-APRIL- 2022'!$C$4:$AF$140,12,0)</f>
        <v>20379.120000000003</v>
      </c>
      <c r="Y16" s="653">
        <f>VLOOKUP(A16,'[1]Pay sheet-APRIL- 2022'!$C$4:$AF$140,13,0)</f>
        <v>2083</v>
      </c>
      <c r="Z16" s="653">
        <f>VLOOKUP(A16,'[1]Pay sheet-APRIL- 2022'!$C$4:$AF$140,14,0)</f>
        <v>2083</v>
      </c>
      <c r="AA16" s="653">
        <f>VLOOKUP(A16,'[1]Pay sheet-APRIL- 2022'!$C$4:$AF$140,15,0)</f>
        <v>9533.0799999999872</v>
      </c>
      <c r="AB16" s="842">
        <f>SUM(T16:AA16)</f>
        <v>85026</v>
      </c>
      <c r="AC16" s="1058">
        <f>VLOOKUP(A16,'[1]Pay sheet-APRIL- 2022'!$C$4:$AF$140,18,0)</f>
        <v>1554.6089999999999</v>
      </c>
      <c r="AD16" s="1058">
        <f>VLOOKUP(A16,'[1]Pay sheet-APRIL- 2022'!$C$4:$AF$140,19,0)</f>
        <v>2450.5891799999999</v>
      </c>
      <c r="AE16" s="1058">
        <f>VLOOKUP(A16,'[1]Pay sheet-APRIL- 2022'!$C$4:$AF$140,20,0)</f>
        <v>4245.6500000000005</v>
      </c>
      <c r="AF16" s="843">
        <v>0</v>
      </c>
      <c r="AG16" s="845">
        <f>AB16+AC16+AD16+AE16+AF16</f>
        <v>93276.848179999986</v>
      </c>
      <c r="AH16" s="844">
        <v>0</v>
      </c>
      <c r="AI16" s="1058">
        <f>VLOOKUP(A16,'[1]Pay sheet-APRIL- 2022'!$C$4:$AF$140,26,0)</f>
        <v>1800</v>
      </c>
      <c r="AJ16" s="1058">
        <f>VLOOKUP(A16,'[1]Pay sheet-APRIL- 2022'!$C$4:$AF$140,25,0)</f>
        <v>200</v>
      </c>
      <c r="AK16" s="1058">
        <f>VLOOKUP(A16,'[1]Pay sheet-APRIL- 2022'!$C$4:$AF$140,24,0)</f>
        <v>0</v>
      </c>
      <c r="AL16" s="1058">
        <f>VLOOKUP(A16,'[1]Pay sheet-APRIL- 2022'!$C$4:$AF$140,27,0)</f>
        <v>391.787848</v>
      </c>
      <c r="AM16" s="654"/>
      <c r="AN16" s="813">
        <f>AH16+AI16+AJ16+AK16+AL16+AM16</f>
        <v>2391.7878479999999</v>
      </c>
      <c r="AO16" s="660">
        <f>AG16-AN16</f>
        <v>90885.060331999994</v>
      </c>
      <c r="AP16" s="1005">
        <v>44686</v>
      </c>
      <c r="AQ16" s="571" t="s">
        <v>571</v>
      </c>
      <c r="AR16" s="627" t="s">
        <v>743</v>
      </c>
      <c r="AS16" s="571"/>
      <c r="AT16" s="675">
        <v>41</v>
      </c>
      <c r="AU16" s="571">
        <v>1</v>
      </c>
      <c r="AV16" s="1089"/>
      <c r="AW16" s="1089"/>
      <c r="AX16" s="1089"/>
      <c r="AY16" s="1089"/>
      <c r="AZ16" s="1089"/>
      <c r="BA16" s="1089"/>
      <c r="BB16" s="1089"/>
      <c r="BC16" s="1089"/>
      <c r="BD16" s="1089"/>
      <c r="BE16" s="1089"/>
      <c r="BF16" s="1089"/>
      <c r="BG16" s="1089"/>
      <c r="BH16" s="1089"/>
      <c r="BI16" s="1089"/>
      <c r="BJ16" s="1089"/>
      <c r="BK16" s="1089"/>
      <c r="BL16" s="1089"/>
    </row>
    <row r="17" spans="1:64" s="563" customFormat="1" ht="47.25" customHeight="1">
      <c r="A17" s="836" t="s">
        <v>995</v>
      </c>
      <c r="B17" s="1027" t="s">
        <v>703</v>
      </c>
      <c r="C17" s="569" t="s">
        <v>901</v>
      </c>
      <c r="D17" s="925" t="s">
        <v>208</v>
      </c>
      <c r="E17" s="562" t="s">
        <v>721</v>
      </c>
      <c r="F17" s="665" t="s">
        <v>717</v>
      </c>
      <c r="G17" s="562" t="s">
        <v>720</v>
      </c>
      <c r="H17" s="562" t="s">
        <v>720</v>
      </c>
      <c r="I17" s="570" t="s">
        <v>879</v>
      </c>
      <c r="J17" s="562"/>
      <c r="K17" s="562"/>
      <c r="L17" s="562"/>
      <c r="M17" s="562"/>
      <c r="N17" s="650">
        <v>100916499521</v>
      </c>
      <c r="O17" s="562" t="s">
        <v>37</v>
      </c>
      <c r="P17" s="537" t="str">
        <f t="shared" ref="P17:P21" si="0">B17</f>
        <v>VeerendraBabu Galam</v>
      </c>
      <c r="Q17" s="653">
        <f>VLOOKUP(A17,'[1]Pay sheet-APRIL- 2022'!$C$4:$AF$140,10,0)</f>
        <v>30</v>
      </c>
      <c r="R17" s="566" t="s">
        <v>37</v>
      </c>
      <c r="S17" s="1042">
        <v>66374</v>
      </c>
      <c r="T17" s="1054">
        <f>VLOOKUP(A17,'[1]Pay sheet-APRIL- 2022'!$C$4:$AF$140,11,0)</f>
        <v>39824.400000000001</v>
      </c>
      <c r="U17" s="1051">
        <v>0</v>
      </c>
      <c r="V17" s="567">
        <v>0</v>
      </c>
      <c r="W17" s="568">
        <v>0</v>
      </c>
      <c r="X17" s="653">
        <f>VLOOKUP(A17,'[1]Pay sheet-APRIL- 2022'!$C$4:$AF$140,12,0)</f>
        <v>15929.760000000002</v>
      </c>
      <c r="Y17" s="653">
        <f>VLOOKUP(A17,'[1]Pay sheet-APRIL- 2022'!$C$4:$AF$140,13,0)</f>
        <v>2083</v>
      </c>
      <c r="Z17" s="653">
        <f>VLOOKUP(A17,'[1]Pay sheet-APRIL- 2022'!$C$4:$AF$140,14,0)</f>
        <v>2083</v>
      </c>
      <c r="AA17" s="653">
        <f>VLOOKUP(A17,'[1]Pay sheet-APRIL- 2022'!$C$4:$AF$140,15,0)</f>
        <v>6566.8399999999965</v>
      </c>
      <c r="AB17" s="842">
        <f t="shared" ref="AB17:AB35" si="1">SUM(T17:AA17)</f>
        <v>66487</v>
      </c>
      <c r="AC17" s="1058">
        <f>VLOOKUP(A17,'[1]Pay sheet-APRIL- 2022'!$C$4:$AF$140,18,0)</f>
        <v>1554.6089999999999</v>
      </c>
      <c r="AD17" s="1058">
        <f>VLOOKUP(A17,'[1]Pay sheet-APRIL- 2022'!$C$4:$AF$140,19,0)</f>
        <v>1915.5536400000001</v>
      </c>
      <c r="AE17" s="1058">
        <f>VLOOKUP(A17,'[1]Pay sheet-APRIL- 2022'!$C$4:$AF$140,20,0)</f>
        <v>3318.7000000000003</v>
      </c>
      <c r="AF17" s="843">
        <f>VLOOKUP(A17,'[2]Pay sheet-MARCH- 2022'!$C$4:$AF$150,22,0)</f>
        <v>0</v>
      </c>
      <c r="AG17" s="845">
        <f t="shared" ref="AG17:AG36" si="2">AB17+AC17+AD17+AE17+AF17</f>
        <v>73275.862639999992</v>
      </c>
      <c r="AH17" s="844">
        <v>0</v>
      </c>
      <c r="AI17" s="1058">
        <f>VLOOKUP(A17,'[1]Pay sheet-APRIL- 2022'!$C$4:$AF$140,26,0)</f>
        <v>1800</v>
      </c>
      <c r="AJ17" s="1058">
        <f>VLOOKUP(A17,'[1]Pay sheet-APRIL- 2022'!$C$4:$AF$140,25,0)</f>
        <v>200</v>
      </c>
      <c r="AK17" s="1058">
        <f>VLOOKUP(A17,'[1]Pay sheet-APRIL- 2022'!$C$4:$AF$140,24,0)</f>
        <v>0</v>
      </c>
      <c r="AL17" s="1058">
        <f>VLOOKUP(A17,'[1]Pay sheet-APRIL- 2022'!$C$4:$AF$140,27,0)</f>
        <v>391.787848</v>
      </c>
      <c r="AM17" s="655"/>
      <c r="AN17" s="813">
        <f t="shared" ref="AN17:AN36" si="3">AH17+AI17+AJ17+AK17+AL17+AM17</f>
        <v>2391.7878479999999</v>
      </c>
      <c r="AO17" s="660">
        <f t="shared" ref="AO17:AO36" si="4">AG17-AN17</f>
        <v>70884.074791999999</v>
      </c>
      <c r="AP17" s="1005">
        <v>44686</v>
      </c>
      <c r="AQ17" s="571" t="s">
        <v>719</v>
      </c>
      <c r="AR17" s="628" t="s">
        <v>744</v>
      </c>
      <c r="AS17" s="571"/>
      <c r="AT17" s="675">
        <v>68</v>
      </c>
      <c r="AU17" s="571">
        <v>2</v>
      </c>
      <c r="AV17" s="1089"/>
      <c r="AW17" s="1089"/>
      <c r="AX17" s="1089"/>
      <c r="AY17" s="1089"/>
      <c r="AZ17" s="1089"/>
      <c r="BA17" s="1089"/>
      <c r="BB17" s="1089"/>
      <c r="BC17" s="1089"/>
      <c r="BD17" s="1089"/>
      <c r="BE17" s="1089"/>
      <c r="BF17" s="1089"/>
      <c r="BG17" s="1089"/>
      <c r="BH17" s="1089"/>
      <c r="BI17" s="1089"/>
      <c r="BJ17" s="1089"/>
      <c r="BK17" s="1089"/>
      <c r="BL17" s="1089"/>
    </row>
    <row r="18" spans="1:64" s="711" customFormat="1" ht="47.25" customHeight="1">
      <c r="A18" s="836" t="s">
        <v>996</v>
      </c>
      <c r="B18" s="1026" t="s">
        <v>812</v>
      </c>
      <c r="C18" s="572">
        <v>32172</v>
      </c>
      <c r="D18" s="925" t="s">
        <v>208</v>
      </c>
      <c r="E18" s="562" t="s">
        <v>815</v>
      </c>
      <c r="F18" s="665" t="s">
        <v>619</v>
      </c>
      <c r="G18" s="562" t="s">
        <v>816</v>
      </c>
      <c r="H18" s="562" t="s">
        <v>816</v>
      </c>
      <c r="I18" s="570">
        <v>44330</v>
      </c>
      <c r="J18" s="573"/>
      <c r="K18" s="573"/>
      <c r="L18" s="573"/>
      <c r="M18" s="573"/>
      <c r="N18" s="650">
        <v>101695261761</v>
      </c>
      <c r="O18" s="573" t="s">
        <v>37</v>
      </c>
      <c r="P18" s="537" t="str">
        <f t="shared" si="0"/>
        <v>RUKNUDEEN S</v>
      </c>
      <c r="Q18" s="653">
        <f>VLOOKUP(A18,'[1]Pay sheet-APRIL- 2022'!$C$4:$AF$140,10,0)</f>
        <v>30</v>
      </c>
      <c r="R18" s="566" t="s">
        <v>37</v>
      </c>
      <c r="S18" s="1042">
        <v>89547</v>
      </c>
      <c r="T18" s="1054">
        <f>VLOOKUP(A18,'[1]Pay sheet-APRIL- 2022'!$C$4:$AF$140,11,0)</f>
        <v>53728.2</v>
      </c>
      <c r="U18" s="1051">
        <v>0</v>
      </c>
      <c r="V18" s="567">
        <v>0</v>
      </c>
      <c r="W18" s="568">
        <v>0</v>
      </c>
      <c r="X18" s="653">
        <f>VLOOKUP(A18,'[1]Pay sheet-APRIL- 2022'!$C$4:$AF$140,12,0)</f>
        <v>21491.279999999999</v>
      </c>
      <c r="Y18" s="653">
        <f>VLOOKUP(A18,'[1]Pay sheet-APRIL- 2022'!$C$4:$AF$140,13,0)</f>
        <v>2083</v>
      </c>
      <c r="Z18" s="653">
        <f>VLOOKUP(A18,'[1]Pay sheet-APRIL- 2022'!$C$4:$AF$140,14,0)</f>
        <v>2083</v>
      </c>
      <c r="AA18" s="653">
        <f>VLOOKUP(A18,'[1]Pay sheet-APRIL- 2022'!$C$4:$AF$140,15,0)</f>
        <v>10274.520000000004</v>
      </c>
      <c r="AB18" s="842">
        <f t="shared" si="1"/>
        <v>89660</v>
      </c>
      <c r="AC18" s="1058">
        <f>VLOOKUP(A18,'[1]Pay sheet-APRIL- 2022'!$C$4:$AF$140,18,0)</f>
        <v>1554.6089999999999</v>
      </c>
      <c r="AD18" s="1058">
        <f>VLOOKUP(A18,'[1]Pay sheet-APRIL- 2022'!$C$4:$AF$140,19,0)</f>
        <v>2584.3264199999994</v>
      </c>
      <c r="AE18" s="1058">
        <f>VLOOKUP(A18,'[1]Pay sheet-APRIL- 2022'!$C$4:$AF$140,20,0)</f>
        <v>4477.3499999999995</v>
      </c>
      <c r="AF18" s="843">
        <f>VLOOKUP(A18,'[2]Pay sheet-MARCH- 2022'!$C$4:$AF$150,22,0)</f>
        <v>0</v>
      </c>
      <c r="AG18" s="845">
        <f t="shared" si="2"/>
        <v>98276.28542</v>
      </c>
      <c r="AH18" s="844">
        <v>0</v>
      </c>
      <c r="AI18" s="1058">
        <f>VLOOKUP(A18,'[1]Pay sheet-APRIL- 2022'!$C$4:$AF$140,26,0)</f>
        <v>1800</v>
      </c>
      <c r="AJ18" s="1058">
        <f>VLOOKUP(A18,'[1]Pay sheet-APRIL- 2022'!$C$4:$AF$140,25,0)</f>
        <v>200</v>
      </c>
      <c r="AK18" s="1058">
        <f>VLOOKUP(A18,'[1]Pay sheet-APRIL- 2022'!$C$4:$AF$140,24,0)</f>
        <v>0</v>
      </c>
      <c r="AL18" s="1058">
        <f>VLOOKUP(A18,'[1]Pay sheet-APRIL- 2022'!$C$4:$AF$140,27,0)</f>
        <v>391.787848</v>
      </c>
      <c r="AM18" s="656"/>
      <c r="AN18" s="813">
        <f t="shared" si="3"/>
        <v>2391.7878479999999</v>
      </c>
      <c r="AO18" s="660">
        <f t="shared" si="4"/>
        <v>95884.497571999993</v>
      </c>
      <c r="AP18" s="1005">
        <v>44686</v>
      </c>
      <c r="AQ18" s="574" t="s">
        <v>742</v>
      </c>
      <c r="AR18" s="628">
        <v>39203094887</v>
      </c>
      <c r="AS18" s="574"/>
      <c r="AT18" s="674">
        <v>75</v>
      </c>
      <c r="AU18" s="571">
        <v>3</v>
      </c>
      <c r="AV18" s="1090"/>
      <c r="AW18" s="1090"/>
      <c r="AX18" s="1090"/>
      <c r="AY18" s="1090"/>
      <c r="AZ18" s="1090"/>
      <c r="BA18" s="1090"/>
      <c r="BB18" s="1090"/>
      <c r="BC18" s="1090"/>
      <c r="BD18" s="1090"/>
      <c r="BE18" s="1090"/>
      <c r="BF18" s="1090"/>
      <c r="BG18" s="1090"/>
      <c r="BH18" s="1090"/>
      <c r="BI18" s="1090"/>
      <c r="BJ18" s="1090"/>
      <c r="BK18" s="1090"/>
      <c r="BL18" s="1090"/>
    </row>
    <row r="19" spans="1:64" s="563" customFormat="1" ht="47.25" customHeight="1">
      <c r="A19" s="836" t="s">
        <v>997</v>
      </c>
      <c r="B19" s="1026" t="s">
        <v>841</v>
      </c>
      <c r="C19" s="712">
        <v>29937</v>
      </c>
      <c r="D19" s="925" t="s">
        <v>208</v>
      </c>
      <c r="E19" s="571" t="s">
        <v>914</v>
      </c>
      <c r="F19" s="665" t="s">
        <v>846</v>
      </c>
      <c r="G19" s="562" t="s">
        <v>918</v>
      </c>
      <c r="H19" s="562" t="s">
        <v>918</v>
      </c>
      <c r="I19" s="570">
        <v>44378</v>
      </c>
      <c r="J19" s="571" t="s">
        <v>840</v>
      </c>
      <c r="K19" s="571"/>
      <c r="L19" s="571"/>
      <c r="M19" s="571"/>
      <c r="N19" s="649" t="s">
        <v>921</v>
      </c>
      <c r="O19" s="562" t="s">
        <v>37</v>
      </c>
      <c r="P19" s="537" t="str">
        <f t="shared" si="0"/>
        <v xml:space="preserve">Srikanth Thota   </v>
      </c>
      <c r="Q19" s="653">
        <f>VLOOKUP(A19,'[1]Pay sheet-APRIL- 2022'!$C$4:$AF$140,10,0)</f>
        <v>30</v>
      </c>
      <c r="R19" s="566" t="s">
        <v>37</v>
      </c>
      <c r="S19" s="1042">
        <v>103451</v>
      </c>
      <c r="T19" s="1054">
        <f>VLOOKUP(A19,'[1]Pay sheet-APRIL- 2022'!$C$4:$AF$140,11,0)</f>
        <v>62070.6</v>
      </c>
      <c r="U19" s="1051">
        <v>0</v>
      </c>
      <c r="V19" s="567">
        <v>0</v>
      </c>
      <c r="W19" s="568">
        <v>0</v>
      </c>
      <c r="X19" s="653">
        <f>VLOOKUP(A19,'[1]Pay sheet-APRIL- 2022'!$C$4:$AF$140,12,0)</f>
        <v>24828.240000000002</v>
      </c>
      <c r="Y19" s="653">
        <f>VLOOKUP(A19,'[1]Pay sheet-APRIL- 2022'!$C$4:$AF$140,13,0)</f>
        <v>2083</v>
      </c>
      <c r="Z19" s="653">
        <f>VLOOKUP(A19,'[1]Pay sheet-APRIL- 2022'!$C$4:$AF$140,14,0)</f>
        <v>2083</v>
      </c>
      <c r="AA19" s="653">
        <f>VLOOKUP(A19,'[1]Pay sheet-APRIL- 2022'!$C$4:$AF$140,15,0)</f>
        <v>12499.160000000003</v>
      </c>
      <c r="AB19" s="842">
        <f t="shared" si="1"/>
        <v>103564</v>
      </c>
      <c r="AC19" s="1058">
        <f>VLOOKUP(A19,'[1]Pay sheet-APRIL- 2022'!$C$4:$AF$140,18,0)</f>
        <v>1554.6089999999999</v>
      </c>
      <c r="AD19" s="1058">
        <f>VLOOKUP(A19,'[1]Pay sheet-APRIL- 2022'!$C$4:$AF$140,19,0)</f>
        <v>2985.5958599999994</v>
      </c>
      <c r="AE19" s="1058">
        <f>VLOOKUP(A19,'[1]Pay sheet-APRIL- 2022'!$C$4:$AF$140,20,0)</f>
        <v>5172.55</v>
      </c>
      <c r="AF19" s="843">
        <f>VLOOKUP(A19,'[2]Pay sheet-MARCH- 2022'!$C$4:$AF$150,22,0)</f>
        <v>0</v>
      </c>
      <c r="AG19" s="845">
        <f t="shared" si="2"/>
        <v>113276.75486</v>
      </c>
      <c r="AH19" s="844">
        <v>0</v>
      </c>
      <c r="AI19" s="1058">
        <f>VLOOKUP(A19,'[1]Pay sheet-APRIL- 2022'!$C$4:$AF$140,26,0)</f>
        <v>1800</v>
      </c>
      <c r="AJ19" s="1058">
        <f>VLOOKUP(A19,'[1]Pay sheet-APRIL- 2022'!$C$4:$AF$140,25,0)</f>
        <v>200</v>
      </c>
      <c r="AK19" s="1058">
        <f>VLOOKUP(A19,'[1]Pay sheet-APRIL- 2022'!$C$4:$AF$140,24,0)</f>
        <v>0</v>
      </c>
      <c r="AL19" s="1058">
        <f>VLOOKUP(A19,'[1]Pay sheet-APRIL- 2022'!$C$4:$AF$140,27,0)</f>
        <v>377</v>
      </c>
      <c r="AM19" s="657"/>
      <c r="AN19" s="813">
        <f t="shared" si="3"/>
        <v>2377</v>
      </c>
      <c r="AO19" s="660">
        <f t="shared" si="4"/>
        <v>110899.75486</v>
      </c>
      <c r="AP19" s="1005">
        <v>44686</v>
      </c>
      <c r="AQ19" s="587" t="s">
        <v>909</v>
      </c>
      <c r="AR19" s="629" t="s">
        <v>910</v>
      </c>
      <c r="AS19" s="562"/>
      <c r="AT19" s="675">
        <v>80</v>
      </c>
      <c r="AU19" s="571">
        <v>4</v>
      </c>
      <c r="AV19" s="1089"/>
      <c r="AW19" s="1089"/>
      <c r="AX19" s="1089"/>
      <c r="AY19" s="1089"/>
      <c r="AZ19" s="1089"/>
      <c r="BA19" s="1089"/>
      <c r="BB19" s="1089"/>
      <c r="BC19" s="1089"/>
      <c r="BD19" s="1089"/>
      <c r="BE19" s="1089"/>
      <c r="BF19" s="1089"/>
      <c r="BG19" s="1089"/>
      <c r="BH19" s="1089"/>
      <c r="BI19" s="1089"/>
      <c r="BJ19" s="1089"/>
      <c r="BK19" s="1089"/>
      <c r="BL19" s="1089"/>
    </row>
    <row r="20" spans="1:64" s="563" customFormat="1" ht="47.25" customHeight="1">
      <c r="A20" s="836" t="s">
        <v>998</v>
      </c>
      <c r="B20" s="1026" t="s">
        <v>842</v>
      </c>
      <c r="C20" s="712">
        <v>34305</v>
      </c>
      <c r="D20" s="925" t="s">
        <v>208</v>
      </c>
      <c r="E20" s="571" t="s">
        <v>915</v>
      </c>
      <c r="F20" s="665" t="s">
        <v>847</v>
      </c>
      <c r="G20" s="563" t="s">
        <v>919</v>
      </c>
      <c r="H20" s="563" t="s">
        <v>919</v>
      </c>
      <c r="I20" s="570">
        <v>44388</v>
      </c>
      <c r="J20" s="571" t="s">
        <v>840</v>
      </c>
      <c r="K20" s="571"/>
      <c r="L20" s="571"/>
      <c r="M20" s="571"/>
      <c r="N20" s="649" t="s">
        <v>922</v>
      </c>
      <c r="O20" s="562" t="s">
        <v>37</v>
      </c>
      <c r="P20" s="537" t="str">
        <f t="shared" si="0"/>
        <v xml:space="preserve">Shekhar Panchal  </v>
      </c>
      <c r="Q20" s="653">
        <f>VLOOKUP(A20,'[1]Pay sheet-APRIL- 2022'!$C$4:$AF$140,10,0)</f>
        <v>30</v>
      </c>
      <c r="R20" s="566" t="s">
        <v>37</v>
      </c>
      <c r="S20" s="1042">
        <v>66374</v>
      </c>
      <c r="T20" s="1054">
        <f>VLOOKUP(A20,'[1]Pay sheet-APRIL- 2022'!$C$4:$AF$140,11,0)</f>
        <v>39824.400000000001</v>
      </c>
      <c r="U20" s="1051">
        <v>0</v>
      </c>
      <c r="V20" s="567">
        <v>0</v>
      </c>
      <c r="W20" s="568">
        <v>0</v>
      </c>
      <c r="X20" s="653">
        <f>VLOOKUP(A20,'[1]Pay sheet-APRIL- 2022'!$C$4:$AF$140,12,0)</f>
        <v>15929.760000000002</v>
      </c>
      <c r="Y20" s="653">
        <f>VLOOKUP(A20,'[1]Pay sheet-APRIL- 2022'!$C$4:$AF$140,13,0)</f>
        <v>2083</v>
      </c>
      <c r="Z20" s="653">
        <f>VLOOKUP(A20,'[1]Pay sheet-APRIL- 2022'!$C$4:$AF$140,14,0)</f>
        <v>2083</v>
      </c>
      <c r="AA20" s="653">
        <f>VLOOKUP(A20,'[1]Pay sheet-APRIL- 2022'!$C$4:$AF$140,15,0)</f>
        <v>6566.8399999999965</v>
      </c>
      <c r="AB20" s="842">
        <f t="shared" si="1"/>
        <v>66487</v>
      </c>
      <c r="AC20" s="1058">
        <f>VLOOKUP(A20,'[1]Pay sheet-APRIL- 2022'!$C$4:$AF$140,18,0)</f>
        <v>1554.6089999999999</v>
      </c>
      <c r="AD20" s="1058">
        <f>VLOOKUP(A20,'[1]Pay sheet-APRIL- 2022'!$C$4:$AF$140,19,0)</f>
        <v>1915.5536400000001</v>
      </c>
      <c r="AE20" s="1058">
        <f>VLOOKUP(A20,'[1]Pay sheet-APRIL- 2022'!$C$4:$AF$140,20,0)</f>
        <v>3318.7000000000003</v>
      </c>
      <c r="AF20" s="843">
        <f>VLOOKUP(A20,'[2]Pay sheet-MARCH- 2022'!$C$4:$AF$150,22,0)</f>
        <v>0</v>
      </c>
      <c r="AG20" s="845">
        <f t="shared" si="2"/>
        <v>73275.862639999992</v>
      </c>
      <c r="AH20" s="844">
        <v>0</v>
      </c>
      <c r="AI20" s="1058">
        <f>VLOOKUP(A20,'[1]Pay sheet-APRIL- 2022'!$C$4:$AF$140,26,0)</f>
        <v>1800</v>
      </c>
      <c r="AJ20" s="1058">
        <f>VLOOKUP(A20,'[1]Pay sheet-APRIL- 2022'!$C$4:$AF$140,25,0)</f>
        <v>200</v>
      </c>
      <c r="AK20" s="1058">
        <f>VLOOKUP(A20,'[1]Pay sheet-APRIL- 2022'!$C$4:$AF$140,24,0)</f>
        <v>0</v>
      </c>
      <c r="AL20" s="1058">
        <f>VLOOKUP(A20,'[1]Pay sheet-APRIL- 2022'!$C$4:$AF$140,27,0)</f>
        <v>336</v>
      </c>
      <c r="AM20" s="655"/>
      <c r="AN20" s="813">
        <f t="shared" si="3"/>
        <v>2336</v>
      </c>
      <c r="AO20" s="660">
        <f t="shared" si="4"/>
        <v>70939.862639999992</v>
      </c>
      <c r="AP20" s="1005">
        <v>44686</v>
      </c>
      <c r="AQ20" s="587" t="s">
        <v>909</v>
      </c>
      <c r="AR20" s="630" t="s">
        <v>911</v>
      </c>
      <c r="AT20" s="675">
        <v>81</v>
      </c>
      <c r="AU20" s="571">
        <v>5</v>
      </c>
      <c r="AV20" s="1089"/>
      <c r="AW20" s="1089"/>
      <c r="AX20" s="1089"/>
      <c r="AY20" s="1089"/>
      <c r="AZ20" s="1089"/>
      <c r="BA20" s="1089"/>
      <c r="BB20" s="1089"/>
      <c r="BC20" s="1089"/>
      <c r="BD20" s="1089"/>
      <c r="BE20" s="1089"/>
      <c r="BF20" s="1089"/>
      <c r="BG20" s="1089"/>
      <c r="BH20" s="1089"/>
      <c r="BI20" s="1089"/>
      <c r="BJ20" s="1089"/>
      <c r="BK20" s="1089"/>
      <c r="BL20" s="1089"/>
    </row>
    <row r="21" spans="1:64" s="588" customFormat="1" ht="47.25" customHeight="1">
      <c r="A21" s="836" t="s">
        <v>999</v>
      </c>
      <c r="B21" s="1028" t="s">
        <v>844</v>
      </c>
      <c r="C21" s="713">
        <v>29958</v>
      </c>
      <c r="D21" s="926" t="s">
        <v>208</v>
      </c>
      <c r="E21" s="444" t="s">
        <v>926</v>
      </c>
      <c r="F21" s="665" t="s">
        <v>845</v>
      </c>
      <c r="G21" s="444" t="s">
        <v>927</v>
      </c>
      <c r="H21" s="444" t="s">
        <v>928</v>
      </c>
      <c r="I21" s="578">
        <v>44431</v>
      </c>
      <c r="J21" s="576" t="s">
        <v>840</v>
      </c>
      <c r="K21" s="576"/>
      <c r="L21" s="576"/>
      <c r="M21" s="576"/>
      <c r="N21" s="651" t="s">
        <v>923</v>
      </c>
      <c r="O21" s="575" t="s">
        <v>37</v>
      </c>
      <c r="P21" s="537" t="str">
        <f t="shared" si="0"/>
        <v>Gangadhar Yarabham</v>
      </c>
      <c r="Q21" s="653">
        <f>VLOOKUP(A21,'[1]Pay sheet-APRIL- 2022'!$C$4:$AF$140,10,0)</f>
        <v>30</v>
      </c>
      <c r="R21" s="577" t="s">
        <v>37</v>
      </c>
      <c r="S21" s="1042">
        <v>84912</v>
      </c>
      <c r="T21" s="1054">
        <f>VLOOKUP(A21,'[1]Pay sheet-APRIL- 2022'!$C$4:$AF$140,11,0)</f>
        <v>50947.199999999997</v>
      </c>
      <c r="U21" s="1051">
        <v>0</v>
      </c>
      <c r="V21" s="567">
        <v>0</v>
      </c>
      <c r="W21" s="568">
        <v>0</v>
      </c>
      <c r="X21" s="653">
        <f>VLOOKUP(A21,'[1]Pay sheet-APRIL- 2022'!$C$4:$AF$140,12,0)</f>
        <v>20378.88</v>
      </c>
      <c r="Y21" s="653">
        <f>VLOOKUP(A21,'[1]Pay sheet-APRIL- 2022'!$C$4:$AF$140,13,0)</f>
        <v>2083</v>
      </c>
      <c r="Z21" s="653">
        <f>VLOOKUP(A21,'[1]Pay sheet-APRIL- 2022'!$C$4:$AF$140,14,0)</f>
        <v>2083</v>
      </c>
      <c r="AA21" s="653">
        <f>VLOOKUP(A21,'[1]Pay sheet-APRIL- 2022'!$C$4:$AF$140,15,0)</f>
        <v>9532.9199999999983</v>
      </c>
      <c r="AB21" s="842">
        <f t="shared" si="1"/>
        <v>85025</v>
      </c>
      <c r="AC21" s="1058">
        <f>VLOOKUP(A21,'[1]Pay sheet-APRIL- 2022'!$C$4:$AF$140,18,0)</f>
        <v>1554.6089999999999</v>
      </c>
      <c r="AD21" s="1058">
        <f>VLOOKUP(A21,'[1]Pay sheet-APRIL- 2022'!$C$4:$AF$140,19,0)</f>
        <v>2450.5603199999996</v>
      </c>
      <c r="AE21" s="1058">
        <f>VLOOKUP(A21,'[1]Pay sheet-APRIL- 2022'!$C$4:$AF$140,20,0)</f>
        <v>4245.5999999999995</v>
      </c>
      <c r="AF21" s="843">
        <f>VLOOKUP(A21,'[2]Pay sheet-MARCH- 2022'!$C$4:$AF$150,22,0)</f>
        <v>0</v>
      </c>
      <c r="AG21" s="845">
        <f t="shared" si="2"/>
        <v>93275.769320000007</v>
      </c>
      <c r="AH21" s="844">
        <v>0</v>
      </c>
      <c r="AI21" s="1058">
        <f>VLOOKUP(A21,'[1]Pay sheet-APRIL- 2022'!$C$4:$AF$140,26,0)</f>
        <v>1800</v>
      </c>
      <c r="AJ21" s="1058">
        <f>VLOOKUP(A21,'[1]Pay sheet-APRIL- 2022'!$C$4:$AF$140,25,0)</f>
        <v>200</v>
      </c>
      <c r="AK21" s="1058">
        <f>VLOOKUP(A21,'[1]Pay sheet-APRIL- 2022'!$C$4:$AF$140,24,0)</f>
        <v>0</v>
      </c>
      <c r="AL21" s="1058">
        <f>VLOOKUP(A21,'[1]Pay sheet-APRIL- 2022'!$C$4:$AF$140,27,0)</f>
        <v>377</v>
      </c>
      <c r="AM21" s="658">
        <v>0</v>
      </c>
      <c r="AN21" s="813">
        <f t="shared" si="3"/>
        <v>2377</v>
      </c>
      <c r="AO21" s="660">
        <f t="shared" si="4"/>
        <v>90898.769320000007</v>
      </c>
      <c r="AP21" s="1005">
        <v>44686</v>
      </c>
      <c r="AQ21" s="588" t="s">
        <v>930</v>
      </c>
      <c r="AR21" s="631" t="s">
        <v>929</v>
      </c>
      <c r="AT21" s="675">
        <v>83</v>
      </c>
      <c r="AU21" s="571">
        <v>6</v>
      </c>
      <c r="AV21" s="1091"/>
      <c r="AW21" s="1091"/>
      <c r="AX21" s="1091"/>
      <c r="AY21" s="1091"/>
      <c r="AZ21" s="1091"/>
      <c r="BA21" s="1091"/>
      <c r="BB21" s="1091"/>
      <c r="BC21" s="1091"/>
      <c r="BD21" s="1091"/>
      <c r="BE21" s="1091"/>
      <c r="BF21" s="1091"/>
      <c r="BG21" s="1091"/>
      <c r="BH21" s="1091"/>
      <c r="BI21" s="1091"/>
      <c r="BJ21" s="1091"/>
      <c r="BK21" s="1091"/>
      <c r="BL21" s="1091"/>
    </row>
    <row r="22" spans="1:64" ht="47.25" customHeight="1">
      <c r="A22" s="836" t="s">
        <v>1010</v>
      </c>
      <c r="B22" s="1029" t="s">
        <v>1009</v>
      </c>
      <c r="C22" s="816" t="s">
        <v>1032</v>
      </c>
      <c r="D22" s="928" t="s">
        <v>1013</v>
      </c>
      <c r="E22" s="849" t="s">
        <v>1031</v>
      </c>
      <c r="F22" s="665" t="s">
        <v>1011</v>
      </c>
      <c r="G22" s="817" t="s">
        <v>1033</v>
      </c>
      <c r="H22" s="818" t="s">
        <v>1033</v>
      </c>
      <c r="I22" s="717">
        <v>44529</v>
      </c>
      <c r="J22" s="571" t="s">
        <v>840</v>
      </c>
      <c r="K22" s="444"/>
      <c r="L22" s="444"/>
      <c r="M22" s="444"/>
      <c r="N22" s="715" t="s">
        <v>1021</v>
      </c>
      <c r="O22" s="562" t="s">
        <v>37</v>
      </c>
      <c r="P22" s="716" t="s">
        <v>1009</v>
      </c>
      <c r="Q22" s="653">
        <f>VLOOKUP(A22,'[1]Pay sheet-APRIL- 2022'!$C$4:$AF$140,10,0)</f>
        <v>30</v>
      </c>
      <c r="R22" s="566" t="s">
        <v>37</v>
      </c>
      <c r="S22" s="1043">
        <v>108085</v>
      </c>
      <c r="T22" s="1054">
        <f>VLOOKUP(A22,'[1]Pay sheet-APRIL- 2022'!$C$4:$AF$140,11,0)</f>
        <v>64851</v>
      </c>
      <c r="U22" s="1051">
        <v>0</v>
      </c>
      <c r="V22" s="567">
        <v>0</v>
      </c>
      <c r="W22" s="568">
        <v>0</v>
      </c>
      <c r="X22" s="653">
        <f>VLOOKUP(A22,'[1]Pay sheet-APRIL- 2022'!$C$4:$AF$140,12,0)</f>
        <v>25940.400000000001</v>
      </c>
      <c r="Y22" s="653">
        <f>VLOOKUP(A22,'[1]Pay sheet-APRIL- 2022'!$C$4:$AF$140,13,0)</f>
        <v>2083</v>
      </c>
      <c r="Z22" s="653">
        <f>VLOOKUP(A22,'[1]Pay sheet-APRIL- 2022'!$C$4:$AF$140,14,0)</f>
        <v>2083</v>
      </c>
      <c r="AA22" s="653">
        <f>VLOOKUP(A22,'[1]Pay sheet-APRIL- 2022'!$C$4:$AF$140,15,0)</f>
        <v>13240.600000000006</v>
      </c>
      <c r="AB22" s="842">
        <f t="shared" si="1"/>
        <v>108198</v>
      </c>
      <c r="AC22" s="1058">
        <f>VLOOKUP(A22,'[1]Pay sheet-APRIL- 2022'!$C$4:$AF$140,18,0)</f>
        <v>1554.6089999999999</v>
      </c>
      <c r="AD22" s="1058">
        <f>VLOOKUP(A22,'[1]Pay sheet-APRIL- 2022'!$C$4:$AF$140,19,0)</f>
        <v>3119.3330999999998</v>
      </c>
      <c r="AE22" s="1058">
        <f>VLOOKUP(A22,'[1]Pay sheet-APRIL- 2022'!$C$4:$AF$140,20,0)</f>
        <v>5404.25</v>
      </c>
      <c r="AF22" s="843">
        <f>VLOOKUP(A22,'[2]Pay sheet-MARCH- 2022'!$C$4:$AF$150,22,0)</f>
        <v>0</v>
      </c>
      <c r="AG22" s="845">
        <f t="shared" si="2"/>
        <v>118276.1921</v>
      </c>
      <c r="AH22" s="844">
        <v>0</v>
      </c>
      <c r="AI22" s="1058">
        <f>VLOOKUP(A22,'[1]Pay sheet-APRIL- 2022'!$C$4:$AF$140,26,0)</f>
        <v>1800</v>
      </c>
      <c r="AJ22" s="1058">
        <f>VLOOKUP(A22,'[1]Pay sheet-APRIL- 2022'!$C$4:$AF$140,25,0)</f>
        <v>200</v>
      </c>
      <c r="AK22" s="1058">
        <f>VLOOKUP(A22,'[1]Pay sheet-APRIL- 2022'!$C$4:$AF$140,24,0)</f>
        <v>0</v>
      </c>
      <c r="AL22" s="1058">
        <f>VLOOKUP(A22,'[1]Pay sheet-APRIL- 2022'!$C$4:$AF$140,27,0)</f>
        <v>252</v>
      </c>
      <c r="AM22" s="659"/>
      <c r="AN22" s="813">
        <f t="shared" si="3"/>
        <v>2252</v>
      </c>
      <c r="AO22" s="660">
        <f t="shared" si="4"/>
        <v>116024.1921</v>
      </c>
      <c r="AP22" s="1005">
        <v>44686</v>
      </c>
      <c r="AQ22" s="444" t="s">
        <v>912</v>
      </c>
      <c r="AR22" s="444" t="s">
        <v>1012</v>
      </c>
      <c r="AS22" s="444"/>
      <c r="AT22" s="718">
        <v>89</v>
      </c>
      <c r="AU22" s="571">
        <v>7</v>
      </c>
    </row>
    <row r="23" spans="1:64" ht="47.25" customHeight="1">
      <c r="A23" s="838" t="s">
        <v>1017</v>
      </c>
      <c r="B23" s="1030" t="s">
        <v>1015</v>
      </c>
      <c r="C23" s="820" t="s">
        <v>1035</v>
      </c>
      <c r="D23" s="927" t="s">
        <v>822</v>
      </c>
      <c r="E23" s="850" t="s">
        <v>1034</v>
      </c>
      <c r="F23" s="821" t="s">
        <v>1022</v>
      </c>
      <c r="G23" s="819" t="s">
        <v>1036</v>
      </c>
      <c r="H23" s="819" t="s">
        <v>1036</v>
      </c>
      <c r="I23" s="714">
        <v>44564</v>
      </c>
      <c r="J23" s="571" t="s">
        <v>840</v>
      </c>
      <c r="K23" s="444"/>
      <c r="L23" s="444"/>
      <c r="M23" s="444"/>
      <c r="N23" s="715" t="s">
        <v>1023</v>
      </c>
      <c r="O23" s="562" t="s">
        <v>37</v>
      </c>
      <c r="P23" s="666" t="s">
        <v>1015</v>
      </c>
      <c r="Q23" s="653">
        <f>VLOOKUP(A23,'[1]Pay sheet-APRIL- 2022'!$C$4:$AF$140,10,0)</f>
        <v>30</v>
      </c>
      <c r="R23" s="566" t="s">
        <v>37</v>
      </c>
      <c r="S23" s="1044">
        <v>140526</v>
      </c>
      <c r="T23" s="1054">
        <f>VLOOKUP(A23,'[1]Pay sheet-APRIL- 2022'!$C$4:$AF$140,11,0)</f>
        <v>84315.6</v>
      </c>
      <c r="U23" s="1051">
        <v>0</v>
      </c>
      <c r="V23" s="567">
        <v>0</v>
      </c>
      <c r="W23" s="568">
        <v>0</v>
      </c>
      <c r="X23" s="653">
        <f>VLOOKUP(A23,'[1]Pay sheet-APRIL- 2022'!$C$4:$AF$140,12,0)</f>
        <v>33726.240000000005</v>
      </c>
      <c r="Y23" s="653">
        <f>VLOOKUP(A23,'[1]Pay sheet-APRIL- 2022'!$C$4:$AF$140,13,0)</f>
        <v>2083</v>
      </c>
      <c r="Z23" s="653">
        <f>VLOOKUP(A23,'[1]Pay sheet-APRIL- 2022'!$C$4:$AF$140,14,0)</f>
        <v>2083</v>
      </c>
      <c r="AA23" s="653">
        <f>VLOOKUP(A23,'[1]Pay sheet-APRIL- 2022'!$C$4:$AF$140,15,0)</f>
        <v>18431.159999999989</v>
      </c>
      <c r="AB23" s="842">
        <f t="shared" si="1"/>
        <v>140639</v>
      </c>
      <c r="AC23" s="1058">
        <f>VLOOKUP(A23,'[1]Pay sheet-APRIL- 2022'!$C$4:$AF$140,18,0)</f>
        <v>1554.6089999999999</v>
      </c>
      <c r="AD23" s="1058">
        <f>VLOOKUP(A23,'[1]Pay sheet-APRIL- 2022'!$C$4:$AF$140,19,0)</f>
        <v>4055.5803600000004</v>
      </c>
      <c r="AE23" s="1058">
        <f>VLOOKUP(A23,'[1]Pay sheet-APRIL- 2022'!$C$4:$AF$140,20,0)</f>
        <v>7026.3</v>
      </c>
      <c r="AF23" s="843">
        <f>VLOOKUP(A23,'[2]Pay sheet-MARCH- 2022'!$C$4:$AF$150,22,0)</f>
        <v>0</v>
      </c>
      <c r="AG23" s="845">
        <f t="shared" si="2"/>
        <v>153275.48935999998</v>
      </c>
      <c r="AH23" s="844">
        <v>0</v>
      </c>
      <c r="AI23" s="1058">
        <f>VLOOKUP(A23,'[1]Pay sheet-APRIL- 2022'!$C$4:$AF$140,26,0)</f>
        <v>1800</v>
      </c>
      <c r="AJ23" s="1058">
        <f>VLOOKUP(A23,'[1]Pay sheet-APRIL- 2022'!$C$4:$AF$140,25,0)</f>
        <v>200</v>
      </c>
      <c r="AK23" s="1058">
        <f>VLOOKUP(A23,'[1]Pay sheet-APRIL- 2022'!$C$4:$AF$140,24,0)</f>
        <v>0</v>
      </c>
      <c r="AL23" s="1058">
        <f>VLOOKUP(A23,'[1]Pay sheet-APRIL- 2022'!$C$4:$AF$140,27,0)</f>
        <v>283</v>
      </c>
      <c r="AM23" s="659"/>
      <c r="AN23" s="813">
        <f t="shared" si="3"/>
        <v>2283</v>
      </c>
      <c r="AO23" s="1031">
        <f t="shared" si="4"/>
        <v>150992.48935999998</v>
      </c>
      <c r="AP23" s="1005">
        <v>44686</v>
      </c>
      <c r="AQ23" s="444" t="s">
        <v>1026</v>
      </c>
      <c r="AR23" s="719" t="s">
        <v>1027</v>
      </c>
      <c r="AS23" s="444"/>
      <c r="AT23" s="579">
        <v>90</v>
      </c>
      <c r="AU23" s="571">
        <v>8</v>
      </c>
    </row>
    <row r="24" spans="1:64" ht="47.25" customHeight="1">
      <c r="A24" s="838" t="s">
        <v>1018</v>
      </c>
      <c r="B24" s="1030" t="s">
        <v>1016</v>
      </c>
      <c r="C24" s="823" t="s">
        <v>1037</v>
      </c>
      <c r="D24" s="927" t="s">
        <v>1013</v>
      </c>
      <c r="E24" s="824" t="s">
        <v>1038</v>
      </c>
      <c r="F24" s="700" t="s">
        <v>666</v>
      </c>
      <c r="G24" s="824" t="s">
        <v>1040</v>
      </c>
      <c r="H24" s="824" t="s">
        <v>1039</v>
      </c>
      <c r="I24" s="714">
        <v>44571</v>
      </c>
      <c r="J24" s="571" t="s">
        <v>840</v>
      </c>
      <c r="K24" s="444"/>
      <c r="L24" s="444"/>
      <c r="M24" s="444"/>
      <c r="N24" s="715" t="s">
        <v>1028</v>
      </c>
      <c r="O24" s="562" t="s">
        <v>37</v>
      </c>
      <c r="P24" s="666" t="s">
        <v>1016</v>
      </c>
      <c r="Q24" s="653">
        <f>VLOOKUP(A24,'[1]Pay sheet-APRIL- 2022'!$C$4:$AF$140,10,0)</f>
        <v>29</v>
      </c>
      <c r="R24" s="566" t="s">
        <v>37</v>
      </c>
      <c r="S24" s="1045">
        <v>98816</v>
      </c>
      <c r="T24" s="1054">
        <f>VLOOKUP(A24,'[1]Pay sheet-APRIL- 2022'!$C$4:$AF$140,11,0)</f>
        <v>57313.279999999999</v>
      </c>
      <c r="U24" s="1051">
        <v>0</v>
      </c>
      <c r="V24" s="567">
        <v>0</v>
      </c>
      <c r="W24" s="568">
        <v>0</v>
      </c>
      <c r="X24" s="653">
        <f>VLOOKUP(A24,'[1]Pay sheet-APRIL- 2022'!$C$4:$AF$140,12,0)</f>
        <v>22925.312000000002</v>
      </c>
      <c r="Y24" s="653">
        <f>VLOOKUP(A24,'[1]Pay sheet-APRIL- 2022'!$C$4:$AF$140,13,0)</f>
        <v>2014</v>
      </c>
      <c r="Z24" s="653">
        <f>VLOOKUP(A24,'[1]Pay sheet-APRIL- 2022'!$C$4:$AF$140,14,0)</f>
        <v>2014</v>
      </c>
      <c r="AA24" s="653">
        <f>VLOOKUP(A24,'[1]Pay sheet-APRIL- 2022'!$C$4:$AF$140,15,0)</f>
        <v>11368.541333333327</v>
      </c>
      <c r="AB24" s="842">
        <f t="shared" si="1"/>
        <v>95635.133333333331</v>
      </c>
      <c r="AC24" s="1058">
        <f>VLOOKUP(A24,'[1]Pay sheet-APRIL- 2022'!$C$4:$AF$140,18,0)</f>
        <v>1554.6089999999999</v>
      </c>
      <c r="AD24" s="1058">
        <f>VLOOKUP(A24,'[1]Pay sheet-APRIL- 2022'!$C$4:$AF$140,19,0)</f>
        <v>2756.7687679999999</v>
      </c>
      <c r="AE24" s="1058">
        <f>VLOOKUP(A24,'[1]Pay sheet-APRIL- 2022'!$C$4:$AF$140,20,0)</f>
        <v>4776.1066666666666</v>
      </c>
      <c r="AF24" s="843">
        <f>VLOOKUP(A24,'[2]Pay sheet-MARCH- 2022'!$C$4:$AF$150,22,0)</f>
        <v>0</v>
      </c>
      <c r="AG24" s="845">
        <f t="shared" si="2"/>
        <v>104722.617768</v>
      </c>
      <c r="AH24" s="844">
        <v>0</v>
      </c>
      <c r="AI24" s="1058">
        <f>VLOOKUP(A24,'[1]Pay sheet-APRIL- 2022'!$C$4:$AF$140,26,0)</f>
        <v>1800</v>
      </c>
      <c r="AJ24" s="1058">
        <f>VLOOKUP(A24,'[1]Pay sheet-APRIL- 2022'!$C$4:$AF$140,25,0)</f>
        <v>200</v>
      </c>
      <c r="AK24" s="1058">
        <f>VLOOKUP(A24,'[1]Pay sheet-APRIL- 2022'!$C$4:$AF$140,24,0)</f>
        <v>0</v>
      </c>
      <c r="AL24" s="1058">
        <f>VLOOKUP(A24,'[1]Pay sheet-APRIL- 2022'!$C$4:$AF$140,27,0)</f>
        <v>283</v>
      </c>
      <c r="AM24" s="659"/>
      <c r="AN24" s="813">
        <f t="shared" si="3"/>
        <v>2283</v>
      </c>
      <c r="AO24" s="660">
        <f t="shared" si="4"/>
        <v>102439.617768</v>
      </c>
      <c r="AP24" s="1005">
        <v>44686</v>
      </c>
      <c r="AQ24" s="444" t="s">
        <v>1024</v>
      </c>
      <c r="AR24" s="719" t="s">
        <v>1025</v>
      </c>
      <c r="AS24" s="444"/>
      <c r="AT24" s="579">
        <v>91</v>
      </c>
      <c r="AU24" s="571">
        <v>9</v>
      </c>
    </row>
    <row r="25" spans="1:64" ht="47.25" customHeight="1">
      <c r="A25" s="837" t="s">
        <v>1048</v>
      </c>
      <c r="B25" s="874" t="s">
        <v>1041</v>
      </c>
      <c r="C25" s="860">
        <v>35254</v>
      </c>
      <c r="D25" s="925" t="s">
        <v>1013</v>
      </c>
      <c r="E25" s="854" t="s">
        <v>1054</v>
      </c>
      <c r="F25" s="571" t="s">
        <v>1059</v>
      </c>
      <c r="G25" s="824" t="s">
        <v>1056</v>
      </c>
      <c r="H25" s="824" t="s">
        <v>1055</v>
      </c>
      <c r="I25" s="833">
        <v>44610</v>
      </c>
      <c r="J25" s="571" t="s">
        <v>840</v>
      </c>
      <c r="K25" s="444"/>
      <c r="L25" s="444"/>
      <c r="M25" s="444"/>
      <c r="N25" s="853" t="s">
        <v>1060</v>
      </c>
      <c r="O25" s="562" t="s">
        <v>37</v>
      </c>
      <c r="P25" s="841" t="s">
        <v>1041</v>
      </c>
      <c r="Q25" s="653">
        <f>VLOOKUP(A25,'[1]Pay sheet-APRIL- 2022'!$C$4:$AF$140,10,0)</f>
        <v>30</v>
      </c>
      <c r="R25" s="566" t="s">
        <v>37</v>
      </c>
      <c r="S25" s="1046">
        <v>75643</v>
      </c>
      <c r="T25" s="1054">
        <f>VLOOKUP(A25,'[1]Pay sheet-APRIL- 2022'!$C$4:$AF$140,11,0)</f>
        <v>45385.8</v>
      </c>
      <c r="U25" s="1051">
        <v>0</v>
      </c>
      <c r="V25" s="567">
        <v>0</v>
      </c>
      <c r="W25" s="568">
        <v>0</v>
      </c>
      <c r="X25" s="653">
        <f>VLOOKUP(A25,'[1]Pay sheet-APRIL- 2022'!$C$4:$AF$140,12,0)</f>
        <v>18154.320000000003</v>
      </c>
      <c r="Y25" s="653">
        <f>VLOOKUP(A25,'[1]Pay sheet-APRIL- 2022'!$C$4:$AF$140,13,0)</f>
        <v>2083</v>
      </c>
      <c r="Z25" s="653">
        <f>VLOOKUP(A25,'[1]Pay sheet-APRIL- 2022'!$C$4:$AF$140,14,0)</f>
        <v>2083</v>
      </c>
      <c r="AA25" s="653">
        <f>VLOOKUP(A25,'[1]Pay sheet-APRIL- 2022'!$C$4:$AF$140,15,0)</f>
        <v>8049.8799999999901</v>
      </c>
      <c r="AB25" s="842">
        <f t="shared" si="1"/>
        <v>75756</v>
      </c>
      <c r="AC25" s="1058">
        <f>VLOOKUP(A25,'[1]Pay sheet-APRIL- 2022'!$C$4:$AF$140,18,0)</f>
        <v>1554.6089999999999</v>
      </c>
      <c r="AD25" s="1058">
        <f>VLOOKUP(A25,'[1]Pay sheet-APRIL- 2022'!$C$4:$AF$140,19,0)</f>
        <v>2183.0569799999998</v>
      </c>
      <c r="AE25" s="1058">
        <f>VLOOKUP(A25,'[1]Pay sheet-APRIL- 2022'!$C$4:$AF$140,20,0)</f>
        <v>3782.15</v>
      </c>
      <c r="AF25" s="843">
        <f>VLOOKUP(A25,'[2]Pay sheet-MARCH- 2022'!$C$4:$AF$150,22,0)</f>
        <v>0</v>
      </c>
      <c r="AG25" s="845">
        <f t="shared" si="2"/>
        <v>83275.815979999985</v>
      </c>
      <c r="AH25" s="844">
        <v>0</v>
      </c>
      <c r="AI25" s="1058">
        <f>VLOOKUP(A25,'[1]Pay sheet-APRIL- 2022'!$C$4:$AF$140,26,0)</f>
        <v>1800</v>
      </c>
      <c r="AJ25" s="1058">
        <f>VLOOKUP(A25,'[1]Pay sheet-APRIL- 2022'!$C$4:$AF$140,25,0)</f>
        <v>200</v>
      </c>
      <c r="AK25" s="1058">
        <f>VLOOKUP(A25,'[1]Pay sheet-APRIL- 2022'!$C$4:$AF$140,24,0)</f>
        <v>0</v>
      </c>
      <c r="AL25" s="1058">
        <f>VLOOKUP(A25,'[1]Pay sheet-APRIL- 2022'!$C$4:$AF$140,27,0)</f>
        <v>283</v>
      </c>
      <c r="AM25" s="659"/>
      <c r="AN25" s="813">
        <f t="shared" si="3"/>
        <v>2283</v>
      </c>
      <c r="AO25" s="660">
        <f t="shared" si="4"/>
        <v>80992.815979999985</v>
      </c>
      <c r="AP25" s="1005">
        <v>44686</v>
      </c>
      <c r="AQ25" s="444" t="s">
        <v>742</v>
      </c>
      <c r="AR25" s="666">
        <v>39504382024</v>
      </c>
      <c r="AS25" s="444"/>
      <c r="AT25" s="1085">
        <v>92</v>
      </c>
      <c r="AU25" s="571">
        <v>10</v>
      </c>
    </row>
    <row r="26" spans="1:64" ht="47.25" customHeight="1">
      <c r="A26" s="836" t="s">
        <v>1049</v>
      </c>
      <c r="B26" s="874" t="s">
        <v>1042</v>
      </c>
      <c r="C26" s="860">
        <v>34838</v>
      </c>
      <c r="D26" s="925" t="s">
        <v>1013</v>
      </c>
      <c r="E26" s="855" t="s">
        <v>1057</v>
      </c>
      <c r="F26" s="571" t="s">
        <v>1061</v>
      </c>
      <c r="G26" s="855" t="s">
        <v>1058</v>
      </c>
      <c r="H26" s="855" t="s">
        <v>1058</v>
      </c>
      <c r="I26" s="833">
        <v>44615</v>
      </c>
      <c r="J26" s="571" t="s">
        <v>840</v>
      </c>
      <c r="K26" s="444"/>
      <c r="L26" s="444"/>
      <c r="M26" s="444"/>
      <c r="N26" s="853" t="s">
        <v>1062</v>
      </c>
      <c r="O26" s="562" t="s">
        <v>37</v>
      </c>
      <c r="P26" s="841" t="s">
        <v>1042</v>
      </c>
      <c r="Q26" s="653">
        <f>VLOOKUP(A26,'[1]Pay sheet-APRIL- 2022'!$C$4:$AF$140,10,0)</f>
        <v>30</v>
      </c>
      <c r="R26" s="566" t="s">
        <v>37</v>
      </c>
      <c r="S26" s="1046">
        <v>38567</v>
      </c>
      <c r="T26" s="1054">
        <f>VLOOKUP(A26,'[1]Pay sheet-APRIL- 2022'!$C$4:$AF$140,11,0)</f>
        <v>23140.2</v>
      </c>
      <c r="U26" s="1051">
        <v>0</v>
      </c>
      <c r="V26" s="567">
        <v>0</v>
      </c>
      <c r="W26" s="568">
        <v>0</v>
      </c>
      <c r="X26" s="653">
        <f>VLOOKUP(A26,'[1]Pay sheet-APRIL- 2022'!$C$4:$AF$140,12,0)</f>
        <v>9256.08</v>
      </c>
      <c r="Y26" s="653">
        <f>VLOOKUP(A26,'[1]Pay sheet-APRIL- 2022'!$C$4:$AF$140,13,0)</f>
        <v>2083</v>
      </c>
      <c r="Z26" s="653">
        <f>VLOOKUP(A26,'[1]Pay sheet-APRIL- 2022'!$C$4:$AF$140,14,0)</f>
        <v>2083</v>
      </c>
      <c r="AA26" s="653">
        <f>VLOOKUP(A26,'[1]Pay sheet-APRIL- 2022'!$C$4:$AF$140,15,0)</f>
        <v>2117.7200000000012</v>
      </c>
      <c r="AB26" s="842">
        <f t="shared" si="1"/>
        <v>38680</v>
      </c>
      <c r="AC26" s="1058">
        <f>VLOOKUP(A26,'[1]Pay sheet-APRIL- 2022'!$C$4:$AF$140,18,0)</f>
        <v>1554.6089999999999</v>
      </c>
      <c r="AD26" s="1058">
        <f>VLOOKUP(A26,'[1]Pay sheet-APRIL- 2022'!$C$4:$AF$140,19,0)</f>
        <v>1113.0436199999999</v>
      </c>
      <c r="AE26" s="1058">
        <f>VLOOKUP(A26,'[1]Pay sheet-APRIL- 2022'!$C$4:$AF$140,20,0)</f>
        <v>1928.3500000000001</v>
      </c>
      <c r="AF26" s="843">
        <f>VLOOKUP(A26,'[2]Pay sheet-MARCH- 2022'!$C$4:$AF$150,22,0)</f>
        <v>0</v>
      </c>
      <c r="AG26" s="845">
        <f t="shared" si="2"/>
        <v>43276.002619999992</v>
      </c>
      <c r="AH26" s="844">
        <v>0</v>
      </c>
      <c r="AI26" s="1058">
        <f>VLOOKUP(A26,'[1]Pay sheet-APRIL- 2022'!$C$4:$AF$140,26,0)</f>
        <v>1800</v>
      </c>
      <c r="AJ26" s="1058">
        <f>VLOOKUP(A26,'[1]Pay sheet-APRIL- 2022'!$C$4:$AF$140,25,0)</f>
        <v>200</v>
      </c>
      <c r="AK26" s="1058">
        <f>VLOOKUP(A26,'[1]Pay sheet-APRIL- 2022'!$C$4:$AF$140,24,0)</f>
        <v>0</v>
      </c>
      <c r="AL26" s="1058">
        <f>VLOOKUP(A26,'[1]Pay sheet-APRIL- 2022'!$C$4:$AF$140,27,0)</f>
        <v>283</v>
      </c>
      <c r="AM26" s="659"/>
      <c r="AN26" s="813">
        <f t="shared" si="3"/>
        <v>2283</v>
      </c>
      <c r="AO26" s="660">
        <f t="shared" si="4"/>
        <v>40993.002619999992</v>
      </c>
      <c r="AP26" s="1005">
        <v>44686</v>
      </c>
      <c r="AQ26" s="444" t="s">
        <v>1063</v>
      </c>
      <c r="AR26" s="666">
        <v>6108665097</v>
      </c>
      <c r="AS26" s="444"/>
      <c r="AT26" s="1086">
        <v>93</v>
      </c>
      <c r="AU26" s="571">
        <v>11</v>
      </c>
    </row>
    <row r="27" spans="1:64" ht="47.25" customHeight="1">
      <c r="A27" s="836" t="s">
        <v>1050</v>
      </c>
      <c r="B27" s="891" t="s">
        <v>1064</v>
      </c>
      <c r="C27" s="862">
        <v>35368</v>
      </c>
      <c r="D27" s="926" t="s">
        <v>208</v>
      </c>
      <c r="E27" s="856" t="s">
        <v>1065</v>
      </c>
      <c r="F27" s="576" t="s">
        <v>1061</v>
      </c>
      <c r="G27" s="856" t="s">
        <v>1066</v>
      </c>
      <c r="H27" s="856" t="s">
        <v>1066</v>
      </c>
      <c r="I27" s="863">
        <v>44615</v>
      </c>
      <c r="J27" s="576" t="s">
        <v>840</v>
      </c>
      <c r="K27" s="668"/>
      <c r="L27" s="668"/>
      <c r="M27" s="668"/>
      <c r="N27" s="864" t="s">
        <v>1067</v>
      </c>
      <c r="O27" s="575" t="s">
        <v>37</v>
      </c>
      <c r="P27" s="865" t="s">
        <v>1043</v>
      </c>
      <c r="Q27" s="653">
        <f>VLOOKUP(A27,'[1]Pay sheet-APRIL- 2022'!$C$4:$AF$140,10,0)</f>
        <v>30</v>
      </c>
      <c r="R27" s="577" t="s">
        <v>37</v>
      </c>
      <c r="S27" s="1047">
        <v>24636</v>
      </c>
      <c r="T27" s="1054">
        <f>VLOOKUP(A27,'[1]Pay sheet-APRIL- 2022'!$C$4:$AF$140,11,0)</f>
        <v>14781.6</v>
      </c>
      <c r="U27" s="1052">
        <v>0</v>
      </c>
      <c r="V27" s="866">
        <v>0</v>
      </c>
      <c r="W27" s="867">
        <v>0</v>
      </c>
      <c r="X27" s="653">
        <f>VLOOKUP(A27,'[1]Pay sheet-APRIL- 2022'!$C$4:$AF$140,12,0)</f>
        <v>5912.64</v>
      </c>
      <c r="Y27" s="653">
        <f>VLOOKUP(A27,'[1]Pay sheet-APRIL- 2022'!$C$4:$AF$140,13,0)</f>
        <v>1500</v>
      </c>
      <c r="Z27" s="653">
        <f>VLOOKUP(A27,'[1]Pay sheet-APRIL- 2022'!$C$4:$AF$140,14,0)</f>
        <v>1500</v>
      </c>
      <c r="AA27" s="653">
        <f>VLOOKUP(A27,'[1]Pay sheet-APRIL- 2022'!$C$4:$AF$140,15,0)</f>
        <v>1054.7599999999984</v>
      </c>
      <c r="AB27" s="842">
        <f t="shared" si="1"/>
        <v>24749</v>
      </c>
      <c r="AC27" s="1058">
        <f>VLOOKUP(A27,'[1]Pay sheet-APRIL- 2022'!$C$4:$AF$140,18,0)</f>
        <v>1554.6089999999999</v>
      </c>
      <c r="AD27" s="1058">
        <f>VLOOKUP(A27,'[1]Pay sheet-APRIL- 2022'!$C$4:$AF$140,19,0)</f>
        <v>710.99495999999999</v>
      </c>
      <c r="AE27" s="1058">
        <f>VLOOKUP(A27,'[1]Pay sheet-APRIL- 2022'!$C$4:$AF$140,20,0)</f>
        <v>1231.8</v>
      </c>
      <c r="AF27" s="843">
        <f>VLOOKUP(A27,'[2]Pay sheet-MARCH- 2022'!$C$4:$AF$150,22,0)</f>
        <v>0</v>
      </c>
      <c r="AG27" s="845">
        <f t="shared" si="2"/>
        <v>28246.40396</v>
      </c>
      <c r="AH27" s="844">
        <v>0</v>
      </c>
      <c r="AI27" s="1058">
        <f>VLOOKUP(A27,'[1]Pay sheet-APRIL- 2022'!$C$4:$AF$140,26,0)</f>
        <v>1774</v>
      </c>
      <c r="AJ27" s="1058">
        <f>VLOOKUP(A27,'[1]Pay sheet-APRIL- 2022'!$C$4:$AF$140,25,0)</f>
        <v>200</v>
      </c>
      <c r="AK27" s="1058">
        <f>VLOOKUP(A27,'[1]Pay sheet-APRIL- 2022'!$C$4:$AF$140,24,0)</f>
        <v>0</v>
      </c>
      <c r="AL27" s="1058">
        <f>VLOOKUP(A27,'[1]Pay sheet-APRIL- 2022'!$C$4:$AF$140,27,0)</f>
        <v>283</v>
      </c>
      <c r="AM27" s="1064"/>
      <c r="AN27" s="813">
        <f t="shared" si="3"/>
        <v>2257</v>
      </c>
      <c r="AO27" s="660">
        <f t="shared" si="4"/>
        <v>25989.40396</v>
      </c>
      <c r="AP27" s="1005">
        <v>44686</v>
      </c>
      <c r="AQ27" s="668" t="s">
        <v>742</v>
      </c>
      <c r="AR27" s="868">
        <v>34997967265</v>
      </c>
      <c r="AS27" s="668"/>
      <c r="AT27" s="1087">
        <v>94</v>
      </c>
      <c r="AU27" s="571">
        <v>12</v>
      </c>
    </row>
    <row r="28" spans="1:64" ht="47.25" customHeight="1">
      <c r="A28" s="837" t="s">
        <v>1051</v>
      </c>
      <c r="B28" s="874" t="s">
        <v>1044</v>
      </c>
      <c r="C28" s="860">
        <v>34185</v>
      </c>
      <c r="D28" s="925" t="s">
        <v>208</v>
      </c>
      <c r="E28" s="857" t="s">
        <v>1068</v>
      </c>
      <c r="F28" s="571" t="s">
        <v>1061</v>
      </c>
      <c r="G28" s="859" t="s">
        <v>1069</v>
      </c>
      <c r="H28" s="857" t="s">
        <v>1069</v>
      </c>
      <c r="I28" s="833">
        <v>44615</v>
      </c>
      <c r="J28" s="571" t="s">
        <v>840</v>
      </c>
      <c r="K28" s="444"/>
      <c r="L28" s="444"/>
      <c r="M28" s="444"/>
      <c r="N28" s="853" t="s">
        <v>1070</v>
      </c>
      <c r="O28" s="562" t="s">
        <v>37</v>
      </c>
      <c r="P28" s="841" t="s">
        <v>1044</v>
      </c>
      <c r="Q28" s="653">
        <f>VLOOKUP(A28,'[1]Pay sheet-APRIL- 2022'!$C$4:$AF$140,10,0)</f>
        <v>30</v>
      </c>
      <c r="R28" s="566" t="s">
        <v>37</v>
      </c>
      <c r="S28" s="1046">
        <v>38567</v>
      </c>
      <c r="T28" s="1054">
        <f>VLOOKUP(A28,'[1]Pay sheet-APRIL- 2022'!$C$4:$AF$140,11,0)</f>
        <v>23140.2</v>
      </c>
      <c r="U28" s="1051">
        <v>0</v>
      </c>
      <c r="V28" s="567">
        <v>0</v>
      </c>
      <c r="W28" s="568">
        <v>0</v>
      </c>
      <c r="X28" s="653">
        <f>VLOOKUP(A28,'[1]Pay sheet-APRIL- 2022'!$C$4:$AF$140,12,0)</f>
        <v>9256.08</v>
      </c>
      <c r="Y28" s="653">
        <f>VLOOKUP(A28,'[1]Pay sheet-APRIL- 2022'!$C$4:$AF$140,13,0)</f>
        <v>2083</v>
      </c>
      <c r="Z28" s="653">
        <f>VLOOKUP(A28,'[1]Pay sheet-APRIL- 2022'!$C$4:$AF$140,14,0)</f>
        <v>2083</v>
      </c>
      <c r="AA28" s="653">
        <f>VLOOKUP(A28,'[1]Pay sheet-APRIL- 2022'!$C$4:$AF$140,15,0)</f>
        <v>2117.7200000000012</v>
      </c>
      <c r="AB28" s="842">
        <f t="shared" si="1"/>
        <v>38680</v>
      </c>
      <c r="AC28" s="1058">
        <f>VLOOKUP(A28,'[1]Pay sheet-APRIL- 2022'!$C$4:$AF$140,18,0)</f>
        <v>1554.6089999999999</v>
      </c>
      <c r="AD28" s="1058">
        <f>VLOOKUP(A28,'[1]Pay sheet-APRIL- 2022'!$C$4:$AF$140,19,0)</f>
        <v>1113.0436199999999</v>
      </c>
      <c r="AE28" s="1058">
        <f>VLOOKUP(A28,'[1]Pay sheet-APRIL- 2022'!$C$4:$AF$140,20,0)</f>
        <v>1928.3500000000001</v>
      </c>
      <c r="AF28" s="843">
        <f>VLOOKUP(A28,'[2]Pay sheet-MARCH- 2022'!$C$4:$AF$150,22,0)</f>
        <v>0</v>
      </c>
      <c r="AG28" s="845">
        <f t="shared" si="2"/>
        <v>43276.002619999992</v>
      </c>
      <c r="AH28" s="844">
        <v>0</v>
      </c>
      <c r="AI28" s="1058">
        <f>VLOOKUP(A28,'[1]Pay sheet-APRIL- 2022'!$C$4:$AF$140,26,0)</f>
        <v>1800</v>
      </c>
      <c r="AJ28" s="1058">
        <f>VLOOKUP(A28,'[1]Pay sheet-APRIL- 2022'!$C$4:$AF$140,25,0)</f>
        <v>200</v>
      </c>
      <c r="AK28" s="1058">
        <f>VLOOKUP(A28,'[1]Pay sheet-APRIL- 2022'!$C$4:$AF$140,24,0)</f>
        <v>0</v>
      </c>
      <c r="AL28" s="1058">
        <f>VLOOKUP(A28,'[1]Pay sheet-APRIL- 2022'!$C$4:$AF$140,27,0)</f>
        <v>283</v>
      </c>
      <c r="AM28" s="659"/>
      <c r="AN28" s="813">
        <f t="shared" si="3"/>
        <v>2283</v>
      </c>
      <c r="AO28" s="660">
        <f t="shared" si="4"/>
        <v>40993.002619999992</v>
      </c>
      <c r="AP28" s="1005">
        <v>44686</v>
      </c>
      <c r="AQ28" s="857" t="s">
        <v>594</v>
      </c>
      <c r="AR28" s="858">
        <v>50100450339212</v>
      </c>
      <c r="AS28" s="444"/>
      <c r="AT28" s="1086">
        <v>95</v>
      </c>
      <c r="AU28" s="571">
        <v>13</v>
      </c>
    </row>
    <row r="29" spans="1:64" ht="47.25" customHeight="1">
      <c r="A29" s="836" t="s">
        <v>1052</v>
      </c>
      <c r="B29" s="874" t="s">
        <v>1045</v>
      </c>
      <c r="C29" s="860">
        <v>35670</v>
      </c>
      <c r="D29" s="925" t="s">
        <v>208</v>
      </c>
      <c r="E29" s="857" t="s">
        <v>1071</v>
      </c>
      <c r="F29" s="571" t="s">
        <v>1061</v>
      </c>
      <c r="G29" s="859" t="s">
        <v>1073</v>
      </c>
      <c r="H29" s="859" t="s">
        <v>1072</v>
      </c>
      <c r="I29" s="833">
        <v>44615</v>
      </c>
      <c r="J29" s="571" t="s">
        <v>840</v>
      </c>
      <c r="K29" s="444"/>
      <c r="L29" s="444"/>
      <c r="M29" s="444"/>
      <c r="N29" s="853" t="s">
        <v>1074</v>
      </c>
      <c r="O29" s="562" t="s">
        <v>37</v>
      </c>
      <c r="P29" s="841" t="s">
        <v>1045</v>
      </c>
      <c r="Q29" s="653">
        <f>VLOOKUP(A29,'[1]Pay sheet-APRIL- 2022'!$C$4:$AF$140,10,0)</f>
        <v>30</v>
      </c>
      <c r="R29" s="566" t="s">
        <v>37</v>
      </c>
      <c r="S29" s="1046">
        <v>38567</v>
      </c>
      <c r="T29" s="1054">
        <f>VLOOKUP(A29,'[1]Pay sheet-APRIL- 2022'!$C$4:$AF$140,11,0)</f>
        <v>23140.2</v>
      </c>
      <c r="U29" s="1051">
        <v>0</v>
      </c>
      <c r="V29" s="567">
        <v>0</v>
      </c>
      <c r="W29" s="568">
        <v>0</v>
      </c>
      <c r="X29" s="653">
        <f>VLOOKUP(A29,'[1]Pay sheet-APRIL- 2022'!$C$4:$AF$140,12,0)</f>
        <v>9256.08</v>
      </c>
      <c r="Y29" s="653">
        <f>VLOOKUP(A29,'[1]Pay sheet-APRIL- 2022'!$C$4:$AF$140,13,0)</f>
        <v>2083</v>
      </c>
      <c r="Z29" s="653">
        <f>VLOOKUP(A29,'[1]Pay sheet-APRIL- 2022'!$C$4:$AF$140,14,0)</f>
        <v>2083</v>
      </c>
      <c r="AA29" s="653">
        <f>VLOOKUP(A29,'[1]Pay sheet-APRIL- 2022'!$C$4:$AF$140,15,0)</f>
        <v>2117.7200000000012</v>
      </c>
      <c r="AB29" s="842">
        <f t="shared" si="1"/>
        <v>38680</v>
      </c>
      <c r="AC29" s="1058">
        <f>VLOOKUP(A29,'[1]Pay sheet-APRIL- 2022'!$C$4:$AF$140,18,0)</f>
        <v>1554.6089999999999</v>
      </c>
      <c r="AD29" s="1058">
        <f>VLOOKUP(A29,'[1]Pay sheet-APRIL- 2022'!$C$4:$AF$140,19,0)</f>
        <v>1113.0436199999999</v>
      </c>
      <c r="AE29" s="1058">
        <f>VLOOKUP(A29,'[1]Pay sheet-APRIL- 2022'!$C$4:$AF$140,20,0)</f>
        <v>1928.3500000000001</v>
      </c>
      <c r="AF29" s="843">
        <f>VLOOKUP(A29,'[2]Pay sheet-MARCH- 2022'!$C$4:$AF$150,22,0)</f>
        <v>0</v>
      </c>
      <c r="AG29" s="845">
        <f t="shared" si="2"/>
        <v>43276.002619999992</v>
      </c>
      <c r="AH29" s="844">
        <v>0</v>
      </c>
      <c r="AI29" s="1058">
        <f>VLOOKUP(A29,'[1]Pay sheet-APRIL- 2022'!$C$4:$AF$140,26,0)</f>
        <v>1800</v>
      </c>
      <c r="AJ29" s="1058">
        <f>VLOOKUP(A29,'[1]Pay sheet-APRIL- 2022'!$C$4:$AF$140,25,0)</f>
        <v>200</v>
      </c>
      <c r="AK29" s="1058">
        <f>VLOOKUP(A29,'[1]Pay sheet-APRIL- 2022'!$C$4:$AF$140,24,0)</f>
        <v>0</v>
      </c>
      <c r="AL29" s="1058">
        <f>VLOOKUP(A29,'[1]Pay sheet-APRIL- 2022'!$C$4:$AF$140,27,0)</f>
        <v>283</v>
      </c>
      <c r="AM29" s="659"/>
      <c r="AN29" s="813">
        <f t="shared" si="3"/>
        <v>2283</v>
      </c>
      <c r="AO29" s="660">
        <f t="shared" si="4"/>
        <v>40993.002619999992</v>
      </c>
      <c r="AP29" s="1005">
        <v>44686</v>
      </c>
      <c r="AQ29" s="857" t="s">
        <v>1075</v>
      </c>
      <c r="AR29" s="719" t="s">
        <v>1076</v>
      </c>
      <c r="AS29" s="444"/>
      <c r="AT29" s="1085">
        <v>96</v>
      </c>
      <c r="AU29" s="571">
        <v>14</v>
      </c>
    </row>
    <row r="30" spans="1:64" ht="47.25" customHeight="1">
      <c r="A30" s="875" t="s">
        <v>1088</v>
      </c>
      <c r="B30" s="1032" t="s">
        <v>1108</v>
      </c>
      <c r="C30" s="1004">
        <v>33606</v>
      </c>
      <c r="D30" s="927" t="s">
        <v>1013</v>
      </c>
      <c r="E30" s="579" t="s">
        <v>1109</v>
      </c>
      <c r="F30" s="579" t="s">
        <v>1111</v>
      </c>
      <c r="G30" s="579" t="s">
        <v>1110</v>
      </c>
      <c r="H30" s="579" t="s">
        <v>1110</v>
      </c>
      <c r="I30" s="877">
        <v>44621</v>
      </c>
      <c r="J30" s="579" t="s">
        <v>840</v>
      </c>
      <c r="K30" s="444"/>
      <c r="L30" s="444"/>
      <c r="M30" s="444"/>
      <c r="N30" s="1002" t="s">
        <v>1119</v>
      </c>
      <c r="O30" s="562" t="s">
        <v>37</v>
      </c>
      <c r="P30" s="879" t="s">
        <v>1108</v>
      </c>
      <c r="Q30" s="653">
        <f>VLOOKUP(A30,'[1]Pay sheet-APRIL- 2022'!$C$4:$AF$140,10,0)</f>
        <v>30</v>
      </c>
      <c r="R30" s="566" t="s">
        <v>37</v>
      </c>
      <c r="S30" s="1048">
        <v>103450</v>
      </c>
      <c r="T30" s="1054">
        <f>VLOOKUP(A30,'[1]Pay sheet-APRIL- 2022'!$C$4:$AF$140,11,0)</f>
        <v>62070</v>
      </c>
      <c r="U30" s="1051">
        <v>0</v>
      </c>
      <c r="V30" s="567">
        <v>0</v>
      </c>
      <c r="W30" s="568">
        <v>0</v>
      </c>
      <c r="X30" s="653">
        <f>VLOOKUP(A30,'[1]Pay sheet-APRIL- 2022'!$C$4:$AF$140,12,0)</f>
        <v>24828</v>
      </c>
      <c r="Y30" s="653">
        <f>VLOOKUP(A30,'[1]Pay sheet-APRIL- 2022'!$C$4:$AF$140,13,0)</f>
        <v>2083</v>
      </c>
      <c r="Z30" s="653">
        <f>VLOOKUP(A30,'[1]Pay sheet-APRIL- 2022'!$C$4:$AF$140,14,0)</f>
        <v>2083</v>
      </c>
      <c r="AA30" s="653">
        <f>VLOOKUP(A30,'[1]Pay sheet-APRIL- 2022'!$C$4:$AF$140,15,0)</f>
        <v>12499</v>
      </c>
      <c r="AB30" s="842">
        <f t="shared" si="1"/>
        <v>103563</v>
      </c>
      <c r="AC30" s="1058">
        <f>VLOOKUP(A30,'[1]Pay sheet-APRIL- 2022'!$C$4:$AF$140,18,0)</f>
        <v>1554.6089999999999</v>
      </c>
      <c r="AD30" s="1058">
        <f>VLOOKUP(A30,'[1]Pay sheet-APRIL- 2022'!$C$4:$AF$140,19,0)</f>
        <v>2985.5669999999996</v>
      </c>
      <c r="AE30" s="1058">
        <f>VLOOKUP(A30,'[1]Pay sheet-APRIL- 2022'!$C$4:$AF$140,20,0)</f>
        <v>5172.5</v>
      </c>
      <c r="AF30" s="843">
        <f>VLOOKUP(A30,'[2]Pay sheet-MARCH- 2022'!$C$4:$AF$150,22,0)</f>
        <v>0</v>
      </c>
      <c r="AG30" s="845">
        <f t="shared" si="2"/>
        <v>113275.67599999999</v>
      </c>
      <c r="AH30" s="844">
        <v>0</v>
      </c>
      <c r="AI30" s="1058">
        <f>VLOOKUP(A30,'[1]Pay sheet-APRIL- 2022'!$C$4:$AF$140,26,0)</f>
        <v>1800</v>
      </c>
      <c r="AJ30" s="1058">
        <f>VLOOKUP(A30,'[1]Pay sheet-APRIL- 2022'!$C$4:$AF$140,25,0)</f>
        <v>200</v>
      </c>
      <c r="AK30" s="1058">
        <f>VLOOKUP(A30,'[1]Pay sheet-APRIL- 2022'!$C$4:$AF$140,24,0)</f>
        <v>0</v>
      </c>
      <c r="AL30" s="1058">
        <f>VLOOKUP(A30,'[1]Pay sheet-APRIL- 2022'!$C$4:$AF$140,27,0)</f>
        <v>283</v>
      </c>
      <c r="AM30" s="659"/>
      <c r="AN30" s="813">
        <f t="shared" si="3"/>
        <v>2283</v>
      </c>
      <c r="AO30" s="660">
        <f t="shared" si="4"/>
        <v>110992.67599999999</v>
      </c>
      <c r="AP30" s="1005">
        <v>44686</v>
      </c>
      <c r="AQ30" s="666" t="s">
        <v>742</v>
      </c>
      <c r="AR30" s="579">
        <v>33161877369</v>
      </c>
      <c r="AS30" s="444"/>
      <c r="AT30" s="579">
        <v>97</v>
      </c>
      <c r="AU30" s="571">
        <v>15</v>
      </c>
    </row>
    <row r="31" spans="1:64" ht="47.25" customHeight="1">
      <c r="A31" s="875" t="s">
        <v>1089</v>
      </c>
      <c r="B31" s="1032" t="s">
        <v>1085</v>
      </c>
      <c r="C31" s="1000" t="s">
        <v>1102</v>
      </c>
      <c r="D31" s="835" t="s">
        <v>208</v>
      </c>
      <c r="E31" s="1001" t="s">
        <v>1103</v>
      </c>
      <c r="F31" s="1036" t="s">
        <v>1133</v>
      </c>
      <c r="G31" s="835" t="s">
        <v>1112</v>
      </c>
      <c r="H31" s="835" t="s">
        <v>1112</v>
      </c>
      <c r="I31" s="877">
        <v>44637</v>
      </c>
      <c r="J31" s="579" t="s">
        <v>840</v>
      </c>
      <c r="K31" s="444"/>
      <c r="L31" s="444"/>
      <c r="M31" s="444"/>
      <c r="N31" s="1002" t="s">
        <v>1113</v>
      </c>
      <c r="O31" s="562" t="s">
        <v>37</v>
      </c>
      <c r="P31" s="879" t="s">
        <v>1085</v>
      </c>
      <c r="Q31" s="653">
        <f>VLOOKUP(A31,'[1]Pay sheet-APRIL- 2022'!$C$4:$AF$140,10,0)</f>
        <v>30</v>
      </c>
      <c r="R31" s="566" t="s">
        <v>37</v>
      </c>
      <c r="S31" s="1048">
        <v>80278</v>
      </c>
      <c r="T31" s="1054">
        <f>VLOOKUP(A31,'[1]Pay sheet-APRIL- 2022'!$C$4:$AF$140,11,0)</f>
        <v>48166.8</v>
      </c>
      <c r="U31" s="1051">
        <v>0</v>
      </c>
      <c r="V31" s="567">
        <v>0</v>
      </c>
      <c r="W31" s="568">
        <v>0</v>
      </c>
      <c r="X31" s="653">
        <f>VLOOKUP(A31,'[1]Pay sheet-APRIL- 2022'!$C$4:$AF$140,12,0)</f>
        <v>19266.72</v>
      </c>
      <c r="Y31" s="653">
        <f>VLOOKUP(A31,'[1]Pay sheet-APRIL- 2022'!$C$4:$AF$140,13,0)</f>
        <v>2083</v>
      </c>
      <c r="Z31" s="653">
        <f>VLOOKUP(A31,'[1]Pay sheet-APRIL- 2022'!$C$4:$AF$140,14,0)</f>
        <v>2083</v>
      </c>
      <c r="AA31" s="653">
        <f>VLOOKUP(A31,'[1]Pay sheet-APRIL- 2022'!$C$4:$AF$140,15,0)</f>
        <v>8791.4799999999959</v>
      </c>
      <c r="AB31" s="842">
        <f t="shared" si="1"/>
        <v>80391</v>
      </c>
      <c r="AC31" s="1058">
        <f>VLOOKUP(A31,'[1]Pay sheet-APRIL- 2022'!$C$4:$AF$140,18,0)</f>
        <v>1554.6089999999999</v>
      </c>
      <c r="AD31" s="1058">
        <f>VLOOKUP(A31,'[1]Pay sheet-APRIL- 2022'!$C$4:$AF$140,19,0)</f>
        <v>2316.8230800000001</v>
      </c>
      <c r="AE31" s="1058">
        <f>VLOOKUP(A31,'[1]Pay sheet-APRIL- 2022'!$C$4:$AF$140,20,0)</f>
        <v>4013.9</v>
      </c>
      <c r="AF31" s="843">
        <f>VLOOKUP(A31,'[2]Pay sheet-MARCH- 2022'!$C$4:$AF$150,22,0)</f>
        <v>0</v>
      </c>
      <c r="AG31" s="845">
        <f t="shared" si="2"/>
        <v>88276.332079999993</v>
      </c>
      <c r="AH31" s="844">
        <v>0</v>
      </c>
      <c r="AI31" s="1058">
        <f>VLOOKUP(A31,'[1]Pay sheet-APRIL- 2022'!$C$4:$AF$140,26,0)</f>
        <v>1800</v>
      </c>
      <c r="AJ31" s="1058">
        <f>VLOOKUP(A31,'[1]Pay sheet-APRIL- 2022'!$C$4:$AF$140,25,0)</f>
        <v>200</v>
      </c>
      <c r="AK31" s="1058">
        <f>VLOOKUP(A31,'[1]Pay sheet-APRIL- 2022'!$C$4:$AF$140,24,0)</f>
        <v>0</v>
      </c>
      <c r="AL31" s="1058">
        <f>VLOOKUP(A31,'[1]Pay sheet-APRIL- 2022'!$C$4:$AF$140,27,0)</f>
        <v>283</v>
      </c>
      <c r="AM31" s="659"/>
      <c r="AN31" s="813">
        <f t="shared" si="3"/>
        <v>2283</v>
      </c>
      <c r="AO31" s="660">
        <f t="shared" si="4"/>
        <v>85993.332079999993</v>
      </c>
      <c r="AP31" s="1005">
        <v>44686</v>
      </c>
      <c r="AQ31" s="579" t="s">
        <v>1114</v>
      </c>
      <c r="AR31" s="1002" t="s">
        <v>1104</v>
      </c>
      <c r="AS31" s="444"/>
      <c r="AT31" s="579">
        <v>98</v>
      </c>
      <c r="AU31" s="571">
        <v>16</v>
      </c>
    </row>
    <row r="32" spans="1:64" ht="47.25" customHeight="1">
      <c r="A32" s="876" t="s">
        <v>1090</v>
      </c>
      <c r="B32" s="1032" t="s">
        <v>1095</v>
      </c>
      <c r="C32" s="880">
        <v>31261</v>
      </c>
      <c r="D32" s="927" t="s">
        <v>208</v>
      </c>
      <c r="E32" s="881" t="s">
        <v>1096</v>
      </c>
      <c r="F32" s="579" t="s">
        <v>1116</v>
      </c>
      <c r="G32" s="579" t="s">
        <v>1115</v>
      </c>
      <c r="H32" s="579" t="s">
        <v>1115</v>
      </c>
      <c r="I32" s="877">
        <v>44648</v>
      </c>
      <c r="J32" s="579" t="s">
        <v>840</v>
      </c>
      <c r="K32" s="444"/>
      <c r="L32" s="444"/>
      <c r="M32" s="444"/>
      <c r="N32" s="1002" t="s">
        <v>1118</v>
      </c>
      <c r="O32" s="562" t="s">
        <v>37</v>
      </c>
      <c r="P32" s="879" t="s">
        <v>1086</v>
      </c>
      <c r="Q32" s="653">
        <f>VLOOKUP(A32,'[1]Pay sheet-APRIL- 2022'!$C$4:$AF$140,10,0)</f>
        <v>30</v>
      </c>
      <c r="R32" s="566" t="s">
        <v>37</v>
      </c>
      <c r="S32" s="1048">
        <v>131257</v>
      </c>
      <c r="T32" s="1054">
        <f>VLOOKUP(A32,'[1]Pay sheet-APRIL- 2022'!$C$4:$AF$140,11,0)</f>
        <v>78754.2</v>
      </c>
      <c r="U32" s="1051">
        <v>0</v>
      </c>
      <c r="V32" s="567">
        <v>0</v>
      </c>
      <c r="W32" s="568">
        <v>0</v>
      </c>
      <c r="X32" s="653">
        <f>VLOOKUP(A32,'[1]Pay sheet-APRIL- 2022'!$C$4:$AF$140,12,0)</f>
        <v>31501.68</v>
      </c>
      <c r="Y32" s="653">
        <f>VLOOKUP(A32,'[1]Pay sheet-APRIL- 2022'!$C$4:$AF$140,13,0)</f>
        <v>2083</v>
      </c>
      <c r="Z32" s="653">
        <f>VLOOKUP(A32,'[1]Pay sheet-APRIL- 2022'!$C$4:$AF$140,14,0)</f>
        <v>2083</v>
      </c>
      <c r="AA32" s="653">
        <f>VLOOKUP(A32,'[1]Pay sheet-APRIL- 2022'!$C$4:$AF$140,15,0)</f>
        <v>16948.119999999995</v>
      </c>
      <c r="AB32" s="842">
        <f t="shared" si="1"/>
        <v>131370</v>
      </c>
      <c r="AC32" s="1058">
        <f>VLOOKUP(A32,'[1]Pay sheet-APRIL- 2022'!$C$4:$AF$140,18,0)</f>
        <v>1554.6089999999999</v>
      </c>
      <c r="AD32" s="1058">
        <f>VLOOKUP(A32,'[1]Pay sheet-APRIL- 2022'!$C$4:$AF$140,19,0)</f>
        <v>3788.0770199999993</v>
      </c>
      <c r="AE32" s="1058">
        <f>VLOOKUP(A32,'[1]Pay sheet-APRIL- 2022'!$C$4:$AF$140,20,0)</f>
        <v>6562.8499999999995</v>
      </c>
      <c r="AF32" s="843">
        <f>VLOOKUP(A32,'[2]Pay sheet-MARCH- 2022'!$C$4:$AF$150,22,0)</f>
        <v>0</v>
      </c>
      <c r="AG32" s="845">
        <f t="shared" si="2"/>
        <v>143275.53602</v>
      </c>
      <c r="AH32" s="844">
        <v>0</v>
      </c>
      <c r="AI32" s="1058">
        <f>VLOOKUP(A32,'[1]Pay sheet-APRIL- 2022'!$C$4:$AF$140,26,0)</f>
        <v>1800</v>
      </c>
      <c r="AJ32" s="1058">
        <f>VLOOKUP(A32,'[1]Pay sheet-APRIL- 2022'!$C$4:$AF$140,25,0)</f>
        <v>200</v>
      </c>
      <c r="AK32" s="1058">
        <f>VLOOKUP(A32,'[1]Pay sheet-APRIL- 2022'!$C$4:$AF$140,24,0)</f>
        <v>0</v>
      </c>
      <c r="AL32" s="1058">
        <f>VLOOKUP(A32,'[1]Pay sheet-APRIL- 2022'!$C$4:$AF$140,27,0)</f>
        <v>283</v>
      </c>
      <c r="AM32" s="659"/>
      <c r="AN32" s="813">
        <f t="shared" si="3"/>
        <v>2283</v>
      </c>
      <c r="AO32" s="660">
        <f t="shared" si="4"/>
        <v>140992.53602</v>
      </c>
      <c r="AP32" s="1005">
        <v>44686</v>
      </c>
      <c r="AQ32" s="579" t="s">
        <v>594</v>
      </c>
      <c r="AR32" s="1002" t="s">
        <v>1105</v>
      </c>
      <c r="AS32" s="444"/>
      <c r="AT32" s="579">
        <v>99</v>
      </c>
      <c r="AU32" s="571">
        <v>17</v>
      </c>
    </row>
    <row r="33" spans="1:64" ht="47.25" customHeight="1">
      <c r="A33" s="634" t="s">
        <v>1091</v>
      </c>
      <c r="B33" s="1032" t="s">
        <v>1087</v>
      </c>
      <c r="C33" s="860">
        <v>30103</v>
      </c>
      <c r="D33" s="927" t="s">
        <v>208</v>
      </c>
      <c r="E33" s="857" t="s">
        <v>1106</v>
      </c>
      <c r="F33" s="1036" t="s">
        <v>1131</v>
      </c>
      <c r="G33" s="579" t="s">
        <v>1117</v>
      </c>
      <c r="H33" s="579" t="s">
        <v>1117</v>
      </c>
      <c r="I33" s="603">
        <v>44648</v>
      </c>
      <c r="J33" s="579" t="s">
        <v>840</v>
      </c>
      <c r="K33" s="444"/>
      <c r="L33" s="444"/>
      <c r="M33" s="444"/>
      <c r="N33" s="1037" t="s">
        <v>1137</v>
      </c>
      <c r="O33" s="562" t="s">
        <v>37</v>
      </c>
      <c r="P33" s="1076" t="s">
        <v>1087</v>
      </c>
      <c r="Q33" s="653">
        <f>VLOOKUP(A33,'[1]Pay sheet-APRIL- 2022'!$C$4:$AF$140,10,0)</f>
        <v>30</v>
      </c>
      <c r="R33" s="566" t="s">
        <v>37</v>
      </c>
      <c r="S33" s="1048">
        <v>68182</v>
      </c>
      <c r="T33" s="1054">
        <f>VLOOKUP(A33,'[1]Pay sheet-APRIL- 2022'!$C$4:$AF$140,11,0)</f>
        <v>40909.199999999997</v>
      </c>
      <c r="U33" s="1051">
        <v>0</v>
      </c>
      <c r="V33" s="567">
        <v>0</v>
      </c>
      <c r="W33" s="568">
        <v>0</v>
      </c>
      <c r="X33" s="653">
        <f>VLOOKUP(A33,'[1]Pay sheet-APRIL- 2022'!$C$4:$AF$140,12,0)</f>
        <v>16363.68</v>
      </c>
      <c r="Y33" s="653">
        <f>VLOOKUP(A33,'[1]Pay sheet-APRIL- 2022'!$C$4:$AF$140,13,0)</f>
        <v>2083</v>
      </c>
      <c r="Z33" s="653">
        <f>VLOOKUP(A33,'[1]Pay sheet-APRIL- 2022'!$C$4:$AF$140,14,0)</f>
        <v>2083</v>
      </c>
      <c r="AA33" s="653">
        <f>VLOOKUP(A33,'[1]Pay sheet-APRIL- 2022'!$C$4:$AF$140,15,0)</f>
        <v>6856.1200000000026</v>
      </c>
      <c r="AB33" s="842">
        <f t="shared" si="1"/>
        <v>68295</v>
      </c>
      <c r="AC33" s="1075">
        <f>VLOOKUP(A33,'[1]Pay sheet-APRIL- 2022'!$C$4:$AF$140,18,0)</f>
        <v>1441.6089999999999</v>
      </c>
      <c r="AD33" s="1058">
        <f>VLOOKUP(A33,'[1]Pay sheet-APRIL- 2022'!$C$4:$AF$140,19,0)</f>
        <v>1967.7325199999998</v>
      </c>
      <c r="AE33" s="1058">
        <f>VLOOKUP(A33,'[1]Pay sheet-APRIL- 2022'!$C$4:$AF$140,20,0)</f>
        <v>3409.1</v>
      </c>
      <c r="AF33" s="843">
        <f>VLOOKUP(A33,'[2]Pay sheet-MARCH- 2022'!$C$4:$AF$150,22,0)</f>
        <v>0</v>
      </c>
      <c r="AG33" s="845">
        <f t="shared" si="2"/>
        <v>75113.441520000008</v>
      </c>
      <c r="AH33" s="844">
        <v>0</v>
      </c>
      <c r="AI33" s="1074">
        <f>VLOOKUP(A33,'[1]Pay sheet-APRIL- 2022'!$C$4:$AF$140,26,0)</f>
        <v>0</v>
      </c>
      <c r="AJ33" s="1058">
        <f>VLOOKUP(A33,'[1]Pay sheet-APRIL- 2022'!$C$4:$AF$140,25,0)</f>
        <v>200</v>
      </c>
      <c r="AK33" s="1058">
        <f>VLOOKUP(A33,'[1]Pay sheet-APRIL- 2022'!$C$4:$AF$140,24,0)</f>
        <v>0</v>
      </c>
      <c r="AL33" s="1058">
        <f>VLOOKUP(A33,'[1]Pay sheet-APRIL- 2022'!$C$4:$AF$140,27,0)</f>
        <v>0</v>
      </c>
      <c r="AM33" s="659"/>
      <c r="AN33" s="813">
        <f t="shared" si="3"/>
        <v>200</v>
      </c>
      <c r="AO33" s="660">
        <f t="shared" si="4"/>
        <v>74913.441520000008</v>
      </c>
      <c r="AP33" s="1005">
        <v>44686</v>
      </c>
      <c r="AQ33" s="1036" t="s">
        <v>1024</v>
      </c>
      <c r="AR33" s="1037" t="s">
        <v>1132</v>
      </c>
      <c r="AT33" s="579">
        <v>100</v>
      </c>
      <c r="AU33" s="571">
        <v>18</v>
      </c>
    </row>
    <row r="34" spans="1:64" ht="47.25" customHeight="1">
      <c r="A34" s="875" t="s">
        <v>1123</v>
      </c>
      <c r="B34" s="1070" t="s">
        <v>1120</v>
      </c>
      <c r="C34" s="1084" t="s">
        <v>1146</v>
      </c>
      <c r="D34" s="927" t="s">
        <v>208</v>
      </c>
      <c r="E34" s="579" t="s">
        <v>1145</v>
      </c>
      <c r="F34" s="1015" t="s">
        <v>670</v>
      </c>
      <c r="G34" s="579" t="s">
        <v>1147</v>
      </c>
      <c r="H34" s="579" t="s">
        <v>1147</v>
      </c>
      <c r="I34" s="833">
        <v>44655</v>
      </c>
      <c r="J34" s="579" t="s">
        <v>840</v>
      </c>
      <c r="K34" s="444"/>
      <c r="L34" s="444"/>
      <c r="M34" s="444"/>
      <c r="N34" s="1035" t="s">
        <v>1126</v>
      </c>
      <c r="O34" s="562" t="s">
        <v>37</v>
      </c>
      <c r="P34" s="1038" t="s">
        <v>1120</v>
      </c>
      <c r="Q34" s="653">
        <f>VLOOKUP(A34,'[1]Pay sheet-APRIL- 2022'!$C$4:$AF$140,10,0)</f>
        <v>27</v>
      </c>
      <c r="R34" s="566"/>
      <c r="S34" s="1049">
        <v>112719</v>
      </c>
      <c r="T34" s="1054">
        <f>VLOOKUP(A34,'[1]Pay sheet-APRIL- 2022'!$C$4:$AF$140,11,0)</f>
        <v>60868.26</v>
      </c>
      <c r="U34" s="1051">
        <v>0</v>
      </c>
      <c r="V34" s="567">
        <v>0</v>
      </c>
      <c r="W34" s="568">
        <v>0</v>
      </c>
      <c r="X34" s="653">
        <f>VLOOKUP(A34,'[1]Pay sheet-APRIL- 2022'!$C$4:$AF$140,12,0)</f>
        <v>24347.304000000004</v>
      </c>
      <c r="Y34" s="653">
        <f>VLOOKUP(A34,'[1]Pay sheet-APRIL- 2022'!$C$4:$AF$140,13,0)</f>
        <v>1875</v>
      </c>
      <c r="Z34" s="653">
        <f>VLOOKUP(A34,'[1]Pay sheet-APRIL- 2022'!$C$4:$AF$140,14,0)</f>
        <v>1875</v>
      </c>
      <c r="AA34" s="653">
        <f>VLOOKUP(A34,'[1]Pay sheet-APRIL- 2022'!$C$4:$AF$140,15,0)</f>
        <v>12594.535999999993</v>
      </c>
      <c r="AB34" s="842">
        <f t="shared" si="1"/>
        <v>101560.1</v>
      </c>
      <c r="AC34" s="1058">
        <f>VLOOKUP(A34,'[1]Pay sheet-APRIL- 2022'!$C$4:$AF$140,18,0)</f>
        <v>1554.6089999999999</v>
      </c>
      <c r="AD34" s="1058">
        <f>VLOOKUP(A34,'[1]Pay sheet-APRIL- 2022'!$C$4:$AF$140,19,0)</f>
        <v>2927.7633059999998</v>
      </c>
      <c r="AE34" s="1058">
        <f>VLOOKUP(A34,'[1]Pay sheet-APRIL- 2022'!$C$4:$AF$140,20,0)</f>
        <v>5072.3550000000005</v>
      </c>
      <c r="AF34" s="843">
        <v>0</v>
      </c>
      <c r="AG34" s="845">
        <f t="shared" si="2"/>
        <v>111114.82730599999</v>
      </c>
      <c r="AH34" s="844">
        <v>0</v>
      </c>
      <c r="AI34" s="1058">
        <f>VLOOKUP(A34,'[1]Pay sheet-APRIL- 2022'!$C$4:$AF$140,26,0)</f>
        <v>1800</v>
      </c>
      <c r="AJ34" s="1058">
        <f>VLOOKUP(A34,'[1]Pay sheet-APRIL- 2022'!$C$4:$AF$140,25,0)</f>
        <v>200</v>
      </c>
      <c r="AK34" s="1058">
        <f>VLOOKUP(A34,'[1]Pay sheet-APRIL- 2022'!$C$4:$AF$140,24,0)</f>
        <v>0</v>
      </c>
      <c r="AL34" s="1058">
        <f>VLOOKUP(A34,'[1]Pay sheet-APRIL- 2022'!$C$4:$AF$140,27,0)</f>
        <v>0</v>
      </c>
      <c r="AM34" s="659"/>
      <c r="AN34" s="813">
        <f t="shared" si="3"/>
        <v>2000</v>
      </c>
      <c r="AO34" s="660">
        <f t="shared" si="4"/>
        <v>109114.82730599999</v>
      </c>
      <c r="AP34" s="1005">
        <v>44686</v>
      </c>
      <c r="AQ34" s="1015" t="s">
        <v>1127</v>
      </c>
      <c r="AR34" s="1035" t="s">
        <v>1128</v>
      </c>
      <c r="AS34" s="444"/>
      <c r="AT34" s="579">
        <v>101</v>
      </c>
      <c r="AU34" s="571">
        <v>19</v>
      </c>
    </row>
    <row r="35" spans="1:64" s="919" customFormat="1" ht="47.25" customHeight="1">
      <c r="A35" s="875" t="s">
        <v>1124</v>
      </c>
      <c r="B35" s="1070" t="s">
        <v>1121</v>
      </c>
      <c r="C35" s="1002" t="s">
        <v>1148</v>
      </c>
      <c r="D35" s="927" t="s">
        <v>208</v>
      </c>
      <c r="E35" s="579" t="s">
        <v>1149</v>
      </c>
      <c r="F35" s="1036" t="s">
        <v>1129</v>
      </c>
      <c r="G35" s="579" t="s">
        <v>1150</v>
      </c>
      <c r="H35" s="579" t="s">
        <v>1150</v>
      </c>
      <c r="I35" s="833">
        <v>44671</v>
      </c>
      <c r="J35" s="579" t="s">
        <v>840</v>
      </c>
      <c r="K35" s="1034"/>
      <c r="L35" s="1034"/>
      <c r="M35" s="1034"/>
      <c r="N35" s="1037" t="s">
        <v>1130</v>
      </c>
      <c r="O35" s="562" t="s">
        <v>37</v>
      </c>
      <c r="P35" s="1038" t="s">
        <v>1121</v>
      </c>
      <c r="Q35" s="653">
        <f>VLOOKUP(A35,'[1]Pay sheet-APRIL- 2022'!$C$4:$AF$140,10,0)</f>
        <v>11</v>
      </c>
      <c r="R35" s="1034"/>
      <c r="S35" s="1049">
        <v>75643</v>
      </c>
      <c r="T35" s="1054">
        <f>VLOOKUP(A35,'[1]Pay sheet-APRIL- 2022'!$C$4:$AF$140,11,0)</f>
        <v>16641.46</v>
      </c>
      <c r="U35" s="1051">
        <v>0</v>
      </c>
      <c r="V35" s="567">
        <v>0</v>
      </c>
      <c r="W35" s="568">
        <v>0</v>
      </c>
      <c r="X35" s="653">
        <f>VLOOKUP(A35,'[1]Pay sheet-APRIL- 2022'!$C$4:$AF$140,12,0)</f>
        <v>6656.5839999999998</v>
      </c>
      <c r="Y35" s="653">
        <f>VLOOKUP(A35,'[1]Pay sheet-APRIL- 2022'!$C$4:$AF$140,13,0)</f>
        <v>764</v>
      </c>
      <c r="Z35" s="653">
        <f>VLOOKUP(A35,'[1]Pay sheet-APRIL- 2022'!$C$4:$AF$140,14,0)</f>
        <v>764</v>
      </c>
      <c r="AA35" s="653">
        <f>VLOOKUP(A35,'[1]Pay sheet-APRIL- 2022'!$C$4:$AF$140,15,0)</f>
        <v>3022.7226666666684</v>
      </c>
      <c r="AB35" s="842">
        <f t="shared" si="1"/>
        <v>27848.766666666666</v>
      </c>
      <c r="AC35" s="1058">
        <f>VLOOKUP(A35,'[1]Pay sheet-APRIL- 2022'!$C$4:$AF$140,18,0)</f>
        <v>1554.6089999999999</v>
      </c>
      <c r="AD35" s="1058">
        <f>VLOOKUP(A35,'[1]Pay sheet-APRIL- 2022'!$C$4:$AF$140,19,0)</f>
        <v>800.45422599999995</v>
      </c>
      <c r="AE35" s="1058">
        <f>VLOOKUP(A35,'[1]Pay sheet-APRIL- 2022'!$C$4:$AF$140,20,0)</f>
        <v>1386.7883333333332</v>
      </c>
      <c r="AF35" s="843">
        <v>0</v>
      </c>
      <c r="AG35" s="845">
        <f t="shared" si="2"/>
        <v>31590.618226000002</v>
      </c>
      <c r="AH35" s="844">
        <v>0</v>
      </c>
      <c r="AI35" s="1058">
        <f>VLOOKUP(A35,'[1]Pay sheet-APRIL- 2022'!$C$4:$AF$140,26,0)</f>
        <v>1800</v>
      </c>
      <c r="AJ35" s="1058">
        <f>VLOOKUP(A35,'[1]Pay sheet-APRIL- 2022'!$C$4:$AF$140,25,0)</f>
        <v>200</v>
      </c>
      <c r="AK35" s="1058">
        <f>VLOOKUP(A35,'[1]Pay sheet-APRIL- 2022'!$C$4:$AF$140,24,0)</f>
        <v>0</v>
      </c>
      <c r="AL35" s="1058">
        <f>VLOOKUP(A35,'[1]Pay sheet-APRIL- 2022'!$C$4:$AF$140,27,0)</f>
        <v>0</v>
      </c>
      <c r="AM35" s="1065"/>
      <c r="AN35" s="813">
        <f t="shared" si="3"/>
        <v>2000</v>
      </c>
      <c r="AO35" s="660">
        <f t="shared" si="4"/>
        <v>29590.618226000002</v>
      </c>
      <c r="AP35" s="1005">
        <v>44686</v>
      </c>
      <c r="AQ35" s="579" t="s">
        <v>742</v>
      </c>
      <c r="AR35" s="1002" t="s">
        <v>1151</v>
      </c>
      <c r="AS35" s="1034"/>
      <c r="AT35" s="579">
        <v>102</v>
      </c>
      <c r="AU35" s="571">
        <v>20</v>
      </c>
      <c r="AV35" s="1092"/>
      <c r="AW35" s="1092"/>
      <c r="AX35" s="1092"/>
      <c r="AY35" s="1092"/>
      <c r="AZ35" s="1092"/>
      <c r="BA35" s="1092"/>
      <c r="BB35" s="1092"/>
      <c r="BC35" s="1092"/>
      <c r="BD35" s="1092"/>
      <c r="BE35" s="1092"/>
      <c r="BF35" s="1092"/>
      <c r="BG35" s="1092"/>
      <c r="BH35" s="1092"/>
      <c r="BI35" s="1092"/>
      <c r="BJ35" s="1092"/>
      <c r="BK35" s="1092"/>
      <c r="BL35" s="1092"/>
    </row>
    <row r="36" spans="1:64" ht="47.25" customHeight="1">
      <c r="A36" s="1033" t="s">
        <v>1125</v>
      </c>
      <c r="B36" s="910" t="s">
        <v>1138</v>
      </c>
      <c r="C36" s="1084" t="s">
        <v>1154</v>
      </c>
      <c r="D36" s="927" t="s">
        <v>208</v>
      </c>
      <c r="E36" s="579" t="s">
        <v>1152</v>
      </c>
      <c r="F36" s="1036" t="s">
        <v>1134</v>
      </c>
      <c r="G36" s="579" t="s">
        <v>1155</v>
      </c>
      <c r="H36" s="579" t="s">
        <v>1155</v>
      </c>
      <c r="I36" s="1016">
        <v>44676</v>
      </c>
      <c r="J36" s="579" t="s">
        <v>840</v>
      </c>
      <c r="K36" s="444"/>
      <c r="L36" s="444"/>
      <c r="M36" s="444"/>
      <c r="N36" s="1037" t="s">
        <v>1136</v>
      </c>
      <c r="O36" s="562" t="s">
        <v>37</v>
      </c>
      <c r="P36" s="1039" t="s">
        <v>1122</v>
      </c>
      <c r="Q36" s="653">
        <f>VLOOKUP(A36,'[1]Pay sheet-APRIL- 2022'!$C$4:$AF$140,10,0)</f>
        <v>6</v>
      </c>
      <c r="R36" s="444"/>
      <c r="S36" s="1050">
        <v>135892</v>
      </c>
      <c r="T36" s="1054">
        <f>VLOOKUP(A36,'[1]Pay sheet-APRIL- 2022'!$C$4:$AF$140,11,0)</f>
        <v>16307.04</v>
      </c>
      <c r="U36" s="1051">
        <v>0</v>
      </c>
      <c r="V36" s="567">
        <v>0</v>
      </c>
      <c r="W36" s="568">
        <v>0</v>
      </c>
      <c r="X36" s="653">
        <f>VLOOKUP(A36,'[1]Pay sheet-APRIL- 2022'!$C$4:$AF$140,12,0)</f>
        <v>6522.8160000000007</v>
      </c>
      <c r="Y36" s="653">
        <f>VLOOKUP(A36,'[1]Pay sheet-APRIL- 2022'!$C$4:$AF$140,13,0)</f>
        <v>417</v>
      </c>
      <c r="Z36" s="653">
        <f>VLOOKUP(A36,'[1]Pay sheet-APRIL- 2022'!$C$4:$AF$140,14,0)</f>
        <v>417</v>
      </c>
      <c r="AA36" s="653">
        <f>VLOOKUP(A36,'[1]Pay sheet-APRIL- 2022'!$C$4:$AF$140,15,0)</f>
        <v>3627.5440000000017</v>
      </c>
      <c r="AB36" s="842">
        <f>SUM(T36:AA36)</f>
        <v>27291.4</v>
      </c>
      <c r="AC36" s="1058">
        <f>VLOOKUP(A36,'[1]Pay sheet-APRIL- 2022'!$C$4:$AF$140,18,0)</f>
        <v>1554.6089999999999</v>
      </c>
      <c r="AD36" s="1058">
        <f>VLOOKUP(A36,'[1]Pay sheet-APRIL- 2022'!$C$4:$AF$140,19,0)</f>
        <v>784.36862399999995</v>
      </c>
      <c r="AE36" s="1058">
        <f>VLOOKUP(A36,'[1]Pay sheet-APRIL- 2022'!$C$4:$AF$140,20,0)</f>
        <v>1358.92</v>
      </c>
      <c r="AF36" s="843">
        <v>0</v>
      </c>
      <c r="AG36" s="845">
        <f t="shared" si="2"/>
        <v>30989.297623999999</v>
      </c>
      <c r="AH36" s="844">
        <v>0</v>
      </c>
      <c r="AI36" s="1058">
        <f>VLOOKUP(A36,'[1]Pay sheet-APRIL- 2022'!$C$4:$AF$140,26,0)</f>
        <v>1800</v>
      </c>
      <c r="AJ36" s="1058">
        <f>VLOOKUP(A36,'[1]Pay sheet-APRIL- 2022'!$C$4:$AF$140,25,0)</f>
        <v>200</v>
      </c>
      <c r="AK36" s="1058">
        <f>VLOOKUP(A36,'[1]Pay sheet-APRIL- 2022'!$C$4:$AF$140,24,0)</f>
        <v>0</v>
      </c>
      <c r="AL36" s="1058">
        <f>VLOOKUP(A36,'[1]Pay sheet-APRIL- 2022'!$C$4:$AF$140,27,0)</f>
        <v>0</v>
      </c>
      <c r="AM36" s="659"/>
      <c r="AN36" s="813">
        <f t="shared" si="3"/>
        <v>2000</v>
      </c>
      <c r="AO36" s="660">
        <f t="shared" si="4"/>
        <v>28989.297623999999</v>
      </c>
      <c r="AP36" s="1005">
        <v>44686</v>
      </c>
      <c r="AQ36" s="1036" t="s">
        <v>912</v>
      </c>
      <c r="AR36" s="1037" t="s">
        <v>1135</v>
      </c>
      <c r="AS36" s="444"/>
      <c r="AT36" s="579">
        <v>103</v>
      </c>
      <c r="AU36" s="571">
        <v>21</v>
      </c>
    </row>
    <row r="37" spans="1:64" ht="51" customHeight="1">
      <c r="T37" s="1055"/>
      <c r="X37" s="1053">
        <f t="shared" ref="X37:AE37" si="5">SUM(X16:X36)</f>
        <v>382850.97599999997</v>
      </c>
      <c r="Y37" s="1053">
        <f t="shared" si="5"/>
        <v>39898</v>
      </c>
      <c r="Z37" s="1053">
        <f t="shared" si="5"/>
        <v>39898</v>
      </c>
      <c r="AA37" s="1053">
        <f t="shared" si="5"/>
        <v>177810.98399999994</v>
      </c>
      <c r="AB37" s="1057">
        <f t="shared" si="5"/>
        <v>1597585.4</v>
      </c>
      <c r="AC37" s="1059">
        <f t="shared" si="5"/>
        <v>32533.789000000004</v>
      </c>
      <c r="AD37" s="1059">
        <f t="shared" si="5"/>
        <v>46037.829864000007</v>
      </c>
      <c r="AE37" s="1059">
        <f t="shared" si="5"/>
        <v>79760.62</v>
      </c>
      <c r="AG37" s="1061">
        <f>SUM(AG16:AG36)</f>
        <v>1755917.6388640003</v>
      </c>
      <c r="AH37" s="1062"/>
      <c r="AI37" s="1063">
        <f>SUM(AI16:AI36)</f>
        <v>35974</v>
      </c>
      <c r="AJ37" s="1063">
        <f>SUM(AJ16:AJ36)</f>
        <v>4200</v>
      </c>
      <c r="AK37" s="1063">
        <f>SUM(AK16:AK36)</f>
        <v>0</v>
      </c>
      <c r="AL37" s="1063">
        <f>SUM(AL16:AL36)</f>
        <v>5347.3635439999998</v>
      </c>
      <c r="AN37" s="377">
        <f>SUM(AN16:AN36)</f>
        <v>45521.363544</v>
      </c>
      <c r="AO37" s="1040">
        <f>SUM(AO16:AO36)</f>
        <v>1710396.27532</v>
      </c>
    </row>
    <row r="38" spans="1:64" ht="51" customHeight="1">
      <c r="Q38" s="1040">
        <f>SUM(Q16:Q37)</f>
        <v>583</v>
      </c>
      <c r="T38" s="1056">
        <f>SUM(T16:T37)</f>
        <v>957127.44</v>
      </c>
    </row>
    <row r="39" spans="1:64" ht="51" customHeight="1"/>
    <row r="40" spans="1:64" ht="51" customHeight="1"/>
    <row r="41" spans="1:64" ht="51" customHeight="1"/>
    <row r="667" spans="8:8" ht="15" customHeight="1">
      <c r="H667" s="325">
        <f>'04-22-Master'!I259</f>
        <v>0</v>
      </c>
    </row>
  </sheetData>
  <mergeCells count="22">
    <mergeCell ref="AT14:AT15"/>
    <mergeCell ref="V5:AI5"/>
    <mergeCell ref="A8:C8"/>
    <mergeCell ref="AJ9:AS9"/>
    <mergeCell ref="A10:C10"/>
    <mergeCell ref="F14:F15"/>
    <mergeCell ref="Q14:Q15"/>
    <mergeCell ref="R14:R15"/>
    <mergeCell ref="A5:C5"/>
    <mergeCell ref="AS14:AS15"/>
    <mergeCell ref="B14:B15"/>
    <mergeCell ref="P14:P15"/>
    <mergeCell ref="S14:S15"/>
    <mergeCell ref="T14:T15"/>
    <mergeCell ref="U14:U15"/>
    <mergeCell ref="V14:V15"/>
    <mergeCell ref="AR14:AR15"/>
    <mergeCell ref="W14:W15"/>
    <mergeCell ref="AB14:AB15"/>
    <mergeCell ref="AO14:AO15"/>
    <mergeCell ref="AP14:AP15"/>
    <mergeCell ref="AF14:AF15"/>
  </mergeCells>
  <phoneticPr fontId="83" type="noConversion"/>
  <printOptions horizontalCentered="1" verticalCentered="1"/>
  <pageMargins left="0" right="0" top="0" bottom="0" header="0.31496062992126" footer="0.31496062992126"/>
  <pageSetup paperSize="9" scale="65" orientation="landscape" horizontalDpi="4294967293"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8"/>
  <sheetViews>
    <sheetView topLeftCell="A19" workbookViewId="0">
      <selection activeCell="C25" sqref="C25"/>
    </sheetView>
  </sheetViews>
  <sheetFormatPr defaultRowHeight="15"/>
  <cols>
    <col min="1" max="1" width="29.28515625" customWidth="1"/>
    <col min="2" max="2" width="23.7109375" customWidth="1"/>
    <col min="3" max="3" width="11.28515625" customWidth="1"/>
    <col min="4" max="4" width="11.85546875" customWidth="1"/>
    <col min="5" max="8" width="9.42578125" bestFit="1" customWidth="1"/>
    <col min="10" max="10" width="15" customWidth="1"/>
    <col min="11" max="11" width="12.85546875" customWidth="1"/>
  </cols>
  <sheetData>
    <row r="1" spans="1:11">
      <c r="A1" s="1147" t="s">
        <v>176</v>
      </c>
      <c r="B1" s="1148"/>
      <c r="C1" s="1148"/>
      <c r="D1" s="1148"/>
      <c r="E1" s="1148"/>
      <c r="F1" s="1148"/>
      <c r="G1" s="1148"/>
      <c r="H1" s="1148"/>
      <c r="I1" s="1148"/>
      <c r="J1" s="1148"/>
      <c r="K1" s="1149"/>
    </row>
    <row r="2" spans="1:11">
      <c r="A2" s="1150" t="s">
        <v>177</v>
      </c>
      <c r="B2" s="1151"/>
      <c r="C2" s="1151"/>
      <c r="D2" s="1151"/>
      <c r="E2" s="1151"/>
      <c r="F2" s="1151"/>
      <c r="G2" s="1151"/>
      <c r="H2" s="1151"/>
      <c r="I2" s="1151"/>
      <c r="J2" s="1151"/>
      <c r="K2" s="1152"/>
    </row>
    <row r="3" spans="1:11">
      <c r="A3" s="1144"/>
      <c r="B3" s="1145"/>
      <c r="C3" s="1145"/>
      <c r="D3" s="1145"/>
      <c r="E3" s="1145"/>
      <c r="F3" s="1145"/>
      <c r="G3" s="1145"/>
      <c r="H3" s="1145"/>
      <c r="I3" s="1145"/>
      <c r="J3" s="618"/>
      <c r="K3" s="133"/>
    </row>
    <row r="4" spans="1:11" ht="14.45" customHeight="1">
      <c r="A4" s="1153" t="s">
        <v>178</v>
      </c>
      <c r="B4" s="1154"/>
      <c r="C4" s="1154"/>
      <c r="D4" s="1154"/>
      <c r="E4" s="1154"/>
      <c r="F4" s="1154"/>
      <c r="G4" s="1154"/>
      <c r="H4" s="1154"/>
      <c r="I4" s="1154"/>
      <c r="J4" s="1154"/>
      <c r="K4" s="1155"/>
    </row>
    <row r="5" spans="1:11">
      <c r="A5" s="135"/>
      <c r="B5" s="415"/>
      <c r="C5" s="415"/>
      <c r="D5" s="415"/>
      <c r="E5" s="415"/>
      <c r="F5" s="415"/>
      <c r="G5" s="415"/>
      <c r="H5" s="415"/>
      <c r="I5" s="415"/>
      <c r="J5" s="415"/>
      <c r="K5" s="134"/>
    </row>
    <row r="6" spans="1:11" ht="18.75">
      <c r="A6" s="136"/>
      <c r="B6" s="416"/>
      <c r="C6" s="416"/>
      <c r="D6" s="1146">
        <f>'04-22-Master'!D10</f>
        <v>44652</v>
      </c>
      <c r="E6" s="1146"/>
      <c r="F6" s="416"/>
      <c r="G6" s="416"/>
      <c r="H6" s="416"/>
      <c r="I6" s="416"/>
      <c r="J6" s="416"/>
      <c r="K6" s="137"/>
    </row>
    <row r="7" spans="1:11">
      <c r="A7" s="135"/>
      <c r="B7" s="415"/>
      <c r="C7" s="415"/>
      <c r="D7" s="415"/>
      <c r="E7" s="415"/>
      <c r="F7" s="415"/>
      <c r="G7" s="415"/>
      <c r="H7" s="415"/>
      <c r="I7" s="415"/>
      <c r="J7" s="415"/>
      <c r="K7" s="134"/>
    </row>
    <row r="8" spans="1:11">
      <c r="A8" s="138" t="s">
        <v>179</v>
      </c>
      <c r="B8" s="417"/>
      <c r="C8" s="417"/>
      <c r="D8" s="417"/>
      <c r="E8" s="418"/>
      <c r="F8" s="1138" t="str">
        <f>'04-22-Master'!F5</f>
        <v>Burgeon IT Services Pvt.Ltd.</v>
      </c>
      <c r="G8" s="1138"/>
      <c r="H8" s="1138"/>
      <c r="I8" s="1138"/>
      <c r="J8" s="1138"/>
      <c r="K8" s="1139"/>
    </row>
    <row r="9" spans="1:11">
      <c r="A9" s="139"/>
      <c r="B9" s="419"/>
      <c r="C9" s="420"/>
      <c r="D9" s="421"/>
      <c r="E9" s="421"/>
      <c r="F9" s="422"/>
      <c r="G9" s="419"/>
      <c r="H9" s="419"/>
      <c r="I9" s="419"/>
      <c r="J9" s="423"/>
      <c r="K9" s="140"/>
    </row>
    <row r="10" spans="1:11">
      <c r="A10" s="138" t="s">
        <v>180</v>
      </c>
      <c r="B10" s="417"/>
      <c r="C10" s="417"/>
      <c r="D10" s="417"/>
      <c r="E10" s="418"/>
      <c r="F10" s="1138" t="str">
        <f>'04-22-Master'!AJ5</f>
        <v>Burgeon IT Services Pvt.Ltd.</v>
      </c>
      <c r="G10" s="1138"/>
      <c r="H10" s="1138"/>
      <c r="I10" s="1138"/>
      <c r="J10" s="1138"/>
      <c r="K10" s="1139"/>
    </row>
    <row r="11" spans="1:11">
      <c r="A11" s="139"/>
      <c r="B11" s="419"/>
      <c r="C11" s="419"/>
      <c r="D11" s="419"/>
      <c r="E11" s="423"/>
      <c r="F11" s="423" t="str">
        <f>'04-22-Master'!AJ6</f>
        <v>Siri Mansion LIGB 436 Dr.A S Rao Nagar,Hyderabad</v>
      </c>
      <c r="G11" s="419"/>
      <c r="H11" s="419"/>
      <c r="I11" s="419"/>
      <c r="J11" s="423"/>
      <c r="K11" s="140"/>
    </row>
    <row r="12" spans="1:11">
      <c r="A12" s="138" t="s">
        <v>181</v>
      </c>
      <c r="B12" s="417"/>
      <c r="C12" s="417"/>
      <c r="D12" s="417"/>
      <c r="E12" s="418"/>
      <c r="F12" s="1138" t="str">
        <f>'04-22-Master'!AJ10</f>
        <v>INFOSYS  LTD.IL Hyderabad SEZ</v>
      </c>
      <c r="G12" s="1138"/>
      <c r="H12" s="1138"/>
      <c r="I12" s="1138"/>
      <c r="J12" s="1138"/>
      <c r="K12" s="1139"/>
    </row>
    <row r="13" spans="1:11" ht="21">
      <c r="A13" s="141"/>
      <c r="B13" s="424"/>
      <c r="C13" s="424"/>
      <c r="D13" s="424"/>
      <c r="E13" s="425"/>
      <c r="F13" s="400" t="str">
        <f>'04-22-Master'!AJ11</f>
        <v>Sy.No 42,Pocharam Village,Gatkesar Mandal</v>
      </c>
      <c r="G13" s="424"/>
      <c r="H13" s="424"/>
      <c r="I13" s="424"/>
      <c r="J13" s="426"/>
      <c r="K13" s="142"/>
    </row>
    <row r="14" spans="1:11">
      <c r="A14" s="1140" t="s">
        <v>182</v>
      </c>
      <c r="B14" s="1141"/>
      <c r="C14" s="427">
        <f>D41</f>
        <v>16</v>
      </c>
      <c r="D14" s="428"/>
      <c r="E14" s="428"/>
      <c r="F14" s="428"/>
      <c r="G14" s="428"/>
      <c r="H14" s="428"/>
      <c r="I14" s="428"/>
      <c r="J14" s="429"/>
      <c r="K14" s="143"/>
    </row>
    <row r="15" spans="1:11">
      <c r="A15" s="615"/>
      <c r="B15" s="616"/>
      <c r="C15" s="428"/>
      <c r="D15" s="428"/>
      <c r="E15" s="428"/>
      <c r="F15" s="428"/>
      <c r="G15" s="428"/>
      <c r="H15" s="428"/>
      <c r="I15" s="428"/>
      <c r="J15" s="429"/>
      <c r="K15" s="143"/>
    </row>
    <row r="16" spans="1:11">
      <c r="A16" s="1140" t="s">
        <v>183</v>
      </c>
      <c r="B16" s="1141"/>
      <c r="C16" s="427">
        <f>C41</f>
        <v>5</v>
      </c>
      <c r="D16" s="428"/>
      <c r="E16" s="428"/>
      <c r="F16" s="428"/>
      <c r="G16" s="428"/>
      <c r="H16" s="428"/>
      <c r="I16" s="428"/>
      <c r="J16" s="429"/>
      <c r="K16" s="143"/>
    </row>
    <row r="17" spans="1:11">
      <c r="A17" s="1142"/>
      <c r="B17" s="1143"/>
      <c r="C17" s="1143"/>
      <c r="D17" s="1143"/>
      <c r="E17" s="1143"/>
      <c r="F17" s="1143"/>
      <c r="G17" s="1143"/>
      <c r="H17" s="1143"/>
      <c r="I17" s="1143"/>
      <c r="J17" s="617"/>
      <c r="K17" s="144"/>
    </row>
    <row r="18" spans="1:11">
      <c r="A18" s="145"/>
      <c r="B18" s="614"/>
      <c r="C18" s="1136" t="s">
        <v>184</v>
      </c>
      <c r="D18" s="1136"/>
      <c r="E18" s="1136"/>
      <c r="F18" s="1136"/>
      <c r="G18" s="1136"/>
      <c r="H18" s="1136"/>
      <c r="I18" s="1137"/>
      <c r="J18" s="614"/>
      <c r="K18" s="146"/>
    </row>
    <row r="19" spans="1:11" ht="105">
      <c r="A19" s="147" t="s">
        <v>185</v>
      </c>
      <c r="B19" s="430" t="s">
        <v>186</v>
      </c>
      <c r="C19" s="430" t="s">
        <v>187</v>
      </c>
      <c r="D19" s="430" t="s">
        <v>188</v>
      </c>
      <c r="E19" s="430" t="s">
        <v>189</v>
      </c>
      <c r="F19" s="430" t="s">
        <v>190</v>
      </c>
      <c r="G19" s="430" t="s">
        <v>191</v>
      </c>
      <c r="H19" s="430" t="s">
        <v>192</v>
      </c>
      <c r="I19" s="430" t="s">
        <v>193</v>
      </c>
      <c r="J19" s="430" t="s">
        <v>194</v>
      </c>
      <c r="K19" s="148" t="s">
        <v>195</v>
      </c>
    </row>
    <row r="20" spans="1:11" ht="21" customHeight="1">
      <c r="A20" s="149" t="str">
        <f>'04-22-Master'!F16</f>
        <v xml:space="preserve"> SR.Application Consultant</v>
      </c>
      <c r="B20" s="720" t="s">
        <v>395</v>
      </c>
      <c r="C20" s="330">
        <v>0</v>
      </c>
      <c r="D20" s="330">
        <v>1</v>
      </c>
      <c r="E20" s="721">
        <f>'04-22-Master'!S16</f>
        <v>84913</v>
      </c>
      <c r="F20" s="431">
        <f>'04-22-Master'!T16</f>
        <v>50947.8</v>
      </c>
      <c r="G20" s="431">
        <f>'04-22-Master'!X16</f>
        <v>20379.120000000003</v>
      </c>
      <c r="H20" s="431">
        <f>E20-(F20+G20)</f>
        <v>13586.079999999987</v>
      </c>
      <c r="I20" s="432">
        <v>0</v>
      </c>
      <c r="J20" s="622" t="s">
        <v>817</v>
      </c>
      <c r="K20" s="623" t="s">
        <v>818</v>
      </c>
    </row>
    <row r="21" spans="1:11" s="390" customFormat="1" ht="21" customHeight="1">
      <c r="A21" s="149" t="str">
        <f>'04-22-Master'!F17</f>
        <v>Senior Test Engineer</v>
      </c>
      <c r="B21" s="720" t="s">
        <v>395</v>
      </c>
      <c r="C21" s="330">
        <v>0</v>
      </c>
      <c r="D21" s="330">
        <v>1</v>
      </c>
      <c r="E21" s="721">
        <f>'04-22-Master'!S17</f>
        <v>66374</v>
      </c>
      <c r="F21" s="431">
        <f>'04-22-Master'!T17</f>
        <v>39824.400000000001</v>
      </c>
      <c r="G21" s="431">
        <f>'04-22-Master'!X17</f>
        <v>15929.760000000002</v>
      </c>
      <c r="H21" s="431">
        <f t="shared" ref="H21:H37" si="0">E21-(F21+G21)</f>
        <v>10619.839999999997</v>
      </c>
      <c r="I21" s="861">
        <v>0</v>
      </c>
      <c r="J21" s="330"/>
      <c r="K21" s="626" t="s">
        <v>986</v>
      </c>
    </row>
    <row r="22" spans="1:11" s="390" customFormat="1" ht="21" customHeight="1">
      <c r="A22" s="149" t="str">
        <f>'04-22-Master'!F18</f>
        <v>Technical consultant</v>
      </c>
      <c r="B22" s="720" t="s">
        <v>395</v>
      </c>
      <c r="C22" s="330">
        <v>0</v>
      </c>
      <c r="D22" s="330">
        <v>1</v>
      </c>
      <c r="E22" s="721">
        <f>'04-22-Master'!S18</f>
        <v>89547</v>
      </c>
      <c r="F22" s="431">
        <f>'04-22-Master'!T18</f>
        <v>53728.2</v>
      </c>
      <c r="G22" s="431">
        <f>'04-22-Master'!X18</f>
        <v>21491.279999999999</v>
      </c>
      <c r="H22" s="431">
        <f t="shared" si="0"/>
        <v>14327.520000000004</v>
      </c>
      <c r="I22" s="861">
        <v>0</v>
      </c>
      <c r="J22" s="330"/>
      <c r="K22" s="433"/>
    </row>
    <row r="23" spans="1:11" s="390" customFormat="1" ht="21" customHeight="1">
      <c r="A23" s="149" t="str">
        <f>'04-22-Master'!F19</f>
        <v>PMO Manager</v>
      </c>
      <c r="B23" s="720" t="s">
        <v>395</v>
      </c>
      <c r="C23" s="330">
        <v>0</v>
      </c>
      <c r="D23" s="330">
        <v>1</v>
      </c>
      <c r="E23" s="721">
        <f>'04-22-Master'!S19</f>
        <v>103451</v>
      </c>
      <c r="F23" s="431">
        <f>'04-22-Master'!T19</f>
        <v>62070.6</v>
      </c>
      <c r="G23" s="431">
        <f>'04-22-Master'!X19</f>
        <v>24828.240000000002</v>
      </c>
      <c r="H23" s="431">
        <f t="shared" si="0"/>
        <v>16552.160000000003</v>
      </c>
      <c r="I23" s="861">
        <v>0</v>
      </c>
      <c r="J23" s="330"/>
      <c r="K23" s="433"/>
    </row>
    <row r="24" spans="1:11" s="390" customFormat="1" ht="21" customHeight="1">
      <c r="A24" s="149" t="str">
        <f>'04-22-Master'!F20</f>
        <v>Sr. Network Security Engineer</v>
      </c>
      <c r="B24" s="720" t="s">
        <v>395</v>
      </c>
      <c r="C24" s="330">
        <v>0</v>
      </c>
      <c r="D24" s="330">
        <v>1</v>
      </c>
      <c r="E24" s="721">
        <f>'04-22-Master'!S20</f>
        <v>66374</v>
      </c>
      <c r="F24" s="431">
        <f>'04-22-Master'!T20</f>
        <v>39824.400000000001</v>
      </c>
      <c r="G24" s="431">
        <f>'04-22-Master'!X20</f>
        <v>15929.760000000002</v>
      </c>
      <c r="H24" s="431">
        <f t="shared" si="0"/>
        <v>10619.839999999997</v>
      </c>
      <c r="I24" s="861">
        <v>0</v>
      </c>
      <c r="J24" s="330"/>
      <c r="K24" s="433"/>
    </row>
    <row r="25" spans="1:11" s="390" customFormat="1" ht="21" customHeight="1">
      <c r="A25" s="149" t="str">
        <f>'04-22-Master'!F21</f>
        <v>Senior Specialist</v>
      </c>
      <c r="B25" s="720" t="s">
        <v>395</v>
      </c>
      <c r="C25" s="330">
        <v>0</v>
      </c>
      <c r="D25" s="330">
        <v>1</v>
      </c>
      <c r="E25" s="721">
        <f>'04-22-Master'!S21</f>
        <v>84912</v>
      </c>
      <c r="F25" s="431">
        <f>'04-22-Master'!T21</f>
        <v>50947.199999999997</v>
      </c>
      <c r="G25" s="431">
        <f>'04-22-Master'!X21</f>
        <v>20378.88</v>
      </c>
      <c r="H25" s="431">
        <f t="shared" si="0"/>
        <v>13585.919999999998</v>
      </c>
      <c r="I25" s="861">
        <v>0</v>
      </c>
      <c r="J25" s="330"/>
      <c r="K25" s="433"/>
    </row>
    <row r="26" spans="1:11" s="390" customFormat="1" ht="21" customHeight="1">
      <c r="A26" s="149" t="str">
        <f>'04-22-Master'!F22</f>
        <v xml:space="preserve">TECHNICAL SOLUTION CONSULTANT </v>
      </c>
      <c r="B26" s="720" t="s">
        <v>395</v>
      </c>
      <c r="C26" s="330">
        <v>1</v>
      </c>
      <c r="D26" s="330">
        <v>0</v>
      </c>
      <c r="E26" s="721">
        <f>'04-22-Master'!S22</f>
        <v>108085</v>
      </c>
      <c r="F26" s="431">
        <f>'04-22-Master'!T22</f>
        <v>64851</v>
      </c>
      <c r="G26" s="431">
        <f>'04-22-Master'!X22</f>
        <v>25940.400000000001</v>
      </c>
      <c r="H26" s="431">
        <f t="shared" si="0"/>
        <v>17293.600000000006</v>
      </c>
      <c r="I26" s="861">
        <v>0</v>
      </c>
      <c r="J26" s="330"/>
      <c r="K26" s="433"/>
    </row>
    <row r="27" spans="1:11" s="390" customFormat="1" ht="21" customHeight="1">
      <c r="A27" s="149" t="str">
        <f>'04-22-Master'!F23</f>
        <v>Incident Governance Manager</v>
      </c>
      <c r="B27" s="720" t="s">
        <v>395</v>
      </c>
      <c r="C27" s="330">
        <v>0</v>
      </c>
      <c r="D27" s="330">
        <v>1</v>
      </c>
      <c r="E27" s="721">
        <f>'04-22-Master'!S23</f>
        <v>140526</v>
      </c>
      <c r="F27" s="431">
        <f>'04-22-Master'!T23</f>
        <v>84315.6</v>
      </c>
      <c r="G27" s="431">
        <f>'04-22-Master'!X23</f>
        <v>33726.240000000005</v>
      </c>
      <c r="H27" s="431">
        <f t="shared" si="0"/>
        <v>22484.159999999989</v>
      </c>
      <c r="I27" s="861">
        <v>0</v>
      </c>
      <c r="J27" s="330"/>
      <c r="K27" s="433"/>
    </row>
    <row r="28" spans="1:11">
      <c r="A28" s="149" t="str">
        <f>'04-22-Master'!F24</f>
        <v>Technical Lead</v>
      </c>
      <c r="B28" s="720" t="s">
        <v>395</v>
      </c>
      <c r="C28" s="330">
        <v>1</v>
      </c>
      <c r="D28" s="330">
        <v>0</v>
      </c>
      <c r="E28" s="721">
        <f>'04-22-Master'!S24</f>
        <v>98816</v>
      </c>
      <c r="F28" s="431">
        <f>'04-22-Master'!T24</f>
        <v>57313.279999999999</v>
      </c>
      <c r="G28" s="431">
        <f>'04-22-Master'!X24</f>
        <v>22925.312000000002</v>
      </c>
      <c r="H28" s="431">
        <f t="shared" si="0"/>
        <v>18577.407999999996</v>
      </c>
      <c r="I28" s="861">
        <v>0</v>
      </c>
      <c r="J28" s="294"/>
      <c r="K28" s="260"/>
    </row>
    <row r="29" spans="1:11">
      <c r="A29" s="149" t="str">
        <f>'04-22-Master'!F25</f>
        <v>Service Now Developer</v>
      </c>
      <c r="B29" s="720" t="s">
        <v>395</v>
      </c>
      <c r="C29" s="330">
        <v>1</v>
      </c>
      <c r="D29" s="330">
        <v>0</v>
      </c>
      <c r="E29" s="721">
        <f>'04-22-Master'!S25</f>
        <v>75643</v>
      </c>
      <c r="F29" s="431">
        <f>'04-22-Master'!T25</f>
        <v>45385.8</v>
      </c>
      <c r="G29" s="431">
        <f>'04-22-Master'!X25</f>
        <v>18154.320000000003</v>
      </c>
      <c r="H29" s="431">
        <f t="shared" si="0"/>
        <v>12102.87999999999</v>
      </c>
      <c r="I29" s="861">
        <v>0</v>
      </c>
      <c r="J29" s="294"/>
      <c r="K29" s="260"/>
    </row>
    <row r="30" spans="1:11" s="390" customFormat="1">
      <c r="A30" s="149" t="str">
        <f>'04-22-Master'!F26</f>
        <v>SAP Basis Consultant</v>
      </c>
      <c r="B30" s="720" t="s">
        <v>395</v>
      </c>
      <c r="C30" s="330">
        <v>1</v>
      </c>
      <c r="D30" s="330">
        <v>0</v>
      </c>
      <c r="E30" s="721">
        <f>'04-22-Master'!S26</f>
        <v>38567</v>
      </c>
      <c r="F30" s="431">
        <f>'04-22-Master'!T26</f>
        <v>23140.2</v>
      </c>
      <c r="G30" s="431">
        <f>'04-22-Master'!X26</f>
        <v>9256.08</v>
      </c>
      <c r="H30" s="431">
        <f t="shared" si="0"/>
        <v>6170.7200000000012</v>
      </c>
      <c r="I30" s="861">
        <v>0</v>
      </c>
      <c r="J30" s="294"/>
      <c r="K30" s="294"/>
    </row>
    <row r="31" spans="1:11" s="390" customFormat="1">
      <c r="A31" s="149" t="str">
        <f>'04-22-Master'!F27</f>
        <v>SAP Basis Consultant</v>
      </c>
      <c r="B31" s="720" t="s">
        <v>395</v>
      </c>
      <c r="C31" s="330">
        <v>0</v>
      </c>
      <c r="D31" s="330">
        <v>1</v>
      </c>
      <c r="E31" s="721">
        <f>'04-22-Master'!S27</f>
        <v>24636</v>
      </c>
      <c r="F31" s="431">
        <f>'04-22-Master'!T27</f>
        <v>14781.6</v>
      </c>
      <c r="G31" s="431">
        <f>'04-22-Master'!X27</f>
        <v>5912.64</v>
      </c>
      <c r="H31" s="431">
        <f t="shared" si="0"/>
        <v>3941.7599999999984</v>
      </c>
      <c r="I31" s="861">
        <v>0</v>
      </c>
      <c r="J31" s="294"/>
      <c r="K31" s="294"/>
    </row>
    <row r="32" spans="1:11">
      <c r="A32" s="149" t="str">
        <f>'04-22-Master'!F28</f>
        <v>SAP Basis Consultant</v>
      </c>
      <c r="B32" s="720" t="s">
        <v>395</v>
      </c>
      <c r="C32" s="330">
        <v>0</v>
      </c>
      <c r="D32" s="330">
        <v>1</v>
      </c>
      <c r="E32" s="721">
        <f>'04-22-Master'!S28</f>
        <v>38567</v>
      </c>
      <c r="F32" s="431">
        <f>'04-22-Master'!T28</f>
        <v>23140.2</v>
      </c>
      <c r="G32" s="431">
        <f>'04-22-Master'!X28</f>
        <v>9256.08</v>
      </c>
      <c r="H32" s="431">
        <f t="shared" si="0"/>
        <v>6170.7200000000012</v>
      </c>
      <c r="I32" s="861">
        <v>0</v>
      </c>
      <c r="J32" s="294"/>
      <c r="K32" s="294"/>
    </row>
    <row r="33" spans="1:11">
      <c r="A33" s="149" t="str">
        <f>'04-22-Master'!F29</f>
        <v>SAP Basis Consultant</v>
      </c>
      <c r="B33" s="720" t="s">
        <v>395</v>
      </c>
      <c r="C33" s="330">
        <v>0</v>
      </c>
      <c r="D33" s="330">
        <v>1</v>
      </c>
      <c r="E33" s="721">
        <f>'04-22-Master'!S29</f>
        <v>38567</v>
      </c>
      <c r="F33" s="431">
        <f>'04-22-Master'!T29</f>
        <v>23140.2</v>
      </c>
      <c r="G33" s="431">
        <f>'04-22-Master'!X29</f>
        <v>9256.08</v>
      </c>
      <c r="H33" s="431">
        <f t="shared" si="0"/>
        <v>6170.7200000000012</v>
      </c>
      <c r="I33" s="861">
        <v>0</v>
      </c>
      <c r="J33" s="294"/>
      <c r="K33" s="294"/>
    </row>
    <row r="34" spans="1:11">
      <c r="A34" s="149" t="str">
        <f>'04-22-Master'!F30</f>
        <v>Data Engineer</v>
      </c>
      <c r="B34" s="720" t="s">
        <v>395</v>
      </c>
      <c r="C34" s="330">
        <v>1</v>
      </c>
      <c r="D34" s="330">
        <v>0</v>
      </c>
      <c r="E34" s="721">
        <f>'04-22-Master'!S30</f>
        <v>103450</v>
      </c>
      <c r="F34" s="431">
        <f>'04-22-Master'!T30</f>
        <v>62070</v>
      </c>
      <c r="G34" s="431">
        <f>'04-22-Master'!X30</f>
        <v>24828</v>
      </c>
      <c r="H34" s="431">
        <f t="shared" si="0"/>
        <v>16552</v>
      </c>
      <c r="I34" s="861">
        <v>0</v>
      </c>
      <c r="J34" s="294"/>
      <c r="K34" s="294"/>
    </row>
    <row r="35" spans="1:11" s="390" customFormat="1">
      <c r="A35" s="149" t="str">
        <f>'04-22-Master'!F31</f>
        <v>SOFTWARE ENGINEER</v>
      </c>
      <c r="B35" s="720" t="s">
        <v>395</v>
      </c>
      <c r="C35" s="330">
        <v>0</v>
      </c>
      <c r="D35" s="330">
        <v>1</v>
      </c>
      <c r="E35" s="721">
        <f>'04-22-Master'!S31</f>
        <v>80278</v>
      </c>
      <c r="F35" s="431">
        <f>'04-22-Master'!T31</f>
        <v>48166.8</v>
      </c>
      <c r="G35" s="431">
        <f>'04-22-Master'!X31</f>
        <v>19266.72</v>
      </c>
      <c r="H35" s="431">
        <f t="shared" si="0"/>
        <v>12844.479999999996</v>
      </c>
      <c r="I35" s="861">
        <v>0</v>
      </c>
      <c r="J35" s="294"/>
      <c r="K35" s="294"/>
    </row>
    <row r="36" spans="1:11" s="390" customFormat="1">
      <c r="A36" s="149" t="str">
        <f>'04-22-Master'!F32</f>
        <v>Sr Developer technical lead</v>
      </c>
      <c r="B36" s="720" t="s">
        <v>395</v>
      </c>
      <c r="C36" s="330">
        <v>0</v>
      </c>
      <c r="D36" s="330">
        <v>1</v>
      </c>
      <c r="E36" s="721">
        <f>'04-22-Master'!S32</f>
        <v>131257</v>
      </c>
      <c r="F36" s="431">
        <f>'04-22-Master'!T32</f>
        <v>78754.2</v>
      </c>
      <c r="G36" s="431">
        <f>'04-22-Master'!X32</f>
        <v>31501.68</v>
      </c>
      <c r="H36" s="431">
        <f t="shared" si="0"/>
        <v>21001.119999999995</v>
      </c>
      <c r="I36" s="861">
        <v>0</v>
      </c>
      <c r="J36" s="857"/>
      <c r="K36" s="857"/>
    </row>
    <row r="37" spans="1:11" s="390" customFormat="1">
      <c r="A37" s="149" t="str">
        <f>'04-22-Master'!F33</f>
        <v>JAVA DEVELOPER</v>
      </c>
      <c r="B37" s="720" t="s">
        <v>395</v>
      </c>
      <c r="C37" s="330">
        <v>0</v>
      </c>
      <c r="D37" s="330">
        <v>1</v>
      </c>
      <c r="E37" s="721">
        <f>'04-22-Master'!S33</f>
        <v>68182</v>
      </c>
      <c r="F37" s="431">
        <f>'04-22-Master'!T33</f>
        <v>40909.199999999997</v>
      </c>
      <c r="G37" s="431">
        <f>'04-22-Master'!X33</f>
        <v>16363.68</v>
      </c>
      <c r="H37" s="431">
        <f t="shared" si="0"/>
        <v>10909.120000000003</v>
      </c>
      <c r="I37" s="861">
        <v>0</v>
      </c>
      <c r="J37" s="857"/>
      <c r="K37" s="857"/>
    </row>
    <row r="38" spans="1:11" s="390" customFormat="1" ht="22.9" customHeight="1">
      <c r="A38" s="149" t="str">
        <f>'04-22-Master'!F34</f>
        <v>Senior Administrator</v>
      </c>
      <c r="B38" s="720" t="s">
        <v>395</v>
      </c>
      <c r="C38" s="330">
        <v>0</v>
      </c>
      <c r="D38" s="330">
        <v>1</v>
      </c>
      <c r="E38" s="721">
        <f>'04-22-Master'!S34</f>
        <v>112719</v>
      </c>
      <c r="F38" s="431">
        <f>'04-22-Master'!T34</f>
        <v>60868.26</v>
      </c>
      <c r="G38" s="431">
        <f>'04-22-Master'!X34</f>
        <v>24347.304000000004</v>
      </c>
      <c r="H38" s="431">
        <f t="shared" ref="H38:H39" si="1">E38-(F38+G38)</f>
        <v>27503.435999999987</v>
      </c>
      <c r="I38" s="861">
        <v>0</v>
      </c>
      <c r="J38" s="857"/>
      <c r="K38" s="857"/>
    </row>
    <row r="39" spans="1:11" s="390" customFormat="1">
      <c r="A39" s="149" t="str">
        <f>'04-22-Master'!F35</f>
        <v>Technical Consultant</v>
      </c>
      <c r="B39" s="720" t="s">
        <v>395</v>
      </c>
      <c r="C39" s="330">
        <v>0</v>
      </c>
      <c r="D39" s="330">
        <v>1</v>
      </c>
      <c r="E39" s="721">
        <f>'04-22-Master'!S35</f>
        <v>75643</v>
      </c>
      <c r="F39" s="431">
        <f>'04-22-Master'!T35</f>
        <v>16641.46</v>
      </c>
      <c r="G39" s="431">
        <f>'04-22-Master'!X35</f>
        <v>6656.5839999999998</v>
      </c>
      <c r="H39" s="431">
        <f t="shared" si="1"/>
        <v>52344.956000000006</v>
      </c>
      <c r="I39" s="861">
        <v>0</v>
      </c>
      <c r="J39" s="857"/>
      <c r="K39" s="857"/>
    </row>
    <row r="40" spans="1:11" s="390" customFormat="1">
      <c r="A40" s="149" t="str">
        <f>'04-22-Master'!F36</f>
        <v>Security Administrator</v>
      </c>
      <c r="B40" s="720" t="s">
        <v>395</v>
      </c>
      <c r="C40" s="330">
        <v>0</v>
      </c>
      <c r="D40" s="330">
        <v>1</v>
      </c>
      <c r="E40" s="721">
        <f>'04-22-Master'!S36</f>
        <v>135892</v>
      </c>
      <c r="F40" s="431">
        <f>'04-22-Master'!T36</f>
        <v>16307.04</v>
      </c>
      <c r="G40" s="431">
        <f>'04-22-Master'!X36</f>
        <v>6522.8160000000007</v>
      </c>
      <c r="H40" s="431">
        <f t="shared" ref="H40" si="2">E40-(F40+G40)</f>
        <v>113062.144</v>
      </c>
      <c r="I40" s="861">
        <v>0</v>
      </c>
      <c r="J40" s="857"/>
      <c r="K40" s="857"/>
    </row>
    <row r="41" spans="1:11" s="855" customFormat="1">
      <c r="A41" s="329"/>
      <c r="B41" s="846"/>
      <c r="C41" s="846">
        <f>SUM(C20:C40)</f>
        <v>5</v>
      </c>
      <c r="D41" s="846">
        <f>SUM(D20:D40)</f>
        <v>16</v>
      </c>
      <c r="E41" s="847"/>
      <c r="F41" s="847"/>
      <c r="G41" s="847"/>
      <c r="H41" s="847"/>
      <c r="I41" s="329"/>
      <c r="J41" s="300"/>
      <c r="K41" s="300"/>
    </row>
    <row r="42" spans="1:11" s="855" customFormat="1">
      <c r="A42" s="329"/>
      <c r="B42" s="846"/>
      <c r="C42" s="846"/>
      <c r="D42" s="846"/>
      <c r="E42" s="847"/>
      <c r="F42" s="847"/>
      <c r="G42" s="847"/>
      <c r="H42" s="847"/>
      <c r="I42" s="329"/>
      <c r="J42" s="300"/>
      <c r="K42" s="300"/>
    </row>
    <row r="43" spans="1:11" s="855" customFormat="1">
      <c r="A43" s="329"/>
      <c r="B43" s="846"/>
      <c r="C43" s="846"/>
      <c r="D43" s="846"/>
      <c r="E43" s="847"/>
      <c r="F43" s="847"/>
      <c r="G43" s="847"/>
      <c r="H43" s="847"/>
      <c r="I43" s="329"/>
      <c r="J43" s="300"/>
      <c r="K43" s="300"/>
    </row>
    <row r="44" spans="1:11" s="390" customFormat="1" ht="23.25" customHeight="1">
      <c r="A44" s="300"/>
      <c r="B44" s="300"/>
      <c r="C44" s="300"/>
      <c r="D44" s="300"/>
      <c r="E44" s="300"/>
      <c r="F44" s="300"/>
      <c r="G44" s="300"/>
      <c r="H44" s="301"/>
      <c r="I44" s="300"/>
      <c r="J44" s="300"/>
      <c r="K44" s="300"/>
    </row>
    <row r="45" spans="1:11" s="390" customFormat="1" ht="23.25" customHeight="1">
      <c r="A45" s="300"/>
      <c r="B45" s="300"/>
      <c r="C45" s="300"/>
      <c r="D45" s="300"/>
      <c r="E45" s="300"/>
      <c r="F45" s="300"/>
      <c r="G45" s="300"/>
      <c r="H45" s="301"/>
      <c r="I45" s="300"/>
      <c r="J45" s="300"/>
      <c r="K45" s="300"/>
    </row>
    <row r="46" spans="1:11" s="390" customFormat="1" ht="23.25" customHeight="1">
      <c r="A46" s="300"/>
      <c r="B46" s="300"/>
      <c r="C46" s="300"/>
      <c r="D46" s="300"/>
      <c r="E46" s="300"/>
      <c r="F46" s="300"/>
      <c r="G46" s="300"/>
      <c r="I46" s="300"/>
      <c r="J46" s="300"/>
      <c r="K46" s="300"/>
    </row>
    <row r="47" spans="1:11" s="390" customFormat="1" ht="23.25" customHeight="1">
      <c r="A47" s="300"/>
      <c r="B47" s="300"/>
      <c r="C47" s="300"/>
      <c r="D47" s="300"/>
      <c r="E47" s="300"/>
      <c r="F47" s="300"/>
      <c r="G47" s="300"/>
      <c r="H47" s="301"/>
      <c r="I47" s="301" t="s">
        <v>38</v>
      </c>
      <c r="J47" s="300"/>
      <c r="K47" s="300"/>
    </row>
    <row r="48" spans="1:11" s="390" customFormat="1">
      <c r="A48" s="300"/>
      <c r="B48" s="300"/>
      <c r="C48" s="300"/>
      <c r="D48" s="300"/>
      <c r="E48" s="300"/>
      <c r="F48" s="300"/>
      <c r="G48" s="300"/>
      <c r="H48" s="301"/>
      <c r="I48" s="300"/>
      <c r="J48" s="300"/>
      <c r="K48" s="300"/>
    </row>
  </sheetData>
  <mergeCells count="12">
    <mergeCell ref="F8:K8"/>
    <mergeCell ref="A3:I3"/>
    <mergeCell ref="D6:E6"/>
    <mergeCell ref="A1:K1"/>
    <mergeCell ref="A2:K2"/>
    <mergeCell ref="A4:K4"/>
    <mergeCell ref="C18:I18"/>
    <mergeCell ref="F10:K10"/>
    <mergeCell ref="F12:K12"/>
    <mergeCell ref="A14:B14"/>
    <mergeCell ref="A16:B16"/>
    <mergeCell ref="A17:I17"/>
  </mergeCells>
  <pageMargins left="0.86614173228346458" right="0.70866141732283472" top="0.74803149606299213" bottom="0.74803149606299213" header="0.31496062992125984" footer="0.31496062992125984"/>
  <pageSetup paperSize="8" scale="95"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F41"/>
  <sheetViews>
    <sheetView tabSelected="1" topLeftCell="R7" workbookViewId="0">
      <selection activeCell="S14" sqref="S14"/>
    </sheetView>
  </sheetViews>
  <sheetFormatPr defaultColWidth="9.140625" defaultRowHeight="15.75"/>
  <cols>
    <col min="1" max="1" width="4" style="326" customWidth="1"/>
    <col min="2" max="2" width="31.42578125" style="325" customWidth="1"/>
    <col min="3" max="3" width="23" style="325" customWidth="1"/>
    <col min="4" max="4" width="12.42578125" style="325" customWidth="1"/>
    <col min="5" max="6" width="4.42578125" style="325" customWidth="1"/>
    <col min="7" max="7" width="4.42578125" style="951" customWidth="1"/>
    <col min="8" max="31" width="4.42578125" style="325" customWidth="1"/>
    <col min="32" max="32" width="5.140625" style="325" customWidth="1"/>
    <col min="33" max="34" width="4.42578125" style="325" customWidth="1"/>
    <col min="35" max="35" width="11.85546875" style="325" customWidth="1"/>
    <col min="36" max="36" width="10.140625" style="325" customWidth="1"/>
    <col min="37" max="38" width="9.140625" style="918"/>
    <col min="39" max="39" width="3.7109375" style="918" customWidth="1"/>
    <col min="40" max="86" width="9.140625" style="918"/>
    <col min="87" max="16384" width="9.140625" style="325"/>
  </cols>
  <sheetData>
    <row r="1" spans="1:86" ht="48" customHeight="1">
      <c r="A1" s="1158" t="s">
        <v>1098</v>
      </c>
      <c r="B1" s="1159"/>
      <c r="C1" s="1159"/>
      <c r="D1" s="1159"/>
      <c r="E1" s="1159"/>
      <c r="F1" s="1159"/>
      <c r="G1" s="1159"/>
      <c r="H1" s="1159"/>
      <c r="I1" s="1159"/>
      <c r="J1" s="1159"/>
      <c r="K1" s="1159"/>
      <c r="L1" s="1159"/>
      <c r="M1" s="1159"/>
      <c r="N1" s="1159"/>
      <c r="O1" s="1159"/>
      <c r="P1" s="1159"/>
      <c r="Q1" s="1159"/>
      <c r="R1" s="1159"/>
      <c r="S1" s="1159"/>
      <c r="T1" s="1159"/>
      <c r="U1" s="1159"/>
      <c r="V1" s="1159"/>
      <c r="W1" s="1159"/>
      <c r="X1" s="1159"/>
      <c r="Y1" s="1159"/>
      <c r="Z1" s="1159"/>
      <c r="AA1" s="1159"/>
      <c r="AB1" s="1159"/>
      <c r="AC1" s="1159"/>
      <c r="AD1" s="1159"/>
      <c r="AE1" s="1159"/>
      <c r="AF1" s="1159"/>
      <c r="AG1" s="1159"/>
      <c r="AH1" s="1159"/>
      <c r="AI1" s="1159"/>
      <c r="AJ1" s="1160"/>
    </row>
    <row r="2" spans="1:86" ht="30" customHeight="1">
      <c r="A2" s="950"/>
      <c r="AJ2" s="918"/>
    </row>
    <row r="3" spans="1:86" ht="30" customHeight="1">
      <c r="A3" s="1161" t="s">
        <v>1097</v>
      </c>
      <c r="B3" s="1162"/>
      <c r="C3" s="1163"/>
      <c r="D3" s="929" t="str">
        <f>'04-22-Master'!F5</f>
        <v>Burgeon IT Services Pvt.Ltd.</v>
      </c>
      <c r="E3" s="952"/>
      <c r="F3" s="952"/>
      <c r="G3" s="953"/>
      <c r="H3" s="952"/>
      <c r="I3" s="954"/>
      <c r="J3" s="955" t="s">
        <v>1</v>
      </c>
      <c r="K3" s="956"/>
      <c r="L3" s="956"/>
      <c r="M3" s="956"/>
      <c r="N3" s="956"/>
      <c r="O3" s="956"/>
      <c r="P3" s="956"/>
      <c r="Q3" s="956"/>
      <c r="R3" s="956"/>
      <c r="S3" s="956"/>
      <c r="T3" s="956"/>
      <c r="U3" s="956"/>
      <c r="V3" s="956"/>
      <c r="W3" s="957"/>
      <c r="X3" s="956"/>
      <c r="Y3" s="958"/>
      <c r="Z3" s="930" t="str">
        <f>'04-22-Master'!AJ5</f>
        <v>Burgeon IT Services Pvt.Ltd.</v>
      </c>
      <c r="AA3" s="956"/>
      <c r="AB3" s="956"/>
      <c r="AC3" s="956"/>
      <c r="AD3" s="956"/>
      <c r="AE3" s="956"/>
      <c r="AF3" s="956"/>
      <c r="AG3" s="956"/>
      <c r="AH3" s="956"/>
      <c r="AI3" s="956"/>
      <c r="AJ3" s="956"/>
    </row>
    <row r="4" spans="1:86" ht="30" customHeight="1">
      <c r="A4" s="959"/>
      <c r="D4" s="931" t="str">
        <f>'04-22-Master'!F6</f>
        <v>Siri Mansion LIGB 436 Dr.A S Rao Nagar,Hyderabad</v>
      </c>
      <c r="E4" s="957"/>
      <c r="F4" s="957"/>
      <c r="G4" s="960"/>
      <c r="H4" s="957"/>
      <c r="I4" s="957"/>
      <c r="J4" s="961"/>
      <c r="K4" s="962"/>
      <c r="L4" s="962"/>
      <c r="M4" s="962"/>
      <c r="N4" s="962"/>
      <c r="O4" s="962"/>
      <c r="P4" s="962"/>
      <c r="Q4" s="963"/>
      <c r="R4" s="964"/>
      <c r="S4" s="935"/>
      <c r="T4" s="935"/>
      <c r="U4" s="935"/>
      <c r="V4" s="935"/>
      <c r="W4" s="957"/>
      <c r="X4" s="935"/>
      <c r="Y4" s="935"/>
      <c r="Z4" s="933" t="str">
        <f>'04-22-Master'!AJ6</f>
        <v>Siri Mansion LIGB 436 Dr.A S Rao Nagar,Hyderabad</v>
      </c>
      <c r="AA4" s="935"/>
      <c r="AB4" s="935"/>
      <c r="AC4" s="935"/>
      <c r="AD4" s="935"/>
      <c r="AE4" s="935"/>
      <c r="AF4" s="935"/>
      <c r="AG4" s="935"/>
      <c r="AH4" s="935"/>
      <c r="AI4" s="935"/>
      <c r="AJ4" s="935"/>
    </row>
    <row r="5" spans="1:86" ht="30" customHeight="1">
      <c r="A5" s="1161" t="s">
        <v>2</v>
      </c>
      <c r="B5" s="1162"/>
      <c r="C5" s="1163"/>
      <c r="D5" s="934" t="str">
        <f>'[3]HYD-Master-JULY21'!F8</f>
        <v>IT Support Services &amp; Hyderabad</v>
      </c>
      <c r="E5" s="957"/>
      <c r="F5" s="957"/>
      <c r="G5" s="960"/>
      <c r="H5" s="957"/>
      <c r="I5" s="957"/>
      <c r="J5" s="957"/>
      <c r="K5" s="935"/>
      <c r="L5" s="935"/>
      <c r="M5" s="935"/>
      <c r="N5" s="935"/>
      <c r="O5" s="935"/>
      <c r="P5" s="935"/>
      <c r="Q5" s="965"/>
      <c r="R5" s="964"/>
      <c r="S5" s="935"/>
      <c r="T5" s="935"/>
      <c r="U5" s="935"/>
      <c r="V5" s="935"/>
      <c r="W5" s="957"/>
      <c r="X5" s="935"/>
      <c r="Y5" s="935"/>
      <c r="Z5" s="935"/>
      <c r="AA5" s="935"/>
      <c r="AB5" s="935"/>
      <c r="AC5" s="935"/>
      <c r="AD5" s="935"/>
      <c r="AE5" s="935"/>
      <c r="AF5" s="935"/>
      <c r="AG5" s="935"/>
      <c r="AH5" s="935"/>
      <c r="AI5" s="935"/>
      <c r="AJ5" s="935"/>
    </row>
    <row r="6" spans="1:86" ht="30" customHeight="1">
      <c r="A6" s="1164" t="s">
        <v>3</v>
      </c>
      <c r="B6" s="1165"/>
      <c r="C6" s="1166"/>
      <c r="D6" s="1170">
        <f>'04-22-Master'!D10</f>
        <v>44652</v>
      </c>
      <c r="E6" s="966"/>
      <c r="F6" s="952"/>
      <c r="G6" s="953"/>
      <c r="H6" s="952"/>
      <c r="I6" s="954"/>
      <c r="J6" s="1172" t="s">
        <v>4</v>
      </c>
      <c r="K6" s="1165"/>
      <c r="L6" s="1165"/>
      <c r="M6" s="1165"/>
      <c r="N6" s="1165"/>
      <c r="O6" s="1165"/>
      <c r="P6" s="1165"/>
      <c r="Q6" s="1165"/>
      <c r="R6" s="1165"/>
      <c r="S6" s="1165"/>
      <c r="T6" s="1165"/>
      <c r="U6" s="1165"/>
      <c r="V6" s="1165"/>
      <c r="W6" s="1165"/>
      <c r="X6" s="1165"/>
      <c r="Y6" s="1166"/>
      <c r="Z6" s="967" t="str">
        <f>'04-22-Master'!AJ10</f>
        <v>INFOSYS  LTD.IL Hyderabad SEZ</v>
      </c>
      <c r="AA6" s="968"/>
      <c r="AB6" s="968"/>
      <c r="AC6" s="968"/>
      <c r="AD6" s="968"/>
      <c r="AE6" s="968"/>
      <c r="AF6" s="968"/>
      <c r="AG6" s="968"/>
      <c r="AH6" s="968"/>
      <c r="AI6" s="968"/>
      <c r="AJ6" s="968"/>
    </row>
    <row r="7" spans="1:86" ht="30" customHeight="1">
      <c r="A7" s="1167"/>
      <c r="B7" s="1168"/>
      <c r="C7" s="1169"/>
      <c r="D7" s="1171"/>
      <c r="E7" s="938"/>
      <c r="F7" s="961"/>
      <c r="G7" s="969"/>
      <c r="H7" s="961"/>
      <c r="I7" s="970"/>
      <c r="J7" s="1173"/>
      <c r="K7" s="1168"/>
      <c r="L7" s="1168"/>
      <c r="M7" s="1168"/>
      <c r="N7" s="1168"/>
      <c r="O7" s="1168"/>
      <c r="P7" s="1168"/>
      <c r="Q7" s="1168"/>
      <c r="R7" s="1168"/>
      <c r="S7" s="1168"/>
      <c r="T7" s="1168"/>
      <c r="U7" s="1168"/>
      <c r="V7" s="1168"/>
      <c r="W7" s="1168"/>
      <c r="X7" s="1168"/>
      <c r="Y7" s="1169"/>
      <c r="Z7" s="938" t="str">
        <f>'04-22-Master'!AJ11</f>
        <v>Sy.No 42,Pocharam Village,Gatkesar Mandal</v>
      </c>
      <c r="AA7" s="961"/>
      <c r="AB7" s="961"/>
      <c r="AC7" s="961"/>
      <c r="AD7" s="961"/>
      <c r="AE7" s="961"/>
      <c r="AF7" s="961"/>
      <c r="AG7" s="961"/>
      <c r="AH7" s="961"/>
      <c r="AI7" s="961"/>
      <c r="AJ7" s="961"/>
    </row>
    <row r="8" spans="1:86" ht="30" customHeight="1">
      <c r="A8" s="950"/>
      <c r="Z8" s="326"/>
      <c r="AJ8" s="918"/>
    </row>
    <row r="9" spans="1:86" ht="30" customHeight="1">
      <c r="A9" s="950"/>
      <c r="W9" s="326"/>
      <c r="AJ9" s="918"/>
    </row>
    <row r="10" spans="1:86" s="687" customFormat="1" ht="23.25" customHeight="1">
      <c r="A10" s="1174" t="s">
        <v>5</v>
      </c>
      <c r="B10" s="1176" t="s">
        <v>6</v>
      </c>
      <c r="C10" s="1178" t="s">
        <v>39</v>
      </c>
      <c r="D10" s="1179" t="s">
        <v>40</v>
      </c>
      <c r="E10" s="939"/>
      <c r="F10" s="940"/>
      <c r="G10" s="940"/>
      <c r="H10" s="940"/>
      <c r="I10" s="940"/>
      <c r="J10" s="940"/>
      <c r="K10" s="940"/>
      <c r="L10" s="940"/>
      <c r="M10" s="940"/>
      <c r="N10" s="940"/>
      <c r="O10" s="940"/>
      <c r="P10" s="940"/>
      <c r="Q10" s="940"/>
      <c r="R10" s="940"/>
      <c r="S10" s="940"/>
      <c r="T10" s="940"/>
      <c r="U10" s="940"/>
      <c r="V10" s="940"/>
      <c r="W10" s="940"/>
      <c r="X10" s="940"/>
      <c r="Y10" s="940"/>
      <c r="Z10" s="940"/>
      <c r="AA10" s="940"/>
      <c r="AB10" s="940"/>
      <c r="AC10" s="940"/>
      <c r="AD10" s="940"/>
      <c r="AE10" s="940"/>
      <c r="AF10" s="940"/>
      <c r="AG10" s="940"/>
      <c r="AH10" s="940"/>
      <c r="AI10" s="940"/>
      <c r="AJ10" s="941"/>
      <c r="AK10" s="971"/>
      <c r="AL10" s="971"/>
      <c r="AM10" s="971"/>
      <c r="AN10" s="971"/>
      <c r="AO10" s="971"/>
      <c r="AP10" s="971"/>
      <c r="AQ10" s="971"/>
      <c r="AR10" s="971"/>
      <c r="AS10" s="971"/>
      <c r="AT10" s="971"/>
      <c r="AU10" s="971"/>
      <c r="AV10" s="971"/>
      <c r="AW10" s="971"/>
      <c r="AX10" s="971"/>
      <c r="AY10" s="971"/>
      <c r="AZ10" s="971"/>
      <c r="BA10" s="971"/>
      <c r="BB10" s="971"/>
      <c r="BC10" s="971"/>
      <c r="BD10" s="971"/>
      <c r="BE10" s="971"/>
      <c r="BF10" s="971"/>
      <c r="BG10" s="971"/>
      <c r="BH10" s="971"/>
      <c r="BI10" s="971"/>
      <c r="BJ10" s="971"/>
      <c r="BK10" s="971"/>
      <c r="BL10" s="971"/>
      <c r="BM10" s="971"/>
      <c r="BN10" s="971"/>
      <c r="BO10" s="971"/>
      <c r="BP10" s="971"/>
      <c r="BQ10" s="971"/>
      <c r="BR10" s="971"/>
      <c r="BS10" s="971"/>
      <c r="BT10" s="971"/>
      <c r="BU10" s="971"/>
      <c r="BV10" s="971"/>
      <c r="BW10" s="971"/>
      <c r="BX10" s="971"/>
      <c r="BY10" s="971"/>
      <c r="BZ10" s="971"/>
      <c r="CA10" s="971"/>
      <c r="CB10" s="971"/>
      <c r="CC10" s="971"/>
      <c r="CD10" s="971"/>
      <c r="CE10" s="971"/>
      <c r="CF10" s="971"/>
      <c r="CG10" s="971"/>
      <c r="CH10" s="971"/>
    </row>
    <row r="11" spans="1:86" ht="33.6" customHeight="1">
      <c r="A11" s="1175"/>
      <c r="B11" s="1177"/>
      <c r="C11" s="1178"/>
      <c r="D11" s="1179"/>
      <c r="E11" s="942">
        <v>1</v>
      </c>
      <c r="F11" s="942">
        <v>2</v>
      </c>
      <c r="G11" s="942">
        <v>3</v>
      </c>
      <c r="H11" s="942">
        <v>4</v>
      </c>
      <c r="I11" s="942">
        <v>5</v>
      </c>
      <c r="J11" s="942">
        <v>6</v>
      </c>
      <c r="K11" s="942">
        <v>7</v>
      </c>
      <c r="L11" s="942">
        <v>8</v>
      </c>
      <c r="M11" s="942">
        <v>9</v>
      </c>
      <c r="N11" s="942">
        <v>10</v>
      </c>
      <c r="O11" s="942">
        <v>11</v>
      </c>
      <c r="P11" s="942">
        <v>12</v>
      </c>
      <c r="Q11" s="942">
        <v>13</v>
      </c>
      <c r="R11" s="942">
        <v>14</v>
      </c>
      <c r="S11" s="942">
        <v>15</v>
      </c>
      <c r="T11" s="942">
        <v>16</v>
      </c>
      <c r="U11" s="942">
        <v>17</v>
      </c>
      <c r="V11" s="942">
        <v>18</v>
      </c>
      <c r="W11" s="942">
        <v>19</v>
      </c>
      <c r="X11" s="942">
        <v>20</v>
      </c>
      <c r="Y11" s="942">
        <v>21</v>
      </c>
      <c r="Z11" s="942">
        <v>22</v>
      </c>
      <c r="AA11" s="942">
        <v>23</v>
      </c>
      <c r="AB11" s="942">
        <v>24</v>
      </c>
      <c r="AC11" s="942">
        <v>25</v>
      </c>
      <c r="AD11" s="942">
        <v>26</v>
      </c>
      <c r="AE11" s="942">
        <v>27</v>
      </c>
      <c r="AF11" s="942">
        <v>28</v>
      </c>
      <c r="AG11" s="942">
        <v>29</v>
      </c>
      <c r="AH11" s="942">
        <v>30</v>
      </c>
      <c r="AI11" s="943" t="s">
        <v>820</v>
      </c>
      <c r="AJ11" s="944" t="s">
        <v>41</v>
      </c>
    </row>
    <row r="12" spans="1:86" ht="22.5" customHeight="1">
      <c r="A12" s="496">
        <v>1</v>
      </c>
      <c r="B12" s="986" t="str">
        <f>'04-22-Master'!B16</f>
        <v>kaja Venkat Ragavendra</v>
      </c>
      <c r="C12" s="497" t="str">
        <f>'04-22-Master'!E16</f>
        <v>Kaja Suresh Babu</v>
      </c>
      <c r="D12" s="498" t="str">
        <f>'04-22-Master'!D16</f>
        <v>Male</v>
      </c>
      <c r="E12" s="972" t="s">
        <v>42</v>
      </c>
      <c r="F12" s="1066" t="s">
        <v>1000</v>
      </c>
      <c r="G12" s="1066" t="s">
        <v>1000</v>
      </c>
      <c r="H12" s="972" t="s">
        <v>42</v>
      </c>
      <c r="I12" s="972" t="s">
        <v>42</v>
      </c>
      <c r="J12" s="972" t="s">
        <v>42</v>
      </c>
      <c r="K12" s="972" t="s">
        <v>42</v>
      </c>
      <c r="L12" s="1068" t="s">
        <v>1001</v>
      </c>
      <c r="M12" s="1066" t="s">
        <v>1000</v>
      </c>
      <c r="N12" s="1066" t="s">
        <v>1000</v>
      </c>
      <c r="O12" s="972" t="s">
        <v>42</v>
      </c>
      <c r="P12" s="972" t="s">
        <v>42</v>
      </c>
      <c r="Q12" s="972" t="s">
        <v>42</v>
      </c>
      <c r="R12" s="972" t="s">
        <v>42</v>
      </c>
      <c r="S12" s="972" t="s">
        <v>1156</v>
      </c>
      <c r="T12" s="1066" t="s">
        <v>1000</v>
      </c>
      <c r="U12" s="1066" t="s">
        <v>1000</v>
      </c>
      <c r="V12" s="972" t="s">
        <v>42</v>
      </c>
      <c r="W12" s="972" t="s">
        <v>42</v>
      </c>
      <c r="X12" s="972" t="s">
        <v>42</v>
      </c>
      <c r="Y12" s="972" t="s">
        <v>42</v>
      </c>
      <c r="Z12" s="972" t="s">
        <v>42</v>
      </c>
      <c r="AA12" s="1066" t="s">
        <v>1000</v>
      </c>
      <c r="AB12" s="1066" t="s">
        <v>1000</v>
      </c>
      <c r="AC12" s="972" t="s">
        <v>42</v>
      </c>
      <c r="AD12" s="972" t="s">
        <v>42</v>
      </c>
      <c r="AE12" s="972" t="s">
        <v>42</v>
      </c>
      <c r="AF12" s="972" t="s">
        <v>42</v>
      </c>
      <c r="AG12" s="972" t="s">
        <v>42</v>
      </c>
      <c r="AH12" s="1066" t="s">
        <v>1000</v>
      </c>
      <c r="AI12" s="945">
        <f>'04-22-Master'!Q16</f>
        <v>30</v>
      </c>
      <c r="AJ12" s="502"/>
    </row>
    <row r="13" spans="1:86" ht="22.5" customHeight="1">
      <c r="A13" s="496">
        <v>2</v>
      </c>
      <c r="B13" s="986" t="str">
        <f>'04-22-Master'!B17</f>
        <v>VeerendraBabu Galam</v>
      </c>
      <c r="C13" s="497" t="str">
        <f>'04-22-Master'!E17</f>
        <v>Gopal Rao</v>
      </c>
      <c r="D13" s="498" t="str">
        <f>'04-22-Master'!D17</f>
        <v>Male</v>
      </c>
      <c r="E13" s="972" t="s">
        <v>42</v>
      </c>
      <c r="F13" s="1066" t="s">
        <v>1000</v>
      </c>
      <c r="G13" s="1066" t="s">
        <v>1000</v>
      </c>
      <c r="H13" s="972" t="s">
        <v>42</v>
      </c>
      <c r="I13" s="972" t="s">
        <v>42</v>
      </c>
      <c r="J13" s="972" t="s">
        <v>42</v>
      </c>
      <c r="K13" s="972" t="s">
        <v>42</v>
      </c>
      <c r="L13" s="972" t="s">
        <v>42</v>
      </c>
      <c r="M13" s="1066" t="s">
        <v>1000</v>
      </c>
      <c r="N13" s="1066" t="s">
        <v>1000</v>
      </c>
      <c r="O13" s="1068" t="s">
        <v>1001</v>
      </c>
      <c r="P13" s="972" t="s">
        <v>42</v>
      </c>
      <c r="Q13" s="972" t="s">
        <v>42</v>
      </c>
      <c r="R13" s="972" t="s">
        <v>42</v>
      </c>
      <c r="S13" s="972" t="s">
        <v>1156</v>
      </c>
      <c r="T13" s="1066" t="s">
        <v>1000</v>
      </c>
      <c r="U13" s="1066" t="s">
        <v>1000</v>
      </c>
      <c r="V13" s="972" t="s">
        <v>42</v>
      </c>
      <c r="W13" s="972" t="s">
        <v>42</v>
      </c>
      <c r="X13" s="972" t="s">
        <v>42</v>
      </c>
      <c r="Y13" s="972" t="s">
        <v>42</v>
      </c>
      <c r="Z13" s="972" t="s">
        <v>42</v>
      </c>
      <c r="AA13" s="1066" t="s">
        <v>1000</v>
      </c>
      <c r="AB13" s="1066" t="s">
        <v>1000</v>
      </c>
      <c r="AC13" s="972" t="s">
        <v>42</v>
      </c>
      <c r="AD13" s="972" t="s">
        <v>42</v>
      </c>
      <c r="AE13" s="972" t="s">
        <v>42</v>
      </c>
      <c r="AF13" s="972" t="s">
        <v>42</v>
      </c>
      <c r="AG13" s="972" t="s">
        <v>42</v>
      </c>
      <c r="AH13" s="1066" t="s">
        <v>1000</v>
      </c>
      <c r="AI13" s="945">
        <f>'04-22-Master'!Q17</f>
        <v>30</v>
      </c>
      <c r="AJ13" s="502"/>
    </row>
    <row r="14" spans="1:86" ht="22.5" customHeight="1">
      <c r="A14" s="496">
        <v>3</v>
      </c>
      <c r="B14" s="986" t="str">
        <f>'04-22-Master'!B18</f>
        <v>RUKNUDEEN S</v>
      </c>
      <c r="C14" s="497" t="str">
        <f>'04-22-Master'!E18</f>
        <v>SIRBUDIN.T</v>
      </c>
      <c r="D14" s="498" t="str">
        <f>'04-22-Master'!D18</f>
        <v>Male</v>
      </c>
      <c r="E14" s="972" t="s">
        <v>42</v>
      </c>
      <c r="F14" s="1066" t="s">
        <v>1000</v>
      </c>
      <c r="G14" s="1066" t="s">
        <v>1000</v>
      </c>
      <c r="H14" s="972" t="s">
        <v>42</v>
      </c>
      <c r="I14" s="972" t="s">
        <v>42</v>
      </c>
      <c r="J14" s="972" t="s">
        <v>42</v>
      </c>
      <c r="K14" s="972" t="s">
        <v>42</v>
      </c>
      <c r="L14" s="972" t="s">
        <v>42</v>
      </c>
      <c r="M14" s="1066" t="s">
        <v>1000</v>
      </c>
      <c r="N14" s="1066" t="s">
        <v>1000</v>
      </c>
      <c r="O14" s="972" t="s">
        <v>42</v>
      </c>
      <c r="P14" s="972" t="s">
        <v>42</v>
      </c>
      <c r="Q14" s="972" t="s">
        <v>42</v>
      </c>
      <c r="R14" s="1068" t="s">
        <v>1001</v>
      </c>
      <c r="S14" s="972" t="s">
        <v>1156</v>
      </c>
      <c r="T14" s="1066" t="s">
        <v>1000</v>
      </c>
      <c r="U14" s="1066" t="s">
        <v>1000</v>
      </c>
      <c r="V14" s="972" t="s">
        <v>42</v>
      </c>
      <c r="W14" s="972" t="s">
        <v>42</v>
      </c>
      <c r="X14" s="972" t="s">
        <v>42</v>
      </c>
      <c r="Y14" s="972" t="s">
        <v>42</v>
      </c>
      <c r="Z14" s="972" t="s">
        <v>42</v>
      </c>
      <c r="AA14" s="1066" t="s">
        <v>1000</v>
      </c>
      <c r="AB14" s="1066" t="s">
        <v>1000</v>
      </c>
      <c r="AC14" s="972" t="s">
        <v>42</v>
      </c>
      <c r="AD14" s="972" t="s">
        <v>42</v>
      </c>
      <c r="AE14" s="972" t="s">
        <v>42</v>
      </c>
      <c r="AF14" s="972" t="s">
        <v>42</v>
      </c>
      <c r="AG14" s="972" t="s">
        <v>42</v>
      </c>
      <c r="AH14" s="1066" t="s">
        <v>1000</v>
      </c>
      <c r="AI14" s="945">
        <f>'04-22-Master'!Q18</f>
        <v>30</v>
      </c>
      <c r="AJ14" s="502"/>
    </row>
    <row r="15" spans="1:86" ht="22.5" customHeight="1">
      <c r="A15" s="496">
        <v>4</v>
      </c>
      <c r="B15" s="986" t="str">
        <f>'04-22-Master'!B19</f>
        <v xml:space="preserve">Srikanth Thota   </v>
      </c>
      <c r="C15" s="497" t="str">
        <f>'04-22-Master'!E19</f>
        <v>Vasudha thota</v>
      </c>
      <c r="D15" s="498" t="str">
        <f>'04-22-Master'!D19</f>
        <v>Male</v>
      </c>
      <c r="E15" s="972" t="s">
        <v>42</v>
      </c>
      <c r="F15" s="1066" t="s">
        <v>1000</v>
      </c>
      <c r="G15" s="1066" t="s">
        <v>1000</v>
      </c>
      <c r="H15" s="972" t="s">
        <v>42</v>
      </c>
      <c r="I15" s="972" t="s">
        <v>42</v>
      </c>
      <c r="J15" s="972" t="s">
        <v>42</v>
      </c>
      <c r="K15" s="972" t="s">
        <v>42</v>
      </c>
      <c r="L15" s="972" t="s">
        <v>42</v>
      </c>
      <c r="M15" s="1066" t="s">
        <v>1000</v>
      </c>
      <c r="N15" s="1066" t="s">
        <v>1000</v>
      </c>
      <c r="O15" s="972" t="s">
        <v>42</v>
      </c>
      <c r="P15" s="972" t="s">
        <v>42</v>
      </c>
      <c r="Q15" s="972" t="s">
        <v>42</v>
      </c>
      <c r="R15" s="972" t="s">
        <v>42</v>
      </c>
      <c r="S15" s="972" t="s">
        <v>1156</v>
      </c>
      <c r="T15" s="1066" t="s">
        <v>1000</v>
      </c>
      <c r="U15" s="1066" t="s">
        <v>1000</v>
      </c>
      <c r="V15" s="972" t="s">
        <v>42</v>
      </c>
      <c r="W15" s="972" t="s">
        <v>42</v>
      </c>
      <c r="X15" s="972" t="s">
        <v>42</v>
      </c>
      <c r="Y15" s="972" t="s">
        <v>42</v>
      </c>
      <c r="Z15" s="972" t="s">
        <v>42</v>
      </c>
      <c r="AA15" s="1066" t="s">
        <v>1000</v>
      </c>
      <c r="AB15" s="1066" t="s">
        <v>1000</v>
      </c>
      <c r="AC15" s="972" t="s">
        <v>42</v>
      </c>
      <c r="AD15" s="972" t="s">
        <v>42</v>
      </c>
      <c r="AE15" s="972" t="s">
        <v>42</v>
      </c>
      <c r="AF15" s="972" t="s">
        <v>42</v>
      </c>
      <c r="AG15" s="1068" t="s">
        <v>1001</v>
      </c>
      <c r="AH15" s="1066" t="s">
        <v>1000</v>
      </c>
      <c r="AI15" s="945">
        <f>'04-22-Master'!Q19</f>
        <v>30</v>
      </c>
      <c r="AJ15" s="502"/>
    </row>
    <row r="16" spans="1:86" ht="22.5" customHeight="1">
      <c r="A16" s="496">
        <v>5</v>
      </c>
      <c r="B16" s="986" t="str">
        <f>'04-22-Master'!B20</f>
        <v xml:space="preserve">Shekhar Panchal  </v>
      </c>
      <c r="C16" s="497" t="str">
        <f>'04-22-Master'!E20</f>
        <v>Naresh Kumar Panchal</v>
      </c>
      <c r="D16" s="498" t="str">
        <f>'04-22-Master'!D20</f>
        <v>Male</v>
      </c>
      <c r="E16" s="972" t="s">
        <v>42</v>
      </c>
      <c r="F16" s="1066" t="s">
        <v>1000</v>
      </c>
      <c r="G16" s="1066" t="s">
        <v>1000</v>
      </c>
      <c r="H16" s="972" t="s">
        <v>42</v>
      </c>
      <c r="I16" s="972" t="s">
        <v>42</v>
      </c>
      <c r="J16" s="972" t="s">
        <v>42</v>
      </c>
      <c r="K16" s="972" t="s">
        <v>42</v>
      </c>
      <c r="L16" s="972" t="s">
        <v>42</v>
      </c>
      <c r="M16" s="1066" t="s">
        <v>1000</v>
      </c>
      <c r="N16" s="1066" t="s">
        <v>1000</v>
      </c>
      <c r="O16" s="972" t="s">
        <v>42</v>
      </c>
      <c r="P16" s="972" t="s">
        <v>42</v>
      </c>
      <c r="Q16" s="972" t="s">
        <v>42</v>
      </c>
      <c r="R16" s="972" t="s">
        <v>42</v>
      </c>
      <c r="S16" s="972" t="s">
        <v>1156</v>
      </c>
      <c r="T16" s="1066" t="s">
        <v>1000</v>
      </c>
      <c r="U16" s="1066" t="s">
        <v>1000</v>
      </c>
      <c r="V16" s="972" t="s">
        <v>42</v>
      </c>
      <c r="W16" s="972" t="s">
        <v>42</v>
      </c>
      <c r="X16" s="972" t="s">
        <v>42</v>
      </c>
      <c r="Y16" s="972" t="s">
        <v>42</v>
      </c>
      <c r="Z16" s="972" t="s">
        <v>42</v>
      </c>
      <c r="AA16" s="1066" t="s">
        <v>1000</v>
      </c>
      <c r="AB16" s="1066" t="s">
        <v>1000</v>
      </c>
      <c r="AC16" s="972" t="s">
        <v>42</v>
      </c>
      <c r="AD16" s="972" t="s">
        <v>42</v>
      </c>
      <c r="AE16" s="972" t="s">
        <v>42</v>
      </c>
      <c r="AF16" s="972" t="s">
        <v>42</v>
      </c>
      <c r="AG16" s="972" t="s">
        <v>42</v>
      </c>
      <c r="AH16" s="1066" t="s">
        <v>1000</v>
      </c>
      <c r="AI16" s="945">
        <f>'04-22-Master'!Q20</f>
        <v>30</v>
      </c>
      <c r="AJ16" s="502"/>
    </row>
    <row r="17" spans="1:87" ht="22.5" customHeight="1">
      <c r="A17" s="496">
        <v>6</v>
      </c>
      <c r="B17" s="986" t="str">
        <f>'04-22-Master'!B21</f>
        <v>Gangadhar Yarabham</v>
      </c>
      <c r="C17" s="497" t="str">
        <f>'04-22-Master'!E21</f>
        <v>Yarabham Savaraiah</v>
      </c>
      <c r="D17" s="498" t="str">
        <f>'04-22-Master'!D21</f>
        <v>Male</v>
      </c>
      <c r="E17" s="972" t="s">
        <v>42</v>
      </c>
      <c r="F17" s="1066" t="s">
        <v>1000</v>
      </c>
      <c r="G17" s="1066" t="s">
        <v>1000</v>
      </c>
      <c r="H17" s="972" t="s">
        <v>42</v>
      </c>
      <c r="I17" s="972" t="s">
        <v>42</v>
      </c>
      <c r="J17" s="972" t="s">
        <v>42</v>
      </c>
      <c r="K17" s="972" t="s">
        <v>42</v>
      </c>
      <c r="L17" s="972" t="s">
        <v>42</v>
      </c>
      <c r="M17" s="1066" t="s">
        <v>1000</v>
      </c>
      <c r="N17" s="1066" t="s">
        <v>1000</v>
      </c>
      <c r="O17" s="972" t="s">
        <v>42</v>
      </c>
      <c r="P17" s="972" t="s">
        <v>42</v>
      </c>
      <c r="Q17" s="972" t="s">
        <v>42</v>
      </c>
      <c r="R17" s="972" t="s">
        <v>42</v>
      </c>
      <c r="S17" s="972" t="s">
        <v>1156</v>
      </c>
      <c r="T17" s="1066" t="s">
        <v>1000</v>
      </c>
      <c r="U17" s="1066" t="s">
        <v>1000</v>
      </c>
      <c r="V17" s="972" t="s">
        <v>42</v>
      </c>
      <c r="W17" s="972" t="s">
        <v>42</v>
      </c>
      <c r="X17" s="972" t="s">
        <v>42</v>
      </c>
      <c r="Y17" s="972" t="s">
        <v>42</v>
      </c>
      <c r="Z17" s="972" t="s">
        <v>42</v>
      </c>
      <c r="AA17" s="1066" t="s">
        <v>1000</v>
      </c>
      <c r="AB17" s="1066" t="s">
        <v>1000</v>
      </c>
      <c r="AC17" s="972" t="s">
        <v>42</v>
      </c>
      <c r="AD17" s="972" t="s">
        <v>42</v>
      </c>
      <c r="AE17" s="972" t="s">
        <v>42</v>
      </c>
      <c r="AF17" s="972" t="s">
        <v>42</v>
      </c>
      <c r="AG17" s="972" t="s">
        <v>42</v>
      </c>
      <c r="AH17" s="1066" t="s">
        <v>1000</v>
      </c>
      <c r="AI17" s="945">
        <f>'04-22-Master'!Q21</f>
        <v>30</v>
      </c>
      <c r="AJ17" s="502"/>
    </row>
    <row r="18" spans="1:87" ht="22.5" customHeight="1">
      <c r="A18" s="496">
        <v>7</v>
      </c>
      <c r="B18" s="986" t="str">
        <f>'04-22-Master'!B22</f>
        <v xml:space="preserve">Nikhila Kaveri </v>
      </c>
      <c r="C18" s="497" t="str">
        <f>'04-22-Master'!E22</f>
        <v>Sreehari</v>
      </c>
      <c r="D18" s="498" t="str">
        <f>'04-22-Master'!D22</f>
        <v>FEMALE</v>
      </c>
      <c r="E18" s="972" t="s">
        <v>42</v>
      </c>
      <c r="F18" s="1066" t="s">
        <v>1000</v>
      </c>
      <c r="G18" s="1066" t="s">
        <v>1000</v>
      </c>
      <c r="H18" s="972" t="s">
        <v>42</v>
      </c>
      <c r="I18" s="972" t="s">
        <v>42</v>
      </c>
      <c r="J18" s="972" t="s">
        <v>42</v>
      </c>
      <c r="K18" s="972" t="s">
        <v>42</v>
      </c>
      <c r="L18" s="972" t="s">
        <v>42</v>
      </c>
      <c r="M18" s="1066" t="s">
        <v>1000</v>
      </c>
      <c r="N18" s="1066" t="s">
        <v>1000</v>
      </c>
      <c r="O18" s="972" t="s">
        <v>42</v>
      </c>
      <c r="P18" s="972" t="s">
        <v>42</v>
      </c>
      <c r="Q18" s="972" t="s">
        <v>42</v>
      </c>
      <c r="R18" s="972" t="s">
        <v>42</v>
      </c>
      <c r="S18" s="972" t="s">
        <v>1156</v>
      </c>
      <c r="T18" s="1066" t="s">
        <v>1000</v>
      </c>
      <c r="U18" s="1066" t="s">
        <v>1000</v>
      </c>
      <c r="V18" s="972" t="s">
        <v>42</v>
      </c>
      <c r="W18" s="972" t="s">
        <v>42</v>
      </c>
      <c r="X18" s="972" t="s">
        <v>42</v>
      </c>
      <c r="Y18" s="972" t="s">
        <v>42</v>
      </c>
      <c r="Z18" s="972" t="s">
        <v>42</v>
      </c>
      <c r="AA18" s="1066" t="s">
        <v>1000</v>
      </c>
      <c r="AB18" s="1066" t="s">
        <v>1000</v>
      </c>
      <c r="AC18" s="972" t="s">
        <v>42</v>
      </c>
      <c r="AD18" s="972" t="s">
        <v>42</v>
      </c>
      <c r="AE18" s="972" t="s">
        <v>42</v>
      </c>
      <c r="AF18" s="972" t="s">
        <v>42</v>
      </c>
      <c r="AG18" s="972" t="s">
        <v>42</v>
      </c>
      <c r="AH18" s="1066" t="s">
        <v>1000</v>
      </c>
      <c r="AI18" s="945">
        <f>'04-22-Master'!Q22</f>
        <v>30</v>
      </c>
      <c r="AJ18" s="502"/>
    </row>
    <row r="19" spans="1:87" ht="22.5" customHeight="1">
      <c r="A19" s="496">
        <v>8</v>
      </c>
      <c r="B19" s="986" t="str">
        <f>'04-22-Master'!B23</f>
        <v>Thaposh Ghosh</v>
      </c>
      <c r="C19" s="497" t="str">
        <f>'04-22-Master'!E23</f>
        <v>CH Divya Vani</v>
      </c>
      <c r="D19" s="498" t="str">
        <f>'04-22-Master'!D23</f>
        <v>MALE</v>
      </c>
      <c r="E19" s="972" t="s">
        <v>42</v>
      </c>
      <c r="F19" s="1066" t="s">
        <v>1000</v>
      </c>
      <c r="G19" s="1066" t="s">
        <v>1000</v>
      </c>
      <c r="H19" s="972" t="s">
        <v>42</v>
      </c>
      <c r="I19" s="972" t="s">
        <v>42</v>
      </c>
      <c r="J19" s="972" t="s">
        <v>42</v>
      </c>
      <c r="K19" s="972" t="s">
        <v>42</v>
      </c>
      <c r="L19" s="972" t="s">
        <v>42</v>
      </c>
      <c r="M19" s="1066" t="s">
        <v>1000</v>
      </c>
      <c r="N19" s="1066" t="s">
        <v>1000</v>
      </c>
      <c r="O19" s="972" t="s">
        <v>42</v>
      </c>
      <c r="P19" s="972" t="s">
        <v>42</v>
      </c>
      <c r="Q19" s="972" t="s">
        <v>42</v>
      </c>
      <c r="R19" s="972" t="s">
        <v>42</v>
      </c>
      <c r="S19" s="972" t="s">
        <v>1156</v>
      </c>
      <c r="T19" s="1066" t="s">
        <v>1000</v>
      </c>
      <c r="U19" s="1066" t="s">
        <v>1000</v>
      </c>
      <c r="V19" s="972" t="s">
        <v>42</v>
      </c>
      <c r="W19" s="972" t="s">
        <v>42</v>
      </c>
      <c r="X19" s="972" t="s">
        <v>42</v>
      </c>
      <c r="Y19" s="972" t="s">
        <v>42</v>
      </c>
      <c r="Z19" s="972" t="s">
        <v>42</v>
      </c>
      <c r="AA19" s="1066" t="s">
        <v>1000</v>
      </c>
      <c r="AB19" s="1066" t="s">
        <v>1000</v>
      </c>
      <c r="AC19" s="972" t="s">
        <v>42</v>
      </c>
      <c r="AD19" s="972" t="s">
        <v>42</v>
      </c>
      <c r="AE19" s="972" t="s">
        <v>42</v>
      </c>
      <c r="AF19" s="972" t="s">
        <v>42</v>
      </c>
      <c r="AG19" s="972" t="s">
        <v>42</v>
      </c>
      <c r="AH19" s="1066" t="s">
        <v>1000</v>
      </c>
      <c r="AI19" s="945">
        <f>'04-22-Master'!Q23</f>
        <v>30</v>
      </c>
      <c r="AJ19" s="502"/>
    </row>
    <row r="20" spans="1:87" ht="22.5" customHeight="1">
      <c r="A20" s="496">
        <v>9</v>
      </c>
      <c r="B20" s="986" t="str">
        <f>'04-22-Master'!B24</f>
        <v>Nagashree Narayan</v>
      </c>
      <c r="C20" s="497" t="str">
        <f>'04-22-Master'!E24</f>
        <v>KANTHA KAMBAIAH LAKSHMI</v>
      </c>
      <c r="D20" s="498" t="str">
        <f>'04-22-Master'!D24</f>
        <v>FEMALE</v>
      </c>
      <c r="E20" s="972" t="s">
        <v>42</v>
      </c>
      <c r="F20" s="1066" t="s">
        <v>1000</v>
      </c>
      <c r="G20" s="1066" t="s">
        <v>1000</v>
      </c>
      <c r="H20" s="972" t="s">
        <v>42</v>
      </c>
      <c r="I20" s="972" t="s">
        <v>42</v>
      </c>
      <c r="J20" s="972" t="s">
        <v>42</v>
      </c>
      <c r="K20" s="972" t="s">
        <v>42</v>
      </c>
      <c r="L20" s="972" t="s">
        <v>42</v>
      </c>
      <c r="M20" s="1066" t="s">
        <v>1000</v>
      </c>
      <c r="N20" s="1066" t="s">
        <v>1000</v>
      </c>
      <c r="O20" s="1068" t="s">
        <v>1001</v>
      </c>
      <c r="P20" s="1068" t="s">
        <v>1002</v>
      </c>
      <c r="Q20" s="972" t="s">
        <v>42</v>
      </c>
      <c r="R20" s="972" t="s">
        <v>42</v>
      </c>
      <c r="S20" s="972" t="s">
        <v>1156</v>
      </c>
      <c r="T20" s="1066" t="s">
        <v>1000</v>
      </c>
      <c r="U20" s="1066" t="s">
        <v>1000</v>
      </c>
      <c r="V20" s="972" t="s">
        <v>42</v>
      </c>
      <c r="W20" s="972" t="s">
        <v>42</v>
      </c>
      <c r="X20" s="972" t="s">
        <v>42</v>
      </c>
      <c r="Y20" s="972" t="s">
        <v>42</v>
      </c>
      <c r="Z20" s="972" t="s">
        <v>42</v>
      </c>
      <c r="AA20" s="1066" t="s">
        <v>1000</v>
      </c>
      <c r="AB20" s="1066" t="s">
        <v>1000</v>
      </c>
      <c r="AC20" s="972" t="s">
        <v>42</v>
      </c>
      <c r="AD20" s="972" t="s">
        <v>42</v>
      </c>
      <c r="AE20" s="972" t="s">
        <v>42</v>
      </c>
      <c r="AF20" s="972" t="s">
        <v>42</v>
      </c>
      <c r="AG20" s="972" t="s">
        <v>42</v>
      </c>
      <c r="AH20" s="1066" t="s">
        <v>1000</v>
      </c>
      <c r="AI20" s="945">
        <f>'04-22-Master'!Q24</f>
        <v>29</v>
      </c>
      <c r="AJ20" s="502"/>
    </row>
    <row r="21" spans="1:87" ht="22.5" customHeight="1">
      <c r="A21" s="496">
        <v>10</v>
      </c>
      <c r="B21" s="986" t="str">
        <f>'04-22-Master'!B25</f>
        <v>ROOPINI CHIYYARAPU</v>
      </c>
      <c r="C21" s="497" t="str">
        <f>'04-22-Master'!E25</f>
        <v>C.ChandraReddy</v>
      </c>
      <c r="D21" s="498" t="str">
        <f>'04-22-Master'!D25</f>
        <v>FEMALE</v>
      </c>
      <c r="E21" s="972" t="s">
        <v>42</v>
      </c>
      <c r="F21" s="1066" t="s">
        <v>1000</v>
      </c>
      <c r="G21" s="1066" t="s">
        <v>1000</v>
      </c>
      <c r="H21" s="972" t="s">
        <v>42</v>
      </c>
      <c r="I21" s="972" t="s">
        <v>42</v>
      </c>
      <c r="J21" s="972" t="s">
        <v>42</v>
      </c>
      <c r="K21" s="972" t="s">
        <v>42</v>
      </c>
      <c r="L21" s="972" t="s">
        <v>42</v>
      </c>
      <c r="M21" s="1066" t="s">
        <v>1000</v>
      </c>
      <c r="N21" s="1066" t="s">
        <v>1000</v>
      </c>
      <c r="O21" s="972" t="s">
        <v>42</v>
      </c>
      <c r="P21" s="972" t="s">
        <v>42</v>
      </c>
      <c r="Q21" s="972" t="s">
        <v>42</v>
      </c>
      <c r="R21" s="972" t="s">
        <v>42</v>
      </c>
      <c r="S21" s="972" t="s">
        <v>1156</v>
      </c>
      <c r="T21" s="1066" t="s">
        <v>1000</v>
      </c>
      <c r="U21" s="1066" t="s">
        <v>1000</v>
      </c>
      <c r="V21" s="972" t="s">
        <v>42</v>
      </c>
      <c r="W21" s="972" t="s">
        <v>42</v>
      </c>
      <c r="X21" s="972" t="s">
        <v>42</v>
      </c>
      <c r="Y21" s="972" t="s">
        <v>42</v>
      </c>
      <c r="Z21" s="972" t="s">
        <v>42</v>
      </c>
      <c r="AA21" s="1066" t="s">
        <v>1000</v>
      </c>
      <c r="AB21" s="1066" t="s">
        <v>1000</v>
      </c>
      <c r="AC21" s="1068" t="s">
        <v>1001</v>
      </c>
      <c r="AD21" s="972" t="s">
        <v>42</v>
      </c>
      <c r="AE21" s="972" t="s">
        <v>42</v>
      </c>
      <c r="AF21" s="972" t="s">
        <v>42</v>
      </c>
      <c r="AG21" s="972" t="s">
        <v>42</v>
      </c>
      <c r="AH21" s="1066" t="s">
        <v>1000</v>
      </c>
      <c r="AI21" s="945">
        <f>'04-22-Master'!Q25</f>
        <v>30</v>
      </c>
      <c r="AJ21" s="502"/>
    </row>
    <row r="22" spans="1:87" s="444" customFormat="1" ht="22.5" customHeight="1">
      <c r="A22" s="496">
        <v>11</v>
      </c>
      <c r="B22" s="986" t="str">
        <f>'04-22-Master'!B26</f>
        <v>D.Santhoshi</v>
      </c>
      <c r="C22" s="497" t="str">
        <f>'04-22-Master'!E26</f>
        <v>Srinivasu</v>
      </c>
      <c r="D22" s="498" t="str">
        <f>'04-22-Master'!D26</f>
        <v>FEMALE</v>
      </c>
      <c r="E22" s="972" t="s">
        <v>42</v>
      </c>
      <c r="F22" s="1066" t="s">
        <v>1000</v>
      </c>
      <c r="G22" s="1066" t="s">
        <v>1000</v>
      </c>
      <c r="H22" s="972" t="s">
        <v>42</v>
      </c>
      <c r="I22" s="972" t="s">
        <v>42</v>
      </c>
      <c r="J22" s="972" t="s">
        <v>42</v>
      </c>
      <c r="K22" s="972" t="s">
        <v>42</v>
      </c>
      <c r="L22" s="972" t="s">
        <v>42</v>
      </c>
      <c r="M22" s="1066" t="s">
        <v>1000</v>
      </c>
      <c r="N22" s="1066" t="s">
        <v>1000</v>
      </c>
      <c r="O22" s="972" t="s">
        <v>42</v>
      </c>
      <c r="P22" s="972" t="s">
        <v>42</v>
      </c>
      <c r="Q22" s="972" t="s">
        <v>42</v>
      </c>
      <c r="R22" s="972" t="s">
        <v>42</v>
      </c>
      <c r="S22" s="972" t="s">
        <v>1156</v>
      </c>
      <c r="T22" s="1066" t="s">
        <v>1000</v>
      </c>
      <c r="U22" s="1066" t="s">
        <v>1000</v>
      </c>
      <c r="V22" s="972" t="s">
        <v>42</v>
      </c>
      <c r="W22" s="972" t="s">
        <v>42</v>
      </c>
      <c r="X22" s="972" t="s">
        <v>42</v>
      </c>
      <c r="Y22" s="972" t="s">
        <v>42</v>
      </c>
      <c r="Z22" s="972" t="s">
        <v>42</v>
      </c>
      <c r="AA22" s="1066" t="s">
        <v>1000</v>
      </c>
      <c r="AB22" s="1066" t="s">
        <v>1000</v>
      </c>
      <c r="AC22" s="972" t="s">
        <v>42</v>
      </c>
      <c r="AD22" s="972" t="s">
        <v>42</v>
      </c>
      <c r="AE22" s="972" t="s">
        <v>42</v>
      </c>
      <c r="AF22" s="972" t="s">
        <v>42</v>
      </c>
      <c r="AG22" s="972" t="s">
        <v>42</v>
      </c>
      <c r="AH22" s="1066" t="s">
        <v>1000</v>
      </c>
      <c r="AI22" s="945">
        <f>'04-22-Master'!Q26</f>
        <v>30</v>
      </c>
      <c r="AJ22" s="502"/>
      <c r="AK22" s="918"/>
      <c r="AL22" s="918"/>
      <c r="AM22" s="918"/>
      <c r="AN22" s="918"/>
      <c r="AO22" s="918"/>
      <c r="AP22" s="918"/>
      <c r="AQ22" s="918"/>
      <c r="AR22" s="918"/>
      <c r="AS22" s="918"/>
      <c r="AT22" s="918"/>
      <c r="AU22" s="918"/>
      <c r="AV22" s="918"/>
      <c r="AW22" s="918"/>
      <c r="AX22" s="918"/>
      <c r="AY22" s="918"/>
      <c r="AZ22" s="918"/>
      <c r="BA22" s="918"/>
      <c r="BB22" s="918"/>
      <c r="BC22" s="918"/>
      <c r="BD22" s="918"/>
      <c r="BE22" s="918"/>
      <c r="BF22" s="918"/>
      <c r="BG22" s="918"/>
      <c r="BH22" s="918"/>
      <c r="BI22" s="918"/>
      <c r="BJ22" s="918"/>
      <c r="BK22" s="918"/>
      <c r="BL22" s="918"/>
      <c r="BM22" s="918"/>
      <c r="BN22" s="918"/>
      <c r="BO22" s="918"/>
      <c r="BP22" s="918"/>
      <c r="BQ22" s="918"/>
      <c r="BR22" s="918"/>
      <c r="BS22" s="918"/>
      <c r="BT22" s="918"/>
      <c r="BU22" s="918"/>
      <c r="BV22" s="918"/>
      <c r="BW22" s="918"/>
      <c r="BX22" s="918"/>
      <c r="BY22" s="918"/>
      <c r="BZ22" s="918"/>
      <c r="CA22" s="918"/>
      <c r="CB22" s="918"/>
      <c r="CC22" s="918"/>
      <c r="CD22" s="918"/>
      <c r="CE22" s="918"/>
      <c r="CF22" s="918"/>
      <c r="CG22" s="918"/>
      <c r="CH22" s="918"/>
      <c r="CI22" s="973"/>
    </row>
    <row r="23" spans="1:87" ht="22.5" customHeight="1">
      <c r="A23" s="496">
        <v>12</v>
      </c>
      <c r="B23" s="986" t="str">
        <f>'04-22-Master'!B27</f>
        <v>Bharath Pal</v>
      </c>
      <c r="C23" s="497" t="str">
        <f>'04-22-Master'!E27</f>
        <v>Mani ram</v>
      </c>
      <c r="D23" s="498" t="str">
        <f>'04-22-Master'!D27</f>
        <v>Male</v>
      </c>
      <c r="E23" s="972" t="s">
        <v>42</v>
      </c>
      <c r="F23" s="1066" t="s">
        <v>1000</v>
      </c>
      <c r="G23" s="1066" t="s">
        <v>1000</v>
      </c>
      <c r="H23" s="972" t="s">
        <v>42</v>
      </c>
      <c r="I23" s="972" t="s">
        <v>42</v>
      </c>
      <c r="J23" s="972" t="s">
        <v>42</v>
      </c>
      <c r="K23" s="972" t="s">
        <v>42</v>
      </c>
      <c r="L23" s="972" t="s">
        <v>42</v>
      </c>
      <c r="M23" s="1066" t="s">
        <v>1000</v>
      </c>
      <c r="N23" s="1066" t="s">
        <v>1000</v>
      </c>
      <c r="O23" s="972" t="s">
        <v>42</v>
      </c>
      <c r="P23" s="972" t="s">
        <v>42</v>
      </c>
      <c r="Q23" s="972" t="s">
        <v>42</v>
      </c>
      <c r="R23" s="972" t="s">
        <v>42</v>
      </c>
      <c r="S23" s="972" t="s">
        <v>1156</v>
      </c>
      <c r="T23" s="1066" t="s">
        <v>1000</v>
      </c>
      <c r="U23" s="1066" t="s">
        <v>1000</v>
      </c>
      <c r="V23" s="972" t="s">
        <v>42</v>
      </c>
      <c r="W23" s="972" t="s">
        <v>42</v>
      </c>
      <c r="X23" s="972" t="s">
        <v>42</v>
      </c>
      <c r="Y23" s="972" t="s">
        <v>42</v>
      </c>
      <c r="Z23" s="972" t="s">
        <v>42</v>
      </c>
      <c r="AA23" s="1066" t="s">
        <v>1000</v>
      </c>
      <c r="AB23" s="1066" t="s">
        <v>1000</v>
      </c>
      <c r="AC23" s="972" t="s">
        <v>42</v>
      </c>
      <c r="AD23" s="972" t="s">
        <v>42</v>
      </c>
      <c r="AE23" s="972" t="s">
        <v>42</v>
      </c>
      <c r="AF23" s="972" t="s">
        <v>42</v>
      </c>
      <c r="AG23" s="972" t="s">
        <v>42</v>
      </c>
      <c r="AH23" s="1066" t="s">
        <v>1000</v>
      </c>
      <c r="AI23" s="945">
        <f>'04-22-Master'!Q27</f>
        <v>30</v>
      </c>
      <c r="AJ23" s="502"/>
    </row>
    <row r="24" spans="1:87" ht="22.5" customHeight="1">
      <c r="A24" s="496">
        <v>13</v>
      </c>
      <c r="B24" s="986" t="str">
        <f>'04-22-Master'!B28</f>
        <v>NEERUDU SAI KUMAR</v>
      </c>
      <c r="C24" s="497" t="str">
        <f>'04-22-Master'!E28</f>
        <v>UMA</v>
      </c>
      <c r="D24" s="498" t="str">
        <f>'04-22-Master'!D28</f>
        <v>Male</v>
      </c>
      <c r="E24" s="972" t="s">
        <v>42</v>
      </c>
      <c r="F24" s="1066" t="s">
        <v>1000</v>
      </c>
      <c r="G24" s="1066" t="s">
        <v>1000</v>
      </c>
      <c r="H24" s="972" t="s">
        <v>42</v>
      </c>
      <c r="I24" s="972" t="s">
        <v>42</v>
      </c>
      <c r="J24" s="972" t="s">
        <v>42</v>
      </c>
      <c r="K24" s="972" t="s">
        <v>42</v>
      </c>
      <c r="L24" s="972" t="s">
        <v>42</v>
      </c>
      <c r="M24" s="1066" t="s">
        <v>1000</v>
      </c>
      <c r="N24" s="1066" t="s">
        <v>1000</v>
      </c>
      <c r="O24" s="972" t="s">
        <v>42</v>
      </c>
      <c r="P24" s="972" t="s">
        <v>42</v>
      </c>
      <c r="Q24" s="972" t="s">
        <v>42</v>
      </c>
      <c r="R24" s="972" t="s">
        <v>42</v>
      </c>
      <c r="S24" s="972" t="s">
        <v>1156</v>
      </c>
      <c r="T24" s="1066" t="s">
        <v>1000</v>
      </c>
      <c r="U24" s="1066" t="s">
        <v>1000</v>
      </c>
      <c r="V24" s="972" t="s">
        <v>42</v>
      </c>
      <c r="W24" s="972" t="s">
        <v>42</v>
      </c>
      <c r="X24" s="972" t="s">
        <v>42</v>
      </c>
      <c r="Y24" s="972" t="s">
        <v>42</v>
      </c>
      <c r="Z24" s="972" t="s">
        <v>42</v>
      </c>
      <c r="AA24" s="1066" t="s">
        <v>1000</v>
      </c>
      <c r="AB24" s="1066" t="s">
        <v>1000</v>
      </c>
      <c r="AC24" s="972" t="s">
        <v>42</v>
      </c>
      <c r="AD24" s="972" t="s">
        <v>42</v>
      </c>
      <c r="AE24" s="972" t="s">
        <v>42</v>
      </c>
      <c r="AF24" s="972" t="s">
        <v>42</v>
      </c>
      <c r="AG24" s="972" t="s">
        <v>42</v>
      </c>
      <c r="AH24" s="1066" t="s">
        <v>1000</v>
      </c>
      <c r="AI24" s="945">
        <f>'04-22-Master'!Q28</f>
        <v>30</v>
      </c>
      <c r="AJ24" s="502"/>
    </row>
    <row r="25" spans="1:87" ht="22.5" customHeight="1">
      <c r="A25" s="496">
        <v>14</v>
      </c>
      <c r="B25" s="986" t="str">
        <f>'04-22-Master'!B29</f>
        <v>Ramineni Abhilash</v>
      </c>
      <c r="C25" s="497" t="str">
        <f>'04-22-Master'!E29</f>
        <v>Bhulokarao</v>
      </c>
      <c r="D25" s="498" t="str">
        <f>'04-22-Master'!D29</f>
        <v>Male</v>
      </c>
      <c r="E25" s="972" t="s">
        <v>42</v>
      </c>
      <c r="F25" s="1066" t="s">
        <v>1000</v>
      </c>
      <c r="G25" s="1066" t="s">
        <v>1000</v>
      </c>
      <c r="H25" s="972" t="s">
        <v>42</v>
      </c>
      <c r="I25" s="972" t="s">
        <v>42</v>
      </c>
      <c r="J25" s="972" t="s">
        <v>42</v>
      </c>
      <c r="K25" s="972" t="s">
        <v>42</v>
      </c>
      <c r="L25" s="972" t="s">
        <v>42</v>
      </c>
      <c r="M25" s="1066" t="s">
        <v>1000</v>
      </c>
      <c r="N25" s="1066" t="s">
        <v>1000</v>
      </c>
      <c r="O25" s="972" t="s">
        <v>42</v>
      </c>
      <c r="P25" s="972" t="s">
        <v>42</v>
      </c>
      <c r="Q25" s="972" t="s">
        <v>42</v>
      </c>
      <c r="R25" s="972" t="s">
        <v>42</v>
      </c>
      <c r="S25" s="972" t="s">
        <v>1156</v>
      </c>
      <c r="T25" s="1066" t="s">
        <v>1000</v>
      </c>
      <c r="U25" s="1066" t="s">
        <v>1000</v>
      </c>
      <c r="V25" s="972" t="s">
        <v>42</v>
      </c>
      <c r="W25" s="972" t="s">
        <v>42</v>
      </c>
      <c r="X25" s="972" t="s">
        <v>42</v>
      </c>
      <c r="Y25" s="972" t="s">
        <v>42</v>
      </c>
      <c r="Z25" s="972" t="s">
        <v>42</v>
      </c>
      <c r="AA25" s="1066" t="s">
        <v>1000</v>
      </c>
      <c r="AB25" s="1066" t="s">
        <v>1000</v>
      </c>
      <c r="AC25" s="972" t="s">
        <v>42</v>
      </c>
      <c r="AD25" s="972" t="s">
        <v>42</v>
      </c>
      <c r="AE25" s="972" t="s">
        <v>42</v>
      </c>
      <c r="AF25" s="972" t="s">
        <v>42</v>
      </c>
      <c r="AG25" s="972" t="s">
        <v>42</v>
      </c>
      <c r="AH25" s="1066" t="s">
        <v>1000</v>
      </c>
      <c r="AI25" s="945">
        <f>'04-22-Master'!Q29</f>
        <v>30</v>
      </c>
      <c r="AJ25" s="502"/>
    </row>
    <row r="26" spans="1:87" ht="22.5" customHeight="1">
      <c r="A26" s="496">
        <v>15</v>
      </c>
      <c r="B26" s="986" t="str">
        <f>'04-22-Master'!B30</f>
        <v>B SRILATHA</v>
      </c>
      <c r="C26" s="497" t="str">
        <f>'04-22-Master'!E30</f>
        <v>Anjaneya Reddy</v>
      </c>
      <c r="D26" s="498" t="str">
        <f>'04-22-Master'!D30</f>
        <v>FEMALE</v>
      </c>
      <c r="E26" s="972" t="s">
        <v>42</v>
      </c>
      <c r="F26" s="1066" t="s">
        <v>1000</v>
      </c>
      <c r="G26" s="1066" t="s">
        <v>1000</v>
      </c>
      <c r="H26" s="972" t="s">
        <v>42</v>
      </c>
      <c r="I26" s="972" t="s">
        <v>42</v>
      </c>
      <c r="J26" s="972" t="s">
        <v>42</v>
      </c>
      <c r="K26" s="972" t="s">
        <v>42</v>
      </c>
      <c r="L26" s="972" t="s">
        <v>42</v>
      </c>
      <c r="M26" s="1066" t="s">
        <v>1000</v>
      </c>
      <c r="N26" s="1066" t="s">
        <v>1000</v>
      </c>
      <c r="O26" s="972" t="s">
        <v>42</v>
      </c>
      <c r="P26" s="972" t="s">
        <v>42</v>
      </c>
      <c r="Q26" s="972" t="s">
        <v>42</v>
      </c>
      <c r="R26" s="972" t="s">
        <v>42</v>
      </c>
      <c r="S26" s="972" t="s">
        <v>1156</v>
      </c>
      <c r="T26" s="1066" t="s">
        <v>1000</v>
      </c>
      <c r="U26" s="1066" t="s">
        <v>1000</v>
      </c>
      <c r="V26" s="972" t="s">
        <v>42</v>
      </c>
      <c r="W26" s="972" t="s">
        <v>42</v>
      </c>
      <c r="X26" s="972" t="s">
        <v>42</v>
      </c>
      <c r="Y26" s="972" t="s">
        <v>42</v>
      </c>
      <c r="Z26" s="972" t="s">
        <v>42</v>
      </c>
      <c r="AA26" s="1066" t="s">
        <v>1000</v>
      </c>
      <c r="AB26" s="1066" t="s">
        <v>1000</v>
      </c>
      <c r="AC26" s="972" t="s">
        <v>42</v>
      </c>
      <c r="AD26" s="972" t="s">
        <v>42</v>
      </c>
      <c r="AE26" s="972" t="s">
        <v>42</v>
      </c>
      <c r="AF26" s="972" t="s">
        <v>42</v>
      </c>
      <c r="AG26" s="972" t="s">
        <v>42</v>
      </c>
      <c r="AH26" s="1066" t="s">
        <v>1000</v>
      </c>
      <c r="AI26" s="945">
        <f>'04-22-Master'!Q30</f>
        <v>30</v>
      </c>
      <c r="AJ26" s="502"/>
    </row>
    <row r="27" spans="1:87" ht="22.5" customHeight="1">
      <c r="A27" s="496">
        <v>16</v>
      </c>
      <c r="B27" s="986" t="str">
        <f>'04-22-Master'!B31</f>
        <v> SURESH Kumar KOLA</v>
      </c>
      <c r="C27" s="497" t="str">
        <f>'04-22-Master'!E31</f>
        <v>BHAVANI KOLA</v>
      </c>
      <c r="D27" s="498" t="str">
        <f>'04-22-Master'!D31</f>
        <v>Male</v>
      </c>
      <c r="E27" s="972" t="s">
        <v>42</v>
      </c>
      <c r="F27" s="1066" t="s">
        <v>1000</v>
      </c>
      <c r="G27" s="1066" t="s">
        <v>1000</v>
      </c>
      <c r="H27" s="972" t="s">
        <v>42</v>
      </c>
      <c r="I27" s="972" t="s">
        <v>42</v>
      </c>
      <c r="J27" s="972" t="s">
        <v>42</v>
      </c>
      <c r="K27" s="972" t="s">
        <v>42</v>
      </c>
      <c r="L27" s="972" t="s">
        <v>42</v>
      </c>
      <c r="M27" s="1066" t="s">
        <v>1000</v>
      </c>
      <c r="N27" s="1066" t="s">
        <v>1000</v>
      </c>
      <c r="O27" s="972" t="s">
        <v>42</v>
      </c>
      <c r="P27" s="972" t="s">
        <v>42</v>
      </c>
      <c r="Q27" s="972" t="s">
        <v>42</v>
      </c>
      <c r="R27" s="972" t="s">
        <v>42</v>
      </c>
      <c r="S27" s="972" t="s">
        <v>1156</v>
      </c>
      <c r="T27" s="1066" t="s">
        <v>1000</v>
      </c>
      <c r="U27" s="1066" t="s">
        <v>1000</v>
      </c>
      <c r="V27" s="972" t="s">
        <v>42</v>
      </c>
      <c r="W27" s="972" t="s">
        <v>42</v>
      </c>
      <c r="X27" s="972" t="s">
        <v>42</v>
      </c>
      <c r="Y27" s="972" t="s">
        <v>42</v>
      </c>
      <c r="Z27" s="972" t="s">
        <v>42</v>
      </c>
      <c r="AA27" s="1066" t="s">
        <v>1000</v>
      </c>
      <c r="AB27" s="1066" t="s">
        <v>1000</v>
      </c>
      <c r="AC27" s="972" t="s">
        <v>42</v>
      </c>
      <c r="AD27" s="972" t="s">
        <v>42</v>
      </c>
      <c r="AE27" s="972" t="s">
        <v>42</v>
      </c>
      <c r="AF27" s="972" t="s">
        <v>42</v>
      </c>
      <c r="AG27" s="972" t="s">
        <v>42</v>
      </c>
      <c r="AH27" s="1066" t="s">
        <v>1000</v>
      </c>
      <c r="AI27" s="945">
        <f>'04-22-Master'!Q31</f>
        <v>30</v>
      </c>
      <c r="AJ27" s="502"/>
    </row>
    <row r="28" spans="1:87" ht="21" customHeight="1">
      <c r="A28" s="496">
        <v>17</v>
      </c>
      <c r="B28" s="986" t="str">
        <f>'04-22-Master'!B32</f>
        <v xml:space="preserve"> MUMMANA ANILKUMAR</v>
      </c>
      <c r="C28" s="497" t="str">
        <f>'04-22-Master'!E32</f>
        <v>MUMMANA VENKATESWARLU</v>
      </c>
      <c r="D28" s="498" t="str">
        <f>'04-22-Master'!D32</f>
        <v>Male</v>
      </c>
      <c r="E28" s="972" t="s">
        <v>42</v>
      </c>
      <c r="F28" s="1066" t="s">
        <v>1000</v>
      </c>
      <c r="G28" s="1066" t="s">
        <v>1000</v>
      </c>
      <c r="H28" s="972" t="s">
        <v>42</v>
      </c>
      <c r="I28" s="972" t="s">
        <v>42</v>
      </c>
      <c r="J28" s="972" t="s">
        <v>42</v>
      </c>
      <c r="K28" s="972" t="s">
        <v>42</v>
      </c>
      <c r="L28" s="972" t="s">
        <v>42</v>
      </c>
      <c r="M28" s="1066" t="s">
        <v>1000</v>
      </c>
      <c r="N28" s="1066" t="s">
        <v>1000</v>
      </c>
      <c r="O28" s="972" t="s">
        <v>42</v>
      </c>
      <c r="P28" s="972" t="s">
        <v>42</v>
      </c>
      <c r="Q28" s="972" t="s">
        <v>42</v>
      </c>
      <c r="R28" s="972" t="s">
        <v>42</v>
      </c>
      <c r="S28" s="972" t="s">
        <v>1156</v>
      </c>
      <c r="T28" s="1066" t="s">
        <v>1000</v>
      </c>
      <c r="U28" s="1066" t="s">
        <v>1000</v>
      </c>
      <c r="V28" s="972" t="s">
        <v>42</v>
      </c>
      <c r="W28" s="972" t="s">
        <v>42</v>
      </c>
      <c r="X28" s="972" t="s">
        <v>42</v>
      </c>
      <c r="Y28" s="972" t="s">
        <v>42</v>
      </c>
      <c r="Z28" s="972" t="s">
        <v>42</v>
      </c>
      <c r="AA28" s="1066" t="s">
        <v>1000</v>
      </c>
      <c r="AB28" s="1066" t="s">
        <v>1000</v>
      </c>
      <c r="AC28" s="972" t="s">
        <v>42</v>
      </c>
      <c r="AD28" s="972" t="s">
        <v>42</v>
      </c>
      <c r="AE28" s="972" t="s">
        <v>42</v>
      </c>
      <c r="AF28" s="972" t="s">
        <v>42</v>
      </c>
      <c r="AG28" s="972" t="s">
        <v>42</v>
      </c>
      <c r="AH28" s="1066" t="s">
        <v>1000</v>
      </c>
      <c r="AI28" s="945">
        <f>'04-22-Master'!Q32</f>
        <v>30</v>
      </c>
      <c r="AJ28" s="502"/>
    </row>
    <row r="29" spans="1:87" ht="21" customHeight="1">
      <c r="A29" s="496">
        <v>18</v>
      </c>
      <c r="B29" s="986" t="str">
        <f>'04-22-Master'!B33</f>
        <v xml:space="preserve">Ravi Gande </v>
      </c>
      <c r="C29" s="497" t="str">
        <f>'04-22-Master'!E33</f>
        <v>Narsimhulu</v>
      </c>
      <c r="D29" s="498" t="str">
        <f>'04-22-Master'!D33</f>
        <v>Male</v>
      </c>
      <c r="E29" s="972" t="s">
        <v>42</v>
      </c>
      <c r="F29" s="1066" t="s">
        <v>1000</v>
      </c>
      <c r="G29" s="1066" t="s">
        <v>1000</v>
      </c>
      <c r="H29" s="972" t="s">
        <v>42</v>
      </c>
      <c r="I29" s="972" t="s">
        <v>42</v>
      </c>
      <c r="J29" s="972" t="s">
        <v>42</v>
      </c>
      <c r="K29" s="972" t="s">
        <v>42</v>
      </c>
      <c r="L29" s="972" t="s">
        <v>42</v>
      </c>
      <c r="M29" s="1066" t="s">
        <v>1000</v>
      </c>
      <c r="N29" s="1066" t="s">
        <v>1000</v>
      </c>
      <c r="O29" s="972" t="s">
        <v>42</v>
      </c>
      <c r="P29" s="972" t="s">
        <v>42</v>
      </c>
      <c r="Q29" s="972" t="s">
        <v>42</v>
      </c>
      <c r="R29" s="972" t="s">
        <v>42</v>
      </c>
      <c r="S29" s="972" t="s">
        <v>1156</v>
      </c>
      <c r="T29" s="1066" t="s">
        <v>1000</v>
      </c>
      <c r="U29" s="1066" t="s">
        <v>1000</v>
      </c>
      <c r="V29" s="972" t="s">
        <v>42</v>
      </c>
      <c r="W29" s="972" t="s">
        <v>42</v>
      </c>
      <c r="X29" s="972" t="s">
        <v>42</v>
      </c>
      <c r="Y29" s="972" t="s">
        <v>42</v>
      </c>
      <c r="Z29" s="972" t="s">
        <v>42</v>
      </c>
      <c r="AA29" s="1066" t="s">
        <v>1000</v>
      </c>
      <c r="AB29" s="1066" t="s">
        <v>1000</v>
      </c>
      <c r="AC29" s="972" t="s">
        <v>42</v>
      </c>
      <c r="AD29" s="972" t="s">
        <v>42</v>
      </c>
      <c r="AE29" s="972" t="s">
        <v>42</v>
      </c>
      <c r="AF29" s="972" t="s">
        <v>42</v>
      </c>
      <c r="AG29" s="972" t="s">
        <v>42</v>
      </c>
      <c r="AH29" s="1066" t="s">
        <v>1000</v>
      </c>
      <c r="AI29" s="945">
        <f>'04-22-Master'!Q33</f>
        <v>30</v>
      </c>
      <c r="AJ29" s="502"/>
    </row>
    <row r="30" spans="1:87" s="918" customFormat="1" ht="26.45" customHeight="1">
      <c r="A30" s="496">
        <v>19</v>
      </c>
      <c r="B30" s="986" t="str">
        <f>'04-22-Master'!B34</f>
        <v xml:space="preserve">NarsiReddy Venna </v>
      </c>
      <c r="C30" s="497" t="str">
        <f>'04-22-Master'!E34</f>
        <v>Krishna Reddy</v>
      </c>
      <c r="D30" s="498" t="str">
        <f>'04-22-Master'!D34</f>
        <v>Male</v>
      </c>
      <c r="E30" s="1069"/>
      <c r="F30" s="1067"/>
      <c r="G30" s="1067"/>
      <c r="H30" s="972" t="s">
        <v>42</v>
      </c>
      <c r="I30" s="972" t="s">
        <v>42</v>
      </c>
      <c r="J30" s="972" t="s">
        <v>42</v>
      </c>
      <c r="K30" s="972" t="s">
        <v>42</v>
      </c>
      <c r="L30" s="972" t="s">
        <v>42</v>
      </c>
      <c r="M30" s="1066" t="s">
        <v>1000</v>
      </c>
      <c r="N30" s="1066" t="s">
        <v>1000</v>
      </c>
      <c r="O30" s="972" t="s">
        <v>42</v>
      </c>
      <c r="P30" s="972" t="s">
        <v>42</v>
      </c>
      <c r="Q30" s="972" t="s">
        <v>42</v>
      </c>
      <c r="R30" s="972" t="s">
        <v>42</v>
      </c>
      <c r="S30" s="972" t="s">
        <v>1156</v>
      </c>
      <c r="T30" s="1066" t="s">
        <v>1000</v>
      </c>
      <c r="U30" s="1066" t="s">
        <v>1000</v>
      </c>
      <c r="V30" s="972" t="s">
        <v>42</v>
      </c>
      <c r="W30" s="972" t="s">
        <v>42</v>
      </c>
      <c r="X30" s="972" t="s">
        <v>42</v>
      </c>
      <c r="Y30" s="972" t="s">
        <v>42</v>
      </c>
      <c r="Z30" s="972" t="s">
        <v>42</v>
      </c>
      <c r="AA30" s="1066" t="s">
        <v>1000</v>
      </c>
      <c r="AB30" s="1066" t="s">
        <v>1000</v>
      </c>
      <c r="AC30" s="972" t="s">
        <v>42</v>
      </c>
      <c r="AD30" s="972" t="s">
        <v>42</v>
      </c>
      <c r="AE30" s="972" t="s">
        <v>42</v>
      </c>
      <c r="AF30" s="972" t="s">
        <v>42</v>
      </c>
      <c r="AG30" s="972" t="s">
        <v>42</v>
      </c>
      <c r="AH30" s="1066" t="s">
        <v>1000</v>
      </c>
      <c r="AI30" s="945">
        <f>'04-22-Master'!Q34</f>
        <v>27</v>
      </c>
      <c r="AJ30" s="502"/>
    </row>
    <row r="31" spans="1:87" s="918" customFormat="1" ht="26.45" customHeight="1">
      <c r="A31" s="496">
        <v>20</v>
      </c>
      <c r="B31" s="986" t="str">
        <f>'04-22-Master'!B35</f>
        <v xml:space="preserve">AbdulSaleem Sunkesula </v>
      </c>
      <c r="C31" s="497" t="str">
        <f>'04-22-Master'!E35</f>
        <v>Sunkesula Sowdayya</v>
      </c>
      <c r="D31" s="498" t="str">
        <f>'04-22-Master'!D35</f>
        <v>Male</v>
      </c>
      <c r="E31" s="1069"/>
      <c r="F31" s="1067"/>
      <c r="G31" s="1067"/>
      <c r="H31" s="1069"/>
      <c r="I31" s="1069"/>
      <c r="J31" s="1069"/>
      <c r="K31" s="1069"/>
      <c r="L31" s="1069"/>
      <c r="M31" s="1067"/>
      <c r="N31" s="1067"/>
      <c r="O31" s="1069"/>
      <c r="P31" s="1069"/>
      <c r="Q31" s="1069"/>
      <c r="R31" s="1069"/>
      <c r="S31" s="1069"/>
      <c r="T31" s="1067"/>
      <c r="U31" s="1067"/>
      <c r="V31" s="1069"/>
      <c r="W31" s="1069"/>
      <c r="X31" s="972" t="s">
        <v>42</v>
      </c>
      <c r="Y31" s="972" t="s">
        <v>42</v>
      </c>
      <c r="Z31" s="972" t="s">
        <v>42</v>
      </c>
      <c r="AA31" s="1066" t="s">
        <v>1000</v>
      </c>
      <c r="AB31" s="1066" t="s">
        <v>1000</v>
      </c>
      <c r="AC31" s="972" t="s">
        <v>42</v>
      </c>
      <c r="AD31" s="972" t="s">
        <v>42</v>
      </c>
      <c r="AE31" s="972" t="s">
        <v>42</v>
      </c>
      <c r="AF31" s="972" t="s">
        <v>42</v>
      </c>
      <c r="AG31" s="972" t="s">
        <v>42</v>
      </c>
      <c r="AH31" s="1066" t="s">
        <v>1000</v>
      </c>
      <c r="AI31" s="945">
        <f>'04-22-Master'!Q35</f>
        <v>11</v>
      </c>
      <c r="AJ31" s="502"/>
    </row>
    <row r="32" spans="1:87" s="918" customFormat="1" ht="26.45" customHeight="1">
      <c r="A32" s="1060">
        <v>21</v>
      </c>
      <c r="B32" s="986" t="str">
        <f>'04-22-Master'!B36</f>
        <v xml:space="preserve">SADHAM HUSSAIN </v>
      </c>
      <c r="C32" s="497" t="str">
        <f>'04-22-Master'!E36</f>
        <v>Shahul Hameed</v>
      </c>
      <c r="D32" s="497" t="str">
        <f>'04-22-Master'!D36</f>
        <v>Male</v>
      </c>
      <c r="E32" s="1069"/>
      <c r="F32" s="1067"/>
      <c r="G32" s="1067"/>
      <c r="H32" s="1069"/>
      <c r="I32" s="1069"/>
      <c r="J32" s="1069"/>
      <c r="K32" s="1069"/>
      <c r="L32" s="1069"/>
      <c r="M32" s="1067"/>
      <c r="N32" s="1067"/>
      <c r="O32" s="1069"/>
      <c r="P32" s="1069"/>
      <c r="Q32" s="1069"/>
      <c r="R32" s="1069"/>
      <c r="S32" s="1069"/>
      <c r="T32" s="1067"/>
      <c r="U32" s="1067"/>
      <c r="V32" s="1069"/>
      <c r="W32" s="1069"/>
      <c r="X32" s="1069"/>
      <c r="Y32" s="1069"/>
      <c r="Z32" s="1069"/>
      <c r="AA32" s="1067"/>
      <c r="AB32" s="1067"/>
      <c r="AC32" s="972" t="s">
        <v>42</v>
      </c>
      <c r="AD32" s="972" t="s">
        <v>42</v>
      </c>
      <c r="AE32" s="972" t="s">
        <v>42</v>
      </c>
      <c r="AF32" s="972" t="s">
        <v>42</v>
      </c>
      <c r="AG32" s="972" t="s">
        <v>42</v>
      </c>
      <c r="AH32" s="1066" t="s">
        <v>1000</v>
      </c>
      <c r="AI32" s="945">
        <f>'04-22-Master'!Q36</f>
        <v>6</v>
      </c>
      <c r="AJ32" s="502"/>
    </row>
    <row r="33" spans="1:266" s="918" customFormat="1" ht="26.45" customHeight="1">
      <c r="A33" s="556"/>
      <c r="B33" s="1071"/>
      <c r="C33" s="553"/>
      <c r="D33" s="553"/>
      <c r="E33" s="974"/>
      <c r="F33" s="975"/>
      <c r="G33" s="975"/>
      <c r="H33" s="975"/>
      <c r="I33" s="975"/>
      <c r="J33" s="975"/>
      <c r="K33" s="974"/>
      <c r="L33" s="974"/>
      <c r="M33" s="974"/>
      <c r="N33" s="974"/>
      <c r="O33" s="974"/>
      <c r="P33" s="974"/>
      <c r="Q33" s="974"/>
      <c r="R33" s="974"/>
      <c r="S33" s="974"/>
      <c r="T33" s="974"/>
      <c r="U33" s="974"/>
      <c r="V33" s="974"/>
      <c r="W33" s="974"/>
      <c r="X33" s="974"/>
      <c r="Y33" s="974"/>
      <c r="Z33" s="974"/>
      <c r="AA33" s="974"/>
      <c r="AB33" s="974"/>
      <c r="AC33" s="974"/>
      <c r="AD33" s="974"/>
      <c r="AE33" s="974"/>
      <c r="AF33" s="974"/>
      <c r="AG33" s="974"/>
      <c r="AH33" s="974"/>
      <c r="AI33" s="554">
        <f>SUM(AI12:AI32)</f>
        <v>583</v>
      </c>
      <c r="AJ33" s="555"/>
    </row>
    <row r="34" spans="1:266" s="918" customFormat="1" ht="26.45" customHeight="1">
      <c r="A34" s="556"/>
      <c r="B34" s="1071"/>
      <c r="C34" s="553"/>
      <c r="D34" s="553"/>
      <c r="E34" s="974"/>
      <c r="F34" s="975"/>
      <c r="G34" s="975"/>
      <c r="H34" s="975"/>
      <c r="I34" s="975"/>
      <c r="J34" s="975"/>
      <c r="K34" s="974"/>
      <c r="L34" s="974"/>
      <c r="M34" s="974"/>
      <c r="N34" s="974"/>
      <c r="O34" s="974"/>
      <c r="P34" s="974"/>
      <c r="Q34" s="974"/>
      <c r="R34" s="974"/>
      <c r="S34" s="974"/>
      <c r="T34" s="974"/>
      <c r="U34" s="974"/>
      <c r="V34" s="974"/>
      <c r="W34" s="974"/>
      <c r="X34" s="974"/>
      <c r="Y34" s="974"/>
      <c r="Z34" s="974"/>
      <c r="AA34" s="974"/>
      <c r="AB34" s="974"/>
      <c r="AC34" s="974"/>
      <c r="AD34" s="974"/>
      <c r="AE34" s="974"/>
      <c r="AF34" s="974"/>
      <c r="AG34" s="974"/>
      <c r="AH34" s="974"/>
      <c r="AI34" s="554"/>
      <c r="AJ34" s="555"/>
    </row>
    <row r="35" spans="1:266" s="918" customFormat="1" ht="26.45" customHeight="1">
      <c r="A35" s="556"/>
      <c r="B35" s="552"/>
      <c r="C35" s="553"/>
      <c r="D35" s="553"/>
      <c r="E35" s="974"/>
      <c r="F35" s="975"/>
      <c r="G35" s="975"/>
      <c r="H35" s="975"/>
      <c r="I35" s="975"/>
      <c r="J35" s="975"/>
      <c r="K35" s="974"/>
      <c r="L35" s="974"/>
      <c r="M35" s="974"/>
      <c r="N35" s="974"/>
      <c r="O35" s="974"/>
      <c r="P35" s="974"/>
      <c r="Q35" s="974"/>
      <c r="R35" s="974"/>
      <c r="S35" s="974"/>
      <c r="T35" s="974"/>
      <c r="U35" s="974"/>
      <c r="V35" s="974"/>
      <c r="W35" s="974"/>
      <c r="X35" s="974"/>
      <c r="Y35" s="974"/>
      <c r="Z35" s="974"/>
      <c r="AA35" s="974"/>
      <c r="AB35" s="974"/>
      <c r="AC35" s="974"/>
      <c r="AD35" s="974"/>
      <c r="AE35" s="974"/>
      <c r="AF35" s="974"/>
      <c r="AG35" s="974"/>
      <c r="AH35" s="974"/>
      <c r="AI35" s="554"/>
      <c r="AJ35" s="555"/>
    </row>
    <row r="36" spans="1:266" s="918" customFormat="1" ht="26.45" customHeight="1">
      <c r="A36" s="556"/>
      <c r="B36" s="552"/>
      <c r="C36" s="553"/>
      <c r="D36" s="553"/>
      <c r="E36" s="974"/>
      <c r="F36" s="975"/>
      <c r="G36" s="975"/>
      <c r="H36" s="975"/>
      <c r="I36" s="975"/>
      <c r="J36" s="975"/>
      <c r="K36" s="974"/>
      <c r="L36" s="974"/>
      <c r="M36" s="974"/>
      <c r="N36" s="974"/>
      <c r="O36" s="974"/>
      <c r="P36" s="974"/>
      <c r="Q36" s="974"/>
      <c r="R36" s="974"/>
      <c r="S36" s="974"/>
      <c r="T36" s="974"/>
      <c r="U36" s="974"/>
      <c r="V36" s="974"/>
      <c r="W36" s="974"/>
      <c r="X36" s="974"/>
      <c r="Y36" s="974"/>
      <c r="Z36" s="974"/>
      <c r="AA36" s="974"/>
      <c r="AB36" s="974"/>
      <c r="AC36" s="974"/>
      <c r="AD36" s="974"/>
      <c r="AE36" s="974"/>
      <c r="AF36" s="974"/>
      <c r="AG36" s="974"/>
      <c r="AH36" s="974"/>
      <c r="AI36" s="554"/>
      <c r="AJ36" s="555"/>
    </row>
    <row r="37" spans="1:266" s="918" customFormat="1" ht="26.45" customHeight="1">
      <c r="A37" s="556"/>
      <c r="B37" s="552"/>
      <c r="C37" s="553"/>
      <c r="D37" s="553"/>
      <c r="E37" s="974"/>
      <c r="F37" s="975"/>
      <c r="G37" s="975"/>
      <c r="H37" s="975"/>
      <c r="I37" s="975"/>
      <c r="J37" s="975"/>
      <c r="K37" s="974"/>
      <c r="L37" s="974"/>
      <c r="M37" s="974"/>
      <c r="N37" s="974"/>
      <c r="O37" s="974"/>
      <c r="P37" s="974"/>
      <c r="Q37" s="974"/>
      <c r="R37" s="974"/>
      <c r="S37" s="974"/>
      <c r="T37" s="974"/>
      <c r="U37" s="974"/>
      <c r="V37" s="974"/>
      <c r="W37" s="974"/>
      <c r="X37" s="974"/>
      <c r="Y37" s="974"/>
      <c r="Z37" s="974"/>
      <c r="AA37" s="974"/>
      <c r="AB37" s="974"/>
      <c r="AC37" s="974"/>
      <c r="AD37" s="974"/>
      <c r="AE37" s="974"/>
      <c r="AF37" s="974"/>
      <c r="AG37" s="974"/>
      <c r="AH37" s="974"/>
      <c r="AI37" s="554"/>
      <c r="AJ37" s="555"/>
    </row>
    <row r="38" spans="1:266" s="918" customFormat="1">
      <c r="A38" s="556"/>
      <c r="B38" s="557"/>
      <c r="C38" s="558"/>
      <c r="D38" s="559"/>
      <c r="F38" s="499"/>
      <c r="G38" s="500"/>
      <c r="H38" s="559"/>
      <c r="I38" s="560"/>
      <c r="J38" s="560"/>
      <c r="K38" s="501"/>
      <c r="L38" s="559"/>
      <c r="M38" s="559"/>
      <c r="N38" s="559"/>
      <c r="O38" s="559"/>
      <c r="P38" s="559"/>
      <c r="Q38" s="556"/>
      <c r="R38" s="556"/>
      <c r="S38" s="559"/>
      <c r="T38" s="501"/>
      <c r="U38" s="501"/>
      <c r="V38" s="501"/>
      <c r="W38" s="501"/>
      <c r="X38" s="501"/>
      <c r="Y38" s="501"/>
      <c r="Z38" s="501"/>
      <c r="AA38" s="501"/>
      <c r="AB38" s="501"/>
      <c r="AC38" s="501"/>
      <c r="AD38" s="501"/>
      <c r="AE38" s="501"/>
      <c r="AF38" s="501"/>
      <c r="AG38" s="501"/>
      <c r="AH38" s="501"/>
      <c r="AI38" s="501"/>
      <c r="AJ38" s="501"/>
    </row>
    <row r="39" spans="1:266" ht="16.5" thickBot="1">
      <c r="A39" s="976"/>
      <c r="B39" s="1156"/>
      <c r="C39" s="1156"/>
      <c r="D39" s="977"/>
      <c r="E39" s="946"/>
      <c r="F39" s="946"/>
      <c r="G39" s="947"/>
      <c r="H39" s="946"/>
      <c r="I39" s="946"/>
      <c r="J39" s="1156" t="s">
        <v>38</v>
      </c>
      <c r="K39" s="1156"/>
      <c r="L39" s="1156"/>
      <c r="M39" s="1156"/>
      <c r="N39" s="1156"/>
      <c r="O39" s="1156"/>
      <c r="P39" s="1156"/>
      <c r="Q39" s="1156"/>
      <c r="R39" s="1156"/>
      <c r="S39" s="1156"/>
      <c r="T39" s="1156"/>
      <c r="U39" s="1156"/>
      <c r="V39" s="1156"/>
      <c r="W39" s="1156"/>
      <c r="X39" s="1156"/>
      <c r="Y39" s="1156"/>
      <c r="Z39" s="1156"/>
      <c r="AA39" s="1156"/>
      <c r="AB39" s="1156"/>
      <c r="AC39" s="1156"/>
      <c r="AD39" s="1156"/>
      <c r="AE39" s="1156"/>
      <c r="AF39" s="1156"/>
      <c r="AG39" s="1156"/>
      <c r="AH39" s="1156"/>
      <c r="AI39" s="1156"/>
      <c r="AJ39" s="1157"/>
      <c r="AK39" s="978"/>
      <c r="AL39" s="978"/>
      <c r="AM39" s="978"/>
      <c r="AN39" s="978"/>
      <c r="AO39" s="978"/>
      <c r="AP39" s="978"/>
      <c r="AQ39" s="978"/>
      <c r="AR39" s="978"/>
      <c r="AS39" s="978"/>
      <c r="AT39" s="978"/>
      <c r="AU39" s="978"/>
      <c r="AV39" s="978"/>
      <c r="AW39" s="978"/>
      <c r="AX39" s="978"/>
      <c r="AY39" s="978"/>
      <c r="AZ39" s="978"/>
      <c r="BA39" s="978"/>
      <c r="BB39" s="978"/>
      <c r="BC39" s="978"/>
      <c r="BD39" s="978"/>
      <c r="BE39" s="978"/>
      <c r="BF39" s="978"/>
      <c r="BG39" s="978"/>
      <c r="BH39" s="978"/>
      <c r="BI39" s="978"/>
      <c r="BJ39" s="978"/>
      <c r="BK39" s="978"/>
      <c r="BL39" s="978"/>
      <c r="BM39" s="978"/>
      <c r="BN39" s="978"/>
      <c r="BO39" s="978"/>
      <c r="BP39" s="978"/>
      <c r="BQ39" s="978"/>
      <c r="BR39" s="978"/>
      <c r="BS39" s="978"/>
      <c r="BT39" s="978"/>
      <c r="BU39" s="978"/>
      <c r="BV39" s="978"/>
      <c r="BW39" s="978"/>
      <c r="BX39" s="978"/>
      <c r="BY39" s="978"/>
      <c r="BZ39" s="978"/>
      <c r="CA39" s="978"/>
      <c r="CB39" s="978"/>
      <c r="CC39" s="978"/>
      <c r="CD39" s="978"/>
      <c r="CE39" s="978"/>
      <c r="CF39" s="978"/>
      <c r="CG39" s="978"/>
      <c r="CH39" s="978"/>
      <c r="CI39" s="979"/>
      <c r="CJ39" s="979"/>
      <c r="CK39" s="979"/>
      <c r="CL39" s="979"/>
      <c r="CM39" s="979"/>
      <c r="CN39" s="979"/>
      <c r="CO39" s="979"/>
      <c r="CP39" s="979"/>
      <c r="CQ39" s="979"/>
      <c r="CR39" s="979"/>
      <c r="CS39" s="979"/>
      <c r="CT39" s="979"/>
      <c r="CU39" s="979"/>
      <c r="CV39" s="979"/>
      <c r="CW39" s="979"/>
      <c r="CX39" s="979"/>
      <c r="CY39" s="979"/>
      <c r="CZ39" s="979"/>
      <c r="DA39" s="979"/>
      <c r="DB39" s="979"/>
      <c r="DC39" s="979"/>
      <c r="DD39" s="979"/>
      <c r="DE39" s="979"/>
      <c r="DF39" s="979"/>
      <c r="DG39" s="979"/>
      <c r="DH39" s="979"/>
      <c r="DI39" s="979"/>
      <c r="DJ39" s="979"/>
      <c r="DK39" s="979"/>
      <c r="DL39" s="979"/>
      <c r="DM39" s="979"/>
      <c r="DN39" s="979"/>
      <c r="DO39" s="979"/>
      <c r="DP39" s="979"/>
      <c r="DQ39" s="979"/>
      <c r="DR39" s="979"/>
      <c r="DS39" s="979"/>
      <c r="DT39" s="979"/>
      <c r="DU39" s="979"/>
      <c r="DV39" s="979"/>
      <c r="DW39" s="979"/>
      <c r="DX39" s="979"/>
      <c r="DY39" s="979"/>
      <c r="DZ39" s="979"/>
      <c r="EA39" s="979"/>
      <c r="EB39" s="979"/>
      <c r="EC39" s="979"/>
      <c r="ED39" s="979"/>
      <c r="EE39" s="979"/>
      <c r="EF39" s="979"/>
      <c r="EG39" s="979"/>
      <c r="EH39" s="979"/>
      <c r="EI39" s="979"/>
      <c r="EJ39" s="979"/>
      <c r="EK39" s="979"/>
      <c r="EL39" s="979"/>
      <c r="EM39" s="979"/>
      <c r="EN39" s="979"/>
      <c r="EO39" s="979"/>
      <c r="EP39" s="979"/>
      <c r="EQ39" s="979"/>
      <c r="ER39" s="979"/>
      <c r="ES39" s="979"/>
      <c r="ET39" s="979"/>
      <c r="EU39" s="979"/>
      <c r="EV39" s="979"/>
      <c r="EW39" s="979"/>
      <c r="EX39" s="979"/>
      <c r="EY39" s="979"/>
      <c r="EZ39" s="979"/>
      <c r="FA39" s="979"/>
      <c r="FB39" s="979"/>
      <c r="FC39" s="979"/>
      <c r="FD39" s="979"/>
      <c r="FE39" s="979"/>
      <c r="FF39" s="979"/>
      <c r="FG39" s="979"/>
      <c r="FH39" s="979"/>
      <c r="FI39" s="979"/>
      <c r="FJ39" s="979"/>
      <c r="FK39" s="979"/>
      <c r="FL39" s="979"/>
      <c r="FM39" s="979"/>
      <c r="FN39" s="979"/>
      <c r="FO39" s="979"/>
      <c r="FP39" s="979"/>
      <c r="FQ39" s="979"/>
      <c r="FR39" s="979"/>
      <c r="FS39" s="979"/>
      <c r="FT39" s="979"/>
      <c r="FU39" s="979"/>
      <c r="FV39" s="979"/>
      <c r="FW39" s="979"/>
      <c r="FX39" s="979"/>
      <c r="FY39" s="979"/>
      <c r="FZ39" s="979"/>
      <c r="GA39" s="979"/>
      <c r="GB39" s="979"/>
      <c r="GC39" s="979"/>
      <c r="GD39" s="979"/>
      <c r="GE39" s="979"/>
      <c r="GF39" s="979"/>
      <c r="GG39" s="979"/>
      <c r="GH39" s="979"/>
      <c r="GI39" s="979"/>
      <c r="GJ39" s="979"/>
      <c r="GK39" s="979"/>
      <c r="GL39" s="979"/>
      <c r="GM39" s="979"/>
      <c r="GN39" s="979"/>
      <c r="GO39" s="979"/>
      <c r="GP39" s="979"/>
      <c r="GQ39" s="979"/>
      <c r="GR39" s="979"/>
      <c r="GS39" s="979"/>
      <c r="GT39" s="979"/>
      <c r="GU39" s="979"/>
      <c r="GV39" s="979"/>
      <c r="GW39" s="979"/>
      <c r="GX39" s="979"/>
      <c r="GY39" s="979"/>
      <c r="GZ39" s="979"/>
      <c r="HA39" s="979"/>
      <c r="HB39" s="979"/>
      <c r="HC39" s="979"/>
      <c r="HD39" s="979"/>
      <c r="HE39" s="979"/>
      <c r="HF39" s="979"/>
      <c r="HG39" s="979"/>
      <c r="HH39" s="979"/>
      <c r="HI39" s="979"/>
      <c r="HJ39" s="979"/>
      <c r="HK39" s="979"/>
      <c r="HL39" s="979"/>
      <c r="HM39" s="979"/>
      <c r="HN39" s="979"/>
      <c r="HO39" s="979"/>
      <c r="HP39" s="979"/>
      <c r="HQ39" s="979"/>
      <c r="HR39" s="979"/>
      <c r="HS39" s="979"/>
      <c r="HT39" s="979"/>
      <c r="HU39" s="979"/>
      <c r="HV39" s="979"/>
      <c r="HW39" s="979"/>
      <c r="HX39" s="979"/>
      <c r="HY39" s="979"/>
      <c r="HZ39" s="979"/>
      <c r="IA39" s="979"/>
      <c r="IB39" s="979"/>
      <c r="IC39" s="979"/>
      <c r="ID39" s="979"/>
      <c r="IE39" s="979"/>
      <c r="IF39" s="979"/>
      <c r="IG39" s="979"/>
      <c r="IH39" s="979"/>
      <c r="II39" s="979"/>
      <c r="IJ39" s="979"/>
      <c r="IK39" s="979"/>
      <c r="IL39" s="979"/>
      <c r="IM39" s="979"/>
      <c r="IN39" s="979"/>
      <c r="IO39" s="979"/>
      <c r="IP39" s="979"/>
      <c r="IQ39" s="979"/>
      <c r="IR39" s="979"/>
      <c r="IS39" s="979"/>
      <c r="IT39" s="979"/>
      <c r="IU39" s="979"/>
      <c r="IV39" s="979"/>
      <c r="IW39" s="979"/>
      <c r="IX39" s="979"/>
      <c r="IY39" s="979"/>
      <c r="IZ39" s="979"/>
      <c r="JA39" s="979"/>
      <c r="JB39" s="979"/>
      <c r="JC39" s="979"/>
      <c r="JD39" s="979"/>
      <c r="JE39" s="979"/>
      <c r="JF39" s="979"/>
    </row>
    <row r="40" spans="1:266">
      <c r="A40" s="980"/>
      <c r="B40" s="532"/>
      <c r="C40" s="532"/>
      <c r="D40" s="980"/>
      <c r="E40" s="948"/>
      <c r="F40" s="948"/>
      <c r="G40" s="949"/>
      <c r="H40" s="948"/>
      <c r="I40" s="948"/>
      <c r="J40" s="532"/>
      <c r="K40" s="532"/>
      <c r="L40" s="532"/>
      <c r="M40" s="532"/>
      <c r="N40" s="532"/>
      <c r="O40" s="532"/>
      <c r="P40" s="532"/>
      <c r="Q40" s="532"/>
      <c r="R40" s="532"/>
      <c r="S40" s="532"/>
      <c r="T40" s="532"/>
      <c r="U40" s="532"/>
      <c r="V40" s="532"/>
      <c r="W40" s="532"/>
      <c r="X40" s="532"/>
      <c r="Y40" s="532"/>
      <c r="Z40" s="532"/>
      <c r="AA40" s="532"/>
      <c r="AB40" s="532"/>
      <c r="AC40" s="532"/>
      <c r="AD40" s="532"/>
      <c r="AE40" s="532"/>
      <c r="AF40" s="532"/>
      <c r="AG40" s="532"/>
      <c r="AH40" s="532"/>
      <c r="AI40" s="532"/>
      <c r="AJ40" s="532"/>
      <c r="AK40" s="978"/>
      <c r="AL40" s="978"/>
      <c r="AM40" s="978"/>
      <c r="AN40" s="978"/>
      <c r="AO40" s="978"/>
      <c r="AP40" s="978"/>
      <c r="AQ40" s="978"/>
      <c r="AR40" s="978"/>
      <c r="AS40" s="978"/>
      <c r="AT40" s="978"/>
      <c r="AU40" s="978"/>
      <c r="AV40" s="978"/>
      <c r="AW40" s="978"/>
      <c r="AX40" s="978"/>
      <c r="AY40" s="978"/>
      <c r="AZ40" s="978"/>
      <c r="BA40" s="978"/>
      <c r="BB40" s="978"/>
      <c r="BC40" s="978"/>
      <c r="BD40" s="978"/>
      <c r="BE40" s="978"/>
      <c r="BF40" s="978"/>
      <c r="BG40" s="978"/>
      <c r="BH40" s="978"/>
      <c r="BI40" s="978"/>
      <c r="BJ40" s="978"/>
      <c r="BK40" s="978"/>
      <c r="BL40" s="978"/>
      <c r="BM40" s="978"/>
      <c r="BN40" s="978"/>
      <c r="BO40" s="978"/>
      <c r="BP40" s="978"/>
      <c r="BQ40" s="978"/>
      <c r="BR40" s="978"/>
      <c r="BS40" s="978"/>
      <c r="BT40" s="978"/>
      <c r="BU40" s="978"/>
      <c r="BV40" s="978"/>
      <c r="BW40" s="978"/>
      <c r="BX40" s="978"/>
      <c r="BY40" s="978"/>
      <c r="BZ40" s="978"/>
      <c r="CA40" s="978"/>
      <c r="CB40" s="978"/>
      <c r="CC40" s="978"/>
      <c r="CD40" s="978"/>
      <c r="CE40" s="978"/>
      <c r="CF40" s="978"/>
      <c r="CG40" s="978"/>
      <c r="CH40" s="978"/>
      <c r="CI40" s="979"/>
      <c r="CJ40" s="979"/>
      <c r="CK40" s="979"/>
      <c r="CL40" s="979"/>
      <c r="CM40" s="979"/>
      <c r="CN40" s="979"/>
      <c r="CO40" s="979"/>
      <c r="CP40" s="979"/>
      <c r="CQ40" s="979"/>
      <c r="CR40" s="979"/>
      <c r="CS40" s="979"/>
      <c r="CT40" s="979"/>
      <c r="CU40" s="979"/>
      <c r="CV40" s="979"/>
      <c r="CW40" s="979"/>
      <c r="CX40" s="979"/>
      <c r="CY40" s="979"/>
      <c r="CZ40" s="979"/>
      <c r="DA40" s="979"/>
      <c r="DB40" s="979"/>
      <c r="DC40" s="979"/>
      <c r="DD40" s="979"/>
      <c r="DE40" s="979"/>
      <c r="DF40" s="979"/>
      <c r="DG40" s="979"/>
      <c r="DH40" s="979"/>
      <c r="DI40" s="979"/>
      <c r="DJ40" s="979"/>
      <c r="DK40" s="979"/>
      <c r="DL40" s="979"/>
      <c r="DM40" s="979"/>
      <c r="DN40" s="979"/>
      <c r="DO40" s="979"/>
      <c r="DP40" s="979"/>
      <c r="DQ40" s="979"/>
      <c r="DR40" s="979"/>
      <c r="DS40" s="979"/>
      <c r="DT40" s="979"/>
      <c r="DU40" s="979"/>
      <c r="DV40" s="979"/>
      <c r="DW40" s="979"/>
      <c r="DX40" s="979"/>
      <c r="DY40" s="979"/>
      <c r="DZ40" s="979"/>
      <c r="EA40" s="979"/>
      <c r="EB40" s="979"/>
      <c r="EC40" s="979"/>
      <c r="ED40" s="979"/>
      <c r="EE40" s="979"/>
      <c r="EF40" s="979"/>
      <c r="EG40" s="979"/>
      <c r="EH40" s="979"/>
      <c r="EI40" s="979"/>
      <c r="EJ40" s="979"/>
      <c r="EK40" s="979"/>
      <c r="EL40" s="979"/>
      <c r="EM40" s="979"/>
      <c r="EN40" s="979"/>
      <c r="EO40" s="979"/>
      <c r="EP40" s="979"/>
      <c r="EQ40" s="979"/>
      <c r="ER40" s="979"/>
      <c r="ES40" s="979"/>
      <c r="ET40" s="979"/>
      <c r="EU40" s="979"/>
      <c r="EV40" s="979"/>
      <c r="EW40" s="979"/>
      <c r="EX40" s="979"/>
      <c r="EY40" s="979"/>
      <c r="EZ40" s="979"/>
      <c r="FA40" s="979"/>
      <c r="FB40" s="979"/>
      <c r="FC40" s="979"/>
      <c r="FD40" s="979"/>
      <c r="FE40" s="979"/>
      <c r="FF40" s="979"/>
      <c r="FG40" s="979"/>
      <c r="FH40" s="979"/>
      <c r="FI40" s="979"/>
      <c r="FJ40" s="979"/>
      <c r="FK40" s="979"/>
      <c r="FL40" s="979"/>
      <c r="FM40" s="979"/>
      <c r="FN40" s="979"/>
      <c r="FO40" s="979"/>
      <c r="FP40" s="979"/>
      <c r="FQ40" s="979"/>
      <c r="FR40" s="979"/>
      <c r="FS40" s="979"/>
      <c r="FT40" s="979"/>
      <c r="FU40" s="979"/>
      <c r="FV40" s="979"/>
      <c r="FW40" s="979"/>
      <c r="FX40" s="979"/>
      <c r="FY40" s="979"/>
      <c r="FZ40" s="979"/>
      <c r="GA40" s="979"/>
      <c r="GB40" s="979"/>
      <c r="GC40" s="979"/>
      <c r="GD40" s="979"/>
      <c r="GE40" s="979"/>
      <c r="GF40" s="979"/>
      <c r="GG40" s="979"/>
      <c r="GH40" s="979"/>
      <c r="GI40" s="979"/>
      <c r="GJ40" s="979"/>
      <c r="GK40" s="979"/>
      <c r="GL40" s="979"/>
      <c r="GM40" s="979"/>
      <c r="GN40" s="979"/>
      <c r="GO40" s="979"/>
      <c r="GP40" s="979"/>
      <c r="GQ40" s="979"/>
      <c r="GR40" s="979"/>
      <c r="GS40" s="979"/>
      <c r="GT40" s="979"/>
      <c r="GU40" s="979"/>
      <c r="GV40" s="979"/>
      <c r="GW40" s="979"/>
      <c r="GX40" s="979"/>
      <c r="GY40" s="979"/>
      <c r="GZ40" s="979"/>
      <c r="HA40" s="979"/>
      <c r="HB40" s="979"/>
      <c r="HC40" s="979"/>
      <c r="HD40" s="979"/>
      <c r="HE40" s="979"/>
      <c r="HF40" s="979"/>
      <c r="HG40" s="979"/>
      <c r="HH40" s="979"/>
      <c r="HI40" s="979"/>
      <c r="HJ40" s="979"/>
      <c r="HK40" s="979"/>
      <c r="HL40" s="979"/>
      <c r="HM40" s="979"/>
      <c r="HN40" s="979"/>
      <c r="HO40" s="979"/>
      <c r="HP40" s="979"/>
      <c r="HQ40" s="979"/>
      <c r="HR40" s="979"/>
      <c r="HS40" s="979"/>
      <c r="HT40" s="979"/>
      <c r="HU40" s="979"/>
      <c r="HV40" s="979"/>
      <c r="HW40" s="979"/>
      <c r="HX40" s="979"/>
      <c r="HY40" s="979"/>
      <c r="HZ40" s="979"/>
      <c r="IA40" s="979"/>
      <c r="IB40" s="979"/>
      <c r="IC40" s="979"/>
      <c r="ID40" s="979"/>
      <c r="IE40" s="979"/>
      <c r="IF40" s="979"/>
      <c r="IG40" s="979"/>
      <c r="IH40" s="979"/>
      <c r="II40" s="979"/>
      <c r="IJ40" s="979"/>
      <c r="IK40" s="979"/>
      <c r="IL40" s="979"/>
      <c r="IM40" s="979"/>
      <c r="IN40" s="979"/>
      <c r="IO40" s="979"/>
      <c r="IP40" s="979"/>
      <c r="IQ40" s="979"/>
      <c r="IR40" s="979"/>
      <c r="IS40" s="979"/>
      <c r="IT40" s="979"/>
      <c r="IU40" s="979"/>
      <c r="IV40" s="979"/>
      <c r="IW40" s="979"/>
      <c r="IX40" s="979"/>
      <c r="IY40" s="979"/>
      <c r="IZ40" s="979"/>
      <c r="JA40" s="979"/>
      <c r="JB40" s="979"/>
      <c r="JC40" s="979"/>
      <c r="JD40" s="979"/>
      <c r="JE40" s="979"/>
      <c r="JF40" s="979"/>
    </row>
    <row r="41" spans="1:266">
      <c r="A41" s="980"/>
      <c r="B41" s="532"/>
      <c r="C41" s="532"/>
      <c r="D41" s="980"/>
      <c r="E41" s="948"/>
      <c r="F41" s="948"/>
      <c r="G41" s="949"/>
      <c r="H41" s="948"/>
      <c r="I41" s="948"/>
      <c r="J41" s="532"/>
      <c r="K41" s="532"/>
      <c r="L41" s="532"/>
      <c r="M41" s="532"/>
      <c r="N41" s="532"/>
      <c r="O41" s="532"/>
      <c r="P41" s="532"/>
      <c r="Q41" s="532"/>
      <c r="R41" s="532"/>
      <c r="S41" s="532"/>
      <c r="T41" s="532"/>
      <c r="U41" s="532"/>
      <c r="V41" s="532"/>
      <c r="W41" s="532"/>
      <c r="X41" s="532"/>
      <c r="Y41" s="532"/>
      <c r="Z41" s="532"/>
      <c r="AA41" s="532"/>
      <c r="AB41" s="532"/>
      <c r="AC41" s="532"/>
      <c r="AD41" s="532"/>
      <c r="AE41" s="532"/>
      <c r="AF41" s="532"/>
      <c r="AG41" s="532"/>
      <c r="AH41" s="532"/>
      <c r="AI41" s="532"/>
      <c r="AJ41" s="532"/>
      <c r="AK41" s="978"/>
      <c r="AL41" s="978"/>
      <c r="AM41" s="978"/>
      <c r="AN41" s="978"/>
      <c r="AO41" s="978"/>
      <c r="AP41" s="978"/>
      <c r="AQ41" s="978"/>
      <c r="AR41" s="978"/>
      <c r="AS41" s="978"/>
      <c r="AT41" s="978"/>
      <c r="AU41" s="978"/>
      <c r="AV41" s="978"/>
      <c r="AW41" s="978"/>
      <c r="AX41" s="978"/>
      <c r="AY41" s="978"/>
      <c r="AZ41" s="978"/>
      <c r="BA41" s="978"/>
      <c r="BB41" s="978"/>
      <c r="BC41" s="978"/>
      <c r="BD41" s="978"/>
      <c r="BE41" s="978"/>
      <c r="BF41" s="978"/>
      <c r="BG41" s="978"/>
      <c r="BH41" s="978"/>
      <c r="BI41" s="978"/>
      <c r="BJ41" s="978"/>
      <c r="BK41" s="978"/>
      <c r="BL41" s="978"/>
      <c r="BM41" s="978"/>
      <c r="BN41" s="978"/>
      <c r="BO41" s="978"/>
      <c r="BP41" s="978"/>
      <c r="BQ41" s="978"/>
      <c r="BR41" s="978"/>
      <c r="BS41" s="978"/>
      <c r="BT41" s="978"/>
      <c r="BU41" s="978"/>
      <c r="BV41" s="978"/>
      <c r="BW41" s="978"/>
      <c r="BX41" s="978"/>
      <c r="BY41" s="978"/>
      <c r="BZ41" s="978"/>
      <c r="CA41" s="978"/>
      <c r="CB41" s="978"/>
      <c r="CC41" s="978"/>
      <c r="CD41" s="978"/>
      <c r="CE41" s="978"/>
      <c r="CF41" s="978"/>
      <c r="CG41" s="978"/>
      <c r="CH41" s="978"/>
      <c r="CI41" s="979"/>
      <c r="CJ41" s="979"/>
      <c r="CK41" s="979"/>
      <c r="CL41" s="979"/>
      <c r="CM41" s="979"/>
      <c r="CN41" s="979"/>
      <c r="CO41" s="979"/>
      <c r="CP41" s="979"/>
      <c r="CQ41" s="979"/>
      <c r="CR41" s="979"/>
      <c r="CS41" s="979"/>
      <c r="CT41" s="979"/>
      <c r="CU41" s="979"/>
      <c r="CV41" s="979"/>
      <c r="CW41" s="979"/>
      <c r="CX41" s="979"/>
      <c r="CY41" s="979"/>
      <c r="CZ41" s="979"/>
      <c r="DA41" s="979"/>
      <c r="DB41" s="979"/>
      <c r="DC41" s="979"/>
      <c r="DD41" s="979"/>
      <c r="DE41" s="979"/>
      <c r="DF41" s="979"/>
      <c r="DG41" s="979"/>
      <c r="DH41" s="979"/>
      <c r="DI41" s="979"/>
      <c r="DJ41" s="979"/>
      <c r="DK41" s="979"/>
      <c r="DL41" s="979"/>
      <c r="DM41" s="979"/>
      <c r="DN41" s="979"/>
      <c r="DO41" s="979"/>
      <c r="DP41" s="979"/>
      <c r="DQ41" s="979"/>
      <c r="DR41" s="979"/>
      <c r="DS41" s="979"/>
      <c r="DT41" s="979"/>
      <c r="DU41" s="979"/>
      <c r="DV41" s="979"/>
      <c r="DW41" s="979"/>
      <c r="DX41" s="979"/>
      <c r="DY41" s="979"/>
      <c r="DZ41" s="979"/>
      <c r="EA41" s="979"/>
      <c r="EB41" s="979"/>
      <c r="EC41" s="979"/>
      <c r="ED41" s="979"/>
      <c r="EE41" s="979"/>
      <c r="EF41" s="979"/>
      <c r="EG41" s="979"/>
      <c r="EH41" s="979"/>
      <c r="EI41" s="979"/>
      <c r="EJ41" s="979"/>
      <c r="EK41" s="979"/>
      <c r="EL41" s="979"/>
      <c r="EM41" s="979"/>
      <c r="EN41" s="979"/>
      <c r="EO41" s="979"/>
      <c r="EP41" s="979"/>
      <c r="EQ41" s="979"/>
      <c r="ER41" s="979"/>
      <c r="ES41" s="979"/>
      <c r="ET41" s="979"/>
      <c r="EU41" s="979"/>
      <c r="EV41" s="979"/>
      <c r="EW41" s="979"/>
      <c r="EX41" s="979"/>
      <c r="EY41" s="979"/>
      <c r="EZ41" s="979"/>
      <c r="FA41" s="979"/>
      <c r="FB41" s="979"/>
      <c r="FC41" s="979"/>
      <c r="FD41" s="979"/>
      <c r="FE41" s="979"/>
      <c r="FF41" s="979"/>
      <c r="FG41" s="979"/>
      <c r="FH41" s="979"/>
      <c r="FI41" s="979"/>
      <c r="FJ41" s="979"/>
      <c r="FK41" s="979"/>
      <c r="FL41" s="979"/>
      <c r="FM41" s="979"/>
      <c r="FN41" s="979"/>
      <c r="FO41" s="979"/>
      <c r="FP41" s="979"/>
      <c r="FQ41" s="979"/>
      <c r="FR41" s="979"/>
      <c r="FS41" s="979"/>
      <c r="FT41" s="979"/>
      <c r="FU41" s="979"/>
      <c r="FV41" s="979"/>
      <c r="FW41" s="979"/>
      <c r="FX41" s="979"/>
      <c r="FY41" s="979"/>
      <c r="FZ41" s="979"/>
      <c r="GA41" s="979"/>
      <c r="GB41" s="979"/>
      <c r="GC41" s="979"/>
      <c r="GD41" s="979"/>
      <c r="GE41" s="979"/>
      <c r="GF41" s="979"/>
      <c r="GG41" s="979"/>
      <c r="GH41" s="979"/>
      <c r="GI41" s="979"/>
      <c r="GJ41" s="979"/>
      <c r="GK41" s="979"/>
      <c r="GL41" s="979"/>
      <c r="GM41" s="979"/>
      <c r="GN41" s="979"/>
      <c r="GO41" s="979"/>
      <c r="GP41" s="979"/>
      <c r="GQ41" s="979"/>
      <c r="GR41" s="979"/>
      <c r="GS41" s="979"/>
      <c r="GT41" s="979"/>
      <c r="GU41" s="979"/>
      <c r="GV41" s="979"/>
      <c r="GW41" s="979"/>
      <c r="GX41" s="979"/>
      <c r="GY41" s="979"/>
      <c r="GZ41" s="979"/>
      <c r="HA41" s="979"/>
      <c r="HB41" s="979"/>
      <c r="HC41" s="979"/>
      <c r="HD41" s="979"/>
      <c r="HE41" s="979"/>
      <c r="HF41" s="979"/>
      <c r="HG41" s="979"/>
      <c r="HH41" s="979"/>
      <c r="HI41" s="979"/>
      <c r="HJ41" s="979"/>
      <c r="HK41" s="979"/>
      <c r="HL41" s="979"/>
      <c r="HM41" s="979"/>
      <c r="HN41" s="979"/>
      <c r="HO41" s="979"/>
      <c r="HP41" s="979"/>
      <c r="HQ41" s="979"/>
      <c r="HR41" s="979"/>
      <c r="HS41" s="979"/>
      <c r="HT41" s="979"/>
      <c r="HU41" s="979"/>
      <c r="HV41" s="979"/>
      <c r="HW41" s="979"/>
      <c r="HX41" s="979"/>
      <c r="HY41" s="979"/>
      <c r="HZ41" s="979"/>
      <c r="IA41" s="979"/>
      <c r="IB41" s="979"/>
      <c r="IC41" s="979"/>
      <c r="ID41" s="979"/>
      <c r="IE41" s="979"/>
      <c r="IF41" s="979"/>
      <c r="IG41" s="979"/>
      <c r="IH41" s="979"/>
      <c r="II41" s="979"/>
      <c r="IJ41" s="979"/>
      <c r="IK41" s="979"/>
      <c r="IL41" s="979"/>
      <c r="IM41" s="979"/>
      <c r="IN41" s="979"/>
      <c r="IO41" s="979"/>
      <c r="IP41" s="979"/>
      <c r="IQ41" s="979"/>
      <c r="IR41" s="979"/>
      <c r="IS41" s="979"/>
      <c r="IT41" s="979"/>
      <c r="IU41" s="979"/>
      <c r="IV41" s="979"/>
      <c r="IW41" s="979"/>
      <c r="IX41" s="979"/>
      <c r="IY41" s="979"/>
      <c r="IZ41" s="979"/>
      <c r="JA41" s="979"/>
      <c r="JB41" s="979"/>
      <c r="JC41" s="979"/>
      <c r="JD41" s="979"/>
      <c r="JE41" s="979"/>
      <c r="JF41" s="979"/>
    </row>
  </sheetData>
  <mergeCells count="12">
    <mergeCell ref="J39:AJ39"/>
    <mergeCell ref="A1:AJ1"/>
    <mergeCell ref="A3:C3"/>
    <mergeCell ref="A5:C5"/>
    <mergeCell ref="A6:C7"/>
    <mergeCell ref="D6:D7"/>
    <mergeCell ref="J6:Y7"/>
    <mergeCell ref="A10:A11"/>
    <mergeCell ref="B10:B11"/>
    <mergeCell ref="C10:C11"/>
    <mergeCell ref="D10:D11"/>
    <mergeCell ref="B39:C39"/>
  </mergeCells>
  <pageMargins left="0.70866141732283472" right="0.70866141732283472" top="0.74803149606299213" bottom="0.74803149606299213" header="0.31496062992125984" footer="0.31496062992125984"/>
  <pageSetup paperSize="9" scale="5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943"/>
  <sheetViews>
    <sheetView topLeftCell="A868" workbookViewId="0">
      <selection activeCell="G786" sqref="G786:G787"/>
    </sheetView>
  </sheetViews>
  <sheetFormatPr defaultRowHeight="15"/>
  <cols>
    <col min="1" max="1" width="6.85546875" customWidth="1"/>
    <col min="2" max="2" width="9.5703125" customWidth="1"/>
    <col min="3" max="3" width="11.5703125" customWidth="1"/>
    <col min="4" max="4" width="10.42578125" customWidth="1"/>
    <col min="5" max="5" width="11" customWidth="1"/>
    <col min="6" max="6" width="11.140625" customWidth="1"/>
    <col min="7" max="7" width="9.140625" customWidth="1"/>
    <col min="8" max="8" width="9.28515625" customWidth="1"/>
    <col min="9" max="9" width="10.140625" bestFit="1" customWidth="1"/>
    <col min="11" max="11" width="10.140625" bestFit="1" customWidth="1"/>
    <col min="12" max="12" width="11.28515625" customWidth="1"/>
    <col min="16" max="16" width="12.85546875" customWidth="1"/>
  </cols>
  <sheetData>
    <row r="1" spans="2:16" s="390" customFormat="1" ht="15" customHeight="1">
      <c r="B1" s="1180" t="s">
        <v>727</v>
      </c>
      <c r="C1" s="1180"/>
      <c r="D1" s="1180"/>
      <c r="E1" s="1180"/>
      <c r="F1" s="1180"/>
      <c r="G1" s="1180"/>
      <c r="H1" s="1180"/>
      <c r="I1" s="1180"/>
      <c r="J1" s="1180"/>
      <c r="K1" s="1180"/>
      <c r="L1" s="1180"/>
      <c r="M1" s="1180"/>
      <c r="N1" s="1180"/>
      <c r="O1" s="1180"/>
      <c r="P1" s="1181"/>
    </row>
    <row r="2" spans="2:16" ht="15" customHeight="1">
      <c r="B2" s="1182"/>
      <c r="C2" s="1182"/>
      <c r="D2" s="1182"/>
      <c r="E2" s="1182"/>
      <c r="F2" s="1182"/>
      <c r="G2" s="1182"/>
      <c r="H2" s="1182"/>
      <c r="I2" s="1182"/>
      <c r="J2" s="1182"/>
      <c r="K2" s="1182"/>
      <c r="L2" s="1182"/>
      <c r="M2" s="1182"/>
      <c r="N2" s="1182"/>
      <c r="O2" s="1182"/>
      <c r="P2" s="1183"/>
    </row>
    <row r="3" spans="2:16">
      <c r="B3" s="1184" t="s">
        <v>728</v>
      </c>
      <c r="C3" s="1184"/>
      <c r="D3" s="1184"/>
      <c r="E3" s="1184"/>
      <c r="F3" s="1184"/>
      <c r="G3" s="1184"/>
      <c r="H3" s="1184"/>
      <c r="I3" s="1184"/>
      <c r="J3" s="1184"/>
      <c r="K3" s="1184"/>
      <c r="L3" s="1184"/>
      <c r="M3" s="1184"/>
      <c r="N3" s="1184"/>
      <c r="O3" s="1184"/>
      <c r="P3" s="1185"/>
    </row>
    <row r="4" spans="2:16" ht="15.75">
      <c r="B4" s="34"/>
      <c r="C4" s="363" t="str">
        <f>'04-22-Master'!B16</f>
        <v>kaja Venkat Ragavendra</v>
      </c>
      <c r="D4" s="363"/>
      <c r="E4" s="36"/>
      <c r="F4" s="76"/>
      <c r="G4" s="370"/>
      <c r="H4" s="300"/>
      <c r="I4" s="382" t="str">
        <f>'04-22-Master'!B16</f>
        <v>kaja Venkat Ragavendra</v>
      </c>
      <c r="J4" s="370"/>
      <c r="K4" s="370"/>
      <c r="L4" s="370"/>
      <c r="M4" s="370"/>
      <c r="N4" s="370"/>
      <c r="O4" s="370"/>
      <c r="P4" s="371"/>
    </row>
    <row r="5" spans="2:16">
      <c r="B5" s="37"/>
      <c r="C5" s="38"/>
      <c r="D5" s="38"/>
      <c r="E5" s="39"/>
      <c r="F5" s="77"/>
      <c r="G5" s="78"/>
      <c r="H5" s="78"/>
      <c r="I5" s="78"/>
      <c r="J5" s="78"/>
      <c r="K5" s="78"/>
      <c r="L5" s="78"/>
      <c r="M5" s="78"/>
      <c r="N5" s="78"/>
      <c r="O5" s="78"/>
      <c r="P5" s="372"/>
    </row>
    <row r="6" spans="2:16">
      <c r="B6" s="1202" t="s">
        <v>146</v>
      </c>
      <c r="C6" s="1202"/>
      <c r="D6" s="1202"/>
      <c r="E6" s="1202"/>
      <c r="F6" s="40"/>
      <c r="G6" s="32"/>
      <c r="H6" s="32"/>
      <c r="I6" s="32"/>
      <c r="J6" s="32"/>
      <c r="K6" s="32"/>
      <c r="L6" s="32"/>
      <c r="M6" s="32"/>
      <c r="N6" s="32"/>
      <c r="O6" s="32"/>
      <c r="P6" s="33"/>
    </row>
    <row r="7" spans="2:16">
      <c r="B7" s="1202"/>
      <c r="C7" s="1202"/>
      <c r="D7" s="1202"/>
      <c r="E7" s="1202"/>
      <c r="F7" s="300"/>
      <c r="G7" s="363"/>
      <c r="H7" s="152"/>
      <c r="I7" s="300" t="s">
        <v>147</v>
      </c>
      <c r="J7" s="373"/>
      <c r="K7" s="373"/>
      <c r="L7" s="363"/>
      <c r="M7" s="363"/>
      <c r="N7" s="363"/>
      <c r="O7" s="363"/>
      <c r="P7" s="36"/>
    </row>
    <row r="8" spans="2:16">
      <c r="B8" s="1202"/>
      <c r="C8" s="1202"/>
      <c r="D8" s="1202"/>
      <c r="E8" s="1202"/>
      <c r="F8" s="34"/>
      <c r="G8" s="363"/>
      <c r="H8" s="363"/>
      <c r="I8" s="363" t="str">
        <f>'04-22-Master'!E16</f>
        <v>Kaja Suresh Babu</v>
      </c>
      <c r="J8" s="363"/>
      <c r="K8" s="363"/>
      <c r="L8" s="363"/>
      <c r="M8" s="363"/>
      <c r="N8" s="363"/>
      <c r="O8" s="363"/>
      <c r="P8" s="36"/>
    </row>
    <row r="9" spans="2:16">
      <c r="B9" s="1202"/>
      <c r="C9" s="1202"/>
      <c r="D9" s="1202"/>
      <c r="E9" s="1202"/>
      <c r="F9" s="300"/>
      <c r="G9" s="38"/>
      <c r="H9" s="112"/>
      <c r="I9" s="300" t="s">
        <v>148</v>
      </c>
      <c r="J9" s="38"/>
      <c r="K9" s="38"/>
      <c r="L9" s="112">
        <f>'04-22-Master'!I16</f>
        <v>43864</v>
      </c>
      <c r="M9" s="38"/>
      <c r="N9" s="38"/>
      <c r="O9" s="38"/>
      <c r="P9" s="39"/>
    </row>
    <row r="10" spans="2:16">
      <c r="B10" s="1187" t="s">
        <v>5</v>
      </c>
      <c r="C10" s="1189" t="s">
        <v>431</v>
      </c>
      <c r="D10" s="1190"/>
      <c r="E10" s="1189" t="s">
        <v>432</v>
      </c>
      <c r="F10" s="1190"/>
      <c r="G10" s="1193" t="s">
        <v>433</v>
      </c>
      <c r="H10" s="1189" t="s">
        <v>434</v>
      </c>
      <c r="I10" s="1194"/>
      <c r="J10" s="1195" t="s">
        <v>435</v>
      </c>
      <c r="K10" s="1194"/>
      <c r="L10" s="1196"/>
      <c r="M10" s="1195" t="s">
        <v>436</v>
      </c>
      <c r="N10" s="1194"/>
      <c r="O10" s="1194"/>
      <c r="P10" s="1200" t="s">
        <v>437</v>
      </c>
    </row>
    <row r="11" spans="2:16" ht="38.450000000000003" customHeight="1" thickBot="1">
      <c r="B11" s="1188"/>
      <c r="C11" s="1189"/>
      <c r="D11" s="1190"/>
      <c r="E11" s="1189"/>
      <c r="F11" s="1190"/>
      <c r="G11" s="1187"/>
      <c r="H11" s="1189"/>
      <c r="I11" s="1194"/>
      <c r="J11" s="1197"/>
      <c r="K11" s="1198"/>
      <c r="L11" s="1199"/>
      <c r="M11" s="1197"/>
      <c r="N11" s="1198"/>
      <c r="O11" s="1198"/>
      <c r="P11" s="1201"/>
    </row>
    <row r="12" spans="2:16">
      <c r="B12" s="352">
        <v>1</v>
      </c>
      <c r="C12" s="1191"/>
      <c r="D12" s="1192"/>
      <c r="E12" s="1191"/>
      <c r="F12" s="1192"/>
      <c r="G12" s="352">
        <v>6</v>
      </c>
      <c r="H12" s="1191"/>
      <c r="I12" s="1192"/>
      <c r="J12" s="311">
        <v>9</v>
      </c>
      <c r="K12" s="311"/>
      <c r="L12" s="311"/>
      <c r="M12" s="311">
        <v>9</v>
      </c>
      <c r="N12" s="311"/>
      <c r="O12" s="311"/>
      <c r="P12" s="312" t="s">
        <v>438</v>
      </c>
    </row>
    <row r="13" spans="2:16" ht="89.25">
      <c r="B13" s="313"/>
      <c r="C13" s="313" t="s">
        <v>439</v>
      </c>
      <c r="D13" s="313" t="s">
        <v>440</v>
      </c>
      <c r="E13" s="313" t="s">
        <v>441</v>
      </c>
      <c r="F13" s="313" t="s">
        <v>150</v>
      </c>
      <c r="G13" s="313"/>
      <c r="H13" s="313" t="s">
        <v>442</v>
      </c>
      <c r="I13" s="313" t="s">
        <v>443</v>
      </c>
      <c r="J13" s="313" t="s">
        <v>149</v>
      </c>
      <c r="K13" s="313" t="s">
        <v>444</v>
      </c>
      <c r="L13" s="313" t="s">
        <v>445</v>
      </c>
      <c r="M13" s="313" t="s">
        <v>446</v>
      </c>
      <c r="N13" s="313" t="s">
        <v>447</v>
      </c>
      <c r="O13" s="314" t="s">
        <v>448</v>
      </c>
      <c r="P13" s="314"/>
    </row>
    <row r="14" spans="2:16">
      <c r="B14" s="315"/>
      <c r="C14" s="313"/>
      <c r="D14" s="313"/>
      <c r="E14" s="316"/>
      <c r="F14" s="316"/>
      <c r="G14" s="313"/>
      <c r="H14" s="313"/>
      <c r="I14" s="313"/>
      <c r="J14" s="313"/>
      <c r="K14" s="313"/>
      <c r="L14" s="313"/>
      <c r="M14" s="313"/>
      <c r="N14" s="313"/>
      <c r="O14" s="313"/>
      <c r="P14" s="313"/>
    </row>
    <row r="15" spans="2:16">
      <c r="B15" s="315" t="s">
        <v>1030</v>
      </c>
      <c r="C15" s="313">
        <v>1.5</v>
      </c>
      <c r="D15" s="313">
        <v>1</v>
      </c>
      <c r="E15" s="316">
        <v>44575</v>
      </c>
      <c r="F15" s="316">
        <v>44575</v>
      </c>
      <c r="G15" s="313">
        <v>18.5</v>
      </c>
      <c r="H15" s="313"/>
      <c r="I15" s="313"/>
      <c r="J15" s="313" t="s">
        <v>152</v>
      </c>
      <c r="K15" s="313" t="s">
        <v>152</v>
      </c>
      <c r="L15" s="313" t="s">
        <v>152</v>
      </c>
      <c r="M15" s="313"/>
      <c r="N15" s="313"/>
      <c r="O15" s="313"/>
      <c r="P15" s="313"/>
    </row>
    <row r="16" spans="2:16">
      <c r="B16" s="315" t="s">
        <v>1053</v>
      </c>
      <c r="C16" s="313">
        <v>1.5</v>
      </c>
      <c r="D16" s="313">
        <v>0</v>
      </c>
      <c r="E16" s="313">
        <v>0</v>
      </c>
      <c r="F16" s="313">
        <v>0</v>
      </c>
      <c r="G16" s="313">
        <f>G15+C16-D16</f>
        <v>20</v>
      </c>
      <c r="H16" s="313"/>
      <c r="I16" s="313"/>
      <c r="J16" s="313" t="s">
        <v>152</v>
      </c>
      <c r="K16" s="313" t="s">
        <v>152</v>
      </c>
      <c r="L16" s="313" t="s">
        <v>152</v>
      </c>
      <c r="M16" s="313"/>
      <c r="N16" s="313"/>
      <c r="O16" s="313"/>
      <c r="P16" s="313"/>
    </row>
    <row r="17" spans="2:17">
      <c r="B17" s="315" t="s">
        <v>1100</v>
      </c>
      <c r="C17" s="313">
        <v>1.5</v>
      </c>
      <c r="D17" s="313">
        <v>0</v>
      </c>
      <c r="E17" s="313">
        <v>0</v>
      </c>
      <c r="F17" s="313">
        <v>0</v>
      </c>
      <c r="G17" s="313">
        <f>G16+C17-D17</f>
        <v>21.5</v>
      </c>
      <c r="H17" s="313"/>
      <c r="I17" s="313"/>
      <c r="J17" s="313" t="s">
        <v>152</v>
      </c>
      <c r="K17" s="313" t="s">
        <v>152</v>
      </c>
      <c r="L17" s="313" t="s">
        <v>152</v>
      </c>
      <c r="M17" s="313"/>
      <c r="N17" s="313"/>
      <c r="O17" s="313"/>
      <c r="P17" s="313"/>
    </row>
    <row r="18" spans="2:17">
      <c r="B18" s="375" t="s">
        <v>1139</v>
      </c>
      <c r="C18" s="313">
        <v>1.5</v>
      </c>
      <c r="D18" s="313">
        <v>1</v>
      </c>
      <c r="E18" s="316">
        <v>44659</v>
      </c>
      <c r="F18" s="316">
        <v>44659</v>
      </c>
      <c r="G18" s="313">
        <f>G17+C18-D18</f>
        <v>22</v>
      </c>
      <c r="H18" s="313"/>
      <c r="I18" s="313"/>
      <c r="J18" s="313" t="s">
        <v>152</v>
      </c>
      <c r="K18" s="313" t="s">
        <v>152</v>
      </c>
      <c r="L18" s="313" t="s">
        <v>152</v>
      </c>
      <c r="M18" s="313"/>
      <c r="N18" s="313"/>
      <c r="O18" s="313"/>
      <c r="P18" s="313"/>
      <c r="Q18">
        <v>1</v>
      </c>
    </row>
    <row r="19" spans="2:17">
      <c r="B19" s="375"/>
      <c r="C19" s="313"/>
      <c r="D19" s="313"/>
      <c r="E19" s="316"/>
      <c r="F19" s="316"/>
      <c r="G19" s="313"/>
      <c r="H19" s="313"/>
      <c r="I19" s="313"/>
      <c r="J19" s="313"/>
      <c r="K19" s="313"/>
      <c r="L19" s="313"/>
      <c r="M19" s="313"/>
      <c r="N19" s="313"/>
      <c r="O19" s="313"/>
      <c r="P19" s="313"/>
    </row>
    <row r="20" spans="2:17">
      <c r="B20" s="375"/>
      <c r="C20" s="313"/>
      <c r="D20" s="313"/>
      <c r="E20" s="316"/>
      <c r="F20" s="316"/>
      <c r="G20" s="313"/>
      <c r="H20" s="313"/>
      <c r="I20" s="313"/>
      <c r="J20" s="313"/>
      <c r="K20" s="313"/>
      <c r="L20" s="313"/>
      <c r="M20" s="313"/>
      <c r="N20" s="313"/>
      <c r="O20" s="313"/>
      <c r="P20" s="313"/>
    </row>
    <row r="21" spans="2:17">
      <c r="B21" s="375"/>
      <c r="C21" s="313"/>
      <c r="D21" s="313"/>
      <c r="E21" s="316"/>
      <c r="F21" s="316"/>
      <c r="G21" s="313"/>
      <c r="H21" s="313"/>
      <c r="I21" s="313"/>
      <c r="J21" s="313"/>
      <c r="K21" s="313"/>
      <c r="L21" s="313"/>
      <c r="M21" s="313"/>
      <c r="N21" s="313"/>
      <c r="O21" s="313"/>
      <c r="P21" s="313"/>
    </row>
    <row r="22" spans="2:17">
      <c r="B22" s="375"/>
      <c r="C22" s="313"/>
      <c r="D22" s="313"/>
      <c r="E22" s="316"/>
      <c r="F22" s="316"/>
      <c r="G22" s="313"/>
      <c r="H22" s="313"/>
      <c r="I22" s="313"/>
      <c r="J22" s="313"/>
      <c r="K22" s="313"/>
      <c r="L22" s="313"/>
      <c r="M22" s="313"/>
      <c r="N22" s="313"/>
      <c r="O22" s="313"/>
      <c r="P22" s="313"/>
    </row>
    <row r="23" spans="2:17">
      <c r="B23" s="375"/>
      <c r="C23" s="313"/>
      <c r="D23" s="313"/>
      <c r="E23" s="374"/>
      <c r="F23" s="374"/>
      <c r="G23" s="313"/>
      <c r="H23" s="374"/>
      <c r="I23" s="374"/>
      <c r="J23" s="313"/>
      <c r="K23" s="313"/>
      <c r="L23" s="313"/>
      <c r="M23" s="313"/>
      <c r="N23" s="313"/>
      <c r="O23" s="313"/>
      <c r="P23" s="313"/>
    </row>
    <row r="24" spans="2:17">
      <c r="B24" s="375"/>
      <c r="C24" s="313"/>
      <c r="D24" s="313"/>
      <c r="E24" s="374"/>
      <c r="F24" s="374"/>
      <c r="G24" s="313"/>
      <c r="H24" s="374"/>
      <c r="I24" s="374"/>
      <c r="J24" s="313"/>
      <c r="K24" s="313"/>
      <c r="L24" s="313"/>
      <c r="M24" s="313"/>
      <c r="N24" s="313"/>
      <c r="O24" s="313"/>
      <c r="P24" s="313"/>
    </row>
    <row r="25" spans="2:17">
      <c r="B25" s="375"/>
      <c r="C25" s="313"/>
      <c r="D25" s="313"/>
      <c r="E25" s="374"/>
      <c r="F25" s="374"/>
      <c r="G25" s="313"/>
      <c r="H25" s="374"/>
      <c r="I25" s="374"/>
      <c r="J25" s="313"/>
      <c r="K25" s="313"/>
      <c r="L25" s="313"/>
      <c r="M25" s="313"/>
      <c r="N25" s="313"/>
      <c r="O25" s="313"/>
      <c r="P25" s="313"/>
    </row>
    <row r="26" spans="2:17">
      <c r="B26" s="375"/>
      <c r="C26" s="313"/>
      <c r="D26" s="313"/>
      <c r="E26" s="313"/>
      <c r="F26" s="313"/>
      <c r="G26" s="313"/>
      <c r="H26" s="313"/>
      <c r="I26" s="313"/>
      <c r="J26" s="313"/>
      <c r="K26" s="313"/>
      <c r="L26" s="313"/>
      <c r="M26" s="313"/>
      <c r="N26" s="313"/>
      <c r="O26" s="313"/>
      <c r="P26" s="313"/>
    </row>
    <row r="27" spans="2:17">
      <c r="B27" s="315"/>
      <c r="C27" s="313"/>
      <c r="D27" s="313"/>
      <c r="E27" s="316"/>
      <c r="F27" s="316"/>
      <c r="G27" s="313"/>
      <c r="H27" s="313"/>
      <c r="I27" s="313"/>
      <c r="J27" s="313"/>
      <c r="K27" s="313"/>
      <c r="L27" s="313"/>
      <c r="M27" s="313"/>
      <c r="N27" s="313"/>
      <c r="O27" s="313"/>
      <c r="P27" s="313"/>
    </row>
    <row r="28" spans="2:17" s="390" customFormat="1">
      <c r="B28" s="315"/>
      <c r="C28" s="313"/>
      <c r="D28" s="313"/>
      <c r="E28" s="316"/>
      <c r="F28" s="316"/>
      <c r="G28" s="313"/>
      <c r="H28" s="313"/>
      <c r="I28" s="313"/>
      <c r="J28" s="313"/>
      <c r="K28" s="313"/>
      <c r="L28" s="313"/>
      <c r="M28" s="313"/>
      <c r="N28" s="313"/>
      <c r="O28" s="313"/>
      <c r="P28" s="313"/>
    </row>
    <row r="29" spans="2:17" s="390" customFormat="1">
      <c r="B29" s="315"/>
      <c r="C29" s="313"/>
      <c r="D29" s="313"/>
      <c r="E29" s="316"/>
      <c r="F29" s="316"/>
      <c r="G29" s="313"/>
      <c r="H29" s="313"/>
      <c r="I29" s="313"/>
      <c r="J29" s="313"/>
      <c r="K29" s="313"/>
      <c r="L29" s="313"/>
      <c r="M29" s="313"/>
      <c r="N29" s="313"/>
      <c r="O29" s="313"/>
      <c r="P29" s="313"/>
    </row>
    <row r="30" spans="2:17" s="390" customFormat="1">
      <c r="B30" s="315"/>
      <c r="C30" s="313"/>
      <c r="D30" s="313"/>
      <c r="E30" s="316"/>
      <c r="F30" s="316"/>
      <c r="G30" s="313"/>
      <c r="H30" s="313"/>
      <c r="I30" s="313"/>
      <c r="J30" s="313"/>
      <c r="K30" s="313"/>
      <c r="L30" s="313"/>
      <c r="M30" s="313"/>
      <c r="N30" s="313"/>
      <c r="O30" s="313"/>
      <c r="P30" s="313"/>
    </row>
    <row r="31" spans="2:17">
      <c r="B31" s="315"/>
      <c r="C31" s="313"/>
      <c r="D31" s="313"/>
      <c r="E31" s="316"/>
      <c r="F31" s="316"/>
      <c r="G31" s="313"/>
      <c r="H31" s="313"/>
      <c r="I31" s="313"/>
      <c r="J31" s="313"/>
      <c r="K31" s="313"/>
      <c r="L31" s="313"/>
      <c r="M31" s="313"/>
      <c r="N31" s="374"/>
      <c r="O31" s="374"/>
      <c r="P31" s="374"/>
    </row>
    <row r="32" spans="2:17" s="390" customFormat="1">
      <c r="B32" s="315"/>
      <c r="C32" s="313"/>
      <c r="D32" s="313"/>
      <c r="E32" s="316"/>
      <c r="F32" s="316"/>
      <c r="G32" s="313"/>
      <c r="H32" s="313"/>
      <c r="I32" s="313"/>
      <c r="J32" s="313"/>
      <c r="K32" s="313"/>
      <c r="L32" s="313"/>
      <c r="M32" s="313"/>
      <c r="N32" s="374"/>
      <c r="O32" s="374"/>
      <c r="P32" s="374"/>
    </row>
    <row r="33" spans="2:16">
      <c r="B33" s="600"/>
      <c r="C33" s="374"/>
      <c r="D33" s="374"/>
      <c r="E33" s="374"/>
      <c r="F33" s="374"/>
      <c r="G33" s="313"/>
      <c r="H33" s="374"/>
      <c r="I33" s="374"/>
      <c r="J33" s="313"/>
      <c r="K33" s="313"/>
      <c r="L33" s="313"/>
      <c r="M33" s="374"/>
      <c r="N33" s="374"/>
      <c r="O33" s="374"/>
      <c r="P33" s="374"/>
    </row>
    <row r="34" spans="2:16" s="390" customFormat="1">
      <c r="B34" s="600"/>
      <c r="C34" s="374"/>
      <c r="D34" s="374"/>
      <c r="E34" s="503"/>
      <c r="F34" s="503"/>
      <c r="G34" s="313"/>
      <c r="H34" s="374"/>
      <c r="I34" s="374"/>
      <c r="J34" s="313"/>
      <c r="K34" s="313"/>
      <c r="L34" s="313"/>
      <c r="M34" s="374"/>
      <c r="N34" s="374"/>
      <c r="O34" s="374"/>
      <c r="P34" s="374"/>
    </row>
    <row r="35" spans="2:16" s="390" customFormat="1">
      <c r="B35" s="600"/>
      <c r="C35" s="374"/>
      <c r="D35" s="374"/>
      <c r="E35" s="503"/>
      <c r="F35" s="503"/>
      <c r="G35" s="313"/>
      <c r="H35" s="374"/>
      <c r="I35" s="374"/>
      <c r="J35" s="313"/>
      <c r="K35" s="313"/>
      <c r="L35" s="313"/>
      <c r="M35" s="374"/>
      <c r="N35" s="374"/>
      <c r="O35" s="374"/>
      <c r="P35" s="374"/>
    </row>
    <row r="36" spans="2:16" s="390" customFormat="1">
      <c r="B36" s="600"/>
      <c r="C36" s="374"/>
      <c r="D36" s="374"/>
      <c r="E36" s="503"/>
      <c r="F36" s="503"/>
      <c r="G36" s="313"/>
      <c r="H36" s="374"/>
      <c r="I36" s="374"/>
      <c r="J36" s="313"/>
      <c r="K36" s="313"/>
      <c r="L36" s="313"/>
      <c r="M36" s="374"/>
      <c r="N36" s="374"/>
      <c r="O36" s="374"/>
      <c r="P36" s="374"/>
    </row>
    <row r="37" spans="2:16" s="390" customFormat="1">
      <c r="B37" s="600"/>
      <c r="C37" s="374"/>
      <c r="D37" s="374"/>
      <c r="E37" s="503"/>
      <c r="F37" s="503"/>
      <c r="G37" s="313"/>
      <c r="H37" s="374"/>
      <c r="I37" s="374"/>
      <c r="J37" s="313"/>
      <c r="K37" s="313"/>
      <c r="L37" s="313"/>
      <c r="M37" s="374"/>
      <c r="N37" s="374"/>
      <c r="O37" s="374"/>
      <c r="P37" s="374"/>
    </row>
    <row r="38" spans="2:16" s="390" customFormat="1">
      <c r="B38" s="610"/>
      <c r="C38" s="363"/>
      <c r="D38" s="363"/>
      <c r="E38" s="363"/>
      <c r="F38" s="363"/>
      <c r="G38" s="611"/>
      <c r="H38" s="363"/>
      <c r="I38" s="363"/>
      <c r="J38" s="611"/>
      <c r="K38" s="611"/>
      <c r="L38" s="611"/>
      <c r="M38" s="363"/>
      <c r="N38" s="363"/>
      <c r="O38" s="363"/>
      <c r="P38" s="363"/>
    </row>
    <row r="39" spans="2:16" s="390" customFormat="1">
      <c r="B39" s="610"/>
      <c r="C39" s="363"/>
      <c r="D39" s="363"/>
      <c r="E39" s="363"/>
      <c r="F39" s="363"/>
      <c r="G39" s="611"/>
      <c r="H39" s="363"/>
      <c r="I39" s="363"/>
      <c r="J39" s="611"/>
      <c r="K39" s="611"/>
      <c r="L39" s="611"/>
      <c r="M39" s="363"/>
      <c r="N39" s="363"/>
      <c r="O39" s="363"/>
      <c r="P39" s="363"/>
    </row>
    <row r="40" spans="2:16" s="390" customFormat="1">
      <c r="B40" s="610"/>
      <c r="C40" s="363"/>
      <c r="D40" s="363"/>
      <c r="E40" s="363"/>
      <c r="F40" s="363"/>
      <c r="G40" s="611"/>
      <c r="H40" s="363"/>
      <c r="I40" s="363"/>
      <c r="J40" s="611"/>
      <c r="K40" s="611"/>
      <c r="L40" s="611"/>
      <c r="M40" s="363"/>
      <c r="N40" s="363"/>
      <c r="O40" s="363"/>
      <c r="P40" s="363"/>
    </row>
    <row r="41" spans="2:16" s="390" customFormat="1">
      <c r="B41" s="610"/>
      <c r="C41" s="363"/>
      <c r="D41" s="363"/>
      <c r="E41" s="363"/>
      <c r="F41" s="363"/>
      <c r="G41" s="611"/>
      <c r="H41" s="363"/>
      <c r="I41" s="363"/>
      <c r="J41" s="611"/>
      <c r="K41" s="611"/>
      <c r="L41" s="611"/>
      <c r="M41" s="363"/>
      <c r="N41" s="363"/>
      <c r="O41" s="363"/>
      <c r="P41" s="363"/>
    </row>
    <row r="42" spans="2:16" s="390" customFormat="1">
      <c r="B42" s="610"/>
      <c r="C42" s="363"/>
      <c r="D42" s="363"/>
      <c r="E42" s="363"/>
      <c r="F42" s="363"/>
      <c r="G42" s="611"/>
      <c r="H42" s="363"/>
      <c r="I42" s="363"/>
      <c r="J42" s="611"/>
      <c r="K42" s="611"/>
      <c r="L42" s="611"/>
      <c r="M42" s="363"/>
      <c r="N42" s="363"/>
      <c r="O42" s="363"/>
      <c r="P42" s="363"/>
    </row>
    <row r="43" spans="2:16" s="390" customFormat="1">
      <c r="B43" s="610"/>
      <c r="C43" s="363"/>
      <c r="D43" s="363"/>
      <c r="E43" s="363"/>
      <c r="F43" s="363"/>
      <c r="G43" s="611"/>
      <c r="H43" s="363"/>
      <c r="I43" s="363"/>
      <c r="J43" s="611"/>
      <c r="K43" s="611"/>
      <c r="L43" s="611"/>
      <c r="M43" s="363"/>
      <c r="N43" s="363"/>
      <c r="O43" s="363"/>
      <c r="P43" s="363"/>
    </row>
    <row r="44" spans="2:16" s="390" customFormat="1">
      <c r="B44" s="610"/>
      <c r="C44" s="363"/>
      <c r="D44" s="363"/>
      <c r="E44" s="363"/>
      <c r="F44" s="363"/>
      <c r="G44" s="611"/>
      <c r="H44" s="363"/>
      <c r="I44" s="363"/>
      <c r="J44" s="611"/>
      <c r="K44" s="611"/>
      <c r="L44" s="611"/>
      <c r="M44" s="363"/>
      <c r="N44" s="363"/>
      <c r="O44" s="363"/>
      <c r="P44" s="363"/>
    </row>
    <row r="45" spans="2:16">
      <c r="B45" s="363"/>
      <c r="C45" s="363"/>
      <c r="D45" s="363"/>
      <c r="E45" s="363"/>
      <c r="F45" s="363"/>
      <c r="G45" s="363"/>
      <c r="H45" s="363"/>
      <c r="I45" s="363"/>
      <c r="J45" s="363"/>
      <c r="K45" s="363"/>
      <c r="L45" s="363"/>
      <c r="M45" s="363"/>
      <c r="N45" s="363"/>
      <c r="O45" s="363"/>
      <c r="P45" s="363"/>
    </row>
    <row r="46" spans="2:16" ht="15.75" thickBot="1">
      <c r="B46" s="363"/>
      <c r="C46" s="363"/>
      <c r="D46" s="363"/>
      <c r="E46" s="363"/>
      <c r="F46" s="363"/>
      <c r="G46" s="363"/>
      <c r="H46" s="363"/>
      <c r="I46" s="363"/>
      <c r="J46" s="19" t="s">
        <v>38</v>
      </c>
      <c r="K46" s="363"/>
      <c r="L46" s="363"/>
      <c r="M46" s="363"/>
      <c r="N46" s="363"/>
      <c r="O46" s="363"/>
      <c r="P46" s="363"/>
    </row>
    <row r="47" spans="2:16" ht="15" customHeight="1">
      <c r="B47" s="1180" t="s">
        <v>727</v>
      </c>
      <c r="C47" s="1180"/>
      <c r="D47" s="1180"/>
      <c r="E47" s="1180"/>
      <c r="F47" s="1180"/>
      <c r="G47" s="1180"/>
      <c r="H47" s="1180"/>
      <c r="I47" s="1180"/>
      <c r="J47" s="1180"/>
      <c r="K47" s="1180"/>
      <c r="L47" s="1180"/>
      <c r="M47" s="1180"/>
      <c r="N47" s="1180"/>
      <c r="O47" s="1180"/>
      <c r="P47" s="1181"/>
    </row>
    <row r="48" spans="2:16" ht="15" customHeight="1">
      <c r="B48" s="1182"/>
      <c r="C48" s="1182"/>
      <c r="D48" s="1182"/>
      <c r="E48" s="1182"/>
      <c r="F48" s="1182"/>
      <c r="G48" s="1182"/>
      <c r="H48" s="1182"/>
      <c r="I48" s="1182"/>
      <c r="J48" s="1182"/>
      <c r="K48" s="1182"/>
      <c r="L48" s="1182"/>
      <c r="M48" s="1182"/>
      <c r="N48" s="1182"/>
      <c r="O48" s="1182"/>
      <c r="P48" s="1183"/>
    </row>
    <row r="49" spans="2:17">
      <c r="B49" s="1184" t="s">
        <v>728</v>
      </c>
      <c r="C49" s="1184"/>
      <c r="D49" s="1184"/>
      <c r="E49" s="1184"/>
      <c r="F49" s="1184"/>
      <c r="G49" s="1184"/>
      <c r="H49" s="1184"/>
      <c r="I49" s="1184"/>
      <c r="J49" s="1184"/>
      <c r="K49" s="1184"/>
      <c r="L49" s="1184"/>
      <c r="M49" s="1184"/>
      <c r="N49" s="1184"/>
      <c r="O49" s="1184"/>
      <c r="P49" s="1185"/>
    </row>
    <row r="50" spans="2:17">
      <c r="B50" s="31" t="s">
        <v>199</v>
      </c>
      <c r="C50" s="32"/>
      <c r="D50" s="32" t="str">
        <f>'04-22-Master'!F5</f>
        <v>Burgeon IT Services Pvt.Ltd.</v>
      </c>
      <c r="E50" s="300"/>
      <c r="F50" s="33"/>
      <c r="G50" s="32"/>
      <c r="H50" s="32"/>
      <c r="I50" s="40" t="s">
        <v>145</v>
      </c>
      <c r="J50" s="75"/>
      <c r="K50" s="75"/>
      <c r="L50" s="75"/>
      <c r="M50" s="75"/>
      <c r="N50" s="75"/>
      <c r="O50" s="75"/>
      <c r="P50" s="369"/>
    </row>
    <row r="51" spans="2:17" ht="15.75">
      <c r="B51" s="34"/>
      <c r="C51" s="363" t="str">
        <f>'04-22-Master'!F6</f>
        <v>Siri Mansion LIGB 436 Dr.A S Rao Nagar,Hyderabad</v>
      </c>
      <c r="D51" s="363"/>
      <c r="E51" s="36"/>
      <c r="F51" s="76"/>
      <c r="G51" s="370"/>
      <c r="H51" s="300"/>
      <c r="I51" s="382" t="str">
        <f>'04-22-Master'!B17</f>
        <v>VeerendraBabu Galam</v>
      </c>
      <c r="J51" s="370"/>
      <c r="K51" s="370"/>
      <c r="L51" s="370"/>
      <c r="M51" s="370"/>
      <c r="N51" s="370"/>
      <c r="O51" s="370"/>
      <c r="P51" s="371"/>
    </row>
    <row r="52" spans="2:17">
      <c r="B52" s="37"/>
      <c r="C52" s="38"/>
      <c r="D52" s="38"/>
      <c r="E52" s="39"/>
      <c r="F52" s="77"/>
      <c r="G52" s="78"/>
      <c r="H52" s="78"/>
      <c r="I52" s="78"/>
      <c r="J52" s="78"/>
      <c r="K52" s="78"/>
      <c r="L52" s="78"/>
      <c r="M52" s="78"/>
      <c r="N52" s="78"/>
      <c r="O52" s="78"/>
      <c r="P52" s="372"/>
    </row>
    <row r="53" spans="2:17">
      <c r="B53" s="1202" t="s">
        <v>146</v>
      </c>
      <c r="C53" s="1202"/>
      <c r="D53" s="1202"/>
      <c r="E53" s="1202"/>
      <c r="F53" s="40"/>
      <c r="G53" s="32"/>
      <c r="H53" s="32"/>
      <c r="I53" s="32"/>
      <c r="J53" s="32"/>
      <c r="K53" s="32"/>
      <c r="L53" s="32"/>
      <c r="M53" s="32"/>
      <c r="N53" s="32"/>
      <c r="O53" s="32"/>
      <c r="P53" s="33"/>
    </row>
    <row r="54" spans="2:17">
      <c r="B54" s="1202"/>
      <c r="C54" s="1202"/>
      <c r="D54" s="1202"/>
      <c r="E54" s="1202"/>
      <c r="F54" s="300"/>
      <c r="G54" s="363"/>
      <c r="H54" s="152"/>
      <c r="I54" s="300" t="s">
        <v>147</v>
      </c>
      <c r="J54" s="373"/>
      <c r="K54" s="373"/>
      <c r="L54" s="363"/>
      <c r="M54" s="363"/>
      <c r="N54" s="363"/>
      <c r="O54" s="363"/>
      <c r="P54" s="36"/>
    </row>
    <row r="55" spans="2:17">
      <c r="B55" s="1202"/>
      <c r="C55" s="1202"/>
      <c r="D55" s="1202"/>
      <c r="E55" s="1202"/>
      <c r="F55" s="34"/>
      <c r="G55" s="363"/>
      <c r="H55" s="363"/>
      <c r="I55" s="363" t="str">
        <f>'04-22-Master'!E17</f>
        <v>Gopal Rao</v>
      </c>
      <c r="J55" s="363"/>
      <c r="K55" s="363"/>
      <c r="L55" s="363"/>
      <c r="M55" s="363"/>
      <c r="N55" s="363"/>
      <c r="O55" s="363"/>
      <c r="P55" s="36"/>
    </row>
    <row r="56" spans="2:17">
      <c r="B56" s="1202"/>
      <c r="C56" s="1202"/>
      <c r="D56" s="1202"/>
      <c r="E56" s="1202"/>
      <c r="F56" s="300"/>
      <c r="G56" s="38"/>
      <c r="H56" s="112"/>
      <c r="I56" s="300" t="s">
        <v>148</v>
      </c>
      <c r="J56" s="38"/>
      <c r="K56" s="38"/>
      <c r="L56" s="112" t="str">
        <f>'04-22-Master'!I17</f>
        <v>18-03-2021</v>
      </c>
      <c r="M56" s="38"/>
      <c r="N56" s="38"/>
      <c r="O56" s="38"/>
      <c r="P56" s="39"/>
    </row>
    <row r="57" spans="2:17">
      <c r="B57" s="1187" t="s">
        <v>5</v>
      </c>
      <c r="C57" s="1189" t="s">
        <v>431</v>
      </c>
      <c r="D57" s="1190"/>
      <c r="E57" s="1189" t="s">
        <v>432</v>
      </c>
      <c r="F57" s="1190"/>
      <c r="G57" s="1193" t="s">
        <v>433</v>
      </c>
      <c r="H57" s="1189" t="s">
        <v>434</v>
      </c>
      <c r="I57" s="1194"/>
      <c r="J57" s="1195" t="s">
        <v>435</v>
      </c>
      <c r="K57" s="1194"/>
      <c r="L57" s="1196"/>
      <c r="M57" s="1195" t="s">
        <v>436</v>
      </c>
      <c r="N57" s="1194"/>
      <c r="O57" s="1194"/>
      <c r="P57" s="1200" t="s">
        <v>437</v>
      </c>
    </row>
    <row r="58" spans="2:17" ht="15.75" thickBot="1">
      <c r="B58" s="1188"/>
      <c r="C58" s="1189"/>
      <c r="D58" s="1190"/>
      <c r="E58" s="1189"/>
      <c r="F58" s="1190"/>
      <c r="G58" s="1187"/>
      <c r="H58" s="1189"/>
      <c r="I58" s="1194"/>
      <c r="J58" s="1197"/>
      <c r="K58" s="1198"/>
      <c r="L58" s="1199"/>
      <c r="M58" s="1197"/>
      <c r="N58" s="1198"/>
      <c r="O58" s="1198"/>
      <c r="P58" s="1201"/>
    </row>
    <row r="59" spans="2:17">
      <c r="B59" s="352">
        <v>1</v>
      </c>
      <c r="C59" s="1191"/>
      <c r="D59" s="1192"/>
      <c r="E59" s="1191"/>
      <c r="F59" s="1192"/>
      <c r="G59" s="352">
        <v>6</v>
      </c>
      <c r="H59" s="1191"/>
      <c r="I59" s="1192"/>
      <c r="J59" s="311">
        <v>9</v>
      </c>
      <c r="K59" s="311"/>
      <c r="L59" s="311"/>
      <c r="M59" s="311">
        <v>9</v>
      </c>
      <c r="N59" s="311"/>
      <c r="O59" s="311"/>
      <c r="P59" s="312" t="s">
        <v>438</v>
      </c>
    </row>
    <row r="60" spans="2:17" ht="89.25">
      <c r="B60" s="313"/>
      <c r="C60" s="313" t="s">
        <v>439</v>
      </c>
      <c r="D60" s="313" t="s">
        <v>440</v>
      </c>
      <c r="E60" s="313" t="s">
        <v>441</v>
      </c>
      <c r="F60" s="313" t="s">
        <v>150</v>
      </c>
      <c r="G60" s="313"/>
      <c r="H60" s="313" t="s">
        <v>442</v>
      </c>
      <c r="I60" s="313" t="s">
        <v>443</v>
      </c>
      <c r="J60" s="313" t="s">
        <v>149</v>
      </c>
      <c r="K60" s="313" t="s">
        <v>444</v>
      </c>
      <c r="L60" s="313" t="s">
        <v>445</v>
      </c>
      <c r="M60" s="313" t="s">
        <v>446</v>
      </c>
      <c r="N60" s="313" t="s">
        <v>447</v>
      </c>
      <c r="O60" s="314" t="s">
        <v>448</v>
      </c>
      <c r="P60" s="314"/>
    </row>
    <row r="61" spans="2:17">
      <c r="B61" s="600" t="s">
        <v>1030</v>
      </c>
      <c r="C61" s="827">
        <v>1.5</v>
      </c>
      <c r="D61" s="827">
        <v>1</v>
      </c>
      <c r="E61" s="503">
        <v>44575</v>
      </c>
      <c r="F61" s="503">
        <v>44575</v>
      </c>
      <c r="G61" s="313">
        <v>8</v>
      </c>
      <c r="H61" s="374"/>
      <c r="I61" s="374"/>
      <c r="J61" s="313" t="s">
        <v>152</v>
      </c>
      <c r="K61" s="313" t="s">
        <v>152</v>
      </c>
      <c r="L61" s="313" t="s">
        <v>152</v>
      </c>
      <c r="M61" s="313"/>
      <c r="N61" s="313"/>
      <c r="O61" s="313"/>
      <c r="P61" s="313"/>
    </row>
    <row r="62" spans="2:17" s="390" customFormat="1">
      <c r="B62" s="315" t="s">
        <v>1053</v>
      </c>
      <c r="C62" s="313">
        <v>1.5</v>
      </c>
      <c r="D62" s="313">
        <v>1</v>
      </c>
      <c r="E62" s="316">
        <v>44603</v>
      </c>
      <c r="F62" s="316">
        <v>44603</v>
      </c>
      <c r="G62" s="313">
        <f>G61+C62-D62</f>
        <v>8.5</v>
      </c>
      <c r="H62" s="313"/>
      <c r="I62" s="313"/>
      <c r="J62" s="313" t="s">
        <v>152</v>
      </c>
      <c r="K62" s="313" t="s">
        <v>152</v>
      </c>
      <c r="L62" s="313" t="s">
        <v>152</v>
      </c>
      <c r="M62" s="313"/>
      <c r="N62" s="313"/>
      <c r="O62" s="313"/>
      <c r="P62" s="313"/>
    </row>
    <row r="63" spans="2:17" s="855" customFormat="1">
      <c r="B63" s="315" t="s">
        <v>1100</v>
      </c>
      <c r="C63" s="313">
        <v>1.5</v>
      </c>
      <c r="D63" s="313">
        <v>1</v>
      </c>
      <c r="E63" s="316">
        <v>44624</v>
      </c>
      <c r="F63" s="316">
        <v>44624</v>
      </c>
      <c r="G63" s="313">
        <f>G62+C63-D63</f>
        <v>9</v>
      </c>
      <c r="H63" s="313"/>
      <c r="I63" s="313"/>
      <c r="J63" s="313" t="s">
        <v>152</v>
      </c>
      <c r="K63" s="313" t="s">
        <v>152</v>
      </c>
      <c r="L63" s="313" t="s">
        <v>152</v>
      </c>
      <c r="M63" s="313"/>
      <c r="N63" s="313"/>
      <c r="O63" s="313"/>
      <c r="P63" s="313"/>
    </row>
    <row r="64" spans="2:17" s="855" customFormat="1">
      <c r="B64" s="375" t="s">
        <v>1139</v>
      </c>
      <c r="C64" s="313">
        <v>1.5</v>
      </c>
      <c r="D64" s="313">
        <v>1</v>
      </c>
      <c r="E64" s="316">
        <v>44662</v>
      </c>
      <c r="F64" s="316">
        <v>44662</v>
      </c>
      <c r="G64" s="313">
        <f>G63+C64-D64</f>
        <v>9.5</v>
      </c>
      <c r="H64" s="313"/>
      <c r="I64" s="313"/>
      <c r="J64" s="313" t="s">
        <v>152</v>
      </c>
      <c r="K64" s="313" t="s">
        <v>152</v>
      </c>
      <c r="L64" s="313" t="s">
        <v>152</v>
      </c>
      <c r="M64" s="313"/>
      <c r="N64" s="313"/>
      <c r="O64" s="313"/>
      <c r="P64" s="313"/>
      <c r="Q64" s="855">
        <v>2</v>
      </c>
    </row>
    <row r="65" spans="2:16">
      <c r="B65" s="375"/>
      <c r="C65" s="313"/>
      <c r="D65" s="313"/>
      <c r="E65" s="503"/>
      <c r="F65" s="503"/>
      <c r="G65" s="313"/>
      <c r="H65" s="374"/>
      <c r="I65" s="374"/>
      <c r="J65" s="313"/>
      <c r="K65" s="313"/>
      <c r="L65" s="313"/>
      <c r="M65" s="313"/>
      <c r="N65" s="313"/>
      <c r="O65" s="313"/>
      <c r="P65" s="313"/>
    </row>
    <row r="66" spans="2:16">
      <c r="B66" s="315"/>
      <c r="C66" s="313"/>
      <c r="D66" s="313"/>
      <c r="E66" s="503"/>
      <c r="F66" s="503"/>
      <c r="G66" s="313"/>
      <c r="H66" s="313"/>
      <c r="I66" s="313"/>
      <c r="J66" s="313"/>
      <c r="K66" s="313"/>
      <c r="L66" s="313"/>
      <c r="M66" s="313"/>
      <c r="N66" s="313"/>
      <c r="O66" s="313"/>
      <c r="P66" s="313"/>
    </row>
    <row r="67" spans="2:16">
      <c r="B67" s="315"/>
      <c r="C67" s="313"/>
      <c r="D67" s="313"/>
      <c r="E67" s="316"/>
      <c r="F67" s="316"/>
      <c r="G67" s="313"/>
      <c r="H67" s="313"/>
      <c r="I67" s="313"/>
      <c r="J67" s="313"/>
      <c r="K67" s="313"/>
      <c r="L67" s="313"/>
      <c r="M67" s="313"/>
      <c r="N67" s="313"/>
      <c r="O67" s="313"/>
      <c r="P67" s="313"/>
    </row>
    <row r="68" spans="2:16">
      <c r="B68" s="315"/>
      <c r="C68" s="313"/>
      <c r="D68" s="313"/>
      <c r="E68" s="390"/>
      <c r="F68" s="390"/>
      <c r="G68" s="313"/>
      <c r="H68" s="294"/>
      <c r="I68" s="294"/>
      <c r="J68" s="294"/>
      <c r="K68" s="294"/>
      <c r="L68" s="294"/>
      <c r="M68" s="313"/>
      <c r="N68" s="313"/>
      <c r="O68" s="313"/>
      <c r="P68" s="313"/>
    </row>
    <row r="69" spans="2:16">
      <c r="B69" s="315"/>
      <c r="C69" s="313"/>
      <c r="D69" s="313"/>
      <c r="E69" s="316"/>
      <c r="F69" s="316"/>
      <c r="G69" s="313"/>
      <c r="H69" s="313"/>
      <c r="I69" s="313"/>
      <c r="J69" s="313"/>
      <c r="K69" s="313"/>
      <c r="L69" s="313"/>
      <c r="M69" s="313"/>
      <c r="N69" s="313"/>
      <c r="O69" s="313"/>
      <c r="P69" s="313"/>
    </row>
    <row r="70" spans="2:16">
      <c r="B70" s="315"/>
      <c r="C70" s="313"/>
      <c r="D70" s="313"/>
      <c r="E70" s="316"/>
      <c r="F70" s="316"/>
      <c r="G70" s="313"/>
      <c r="H70" s="313"/>
      <c r="I70" s="313"/>
      <c r="J70" s="313"/>
      <c r="K70" s="313"/>
      <c r="L70" s="313"/>
      <c r="M70" s="313"/>
      <c r="N70" s="313"/>
      <c r="O70" s="313"/>
      <c r="P70" s="313"/>
    </row>
    <row r="71" spans="2:16">
      <c r="B71" s="600"/>
      <c r="C71" s="814"/>
      <c r="D71" s="814"/>
      <c r="E71" s="374"/>
      <c r="F71" s="374"/>
      <c r="G71" s="313"/>
      <c r="H71" s="374"/>
      <c r="I71" s="374"/>
      <c r="J71" s="313"/>
      <c r="K71" s="313"/>
      <c r="L71" s="313"/>
    </row>
    <row r="72" spans="2:16" s="390" customFormat="1">
      <c r="B72" s="600"/>
      <c r="C72" s="814"/>
      <c r="D72" s="814"/>
      <c r="E72" s="374"/>
      <c r="F72" s="374"/>
      <c r="G72" s="313"/>
      <c r="H72" s="374"/>
      <c r="I72" s="374"/>
      <c r="J72" s="313"/>
      <c r="K72" s="313"/>
      <c r="L72" s="313"/>
      <c r="M72" s="374"/>
      <c r="N72" s="374"/>
      <c r="O72" s="374"/>
      <c r="P72" s="374"/>
    </row>
    <row r="73" spans="2:16" s="390" customFormat="1">
      <c r="B73" s="600"/>
      <c r="C73" s="814"/>
      <c r="D73" s="814"/>
      <c r="E73" s="503"/>
      <c r="F73" s="503"/>
      <c r="G73" s="313"/>
      <c r="H73" s="374"/>
      <c r="I73" s="374"/>
      <c r="J73" s="313"/>
      <c r="K73" s="313"/>
      <c r="L73" s="313"/>
      <c r="M73" s="374"/>
      <c r="N73" s="374"/>
      <c r="O73" s="374"/>
      <c r="P73" s="374"/>
    </row>
    <row r="74" spans="2:16">
      <c r="B74" s="315"/>
      <c r="C74" s="313"/>
      <c r="D74" s="313"/>
      <c r="E74" s="313"/>
      <c r="F74" s="313"/>
      <c r="G74" s="313"/>
      <c r="H74" s="313"/>
      <c r="I74" s="313"/>
      <c r="J74" s="313"/>
      <c r="K74" s="313"/>
      <c r="L74" s="313"/>
      <c r="M74" s="313"/>
      <c r="N74" s="313"/>
      <c r="O74" s="313"/>
      <c r="P74" s="313"/>
    </row>
    <row r="75" spans="2:16">
      <c r="B75" s="374"/>
      <c r="C75" s="374"/>
      <c r="D75" s="374"/>
      <c r="E75" s="374"/>
      <c r="F75" s="374"/>
      <c r="G75" s="374"/>
      <c r="H75" s="374"/>
      <c r="I75" s="374"/>
      <c r="J75" s="374"/>
      <c r="K75" s="374"/>
      <c r="L75" s="374"/>
      <c r="M75" s="374"/>
      <c r="N75" s="374"/>
      <c r="O75" s="374"/>
      <c r="P75" s="374"/>
    </row>
    <row r="76" spans="2:16">
      <c r="B76" s="374"/>
      <c r="C76" s="374"/>
      <c r="D76" s="374"/>
      <c r="E76" s="374"/>
      <c r="F76" s="374"/>
      <c r="G76" s="374"/>
      <c r="H76" s="374"/>
      <c r="I76" s="374"/>
      <c r="J76" s="374"/>
      <c r="K76" s="374"/>
      <c r="L76" s="374"/>
      <c r="M76" s="374"/>
      <c r="N76" s="374"/>
      <c r="O76" s="374"/>
      <c r="P76" s="374"/>
    </row>
    <row r="77" spans="2:16">
      <c r="B77" s="374"/>
      <c r="C77" s="388"/>
      <c r="D77" s="374"/>
      <c r="E77" s="374"/>
      <c r="F77" s="374"/>
      <c r="G77" s="374"/>
      <c r="H77" s="374"/>
      <c r="I77" s="374"/>
      <c r="J77" s="374"/>
      <c r="K77" s="374"/>
      <c r="L77" s="374"/>
      <c r="M77" s="374"/>
      <c r="N77" s="374"/>
      <c r="O77" s="374"/>
      <c r="P77" s="374"/>
    </row>
    <row r="78" spans="2:16">
      <c r="B78" s="34"/>
      <c r="C78" s="363"/>
      <c r="D78" s="363"/>
      <c r="E78" s="363"/>
      <c r="F78" s="363"/>
      <c r="G78" s="363"/>
      <c r="H78" s="363"/>
      <c r="I78" s="363"/>
      <c r="J78" s="363"/>
      <c r="K78" s="363"/>
      <c r="L78" s="363"/>
      <c r="M78" s="363"/>
      <c r="N78" s="363"/>
      <c r="O78" s="363"/>
      <c r="P78" s="33"/>
    </row>
    <row r="79" spans="2:16">
      <c r="B79" s="34"/>
      <c r="C79" s="363"/>
      <c r="D79" s="363"/>
      <c r="E79" s="363"/>
      <c r="F79" s="363"/>
      <c r="G79" s="363"/>
      <c r="H79" s="363"/>
      <c r="I79" s="363"/>
      <c r="J79" s="363"/>
      <c r="K79" s="363"/>
      <c r="L79" s="363"/>
      <c r="M79" s="363"/>
      <c r="N79" s="363"/>
      <c r="O79" s="363"/>
      <c r="P79" s="36"/>
    </row>
    <row r="80" spans="2:16">
      <c r="B80" s="34"/>
      <c r="C80" s="363"/>
      <c r="D80" s="363"/>
      <c r="E80" s="363"/>
      <c r="F80" s="363"/>
      <c r="G80" s="363"/>
      <c r="H80" s="363"/>
      <c r="I80" s="363"/>
      <c r="J80" s="363"/>
      <c r="K80" s="363"/>
      <c r="L80" s="363"/>
      <c r="M80" s="363"/>
      <c r="N80" s="363"/>
      <c r="O80" s="363"/>
      <c r="P80" s="36"/>
    </row>
    <row r="81" spans="1:16">
      <c r="B81" s="34"/>
      <c r="C81" s="363"/>
      <c r="D81" s="363"/>
      <c r="E81" s="363"/>
      <c r="F81" s="363"/>
      <c r="G81" s="363"/>
      <c r="H81" s="363"/>
      <c r="I81" s="363"/>
      <c r="J81" s="363"/>
      <c r="K81" s="363"/>
      <c r="L81" s="363"/>
      <c r="M81" s="363"/>
      <c r="N81" s="363"/>
      <c r="O81" s="363"/>
      <c r="P81" s="36"/>
    </row>
    <row r="82" spans="1:16">
      <c r="B82" s="34"/>
      <c r="C82" s="363"/>
      <c r="D82" s="363"/>
      <c r="E82" s="363"/>
      <c r="F82" s="363"/>
      <c r="G82" s="363"/>
      <c r="H82" s="363"/>
      <c r="I82" s="363"/>
      <c r="J82" s="363"/>
      <c r="K82" s="363"/>
      <c r="L82" s="363"/>
      <c r="M82" s="363"/>
      <c r="N82" s="363"/>
      <c r="O82" s="363"/>
      <c r="P82" s="36"/>
    </row>
    <row r="83" spans="1:16">
      <c r="B83" s="34"/>
      <c r="C83" s="300"/>
      <c r="D83" s="300"/>
      <c r="E83" s="300"/>
      <c r="F83" s="300"/>
      <c r="G83" s="300"/>
      <c r="H83" s="300"/>
      <c r="I83" s="300"/>
      <c r="J83" s="300"/>
      <c r="K83" s="300"/>
      <c r="L83" s="300"/>
      <c r="M83" s="300"/>
      <c r="N83" s="300"/>
      <c r="O83" s="300"/>
      <c r="P83" s="63"/>
    </row>
    <row r="84" spans="1:16">
      <c r="B84" s="73"/>
      <c r="C84" s="19"/>
      <c r="D84" s="19"/>
      <c r="E84" s="19"/>
      <c r="F84" s="19"/>
      <c r="G84" s="19"/>
      <c r="H84" s="19"/>
      <c r="I84" s="19"/>
      <c r="J84" s="19" t="s">
        <v>38</v>
      </c>
      <c r="K84" s="19"/>
      <c r="L84" s="19"/>
      <c r="M84" s="19"/>
      <c r="N84" s="19"/>
      <c r="O84" s="19"/>
      <c r="P84" s="74"/>
    </row>
    <row r="86" spans="1:16" s="390" customFormat="1"/>
    <row r="87" spans="1:16" ht="15.75" thickBot="1"/>
    <row r="88" spans="1:16">
      <c r="A88" s="390"/>
      <c r="B88" s="1180" t="s">
        <v>727</v>
      </c>
      <c r="C88" s="1180"/>
      <c r="D88" s="1180"/>
      <c r="E88" s="1180"/>
      <c r="F88" s="1180"/>
      <c r="G88" s="1180"/>
      <c r="H88" s="1180"/>
      <c r="I88" s="1180"/>
      <c r="J88" s="1180"/>
      <c r="K88" s="1180"/>
      <c r="L88" s="1180"/>
      <c r="M88" s="1180"/>
      <c r="N88" s="1180"/>
      <c r="O88" s="1180"/>
      <c r="P88" s="1181"/>
    </row>
    <row r="89" spans="1:16">
      <c r="A89" s="390"/>
      <c r="B89" s="1182"/>
      <c r="C89" s="1182"/>
      <c r="D89" s="1182"/>
      <c r="E89" s="1182"/>
      <c r="F89" s="1182"/>
      <c r="G89" s="1182"/>
      <c r="H89" s="1182"/>
      <c r="I89" s="1182"/>
      <c r="J89" s="1182"/>
      <c r="K89" s="1182"/>
      <c r="L89" s="1182"/>
      <c r="M89" s="1182"/>
      <c r="N89" s="1182"/>
      <c r="O89" s="1182"/>
      <c r="P89" s="1183"/>
    </row>
    <row r="90" spans="1:16">
      <c r="A90" s="390"/>
      <c r="B90" s="1184" t="s">
        <v>728</v>
      </c>
      <c r="C90" s="1184"/>
      <c r="D90" s="1184"/>
      <c r="E90" s="1184"/>
      <c r="F90" s="1184"/>
      <c r="G90" s="1184"/>
      <c r="H90" s="1184"/>
      <c r="I90" s="1184"/>
      <c r="J90" s="1184"/>
      <c r="K90" s="1184"/>
      <c r="L90" s="1184"/>
      <c r="M90" s="1184"/>
      <c r="N90" s="1184"/>
      <c r="O90" s="1184"/>
      <c r="P90" s="1185"/>
    </row>
    <row r="91" spans="1:16">
      <c r="A91" s="390"/>
      <c r="B91" s="31" t="s">
        <v>199</v>
      </c>
      <c r="C91" s="32"/>
      <c r="D91" s="32" t="str">
        <f>'04-22-Master'!F5</f>
        <v>Burgeon IT Services Pvt.Ltd.</v>
      </c>
      <c r="E91" s="300"/>
      <c r="F91" s="33"/>
      <c r="G91" s="32"/>
      <c r="H91" s="32"/>
      <c r="I91" s="40" t="s">
        <v>145</v>
      </c>
      <c r="J91" s="75"/>
      <c r="K91" s="75"/>
      <c r="L91" s="75"/>
      <c r="M91" s="75"/>
      <c r="N91" s="75"/>
      <c r="O91" s="75"/>
      <c r="P91" s="369"/>
    </row>
    <row r="92" spans="1:16" ht="15.75">
      <c r="A92" s="390"/>
      <c r="B92" s="34"/>
      <c r="C92" s="363" t="str">
        <f>'04-22-Master'!F6</f>
        <v>Siri Mansion LIGB 436 Dr.A S Rao Nagar,Hyderabad</v>
      </c>
      <c r="D92" s="363"/>
      <c r="E92" s="36"/>
      <c r="F92" s="76"/>
      <c r="G92" s="370"/>
      <c r="H92" s="300"/>
      <c r="I92" s="382" t="str">
        <f>'04-22-Master'!B18</f>
        <v>RUKNUDEEN S</v>
      </c>
      <c r="J92" s="370"/>
      <c r="K92" s="370"/>
      <c r="L92" s="370"/>
      <c r="M92" s="370"/>
      <c r="N92" s="370"/>
      <c r="O92" s="370"/>
      <c r="P92" s="371"/>
    </row>
    <row r="93" spans="1:16">
      <c r="A93" s="390"/>
      <c r="B93" s="37"/>
      <c r="C93" s="38"/>
      <c r="D93" s="38"/>
      <c r="E93" s="39"/>
      <c r="F93" s="77"/>
      <c r="G93" s="78"/>
      <c r="H93" s="78"/>
      <c r="I93" s="78"/>
      <c r="J93" s="78"/>
      <c r="K93" s="78"/>
      <c r="L93" s="78"/>
      <c r="M93" s="78"/>
      <c r="N93" s="78"/>
      <c r="O93" s="78"/>
      <c r="P93" s="372"/>
    </row>
    <row r="94" spans="1:16">
      <c r="A94" s="390"/>
      <c r="B94" s="1202" t="s">
        <v>146</v>
      </c>
      <c r="C94" s="1202"/>
      <c r="D94" s="1202"/>
      <c r="E94" s="1202"/>
      <c r="F94" s="40"/>
      <c r="G94" s="32"/>
      <c r="H94" s="32"/>
      <c r="I94" s="32"/>
      <c r="J94" s="32"/>
      <c r="K94" s="32"/>
      <c r="L94" s="32"/>
      <c r="M94" s="32"/>
      <c r="N94" s="32"/>
      <c r="O94" s="32"/>
      <c r="P94" s="33"/>
    </row>
    <row r="95" spans="1:16">
      <c r="A95" s="390"/>
      <c r="B95" s="1202"/>
      <c r="C95" s="1202"/>
      <c r="D95" s="1202"/>
      <c r="E95" s="1202"/>
      <c r="F95" s="300"/>
      <c r="G95" s="363"/>
      <c r="H95" s="152"/>
      <c r="I95" s="300" t="s">
        <v>147</v>
      </c>
      <c r="J95" s="373"/>
      <c r="K95" s="373"/>
      <c r="L95" s="363"/>
      <c r="M95" s="363"/>
      <c r="N95" s="363"/>
      <c r="O95" s="363"/>
      <c r="P95" s="36"/>
    </row>
    <row r="96" spans="1:16">
      <c r="A96" s="390"/>
      <c r="B96" s="1202"/>
      <c r="C96" s="1202"/>
      <c r="D96" s="1202"/>
      <c r="E96" s="1202"/>
      <c r="F96" s="34"/>
      <c r="G96" s="363"/>
      <c r="H96" s="363"/>
      <c r="I96" s="363" t="str">
        <f>'04-22-Master'!E18</f>
        <v>SIRBUDIN.T</v>
      </c>
      <c r="J96" s="363"/>
      <c r="K96" s="363"/>
      <c r="L96" s="363"/>
      <c r="M96" s="363"/>
      <c r="N96" s="363"/>
      <c r="O96" s="363"/>
      <c r="P96" s="36"/>
    </row>
    <row r="97" spans="1:17">
      <c r="A97" s="390"/>
      <c r="B97" s="1202"/>
      <c r="C97" s="1202"/>
      <c r="D97" s="1202"/>
      <c r="E97" s="1202"/>
      <c r="F97" s="300"/>
      <c r="G97" s="38"/>
      <c r="H97" s="112"/>
      <c r="I97" s="300" t="s">
        <v>148</v>
      </c>
      <c r="J97" s="38"/>
      <c r="K97" s="38"/>
      <c r="L97" s="112">
        <f>'04-22-Master'!I18</f>
        <v>44330</v>
      </c>
      <c r="M97" s="38"/>
      <c r="N97" s="38"/>
      <c r="O97" s="38"/>
      <c r="P97" s="39"/>
    </row>
    <row r="98" spans="1:17">
      <c r="A98" s="390"/>
      <c r="B98" s="1187" t="s">
        <v>5</v>
      </c>
      <c r="C98" s="1189" t="s">
        <v>431</v>
      </c>
      <c r="D98" s="1190"/>
      <c r="E98" s="1189" t="s">
        <v>432</v>
      </c>
      <c r="F98" s="1190"/>
      <c r="G98" s="1193" t="s">
        <v>433</v>
      </c>
      <c r="H98" s="1189" t="s">
        <v>434</v>
      </c>
      <c r="I98" s="1194"/>
      <c r="J98" s="1195" t="s">
        <v>435</v>
      </c>
      <c r="K98" s="1194"/>
      <c r="L98" s="1196"/>
      <c r="M98" s="1195" t="s">
        <v>436</v>
      </c>
      <c r="N98" s="1194"/>
      <c r="O98" s="1194"/>
      <c r="P98" s="1200" t="s">
        <v>437</v>
      </c>
    </row>
    <row r="99" spans="1:17" ht="15.75" thickBot="1">
      <c r="A99" s="390"/>
      <c r="B99" s="1188"/>
      <c r="C99" s="1189"/>
      <c r="D99" s="1190"/>
      <c r="E99" s="1189"/>
      <c r="F99" s="1190"/>
      <c r="G99" s="1187"/>
      <c r="H99" s="1189"/>
      <c r="I99" s="1194"/>
      <c r="J99" s="1197"/>
      <c r="K99" s="1198"/>
      <c r="L99" s="1199"/>
      <c r="M99" s="1197"/>
      <c r="N99" s="1198"/>
      <c r="O99" s="1198"/>
      <c r="P99" s="1201"/>
    </row>
    <row r="100" spans="1:17">
      <c r="A100" s="390"/>
      <c r="B100" s="352">
        <v>1</v>
      </c>
      <c r="C100" s="1191"/>
      <c r="D100" s="1192"/>
      <c r="E100" s="1191"/>
      <c r="F100" s="1192"/>
      <c r="G100" s="352">
        <v>6</v>
      </c>
      <c r="H100" s="1191"/>
      <c r="I100" s="1192"/>
      <c r="J100" s="311">
        <v>9</v>
      </c>
      <c r="K100" s="311"/>
      <c r="L100" s="311"/>
      <c r="M100" s="311">
        <v>9</v>
      </c>
      <c r="N100" s="311"/>
      <c r="O100" s="311"/>
      <c r="P100" s="312" t="s">
        <v>438</v>
      </c>
    </row>
    <row r="101" spans="1:17" ht="89.25">
      <c r="A101" s="390"/>
      <c r="B101" s="313"/>
      <c r="C101" s="313" t="s">
        <v>439</v>
      </c>
      <c r="D101" s="313" t="s">
        <v>440</v>
      </c>
      <c r="E101" s="313" t="s">
        <v>441</v>
      </c>
      <c r="F101" s="313" t="s">
        <v>150</v>
      </c>
      <c r="G101" s="313"/>
      <c r="H101" s="313" t="s">
        <v>442</v>
      </c>
      <c r="I101" s="313" t="s">
        <v>443</v>
      </c>
      <c r="J101" s="313" t="s">
        <v>149</v>
      </c>
      <c r="K101" s="313" t="s">
        <v>444</v>
      </c>
      <c r="L101" s="313" t="s">
        <v>445</v>
      </c>
      <c r="M101" s="313" t="s">
        <v>446</v>
      </c>
      <c r="N101" s="313" t="s">
        <v>447</v>
      </c>
      <c r="O101" s="314" t="s">
        <v>448</v>
      </c>
      <c r="P101" s="314"/>
    </row>
    <row r="102" spans="1:17">
      <c r="A102" s="390"/>
      <c r="B102" s="315"/>
      <c r="C102" s="313"/>
      <c r="D102" s="313"/>
      <c r="E102" s="316"/>
      <c r="F102" s="316"/>
      <c r="G102" s="313"/>
      <c r="H102" s="313"/>
      <c r="I102" s="313"/>
      <c r="J102" s="313"/>
      <c r="K102" s="313"/>
      <c r="L102" s="313"/>
      <c r="M102" s="313"/>
      <c r="N102" s="313"/>
      <c r="O102" s="313"/>
      <c r="P102" s="313"/>
    </row>
    <row r="103" spans="1:17">
      <c r="A103" s="390"/>
      <c r="B103" s="375" t="s">
        <v>1030</v>
      </c>
      <c r="C103" s="313">
        <v>1.5</v>
      </c>
      <c r="D103" s="313"/>
      <c r="E103" s="316"/>
      <c r="F103" s="316"/>
      <c r="G103" s="313">
        <v>12</v>
      </c>
      <c r="H103" s="313"/>
      <c r="I103" s="313"/>
      <c r="J103" s="313" t="s">
        <v>152</v>
      </c>
      <c r="K103" s="313" t="s">
        <v>152</v>
      </c>
      <c r="L103" s="313" t="s">
        <v>152</v>
      </c>
      <c r="M103" s="313"/>
      <c r="N103" s="313"/>
      <c r="O103" s="313"/>
      <c r="P103" s="313"/>
    </row>
    <row r="104" spans="1:17" s="390" customFormat="1">
      <c r="B104" s="315" t="s">
        <v>1053</v>
      </c>
      <c r="C104" s="313">
        <v>1.5</v>
      </c>
      <c r="D104" s="313">
        <v>0</v>
      </c>
      <c r="E104" s="313">
        <v>0</v>
      </c>
      <c r="F104" s="313">
        <v>0</v>
      </c>
      <c r="G104" s="313">
        <f>G103+C104-D104</f>
        <v>13.5</v>
      </c>
      <c r="H104" s="313"/>
      <c r="I104" s="313"/>
      <c r="J104" s="313" t="s">
        <v>152</v>
      </c>
      <c r="K104" s="313" t="s">
        <v>152</v>
      </c>
      <c r="L104" s="313" t="s">
        <v>152</v>
      </c>
      <c r="M104" s="313"/>
      <c r="N104" s="313"/>
      <c r="O104" s="313"/>
      <c r="P104" s="313"/>
    </row>
    <row r="105" spans="1:17" s="855" customFormat="1">
      <c r="B105" s="315" t="s">
        <v>1100</v>
      </c>
      <c r="C105" s="313">
        <v>1.5</v>
      </c>
      <c r="D105" s="313">
        <v>0</v>
      </c>
      <c r="E105" s="313">
        <v>0</v>
      </c>
      <c r="F105" s="313">
        <v>0</v>
      </c>
      <c r="G105" s="313">
        <f>G104+C105-D105</f>
        <v>15</v>
      </c>
      <c r="H105" s="313"/>
      <c r="I105" s="313"/>
      <c r="J105" s="313" t="s">
        <v>152</v>
      </c>
      <c r="K105" s="313" t="s">
        <v>152</v>
      </c>
      <c r="L105" s="313" t="s">
        <v>152</v>
      </c>
      <c r="M105" s="313"/>
      <c r="N105" s="313"/>
      <c r="O105" s="313"/>
      <c r="P105" s="313"/>
    </row>
    <row r="106" spans="1:17" s="855" customFormat="1">
      <c r="B106" s="375" t="s">
        <v>1139</v>
      </c>
      <c r="C106" s="313">
        <v>1.5</v>
      </c>
      <c r="D106" s="313">
        <v>1</v>
      </c>
      <c r="E106" s="316">
        <v>44665</v>
      </c>
      <c r="F106" s="316">
        <v>44665</v>
      </c>
      <c r="G106" s="313">
        <f>G105+C106-D106</f>
        <v>15.5</v>
      </c>
      <c r="H106" s="313"/>
      <c r="I106" s="313"/>
      <c r="J106" s="313" t="s">
        <v>152</v>
      </c>
      <c r="K106" s="313" t="s">
        <v>152</v>
      </c>
      <c r="L106" s="313" t="s">
        <v>152</v>
      </c>
      <c r="M106" s="313"/>
      <c r="N106" s="313"/>
      <c r="O106" s="313"/>
      <c r="P106" s="313"/>
      <c r="Q106" s="855">
        <v>3</v>
      </c>
    </row>
    <row r="107" spans="1:17">
      <c r="A107" s="390"/>
      <c r="B107" s="315"/>
      <c r="C107" s="313"/>
      <c r="D107" s="313"/>
      <c r="E107" s="313"/>
      <c r="F107" s="313"/>
      <c r="G107" s="313"/>
      <c r="H107" s="313"/>
      <c r="I107" s="313"/>
      <c r="J107" s="313"/>
      <c r="K107" s="313"/>
      <c r="L107" s="313"/>
      <c r="M107" s="313"/>
      <c r="N107" s="313"/>
      <c r="O107" s="313"/>
      <c r="P107" s="313"/>
    </row>
    <row r="108" spans="1:17">
      <c r="A108" s="390"/>
      <c r="B108" s="315"/>
      <c r="C108" s="307"/>
      <c r="D108" s="313"/>
      <c r="E108" s="313"/>
      <c r="F108" s="313"/>
      <c r="G108" s="313"/>
      <c r="H108" s="313"/>
      <c r="I108" s="313"/>
      <c r="J108" s="313"/>
      <c r="K108" s="313"/>
      <c r="L108" s="313"/>
      <c r="M108" s="313"/>
      <c r="N108" s="313"/>
      <c r="O108" s="313"/>
      <c r="P108" s="313"/>
    </row>
    <row r="109" spans="1:17">
      <c r="A109" s="390"/>
      <c r="B109" s="315"/>
      <c r="C109" s="313"/>
      <c r="D109" s="313"/>
      <c r="E109" s="313"/>
      <c r="F109" s="313"/>
      <c r="G109" s="313"/>
      <c r="H109" s="313"/>
      <c r="I109" s="313"/>
      <c r="J109" s="313"/>
      <c r="K109" s="313"/>
      <c r="L109" s="313"/>
      <c r="M109" s="313"/>
      <c r="N109" s="313"/>
      <c r="O109" s="313"/>
      <c r="P109" s="313"/>
    </row>
    <row r="110" spans="1:17" s="390" customFormat="1">
      <c r="B110" s="600"/>
      <c r="C110" s="374"/>
      <c r="D110" s="374"/>
      <c r="E110" s="374"/>
      <c r="F110" s="374"/>
      <c r="G110" s="313"/>
      <c r="H110" s="374"/>
      <c r="I110" s="374"/>
      <c r="J110" s="313"/>
      <c r="K110" s="313"/>
      <c r="L110" s="313"/>
      <c r="M110" s="374"/>
      <c r="N110" s="374"/>
      <c r="O110" s="374"/>
      <c r="P110" s="374"/>
    </row>
    <row r="111" spans="1:17" s="390" customFormat="1">
      <c r="B111" s="600"/>
      <c r="C111" s="374"/>
      <c r="D111" s="374"/>
      <c r="E111" s="374"/>
      <c r="F111" s="374"/>
      <c r="G111" s="313"/>
      <c r="H111" s="374"/>
      <c r="I111" s="374"/>
      <c r="J111" s="313"/>
      <c r="K111" s="313"/>
      <c r="L111" s="313"/>
      <c r="M111" s="374"/>
      <c r="N111" s="374"/>
      <c r="O111" s="374"/>
      <c r="P111" s="374"/>
    </row>
    <row r="112" spans="1:17" s="390" customFormat="1">
      <c r="B112" s="600"/>
      <c r="C112" s="374"/>
      <c r="D112" s="374"/>
      <c r="E112" s="374"/>
      <c r="F112" s="374"/>
      <c r="G112" s="313"/>
      <c r="H112" s="374"/>
      <c r="I112" s="374"/>
      <c r="J112" s="313"/>
      <c r="K112" s="313"/>
      <c r="L112" s="313"/>
      <c r="M112" s="374"/>
      <c r="N112" s="374"/>
      <c r="O112" s="374"/>
      <c r="P112" s="374"/>
    </row>
    <row r="113" spans="1:16">
      <c r="A113" s="390"/>
      <c r="B113" s="315"/>
      <c r="C113" s="313"/>
      <c r="D113" s="313"/>
      <c r="E113" s="313"/>
      <c r="F113" s="313"/>
      <c r="G113" s="313"/>
      <c r="H113" s="313"/>
      <c r="I113" s="313"/>
      <c r="J113" s="313"/>
      <c r="K113" s="313"/>
      <c r="L113" s="313"/>
      <c r="M113" s="313"/>
      <c r="N113" s="313"/>
      <c r="O113" s="313"/>
      <c r="P113" s="313"/>
    </row>
    <row r="114" spans="1:16">
      <c r="A114" s="390"/>
      <c r="B114" s="315"/>
      <c r="C114" s="313"/>
      <c r="D114" s="313"/>
      <c r="E114" s="313"/>
      <c r="F114" s="313"/>
      <c r="G114" s="313"/>
      <c r="H114" s="313"/>
      <c r="I114" s="313"/>
      <c r="J114" s="313"/>
      <c r="K114" s="313"/>
      <c r="L114" s="313"/>
      <c r="M114" s="313"/>
      <c r="N114" s="313"/>
      <c r="O114" s="313"/>
      <c r="P114" s="313"/>
    </row>
    <row r="115" spans="1:16">
      <c r="A115" s="390"/>
      <c r="B115" s="374"/>
      <c r="C115" s="374"/>
      <c r="D115" s="374"/>
      <c r="E115" s="374"/>
      <c r="F115" s="374"/>
      <c r="G115" s="374"/>
      <c r="H115" s="374"/>
      <c r="I115" s="374"/>
      <c r="J115" s="374"/>
      <c r="K115" s="374"/>
      <c r="L115" s="374"/>
      <c r="M115" s="374"/>
      <c r="N115" s="374"/>
      <c r="O115" s="374"/>
      <c r="P115" s="374"/>
    </row>
    <row r="116" spans="1:16">
      <c r="A116" s="390"/>
      <c r="B116" s="374"/>
      <c r="C116" s="374"/>
      <c r="D116" s="374"/>
      <c r="E116" s="374"/>
      <c r="F116" s="374"/>
      <c r="G116" s="374"/>
      <c r="H116" s="374"/>
      <c r="I116" s="374"/>
      <c r="J116" s="374"/>
      <c r="K116" s="374"/>
      <c r="L116" s="374"/>
      <c r="M116" s="374"/>
      <c r="N116" s="374"/>
      <c r="O116" s="374"/>
      <c r="P116" s="374"/>
    </row>
    <row r="117" spans="1:16">
      <c r="A117" s="390"/>
      <c r="B117" s="374"/>
      <c r="C117" s="388"/>
      <c r="D117" s="374"/>
      <c r="E117" s="374"/>
      <c r="F117" s="374"/>
      <c r="G117" s="374"/>
      <c r="H117" s="374"/>
      <c r="I117" s="374"/>
      <c r="J117" s="374"/>
      <c r="K117" s="374"/>
      <c r="L117" s="374"/>
      <c r="M117" s="374"/>
      <c r="N117" s="374"/>
      <c r="O117" s="374"/>
      <c r="P117" s="374"/>
    </row>
    <row r="118" spans="1:16">
      <c r="A118" s="390"/>
      <c r="B118" s="34"/>
      <c r="C118" s="363"/>
      <c r="D118" s="363"/>
      <c r="E118" s="363"/>
      <c r="F118" s="363"/>
      <c r="G118" s="363"/>
      <c r="H118" s="363"/>
      <c r="I118" s="363"/>
      <c r="J118" s="363"/>
      <c r="K118" s="363"/>
      <c r="L118" s="363"/>
      <c r="M118" s="363"/>
      <c r="N118" s="363"/>
      <c r="O118" s="363"/>
      <c r="P118" s="33"/>
    </row>
    <row r="119" spans="1:16">
      <c r="A119" s="390"/>
      <c r="B119" s="34"/>
      <c r="C119" s="363"/>
      <c r="D119" s="363"/>
      <c r="E119" s="363"/>
      <c r="F119" s="363"/>
      <c r="G119" s="363"/>
      <c r="H119" s="363"/>
      <c r="I119" s="363"/>
      <c r="J119" s="363"/>
      <c r="K119" s="363"/>
      <c r="L119" s="363"/>
      <c r="M119" s="363"/>
      <c r="N119" s="363"/>
      <c r="O119" s="363"/>
      <c r="P119" s="36"/>
    </row>
    <row r="120" spans="1:16">
      <c r="A120" s="390"/>
      <c r="B120" s="34"/>
      <c r="C120" s="363"/>
      <c r="D120" s="363"/>
      <c r="E120" s="363"/>
      <c r="F120" s="363"/>
      <c r="G120" s="363"/>
      <c r="H120" s="363"/>
      <c r="I120" s="363"/>
      <c r="J120" s="363"/>
      <c r="K120" s="363"/>
      <c r="L120" s="363"/>
      <c r="M120" s="363"/>
      <c r="N120" s="363"/>
      <c r="O120" s="363"/>
      <c r="P120" s="36"/>
    </row>
    <row r="121" spans="1:16">
      <c r="A121" s="390"/>
      <c r="B121" s="34"/>
      <c r="C121" s="363"/>
      <c r="D121" s="363"/>
      <c r="E121" s="363"/>
      <c r="F121" s="363"/>
      <c r="G121" s="363"/>
      <c r="H121" s="363"/>
      <c r="I121" s="363"/>
      <c r="J121" s="363"/>
      <c r="K121" s="363"/>
      <c r="L121" s="363"/>
      <c r="M121" s="363"/>
      <c r="N121" s="363"/>
      <c r="O121" s="363"/>
      <c r="P121" s="36"/>
    </row>
    <row r="122" spans="1:16">
      <c r="A122" s="390"/>
      <c r="B122" s="34"/>
      <c r="C122" s="363"/>
      <c r="D122" s="363"/>
      <c r="E122" s="363"/>
      <c r="F122" s="363"/>
      <c r="G122" s="363"/>
      <c r="H122" s="363"/>
      <c r="I122" s="363"/>
      <c r="J122" s="363"/>
      <c r="K122" s="363"/>
      <c r="L122" s="363"/>
      <c r="M122" s="363"/>
      <c r="N122" s="363"/>
      <c r="O122" s="363"/>
      <c r="P122" s="36"/>
    </row>
    <row r="123" spans="1:16">
      <c r="A123" s="390"/>
      <c r="B123" s="34"/>
      <c r="C123" s="300"/>
      <c r="D123" s="300"/>
      <c r="E123" s="300"/>
      <c r="F123" s="300"/>
      <c r="G123" s="300"/>
      <c r="H123" s="300"/>
      <c r="I123" s="300"/>
      <c r="J123" s="300"/>
      <c r="K123" s="300"/>
      <c r="L123" s="300"/>
      <c r="M123" s="300"/>
      <c r="N123" s="300"/>
      <c r="O123" s="300"/>
      <c r="P123" s="63"/>
    </row>
    <row r="124" spans="1:16">
      <c r="A124" s="390"/>
      <c r="B124" s="73"/>
      <c r="C124" s="19"/>
      <c r="D124" s="19"/>
      <c r="E124" s="19"/>
      <c r="F124" s="19"/>
      <c r="G124" s="19"/>
      <c r="H124" s="19"/>
      <c r="I124" s="19"/>
      <c r="J124" s="19" t="s">
        <v>38</v>
      </c>
      <c r="K124" s="19"/>
      <c r="L124" s="19"/>
      <c r="M124" s="19"/>
      <c r="N124" s="19"/>
      <c r="O124" s="19"/>
      <c r="P124" s="74"/>
    </row>
    <row r="125" spans="1:16">
      <c r="A125" s="390"/>
      <c r="B125" s="390"/>
      <c r="C125" s="390"/>
      <c r="D125" s="390"/>
      <c r="E125" s="390"/>
      <c r="F125" s="390"/>
      <c r="G125" s="390"/>
      <c r="H125" s="390"/>
      <c r="I125" s="390"/>
      <c r="J125" s="390"/>
      <c r="K125" s="390"/>
      <c r="L125" s="390"/>
      <c r="M125" s="390"/>
      <c r="N125" s="390"/>
      <c r="O125" s="390"/>
      <c r="P125" s="390"/>
    </row>
    <row r="126" spans="1:16">
      <c r="A126" s="390"/>
      <c r="B126" s="390"/>
      <c r="C126" s="390"/>
      <c r="D126" s="390"/>
      <c r="E126" s="390"/>
      <c r="F126" s="390"/>
      <c r="G126" s="390"/>
      <c r="H126" s="390"/>
      <c r="I126" s="390"/>
      <c r="J126" s="390"/>
      <c r="K126" s="390"/>
      <c r="L126" s="390"/>
      <c r="M126" s="390"/>
      <c r="N126" s="390"/>
      <c r="O126" s="390"/>
      <c r="P126" s="390"/>
    </row>
    <row r="127" spans="1:16">
      <c r="A127" s="390"/>
      <c r="B127" s="390"/>
      <c r="C127" s="390"/>
      <c r="D127" s="390"/>
      <c r="E127" s="390"/>
      <c r="F127" s="390"/>
      <c r="G127" s="390"/>
      <c r="H127" s="390"/>
      <c r="I127" s="390"/>
      <c r="J127" s="390"/>
      <c r="K127" s="390"/>
      <c r="L127" s="390"/>
      <c r="M127" s="390"/>
      <c r="N127" s="390"/>
      <c r="O127" s="390"/>
      <c r="P127" s="390"/>
    </row>
    <row r="128" spans="1:16" s="390" customFormat="1" ht="15.75" thickBot="1"/>
    <row r="129" spans="2:16">
      <c r="B129" s="1180" t="s">
        <v>727</v>
      </c>
      <c r="C129" s="1180"/>
      <c r="D129" s="1180"/>
      <c r="E129" s="1180"/>
      <c r="F129" s="1180"/>
      <c r="G129" s="1180"/>
      <c r="H129" s="1180"/>
      <c r="I129" s="1180"/>
      <c r="J129" s="1180"/>
      <c r="K129" s="1180"/>
      <c r="L129" s="1180"/>
      <c r="M129" s="1180"/>
      <c r="N129" s="1180"/>
      <c r="O129" s="1180"/>
      <c r="P129" s="1181"/>
    </row>
    <row r="130" spans="2:16">
      <c r="B130" s="1182"/>
      <c r="C130" s="1182"/>
      <c r="D130" s="1182"/>
      <c r="E130" s="1182"/>
      <c r="F130" s="1182"/>
      <c r="G130" s="1182"/>
      <c r="H130" s="1182"/>
      <c r="I130" s="1182"/>
      <c r="J130" s="1182"/>
      <c r="K130" s="1182"/>
      <c r="L130" s="1182"/>
      <c r="M130" s="1182"/>
      <c r="N130" s="1182"/>
      <c r="O130" s="1182"/>
      <c r="P130" s="1183"/>
    </row>
    <row r="131" spans="2:16">
      <c r="B131" s="1184" t="s">
        <v>728</v>
      </c>
      <c r="C131" s="1184"/>
      <c r="D131" s="1184"/>
      <c r="E131" s="1184"/>
      <c r="F131" s="1184"/>
      <c r="G131" s="1184"/>
      <c r="H131" s="1184"/>
      <c r="I131" s="1184"/>
      <c r="J131" s="1184"/>
      <c r="K131" s="1184"/>
      <c r="L131" s="1184"/>
      <c r="M131" s="1184"/>
      <c r="N131" s="1184"/>
      <c r="O131" s="1184"/>
      <c r="P131" s="1185"/>
    </row>
    <row r="132" spans="2:16">
      <c r="B132" s="31" t="s">
        <v>199</v>
      </c>
      <c r="C132" s="32"/>
      <c r="D132" s="504" t="str">
        <f>'04-22-Master'!F5</f>
        <v>Burgeon IT Services Pvt.Ltd.</v>
      </c>
      <c r="E132" s="300"/>
      <c r="F132" s="33"/>
      <c r="G132" s="32"/>
      <c r="H132" s="32"/>
      <c r="I132" s="40" t="s">
        <v>145</v>
      </c>
      <c r="J132" s="75"/>
      <c r="K132" s="75"/>
      <c r="L132" s="75"/>
      <c r="M132" s="75"/>
      <c r="N132" s="75"/>
      <c r="O132" s="75"/>
      <c r="P132" s="369"/>
    </row>
    <row r="133" spans="2:16" ht="15.75">
      <c r="B133" s="34"/>
      <c r="C133" s="363" t="str">
        <f>'04-22-Master'!F6</f>
        <v>Siri Mansion LIGB 436 Dr.A S Rao Nagar,Hyderabad</v>
      </c>
      <c r="D133" s="363"/>
      <c r="E133" s="36"/>
      <c r="F133" s="76"/>
      <c r="G133" s="370"/>
      <c r="H133" s="300"/>
      <c r="I133" s="382" t="str">
        <f>'04-22-Master'!B19</f>
        <v xml:space="preserve">Srikanth Thota   </v>
      </c>
      <c r="J133" s="370"/>
      <c r="K133" s="370"/>
      <c r="L133" s="370"/>
      <c r="M133" s="370"/>
      <c r="N133" s="370"/>
      <c r="O133" s="370"/>
      <c r="P133" s="371"/>
    </row>
    <row r="134" spans="2:16">
      <c r="B134" s="37"/>
      <c r="C134" s="38"/>
      <c r="D134" s="38"/>
      <c r="E134" s="39"/>
      <c r="F134" s="77"/>
      <c r="G134" s="78"/>
      <c r="H134" s="78"/>
      <c r="I134" s="78"/>
      <c r="J134" s="78"/>
      <c r="K134" s="78"/>
      <c r="L134" s="78"/>
      <c r="M134" s="78"/>
      <c r="N134" s="78"/>
      <c r="O134" s="78"/>
      <c r="P134" s="372"/>
    </row>
    <row r="135" spans="2:16">
      <c r="B135" s="1202" t="s">
        <v>146</v>
      </c>
      <c r="C135" s="1202"/>
      <c r="D135" s="1202"/>
      <c r="E135" s="1202"/>
      <c r="F135" s="40"/>
      <c r="G135" s="32"/>
      <c r="H135" s="32"/>
      <c r="I135" s="32"/>
      <c r="J135" s="32"/>
      <c r="K135" s="32"/>
      <c r="L135" s="32"/>
      <c r="M135" s="32"/>
      <c r="N135" s="32"/>
      <c r="O135" s="32"/>
      <c r="P135" s="33"/>
    </row>
    <row r="136" spans="2:16">
      <c r="B136" s="1202"/>
      <c r="C136" s="1202"/>
      <c r="D136" s="1202"/>
      <c r="E136" s="1202"/>
      <c r="F136" s="300"/>
      <c r="G136" s="363"/>
      <c r="H136" s="152"/>
      <c r="I136" s="300" t="s">
        <v>147</v>
      </c>
      <c r="J136" s="373"/>
      <c r="K136" s="373"/>
      <c r="L136" s="363"/>
      <c r="M136" s="363"/>
      <c r="N136" s="363"/>
      <c r="O136" s="363"/>
      <c r="P136" s="36"/>
    </row>
    <row r="137" spans="2:16">
      <c r="B137" s="1202"/>
      <c r="C137" s="1202"/>
      <c r="D137" s="1202"/>
      <c r="E137" s="1202"/>
      <c r="F137" s="34"/>
      <c r="G137" s="363"/>
      <c r="H137" s="363"/>
      <c r="I137" s="363" t="str">
        <f>'04-22-Master'!E19</f>
        <v>Vasudha thota</v>
      </c>
      <c r="J137" s="363"/>
      <c r="K137" s="363"/>
      <c r="L137" s="363"/>
      <c r="M137" s="363"/>
      <c r="N137" s="363"/>
      <c r="O137" s="363"/>
      <c r="P137" s="36"/>
    </row>
    <row r="138" spans="2:16">
      <c r="B138" s="1202"/>
      <c r="C138" s="1202"/>
      <c r="D138" s="1202"/>
      <c r="E138" s="1202"/>
      <c r="F138" s="300"/>
      <c r="G138" s="38"/>
      <c r="H138" s="112"/>
      <c r="I138" s="300" t="s">
        <v>148</v>
      </c>
      <c r="J138" s="38"/>
      <c r="K138" s="38"/>
      <c r="L138" s="112">
        <f>'04-22-Master'!I19</f>
        <v>44378</v>
      </c>
      <c r="M138" s="38"/>
      <c r="N138" s="38"/>
      <c r="O138" s="38"/>
      <c r="P138" s="39"/>
    </row>
    <row r="139" spans="2:16">
      <c r="B139" s="1187" t="s">
        <v>5</v>
      </c>
      <c r="C139" s="1189" t="s">
        <v>431</v>
      </c>
      <c r="D139" s="1190"/>
      <c r="E139" s="1189" t="s">
        <v>432</v>
      </c>
      <c r="F139" s="1190"/>
      <c r="G139" s="1193" t="s">
        <v>433</v>
      </c>
      <c r="H139" s="1189" t="s">
        <v>434</v>
      </c>
      <c r="I139" s="1194"/>
      <c r="J139" s="1195" t="s">
        <v>435</v>
      </c>
      <c r="K139" s="1194"/>
      <c r="L139" s="1196"/>
      <c r="M139" s="1195" t="s">
        <v>436</v>
      </c>
      <c r="N139" s="1194"/>
      <c r="O139" s="1194"/>
      <c r="P139" s="1200" t="s">
        <v>437</v>
      </c>
    </row>
    <row r="140" spans="2:16" ht="15.75" thickBot="1">
      <c r="B140" s="1188"/>
      <c r="C140" s="1189"/>
      <c r="D140" s="1190"/>
      <c r="E140" s="1189"/>
      <c r="F140" s="1190"/>
      <c r="G140" s="1187"/>
      <c r="H140" s="1189"/>
      <c r="I140" s="1194"/>
      <c r="J140" s="1197"/>
      <c r="K140" s="1198"/>
      <c r="L140" s="1199"/>
      <c r="M140" s="1197"/>
      <c r="N140" s="1198"/>
      <c r="O140" s="1198"/>
      <c r="P140" s="1201"/>
    </row>
    <row r="141" spans="2:16">
      <c r="B141" s="352">
        <v>1</v>
      </c>
      <c r="C141" s="1191"/>
      <c r="D141" s="1192"/>
      <c r="E141" s="1191"/>
      <c r="F141" s="1192"/>
      <c r="G141" s="352">
        <v>6</v>
      </c>
      <c r="H141" s="1191"/>
      <c r="I141" s="1192"/>
      <c r="J141" s="311">
        <v>9</v>
      </c>
      <c r="K141" s="311"/>
      <c r="L141" s="311"/>
      <c r="M141" s="311">
        <v>9</v>
      </c>
      <c r="N141" s="311"/>
      <c r="O141" s="311"/>
      <c r="P141" s="312" t="s">
        <v>438</v>
      </c>
    </row>
    <row r="142" spans="2:16" ht="89.25">
      <c r="B142" s="313"/>
      <c r="C142" s="313" t="s">
        <v>439</v>
      </c>
      <c r="D142" s="313" t="s">
        <v>440</v>
      </c>
      <c r="E142" s="313" t="s">
        <v>441</v>
      </c>
      <c r="F142" s="313" t="s">
        <v>150</v>
      </c>
      <c r="G142" s="313"/>
      <c r="H142" s="313" t="s">
        <v>442</v>
      </c>
      <c r="I142" s="313" t="s">
        <v>443</v>
      </c>
      <c r="J142" s="313" t="s">
        <v>149</v>
      </c>
      <c r="K142" s="313" t="s">
        <v>444</v>
      </c>
      <c r="L142" s="313" t="s">
        <v>445</v>
      </c>
      <c r="M142" s="313" t="s">
        <v>446</v>
      </c>
      <c r="N142" s="313" t="s">
        <v>447</v>
      </c>
      <c r="O142" s="314" t="s">
        <v>448</v>
      </c>
      <c r="P142" s="314"/>
    </row>
    <row r="143" spans="2:16">
      <c r="B143" s="315"/>
      <c r="C143" s="313"/>
      <c r="D143" s="313"/>
      <c r="E143" s="316"/>
      <c r="F143" s="316"/>
      <c r="G143" s="313"/>
      <c r="H143" s="313"/>
      <c r="I143" s="313"/>
      <c r="J143" s="313"/>
      <c r="K143" s="313"/>
      <c r="L143" s="313"/>
      <c r="M143" s="313"/>
      <c r="N143" s="313"/>
      <c r="O143" s="313"/>
      <c r="P143" s="313"/>
    </row>
    <row r="144" spans="2:16">
      <c r="B144" s="375" t="s">
        <v>1030</v>
      </c>
      <c r="C144" s="313">
        <v>1.5</v>
      </c>
      <c r="D144" s="313"/>
      <c r="E144" s="316"/>
      <c r="F144" s="316"/>
      <c r="G144" s="313">
        <v>3.5</v>
      </c>
      <c r="H144" s="313"/>
      <c r="I144" s="313"/>
      <c r="J144" s="313" t="s">
        <v>152</v>
      </c>
      <c r="K144" s="313" t="s">
        <v>152</v>
      </c>
      <c r="L144" s="313" t="s">
        <v>152</v>
      </c>
      <c r="M144" s="313"/>
      <c r="N144" s="313"/>
      <c r="O144" s="313"/>
      <c r="P144" s="313"/>
    </row>
    <row r="145" spans="1:17" s="390" customFormat="1">
      <c r="B145" s="315" t="s">
        <v>1053</v>
      </c>
      <c r="C145" s="313">
        <v>1.5</v>
      </c>
      <c r="D145" s="313">
        <v>1</v>
      </c>
      <c r="E145" s="316">
        <v>44596</v>
      </c>
      <c r="F145" s="316">
        <v>44596</v>
      </c>
      <c r="G145" s="313">
        <f>G144+C145-D145</f>
        <v>4</v>
      </c>
      <c r="H145" s="313"/>
      <c r="I145" s="313"/>
      <c r="J145" s="313" t="s">
        <v>152</v>
      </c>
      <c r="K145" s="313" t="s">
        <v>152</v>
      </c>
      <c r="L145" s="313" t="s">
        <v>152</v>
      </c>
      <c r="M145" s="313"/>
      <c r="N145" s="313"/>
      <c r="O145" s="313"/>
      <c r="P145" s="313"/>
    </row>
    <row r="146" spans="1:17" s="855" customFormat="1">
      <c r="B146" s="315" t="s">
        <v>1100</v>
      </c>
      <c r="C146" s="313">
        <v>1.5</v>
      </c>
      <c r="D146" s="313">
        <v>0</v>
      </c>
      <c r="E146" s="313">
        <v>0</v>
      </c>
      <c r="F146" s="313">
        <v>0</v>
      </c>
      <c r="G146" s="313">
        <f>G145+C146-D146</f>
        <v>5.5</v>
      </c>
      <c r="H146" s="313"/>
      <c r="I146" s="313"/>
      <c r="J146" s="313" t="s">
        <v>152</v>
      </c>
      <c r="K146" s="313" t="s">
        <v>152</v>
      </c>
      <c r="L146" s="313" t="s">
        <v>152</v>
      </c>
      <c r="M146" s="313"/>
      <c r="N146" s="313"/>
      <c r="O146" s="313"/>
      <c r="P146" s="313"/>
    </row>
    <row r="147" spans="1:17" s="855" customFormat="1">
      <c r="A147" s="855">
        <v>4</v>
      </c>
      <c r="B147" s="375" t="s">
        <v>1139</v>
      </c>
      <c r="C147" s="313">
        <v>1.5</v>
      </c>
      <c r="D147" s="313">
        <v>1</v>
      </c>
      <c r="E147" s="316">
        <v>44680</v>
      </c>
      <c r="F147" s="316">
        <v>44680</v>
      </c>
      <c r="G147" s="313">
        <f>G146+C147-D147</f>
        <v>6</v>
      </c>
      <c r="H147" s="313"/>
      <c r="I147" s="313"/>
      <c r="J147" s="313" t="s">
        <v>152</v>
      </c>
      <c r="K147" s="313" t="s">
        <v>152</v>
      </c>
      <c r="L147" s="313" t="s">
        <v>152</v>
      </c>
      <c r="M147" s="313"/>
      <c r="N147" s="313"/>
      <c r="O147" s="313"/>
      <c r="P147" s="313"/>
      <c r="Q147" s="855">
        <v>4</v>
      </c>
    </row>
    <row r="148" spans="1:17">
      <c r="B148" s="602"/>
      <c r="C148" s="294"/>
      <c r="D148" s="294"/>
      <c r="E148" s="443"/>
      <c r="F148" s="443"/>
      <c r="G148" s="313"/>
      <c r="H148" s="294"/>
      <c r="I148" s="294"/>
      <c r="J148" s="313"/>
      <c r="K148" s="313"/>
      <c r="L148" s="313"/>
      <c r="M148" s="313"/>
      <c r="N148" s="313"/>
      <c r="O148" s="313"/>
      <c r="P148" s="313"/>
    </row>
    <row r="149" spans="1:17">
      <c r="B149" s="315"/>
      <c r="C149" s="313"/>
      <c r="D149" s="313"/>
      <c r="E149" s="313"/>
      <c r="F149" s="313"/>
      <c r="G149" s="313"/>
      <c r="H149" s="313"/>
      <c r="I149" s="313"/>
      <c r="J149" s="313"/>
      <c r="K149" s="313"/>
      <c r="L149" s="313"/>
      <c r="M149" s="313"/>
      <c r="N149" s="313"/>
      <c r="O149" s="313"/>
      <c r="P149" s="313"/>
    </row>
    <row r="150" spans="1:17" s="390" customFormat="1">
      <c r="B150" s="600"/>
      <c r="C150" s="374"/>
      <c r="D150" s="374"/>
      <c r="E150" s="374"/>
      <c r="F150" s="374"/>
      <c r="G150" s="313"/>
      <c r="H150" s="374"/>
      <c r="I150" s="374"/>
      <c r="J150" s="313"/>
      <c r="K150" s="313"/>
      <c r="L150" s="313"/>
      <c r="M150" s="374"/>
      <c r="N150" s="374"/>
      <c r="O150" s="374"/>
      <c r="P150" s="374"/>
    </row>
    <row r="151" spans="1:17" s="390" customFormat="1">
      <c r="B151" s="600"/>
      <c r="C151" s="374"/>
      <c r="D151" s="374"/>
      <c r="E151" s="503"/>
      <c r="F151" s="503"/>
      <c r="G151" s="313"/>
      <c r="H151" s="374"/>
      <c r="I151" s="374"/>
      <c r="J151" s="313"/>
      <c r="K151" s="313"/>
      <c r="L151" s="313"/>
      <c r="M151" s="374"/>
      <c r="N151" s="374"/>
      <c r="O151" s="374"/>
      <c r="P151" s="374"/>
    </row>
    <row r="152" spans="1:17" s="390" customFormat="1">
      <c r="B152" s="600"/>
      <c r="C152" s="374"/>
      <c r="D152" s="374"/>
      <c r="E152" s="374"/>
      <c r="F152" s="374"/>
      <c r="G152" s="313"/>
      <c r="H152" s="374"/>
      <c r="I152" s="374"/>
      <c r="J152" s="313"/>
      <c r="K152" s="313"/>
      <c r="L152" s="313"/>
      <c r="M152" s="374"/>
      <c r="N152" s="374"/>
      <c r="O152" s="374"/>
      <c r="P152" s="374"/>
    </row>
    <row r="153" spans="1:17">
      <c r="B153" s="315"/>
      <c r="C153" s="313"/>
      <c r="D153" s="313"/>
      <c r="E153" s="313"/>
      <c r="F153" s="313"/>
      <c r="G153" s="313"/>
      <c r="H153" s="313"/>
      <c r="I153" s="313"/>
      <c r="J153" s="313"/>
      <c r="K153" s="313"/>
      <c r="L153" s="313"/>
      <c r="M153" s="313"/>
      <c r="N153" s="313"/>
      <c r="O153" s="313"/>
      <c r="P153" s="313"/>
    </row>
    <row r="154" spans="1:17">
      <c r="B154" s="315"/>
      <c r="C154" s="313"/>
      <c r="D154" s="313"/>
      <c r="E154" s="313"/>
      <c r="F154" s="313"/>
      <c r="G154" s="313"/>
      <c r="H154" s="313"/>
      <c r="I154" s="313"/>
      <c r="J154" s="313"/>
      <c r="K154" s="313"/>
      <c r="L154" s="313"/>
      <c r="M154" s="313"/>
      <c r="N154" s="313"/>
      <c r="O154" s="313"/>
      <c r="P154" s="313"/>
    </row>
    <row r="155" spans="1:17">
      <c r="B155" s="315"/>
      <c r="C155" s="313"/>
      <c r="D155" s="313"/>
      <c r="E155" s="313"/>
      <c r="F155" s="313"/>
      <c r="G155" s="313"/>
      <c r="H155" s="313"/>
      <c r="I155" s="313"/>
      <c r="J155" s="313"/>
      <c r="K155" s="313"/>
      <c r="L155" s="313"/>
      <c r="M155" s="313"/>
      <c r="N155" s="313"/>
      <c r="O155" s="313"/>
      <c r="P155" s="313"/>
    </row>
    <row r="156" spans="1:17">
      <c r="B156" s="374"/>
      <c r="C156" s="374"/>
      <c r="D156" s="374"/>
      <c r="E156" s="374"/>
      <c r="F156" s="374"/>
      <c r="G156" s="374"/>
      <c r="H156" s="374"/>
      <c r="I156" s="374"/>
      <c r="J156" s="374"/>
      <c r="K156" s="374"/>
      <c r="L156" s="374"/>
      <c r="M156" s="374"/>
      <c r="N156" s="374"/>
      <c r="O156" s="374"/>
      <c r="P156" s="374"/>
    </row>
    <row r="157" spans="1:17">
      <c r="B157" s="374"/>
      <c r="C157" s="374"/>
      <c r="D157" s="374"/>
      <c r="E157" s="374"/>
      <c r="F157" s="374"/>
      <c r="G157" s="374"/>
      <c r="H157" s="374"/>
      <c r="I157" s="374"/>
      <c r="J157" s="374"/>
      <c r="K157" s="374"/>
      <c r="L157" s="374"/>
      <c r="M157" s="374"/>
      <c r="N157" s="374"/>
      <c r="O157" s="374"/>
      <c r="P157" s="374"/>
    </row>
    <row r="158" spans="1:17">
      <c r="B158" s="374"/>
      <c r="C158" s="388"/>
      <c r="D158" s="374"/>
      <c r="E158" s="374"/>
      <c r="F158" s="374"/>
      <c r="G158" s="374"/>
      <c r="H158" s="374"/>
      <c r="I158" s="374"/>
      <c r="J158" s="374"/>
      <c r="K158" s="374"/>
      <c r="L158" s="374"/>
      <c r="M158" s="374"/>
      <c r="N158" s="374"/>
      <c r="O158" s="374"/>
      <c r="P158" s="374"/>
    </row>
    <row r="159" spans="1:17">
      <c r="B159" s="34"/>
      <c r="C159" s="363"/>
      <c r="D159" s="363"/>
      <c r="E159" s="363"/>
      <c r="F159" s="363"/>
      <c r="G159" s="363"/>
      <c r="H159" s="363"/>
      <c r="I159" s="363"/>
      <c r="J159" s="363"/>
      <c r="K159" s="363"/>
      <c r="L159" s="363"/>
      <c r="M159" s="363"/>
      <c r="N159" s="363"/>
      <c r="O159" s="363"/>
      <c r="P159" s="33"/>
    </row>
    <row r="160" spans="1:17">
      <c r="B160" s="34"/>
      <c r="C160" s="363"/>
      <c r="D160" s="363"/>
      <c r="E160" s="363"/>
      <c r="F160" s="363"/>
      <c r="G160" s="363"/>
      <c r="H160" s="363"/>
      <c r="I160" s="363"/>
      <c r="J160" s="363"/>
      <c r="K160" s="363"/>
      <c r="L160" s="363"/>
      <c r="M160" s="363"/>
      <c r="N160" s="363"/>
      <c r="O160" s="363"/>
      <c r="P160" s="36"/>
    </row>
    <row r="161" spans="2:16">
      <c r="B161" s="34"/>
      <c r="C161" s="363"/>
      <c r="D161" s="363"/>
      <c r="E161" s="363"/>
      <c r="F161" s="363"/>
      <c r="G161" s="363"/>
      <c r="H161" s="363"/>
      <c r="I161" s="363"/>
      <c r="J161" s="363"/>
      <c r="K161" s="363"/>
      <c r="L161" s="363"/>
      <c r="M161" s="363"/>
      <c r="N161" s="363"/>
      <c r="O161" s="363"/>
      <c r="P161" s="36"/>
    </row>
    <row r="162" spans="2:16">
      <c r="B162" s="34"/>
      <c r="C162" s="363"/>
      <c r="D162" s="363"/>
      <c r="E162" s="363"/>
      <c r="F162" s="363"/>
      <c r="G162" s="363"/>
      <c r="H162" s="363"/>
      <c r="I162" s="363"/>
      <c r="J162" s="363"/>
      <c r="K162" s="363"/>
      <c r="L162" s="363"/>
      <c r="M162" s="363"/>
      <c r="N162" s="363"/>
      <c r="O162" s="363"/>
      <c r="P162" s="36"/>
    </row>
    <row r="163" spans="2:16">
      <c r="B163" s="34"/>
      <c r="C163" s="363"/>
      <c r="D163" s="363"/>
      <c r="E163" s="363"/>
      <c r="F163" s="363"/>
      <c r="G163" s="363"/>
      <c r="H163" s="363"/>
      <c r="I163" s="363"/>
      <c r="J163" s="363"/>
      <c r="K163" s="363"/>
      <c r="L163" s="363"/>
      <c r="M163" s="363"/>
      <c r="N163" s="363"/>
      <c r="O163" s="363"/>
      <c r="P163" s="36"/>
    </row>
    <row r="164" spans="2:16">
      <c r="B164" s="34"/>
      <c r="C164" s="300"/>
      <c r="D164" s="300"/>
      <c r="E164" s="300"/>
      <c r="F164" s="300"/>
      <c r="G164" s="300"/>
      <c r="H164" s="300"/>
      <c r="I164" s="300"/>
      <c r="J164" s="300"/>
      <c r="K164" s="300"/>
      <c r="L164" s="300"/>
      <c r="M164" s="300"/>
      <c r="N164" s="300"/>
      <c r="O164" s="300"/>
      <c r="P164" s="63"/>
    </row>
    <row r="165" spans="2:16">
      <c r="B165" s="73"/>
      <c r="C165" s="19"/>
      <c r="D165" s="19"/>
      <c r="E165" s="19"/>
      <c r="F165" s="19"/>
      <c r="G165" s="19"/>
      <c r="H165" s="19"/>
      <c r="I165" s="19"/>
      <c r="J165" s="19" t="s">
        <v>38</v>
      </c>
      <c r="K165" s="19"/>
      <c r="L165" s="19"/>
      <c r="M165" s="19"/>
      <c r="N165" s="19"/>
      <c r="O165" s="19"/>
      <c r="P165" s="74"/>
    </row>
    <row r="169" spans="2:16" ht="15.75" thickBot="1"/>
    <row r="170" spans="2:16">
      <c r="B170" s="1180" t="s">
        <v>727</v>
      </c>
      <c r="C170" s="1180"/>
      <c r="D170" s="1180"/>
      <c r="E170" s="1180"/>
      <c r="F170" s="1180"/>
      <c r="G170" s="1180"/>
      <c r="H170" s="1180"/>
      <c r="I170" s="1180"/>
      <c r="J170" s="1180"/>
      <c r="K170" s="1180"/>
      <c r="L170" s="1180"/>
      <c r="M170" s="1180"/>
      <c r="N170" s="1180"/>
      <c r="O170" s="1180"/>
      <c r="P170" s="1181"/>
    </row>
    <row r="171" spans="2:16">
      <c r="B171" s="1182"/>
      <c r="C171" s="1182"/>
      <c r="D171" s="1182"/>
      <c r="E171" s="1182"/>
      <c r="F171" s="1182"/>
      <c r="G171" s="1182"/>
      <c r="H171" s="1182"/>
      <c r="I171" s="1182"/>
      <c r="J171" s="1182"/>
      <c r="K171" s="1182"/>
      <c r="L171" s="1182"/>
      <c r="M171" s="1182"/>
      <c r="N171" s="1182"/>
      <c r="O171" s="1182"/>
      <c r="P171" s="1183"/>
    </row>
    <row r="172" spans="2:16">
      <c r="B172" s="1184" t="s">
        <v>728</v>
      </c>
      <c r="C172" s="1184"/>
      <c r="D172" s="1184"/>
      <c r="E172" s="1184"/>
      <c r="F172" s="1184"/>
      <c r="G172" s="1184"/>
      <c r="H172" s="1184"/>
      <c r="I172" s="1184"/>
      <c r="J172" s="1184"/>
      <c r="K172" s="1184"/>
      <c r="L172" s="1184"/>
      <c r="M172" s="1184"/>
      <c r="N172" s="1184"/>
      <c r="O172" s="1184"/>
      <c r="P172" s="1185"/>
    </row>
    <row r="173" spans="2:16">
      <c r="B173" s="31" t="s">
        <v>199</v>
      </c>
      <c r="C173" s="32"/>
      <c r="D173" s="504" t="str">
        <f>'04-22-Master'!F5</f>
        <v>Burgeon IT Services Pvt.Ltd.</v>
      </c>
      <c r="E173" s="300"/>
      <c r="F173" s="33"/>
      <c r="G173" s="32"/>
      <c r="H173" s="32"/>
      <c r="I173" s="40" t="s">
        <v>145</v>
      </c>
      <c r="J173" s="75"/>
      <c r="K173" s="75"/>
      <c r="L173" s="75"/>
      <c r="M173" s="75"/>
      <c r="N173" s="75"/>
      <c r="O173" s="75"/>
      <c r="P173" s="369"/>
    </row>
    <row r="174" spans="2:16" ht="15.75">
      <c r="B174" s="34"/>
      <c r="C174" s="363" t="str">
        <f>'04-22-Master'!F6</f>
        <v>Siri Mansion LIGB 436 Dr.A S Rao Nagar,Hyderabad</v>
      </c>
      <c r="D174" s="363"/>
      <c r="E174" s="36"/>
      <c r="F174" s="76"/>
      <c r="G174" s="370"/>
      <c r="H174" s="300"/>
      <c r="I174" s="382" t="str">
        <f>'04-22-Master'!B20</f>
        <v xml:space="preserve">Shekhar Panchal  </v>
      </c>
      <c r="J174" s="370"/>
      <c r="K174" s="370"/>
      <c r="L174" s="370"/>
      <c r="M174" s="370"/>
      <c r="N174" s="370"/>
      <c r="O174" s="370"/>
      <c r="P174" s="371"/>
    </row>
    <row r="175" spans="2:16">
      <c r="B175" s="37"/>
      <c r="C175" s="38"/>
      <c r="D175" s="38"/>
      <c r="E175" s="39"/>
      <c r="F175" s="77"/>
      <c r="G175" s="78"/>
      <c r="H175" s="78"/>
      <c r="I175" s="78"/>
      <c r="J175" s="78"/>
      <c r="K175" s="78"/>
      <c r="L175" s="78"/>
      <c r="M175" s="78"/>
      <c r="N175" s="78"/>
      <c r="O175" s="78"/>
      <c r="P175" s="372"/>
    </row>
    <row r="176" spans="2:16">
      <c r="B176" s="1202" t="s">
        <v>146</v>
      </c>
      <c r="C176" s="1202"/>
      <c r="D176" s="1202"/>
      <c r="E176" s="1202"/>
      <c r="F176" s="40"/>
      <c r="G176" s="32"/>
      <c r="H176" s="32"/>
      <c r="I176" s="32"/>
      <c r="J176" s="32"/>
      <c r="K176" s="32"/>
      <c r="L176" s="32"/>
      <c r="M176" s="32"/>
      <c r="N176" s="32"/>
      <c r="O176" s="32"/>
      <c r="P176" s="33"/>
    </row>
    <row r="177" spans="1:17">
      <c r="B177" s="1202"/>
      <c r="C177" s="1202"/>
      <c r="D177" s="1202"/>
      <c r="E177" s="1202"/>
      <c r="F177" s="300"/>
      <c r="G177" s="363"/>
      <c r="H177" s="152"/>
      <c r="I177" s="300" t="s">
        <v>147</v>
      </c>
      <c r="J177" s="373"/>
      <c r="K177" s="373"/>
      <c r="L177" s="363"/>
      <c r="M177" s="363"/>
      <c r="N177" s="363"/>
      <c r="O177" s="363"/>
      <c r="P177" s="36"/>
    </row>
    <row r="178" spans="1:17">
      <c r="B178" s="1202"/>
      <c r="C178" s="1202"/>
      <c r="D178" s="1202"/>
      <c r="E178" s="1202"/>
      <c r="F178" s="34"/>
      <c r="G178" s="363"/>
      <c r="H178" s="363"/>
      <c r="I178" s="851" t="str">
        <f>'04-22-Master'!E20</f>
        <v>Naresh Kumar Panchal</v>
      </c>
      <c r="J178" s="363"/>
      <c r="K178" s="363"/>
      <c r="L178" s="363"/>
      <c r="M178" s="363"/>
      <c r="N178" s="363"/>
      <c r="O178" s="363"/>
      <c r="P178" s="36"/>
    </row>
    <row r="179" spans="1:17">
      <c r="B179" s="1202"/>
      <c r="C179" s="1202"/>
      <c r="D179" s="1202"/>
      <c r="E179" s="1202"/>
      <c r="F179" s="300"/>
      <c r="G179" s="38"/>
      <c r="H179" s="112"/>
      <c r="I179" s="300" t="s">
        <v>148</v>
      </c>
      <c r="J179" s="38"/>
      <c r="K179" s="38"/>
      <c r="L179" s="112">
        <f>'04-22-Master'!I20</f>
        <v>44388</v>
      </c>
      <c r="M179" s="38"/>
      <c r="N179" s="38"/>
      <c r="O179" s="38"/>
      <c r="P179" s="39"/>
    </row>
    <row r="180" spans="1:17">
      <c r="B180" s="1187" t="s">
        <v>5</v>
      </c>
      <c r="C180" s="1189" t="s">
        <v>431</v>
      </c>
      <c r="D180" s="1190"/>
      <c r="E180" s="1189" t="s">
        <v>432</v>
      </c>
      <c r="F180" s="1190"/>
      <c r="G180" s="1193" t="s">
        <v>433</v>
      </c>
      <c r="H180" s="1189" t="s">
        <v>434</v>
      </c>
      <c r="I180" s="1194"/>
      <c r="J180" s="1195" t="s">
        <v>435</v>
      </c>
      <c r="K180" s="1194"/>
      <c r="L180" s="1196"/>
      <c r="M180" s="1195" t="s">
        <v>436</v>
      </c>
      <c r="N180" s="1194"/>
      <c r="O180" s="1194"/>
      <c r="P180" s="1200" t="s">
        <v>437</v>
      </c>
    </row>
    <row r="181" spans="1:17" ht="15.75" thickBot="1">
      <c r="B181" s="1188"/>
      <c r="C181" s="1189"/>
      <c r="D181" s="1190"/>
      <c r="E181" s="1189"/>
      <c r="F181" s="1190"/>
      <c r="G181" s="1187"/>
      <c r="H181" s="1189"/>
      <c r="I181" s="1194"/>
      <c r="J181" s="1197"/>
      <c r="K181" s="1198"/>
      <c r="L181" s="1199"/>
      <c r="M181" s="1197"/>
      <c r="N181" s="1198"/>
      <c r="O181" s="1198"/>
      <c r="P181" s="1201"/>
    </row>
    <row r="182" spans="1:17">
      <c r="B182" s="352">
        <v>1</v>
      </c>
      <c r="C182" s="1191"/>
      <c r="D182" s="1192"/>
      <c r="E182" s="1191"/>
      <c r="F182" s="1192"/>
      <c r="G182" s="352">
        <v>6</v>
      </c>
      <c r="H182" s="1191"/>
      <c r="I182" s="1192"/>
      <c r="J182" s="311">
        <v>9</v>
      </c>
      <c r="K182" s="311"/>
      <c r="L182" s="311"/>
      <c r="M182" s="311">
        <v>9</v>
      </c>
      <c r="N182" s="311"/>
      <c r="O182" s="311"/>
      <c r="P182" s="312" t="s">
        <v>438</v>
      </c>
    </row>
    <row r="183" spans="1:17" ht="89.25">
      <c r="B183" s="313"/>
      <c r="C183" s="313" t="s">
        <v>439</v>
      </c>
      <c r="D183" s="313" t="s">
        <v>440</v>
      </c>
      <c r="E183" s="313" t="s">
        <v>441</v>
      </c>
      <c r="F183" s="313" t="s">
        <v>150</v>
      </c>
      <c r="G183" s="313"/>
      <c r="H183" s="313" t="s">
        <v>442</v>
      </c>
      <c r="I183" s="313" t="s">
        <v>443</v>
      </c>
      <c r="J183" s="313" t="s">
        <v>149</v>
      </c>
      <c r="K183" s="313" t="s">
        <v>444</v>
      </c>
      <c r="L183" s="313" t="s">
        <v>445</v>
      </c>
      <c r="M183" s="313" t="s">
        <v>446</v>
      </c>
      <c r="N183" s="313" t="s">
        <v>447</v>
      </c>
      <c r="O183" s="314" t="s">
        <v>448</v>
      </c>
      <c r="P183" s="314"/>
    </row>
    <row r="184" spans="1:17">
      <c r="B184" s="315"/>
      <c r="C184" s="313"/>
      <c r="D184" s="313"/>
      <c r="E184" s="316"/>
      <c r="F184" s="316"/>
      <c r="G184" s="313"/>
      <c r="H184" s="313"/>
      <c r="I184" s="313"/>
      <c r="J184" s="313"/>
      <c r="K184" s="313"/>
      <c r="L184" s="313"/>
      <c r="M184" s="313"/>
      <c r="N184" s="313"/>
      <c r="O184" s="313"/>
      <c r="P184" s="313"/>
    </row>
    <row r="185" spans="1:17">
      <c r="B185" s="375" t="s">
        <v>1030</v>
      </c>
      <c r="C185" s="313">
        <v>1.5</v>
      </c>
      <c r="D185" s="313"/>
      <c r="E185" s="316"/>
      <c r="F185" s="316"/>
      <c r="G185" s="313">
        <v>6</v>
      </c>
      <c r="H185" s="313"/>
      <c r="I185" s="313"/>
      <c r="J185" s="313" t="s">
        <v>152</v>
      </c>
      <c r="K185" s="313" t="s">
        <v>152</v>
      </c>
      <c r="L185" s="313" t="s">
        <v>152</v>
      </c>
      <c r="M185" s="313"/>
      <c r="N185" s="313"/>
      <c r="O185" s="313"/>
      <c r="P185" s="313"/>
    </row>
    <row r="186" spans="1:17" s="390" customFormat="1">
      <c r="B186" s="315" t="s">
        <v>1053</v>
      </c>
      <c r="C186" s="313">
        <v>1.5</v>
      </c>
      <c r="D186" s="313">
        <v>1</v>
      </c>
      <c r="E186" s="316">
        <v>44610</v>
      </c>
      <c r="F186" s="316">
        <v>44610</v>
      </c>
      <c r="G186" s="313">
        <f>G185+C186-D186</f>
        <v>6.5</v>
      </c>
      <c r="H186" s="313"/>
      <c r="I186" s="313"/>
      <c r="J186" s="313" t="s">
        <v>152</v>
      </c>
      <c r="K186" s="313" t="s">
        <v>152</v>
      </c>
      <c r="L186" s="313" t="s">
        <v>152</v>
      </c>
      <c r="M186" s="313"/>
      <c r="N186" s="313"/>
      <c r="O186" s="313"/>
      <c r="P186" s="313"/>
    </row>
    <row r="187" spans="1:17" s="855" customFormat="1">
      <c r="B187" s="315" t="s">
        <v>1100</v>
      </c>
      <c r="C187" s="313">
        <v>1.5</v>
      </c>
      <c r="D187" s="313">
        <v>0</v>
      </c>
      <c r="E187" s="313">
        <v>0</v>
      </c>
      <c r="F187" s="313">
        <v>0</v>
      </c>
      <c r="G187" s="313">
        <f>G186+C187-D187</f>
        <v>8</v>
      </c>
      <c r="H187" s="313"/>
      <c r="I187" s="313"/>
      <c r="J187" s="313" t="s">
        <v>152</v>
      </c>
      <c r="K187" s="313" t="s">
        <v>152</v>
      </c>
      <c r="L187" s="313" t="s">
        <v>152</v>
      </c>
      <c r="M187" s="313"/>
      <c r="N187" s="313"/>
      <c r="O187" s="313"/>
      <c r="P187" s="313"/>
    </row>
    <row r="188" spans="1:17" s="855" customFormat="1">
      <c r="A188" s="855">
        <v>4</v>
      </c>
      <c r="B188" s="375" t="s">
        <v>1139</v>
      </c>
      <c r="C188" s="313">
        <v>1.5</v>
      </c>
      <c r="D188" s="313">
        <v>0</v>
      </c>
      <c r="E188" s="313">
        <v>0</v>
      </c>
      <c r="F188" s="313">
        <v>0</v>
      </c>
      <c r="G188" s="313">
        <f>G187+C188-D188</f>
        <v>9.5</v>
      </c>
      <c r="H188" s="313"/>
      <c r="I188" s="313"/>
      <c r="J188" s="313" t="s">
        <v>152</v>
      </c>
      <c r="K188" s="313" t="s">
        <v>152</v>
      </c>
      <c r="L188" s="313" t="s">
        <v>152</v>
      </c>
      <c r="M188" s="313"/>
      <c r="N188" s="313"/>
      <c r="O188" s="313"/>
      <c r="P188" s="313"/>
      <c r="Q188" s="855">
        <v>5</v>
      </c>
    </row>
    <row r="189" spans="1:17">
      <c r="B189" s="602"/>
      <c r="C189" s="551"/>
      <c r="D189" s="294"/>
      <c r="E189" s="443"/>
      <c r="F189" s="443"/>
      <c r="G189" s="313"/>
      <c r="H189" s="294"/>
      <c r="I189" s="294"/>
      <c r="J189" s="313"/>
      <c r="K189" s="313"/>
      <c r="L189" s="313"/>
      <c r="M189" s="313"/>
      <c r="N189" s="313"/>
      <c r="O189" s="313"/>
      <c r="P189" s="313"/>
    </row>
    <row r="190" spans="1:17">
      <c r="B190" s="315"/>
      <c r="C190" s="313"/>
      <c r="D190" s="313"/>
      <c r="E190" s="316"/>
      <c r="F190" s="316"/>
      <c r="G190" s="313"/>
      <c r="H190" s="313"/>
      <c r="I190" s="313"/>
      <c r="J190" s="313"/>
      <c r="K190" s="313"/>
      <c r="L190" s="313"/>
      <c r="M190" s="313"/>
      <c r="N190" s="313"/>
      <c r="O190" s="313"/>
      <c r="P190" s="313"/>
    </row>
    <row r="191" spans="1:17" s="390" customFormat="1">
      <c r="B191" s="600"/>
      <c r="C191" s="374"/>
      <c r="D191" s="374"/>
      <c r="E191" s="503"/>
      <c r="F191" s="503"/>
      <c r="G191" s="313"/>
      <c r="H191" s="374"/>
      <c r="I191" s="374"/>
      <c r="J191" s="313"/>
      <c r="K191" s="313"/>
      <c r="L191" s="313"/>
      <c r="M191" s="374"/>
      <c r="N191" s="374"/>
      <c r="O191" s="374"/>
      <c r="P191" s="374"/>
      <c r="Q191" s="635"/>
    </row>
    <row r="192" spans="1:17" s="390" customFormat="1">
      <c r="B192" s="600"/>
      <c r="C192" s="374"/>
      <c r="D192" s="374"/>
      <c r="E192" s="374"/>
      <c r="F192" s="374"/>
      <c r="G192" s="313"/>
      <c r="H192" s="374"/>
      <c r="I192" s="374"/>
      <c r="J192" s="313"/>
      <c r="K192" s="313"/>
      <c r="L192" s="313"/>
      <c r="M192" s="374"/>
      <c r="N192" s="374"/>
      <c r="O192" s="374"/>
      <c r="P192" s="374"/>
    </row>
    <row r="193" spans="2:16" s="390" customFormat="1">
      <c r="B193" s="600"/>
      <c r="C193" s="374"/>
      <c r="D193" s="374"/>
      <c r="E193" s="374"/>
      <c r="F193" s="374"/>
      <c r="G193" s="313"/>
      <c r="H193" s="374"/>
      <c r="I193" s="374"/>
      <c r="J193" s="313"/>
      <c r="K193" s="313"/>
      <c r="L193" s="313"/>
      <c r="M193" s="374"/>
      <c r="N193" s="374"/>
      <c r="O193" s="374"/>
      <c r="P193" s="374"/>
    </row>
    <row r="194" spans="2:16">
      <c r="B194" s="315"/>
      <c r="C194" s="313"/>
      <c r="D194" s="313"/>
      <c r="E194" s="313"/>
      <c r="F194" s="313"/>
      <c r="G194" s="313"/>
      <c r="H194" s="313"/>
      <c r="I194" s="313"/>
      <c r="J194" s="313"/>
      <c r="K194" s="313"/>
      <c r="L194" s="313"/>
      <c r="M194" s="313"/>
      <c r="N194" s="313"/>
      <c r="O194" s="313"/>
      <c r="P194" s="313"/>
    </row>
    <row r="195" spans="2:16">
      <c r="B195" s="315"/>
      <c r="C195" s="313"/>
      <c r="D195" s="313"/>
      <c r="E195" s="313"/>
      <c r="F195" s="313"/>
      <c r="G195" s="313"/>
      <c r="H195" s="313"/>
      <c r="I195" s="313"/>
      <c r="J195" s="313"/>
      <c r="K195" s="313"/>
      <c r="L195" s="313"/>
      <c r="M195" s="313"/>
      <c r="N195" s="313"/>
      <c r="O195" s="313"/>
      <c r="P195" s="313"/>
    </row>
    <row r="196" spans="2:16">
      <c r="B196" s="315"/>
      <c r="C196" s="313"/>
      <c r="D196" s="313"/>
      <c r="E196" s="313"/>
      <c r="F196" s="313"/>
      <c r="G196" s="313"/>
      <c r="H196" s="313"/>
      <c r="I196" s="313"/>
      <c r="J196" s="313"/>
      <c r="K196" s="313"/>
      <c r="L196" s="313"/>
      <c r="M196" s="313"/>
      <c r="N196" s="313"/>
      <c r="O196" s="313"/>
      <c r="P196" s="313"/>
    </row>
    <row r="197" spans="2:16">
      <c r="B197" s="374"/>
      <c r="C197" s="374"/>
      <c r="D197" s="374"/>
      <c r="E197" s="374"/>
      <c r="F197" s="374"/>
      <c r="G197" s="374"/>
      <c r="H197" s="374"/>
      <c r="I197" s="374"/>
      <c r="J197" s="374"/>
      <c r="K197" s="374"/>
      <c r="L197" s="374"/>
      <c r="M197" s="374"/>
      <c r="N197" s="374"/>
      <c r="O197" s="374"/>
      <c r="P197" s="374"/>
    </row>
    <row r="198" spans="2:16">
      <c r="B198" s="374"/>
      <c r="C198" s="374"/>
      <c r="D198" s="374"/>
      <c r="E198" s="374"/>
      <c r="F198" s="374"/>
      <c r="G198" s="374"/>
      <c r="H198" s="374"/>
      <c r="I198" s="374"/>
      <c r="J198" s="374"/>
      <c r="K198" s="374"/>
      <c r="L198" s="374"/>
      <c r="M198" s="374"/>
      <c r="N198" s="374"/>
      <c r="O198" s="374"/>
      <c r="P198" s="374"/>
    </row>
    <row r="199" spans="2:16">
      <c r="B199" s="374"/>
      <c r="C199" s="388"/>
      <c r="D199" s="374"/>
      <c r="E199" s="374"/>
      <c r="F199" s="374"/>
      <c r="G199" s="374"/>
      <c r="H199" s="374"/>
      <c r="I199" s="374"/>
      <c r="J199" s="374"/>
      <c r="K199" s="374"/>
      <c r="L199" s="374"/>
      <c r="M199" s="374"/>
      <c r="N199" s="374"/>
      <c r="O199" s="374"/>
      <c r="P199" s="374"/>
    </row>
    <row r="200" spans="2:16">
      <c r="B200" s="34"/>
      <c r="C200" s="363"/>
      <c r="D200" s="363"/>
      <c r="E200" s="363"/>
      <c r="F200" s="363"/>
      <c r="G200" s="363"/>
      <c r="H200" s="363"/>
      <c r="I200" s="363"/>
      <c r="J200" s="363"/>
      <c r="K200" s="363"/>
      <c r="L200" s="363"/>
      <c r="M200" s="363"/>
      <c r="N200" s="363"/>
      <c r="O200" s="363"/>
      <c r="P200" s="33"/>
    </row>
    <row r="201" spans="2:16">
      <c r="B201" s="34"/>
      <c r="C201" s="363"/>
      <c r="D201" s="363"/>
      <c r="E201" s="363"/>
      <c r="F201" s="363"/>
      <c r="G201" s="363"/>
      <c r="H201" s="363"/>
      <c r="I201" s="363"/>
      <c r="J201" s="363"/>
      <c r="K201" s="363"/>
      <c r="L201" s="363"/>
      <c r="M201" s="363"/>
      <c r="N201" s="363"/>
      <c r="O201" s="363"/>
      <c r="P201" s="36"/>
    </row>
    <row r="202" spans="2:16">
      <c r="B202" s="34"/>
      <c r="C202" s="363"/>
      <c r="D202" s="363"/>
      <c r="E202" s="363"/>
      <c r="F202" s="363"/>
      <c r="G202" s="363"/>
      <c r="H202" s="363"/>
      <c r="I202" s="363"/>
      <c r="J202" s="363"/>
      <c r="K202" s="363"/>
      <c r="L202" s="363"/>
      <c r="M202" s="363"/>
      <c r="N202" s="363"/>
      <c r="O202" s="363"/>
      <c r="P202" s="36"/>
    </row>
    <row r="203" spans="2:16">
      <c r="B203" s="34"/>
      <c r="C203" s="363"/>
      <c r="D203" s="363"/>
      <c r="E203" s="363"/>
      <c r="F203" s="363"/>
      <c r="G203" s="363"/>
      <c r="H203" s="363"/>
      <c r="I203" s="363"/>
      <c r="J203" s="363"/>
      <c r="K203" s="363"/>
      <c r="L203" s="363"/>
      <c r="M203" s="363"/>
      <c r="N203" s="363"/>
      <c r="O203" s="363"/>
      <c r="P203" s="36"/>
    </row>
    <row r="204" spans="2:16">
      <c r="B204" s="34"/>
      <c r="C204" s="363"/>
      <c r="D204" s="363"/>
      <c r="E204" s="363"/>
      <c r="F204" s="363"/>
      <c r="G204" s="363"/>
      <c r="H204" s="363"/>
      <c r="I204" s="363"/>
      <c r="J204" s="363"/>
      <c r="K204" s="363"/>
      <c r="L204" s="363"/>
      <c r="M204" s="363"/>
      <c r="N204" s="363"/>
      <c r="O204" s="363"/>
      <c r="P204" s="36"/>
    </row>
    <row r="205" spans="2:16">
      <c r="B205" s="34"/>
      <c r="C205" s="300"/>
      <c r="D205" s="300"/>
      <c r="E205" s="300"/>
      <c r="F205" s="300"/>
      <c r="G205" s="300"/>
      <c r="H205" s="300"/>
      <c r="I205" s="300"/>
      <c r="J205" s="300"/>
      <c r="K205" s="300"/>
      <c r="L205" s="300"/>
      <c r="M205" s="300"/>
      <c r="N205" s="300"/>
      <c r="O205" s="300"/>
      <c r="P205" s="63"/>
    </row>
    <row r="206" spans="2:16">
      <c r="B206" s="73"/>
      <c r="C206" s="19"/>
      <c r="D206" s="19"/>
      <c r="E206" s="19"/>
      <c r="F206" s="19"/>
      <c r="G206" s="19"/>
      <c r="H206" s="19"/>
      <c r="I206" s="19"/>
      <c r="J206" s="19" t="s">
        <v>38</v>
      </c>
      <c r="K206" s="19"/>
      <c r="L206" s="19"/>
      <c r="M206" s="19"/>
      <c r="N206" s="19"/>
      <c r="O206" s="19"/>
      <c r="P206" s="74"/>
    </row>
    <row r="210" spans="2:16" ht="15.75" thickBot="1"/>
    <row r="211" spans="2:16">
      <c r="B211" s="1180" t="s">
        <v>727</v>
      </c>
      <c r="C211" s="1180"/>
      <c r="D211" s="1180"/>
      <c r="E211" s="1180"/>
      <c r="F211" s="1180"/>
      <c r="G211" s="1180"/>
      <c r="H211" s="1180"/>
      <c r="I211" s="1180"/>
      <c r="J211" s="1180"/>
      <c r="K211" s="1180"/>
      <c r="L211" s="1180"/>
      <c r="M211" s="1180"/>
      <c r="N211" s="1180"/>
      <c r="O211" s="1180"/>
      <c r="P211" s="1181"/>
    </row>
    <row r="212" spans="2:16">
      <c r="B212" s="1182"/>
      <c r="C212" s="1182"/>
      <c r="D212" s="1182"/>
      <c r="E212" s="1182"/>
      <c r="F212" s="1182"/>
      <c r="G212" s="1182"/>
      <c r="H212" s="1182"/>
      <c r="I212" s="1182"/>
      <c r="J212" s="1182"/>
      <c r="K212" s="1182"/>
      <c r="L212" s="1182"/>
      <c r="M212" s="1182"/>
      <c r="N212" s="1182"/>
      <c r="O212" s="1182"/>
      <c r="P212" s="1183"/>
    </row>
    <row r="213" spans="2:16">
      <c r="B213" s="1184" t="s">
        <v>728</v>
      </c>
      <c r="C213" s="1184"/>
      <c r="D213" s="1184"/>
      <c r="E213" s="1184"/>
      <c r="F213" s="1184"/>
      <c r="G213" s="1184"/>
      <c r="H213" s="1184"/>
      <c r="I213" s="1184"/>
      <c r="J213" s="1184"/>
      <c r="K213" s="1184"/>
      <c r="L213" s="1184"/>
      <c r="M213" s="1184"/>
      <c r="N213" s="1184"/>
      <c r="O213" s="1184"/>
      <c r="P213" s="1185"/>
    </row>
    <row r="214" spans="2:16">
      <c r="B214" s="31" t="s">
        <v>199</v>
      </c>
      <c r="C214" s="32"/>
      <c r="D214" s="504" t="str">
        <f>'04-22-Master'!F5</f>
        <v>Burgeon IT Services Pvt.Ltd.</v>
      </c>
      <c r="E214" s="300"/>
      <c r="F214" s="33"/>
      <c r="G214" s="32"/>
      <c r="H214" s="32"/>
      <c r="I214" s="40" t="s">
        <v>145</v>
      </c>
      <c r="J214" s="75"/>
      <c r="K214" s="75"/>
      <c r="L214" s="75"/>
      <c r="M214" s="75"/>
      <c r="N214" s="75"/>
      <c r="O214" s="75"/>
      <c r="P214" s="369"/>
    </row>
    <row r="215" spans="2:16" ht="15.75">
      <c r="B215" s="34"/>
      <c r="C215" s="363" t="str">
        <f>'04-22-Master'!F6</f>
        <v>Siri Mansion LIGB 436 Dr.A S Rao Nagar,Hyderabad</v>
      </c>
      <c r="D215" s="363"/>
      <c r="E215" s="36"/>
      <c r="F215" s="76"/>
      <c r="G215" s="370"/>
      <c r="H215" s="300"/>
      <c r="I215" s="382" t="str">
        <f>'04-22-Master'!B21</f>
        <v>Gangadhar Yarabham</v>
      </c>
      <c r="J215" s="370"/>
      <c r="K215" s="370"/>
      <c r="L215" s="370"/>
      <c r="M215" s="370"/>
      <c r="N215" s="370"/>
      <c r="O215" s="370"/>
      <c r="P215" s="371"/>
    </row>
    <row r="216" spans="2:16">
      <c r="B216" s="37"/>
      <c r="C216" s="38"/>
      <c r="D216" s="38"/>
      <c r="E216" s="39"/>
      <c r="F216" s="77"/>
      <c r="G216" s="78"/>
      <c r="H216" s="78"/>
      <c r="I216" s="78"/>
      <c r="J216" s="78"/>
      <c r="K216" s="78"/>
      <c r="L216" s="78"/>
      <c r="M216" s="78"/>
      <c r="N216" s="78"/>
      <c r="O216" s="78"/>
      <c r="P216" s="372"/>
    </row>
    <row r="217" spans="2:16">
      <c r="B217" s="1186"/>
      <c r="C217" s="1186"/>
      <c r="D217" s="1186"/>
      <c r="E217" s="1186"/>
      <c r="F217" s="40"/>
      <c r="G217" s="32"/>
      <c r="H217" s="32"/>
      <c r="I217" s="32"/>
      <c r="J217" s="32"/>
      <c r="K217" s="32"/>
      <c r="L217" s="32"/>
      <c r="M217" s="32"/>
      <c r="N217" s="32"/>
      <c r="O217" s="32"/>
      <c r="P217" s="33"/>
    </row>
    <row r="218" spans="2:16">
      <c r="B218" s="1186"/>
      <c r="C218" s="1186"/>
      <c r="D218" s="1186"/>
      <c r="E218" s="1186"/>
      <c r="F218" s="300"/>
      <c r="G218" s="363"/>
      <c r="H218" s="152"/>
      <c r="I218" s="300" t="s">
        <v>147</v>
      </c>
      <c r="J218" s="373"/>
      <c r="K218" s="373"/>
      <c r="L218" s="363"/>
      <c r="M218" s="363"/>
      <c r="N218" s="363"/>
      <c r="O218" s="363"/>
      <c r="P218" s="36"/>
    </row>
    <row r="219" spans="2:16">
      <c r="B219" s="1186"/>
      <c r="C219" s="1186"/>
      <c r="D219" s="1186"/>
      <c r="E219" s="1186"/>
      <c r="F219" s="34"/>
      <c r="G219" s="363"/>
      <c r="H219" s="363"/>
      <c r="I219" s="363" t="str">
        <f>'04-22-Master'!E21</f>
        <v>Yarabham Savaraiah</v>
      </c>
      <c r="J219" s="363"/>
      <c r="K219" s="363"/>
      <c r="L219" s="363"/>
      <c r="M219" s="363"/>
      <c r="N219" s="363"/>
      <c r="O219" s="363"/>
      <c r="P219" s="36"/>
    </row>
    <row r="220" spans="2:16">
      <c r="B220" s="1186"/>
      <c r="C220" s="1186"/>
      <c r="D220" s="1186"/>
      <c r="E220" s="1186"/>
      <c r="F220" s="300"/>
      <c r="G220" s="38"/>
      <c r="H220" s="112"/>
      <c r="I220" s="300" t="s">
        <v>148</v>
      </c>
      <c r="J220" s="38"/>
      <c r="K220" s="38"/>
      <c r="L220" s="112">
        <f>'04-22-Master'!I21</f>
        <v>44431</v>
      </c>
      <c r="M220" s="38"/>
      <c r="N220" s="38"/>
      <c r="O220" s="38"/>
      <c r="P220" s="39"/>
    </row>
    <row r="221" spans="2:16">
      <c r="B221" s="1187">
        <f>I1</f>
        <v>0</v>
      </c>
      <c r="C221" s="1189" t="s">
        <v>431</v>
      </c>
      <c r="D221" s="1190"/>
      <c r="E221" s="1189" t="s">
        <v>432</v>
      </c>
      <c r="F221" s="1190"/>
      <c r="G221" s="1193" t="s">
        <v>433</v>
      </c>
      <c r="H221" s="1189" t="s">
        <v>434</v>
      </c>
      <c r="I221" s="1194"/>
      <c r="J221" s="1195" t="s">
        <v>435</v>
      </c>
      <c r="K221" s="1194"/>
      <c r="L221" s="1196"/>
      <c r="M221" s="1195" t="s">
        <v>436</v>
      </c>
      <c r="N221" s="1194"/>
      <c r="O221" s="1194"/>
      <c r="P221" s="1200" t="s">
        <v>437</v>
      </c>
    </row>
    <row r="222" spans="2:16" ht="15.75" thickBot="1">
      <c r="B222" s="1188"/>
      <c r="C222" s="1189"/>
      <c r="D222" s="1190"/>
      <c r="E222" s="1189"/>
      <c r="F222" s="1190"/>
      <c r="G222" s="1187"/>
      <c r="H222" s="1189"/>
      <c r="I222" s="1194"/>
      <c r="J222" s="1197"/>
      <c r="K222" s="1198"/>
      <c r="L222" s="1199"/>
      <c r="M222" s="1197"/>
      <c r="N222" s="1198"/>
      <c r="O222" s="1198"/>
      <c r="P222" s="1201"/>
    </row>
    <row r="223" spans="2:16">
      <c r="B223" s="352">
        <v>1</v>
      </c>
      <c r="C223" s="1191"/>
      <c r="D223" s="1192"/>
      <c r="E223" s="1191"/>
      <c r="F223" s="1192"/>
      <c r="G223" s="352">
        <v>6</v>
      </c>
      <c r="H223" s="1191"/>
      <c r="I223" s="1192"/>
      <c r="J223" s="311">
        <v>9</v>
      </c>
      <c r="K223" s="311"/>
      <c r="L223" s="311"/>
      <c r="M223" s="311">
        <v>9</v>
      </c>
      <c r="N223" s="311"/>
      <c r="O223" s="311"/>
      <c r="P223" s="312" t="s">
        <v>438</v>
      </c>
    </row>
    <row r="224" spans="2:16" ht="89.25">
      <c r="B224" s="313"/>
      <c r="C224" s="313" t="s">
        <v>439</v>
      </c>
      <c r="D224" s="313" t="s">
        <v>440</v>
      </c>
      <c r="E224" s="313" t="s">
        <v>441</v>
      </c>
      <c r="F224" s="313" t="s">
        <v>150</v>
      </c>
      <c r="G224" s="313"/>
      <c r="H224" s="313" t="s">
        <v>442</v>
      </c>
      <c r="I224" s="313" t="s">
        <v>443</v>
      </c>
      <c r="J224" s="313" t="s">
        <v>149</v>
      </c>
      <c r="K224" s="313" t="s">
        <v>444</v>
      </c>
      <c r="L224" s="313" t="s">
        <v>445</v>
      </c>
      <c r="M224" s="313" t="s">
        <v>446</v>
      </c>
      <c r="N224" s="313" t="s">
        <v>447</v>
      </c>
      <c r="O224" s="314" t="s">
        <v>448</v>
      </c>
      <c r="P224" s="314"/>
    </row>
    <row r="225" spans="2:17">
      <c r="B225" s="315"/>
      <c r="C225" s="313"/>
      <c r="D225" s="313"/>
      <c r="E225" s="316"/>
      <c r="F225" s="316"/>
      <c r="G225" s="313"/>
      <c r="H225" s="313"/>
      <c r="I225" s="313"/>
      <c r="J225" s="313"/>
      <c r="K225" s="313"/>
      <c r="L225" s="313"/>
      <c r="M225" s="313"/>
      <c r="N225" s="313"/>
      <c r="O225" s="313"/>
      <c r="P225" s="313"/>
    </row>
    <row r="226" spans="2:17">
      <c r="B226" s="375" t="s">
        <v>1030</v>
      </c>
      <c r="C226" s="313">
        <v>1.5</v>
      </c>
      <c r="D226" s="313"/>
      <c r="E226" s="316"/>
      <c r="F226" s="316"/>
      <c r="G226" s="313">
        <v>7.5</v>
      </c>
      <c r="H226" s="313"/>
      <c r="I226" s="313"/>
      <c r="J226" s="313" t="s">
        <v>152</v>
      </c>
      <c r="K226" s="313" t="s">
        <v>152</v>
      </c>
      <c r="L226" s="313" t="s">
        <v>152</v>
      </c>
      <c r="M226" s="313"/>
      <c r="N226" s="313"/>
      <c r="O226" s="313"/>
      <c r="P226" s="313"/>
    </row>
    <row r="227" spans="2:17" s="390" customFormat="1">
      <c r="B227" s="315" t="s">
        <v>1053</v>
      </c>
      <c r="C227" s="313">
        <v>1.5</v>
      </c>
      <c r="D227" s="313">
        <v>0</v>
      </c>
      <c r="E227" s="313">
        <v>0</v>
      </c>
      <c r="F227" s="313">
        <v>0</v>
      </c>
      <c r="G227" s="313">
        <f>G226+C227-D227</f>
        <v>9</v>
      </c>
      <c r="H227" s="313"/>
      <c r="I227" s="313"/>
      <c r="J227" s="313" t="s">
        <v>152</v>
      </c>
      <c r="K227" s="313" t="s">
        <v>152</v>
      </c>
      <c r="L227" s="313" t="s">
        <v>152</v>
      </c>
      <c r="M227" s="313"/>
      <c r="N227" s="313"/>
      <c r="O227" s="313"/>
      <c r="P227" s="313"/>
    </row>
    <row r="228" spans="2:17" s="855" customFormat="1">
      <c r="B228" s="315" t="s">
        <v>1100</v>
      </c>
      <c r="C228" s="313">
        <v>1.5</v>
      </c>
      <c r="D228" s="313">
        <v>0</v>
      </c>
      <c r="E228" s="313">
        <v>0</v>
      </c>
      <c r="F228" s="313">
        <v>0</v>
      </c>
      <c r="G228" s="313">
        <f>G227+C228-D228</f>
        <v>10.5</v>
      </c>
      <c r="H228" s="313"/>
      <c r="I228" s="313"/>
      <c r="J228" s="313" t="s">
        <v>152</v>
      </c>
      <c r="K228" s="313" t="s">
        <v>152</v>
      </c>
      <c r="L228" s="313" t="s">
        <v>152</v>
      </c>
      <c r="M228" s="313"/>
      <c r="N228" s="313"/>
      <c r="O228" s="313"/>
      <c r="P228" s="313"/>
    </row>
    <row r="229" spans="2:17" s="855" customFormat="1">
      <c r="B229" s="375" t="s">
        <v>1139</v>
      </c>
      <c r="C229" s="313">
        <v>1.5</v>
      </c>
      <c r="D229" s="313">
        <v>0</v>
      </c>
      <c r="E229" s="313">
        <v>0</v>
      </c>
      <c r="F229" s="313">
        <v>0</v>
      </c>
      <c r="G229" s="313">
        <f>G228+C229-D229</f>
        <v>12</v>
      </c>
      <c r="H229" s="313"/>
      <c r="I229" s="313"/>
      <c r="J229" s="313" t="s">
        <v>152</v>
      </c>
      <c r="K229" s="313" t="s">
        <v>152</v>
      </c>
      <c r="L229" s="313" t="s">
        <v>152</v>
      </c>
      <c r="M229" s="313"/>
      <c r="N229" s="313"/>
      <c r="O229" s="313"/>
      <c r="P229" s="313"/>
      <c r="Q229" s="855">
        <v>6</v>
      </c>
    </row>
    <row r="230" spans="2:17">
      <c r="B230" s="601"/>
      <c r="C230" s="294"/>
      <c r="D230" s="294"/>
      <c r="E230" s="294"/>
      <c r="F230" s="294"/>
      <c r="G230" s="313"/>
      <c r="H230" s="294"/>
      <c r="I230" s="294"/>
      <c r="J230" s="313"/>
      <c r="K230" s="313"/>
      <c r="L230" s="313"/>
      <c r="M230" s="313"/>
      <c r="N230" s="313"/>
      <c r="O230" s="313"/>
      <c r="P230" s="313"/>
    </row>
    <row r="231" spans="2:17">
      <c r="B231" s="315"/>
      <c r="C231" s="313"/>
      <c r="D231" s="294"/>
      <c r="E231" s="294"/>
      <c r="F231" s="294"/>
      <c r="G231" s="313"/>
      <c r="H231" s="313"/>
      <c r="I231" s="313"/>
      <c r="J231" s="313"/>
      <c r="K231" s="313"/>
      <c r="L231" s="313"/>
      <c r="M231" s="313"/>
      <c r="N231" s="313"/>
      <c r="O231" s="313"/>
      <c r="P231" s="313"/>
    </row>
    <row r="232" spans="2:17">
      <c r="B232" s="601"/>
      <c r="C232" s="294"/>
      <c r="D232" s="294"/>
      <c r="E232" s="294"/>
      <c r="F232" s="294"/>
      <c r="G232" s="313"/>
      <c r="H232" s="294"/>
      <c r="I232" s="294"/>
      <c r="J232" s="294"/>
      <c r="K232" s="294"/>
      <c r="L232" s="294"/>
      <c r="M232" s="294"/>
      <c r="N232" s="294"/>
      <c r="O232" s="294"/>
      <c r="P232" s="294"/>
    </row>
    <row r="233" spans="2:17" s="390" customFormat="1">
      <c r="B233" s="600"/>
      <c r="C233" s="374"/>
      <c r="D233" s="374"/>
      <c r="E233" s="374"/>
      <c r="F233" s="374"/>
      <c r="G233" s="313"/>
      <c r="H233" s="374"/>
      <c r="I233" s="374"/>
      <c r="J233" s="313"/>
      <c r="K233" s="313"/>
      <c r="L233" s="313"/>
      <c r="M233" s="374"/>
      <c r="N233" s="374"/>
      <c r="O233" s="374"/>
      <c r="P233" s="374"/>
    </row>
    <row r="234" spans="2:17" s="390" customFormat="1">
      <c r="B234" s="600"/>
      <c r="C234" s="374"/>
      <c r="D234" s="374"/>
      <c r="E234" s="374"/>
      <c r="F234" s="374"/>
      <c r="G234" s="313"/>
      <c r="H234" s="374"/>
      <c r="I234" s="374"/>
      <c r="J234" s="313"/>
      <c r="K234" s="313"/>
      <c r="L234" s="313"/>
      <c r="M234" s="374"/>
      <c r="N234" s="374"/>
      <c r="O234" s="374"/>
      <c r="P234" s="374"/>
    </row>
    <row r="235" spans="2:17">
      <c r="B235" s="315"/>
      <c r="C235" s="313"/>
      <c r="D235" s="313"/>
      <c r="E235" s="313"/>
      <c r="F235" s="313"/>
      <c r="G235" s="313"/>
      <c r="H235" s="313"/>
      <c r="I235" s="313"/>
      <c r="J235" s="313"/>
      <c r="K235" s="313"/>
      <c r="L235" s="313"/>
      <c r="M235" s="313"/>
      <c r="N235" s="313"/>
      <c r="O235" s="313"/>
      <c r="P235" s="313"/>
    </row>
    <row r="236" spans="2:17">
      <c r="B236" s="315"/>
      <c r="C236" s="313"/>
      <c r="D236" s="313"/>
      <c r="E236" s="313"/>
      <c r="F236" s="313"/>
      <c r="G236" s="313"/>
      <c r="H236" s="313"/>
      <c r="I236" s="313"/>
      <c r="J236" s="313"/>
      <c r="K236" s="313"/>
      <c r="L236" s="313"/>
      <c r="M236" s="313"/>
      <c r="N236" s="313"/>
      <c r="O236" s="313"/>
      <c r="P236" s="313"/>
    </row>
    <row r="237" spans="2:17">
      <c r="B237" s="315"/>
      <c r="C237" s="313"/>
      <c r="D237" s="313"/>
      <c r="E237" s="313"/>
      <c r="F237" s="313"/>
      <c r="G237" s="313"/>
      <c r="H237" s="313"/>
      <c r="I237" s="313"/>
      <c r="J237" s="313"/>
      <c r="K237" s="313"/>
      <c r="L237" s="313"/>
      <c r="M237" s="313"/>
      <c r="N237" s="313"/>
      <c r="O237" s="313"/>
      <c r="P237" s="313"/>
    </row>
    <row r="238" spans="2:17">
      <c r="B238" s="374"/>
      <c r="C238" s="374"/>
      <c r="D238" s="374"/>
      <c r="E238" s="374"/>
      <c r="F238" s="374"/>
      <c r="G238" s="374"/>
      <c r="H238" s="374"/>
      <c r="I238" s="374"/>
      <c r="J238" s="374"/>
      <c r="K238" s="374"/>
      <c r="L238" s="374"/>
      <c r="M238" s="374"/>
      <c r="N238" s="374"/>
      <c r="O238" s="374"/>
      <c r="P238" s="374"/>
    </row>
    <row r="239" spans="2:17">
      <c r="B239" s="374"/>
      <c r="C239" s="374"/>
      <c r="D239" s="374"/>
      <c r="E239" s="374"/>
      <c r="F239" s="374"/>
      <c r="G239" s="374"/>
      <c r="H239" s="374"/>
      <c r="I239" s="374"/>
      <c r="J239" s="374"/>
      <c r="K239" s="374"/>
      <c r="L239" s="374"/>
      <c r="M239" s="374"/>
      <c r="N239" s="374"/>
      <c r="O239" s="374"/>
      <c r="P239" s="374"/>
    </row>
    <row r="240" spans="2:17">
      <c r="B240" s="374"/>
      <c r="C240" s="388"/>
      <c r="D240" s="374"/>
      <c r="E240" s="374"/>
      <c r="F240" s="374"/>
      <c r="G240" s="374"/>
      <c r="H240" s="374"/>
      <c r="I240" s="374"/>
      <c r="J240" s="374"/>
      <c r="K240" s="374"/>
      <c r="L240" s="374"/>
      <c r="M240" s="374"/>
      <c r="N240" s="374"/>
      <c r="O240" s="374"/>
      <c r="P240" s="374"/>
    </row>
    <row r="241" spans="1:16">
      <c r="B241" s="34"/>
      <c r="C241" s="363"/>
      <c r="D241" s="363"/>
      <c r="E241" s="363"/>
      <c r="F241" s="363"/>
      <c r="G241" s="363"/>
      <c r="H241" s="363"/>
      <c r="I241" s="363"/>
      <c r="J241" s="363"/>
      <c r="K241" s="363"/>
      <c r="L241" s="363"/>
      <c r="M241" s="363"/>
      <c r="N241" s="363"/>
      <c r="O241" s="363"/>
      <c r="P241" s="33"/>
    </row>
    <row r="242" spans="1:16">
      <c r="B242" s="34"/>
      <c r="C242" s="363"/>
      <c r="D242" s="363"/>
      <c r="E242" s="363"/>
      <c r="F242" s="363"/>
      <c r="G242" s="363"/>
      <c r="H242" s="363"/>
      <c r="I242" s="363"/>
      <c r="J242" s="363"/>
      <c r="K242" s="363"/>
      <c r="L242" s="363"/>
      <c r="M242" s="363"/>
      <c r="N242" s="363"/>
      <c r="O242" s="363"/>
      <c r="P242" s="36"/>
    </row>
    <row r="243" spans="1:16">
      <c r="B243" s="34"/>
      <c r="C243" s="363"/>
      <c r="D243" s="363"/>
      <c r="E243" s="363"/>
      <c r="F243" s="363"/>
      <c r="G243" s="363"/>
      <c r="H243" s="363"/>
      <c r="I243" s="363"/>
      <c r="J243" s="363"/>
      <c r="K243" s="363"/>
      <c r="L243" s="363"/>
      <c r="M243" s="363"/>
      <c r="N243" s="363"/>
      <c r="O243" s="363"/>
      <c r="P243" s="36"/>
    </row>
    <row r="244" spans="1:16">
      <c r="B244" s="34"/>
      <c r="C244" s="363"/>
      <c r="D244" s="363"/>
      <c r="E244" s="363"/>
      <c r="F244" s="363"/>
      <c r="G244" s="363"/>
      <c r="H244" s="363"/>
      <c r="I244" s="363"/>
      <c r="J244" s="363"/>
      <c r="K244" s="363"/>
      <c r="L244" s="363"/>
      <c r="M244" s="363"/>
      <c r="N244" s="363"/>
      <c r="O244" s="363"/>
      <c r="P244" s="36"/>
    </row>
    <row r="245" spans="1:16">
      <c r="B245" s="34"/>
      <c r="C245" s="363"/>
      <c r="D245" s="363"/>
      <c r="E245" s="363"/>
      <c r="F245" s="363"/>
      <c r="G245" s="363"/>
      <c r="H245" s="363"/>
      <c r="I245" s="363"/>
      <c r="J245" s="363"/>
      <c r="K245" s="363"/>
      <c r="L245" s="363"/>
      <c r="M245" s="363"/>
      <c r="N245" s="363"/>
      <c r="O245" s="363"/>
      <c r="P245" s="36"/>
    </row>
    <row r="246" spans="1:16">
      <c r="B246" s="34"/>
      <c r="C246" s="300"/>
      <c r="D246" s="300"/>
      <c r="E246" s="300"/>
      <c r="F246" s="300"/>
      <c r="G246" s="300"/>
      <c r="H246" s="300"/>
      <c r="I246" s="300"/>
      <c r="J246" s="300"/>
      <c r="K246" s="300"/>
      <c r="L246" s="300"/>
      <c r="M246" s="300"/>
      <c r="N246" s="300"/>
      <c r="O246" s="300"/>
      <c r="P246" s="63"/>
    </row>
    <row r="247" spans="1:16">
      <c r="B247" s="73"/>
      <c r="C247" s="19"/>
      <c r="D247" s="19"/>
      <c r="E247" s="19"/>
      <c r="F247" s="19"/>
      <c r="G247" s="19"/>
      <c r="H247" s="19"/>
      <c r="I247" s="19"/>
      <c r="J247" s="19" t="s">
        <v>38</v>
      </c>
      <c r="K247" s="19"/>
      <c r="L247" s="19"/>
      <c r="M247" s="19"/>
      <c r="N247" s="19"/>
      <c r="O247" s="19"/>
      <c r="P247" s="74"/>
    </row>
    <row r="248" spans="1:16" s="11" customFormat="1"/>
    <row r="249" spans="1:16" s="11" customFormat="1"/>
    <row r="250" spans="1:16" s="11" customFormat="1"/>
    <row r="251" spans="1:16" s="11" customFormat="1" ht="15.75" thickBot="1"/>
    <row r="252" spans="1:16">
      <c r="A252" s="390"/>
      <c r="B252" s="1180" t="s">
        <v>727</v>
      </c>
      <c r="C252" s="1180"/>
      <c r="D252" s="1180"/>
      <c r="E252" s="1180"/>
      <c r="F252" s="1180"/>
      <c r="G252" s="1180"/>
      <c r="H252" s="1180"/>
      <c r="I252" s="1180"/>
      <c r="J252" s="1180"/>
      <c r="K252" s="1180"/>
      <c r="L252" s="1180"/>
      <c r="M252" s="1180"/>
      <c r="N252" s="1180"/>
      <c r="O252" s="1180"/>
      <c r="P252" s="1181"/>
    </row>
    <row r="253" spans="1:16">
      <c r="A253" s="390"/>
      <c r="B253" s="1182"/>
      <c r="C253" s="1182"/>
      <c r="D253" s="1182"/>
      <c r="E253" s="1182"/>
      <c r="F253" s="1182"/>
      <c r="G253" s="1182"/>
      <c r="H253" s="1182"/>
      <c r="I253" s="1182"/>
      <c r="J253" s="1182"/>
      <c r="K253" s="1182"/>
      <c r="L253" s="1182"/>
      <c r="M253" s="1182"/>
      <c r="N253" s="1182"/>
      <c r="O253" s="1182"/>
      <c r="P253" s="1183"/>
    </row>
    <row r="254" spans="1:16">
      <c r="A254" s="390"/>
      <c r="B254" s="1184" t="s">
        <v>728</v>
      </c>
      <c r="C254" s="1184"/>
      <c r="D254" s="1184"/>
      <c r="E254" s="1184"/>
      <c r="F254" s="1184"/>
      <c r="G254" s="1184"/>
      <c r="H254" s="1184"/>
      <c r="I254" s="1184"/>
      <c r="J254" s="1184"/>
      <c r="K254" s="1184"/>
      <c r="L254" s="1184"/>
      <c r="M254" s="1184"/>
      <c r="N254" s="1184"/>
      <c r="O254" s="1184"/>
      <c r="P254" s="1185"/>
    </row>
    <row r="255" spans="1:16">
      <c r="A255" s="390"/>
      <c r="B255" s="31" t="s">
        <v>199</v>
      </c>
      <c r="C255" s="32"/>
      <c r="D255" s="609" t="s">
        <v>425</v>
      </c>
      <c r="E255" s="300"/>
      <c r="F255" s="33"/>
      <c r="G255" s="32"/>
      <c r="H255" s="32"/>
      <c r="I255" s="40" t="s">
        <v>145</v>
      </c>
      <c r="J255" s="75"/>
      <c r="K255" s="75"/>
      <c r="L255" s="75"/>
      <c r="M255" s="75"/>
      <c r="N255" s="75"/>
      <c r="O255" s="75"/>
      <c r="P255" s="369"/>
    </row>
    <row r="256" spans="1:16" ht="15.75">
      <c r="A256" s="390"/>
      <c r="B256" s="34"/>
      <c r="C256" s="363" t="s">
        <v>426</v>
      </c>
      <c r="D256" s="363"/>
      <c r="E256" s="36"/>
      <c r="F256" s="76"/>
      <c r="G256" s="370"/>
      <c r="H256" s="300"/>
      <c r="I256" s="382" t="str">
        <f>'04-22-Master'!B22</f>
        <v xml:space="preserve">Nikhila Kaveri </v>
      </c>
      <c r="J256" s="370"/>
      <c r="K256" s="370"/>
      <c r="L256" s="370"/>
      <c r="M256" s="370"/>
      <c r="N256" s="370"/>
      <c r="O256" s="370"/>
      <c r="P256" s="371"/>
    </row>
    <row r="257" spans="1:17">
      <c r="A257" s="390"/>
      <c r="B257" s="37"/>
      <c r="C257" s="38"/>
      <c r="D257" s="38"/>
      <c r="E257" s="39"/>
      <c r="F257" s="77"/>
      <c r="G257" s="78"/>
      <c r="H257" s="78"/>
      <c r="I257" s="78"/>
      <c r="J257" s="78"/>
      <c r="K257" s="78"/>
      <c r="L257" s="78"/>
      <c r="M257" s="78"/>
      <c r="N257" s="78"/>
      <c r="O257" s="78"/>
      <c r="P257" s="372"/>
    </row>
    <row r="258" spans="1:17">
      <c r="A258" s="390"/>
      <c r="B258" s="1186"/>
      <c r="C258" s="1186"/>
      <c r="D258" s="1186"/>
      <c r="E258" s="1186"/>
      <c r="F258" s="40"/>
      <c r="G258" s="32"/>
      <c r="H258" s="32"/>
      <c r="I258" s="32"/>
      <c r="J258" s="32"/>
      <c r="K258" s="32"/>
      <c r="L258" s="32"/>
      <c r="M258" s="32"/>
      <c r="N258" s="32"/>
      <c r="O258" s="32"/>
      <c r="P258" s="33"/>
    </row>
    <row r="259" spans="1:17">
      <c r="A259" s="390"/>
      <c r="B259" s="1186"/>
      <c r="C259" s="1186"/>
      <c r="D259" s="1186"/>
      <c r="E259" s="1186"/>
      <c r="F259" s="300"/>
      <c r="G259" s="363"/>
      <c r="H259" s="152"/>
      <c r="I259" s="300" t="s">
        <v>147</v>
      </c>
      <c r="J259" s="373"/>
      <c r="K259" s="373"/>
      <c r="L259" s="363"/>
      <c r="M259" s="363"/>
      <c r="N259" s="363"/>
      <c r="O259" s="363"/>
      <c r="P259" s="36"/>
    </row>
    <row r="260" spans="1:17">
      <c r="A260" s="390"/>
      <c r="B260" s="1186"/>
      <c r="C260" s="1186"/>
      <c r="D260" s="1186"/>
      <c r="E260" s="1186"/>
      <c r="F260" s="34"/>
      <c r="G260" s="363"/>
      <c r="H260" s="363"/>
      <c r="I260" s="363">
        <f>'04-22-Master'!E170</f>
        <v>0</v>
      </c>
      <c r="J260" s="363"/>
      <c r="K260" s="363"/>
      <c r="L260" s="363"/>
      <c r="M260" s="363"/>
      <c r="N260" s="363"/>
      <c r="O260" s="363"/>
      <c r="P260" s="36"/>
    </row>
    <row r="261" spans="1:17">
      <c r="A261" s="390"/>
      <c r="B261" s="1186"/>
      <c r="C261" s="1186"/>
      <c r="D261" s="1186"/>
      <c r="E261" s="1186"/>
      <c r="F261" s="300"/>
      <c r="G261" s="38"/>
      <c r="H261" s="112"/>
      <c r="I261" s="300" t="s">
        <v>148</v>
      </c>
      <c r="J261" s="38"/>
      <c r="K261" s="38"/>
      <c r="L261" s="112" t="str">
        <f>'HYD SEZ-APRIL -22WM Reg'!I88</f>
        <v>29/11/2021</v>
      </c>
      <c r="M261" s="38"/>
      <c r="N261" s="38"/>
      <c r="O261" s="38"/>
      <c r="P261" s="39"/>
    </row>
    <row r="262" spans="1:17">
      <c r="A262" s="390"/>
      <c r="B262" s="1187" t="e">
        <f>#REF!</f>
        <v>#REF!</v>
      </c>
      <c r="C262" s="1189" t="s">
        <v>431</v>
      </c>
      <c r="D262" s="1190"/>
      <c r="E262" s="1189" t="s">
        <v>432</v>
      </c>
      <c r="F262" s="1190"/>
      <c r="G262" s="1193" t="s">
        <v>433</v>
      </c>
      <c r="H262" s="1189" t="s">
        <v>434</v>
      </c>
      <c r="I262" s="1194"/>
      <c r="J262" s="1195" t="s">
        <v>435</v>
      </c>
      <c r="K262" s="1194"/>
      <c r="L262" s="1196"/>
      <c r="M262" s="1195" t="s">
        <v>436</v>
      </c>
      <c r="N262" s="1194"/>
      <c r="O262" s="1194"/>
      <c r="P262" s="1200" t="s">
        <v>437</v>
      </c>
    </row>
    <row r="263" spans="1:17" ht="15.75" thickBot="1">
      <c r="A263" s="390"/>
      <c r="B263" s="1188"/>
      <c r="C263" s="1189"/>
      <c r="D263" s="1190"/>
      <c r="E263" s="1189"/>
      <c r="F263" s="1190"/>
      <c r="G263" s="1187"/>
      <c r="H263" s="1189"/>
      <c r="I263" s="1194"/>
      <c r="J263" s="1197"/>
      <c r="K263" s="1198"/>
      <c r="L263" s="1199"/>
      <c r="M263" s="1197"/>
      <c r="N263" s="1198"/>
      <c r="O263" s="1198"/>
      <c r="P263" s="1201"/>
    </row>
    <row r="264" spans="1:17">
      <c r="A264" s="390"/>
      <c r="B264" s="352">
        <v>1</v>
      </c>
      <c r="C264" s="1191"/>
      <c r="D264" s="1192"/>
      <c r="E264" s="1191"/>
      <c r="F264" s="1192"/>
      <c r="G264" s="352">
        <v>6</v>
      </c>
      <c r="H264" s="1191"/>
      <c r="I264" s="1192"/>
      <c r="J264" s="311">
        <v>9</v>
      </c>
      <c r="K264" s="311"/>
      <c r="L264" s="311"/>
      <c r="M264" s="311">
        <v>9</v>
      </c>
      <c r="N264" s="311"/>
      <c r="O264" s="311"/>
      <c r="P264" s="312" t="s">
        <v>438</v>
      </c>
    </row>
    <row r="265" spans="1:17" ht="89.25">
      <c r="A265" s="390"/>
      <c r="B265" s="313"/>
      <c r="C265" s="313" t="s">
        <v>439</v>
      </c>
      <c r="D265" s="313" t="s">
        <v>440</v>
      </c>
      <c r="E265" s="313" t="s">
        <v>441</v>
      </c>
      <c r="F265" s="313" t="s">
        <v>150</v>
      </c>
      <c r="G265" s="313"/>
      <c r="H265" s="313" t="s">
        <v>442</v>
      </c>
      <c r="I265" s="313" t="s">
        <v>443</v>
      </c>
      <c r="J265" s="313" t="s">
        <v>149</v>
      </c>
      <c r="K265" s="313" t="s">
        <v>444</v>
      </c>
      <c r="L265" s="313" t="s">
        <v>445</v>
      </c>
      <c r="M265" s="313" t="s">
        <v>446</v>
      </c>
      <c r="N265" s="313" t="s">
        <v>447</v>
      </c>
      <c r="O265" s="314" t="s">
        <v>448</v>
      </c>
      <c r="P265" s="314"/>
    </row>
    <row r="266" spans="1:17">
      <c r="A266" s="390"/>
      <c r="B266" s="315"/>
      <c r="C266" s="313"/>
      <c r="D266" s="313"/>
      <c r="E266" s="316"/>
      <c r="F266" s="316"/>
      <c r="G266" s="313"/>
      <c r="H266" s="313"/>
      <c r="I266" s="313"/>
      <c r="J266" s="313"/>
      <c r="K266" s="313"/>
      <c r="L266" s="313"/>
      <c r="M266" s="313"/>
      <c r="N266" s="313"/>
      <c r="O266" s="313"/>
      <c r="P266" s="313"/>
    </row>
    <row r="267" spans="1:17" s="390" customFormat="1">
      <c r="B267" s="600" t="s">
        <v>1030</v>
      </c>
      <c r="C267" s="374">
        <v>1.5</v>
      </c>
      <c r="D267" s="374"/>
      <c r="E267" s="503"/>
      <c r="F267" s="503"/>
      <c r="G267" s="313">
        <v>2</v>
      </c>
      <c r="H267" s="374"/>
      <c r="I267" s="374"/>
      <c r="J267" s="313" t="s">
        <v>152</v>
      </c>
      <c r="K267" s="313" t="s">
        <v>152</v>
      </c>
      <c r="L267" s="313" t="s">
        <v>152</v>
      </c>
      <c r="M267" s="374"/>
      <c r="N267" s="374"/>
      <c r="O267" s="374"/>
      <c r="P267" s="374"/>
    </row>
    <row r="268" spans="1:17" s="390" customFormat="1">
      <c r="B268" s="315" t="s">
        <v>1053</v>
      </c>
      <c r="C268" s="313">
        <v>1.5</v>
      </c>
      <c r="D268" s="313">
        <v>0</v>
      </c>
      <c r="E268" s="313">
        <v>0</v>
      </c>
      <c r="F268" s="313">
        <v>0</v>
      </c>
      <c r="G268" s="313">
        <f>G267+C268-D268</f>
        <v>3.5</v>
      </c>
      <c r="H268" s="313"/>
      <c r="I268" s="313"/>
      <c r="J268" s="313" t="s">
        <v>152</v>
      </c>
      <c r="K268" s="313" t="s">
        <v>152</v>
      </c>
      <c r="L268" s="313" t="s">
        <v>152</v>
      </c>
      <c r="M268" s="313"/>
      <c r="N268" s="313"/>
      <c r="O268" s="313"/>
      <c r="P268" s="313"/>
    </row>
    <row r="269" spans="1:17" s="855" customFormat="1">
      <c r="B269" s="315" t="s">
        <v>1100</v>
      </c>
      <c r="C269" s="313">
        <v>1.5</v>
      </c>
      <c r="D269" s="313">
        <v>1</v>
      </c>
      <c r="E269" s="316">
        <v>44634</v>
      </c>
      <c r="F269" s="316">
        <v>44634</v>
      </c>
      <c r="G269" s="313">
        <f>G268+C269-D269</f>
        <v>4</v>
      </c>
      <c r="H269" s="313"/>
      <c r="I269" s="313"/>
      <c r="J269" s="313" t="s">
        <v>152</v>
      </c>
      <c r="K269" s="313" t="s">
        <v>152</v>
      </c>
      <c r="L269" s="313" t="s">
        <v>152</v>
      </c>
      <c r="M269" s="313"/>
      <c r="N269" s="313"/>
      <c r="O269" s="313"/>
      <c r="P269" s="313"/>
    </row>
    <row r="270" spans="1:17" s="855" customFormat="1">
      <c r="B270" s="375" t="s">
        <v>1139</v>
      </c>
      <c r="C270" s="313">
        <v>1.5</v>
      </c>
      <c r="D270" s="313">
        <v>0</v>
      </c>
      <c r="E270" s="313">
        <v>0</v>
      </c>
      <c r="F270" s="313">
        <v>0</v>
      </c>
      <c r="G270" s="313">
        <f>G269+C270-D270</f>
        <v>5.5</v>
      </c>
      <c r="H270" s="313"/>
      <c r="I270" s="313"/>
      <c r="J270" s="313" t="s">
        <v>152</v>
      </c>
      <c r="K270" s="313" t="s">
        <v>152</v>
      </c>
      <c r="L270" s="313" t="s">
        <v>152</v>
      </c>
      <c r="M270" s="313"/>
      <c r="N270" s="313"/>
      <c r="O270" s="313"/>
      <c r="P270" s="313"/>
      <c r="Q270" s="855">
        <v>7</v>
      </c>
    </row>
    <row r="271" spans="1:17">
      <c r="A271" s="390"/>
      <c r="B271" s="601"/>
      <c r="C271" s="294"/>
      <c r="D271" s="294"/>
      <c r="E271" s="294"/>
      <c r="F271" s="294"/>
      <c r="G271" s="313"/>
      <c r="H271" s="294"/>
      <c r="I271" s="294"/>
      <c r="J271" s="313"/>
      <c r="K271" s="313"/>
      <c r="L271" s="313"/>
      <c r="M271" s="313"/>
      <c r="N271" s="313"/>
      <c r="O271" s="313"/>
      <c r="P271" s="313"/>
    </row>
    <row r="272" spans="1:17">
      <c r="A272" s="390"/>
      <c r="B272" s="315"/>
      <c r="C272" s="307"/>
      <c r="D272" s="313"/>
      <c r="E272" s="313"/>
      <c r="F272" s="313"/>
      <c r="G272" s="313"/>
      <c r="H272" s="313"/>
      <c r="I272" s="313"/>
      <c r="J272" s="313"/>
      <c r="K272" s="313"/>
      <c r="L272" s="313"/>
      <c r="M272" s="313"/>
      <c r="N272" s="313"/>
      <c r="O272" s="313"/>
      <c r="P272" s="313"/>
    </row>
    <row r="273" spans="1:16">
      <c r="A273" s="390"/>
      <c r="B273" s="315"/>
      <c r="C273" s="313"/>
      <c r="D273" s="313"/>
      <c r="E273" s="313"/>
      <c r="F273" s="313"/>
      <c r="G273" s="313"/>
      <c r="H273" s="313"/>
      <c r="I273" s="313"/>
      <c r="J273" s="313"/>
      <c r="K273" s="313"/>
      <c r="L273" s="313"/>
      <c r="M273" s="313"/>
      <c r="N273" s="313"/>
      <c r="O273" s="313"/>
      <c r="P273" s="313"/>
    </row>
    <row r="274" spans="1:16">
      <c r="A274" s="390"/>
      <c r="B274" s="315"/>
      <c r="C274" s="313"/>
      <c r="D274" s="313"/>
      <c r="E274" s="313"/>
      <c r="F274" s="313"/>
      <c r="G274" s="313"/>
      <c r="H274" s="313"/>
      <c r="I274" s="313"/>
      <c r="J274" s="313"/>
      <c r="K274" s="313"/>
      <c r="L274" s="313"/>
      <c r="M274" s="313"/>
      <c r="N274" s="313"/>
      <c r="O274" s="313"/>
      <c r="P274" s="313"/>
    </row>
    <row r="275" spans="1:16">
      <c r="A275" s="390"/>
      <c r="B275" s="315"/>
      <c r="C275" s="313"/>
      <c r="D275" s="313"/>
      <c r="E275" s="313"/>
      <c r="F275" s="313"/>
      <c r="G275" s="313"/>
      <c r="H275" s="313"/>
      <c r="I275" s="313"/>
      <c r="J275" s="313"/>
      <c r="K275" s="313"/>
      <c r="L275" s="313"/>
      <c r="M275" s="313"/>
      <c r="N275" s="313"/>
      <c r="O275" s="313"/>
      <c r="P275" s="313"/>
    </row>
    <row r="276" spans="1:16">
      <c r="A276" s="390"/>
      <c r="B276" s="315"/>
      <c r="C276" s="313"/>
      <c r="D276" s="313"/>
      <c r="E276" s="313"/>
      <c r="F276" s="313"/>
      <c r="G276" s="313"/>
      <c r="H276" s="313"/>
      <c r="I276" s="313"/>
      <c r="J276" s="313"/>
      <c r="K276" s="313"/>
      <c r="L276" s="313"/>
      <c r="M276" s="313"/>
      <c r="N276" s="313"/>
      <c r="O276" s="313"/>
      <c r="P276" s="313"/>
    </row>
    <row r="277" spans="1:16">
      <c r="A277" s="390"/>
      <c r="B277" s="315"/>
      <c r="C277" s="313"/>
      <c r="D277" s="313"/>
      <c r="E277" s="313"/>
      <c r="F277" s="313"/>
      <c r="G277" s="313"/>
      <c r="H277" s="313"/>
      <c r="I277" s="313"/>
      <c r="J277" s="313"/>
      <c r="K277" s="313"/>
      <c r="L277" s="313"/>
      <c r="M277" s="313"/>
      <c r="N277" s="313"/>
      <c r="O277" s="313"/>
      <c r="P277" s="313"/>
    </row>
    <row r="278" spans="1:16">
      <c r="A278" s="390"/>
      <c r="B278" s="315"/>
      <c r="C278" s="313"/>
      <c r="D278" s="313"/>
      <c r="E278" s="313"/>
      <c r="F278" s="313"/>
      <c r="G278" s="313"/>
      <c r="H278" s="313"/>
      <c r="I278" s="313"/>
      <c r="J278" s="313"/>
      <c r="K278" s="313"/>
      <c r="L278" s="313"/>
      <c r="M278" s="313"/>
      <c r="N278" s="313"/>
      <c r="O278" s="313"/>
      <c r="P278" s="313"/>
    </row>
    <row r="279" spans="1:16">
      <c r="A279" s="390"/>
      <c r="B279" s="374"/>
      <c r="C279" s="374"/>
      <c r="D279" s="374"/>
      <c r="E279" s="374"/>
      <c r="F279" s="374"/>
      <c r="G279" s="374"/>
      <c r="H279" s="374"/>
      <c r="I279" s="374"/>
      <c r="J279" s="374"/>
      <c r="K279" s="374"/>
      <c r="L279" s="374"/>
      <c r="M279" s="374"/>
      <c r="N279" s="374"/>
      <c r="O279" s="374"/>
      <c r="P279" s="374"/>
    </row>
    <row r="280" spans="1:16">
      <c r="A280" s="390"/>
      <c r="B280" s="374"/>
      <c r="C280" s="374"/>
      <c r="D280" s="374"/>
      <c r="E280" s="374"/>
      <c r="F280" s="374"/>
      <c r="G280" s="374"/>
      <c r="H280" s="374"/>
      <c r="I280" s="374"/>
      <c r="J280" s="374"/>
      <c r="K280" s="374"/>
      <c r="L280" s="374"/>
      <c r="M280" s="374"/>
      <c r="N280" s="374"/>
      <c r="O280" s="374"/>
      <c r="P280" s="374"/>
    </row>
    <row r="281" spans="1:16">
      <c r="A281" s="390"/>
      <c r="B281" s="374"/>
      <c r="C281" s="388"/>
      <c r="D281" s="374"/>
      <c r="E281" s="374"/>
      <c r="F281" s="374"/>
      <c r="G281" s="374"/>
      <c r="H281" s="374"/>
      <c r="I281" s="374"/>
      <c r="J281" s="374"/>
      <c r="K281" s="374"/>
      <c r="L281" s="374"/>
      <c r="M281" s="374"/>
      <c r="N281" s="374"/>
      <c r="O281" s="374"/>
      <c r="P281" s="374"/>
    </row>
    <row r="282" spans="1:16">
      <c r="A282" s="390"/>
      <c r="B282" s="34"/>
      <c r="C282" s="363"/>
      <c r="D282" s="363"/>
      <c r="E282" s="363"/>
      <c r="F282" s="363"/>
      <c r="G282" s="363"/>
      <c r="H282" s="363"/>
      <c r="I282" s="363"/>
      <c r="J282" s="363"/>
      <c r="K282" s="363"/>
      <c r="L282" s="363"/>
      <c r="M282" s="363"/>
      <c r="N282" s="363"/>
      <c r="O282" s="363"/>
      <c r="P282" s="33"/>
    </row>
    <row r="283" spans="1:16">
      <c r="A283" s="390"/>
      <c r="B283" s="34"/>
      <c r="C283" s="363"/>
      <c r="D283" s="363"/>
      <c r="E283" s="363"/>
      <c r="F283" s="363"/>
      <c r="G283" s="363"/>
      <c r="H283" s="363"/>
      <c r="I283" s="363"/>
      <c r="J283" s="363"/>
      <c r="K283" s="363"/>
      <c r="L283" s="363"/>
      <c r="M283" s="363"/>
      <c r="N283" s="363"/>
      <c r="O283" s="363"/>
      <c r="P283" s="36"/>
    </row>
    <row r="284" spans="1:16">
      <c r="A284" s="390"/>
      <c r="B284" s="34"/>
      <c r="C284" s="363"/>
      <c r="D284" s="363"/>
      <c r="E284" s="363"/>
      <c r="F284" s="363"/>
      <c r="G284" s="363"/>
      <c r="H284" s="363"/>
      <c r="I284" s="363"/>
      <c r="J284" s="363"/>
      <c r="K284" s="363"/>
      <c r="L284" s="363"/>
      <c r="M284" s="363"/>
      <c r="N284" s="363"/>
      <c r="O284" s="363"/>
      <c r="P284" s="36"/>
    </row>
    <row r="285" spans="1:16">
      <c r="A285" s="390"/>
      <c r="B285" s="34"/>
      <c r="C285" s="363"/>
      <c r="D285" s="363"/>
      <c r="E285" s="363"/>
      <c r="F285" s="363"/>
      <c r="G285" s="363"/>
      <c r="H285" s="363"/>
      <c r="I285" s="363"/>
      <c r="J285" s="363"/>
      <c r="K285" s="363"/>
      <c r="L285" s="363"/>
      <c r="M285" s="363"/>
      <c r="N285" s="363"/>
      <c r="O285" s="363"/>
      <c r="P285" s="36"/>
    </row>
    <row r="286" spans="1:16">
      <c r="A286" s="390"/>
      <c r="B286" s="34"/>
      <c r="C286" s="363"/>
      <c r="D286" s="363"/>
      <c r="E286" s="363"/>
      <c r="F286" s="363"/>
      <c r="G286" s="363"/>
      <c r="H286" s="363"/>
      <c r="I286" s="363"/>
      <c r="J286" s="363"/>
      <c r="K286" s="363"/>
      <c r="L286" s="363"/>
      <c r="M286" s="363"/>
      <c r="N286" s="363"/>
      <c r="O286" s="363"/>
      <c r="P286" s="36"/>
    </row>
    <row r="287" spans="1:16">
      <c r="A287" s="390"/>
      <c r="B287" s="34"/>
      <c r="C287" s="300"/>
      <c r="D287" s="300"/>
      <c r="E287" s="300"/>
      <c r="F287" s="300"/>
      <c r="G287" s="300"/>
      <c r="H287" s="300"/>
      <c r="I287" s="300"/>
      <c r="J287" s="300"/>
      <c r="K287" s="300"/>
      <c r="L287" s="300"/>
      <c r="M287" s="300"/>
      <c r="N287" s="300"/>
      <c r="O287" s="300"/>
      <c r="P287" s="63"/>
    </row>
    <row r="288" spans="1:16">
      <c r="A288" s="390"/>
      <c r="B288" s="73"/>
      <c r="C288" s="19"/>
      <c r="D288" s="19"/>
      <c r="E288" s="19"/>
      <c r="F288" s="19"/>
      <c r="G288" s="19"/>
      <c r="H288" s="19"/>
      <c r="I288" s="19"/>
      <c r="J288" s="19" t="s">
        <v>38</v>
      </c>
      <c r="K288" s="19"/>
      <c r="L288" s="19"/>
      <c r="M288" s="19"/>
      <c r="N288" s="19"/>
      <c r="O288" s="19"/>
      <c r="P288" s="74"/>
    </row>
    <row r="289" spans="1:16">
      <c r="A289" s="390"/>
      <c r="B289" s="390"/>
      <c r="C289" s="390"/>
      <c r="D289" s="390"/>
      <c r="E289" s="390"/>
      <c r="F289" s="390"/>
      <c r="G289" s="390"/>
      <c r="H289" s="390"/>
      <c r="I289" s="390"/>
      <c r="J289" s="390"/>
      <c r="K289" s="390"/>
      <c r="L289" s="390"/>
      <c r="M289" s="390"/>
      <c r="N289" s="390"/>
      <c r="O289" s="390"/>
      <c r="P289" s="390"/>
    </row>
    <row r="290" spans="1:16">
      <c r="A290" s="390"/>
      <c r="B290" s="390"/>
      <c r="C290" s="390"/>
      <c r="D290" s="390"/>
      <c r="E290" s="390"/>
      <c r="F290" s="390"/>
      <c r="G290" s="390"/>
      <c r="H290" s="390"/>
      <c r="I290" s="390"/>
      <c r="J290" s="390"/>
      <c r="K290" s="390"/>
      <c r="L290" s="390"/>
      <c r="M290" s="390"/>
      <c r="N290" s="390"/>
      <c r="O290" s="390"/>
      <c r="P290" s="390"/>
    </row>
    <row r="291" spans="1:16">
      <c r="A291" s="390"/>
      <c r="B291" s="390"/>
      <c r="C291" s="390"/>
      <c r="D291" s="390"/>
      <c r="E291" s="390"/>
      <c r="F291" s="390"/>
      <c r="G291" s="390"/>
      <c r="H291" s="390"/>
      <c r="I291" s="390"/>
      <c r="J291" s="390"/>
      <c r="K291" s="390"/>
      <c r="L291" s="390"/>
      <c r="M291" s="390"/>
      <c r="N291" s="390"/>
      <c r="O291" s="390"/>
      <c r="P291" s="390"/>
    </row>
    <row r="292" spans="1:16">
      <c r="A292" s="390"/>
      <c r="B292" s="390"/>
      <c r="C292" s="390"/>
      <c r="D292" s="390"/>
      <c r="E292" s="390"/>
      <c r="F292" s="390"/>
      <c r="G292" s="390"/>
      <c r="H292" s="390"/>
      <c r="I292" s="390"/>
      <c r="J292" s="390"/>
      <c r="K292" s="390"/>
      <c r="L292" s="390"/>
      <c r="M292" s="390"/>
      <c r="N292" s="390"/>
      <c r="O292" s="390"/>
      <c r="P292" s="390"/>
    </row>
    <row r="293" spans="1:16">
      <c r="A293" s="390"/>
      <c r="B293" s="390"/>
      <c r="C293" s="390"/>
      <c r="D293" s="390"/>
      <c r="E293" s="390"/>
      <c r="F293" s="390"/>
      <c r="G293" s="390"/>
      <c r="H293" s="390"/>
      <c r="I293" s="390"/>
      <c r="J293" s="390"/>
      <c r="K293" s="390"/>
      <c r="L293" s="390"/>
      <c r="M293" s="390"/>
      <c r="N293" s="390"/>
      <c r="O293" s="390"/>
      <c r="P293" s="390"/>
    </row>
    <row r="294" spans="1:16">
      <c r="A294" s="390"/>
      <c r="B294" s="390"/>
      <c r="C294" s="390"/>
      <c r="D294" s="390"/>
      <c r="E294" s="390"/>
      <c r="F294" s="390"/>
      <c r="G294" s="390"/>
      <c r="H294" s="390"/>
      <c r="I294" s="390"/>
      <c r="J294" s="390"/>
      <c r="K294" s="390"/>
      <c r="L294" s="390"/>
      <c r="M294" s="390"/>
      <c r="N294" s="390"/>
      <c r="O294" s="390"/>
      <c r="P294" s="390"/>
    </row>
    <row r="295" spans="1:16">
      <c r="A295" s="390"/>
      <c r="B295" s="390"/>
      <c r="C295" s="390"/>
      <c r="D295" s="390"/>
      <c r="E295" s="390"/>
      <c r="F295" s="390"/>
      <c r="G295" s="390"/>
      <c r="H295" s="390"/>
      <c r="I295" s="390"/>
      <c r="J295" s="390"/>
      <c r="K295" s="390"/>
      <c r="L295" s="390"/>
      <c r="M295" s="390"/>
      <c r="N295" s="390"/>
      <c r="O295" s="390"/>
      <c r="P295" s="390"/>
    </row>
    <row r="296" spans="1:16" ht="15.75" thickBot="1">
      <c r="A296" s="390"/>
      <c r="B296" s="390"/>
      <c r="C296" s="390"/>
      <c r="D296" s="390"/>
      <c r="E296" s="390"/>
      <c r="F296" s="390"/>
      <c r="G296" s="390"/>
      <c r="H296" s="390"/>
      <c r="I296" s="390"/>
      <c r="J296" s="390"/>
      <c r="K296" s="390"/>
      <c r="L296" s="390"/>
      <c r="M296" s="390"/>
      <c r="N296" s="390"/>
      <c r="O296" s="390"/>
      <c r="P296" s="390"/>
    </row>
    <row r="297" spans="1:16">
      <c r="A297" s="390"/>
      <c r="B297" s="1180" t="s">
        <v>727</v>
      </c>
      <c r="C297" s="1180"/>
      <c r="D297" s="1180"/>
      <c r="E297" s="1180"/>
      <c r="F297" s="1180"/>
      <c r="G297" s="1180"/>
      <c r="H297" s="1180"/>
      <c r="I297" s="1180"/>
      <c r="J297" s="1180"/>
      <c r="K297" s="1180"/>
      <c r="L297" s="1180"/>
      <c r="M297" s="1180"/>
      <c r="N297" s="1180"/>
      <c r="O297" s="1180"/>
      <c r="P297" s="1181"/>
    </row>
    <row r="298" spans="1:16">
      <c r="A298" s="390"/>
      <c r="B298" s="1182"/>
      <c r="C298" s="1182"/>
      <c r="D298" s="1182"/>
      <c r="E298" s="1182"/>
      <c r="F298" s="1182"/>
      <c r="G298" s="1182"/>
      <c r="H298" s="1182"/>
      <c r="I298" s="1182"/>
      <c r="J298" s="1182"/>
      <c r="K298" s="1182"/>
      <c r="L298" s="1182"/>
      <c r="M298" s="1182"/>
      <c r="N298" s="1182"/>
      <c r="O298" s="1182"/>
      <c r="P298" s="1183"/>
    </row>
    <row r="299" spans="1:16">
      <c r="A299" s="390"/>
      <c r="B299" s="1184" t="s">
        <v>728</v>
      </c>
      <c r="C299" s="1184"/>
      <c r="D299" s="1184"/>
      <c r="E299" s="1184"/>
      <c r="F299" s="1184"/>
      <c r="G299" s="1184"/>
      <c r="H299" s="1184"/>
      <c r="I299" s="1184"/>
      <c r="J299" s="1184"/>
      <c r="K299" s="1184"/>
      <c r="L299" s="1184"/>
      <c r="M299" s="1184"/>
      <c r="N299" s="1184"/>
      <c r="O299" s="1184"/>
      <c r="P299" s="1185"/>
    </row>
    <row r="300" spans="1:16">
      <c r="A300" s="390"/>
      <c r="B300" s="31" t="s">
        <v>199</v>
      </c>
      <c r="C300" s="32"/>
      <c r="D300" s="609" t="s">
        <v>425</v>
      </c>
      <c r="E300" s="300"/>
      <c r="F300" s="33"/>
      <c r="G300" s="32"/>
      <c r="H300" s="32"/>
      <c r="I300" s="40" t="s">
        <v>145</v>
      </c>
      <c r="J300" s="75"/>
      <c r="K300" s="75"/>
      <c r="L300" s="75"/>
      <c r="M300" s="75"/>
      <c r="N300" s="75"/>
      <c r="O300" s="75"/>
      <c r="P300" s="369"/>
    </row>
    <row r="301" spans="1:16" ht="15.75">
      <c r="A301" s="390"/>
      <c r="B301" s="34"/>
      <c r="C301" s="363" t="s">
        <v>426</v>
      </c>
      <c r="D301" s="363"/>
      <c r="E301" s="36"/>
      <c r="F301" s="76"/>
      <c r="G301" s="370"/>
      <c r="H301" s="300"/>
      <c r="I301" s="382" t="str">
        <f>'04-22-Master'!B23</f>
        <v>Thaposh Ghosh</v>
      </c>
      <c r="J301" s="370"/>
      <c r="K301" s="370"/>
      <c r="L301" s="370"/>
      <c r="M301" s="370"/>
      <c r="N301" s="370"/>
      <c r="O301" s="370"/>
      <c r="P301" s="371"/>
    </row>
    <row r="302" spans="1:16">
      <c r="A302" s="390"/>
      <c r="B302" s="37"/>
      <c r="C302" s="38"/>
      <c r="D302" s="38"/>
      <c r="E302" s="39"/>
      <c r="F302" s="77"/>
      <c r="G302" s="78"/>
      <c r="H302" s="78"/>
      <c r="I302" s="78"/>
      <c r="J302" s="78"/>
      <c r="K302" s="78"/>
      <c r="L302" s="78"/>
      <c r="M302" s="78"/>
      <c r="N302" s="78"/>
      <c r="O302" s="78"/>
      <c r="P302" s="372"/>
    </row>
    <row r="303" spans="1:16">
      <c r="A303" s="390"/>
      <c r="B303" s="1186"/>
      <c r="C303" s="1186"/>
      <c r="D303" s="1186"/>
      <c r="E303" s="1186"/>
      <c r="F303" s="40"/>
      <c r="G303" s="32"/>
      <c r="H303" s="32"/>
      <c r="I303" s="32"/>
      <c r="J303" s="32"/>
      <c r="K303" s="32"/>
      <c r="L303" s="32"/>
      <c r="M303" s="32"/>
      <c r="N303" s="32"/>
      <c r="O303" s="32"/>
      <c r="P303" s="33"/>
    </row>
    <row r="304" spans="1:16">
      <c r="A304" s="390"/>
      <c r="B304" s="1186"/>
      <c r="C304" s="1186"/>
      <c r="D304" s="1186"/>
      <c r="E304" s="1186"/>
      <c r="F304" s="300"/>
      <c r="G304" s="363"/>
      <c r="H304" s="152"/>
      <c r="I304" s="300" t="s">
        <v>147</v>
      </c>
      <c r="J304" s="373"/>
      <c r="K304" s="373"/>
      <c r="L304" s="363"/>
      <c r="M304" s="363"/>
      <c r="N304" s="363"/>
      <c r="O304" s="363"/>
      <c r="P304" s="36"/>
    </row>
    <row r="305" spans="1:17">
      <c r="A305" s="390"/>
      <c r="B305" s="1186"/>
      <c r="C305" s="1186"/>
      <c r="D305" s="1186"/>
      <c r="E305" s="1186"/>
      <c r="F305" s="34"/>
      <c r="G305" s="363"/>
      <c r="H305" s="363"/>
      <c r="I305" s="363" t="str">
        <f>'04-22-Master'!E23</f>
        <v>CH Divya Vani</v>
      </c>
      <c r="J305" s="363"/>
      <c r="K305" s="363"/>
      <c r="L305" s="363"/>
      <c r="M305" s="363"/>
      <c r="N305" s="363"/>
      <c r="O305" s="363"/>
      <c r="P305" s="36"/>
    </row>
    <row r="306" spans="1:17">
      <c r="A306" s="390"/>
      <c r="B306" s="1186"/>
      <c r="C306" s="1186"/>
      <c r="D306" s="1186"/>
      <c r="E306" s="1186"/>
      <c r="F306" s="300"/>
      <c r="G306" s="38"/>
      <c r="H306" s="112"/>
      <c r="I306" s="300" t="s">
        <v>148</v>
      </c>
      <c r="J306" s="38"/>
      <c r="K306" s="38"/>
      <c r="L306" s="112">
        <f>'04-22-Master'!I23</f>
        <v>44564</v>
      </c>
      <c r="M306" s="38"/>
      <c r="N306" s="38"/>
      <c r="O306" s="38"/>
      <c r="P306" s="39"/>
    </row>
    <row r="307" spans="1:17">
      <c r="A307" s="390"/>
      <c r="B307" s="1187" t="e">
        <f>#REF!</f>
        <v>#REF!</v>
      </c>
      <c r="C307" s="1189" t="s">
        <v>431</v>
      </c>
      <c r="D307" s="1190"/>
      <c r="E307" s="1189" t="s">
        <v>432</v>
      </c>
      <c r="F307" s="1190"/>
      <c r="G307" s="1193" t="s">
        <v>433</v>
      </c>
      <c r="H307" s="1189" t="s">
        <v>434</v>
      </c>
      <c r="I307" s="1194"/>
      <c r="J307" s="1195" t="s">
        <v>435</v>
      </c>
      <c r="K307" s="1194"/>
      <c r="L307" s="1196"/>
      <c r="M307" s="1195" t="s">
        <v>436</v>
      </c>
      <c r="N307" s="1194"/>
      <c r="O307" s="1194"/>
      <c r="P307" s="1200" t="s">
        <v>437</v>
      </c>
    </row>
    <row r="308" spans="1:17" ht="15.75" thickBot="1">
      <c r="A308" s="390"/>
      <c r="B308" s="1188"/>
      <c r="C308" s="1189"/>
      <c r="D308" s="1190"/>
      <c r="E308" s="1189"/>
      <c r="F308" s="1190"/>
      <c r="G308" s="1187"/>
      <c r="H308" s="1189"/>
      <c r="I308" s="1194"/>
      <c r="J308" s="1197"/>
      <c r="K308" s="1198"/>
      <c r="L308" s="1199"/>
      <c r="M308" s="1197"/>
      <c r="N308" s="1198"/>
      <c r="O308" s="1198"/>
      <c r="P308" s="1201"/>
    </row>
    <row r="309" spans="1:17">
      <c r="A309" s="390"/>
      <c r="B309" s="352">
        <v>1</v>
      </c>
      <c r="C309" s="1191"/>
      <c r="D309" s="1192"/>
      <c r="E309" s="1191"/>
      <c r="F309" s="1192"/>
      <c r="G309" s="352">
        <v>6</v>
      </c>
      <c r="H309" s="1191"/>
      <c r="I309" s="1192"/>
      <c r="J309" s="311">
        <v>9</v>
      </c>
      <c r="K309" s="311"/>
      <c r="L309" s="311"/>
      <c r="M309" s="311">
        <v>9</v>
      </c>
      <c r="N309" s="311"/>
      <c r="O309" s="311"/>
      <c r="P309" s="312" t="s">
        <v>438</v>
      </c>
    </row>
    <row r="310" spans="1:17" ht="89.25">
      <c r="A310" s="390"/>
      <c r="B310" s="313"/>
      <c r="C310" s="313" t="s">
        <v>439</v>
      </c>
      <c r="D310" s="313" t="s">
        <v>440</v>
      </c>
      <c r="E310" s="313" t="s">
        <v>441</v>
      </c>
      <c r="F310" s="313" t="s">
        <v>150</v>
      </c>
      <c r="G310" s="313"/>
      <c r="H310" s="313" t="s">
        <v>442</v>
      </c>
      <c r="I310" s="313" t="s">
        <v>443</v>
      </c>
      <c r="J310" s="313" t="s">
        <v>149</v>
      </c>
      <c r="K310" s="313" t="s">
        <v>444</v>
      </c>
      <c r="L310" s="313" t="s">
        <v>445</v>
      </c>
      <c r="M310" s="313" t="s">
        <v>446</v>
      </c>
      <c r="N310" s="313" t="s">
        <v>447</v>
      </c>
      <c r="O310" s="314" t="s">
        <v>448</v>
      </c>
      <c r="P310" s="314"/>
    </row>
    <row r="311" spans="1:17">
      <c r="A311" s="390"/>
      <c r="B311" s="315"/>
      <c r="C311" s="313"/>
      <c r="D311" s="313"/>
      <c r="E311" s="316"/>
      <c r="F311" s="316"/>
      <c r="G311" s="313"/>
      <c r="H311" s="313"/>
      <c r="I311" s="313"/>
      <c r="J311" s="313"/>
      <c r="K311" s="313"/>
      <c r="L311" s="313"/>
      <c r="M311" s="313"/>
      <c r="N311" s="313"/>
      <c r="O311" s="313"/>
      <c r="P311" s="313"/>
    </row>
    <row r="312" spans="1:17">
      <c r="A312" s="390"/>
      <c r="B312" s="600"/>
      <c r="C312" s="374"/>
      <c r="D312" s="374"/>
      <c r="E312" s="503"/>
      <c r="F312" s="503"/>
      <c r="G312" s="313"/>
      <c r="H312" s="374"/>
      <c r="I312" s="374"/>
      <c r="J312" s="313"/>
      <c r="K312" s="313"/>
      <c r="L312" s="313"/>
      <c r="M312" s="374"/>
      <c r="N312" s="374"/>
      <c r="O312" s="374"/>
      <c r="P312" s="374"/>
    </row>
    <row r="313" spans="1:17">
      <c r="A313" s="390"/>
      <c r="B313" s="600" t="s">
        <v>1030</v>
      </c>
      <c r="C313" s="374">
        <v>1.5</v>
      </c>
      <c r="D313" s="374"/>
      <c r="E313" s="374"/>
      <c r="F313" s="374"/>
      <c r="G313" s="313">
        <f t="shared" ref="G313" si="0">C313+G312-D313</f>
        <v>1.5</v>
      </c>
      <c r="H313" s="374"/>
      <c r="I313" s="374"/>
      <c r="J313" s="313" t="s">
        <v>152</v>
      </c>
      <c r="K313" s="313" t="s">
        <v>152</v>
      </c>
      <c r="L313" s="313" t="s">
        <v>152</v>
      </c>
      <c r="M313" s="374"/>
      <c r="N313" s="374"/>
      <c r="O313" s="374"/>
      <c r="P313" s="374"/>
    </row>
    <row r="314" spans="1:17" s="390" customFormat="1">
      <c r="B314" s="315" t="s">
        <v>1053</v>
      </c>
      <c r="C314" s="313">
        <v>1.5</v>
      </c>
      <c r="D314" s="313">
        <v>0</v>
      </c>
      <c r="E314" s="313">
        <v>0</v>
      </c>
      <c r="F314" s="313">
        <v>0</v>
      </c>
      <c r="G314" s="313">
        <f>G313+C314-D314</f>
        <v>3</v>
      </c>
      <c r="H314" s="313"/>
      <c r="I314" s="313"/>
      <c r="J314" s="313" t="s">
        <v>152</v>
      </c>
      <c r="K314" s="313" t="s">
        <v>152</v>
      </c>
      <c r="L314" s="313" t="s">
        <v>152</v>
      </c>
      <c r="M314" s="313"/>
      <c r="N314" s="313"/>
      <c r="O314" s="313"/>
      <c r="P314" s="313"/>
    </row>
    <row r="315" spans="1:17" s="855" customFormat="1">
      <c r="B315" s="315" t="s">
        <v>1100</v>
      </c>
      <c r="C315" s="313">
        <v>1.5</v>
      </c>
      <c r="D315" s="313">
        <v>1</v>
      </c>
      <c r="E315" s="316">
        <v>44624</v>
      </c>
      <c r="F315" s="316">
        <v>44624</v>
      </c>
      <c r="G315" s="313">
        <f>G314+C315-D315</f>
        <v>3.5</v>
      </c>
      <c r="H315" s="313"/>
      <c r="I315" s="313"/>
      <c r="J315" s="313" t="s">
        <v>152</v>
      </c>
      <c r="K315" s="313" t="s">
        <v>152</v>
      </c>
      <c r="L315" s="313" t="s">
        <v>152</v>
      </c>
      <c r="M315" s="313"/>
      <c r="N315" s="313"/>
      <c r="O315" s="313"/>
      <c r="P315" s="313"/>
    </row>
    <row r="316" spans="1:17" s="855" customFormat="1">
      <c r="B316" s="375" t="s">
        <v>1139</v>
      </c>
      <c r="C316" s="313">
        <v>1.5</v>
      </c>
      <c r="D316" s="313">
        <v>0</v>
      </c>
      <c r="E316" s="313">
        <v>0</v>
      </c>
      <c r="F316" s="313">
        <v>0</v>
      </c>
      <c r="G316" s="313">
        <f>G315+C316-D316</f>
        <v>5</v>
      </c>
      <c r="H316" s="313"/>
      <c r="I316" s="313"/>
      <c r="J316" s="313" t="s">
        <v>152</v>
      </c>
      <c r="K316" s="313" t="s">
        <v>152</v>
      </c>
      <c r="L316" s="313" t="s">
        <v>152</v>
      </c>
      <c r="M316" s="313"/>
      <c r="N316" s="313"/>
      <c r="O316" s="313"/>
      <c r="P316" s="313"/>
      <c r="Q316" s="855">
        <v>8</v>
      </c>
    </row>
    <row r="317" spans="1:17">
      <c r="A317" s="390"/>
      <c r="B317" s="315"/>
      <c r="C317" s="307"/>
      <c r="D317" s="313"/>
      <c r="E317" s="313"/>
      <c r="F317" s="313"/>
      <c r="G317" s="313"/>
      <c r="H317" s="313"/>
      <c r="I317" s="313"/>
      <c r="J317" s="313"/>
      <c r="K317" s="313"/>
      <c r="L317" s="313"/>
      <c r="M317" s="313"/>
      <c r="N317" s="313"/>
      <c r="O317" s="313"/>
      <c r="P317" s="313"/>
    </row>
    <row r="318" spans="1:17">
      <c r="A318" s="390"/>
      <c r="B318" s="315"/>
      <c r="C318" s="313"/>
      <c r="D318" s="313"/>
      <c r="E318" s="313"/>
      <c r="F318" s="313"/>
      <c r="G318" s="313"/>
      <c r="H318" s="313"/>
      <c r="I318" s="313"/>
      <c r="J318" s="313"/>
      <c r="K318" s="313"/>
      <c r="L318" s="313"/>
      <c r="M318" s="313"/>
      <c r="N318" s="313"/>
      <c r="O318" s="313"/>
      <c r="P318" s="313"/>
    </row>
    <row r="319" spans="1:17">
      <c r="A319" s="390"/>
      <c r="B319" s="315"/>
      <c r="C319" s="313"/>
      <c r="D319" s="313"/>
      <c r="E319" s="313"/>
      <c r="F319" s="313"/>
      <c r="G319" s="313"/>
      <c r="H319" s="313"/>
      <c r="I319" s="313"/>
      <c r="J319" s="313"/>
      <c r="K319" s="313"/>
      <c r="L319" s="313"/>
      <c r="M319" s="313"/>
      <c r="N319" s="313"/>
      <c r="O319" s="313"/>
      <c r="P319" s="313"/>
    </row>
    <row r="320" spans="1:17">
      <c r="A320" s="390"/>
      <c r="B320" s="315"/>
      <c r="C320" s="313"/>
      <c r="D320" s="313"/>
      <c r="E320" s="313"/>
      <c r="F320" s="313"/>
      <c r="G320" s="313"/>
      <c r="H320" s="313"/>
      <c r="I320" s="313"/>
      <c r="J320" s="313"/>
      <c r="K320" s="313"/>
      <c r="L320" s="313"/>
      <c r="M320" s="313"/>
      <c r="N320" s="313"/>
      <c r="O320" s="313"/>
      <c r="P320" s="313"/>
    </row>
    <row r="321" spans="1:16">
      <c r="A321" s="390"/>
      <c r="B321" s="315"/>
      <c r="C321" s="313"/>
      <c r="D321" s="313"/>
      <c r="E321" s="313"/>
      <c r="F321" s="313"/>
      <c r="G321" s="313"/>
      <c r="H321" s="313"/>
      <c r="I321" s="313"/>
      <c r="J321" s="313"/>
      <c r="K321" s="313"/>
      <c r="L321" s="313"/>
      <c r="M321" s="313"/>
      <c r="N321" s="313"/>
      <c r="O321" s="313"/>
      <c r="P321" s="313"/>
    </row>
    <row r="322" spans="1:16">
      <c r="A322" s="390"/>
      <c r="B322" s="315"/>
      <c r="C322" s="313"/>
      <c r="D322" s="313"/>
      <c r="E322" s="313"/>
      <c r="F322" s="313"/>
      <c r="G322" s="313"/>
      <c r="H322" s="313"/>
      <c r="I322" s="313"/>
      <c r="J322" s="313"/>
      <c r="K322" s="313"/>
      <c r="L322" s="313"/>
      <c r="M322" s="313"/>
      <c r="N322" s="313"/>
      <c r="O322" s="313"/>
      <c r="P322" s="313"/>
    </row>
    <row r="323" spans="1:16">
      <c r="A323" s="390"/>
      <c r="B323" s="315"/>
      <c r="C323" s="313"/>
      <c r="D323" s="313"/>
      <c r="E323" s="313"/>
      <c r="F323" s="313"/>
      <c r="G323" s="313"/>
      <c r="H323" s="313"/>
      <c r="I323" s="313"/>
      <c r="J323" s="313"/>
      <c r="K323" s="313"/>
      <c r="L323" s="313"/>
      <c r="M323" s="313"/>
      <c r="N323" s="313"/>
      <c r="O323" s="313"/>
      <c r="P323" s="313"/>
    </row>
    <row r="324" spans="1:16">
      <c r="A324" s="390"/>
      <c r="B324" s="374"/>
      <c r="C324" s="374"/>
      <c r="D324" s="374"/>
      <c r="E324" s="374"/>
      <c r="F324" s="374"/>
      <c r="G324" s="374"/>
      <c r="H324" s="374"/>
      <c r="I324" s="374"/>
      <c r="J324" s="374"/>
      <c r="K324" s="374"/>
      <c r="L324" s="374"/>
      <c r="M324" s="374"/>
      <c r="N324" s="374"/>
      <c r="O324" s="374"/>
      <c r="P324" s="374"/>
    </row>
    <row r="325" spans="1:16">
      <c r="A325" s="390"/>
      <c r="B325" s="374"/>
      <c r="C325" s="374"/>
      <c r="D325" s="374"/>
      <c r="E325" s="374"/>
      <c r="F325" s="374"/>
      <c r="G325" s="374"/>
      <c r="H325" s="374"/>
      <c r="I325" s="374"/>
      <c r="J325" s="374"/>
      <c r="K325" s="374"/>
      <c r="L325" s="374"/>
      <c r="M325" s="374"/>
      <c r="N325" s="374"/>
      <c r="O325" s="374"/>
      <c r="P325" s="374"/>
    </row>
    <row r="326" spans="1:16">
      <c r="A326" s="390"/>
      <c r="B326" s="374"/>
      <c r="C326" s="388"/>
      <c r="D326" s="374"/>
      <c r="E326" s="374"/>
      <c r="F326" s="374"/>
      <c r="G326" s="374"/>
      <c r="H326" s="374"/>
      <c r="I326" s="374"/>
      <c r="J326" s="374"/>
      <c r="K326" s="374"/>
      <c r="L326" s="374"/>
      <c r="M326" s="374"/>
      <c r="N326" s="374"/>
      <c r="O326" s="374"/>
      <c r="P326" s="374"/>
    </row>
    <row r="327" spans="1:16">
      <c r="A327" s="390"/>
      <c r="B327" s="34"/>
      <c r="C327" s="363"/>
      <c r="D327" s="363"/>
      <c r="E327" s="363"/>
      <c r="F327" s="363"/>
      <c r="G327" s="363"/>
      <c r="H327" s="363"/>
      <c r="I327" s="363"/>
      <c r="J327" s="363"/>
      <c r="K327" s="363"/>
      <c r="L327" s="363"/>
      <c r="M327" s="363"/>
      <c r="N327" s="363"/>
      <c r="O327" s="363"/>
      <c r="P327" s="33"/>
    </row>
    <row r="328" spans="1:16">
      <c r="A328" s="390"/>
      <c r="B328" s="34"/>
      <c r="C328" s="363"/>
      <c r="D328" s="363"/>
      <c r="E328" s="363"/>
      <c r="F328" s="363"/>
      <c r="G328" s="363"/>
      <c r="H328" s="363"/>
      <c r="I328" s="363"/>
      <c r="J328" s="363"/>
      <c r="K328" s="363"/>
      <c r="L328" s="363"/>
      <c r="M328" s="363"/>
      <c r="N328" s="363"/>
      <c r="O328" s="363"/>
      <c r="P328" s="36"/>
    </row>
    <row r="329" spans="1:16">
      <c r="A329" s="390"/>
      <c r="B329" s="34"/>
      <c r="C329" s="363"/>
      <c r="D329" s="363"/>
      <c r="E329" s="363"/>
      <c r="F329" s="363"/>
      <c r="G329" s="363"/>
      <c r="H329" s="363"/>
      <c r="I329" s="363"/>
      <c r="J329" s="363"/>
      <c r="K329" s="363"/>
      <c r="L329" s="363"/>
      <c r="M329" s="363"/>
      <c r="N329" s="363"/>
      <c r="O329" s="363"/>
      <c r="P329" s="36"/>
    </row>
    <row r="330" spans="1:16">
      <c r="A330" s="390"/>
      <c r="B330" s="34"/>
      <c r="C330" s="363"/>
      <c r="D330" s="363"/>
      <c r="E330" s="363"/>
      <c r="F330" s="363"/>
      <c r="G330" s="363"/>
      <c r="H330" s="363"/>
      <c r="I330" s="363"/>
      <c r="J330" s="363"/>
      <c r="K330" s="363"/>
      <c r="L330" s="363"/>
      <c r="M330" s="363"/>
      <c r="N330" s="363"/>
      <c r="O330" s="363"/>
      <c r="P330" s="36"/>
    </row>
    <row r="331" spans="1:16">
      <c r="A331" s="390"/>
      <c r="B331" s="34"/>
      <c r="C331" s="363"/>
      <c r="D331" s="363"/>
      <c r="E331" s="363"/>
      <c r="F331" s="363"/>
      <c r="G331" s="363"/>
      <c r="H331" s="363"/>
      <c r="I331" s="363"/>
      <c r="J331" s="363"/>
      <c r="K331" s="363"/>
      <c r="L331" s="363"/>
      <c r="M331" s="363"/>
      <c r="N331" s="363"/>
      <c r="O331" s="363"/>
      <c r="P331" s="36"/>
    </row>
    <row r="332" spans="1:16">
      <c r="A332" s="390"/>
      <c r="B332" s="34"/>
      <c r="C332" s="300"/>
      <c r="D332" s="300"/>
      <c r="E332" s="300"/>
      <c r="F332" s="300"/>
      <c r="G332" s="300"/>
      <c r="H332" s="300"/>
      <c r="I332" s="300"/>
      <c r="J332" s="300"/>
      <c r="K332" s="300"/>
      <c r="L332" s="300"/>
      <c r="M332" s="300"/>
      <c r="N332" s="300"/>
      <c r="O332" s="300"/>
      <c r="P332" s="63"/>
    </row>
    <row r="333" spans="1:16">
      <c r="A333" s="390"/>
      <c r="B333" s="73"/>
      <c r="C333" s="19"/>
      <c r="D333" s="19"/>
      <c r="E333" s="19"/>
      <c r="F333" s="19"/>
      <c r="G333" s="19"/>
      <c r="H333" s="19"/>
      <c r="I333" s="19"/>
      <c r="J333" s="19" t="s">
        <v>38</v>
      </c>
      <c r="K333" s="19"/>
      <c r="L333" s="19"/>
      <c r="M333" s="19"/>
      <c r="N333" s="19"/>
      <c r="O333" s="19"/>
      <c r="P333" s="74"/>
    </row>
    <row r="334" spans="1:16">
      <c r="A334" s="390"/>
      <c r="B334" s="390"/>
      <c r="C334" s="390"/>
      <c r="D334" s="390"/>
      <c r="E334" s="390"/>
      <c r="F334" s="390"/>
      <c r="G334" s="390"/>
      <c r="H334" s="390"/>
      <c r="I334" s="390"/>
      <c r="J334" s="390"/>
      <c r="K334" s="390"/>
      <c r="L334" s="390"/>
      <c r="M334" s="390"/>
      <c r="N334" s="390"/>
      <c r="O334" s="390"/>
      <c r="P334" s="390"/>
    </row>
    <row r="335" spans="1:16">
      <c r="A335" s="390"/>
      <c r="B335" s="390"/>
      <c r="C335" s="390"/>
      <c r="D335" s="390"/>
      <c r="E335" s="390"/>
      <c r="F335" s="390"/>
      <c r="G335" s="390"/>
      <c r="H335" s="390"/>
      <c r="I335" s="390"/>
      <c r="J335" s="390"/>
      <c r="K335" s="390"/>
      <c r="L335" s="390"/>
      <c r="M335" s="390"/>
      <c r="N335" s="390"/>
      <c r="O335" s="390"/>
      <c r="P335" s="390"/>
    </row>
    <row r="336" spans="1:16">
      <c r="A336" s="390"/>
      <c r="B336" s="390"/>
      <c r="C336" s="390"/>
      <c r="D336" s="390"/>
      <c r="E336" s="390"/>
      <c r="F336" s="390"/>
      <c r="G336" s="390"/>
      <c r="H336" s="390"/>
      <c r="I336" s="390"/>
      <c r="J336" s="390"/>
      <c r="K336" s="390"/>
      <c r="L336" s="390"/>
      <c r="M336" s="390"/>
      <c r="N336" s="390"/>
      <c r="O336" s="390"/>
      <c r="P336" s="390"/>
    </row>
    <row r="337" spans="1:16">
      <c r="A337" s="390"/>
      <c r="B337" s="390"/>
      <c r="C337" s="390"/>
      <c r="D337" s="390"/>
      <c r="E337" s="390"/>
      <c r="F337" s="390"/>
      <c r="G337" s="390"/>
      <c r="H337" s="390"/>
      <c r="I337" s="390"/>
      <c r="J337" s="390"/>
      <c r="K337" s="390"/>
      <c r="L337" s="390"/>
      <c r="M337" s="390"/>
      <c r="N337" s="390"/>
      <c r="O337" s="390"/>
      <c r="P337" s="390"/>
    </row>
    <row r="338" spans="1:16">
      <c r="A338" s="390"/>
      <c r="B338" s="390"/>
      <c r="C338" s="390"/>
      <c r="D338" s="390"/>
      <c r="E338" s="390"/>
      <c r="F338" s="390"/>
      <c r="G338" s="390"/>
      <c r="H338" s="390"/>
      <c r="I338" s="390"/>
      <c r="J338" s="390"/>
      <c r="K338" s="390"/>
      <c r="L338" s="390"/>
      <c r="M338" s="390"/>
      <c r="N338" s="390"/>
      <c r="O338" s="390"/>
      <c r="P338" s="390"/>
    </row>
    <row r="339" spans="1:16">
      <c r="A339" s="390"/>
      <c r="B339" s="390"/>
      <c r="C339" s="390"/>
      <c r="D339" s="390"/>
      <c r="E339" s="390"/>
      <c r="F339" s="390"/>
      <c r="G339" s="390"/>
      <c r="H339" s="390"/>
      <c r="I339" s="390"/>
      <c r="J339" s="390"/>
      <c r="K339" s="390"/>
      <c r="L339" s="390"/>
      <c r="M339" s="390"/>
      <c r="N339" s="390"/>
      <c r="O339" s="390"/>
      <c r="P339" s="390"/>
    </row>
    <row r="340" spans="1:16">
      <c r="A340" s="390"/>
      <c r="B340" s="390"/>
      <c r="C340" s="390"/>
      <c r="D340" s="390"/>
      <c r="E340" s="390"/>
      <c r="F340" s="390"/>
      <c r="G340" s="390"/>
      <c r="H340" s="390"/>
      <c r="I340" s="390"/>
      <c r="J340" s="390"/>
      <c r="K340" s="390"/>
      <c r="L340" s="390"/>
      <c r="M340" s="390"/>
      <c r="N340" s="390"/>
      <c r="O340" s="390"/>
      <c r="P340" s="390"/>
    </row>
    <row r="341" spans="1:16" ht="15.75" thickBot="1">
      <c r="A341" s="390"/>
      <c r="B341" s="390"/>
      <c r="C341" s="390"/>
      <c r="D341" s="390"/>
      <c r="E341" s="390"/>
      <c r="F341" s="390"/>
      <c r="G341" s="390"/>
      <c r="H341" s="390"/>
      <c r="I341" s="390"/>
      <c r="J341" s="390"/>
      <c r="K341" s="390"/>
      <c r="L341" s="390"/>
      <c r="M341" s="390"/>
      <c r="N341" s="390"/>
      <c r="O341" s="390"/>
      <c r="P341" s="390"/>
    </row>
    <row r="342" spans="1:16">
      <c r="A342" s="390"/>
      <c r="B342" s="1180" t="s">
        <v>727</v>
      </c>
      <c r="C342" s="1180"/>
      <c r="D342" s="1180"/>
      <c r="E342" s="1180"/>
      <c r="F342" s="1180"/>
      <c r="G342" s="1180"/>
      <c r="H342" s="1180"/>
      <c r="I342" s="1180"/>
      <c r="J342" s="1180"/>
      <c r="K342" s="1180"/>
      <c r="L342" s="1180"/>
      <c r="M342" s="1180"/>
      <c r="N342" s="1180"/>
      <c r="O342" s="1180"/>
      <c r="P342" s="1181"/>
    </row>
    <row r="343" spans="1:16">
      <c r="A343" s="390"/>
      <c r="B343" s="1182"/>
      <c r="C343" s="1182"/>
      <c r="D343" s="1182"/>
      <c r="E343" s="1182"/>
      <c r="F343" s="1182"/>
      <c r="G343" s="1182"/>
      <c r="H343" s="1182"/>
      <c r="I343" s="1182"/>
      <c r="J343" s="1182"/>
      <c r="K343" s="1182"/>
      <c r="L343" s="1182"/>
      <c r="M343" s="1182"/>
      <c r="N343" s="1182"/>
      <c r="O343" s="1182"/>
      <c r="P343" s="1183"/>
    </row>
    <row r="344" spans="1:16">
      <c r="A344" s="390"/>
      <c r="B344" s="1184" t="s">
        <v>728</v>
      </c>
      <c r="C344" s="1184"/>
      <c r="D344" s="1184"/>
      <c r="E344" s="1184"/>
      <c r="F344" s="1184"/>
      <c r="G344" s="1184"/>
      <c r="H344" s="1184"/>
      <c r="I344" s="1184"/>
      <c r="J344" s="1184"/>
      <c r="K344" s="1184"/>
      <c r="L344" s="1184"/>
      <c r="M344" s="1184"/>
      <c r="N344" s="1184"/>
      <c r="O344" s="1184"/>
      <c r="P344" s="1185"/>
    </row>
    <row r="345" spans="1:16">
      <c r="A345" s="390"/>
      <c r="B345" s="31" t="s">
        <v>199</v>
      </c>
      <c r="C345" s="32"/>
      <c r="D345" s="609" t="s">
        <v>425</v>
      </c>
      <c r="E345" s="300"/>
      <c r="F345" s="33"/>
      <c r="G345" s="32"/>
      <c r="H345" s="32"/>
      <c r="I345" s="40" t="s">
        <v>145</v>
      </c>
      <c r="J345" s="75"/>
      <c r="K345" s="75"/>
      <c r="L345" s="75"/>
      <c r="M345" s="75"/>
      <c r="N345" s="75"/>
      <c r="O345" s="75"/>
      <c r="P345" s="369"/>
    </row>
    <row r="346" spans="1:16" ht="15.75">
      <c r="A346" s="390"/>
      <c r="B346" s="34"/>
      <c r="C346" s="363" t="s">
        <v>426</v>
      </c>
      <c r="D346" s="363"/>
      <c r="E346" s="36"/>
      <c r="F346" s="76"/>
      <c r="G346" s="370"/>
      <c r="H346" s="300"/>
      <c r="I346" s="382" t="str">
        <f>'04-22-Master'!B24</f>
        <v>Nagashree Narayan</v>
      </c>
      <c r="J346" s="370"/>
      <c r="K346" s="370"/>
      <c r="L346" s="370"/>
      <c r="M346" s="370"/>
      <c r="N346" s="370"/>
      <c r="O346" s="370"/>
      <c r="P346" s="371"/>
    </row>
    <row r="347" spans="1:16">
      <c r="A347" s="390"/>
      <c r="B347" s="37"/>
      <c r="C347" s="38"/>
      <c r="D347" s="38"/>
      <c r="E347" s="39"/>
      <c r="F347" s="77"/>
      <c r="G347" s="78"/>
      <c r="H347" s="78"/>
      <c r="I347" s="78"/>
      <c r="J347" s="78"/>
      <c r="K347" s="78"/>
      <c r="L347" s="78"/>
      <c r="M347" s="78"/>
      <c r="N347" s="78"/>
      <c r="O347" s="78"/>
      <c r="P347" s="372"/>
    </row>
    <row r="348" spans="1:16">
      <c r="A348" s="390"/>
      <c r="B348" s="1186"/>
      <c r="C348" s="1186"/>
      <c r="D348" s="1186"/>
      <c r="E348" s="1186"/>
      <c r="F348" s="40"/>
      <c r="G348" s="32"/>
      <c r="H348" s="32"/>
      <c r="I348" s="32"/>
      <c r="J348" s="32"/>
      <c r="K348" s="32"/>
      <c r="L348" s="32"/>
      <c r="M348" s="32"/>
      <c r="N348" s="32"/>
      <c r="O348" s="32"/>
      <c r="P348" s="33"/>
    </row>
    <row r="349" spans="1:16">
      <c r="A349" s="390"/>
      <c r="B349" s="1186"/>
      <c r="C349" s="1186"/>
      <c r="D349" s="1186"/>
      <c r="E349" s="1186"/>
      <c r="F349" s="300"/>
      <c r="G349" s="363"/>
      <c r="H349" s="152"/>
      <c r="I349" s="300" t="s">
        <v>147</v>
      </c>
      <c r="J349" s="373"/>
      <c r="K349" s="373"/>
      <c r="L349" s="363"/>
      <c r="M349" s="363"/>
      <c r="N349" s="363"/>
      <c r="O349" s="363"/>
      <c r="P349" s="36"/>
    </row>
    <row r="350" spans="1:16">
      <c r="A350" s="390"/>
      <c r="B350" s="1186"/>
      <c r="C350" s="1186"/>
      <c r="D350" s="1186"/>
      <c r="E350" s="1186"/>
      <c r="F350" s="34"/>
      <c r="G350" s="363"/>
      <c r="H350" s="363"/>
      <c r="I350" s="363" t="str">
        <f>'04-22-Master'!E24</f>
        <v>KANTHA KAMBAIAH LAKSHMI</v>
      </c>
      <c r="J350" s="363"/>
      <c r="K350" s="363"/>
      <c r="L350" s="363"/>
      <c r="M350" s="363"/>
      <c r="N350" s="363"/>
      <c r="O350" s="363"/>
      <c r="P350" s="36"/>
    </row>
    <row r="351" spans="1:16">
      <c r="A351" s="390"/>
      <c r="B351" s="1186"/>
      <c r="C351" s="1186"/>
      <c r="D351" s="1186"/>
      <c r="E351" s="1186"/>
      <c r="F351" s="300"/>
      <c r="G351" s="38"/>
      <c r="H351" s="112"/>
      <c r="I351" s="300" t="s">
        <v>148</v>
      </c>
      <c r="J351" s="38"/>
      <c r="K351" s="38"/>
      <c r="L351" s="112">
        <f>'04-22-Master'!I24</f>
        <v>44571</v>
      </c>
      <c r="M351" s="38"/>
      <c r="N351" s="38"/>
      <c r="O351" s="38"/>
      <c r="P351" s="39"/>
    </row>
    <row r="352" spans="1:16">
      <c r="A352" s="390"/>
      <c r="B352" s="1187" t="e">
        <f>#REF!</f>
        <v>#REF!</v>
      </c>
      <c r="C352" s="1189" t="s">
        <v>431</v>
      </c>
      <c r="D352" s="1190"/>
      <c r="E352" s="1189" t="s">
        <v>432</v>
      </c>
      <c r="F352" s="1190"/>
      <c r="G352" s="1193" t="s">
        <v>433</v>
      </c>
      <c r="H352" s="1189" t="s">
        <v>434</v>
      </c>
      <c r="I352" s="1194"/>
      <c r="J352" s="1195" t="s">
        <v>435</v>
      </c>
      <c r="K352" s="1194"/>
      <c r="L352" s="1196"/>
      <c r="M352" s="1195" t="s">
        <v>436</v>
      </c>
      <c r="N352" s="1194"/>
      <c r="O352" s="1194"/>
      <c r="P352" s="1200" t="s">
        <v>437</v>
      </c>
    </row>
    <row r="353" spans="1:17" ht="15.75" thickBot="1">
      <c r="A353" s="390"/>
      <c r="B353" s="1188"/>
      <c r="C353" s="1189"/>
      <c r="D353" s="1190"/>
      <c r="E353" s="1189"/>
      <c r="F353" s="1190"/>
      <c r="G353" s="1187"/>
      <c r="H353" s="1189"/>
      <c r="I353" s="1194"/>
      <c r="J353" s="1197"/>
      <c r="K353" s="1198"/>
      <c r="L353" s="1199"/>
      <c r="M353" s="1197"/>
      <c r="N353" s="1198"/>
      <c r="O353" s="1198"/>
      <c r="P353" s="1201"/>
    </row>
    <row r="354" spans="1:17">
      <c r="A354" s="390"/>
      <c r="B354" s="352">
        <v>1</v>
      </c>
      <c r="C354" s="1191"/>
      <c r="D354" s="1192"/>
      <c r="E354" s="1191"/>
      <c r="F354" s="1192"/>
      <c r="G354" s="352">
        <v>6</v>
      </c>
      <c r="H354" s="1191"/>
      <c r="I354" s="1192"/>
      <c r="J354" s="311">
        <v>9</v>
      </c>
      <c r="K354" s="311"/>
      <c r="L354" s="311"/>
      <c r="M354" s="311">
        <v>9</v>
      </c>
      <c r="N354" s="311"/>
      <c r="O354" s="311"/>
      <c r="P354" s="312" t="s">
        <v>438</v>
      </c>
    </row>
    <row r="355" spans="1:17" ht="89.25">
      <c r="A355" s="390"/>
      <c r="B355" s="313"/>
      <c r="C355" s="313" t="s">
        <v>439</v>
      </c>
      <c r="D355" s="313" t="s">
        <v>440</v>
      </c>
      <c r="E355" s="313" t="s">
        <v>441</v>
      </c>
      <c r="F355" s="313" t="s">
        <v>150</v>
      </c>
      <c r="G355" s="313"/>
      <c r="H355" s="313" t="s">
        <v>442</v>
      </c>
      <c r="I355" s="313" t="s">
        <v>443</v>
      </c>
      <c r="J355" s="313" t="s">
        <v>149</v>
      </c>
      <c r="K355" s="313" t="s">
        <v>444</v>
      </c>
      <c r="L355" s="313" t="s">
        <v>445</v>
      </c>
      <c r="M355" s="313" t="s">
        <v>446</v>
      </c>
      <c r="N355" s="313" t="s">
        <v>447</v>
      </c>
      <c r="O355" s="314" t="s">
        <v>448</v>
      </c>
      <c r="P355" s="314"/>
    </row>
    <row r="356" spans="1:17">
      <c r="A356" s="390"/>
      <c r="B356" s="315"/>
      <c r="C356" s="313"/>
      <c r="D356" s="313"/>
      <c r="E356" s="316"/>
      <c r="F356" s="316"/>
      <c r="G356" s="313"/>
      <c r="H356" s="313"/>
      <c r="I356" s="313"/>
      <c r="J356" s="313"/>
      <c r="K356" s="313"/>
      <c r="L356" s="313"/>
      <c r="M356" s="313"/>
      <c r="N356" s="313"/>
      <c r="O356" s="313"/>
      <c r="P356" s="313"/>
    </row>
    <row r="357" spans="1:17">
      <c r="A357" s="390"/>
      <c r="B357" s="600"/>
      <c r="C357" s="374"/>
      <c r="D357" s="374"/>
      <c r="E357" s="503"/>
      <c r="F357" s="503"/>
      <c r="G357" s="313"/>
      <c r="H357" s="374"/>
      <c r="I357" s="374"/>
      <c r="J357" s="313"/>
      <c r="K357" s="313"/>
      <c r="L357" s="313"/>
      <c r="M357" s="374"/>
      <c r="N357" s="374"/>
      <c r="O357" s="374"/>
      <c r="P357" s="374"/>
    </row>
    <row r="358" spans="1:17">
      <c r="A358" s="390"/>
      <c r="B358" s="600" t="s">
        <v>1030</v>
      </c>
      <c r="C358" s="374">
        <v>1.5</v>
      </c>
      <c r="D358" s="374"/>
      <c r="E358" s="374"/>
      <c r="F358" s="374"/>
      <c r="G358" s="313">
        <f t="shared" ref="G358" si="1">C358+G357-D358</f>
        <v>1.5</v>
      </c>
      <c r="H358" s="374"/>
      <c r="I358" s="374"/>
      <c r="J358" s="313" t="s">
        <v>152</v>
      </c>
      <c r="K358" s="313" t="s">
        <v>152</v>
      </c>
      <c r="L358" s="313" t="s">
        <v>152</v>
      </c>
      <c r="M358" s="374"/>
      <c r="N358" s="374"/>
      <c r="O358" s="374"/>
      <c r="P358" s="374"/>
    </row>
    <row r="359" spans="1:17" s="390" customFormat="1">
      <c r="B359" s="315" t="s">
        <v>1053</v>
      </c>
      <c r="C359" s="313">
        <v>1.5</v>
      </c>
      <c r="D359" s="313">
        <v>1</v>
      </c>
      <c r="E359" s="316">
        <v>44596</v>
      </c>
      <c r="F359" s="316">
        <v>44596</v>
      </c>
      <c r="G359" s="313">
        <f>G358+C359-D359</f>
        <v>2</v>
      </c>
      <c r="H359" s="313"/>
      <c r="I359" s="313"/>
      <c r="J359" s="313" t="s">
        <v>152</v>
      </c>
      <c r="K359" s="313" t="s">
        <v>152</v>
      </c>
      <c r="L359" s="313" t="s">
        <v>152</v>
      </c>
      <c r="M359" s="313"/>
      <c r="N359" s="313"/>
      <c r="O359" s="313"/>
      <c r="P359" s="313"/>
    </row>
    <row r="360" spans="1:17" s="855" customFormat="1">
      <c r="B360" s="315" t="s">
        <v>1100</v>
      </c>
      <c r="C360" s="313">
        <v>1.5</v>
      </c>
      <c r="D360" s="313">
        <v>0</v>
      </c>
      <c r="E360" s="313">
        <v>0</v>
      </c>
      <c r="F360" s="313">
        <v>0</v>
      </c>
      <c r="G360" s="313">
        <f>G359+C360-D360</f>
        <v>3.5</v>
      </c>
      <c r="H360" s="313"/>
      <c r="I360" s="313"/>
      <c r="J360" s="313" t="s">
        <v>152</v>
      </c>
      <c r="K360" s="313" t="s">
        <v>152</v>
      </c>
      <c r="L360" s="313" t="s">
        <v>152</v>
      </c>
      <c r="M360" s="313"/>
      <c r="N360" s="313"/>
      <c r="O360" s="313"/>
      <c r="P360" s="313"/>
    </row>
    <row r="361" spans="1:17" s="855" customFormat="1">
      <c r="B361" s="375" t="s">
        <v>1139</v>
      </c>
      <c r="C361" s="313">
        <v>1.5</v>
      </c>
      <c r="D361" s="313">
        <v>1</v>
      </c>
      <c r="E361" s="316">
        <v>44662</v>
      </c>
      <c r="F361" s="316">
        <v>44662</v>
      </c>
      <c r="G361" s="313">
        <f>G360+C361-D361</f>
        <v>4</v>
      </c>
      <c r="H361" s="313"/>
      <c r="I361" s="313"/>
      <c r="J361" s="313" t="s">
        <v>152</v>
      </c>
      <c r="K361" s="313" t="s">
        <v>152</v>
      </c>
      <c r="L361" s="313" t="s">
        <v>152</v>
      </c>
      <c r="M361" s="313"/>
      <c r="N361" s="313"/>
      <c r="O361" s="313"/>
      <c r="P361" s="313"/>
      <c r="Q361" s="855">
        <v>9</v>
      </c>
    </row>
    <row r="362" spans="1:17">
      <c r="A362" s="390"/>
      <c r="B362" s="315"/>
      <c r="C362" s="307"/>
      <c r="D362" s="313"/>
      <c r="E362" s="313"/>
      <c r="F362" s="313"/>
      <c r="G362" s="313"/>
      <c r="H362" s="313"/>
      <c r="I362" s="313"/>
      <c r="J362" s="313"/>
      <c r="K362" s="313"/>
      <c r="L362" s="313"/>
      <c r="M362" s="313"/>
      <c r="N362" s="313"/>
      <c r="O362" s="313"/>
      <c r="P362" s="313"/>
    </row>
    <row r="363" spans="1:17">
      <c r="A363" s="390"/>
      <c r="B363" s="315"/>
      <c r="C363" s="313"/>
      <c r="D363" s="313"/>
      <c r="E363" s="313"/>
      <c r="F363" s="313"/>
      <c r="G363" s="313"/>
      <c r="H363" s="313"/>
      <c r="I363" s="313"/>
      <c r="J363" s="313"/>
      <c r="K363" s="313"/>
      <c r="L363" s="313"/>
      <c r="M363" s="313"/>
      <c r="N363" s="313"/>
      <c r="O363" s="313"/>
      <c r="P363" s="313"/>
    </row>
    <row r="364" spans="1:17">
      <c r="A364" s="390"/>
      <c r="B364" s="315"/>
      <c r="C364" s="313"/>
      <c r="D364" s="313"/>
      <c r="E364" s="313"/>
      <c r="F364" s="313"/>
      <c r="G364" s="313"/>
      <c r="H364" s="313"/>
      <c r="I364" s="313"/>
      <c r="J364" s="313"/>
      <c r="K364" s="313"/>
      <c r="L364" s="313"/>
      <c r="M364" s="313"/>
      <c r="N364" s="313"/>
      <c r="O364" s="313"/>
      <c r="P364" s="313"/>
    </row>
    <row r="365" spans="1:17">
      <c r="A365" s="390"/>
      <c r="B365" s="315"/>
      <c r="C365" s="313"/>
      <c r="D365" s="313"/>
      <c r="E365" s="313"/>
      <c r="F365" s="313"/>
      <c r="G365" s="313"/>
      <c r="H365" s="313"/>
      <c r="I365" s="313"/>
      <c r="J365" s="313"/>
      <c r="K365" s="313"/>
      <c r="L365" s="313"/>
      <c r="M365" s="313"/>
      <c r="N365" s="313"/>
      <c r="O365" s="313"/>
      <c r="P365" s="313"/>
    </row>
    <row r="366" spans="1:17">
      <c r="A366" s="390"/>
      <c r="B366" s="315"/>
      <c r="C366" s="313"/>
      <c r="D366" s="313"/>
      <c r="E366" s="313"/>
      <c r="F366" s="313"/>
      <c r="G366" s="313"/>
      <c r="H366" s="313"/>
      <c r="I366" s="313"/>
      <c r="J366" s="313"/>
      <c r="K366" s="313"/>
      <c r="L366" s="313"/>
      <c r="M366" s="313"/>
      <c r="N366" s="313"/>
      <c r="O366" s="313"/>
      <c r="P366" s="313"/>
    </row>
    <row r="367" spans="1:17">
      <c r="A367" s="390"/>
      <c r="B367" s="315"/>
      <c r="C367" s="313"/>
      <c r="D367" s="313"/>
      <c r="E367" s="313"/>
      <c r="F367" s="313"/>
      <c r="G367" s="313"/>
      <c r="H367" s="313"/>
      <c r="I367" s="313"/>
      <c r="J367" s="313"/>
      <c r="K367" s="313"/>
      <c r="L367" s="313"/>
      <c r="M367" s="313"/>
      <c r="N367" s="313"/>
      <c r="O367" s="313"/>
      <c r="P367" s="313"/>
    </row>
    <row r="368" spans="1:17">
      <c r="A368" s="390"/>
      <c r="B368" s="315"/>
      <c r="C368" s="313"/>
      <c r="D368" s="313"/>
      <c r="E368" s="313"/>
      <c r="F368" s="313"/>
      <c r="G368" s="313"/>
      <c r="H368" s="313"/>
      <c r="I368" s="313"/>
      <c r="J368" s="313"/>
      <c r="K368" s="313"/>
      <c r="L368" s="313"/>
      <c r="M368" s="313"/>
      <c r="N368" s="313"/>
      <c r="O368" s="313"/>
      <c r="P368" s="313"/>
    </row>
    <row r="369" spans="1:16">
      <c r="A369" s="390"/>
      <c r="B369" s="374"/>
      <c r="C369" s="374"/>
      <c r="D369" s="374"/>
      <c r="E369" s="374"/>
      <c r="F369" s="374"/>
      <c r="G369" s="374"/>
      <c r="H369" s="374"/>
      <c r="I369" s="374"/>
      <c r="J369" s="374"/>
      <c r="K369" s="374"/>
      <c r="L369" s="374"/>
      <c r="M369" s="374"/>
      <c r="N369" s="374"/>
      <c r="O369" s="374"/>
      <c r="P369" s="374"/>
    </row>
    <row r="370" spans="1:16">
      <c r="A370" s="390"/>
      <c r="B370" s="374"/>
      <c r="C370" s="374"/>
      <c r="D370" s="374"/>
      <c r="E370" s="374"/>
      <c r="F370" s="374"/>
      <c r="G370" s="374"/>
      <c r="H370" s="374"/>
      <c r="I370" s="374"/>
      <c r="J370" s="374"/>
      <c r="K370" s="374"/>
      <c r="L370" s="374"/>
      <c r="M370" s="374"/>
      <c r="N370" s="374"/>
      <c r="O370" s="374"/>
      <c r="P370" s="374"/>
    </row>
    <row r="371" spans="1:16">
      <c r="A371" s="390"/>
      <c r="B371" s="374"/>
      <c r="C371" s="388"/>
      <c r="D371" s="374"/>
      <c r="E371" s="374"/>
      <c r="F371" s="374"/>
      <c r="G371" s="374"/>
      <c r="H371" s="374"/>
      <c r="I371" s="374"/>
      <c r="J371" s="374"/>
      <c r="K371" s="374"/>
      <c r="L371" s="374"/>
      <c r="M371" s="374"/>
      <c r="N371" s="374"/>
      <c r="O371" s="374"/>
      <c r="P371" s="374"/>
    </row>
    <row r="372" spans="1:16">
      <c r="A372" s="390"/>
      <c r="B372" s="34"/>
      <c r="C372" s="363"/>
      <c r="D372" s="363"/>
      <c r="E372" s="363"/>
      <c r="F372" s="363"/>
      <c r="G372" s="363"/>
      <c r="H372" s="363"/>
      <c r="I372" s="363"/>
      <c r="J372" s="363"/>
      <c r="K372" s="363"/>
      <c r="L372" s="363"/>
      <c r="M372" s="363"/>
      <c r="N372" s="363"/>
      <c r="O372" s="363"/>
      <c r="P372" s="33"/>
    </row>
    <row r="373" spans="1:16">
      <c r="A373" s="390"/>
      <c r="B373" s="34"/>
      <c r="C373" s="363"/>
      <c r="D373" s="363"/>
      <c r="E373" s="363"/>
      <c r="F373" s="363"/>
      <c r="G373" s="363"/>
      <c r="H373" s="363"/>
      <c r="I373" s="363"/>
      <c r="J373" s="363"/>
      <c r="K373" s="363"/>
      <c r="L373" s="363"/>
      <c r="M373" s="363"/>
      <c r="N373" s="363"/>
      <c r="O373" s="363"/>
      <c r="P373" s="36"/>
    </row>
    <row r="374" spans="1:16">
      <c r="A374" s="390"/>
      <c r="B374" s="34"/>
      <c r="C374" s="363"/>
      <c r="D374" s="363"/>
      <c r="E374" s="363"/>
      <c r="F374" s="363"/>
      <c r="G374" s="363"/>
      <c r="H374" s="363"/>
      <c r="I374" s="363"/>
      <c r="J374" s="363"/>
      <c r="K374" s="363"/>
      <c r="L374" s="363"/>
      <c r="M374" s="363"/>
      <c r="N374" s="363"/>
      <c r="O374" s="363"/>
      <c r="P374" s="36"/>
    </row>
    <row r="375" spans="1:16">
      <c r="A375" s="390"/>
      <c r="B375" s="34"/>
      <c r="C375" s="363"/>
      <c r="D375" s="363"/>
      <c r="E375" s="363"/>
      <c r="F375" s="363"/>
      <c r="G375" s="363"/>
      <c r="H375" s="363"/>
      <c r="I375" s="363"/>
      <c r="J375" s="363"/>
      <c r="K375" s="363"/>
      <c r="L375" s="363"/>
      <c r="M375" s="363"/>
      <c r="N375" s="363"/>
      <c r="O375" s="363"/>
      <c r="P375" s="36"/>
    </row>
    <row r="376" spans="1:16">
      <c r="A376" s="390"/>
      <c r="B376" s="34"/>
      <c r="C376" s="363"/>
      <c r="D376" s="363"/>
      <c r="E376" s="363"/>
      <c r="F376" s="363"/>
      <c r="G376" s="363"/>
      <c r="H376" s="363"/>
      <c r="I376" s="363"/>
      <c r="J376" s="363"/>
      <c r="K376" s="363"/>
      <c r="L376" s="363"/>
      <c r="M376" s="363"/>
      <c r="N376" s="363"/>
      <c r="O376" s="363"/>
      <c r="P376" s="36"/>
    </row>
    <row r="377" spans="1:16">
      <c r="A377" s="390"/>
      <c r="B377" s="34"/>
      <c r="C377" s="300"/>
      <c r="D377" s="300"/>
      <c r="E377" s="300"/>
      <c r="F377" s="300"/>
      <c r="G377" s="300"/>
      <c r="H377" s="300"/>
      <c r="I377" s="300"/>
      <c r="J377" s="300"/>
      <c r="K377" s="300"/>
      <c r="L377" s="300"/>
      <c r="M377" s="300"/>
      <c r="N377" s="300"/>
      <c r="O377" s="300"/>
      <c r="P377" s="63"/>
    </row>
    <row r="378" spans="1:16">
      <c r="A378" s="390"/>
      <c r="B378" s="73"/>
      <c r="C378" s="19"/>
      <c r="D378" s="19"/>
      <c r="E378" s="19"/>
      <c r="F378" s="19"/>
      <c r="G378" s="19"/>
      <c r="H378" s="19"/>
      <c r="I378" s="19"/>
      <c r="J378" s="19" t="s">
        <v>38</v>
      </c>
      <c r="K378" s="19"/>
      <c r="L378" s="19"/>
      <c r="M378" s="19"/>
      <c r="N378" s="19"/>
      <c r="O378" s="19"/>
      <c r="P378" s="74"/>
    </row>
    <row r="379" spans="1:16">
      <c r="A379" s="390"/>
      <c r="B379" s="390"/>
      <c r="C379" s="390"/>
      <c r="D379" s="390"/>
      <c r="E379" s="390"/>
      <c r="F379" s="390"/>
      <c r="G379" s="390"/>
      <c r="H379" s="390"/>
      <c r="I379" s="390"/>
      <c r="J379" s="390"/>
      <c r="K379" s="390"/>
      <c r="L379" s="390"/>
      <c r="M379" s="390"/>
      <c r="N379" s="390"/>
      <c r="O379" s="390"/>
      <c r="P379" s="390"/>
    </row>
    <row r="380" spans="1:16">
      <c r="A380" s="390"/>
      <c r="B380" s="390"/>
      <c r="C380" s="390"/>
      <c r="D380" s="390"/>
      <c r="E380" s="390"/>
      <c r="F380" s="390"/>
      <c r="G380" s="390"/>
      <c r="H380" s="390"/>
      <c r="I380" s="390"/>
      <c r="J380" s="390"/>
      <c r="K380" s="390"/>
      <c r="L380" s="390"/>
      <c r="M380" s="390"/>
      <c r="N380" s="390"/>
      <c r="O380" s="390"/>
      <c r="P380" s="390"/>
    </row>
    <row r="381" spans="1:16">
      <c r="A381" s="390"/>
      <c r="B381" s="390"/>
      <c r="C381" s="390"/>
      <c r="D381" s="390"/>
      <c r="E381" s="390"/>
      <c r="F381" s="390"/>
      <c r="G381" s="390"/>
      <c r="H381" s="390"/>
      <c r="I381" s="390"/>
      <c r="J381" s="390"/>
      <c r="K381" s="390"/>
      <c r="L381" s="390"/>
      <c r="M381" s="390"/>
      <c r="N381" s="390"/>
      <c r="O381" s="390"/>
      <c r="P381" s="390"/>
    </row>
    <row r="382" spans="1:16">
      <c r="A382" s="390"/>
      <c r="B382" s="390"/>
      <c r="C382" s="390"/>
      <c r="D382" s="390"/>
      <c r="E382" s="390"/>
      <c r="F382" s="390"/>
      <c r="G382" s="390"/>
      <c r="H382" s="390"/>
      <c r="I382" s="390"/>
      <c r="J382" s="390"/>
      <c r="K382" s="390"/>
      <c r="L382" s="390"/>
      <c r="M382" s="390"/>
      <c r="N382" s="390"/>
      <c r="O382" s="390"/>
      <c r="P382" s="390"/>
    </row>
    <row r="383" spans="1:16">
      <c r="A383" s="390"/>
      <c r="B383" s="390"/>
      <c r="C383" s="390"/>
      <c r="D383" s="390"/>
      <c r="E383" s="390"/>
      <c r="F383" s="390"/>
      <c r="G383" s="390"/>
      <c r="H383" s="390"/>
      <c r="I383" s="390"/>
      <c r="J383" s="390"/>
      <c r="K383" s="390"/>
      <c r="L383" s="390"/>
      <c r="M383" s="390"/>
      <c r="N383" s="390"/>
      <c r="O383" s="390"/>
      <c r="P383" s="390"/>
    </row>
    <row r="384" spans="1:16">
      <c r="A384" s="390"/>
      <c r="B384" s="390"/>
      <c r="C384" s="390"/>
      <c r="D384" s="390"/>
      <c r="E384" s="390"/>
      <c r="F384" s="390"/>
      <c r="G384" s="390"/>
      <c r="H384" s="390"/>
      <c r="I384" s="390"/>
      <c r="J384" s="390"/>
      <c r="K384" s="390"/>
      <c r="L384" s="390"/>
      <c r="M384" s="390"/>
      <c r="N384" s="390"/>
      <c r="O384" s="390"/>
      <c r="P384" s="390"/>
    </row>
    <row r="385" spans="1:16">
      <c r="A385" s="390"/>
      <c r="B385" s="390"/>
      <c r="C385" s="390"/>
      <c r="D385" s="390"/>
      <c r="E385" s="390"/>
      <c r="F385" s="390"/>
      <c r="G385" s="390"/>
      <c r="H385" s="390"/>
      <c r="I385" s="390"/>
      <c r="J385" s="390"/>
      <c r="K385" s="390"/>
      <c r="L385" s="390"/>
      <c r="M385" s="390"/>
      <c r="N385" s="390"/>
      <c r="O385" s="390"/>
      <c r="P385" s="390"/>
    </row>
    <row r="386" spans="1:16" ht="15.75" thickBot="1">
      <c r="A386" s="390"/>
      <c r="B386" s="390"/>
      <c r="C386" s="390"/>
      <c r="D386" s="390"/>
      <c r="E386" s="390"/>
      <c r="F386" s="390"/>
      <c r="G386" s="390"/>
      <c r="H386" s="390"/>
      <c r="I386" s="390"/>
      <c r="J386" s="390"/>
      <c r="K386" s="390"/>
      <c r="L386" s="390"/>
      <c r="M386" s="390"/>
      <c r="N386" s="390"/>
      <c r="O386" s="390"/>
      <c r="P386" s="390"/>
    </row>
    <row r="387" spans="1:16">
      <c r="A387" s="390"/>
      <c r="B387" s="1180" t="s">
        <v>727</v>
      </c>
      <c r="C387" s="1180"/>
      <c r="D387" s="1180"/>
      <c r="E387" s="1180"/>
      <c r="F387" s="1180"/>
      <c r="G387" s="1180"/>
      <c r="H387" s="1180"/>
      <c r="I387" s="1180"/>
      <c r="J387" s="1180"/>
      <c r="K387" s="1180"/>
      <c r="L387" s="1180"/>
      <c r="M387" s="1180"/>
      <c r="N387" s="1180"/>
      <c r="O387" s="1180"/>
      <c r="P387" s="1181"/>
    </row>
    <row r="388" spans="1:16">
      <c r="A388" s="390"/>
      <c r="B388" s="1182"/>
      <c r="C388" s="1182"/>
      <c r="D388" s="1182"/>
      <c r="E388" s="1182"/>
      <c r="F388" s="1182"/>
      <c r="G388" s="1182"/>
      <c r="H388" s="1182"/>
      <c r="I388" s="1182"/>
      <c r="J388" s="1182"/>
      <c r="K388" s="1182"/>
      <c r="L388" s="1182"/>
      <c r="M388" s="1182"/>
      <c r="N388" s="1182"/>
      <c r="O388" s="1182"/>
      <c r="P388" s="1183"/>
    </row>
    <row r="389" spans="1:16">
      <c r="A389" s="390"/>
      <c r="B389" s="1184" t="s">
        <v>728</v>
      </c>
      <c r="C389" s="1184"/>
      <c r="D389" s="1184"/>
      <c r="E389" s="1184"/>
      <c r="F389" s="1184"/>
      <c r="G389" s="1184"/>
      <c r="H389" s="1184"/>
      <c r="I389" s="1184"/>
      <c r="J389" s="1184"/>
      <c r="K389" s="1184"/>
      <c r="L389" s="1184"/>
      <c r="M389" s="1184"/>
      <c r="N389" s="1184"/>
      <c r="O389" s="1184"/>
      <c r="P389" s="1185"/>
    </row>
    <row r="390" spans="1:16">
      <c r="A390" s="390"/>
      <c r="B390" s="31" t="s">
        <v>199</v>
      </c>
      <c r="C390" s="32"/>
      <c r="D390" s="609" t="s">
        <v>425</v>
      </c>
      <c r="E390" s="300"/>
      <c r="F390" s="33"/>
      <c r="G390" s="32"/>
      <c r="H390" s="32"/>
      <c r="I390" s="40" t="s">
        <v>145</v>
      </c>
      <c r="J390" s="75"/>
      <c r="K390" s="75"/>
      <c r="L390" s="75"/>
      <c r="M390" s="75"/>
      <c r="N390" s="75"/>
      <c r="O390" s="75"/>
      <c r="P390" s="369"/>
    </row>
    <row r="391" spans="1:16" ht="15.75">
      <c r="A391" s="390"/>
      <c r="B391" s="34"/>
      <c r="C391" s="363" t="s">
        <v>426</v>
      </c>
      <c r="D391" s="363"/>
      <c r="E391" s="36"/>
      <c r="F391" s="76"/>
      <c r="G391" s="370"/>
      <c r="H391" s="300"/>
      <c r="I391" s="382" t="str">
        <f>'04-22-Master'!B25</f>
        <v>ROOPINI CHIYYARAPU</v>
      </c>
      <c r="J391" s="370"/>
      <c r="K391" s="370"/>
      <c r="L391" s="370"/>
      <c r="M391" s="370"/>
      <c r="N391" s="370"/>
      <c r="O391" s="370"/>
      <c r="P391" s="371"/>
    </row>
    <row r="392" spans="1:16">
      <c r="A392" s="390"/>
      <c r="B392" s="37"/>
      <c r="C392" s="38"/>
      <c r="D392" s="38"/>
      <c r="E392" s="39"/>
      <c r="F392" s="77"/>
      <c r="G392" s="78"/>
      <c r="H392" s="78"/>
      <c r="I392" s="78"/>
      <c r="J392" s="78"/>
      <c r="K392" s="78"/>
      <c r="L392" s="78"/>
      <c r="M392" s="78"/>
      <c r="N392" s="78"/>
      <c r="O392" s="78"/>
      <c r="P392" s="372"/>
    </row>
    <row r="393" spans="1:16">
      <c r="A393" s="390"/>
      <c r="B393" s="1186"/>
      <c r="C393" s="1186"/>
      <c r="D393" s="1186"/>
      <c r="E393" s="1186"/>
      <c r="F393" s="40"/>
      <c r="G393" s="32"/>
      <c r="H393" s="32"/>
      <c r="I393" s="32"/>
      <c r="J393" s="32"/>
      <c r="K393" s="32"/>
      <c r="L393" s="32"/>
      <c r="M393" s="32"/>
      <c r="N393" s="32"/>
      <c r="O393" s="32"/>
      <c r="P393" s="33"/>
    </row>
    <row r="394" spans="1:16">
      <c r="A394" s="390"/>
      <c r="B394" s="1186"/>
      <c r="C394" s="1186"/>
      <c r="D394" s="1186"/>
      <c r="E394" s="1186"/>
      <c r="F394" s="300"/>
      <c r="G394" s="363"/>
      <c r="H394" s="152"/>
      <c r="I394" s="300" t="s">
        <v>147</v>
      </c>
      <c r="J394" s="373"/>
      <c r="K394" s="373"/>
      <c r="L394" s="363"/>
      <c r="M394" s="363"/>
      <c r="N394" s="363"/>
      <c r="O394" s="363"/>
      <c r="P394" s="36"/>
    </row>
    <row r="395" spans="1:16">
      <c r="A395" s="390"/>
      <c r="B395" s="1186"/>
      <c r="C395" s="1186"/>
      <c r="D395" s="1186"/>
      <c r="E395" s="1186"/>
      <c r="F395" s="34"/>
      <c r="G395" s="363"/>
      <c r="H395" s="363"/>
      <c r="I395" s="363" t="str">
        <f>'04-22-Master'!E25</f>
        <v>C.ChandraReddy</v>
      </c>
      <c r="J395" s="363"/>
      <c r="K395" s="363"/>
      <c r="L395" s="363"/>
      <c r="M395" s="363"/>
      <c r="N395" s="363"/>
      <c r="O395" s="363"/>
      <c r="P395" s="36"/>
    </row>
    <row r="396" spans="1:16">
      <c r="A396" s="390"/>
      <c r="B396" s="1186"/>
      <c r="C396" s="1186"/>
      <c r="D396" s="1186"/>
      <c r="E396" s="1186"/>
      <c r="F396" s="300"/>
      <c r="G396" s="38"/>
      <c r="H396" s="112"/>
      <c r="I396" s="300" t="s">
        <v>148</v>
      </c>
      <c r="J396" s="38"/>
      <c r="K396" s="38"/>
      <c r="L396" s="112">
        <f>'04-22-Master'!I25</f>
        <v>44610</v>
      </c>
      <c r="M396" s="38"/>
      <c r="N396" s="38"/>
      <c r="O396" s="38"/>
      <c r="P396" s="39"/>
    </row>
    <row r="397" spans="1:16">
      <c r="A397" s="390"/>
      <c r="B397" s="1187" t="e">
        <f>#REF!</f>
        <v>#REF!</v>
      </c>
      <c r="C397" s="1189" t="s">
        <v>431</v>
      </c>
      <c r="D397" s="1190"/>
      <c r="E397" s="1189" t="s">
        <v>432</v>
      </c>
      <c r="F397" s="1190"/>
      <c r="G397" s="1193" t="s">
        <v>433</v>
      </c>
      <c r="H397" s="1189" t="s">
        <v>434</v>
      </c>
      <c r="I397" s="1194"/>
      <c r="J397" s="1195" t="s">
        <v>435</v>
      </c>
      <c r="K397" s="1194"/>
      <c r="L397" s="1196"/>
      <c r="M397" s="1195" t="s">
        <v>436</v>
      </c>
      <c r="N397" s="1194"/>
      <c r="O397" s="1194"/>
      <c r="P397" s="1200" t="s">
        <v>437</v>
      </c>
    </row>
    <row r="398" spans="1:16" ht="15.75" thickBot="1">
      <c r="A398" s="390"/>
      <c r="B398" s="1188"/>
      <c r="C398" s="1189"/>
      <c r="D398" s="1190"/>
      <c r="E398" s="1189"/>
      <c r="F398" s="1190"/>
      <c r="G398" s="1187"/>
      <c r="H398" s="1189"/>
      <c r="I398" s="1194"/>
      <c r="J398" s="1197"/>
      <c r="K398" s="1198"/>
      <c r="L398" s="1199"/>
      <c r="M398" s="1197"/>
      <c r="N398" s="1198"/>
      <c r="O398" s="1198"/>
      <c r="P398" s="1201"/>
    </row>
    <row r="399" spans="1:16">
      <c r="A399" s="390"/>
      <c r="B399" s="352">
        <v>1</v>
      </c>
      <c r="C399" s="1191"/>
      <c r="D399" s="1192"/>
      <c r="E399" s="1191"/>
      <c r="F399" s="1192"/>
      <c r="G399" s="352">
        <v>6</v>
      </c>
      <c r="H399" s="1191"/>
      <c r="I399" s="1192"/>
      <c r="J399" s="311">
        <v>9</v>
      </c>
      <c r="K399" s="311"/>
      <c r="L399" s="311"/>
      <c r="M399" s="311">
        <v>9</v>
      </c>
      <c r="N399" s="311"/>
      <c r="O399" s="311"/>
      <c r="P399" s="312" t="s">
        <v>438</v>
      </c>
    </row>
    <row r="400" spans="1:16" ht="89.25">
      <c r="A400" s="390"/>
      <c r="B400" s="313"/>
      <c r="C400" s="313" t="s">
        <v>439</v>
      </c>
      <c r="D400" s="313" t="s">
        <v>440</v>
      </c>
      <c r="E400" s="313" t="s">
        <v>441</v>
      </c>
      <c r="F400" s="313" t="s">
        <v>150</v>
      </c>
      <c r="G400" s="313"/>
      <c r="H400" s="313" t="s">
        <v>442</v>
      </c>
      <c r="I400" s="313" t="s">
        <v>443</v>
      </c>
      <c r="J400" s="313" t="s">
        <v>149</v>
      </c>
      <c r="K400" s="313" t="s">
        <v>444</v>
      </c>
      <c r="L400" s="313" t="s">
        <v>445</v>
      </c>
      <c r="M400" s="313" t="s">
        <v>446</v>
      </c>
      <c r="N400" s="313" t="s">
        <v>447</v>
      </c>
      <c r="O400" s="314" t="s">
        <v>448</v>
      </c>
      <c r="P400" s="314"/>
    </row>
    <row r="401" spans="1:17">
      <c r="A401" s="390"/>
      <c r="B401" s="315"/>
      <c r="C401" s="313"/>
      <c r="D401" s="313"/>
      <c r="E401" s="316"/>
      <c r="F401" s="316"/>
      <c r="G401" s="313"/>
      <c r="H401" s="313"/>
      <c r="I401" s="313"/>
      <c r="J401" s="313"/>
      <c r="K401" s="313"/>
      <c r="L401" s="313"/>
      <c r="M401" s="313"/>
      <c r="N401" s="313"/>
      <c r="O401" s="313"/>
      <c r="P401" s="313"/>
    </row>
    <row r="402" spans="1:17" s="390" customFormat="1">
      <c r="B402" s="315" t="s">
        <v>1053</v>
      </c>
      <c r="C402" s="313">
        <v>0</v>
      </c>
      <c r="D402" s="313">
        <v>0</v>
      </c>
      <c r="E402" s="313">
        <v>0</v>
      </c>
      <c r="F402" s="313">
        <v>0</v>
      </c>
      <c r="G402" s="313">
        <f>G401+C402-D402</f>
        <v>0</v>
      </c>
      <c r="H402" s="313"/>
      <c r="I402" s="313"/>
      <c r="J402" s="313" t="s">
        <v>718</v>
      </c>
      <c r="K402" s="313" t="s">
        <v>152</v>
      </c>
      <c r="L402" s="313" t="s">
        <v>152</v>
      </c>
      <c r="M402" s="313"/>
      <c r="N402" s="313"/>
      <c r="O402" s="313"/>
      <c r="P402" s="313"/>
    </row>
    <row r="403" spans="1:17" s="855" customFormat="1">
      <c r="B403" s="315" t="s">
        <v>1100</v>
      </c>
      <c r="C403" s="313">
        <v>1.5</v>
      </c>
      <c r="D403" s="313">
        <v>1</v>
      </c>
      <c r="E403" s="316">
        <v>44648</v>
      </c>
      <c r="F403" s="316">
        <v>44648</v>
      </c>
      <c r="G403" s="313">
        <f>G402+C403-D403</f>
        <v>0.5</v>
      </c>
      <c r="H403" s="313"/>
      <c r="I403" s="313"/>
      <c r="J403" s="313" t="s">
        <v>152</v>
      </c>
      <c r="K403" s="313" t="s">
        <v>152</v>
      </c>
      <c r="L403" s="313" t="s">
        <v>152</v>
      </c>
      <c r="M403" s="313"/>
      <c r="N403" s="313"/>
      <c r="O403" s="313"/>
      <c r="P403" s="313"/>
    </row>
    <row r="404" spans="1:17" s="855" customFormat="1">
      <c r="B404" s="375" t="s">
        <v>1139</v>
      </c>
      <c r="C404" s="313">
        <v>1.5</v>
      </c>
      <c r="D404" s="313">
        <v>1</v>
      </c>
      <c r="E404" s="316">
        <v>44676</v>
      </c>
      <c r="F404" s="316">
        <v>44676</v>
      </c>
      <c r="G404" s="313">
        <f>G403+C404-D404</f>
        <v>1</v>
      </c>
      <c r="H404" s="313"/>
      <c r="I404" s="313"/>
      <c r="J404" s="313" t="s">
        <v>152</v>
      </c>
      <c r="K404" s="313" t="s">
        <v>152</v>
      </c>
      <c r="L404" s="313" t="s">
        <v>152</v>
      </c>
      <c r="M404" s="313"/>
      <c r="N404" s="313"/>
      <c r="O404" s="313"/>
      <c r="P404" s="313"/>
      <c r="Q404" s="855">
        <v>10</v>
      </c>
    </row>
    <row r="405" spans="1:17">
      <c r="A405" s="390"/>
      <c r="B405" s="315"/>
      <c r="C405" s="313"/>
      <c r="D405" s="313"/>
      <c r="E405" s="316"/>
      <c r="F405" s="316"/>
      <c r="G405" s="313"/>
      <c r="H405" s="313"/>
      <c r="I405" s="313"/>
      <c r="J405" s="313"/>
      <c r="K405" s="313"/>
      <c r="L405" s="313"/>
      <c r="M405" s="313"/>
      <c r="N405" s="313"/>
      <c r="O405" s="313"/>
      <c r="P405" s="313"/>
    </row>
    <row r="406" spans="1:17">
      <c r="A406" s="390"/>
      <c r="B406" s="601"/>
      <c r="C406" s="294"/>
      <c r="D406" s="294"/>
      <c r="E406" s="294"/>
      <c r="F406" s="294"/>
      <c r="G406" s="313"/>
      <c r="H406" s="294"/>
      <c r="I406" s="294"/>
      <c r="J406" s="313"/>
      <c r="K406" s="313"/>
      <c r="L406" s="313"/>
      <c r="M406" s="313"/>
      <c r="N406" s="313"/>
      <c r="O406" s="313"/>
      <c r="P406" s="313"/>
    </row>
    <row r="407" spans="1:17">
      <c r="A407" s="390"/>
      <c r="B407" s="315"/>
      <c r="C407" s="307"/>
      <c r="D407" s="313"/>
      <c r="E407" s="313"/>
      <c r="F407" s="313"/>
      <c r="G407" s="313"/>
      <c r="H407" s="313"/>
      <c r="I407" s="313"/>
      <c r="J407" s="313"/>
      <c r="K407" s="313"/>
      <c r="L407" s="313"/>
      <c r="M407" s="313"/>
      <c r="N407" s="313"/>
      <c r="O407" s="313"/>
      <c r="P407" s="313"/>
    </row>
    <row r="408" spans="1:17">
      <c r="A408" s="390"/>
      <c r="B408" s="315"/>
      <c r="C408" s="313"/>
      <c r="D408" s="313"/>
      <c r="E408" s="313"/>
      <c r="F408" s="313"/>
      <c r="G408" s="313"/>
      <c r="H408" s="313"/>
      <c r="I408" s="313"/>
      <c r="J408" s="313"/>
      <c r="K408" s="313"/>
      <c r="L408" s="313"/>
      <c r="M408" s="313"/>
      <c r="N408" s="313"/>
      <c r="O408" s="313"/>
      <c r="P408" s="313"/>
    </row>
    <row r="409" spans="1:17">
      <c r="A409" s="390"/>
      <c r="B409" s="315"/>
      <c r="C409" s="313"/>
      <c r="D409" s="313"/>
      <c r="E409" s="313"/>
      <c r="F409" s="313"/>
      <c r="G409" s="313"/>
      <c r="H409" s="313"/>
      <c r="I409" s="313"/>
      <c r="J409" s="313"/>
      <c r="K409" s="313"/>
      <c r="L409" s="313"/>
      <c r="M409" s="313"/>
      <c r="N409" s="313"/>
      <c r="O409" s="313"/>
      <c r="P409" s="313"/>
    </row>
    <row r="410" spans="1:17">
      <c r="A410" s="390"/>
      <c r="B410" s="315"/>
      <c r="C410" s="313"/>
      <c r="D410" s="313"/>
      <c r="E410" s="313"/>
      <c r="F410" s="313"/>
      <c r="G410" s="313"/>
      <c r="H410" s="313"/>
      <c r="I410" s="313"/>
      <c r="J410" s="313"/>
      <c r="K410" s="313"/>
      <c r="L410" s="313"/>
      <c r="M410" s="313"/>
      <c r="N410" s="313"/>
      <c r="O410" s="313"/>
      <c r="P410" s="313"/>
    </row>
    <row r="411" spans="1:17">
      <c r="A411" s="390"/>
      <c r="B411" s="315"/>
      <c r="C411" s="313"/>
      <c r="D411" s="313"/>
      <c r="E411" s="313"/>
      <c r="F411" s="313"/>
      <c r="G411" s="313"/>
      <c r="H411" s="313"/>
      <c r="I411" s="313"/>
      <c r="J411" s="313"/>
      <c r="K411" s="313"/>
      <c r="L411" s="313"/>
      <c r="M411" s="313"/>
      <c r="N411" s="313"/>
      <c r="O411" s="313"/>
      <c r="P411" s="313"/>
    </row>
    <row r="412" spans="1:17">
      <c r="A412" s="390"/>
      <c r="B412" s="315"/>
      <c r="C412" s="313"/>
      <c r="D412" s="313"/>
      <c r="E412" s="313"/>
      <c r="F412" s="313"/>
      <c r="G412" s="313"/>
      <c r="H412" s="313"/>
      <c r="I412" s="313"/>
      <c r="J412" s="313"/>
      <c r="K412" s="313"/>
      <c r="L412" s="313"/>
      <c r="M412" s="313"/>
      <c r="N412" s="313"/>
      <c r="O412" s="313"/>
      <c r="P412" s="313"/>
    </row>
    <row r="413" spans="1:17">
      <c r="A413" s="390"/>
      <c r="B413" s="315"/>
      <c r="C413" s="313"/>
      <c r="D413" s="313"/>
      <c r="E413" s="313"/>
      <c r="F413" s="313"/>
      <c r="G413" s="313"/>
      <c r="H413" s="313"/>
      <c r="I413" s="313"/>
      <c r="J413" s="313"/>
      <c r="K413" s="313"/>
      <c r="L413" s="313"/>
      <c r="M413" s="313"/>
      <c r="N413" s="313"/>
      <c r="O413" s="313"/>
      <c r="P413" s="313"/>
    </row>
    <row r="414" spans="1:17">
      <c r="A414" s="390"/>
      <c r="B414" s="374"/>
      <c r="C414" s="374"/>
      <c r="D414" s="374"/>
      <c r="E414" s="374"/>
      <c r="F414" s="374"/>
      <c r="G414" s="374"/>
      <c r="H414" s="374"/>
      <c r="I414" s="374"/>
      <c r="J414" s="374"/>
      <c r="K414" s="374"/>
      <c r="L414" s="374"/>
      <c r="M414" s="374"/>
      <c r="N414" s="374"/>
      <c r="O414" s="374"/>
      <c r="P414" s="374"/>
    </row>
    <row r="415" spans="1:17">
      <c r="A415" s="390"/>
      <c r="B415" s="374"/>
      <c r="C415" s="374"/>
      <c r="D415" s="374"/>
      <c r="E415" s="374"/>
      <c r="F415" s="374"/>
      <c r="G415" s="374"/>
      <c r="H415" s="374"/>
      <c r="I415" s="374"/>
      <c r="J415" s="374"/>
      <c r="K415" s="374"/>
      <c r="L415" s="374"/>
      <c r="M415" s="374"/>
      <c r="N415" s="374"/>
      <c r="O415" s="374"/>
      <c r="P415" s="374"/>
    </row>
    <row r="416" spans="1:17">
      <c r="A416" s="390"/>
      <c r="B416" s="374"/>
      <c r="C416" s="388"/>
      <c r="D416" s="374"/>
      <c r="E416" s="374"/>
      <c r="F416" s="374"/>
      <c r="G416" s="374"/>
      <c r="H416" s="374"/>
      <c r="I416" s="374"/>
      <c r="J416" s="374"/>
      <c r="K416" s="374"/>
      <c r="L416" s="374"/>
      <c r="M416" s="374"/>
      <c r="N416" s="374"/>
      <c r="O416" s="374"/>
      <c r="P416" s="374"/>
    </row>
    <row r="417" spans="1:16">
      <c r="A417" s="390"/>
      <c r="B417" s="34"/>
      <c r="C417" s="363"/>
      <c r="D417" s="363"/>
      <c r="E417" s="363"/>
      <c r="F417" s="363"/>
      <c r="G417" s="363"/>
      <c r="H417" s="363"/>
      <c r="I417" s="363"/>
      <c r="J417" s="363"/>
      <c r="K417" s="363"/>
      <c r="L417" s="363"/>
      <c r="M417" s="363"/>
      <c r="N417" s="363"/>
      <c r="O417" s="363"/>
      <c r="P417" s="33"/>
    </row>
    <row r="418" spans="1:16">
      <c r="A418" s="390"/>
      <c r="B418" s="34"/>
      <c r="C418" s="363"/>
      <c r="D418" s="363"/>
      <c r="E418" s="363"/>
      <c r="F418" s="363"/>
      <c r="G418" s="363"/>
      <c r="H418" s="363"/>
      <c r="I418" s="363"/>
      <c r="J418" s="363"/>
      <c r="K418" s="363"/>
      <c r="L418" s="363"/>
      <c r="M418" s="363"/>
      <c r="N418" s="363"/>
      <c r="O418" s="363"/>
      <c r="P418" s="36"/>
    </row>
    <row r="419" spans="1:16">
      <c r="A419" s="390"/>
      <c r="B419" s="34"/>
      <c r="C419" s="363"/>
      <c r="D419" s="363"/>
      <c r="E419" s="363"/>
      <c r="F419" s="363"/>
      <c r="G419" s="363"/>
      <c r="H419" s="363"/>
      <c r="I419" s="363"/>
      <c r="J419" s="363"/>
      <c r="K419" s="363"/>
      <c r="L419" s="363"/>
      <c r="M419" s="363"/>
      <c r="N419" s="363"/>
      <c r="O419" s="363"/>
      <c r="P419" s="36"/>
    </row>
    <row r="420" spans="1:16">
      <c r="A420" s="390"/>
      <c r="B420" s="34"/>
      <c r="C420" s="363"/>
      <c r="D420" s="363"/>
      <c r="E420" s="363"/>
      <c r="F420" s="363"/>
      <c r="G420" s="363"/>
      <c r="H420" s="363"/>
      <c r="I420" s="363"/>
      <c r="J420" s="363"/>
      <c r="K420" s="363"/>
      <c r="L420" s="363"/>
      <c r="M420" s="363"/>
      <c r="N420" s="363"/>
      <c r="O420" s="363"/>
      <c r="P420" s="36"/>
    </row>
    <row r="421" spans="1:16">
      <c r="A421" s="390"/>
      <c r="B421" s="34"/>
      <c r="C421" s="363"/>
      <c r="D421" s="363"/>
      <c r="E421" s="363"/>
      <c r="F421" s="363"/>
      <c r="G421" s="363"/>
      <c r="H421" s="363"/>
      <c r="I421" s="363"/>
      <c r="J421" s="363"/>
      <c r="K421" s="363"/>
      <c r="L421" s="363"/>
      <c r="M421" s="363"/>
      <c r="N421" s="363"/>
      <c r="O421" s="363"/>
      <c r="P421" s="36"/>
    </row>
    <row r="422" spans="1:16">
      <c r="A422" s="390"/>
      <c r="B422" s="34"/>
      <c r="C422" s="300"/>
      <c r="D422" s="300"/>
      <c r="E422" s="300"/>
      <c r="F422" s="300"/>
      <c r="G422" s="300"/>
      <c r="H422" s="300"/>
      <c r="I422" s="300"/>
      <c r="J422" s="300"/>
      <c r="K422" s="300"/>
      <c r="L422" s="300"/>
      <c r="M422" s="300"/>
      <c r="N422" s="300"/>
      <c r="O422" s="300"/>
      <c r="P422" s="63"/>
    </row>
    <row r="423" spans="1:16">
      <c r="A423" s="390"/>
      <c r="B423" s="73"/>
      <c r="C423" s="19"/>
      <c r="D423" s="19"/>
      <c r="E423" s="19"/>
      <c r="F423" s="19"/>
      <c r="G423" s="19"/>
      <c r="H423" s="19"/>
      <c r="I423" s="19"/>
      <c r="J423" s="19" t="s">
        <v>38</v>
      </c>
      <c r="K423" s="19"/>
      <c r="L423" s="19"/>
      <c r="M423" s="19"/>
      <c r="N423" s="19"/>
      <c r="O423" s="19"/>
      <c r="P423" s="74"/>
    </row>
    <row r="424" spans="1:16">
      <c r="A424" s="390"/>
      <c r="B424" s="390"/>
      <c r="C424" s="390"/>
      <c r="D424" s="390"/>
      <c r="E424" s="390"/>
      <c r="F424" s="390"/>
      <c r="G424" s="390"/>
      <c r="H424" s="390"/>
      <c r="I424" s="390"/>
      <c r="J424" s="390"/>
      <c r="K424" s="390"/>
      <c r="L424" s="390"/>
      <c r="M424" s="390"/>
      <c r="N424" s="390"/>
      <c r="O424" s="390"/>
      <c r="P424" s="390"/>
    </row>
    <row r="425" spans="1:16">
      <c r="A425" s="390"/>
      <c r="B425" s="390"/>
      <c r="C425" s="390"/>
      <c r="D425" s="390"/>
      <c r="E425" s="390"/>
      <c r="F425" s="390"/>
      <c r="G425" s="390"/>
      <c r="H425" s="390"/>
      <c r="I425" s="390"/>
      <c r="J425" s="390"/>
      <c r="K425" s="390"/>
      <c r="L425" s="390"/>
      <c r="M425" s="390"/>
      <c r="N425" s="390"/>
      <c r="O425" s="390"/>
      <c r="P425" s="390"/>
    </row>
    <row r="426" spans="1:16">
      <c r="A426" s="390"/>
      <c r="B426" s="390"/>
      <c r="C426" s="390"/>
      <c r="D426" s="390"/>
      <c r="E426" s="390"/>
      <c r="F426" s="390"/>
      <c r="G426" s="390"/>
      <c r="H426" s="390"/>
      <c r="I426" s="390"/>
      <c r="J426" s="390"/>
      <c r="K426" s="390"/>
      <c r="L426" s="390"/>
      <c r="M426" s="390"/>
      <c r="N426" s="390"/>
      <c r="O426" s="390"/>
      <c r="P426" s="390"/>
    </row>
    <row r="427" spans="1:16">
      <c r="A427" s="390"/>
      <c r="B427" s="390"/>
      <c r="C427" s="390"/>
      <c r="D427" s="390"/>
      <c r="E427" s="390"/>
      <c r="F427" s="390"/>
      <c r="G427" s="390"/>
      <c r="H427" s="390"/>
      <c r="I427" s="390"/>
      <c r="J427" s="390"/>
      <c r="K427" s="390"/>
      <c r="L427" s="390"/>
      <c r="M427" s="390"/>
      <c r="N427" s="390"/>
      <c r="O427" s="390"/>
      <c r="P427" s="390"/>
    </row>
    <row r="428" spans="1:16">
      <c r="A428" s="390"/>
      <c r="B428" s="390"/>
      <c r="C428" s="390"/>
      <c r="D428" s="390"/>
      <c r="E428" s="390"/>
      <c r="F428" s="390"/>
      <c r="G428" s="390"/>
      <c r="H428" s="390"/>
      <c r="I428" s="390"/>
      <c r="J428" s="390"/>
      <c r="K428" s="390"/>
      <c r="L428" s="390"/>
      <c r="M428" s="390"/>
      <c r="N428" s="390"/>
      <c r="O428" s="390"/>
      <c r="P428" s="390"/>
    </row>
    <row r="429" spans="1:16">
      <c r="A429" s="390"/>
      <c r="B429" s="390"/>
      <c r="C429" s="390"/>
      <c r="D429" s="390"/>
      <c r="E429" s="390"/>
      <c r="F429" s="390"/>
      <c r="G429" s="390"/>
      <c r="H429" s="390"/>
      <c r="I429" s="390"/>
      <c r="J429" s="390"/>
      <c r="K429" s="390"/>
      <c r="L429" s="390"/>
      <c r="M429" s="390"/>
      <c r="N429" s="390"/>
      <c r="O429" s="390"/>
      <c r="P429" s="390"/>
    </row>
    <row r="430" spans="1:16">
      <c r="A430" s="390"/>
      <c r="B430" s="390"/>
      <c r="C430" s="390"/>
      <c r="D430" s="390"/>
      <c r="E430" s="390"/>
      <c r="F430" s="390"/>
      <c r="G430" s="390"/>
      <c r="H430" s="390"/>
      <c r="I430" s="390"/>
      <c r="J430" s="390"/>
      <c r="K430" s="390"/>
      <c r="L430" s="390"/>
      <c r="M430" s="390"/>
      <c r="N430" s="390"/>
      <c r="O430" s="390"/>
      <c r="P430" s="390"/>
    </row>
    <row r="431" spans="1:16" ht="15.75" thickBot="1">
      <c r="A431" s="390"/>
      <c r="B431" s="390"/>
      <c r="C431" s="390"/>
      <c r="D431" s="390"/>
      <c r="E431" s="390"/>
      <c r="F431" s="390"/>
      <c r="G431" s="390"/>
      <c r="H431" s="390"/>
      <c r="I431" s="390"/>
      <c r="J431" s="390"/>
      <c r="K431" s="390"/>
      <c r="L431" s="390"/>
      <c r="M431" s="390"/>
      <c r="N431" s="390"/>
      <c r="O431" s="390"/>
      <c r="P431" s="390"/>
    </row>
    <row r="432" spans="1:16">
      <c r="A432" s="390"/>
      <c r="B432" s="1180" t="s">
        <v>727</v>
      </c>
      <c r="C432" s="1180"/>
      <c r="D432" s="1180"/>
      <c r="E432" s="1180"/>
      <c r="F432" s="1180"/>
      <c r="G432" s="1180"/>
      <c r="H432" s="1180"/>
      <c r="I432" s="1180"/>
      <c r="J432" s="1180"/>
      <c r="K432" s="1180"/>
      <c r="L432" s="1180"/>
      <c r="M432" s="1180"/>
      <c r="N432" s="1180"/>
      <c r="O432" s="1180"/>
      <c r="P432" s="1181"/>
    </row>
    <row r="433" spans="1:16">
      <c r="A433" s="390"/>
      <c r="B433" s="1182"/>
      <c r="C433" s="1182"/>
      <c r="D433" s="1182"/>
      <c r="E433" s="1182"/>
      <c r="F433" s="1182"/>
      <c r="G433" s="1182"/>
      <c r="H433" s="1182"/>
      <c r="I433" s="1182"/>
      <c r="J433" s="1182"/>
      <c r="K433" s="1182"/>
      <c r="L433" s="1182"/>
      <c r="M433" s="1182"/>
      <c r="N433" s="1182"/>
      <c r="O433" s="1182"/>
      <c r="P433" s="1183"/>
    </row>
    <row r="434" spans="1:16">
      <c r="A434" s="390"/>
      <c r="B434" s="1184" t="s">
        <v>728</v>
      </c>
      <c r="C434" s="1184"/>
      <c r="D434" s="1184"/>
      <c r="E434" s="1184"/>
      <c r="F434" s="1184"/>
      <c r="G434" s="1184"/>
      <c r="H434" s="1184"/>
      <c r="I434" s="1184"/>
      <c r="J434" s="1184"/>
      <c r="K434" s="1184"/>
      <c r="L434" s="1184"/>
      <c r="M434" s="1184"/>
      <c r="N434" s="1184"/>
      <c r="O434" s="1184"/>
      <c r="P434" s="1185"/>
    </row>
    <row r="435" spans="1:16">
      <c r="A435" s="390"/>
      <c r="B435" s="31" t="s">
        <v>199</v>
      </c>
      <c r="C435" s="32"/>
      <c r="D435" s="609" t="s">
        <v>425</v>
      </c>
      <c r="E435" s="300"/>
      <c r="F435" s="33"/>
      <c r="G435" s="32"/>
      <c r="H435" s="32"/>
      <c r="I435" s="40" t="s">
        <v>145</v>
      </c>
      <c r="J435" s="75"/>
      <c r="K435" s="75"/>
      <c r="L435" s="75"/>
      <c r="M435" s="75"/>
      <c r="N435" s="75"/>
      <c r="O435" s="75"/>
      <c r="P435" s="369"/>
    </row>
    <row r="436" spans="1:16" ht="15.75">
      <c r="A436" s="390"/>
      <c r="B436" s="34"/>
      <c r="C436" s="363" t="s">
        <v>426</v>
      </c>
      <c r="D436" s="363"/>
      <c r="E436" s="36"/>
      <c r="F436" s="76"/>
      <c r="G436" s="370"/>
      <c r="H436" s="300"/>
      <c r="I436" s="382" t="str">
        <f>'04-22-Master'!B26</f>
        <v>D.Santhoshi</v>
      </c>
      <c r="J436" s="370"/>
      <c r="K436" s="370"/>
      <c r="L436" s="370"/>
      <c r="M436" s="370"/>
      <c r="N436" s="370"/>
      <c r="O436" s="370"/>
      <c r="P436" s="371"/>
    </row>
    <row r="437" spans="1:16">
      <c r="A437" s="390"/>
      <c r="B437" s="37"/>
      <c r="C437" s="38"/>
      <c r="D437" s="38"/>
      <c r="E437" s="39"/>
      <c r="F437" s="77"/>
      <c r="G437" s="78"/>
      <c r="H437" s="78"/>
      <c r="I437" s="78"/>
      <c r="J437" s="78"/>
      <c r="K437" s="78"/>
      <c r="L437" s="78"/>
      <c r="M437" s="78"/>
      <c r="N437" s="78"/>
      <c r="O437" s="78"/>
      <c r="P437" s="372"/>
    </row>
    <row r="438" spans="1:16">
      <c r="A438" s="390"/>
      <c r="B438" s="1186"/>
      <c r="C438" s="1186"/>
      <c r="D438" s="1186"/>
      <c r="E438" s="1186"/>
      <c r="F438" s="40"/>
      <c r="G438" s="32"/>
      <c r="H438" s="32"/>
      <c r="I438" s="32"/>
      <c r="J438" s="32"/>
      <c r="K438" s="32"/>
      <c r="L438" s="32"/>
      <c r="M438" s="32"/>
      <c r="N438" s="32"/>
      <c r="O438" s="32"/>
      <c r="P438" s="33"/>
    </row>
    <row r="439" spans="1:16">
      <c r="A439" s="390"/>
      <c r="B439" s="1186"/>
      <c r="C439" s="1186"/>
      <c r="D439" s="1186"/>
      <c r="E439" s="1186"/>
      <c r="F439" s="300"/>
      <c r="G439" s="363"/>
      <c r="H439" s="152"/>
      <c r="I439" s="300" t="s">
        <v>147</v>
      </c>
      <c r="J439" s="373"/>
      <c r="K439" s="373"/>
      <c r="L439" s="363"/>
      <c r="M439" s="363"/>
      <c r="N439" s="363"/>
      <c r="O439" s="363"/>
      <c r="P439" s="36"/>
    </row>
    <row r="440" spans="1:16">
      <c r="A440" s="390"/>
      <c r="B440" s="1186"/>
      <c r="C440" s="1186"/>
      <c r="D440" s="1186"/>
      <c r="E440" s="1186"/>
      <c r="F440" s="34"/>
      <c r="G440" s="363"/>
      <c r="H440" s="363"/>
      <c r="I440" s="363" t="str">
        <f>'04-22-Master'!E26</f>
        <v>Srinivasu</v>
      </c>
      <c r="J440" s="363"/>
      <c r="K440" s="363"/>
      <c r="L440" s="363"/>
      <c r="M440" s="363"/>
      <c r="N440" s="363"/>
      <c r="O440" s="363"/>
      <c r="P440" s="36"/>
    </row>
    <row r="441" spans="1:16">
      <c r="A441" s="390"/>
      <c r="B441" s="1186"/>
      <c r="C441" s="1186"/>
      <c r="D441" s="1186"/>
      <c r="E441" s="1186"/>
      <c r="F441" s="300"/>
      <c r="G441" s="38"/>
      <c r="H441" s="112"/>
      <c r="I441" s="300" t="s">
        <v>148</v>
      </c>
      <c r="J441" s="38"/>
      <c r="K441" s="38"/>
      <c r="L441" s="112">
        <f>'04-22-Master'!I26</f>
        <v>44615</v>
      </c>
      <c r="M441" s="38"/>
      <c r="N441" s="38"/>
      <c r="O441" s="38"/>
      <c r="P441" s="39"/>
    </row>
    <row r="442" spans="1:16">
      <c r="A442" s="390"/>
      <c r="B442" s="1187" t="e">
        <f>#REF!</f>
        <v>#REF!</v>
      </c>
      <c r="C442" s="1189" t="s">
        <v>431</v>
      </c>
      <c r="D442" s="1190"/>
      <c r="E442" s="1189" t="s">
        <v>432</v>
      </c>
      <c r="F442" s="1190"/>
      <c r="G442" s="1193" t="s">
        <v>433</v>
      </c>
      <c r="H442" s="1189" t="s">
        <v>434</v>
      </c>
      <c r="I442" s="1194"/>
      <c r="J442" s="1195" t="s">
        <v>435</v>
      </c>
      <c r="K442" s="1194"/>
      <c r="L442" s="1196"/>
      <c r="M442" s="1195" t="s">
        <v>436</v>
      </c>
      <c r="N442" s="1194"/>
      <c r="O442" s="1194"/>
      <c r="P442" s="1200" t="s">
        <v>437</v>
      </c>
    </row>
    <row r="443" spans="1:16" ht="15.75" thickBot="1">
      <c r="A443" s="390"/>
      <c r="B443" s="1188"/>
      <c r="C443" s="1189"/>
      <c r="D443" s="1190"/>
      <c r="E443" s="1189"/>
      <c r="F443" s="1190"/>
      <c r="G443" s="1187"/>
      <c r="H443" s="1189"/>
      <c r="I443" s="1194"/>
      <c r="J443" s="1197"/>
      <c r="K443" s="1198"/>
      <c r="L443" s="1199"/>
      <c r="M443" s="1197"/>
      <c r="N443" s="1198"/>
      <c r="O443" s="1198"/>
      <c r="P443" s="1201"/>
    </row>
    <row r="444" spans="1:16">
      <c r="A444" s="390"/>
      <c r="B444" s="352">
        <v>1</v>
      </c>
      <c r="C444" s="1191"/>
      <c r="D444" s="1192"/>
      <c r="E444" s="1191"/>
      <c r="F444" s="1192"/>
      <c r="G444" s="352">
        <v>6</v>
      </c>
      <c r="H444" s="1191"/>
      <c r="I444" s="1192"/>
      <c r="J444" s="311">
        <v>9</v>
      </c>
      <c r="K444" s="311"/>
      <c r="L444" s="311"/>
      <c r="M444" s="311">
        <v>9</v>
      </c>
      <c r="N444" s="311"/>
      <c r="O444" s="311"/>
      <c r="P444" s="312" t="s">
        <v>438</v>
      </c>
    </row>
    <row r="445" spans="1:16" ht="89.25">
      <c r="A445" s="390"/>
      <c r="B445" s="313"/>
      <c r="C445" s="313" t="s">
        <v>439</v>
      </c>
      <c r="D445" s="313" t="s">
        <v>440</v>
      </c>
      <c r="E445" s="313" t="s">
        <v>441</v>
      </c>
      <c r="F445" s="313" t="s">
        <v>150</v>
      </c>
      <c r="G445" s="313"/>
      <c r="H445" s="313" t="s">
        <v>442</v>
      </c>
      <c r="I445" s="313" t="s">
        <v>443</v>
      </c>
      <c r="J445" s="313" t="s">
        <v>149</v>
      </c>
      <c r="K445" s="313" t="s">
        <v>444</v>
      </c>
      <c r="L445" s="313" t="s">
        <v>445</v>
      </c>
      <c r="M445" s="313" t="s">
        <v>446</v>
      </c>
      <c r="N445" s="313" t="s">
        <v>447</v>
      </c>
      <c r="O445" s="314" t="s">
        <v>448</v>
      </c>
      <c r="P445" s="314"/>
    </row>
    <row r="446" spans="1:16">
      <c r="A446" s="390"/>
      <c r="B446" s="315"/>
      <c r="C446" s="313"/>
      <c r="D446" s="313"/>
      <c r="E446" s="316"/>
      <c r="F446" s="316"/>
      <c r="G446" s="313"/>
      <c r="H446" s="313"/>
      <c r="I446" s="313"/>
      <c r="J446" s="313"/>
      <c r="K446" s="313"/>
      <c r="L446" s="313"/>
      <c r="M446" s="313"/>
      <c r="N446" s="313"/>
      <c r="O446" s="313"/>
      <c r="P446" s="313"/>
    </row>
    <row r="447" spans="1:16" s="390" customFormat="1">
      <c r="B447" s="315" t="s">
        <v>1053</v>
      </c>
      <c r="C447" s="313">
        <v>1.5</v>
      </c>
      <c r="D447" s="313">
        <v>0</v>
      </c>
      <c r="E447" s="313">
        <v>0</v>
      </c>
      <c r="F447" s="313">
        <v>0</v>
      </c>
      <c r="G447" s="313">
        <v>0</v>
      </c>
      <c r="H447" s="313"/>
      <c r="I447" s="313"/>
      <c r="J447" s="313" t="s">
        <v>718</v>
      </c>
      <c r="K447" s="313" t="s">
        <v>152</v>
      </c>
      <c r="L447" s="313" t="s">
        <v>152</v>
      </c>
      <c r="M447" s="313"/>
      <c r="N447" s="313"/>
      <c r="O447" s="852"/>
      <c r="P447" s="313"/>
    </row>
    <row r="448" spans="1:16" s="855" customFormat="1">
      <c r="B448" s="315" t="s">
        <v>1100</v>
      </c>
      <c r="C448" s="313">
        <v>1.5</v>
      </c>
      <c r="D448" s="313">
        <v>0</v>
      </c>
      <c r="E448" s="313">
        <v>0</v>
      </c>
      <c r="F448" s="313">
        <v>0</v>
      </c>
      <c r="G448" s="313">
        <f>G447+C448-D448</f>
        <v>1.5</v>
      </c>
      <c r="H448" s="313"/>
      <c r="I448" s="313"/>
      <c r="J448" s="313" t="s">
        <v>152</v>
      </c>
      <c r="K448" s="313" t="s">
        <v>152</v>
      </c>
      <c r="L448" s="313" t="s">
        <v>152</v>
      </c>
      <c r="M448" s="313"/>
      <c r="N448" s="313"/>
      <c r="O448" s="313"/>
      <c r="P448" s="313"/>
    </row>
    <row r="449" spans="1:17" s="855" customFormat="1">
      <c r="B449" s="375" t="s">
        <v>1139</v>
      </c>
      <c r="C449" s="313">
        <v>1.5</v>
      </c>
      <c r="D449" s="313">
        <v>0</v>
      </c>
      <c r="E449" s="313">
        <v>0</v>
      </c>
      <c r="F449" s="313">
        <v>0</v>
      </c>
      <c r="G449" s="313">
        <f>G448+C449-D449</f>
        <v>3</v>
      </c>
      <c r="H449" s="313"/>
      <c r="I449" s="313"/>
      <c r="J449" s="313" t="s">
        <v>152</v>
      </c>
      <c r="K449" s="313" t="s">
        <v>152</v>
      </c>
      <c r="L449" s="313" t="s">
        <v>152</v>
      </c>
      <c r="M449" s="313"/>
      <c r="N449" s="313"/>
      <c r="O449" s="313"/>
      <c r="P449" s="313"/>
      <c r="Q449" s="855">
        <v>11</v>
      </c>
    </row>
    <row r="450" spans="1:17">
      <c r="A450" s="390"/>
      <c r="B450" s="315"/>
      <c r="C450" s="313"/>
      <c r="D450" s="313"/>
      <c r="E450" s="316"/>
      <c r="F450" s="316"/>
      <c r="G450" s="313"/>
      <c r="H450" s="313"/>
      <c r="I450" s="313"/>
      <c r="J450" s="313"/>
      <c r="K450" s="313"/>
      <c r="L450" s="313"/>
      <c r="M450" s="313"/>
      <c r="N450" s="313"/>
      <c r="O450" s="313"/>
      <c r="P450" s="313"/>
    </row>
    <row r="451" spans="1:17">
      <c r="A451" s="390"/>
      <c r="B451" s="601"/>
      <c r="C451" s="294"/>
      <c r="D451" s="294"/>
      <c r="E451" s="294"/>
      <c r="F451" s="294"/>
      <c r="G451" s="313"/>
      <c r="H451" s="294"/>
      <c r="I451" s="294"/>
      <c r="J451" s="313"/>
      <c r="K451" s="313"/>
      <c r="L451" s="313"/>
      <c r="M451" s="313"/>
      <c r="N451" s="313"/>
      <c r="O451" s="313"/>
      <c r="P451" s="313"/>
    </row>
    <row r="452" spans="1:17">
      <c r="A452" s="390"/>
      <c r="B452" s="315"/>
      <c r="C452" s="307"/>
      <c r="D452" s="313"/>
      <c r="E452" s="313"/>
      <c r="F452" s="313"/>
      <c r="G452" s="313"/>
      <c r="H452" s="313"/>
      <c r="I452" s="313"/>
      <c r="J452" s="313"/>
      <c r="K452" s="313"/>
      <c r="L452" s="313"/>
      <c r="M452" s="313"/>
      <c r="N452" s="313"/>
      <c r="O452" s="313"/>
      <c r="P452" s="313"/>
    </row>
    <row r="453" spans="1:17">
      <c r="A453" s="390"/>
      <c r="B453" s="315"/>
      <c r="C453" s="313"/>
      <c r="D453" s="313"/>
      <c r="E453" s="313"/>
      <c r="F453" s="313"/>
      <c r="G453" s="313"/>
      <c r="H453" s="313"/>
      <c r="I453" s="313"/>
      <c r="J453" s="313"/>
      <c r="K453" s="313"/>
      <c r="L453" s="313"/>
      <c r="M453" s="313"/>
      <c r="N453" s="313"/>
      <c r="O453" s="313"/>
      <c r="P453" s="313"/>
    </row>
    <row r="454" spans="1:17">
      <c r="A454" s="390"/>
      <c r="B454" s="315"/>
      <c r="C454" s="313"/>
      <c r="D454" s="313"/>
      <c r="E454" s="313"/>
      <c r="F454" s="313"/>
      <c r="G454" s="313"/>
      <c r="H454" s="313"/>
      <c r="I454" s="313"/>
      <c r="J454" s="313"/>
      <c r="K454" s="313"/>
      <c r="L454" s="313"/>
      <c r="M454" s="313"/>
      <c r="N454" s="313"/>
      <c r="O454" s="313"/>
      <c r="P454" s="313"/>
    </row>
    <row r="455" spans="1:17">
      <c r="A455" s="390"/>
      <c r="B455" s="315"/>
      <c r="C455" s="313"/>
      <c r="D455" s="313"/>
      <c r="E455" s="313"/>
      <c r="F455" s="313"/>
      <c r="G455" s="313"/>
      <c r="H455" s="313"/>
      <c r="I455" s="313"/>
      <c r="J455" s="313"/>
      <c r="K455" s="313"/>
      <c r="L455" s="313"/>
      <c r="M455" s="313"/>
      <c r="N455" s="313"/>
      <c r="O455" s="313"/>
      <c r="P455" s="313"/>
    </row>
    <row r="456" spans="1:17">
      <c r="A456" s="390"/>
      <c r="B456" s="315"/>
      <c r="C456" s="313"/>
      <c r="D456" s="313"/>
      <c r="E456" s="313"/>
      <c r="F456" s="313"/>
      <c r="G456" s="313"/>
      <c r="H456" s="313"/>
      <c r="I456" s="313"/>
      <c r="J456" s="313"/>
      <c r="K456" s="313"/>
      <c r="L456" s="313"/>
      <c r="M456" s="313"/>
      <c r="N456" s="313"/>
      <c r="O456" s="313"/>
      <c r="P456" s="313"/>
    </row>
    <row r="457" spans="1:17">
      <c r="A457" s="390"/>
      <c r="B457" s="315"/>
      <c r="C457" s="313"/>
      <c r="D457" s="313"/>
      <c r="E457" s="313"/>
      <c r="F457" s="313"/>
      <c r="G457" s="313"/>
      <c r="H457" s="313"/>
      <c r="I457" s="313"/>
      <c r="J457" s="313"/>
      <c r="K457" s="313"/>
      <c r="L457" s="313"/>
      <c r="M457" s="313"/>
      <c r="N457" s="313"/>
      <c r="O457" s="313"/>
      <c r="P457" s="313"/>
    </row>
    <row r="458" spans="1:17">
      <c r="A458" s="390"/>
      <c r="B458" s="315"/>
      <c r="C458" s="313"/>
      <c r="D458" s="313"/>
      <c r="E458" s="313"/>
      <c r="F458" s="313"/>
      <c r="G458" s="313"/>
      <c r="H458" s="313"/>
      <c r="I458" s="313"/>
      <c r="J458" s="313"/>
      <c r="K458" s="313"/>
      <c r="L458" s="313"/>
      <c r="M458" s="313"/>
      <c r="N458" s="313"/>
      <c r="O458" s="313"/>
      <c r="P458" s="313"/>
    </row>
    <row r="459" spans="1:17">
      <c r="A459" s="390"/>
      <c r="B459" s="374"/>
      <c r="C459" s="374"/>
      <c r="D459" s="374"/>
      <c r="E459" s="374"/>
      <c r="F459" s="374"/>
      <c r="G459" s="374"/>
      <c r="H459" s="374"/>
      <c r="I459" s="374"/>
      <c r="J459" s="374"/>
      <c r="K459" s="374"/>
      <c r="L459" s="374"/>
      <c r="M459" s="374"/>
      <c r="N459" s="374"/>
      <c r="O459" s="374"/>
      <c r="P459" s="374"/>
    </row>
    <row r="460" spans="1:17">
      <c r="A460" s="390"/>
      <c r="B460" s="374"/>
      <c r="C460" s="374"/>
      <c r="D460" s="374"/>
      <c r="E460" s="374"/>
      <c r="F460" s="374"/>
      <c r="G460" s="374"/>
      <c r="H460" s="374"/>
      <c r="I460" s="374"/>
      <c r="J460" s="374"/>
      <c r="K460" s="374"/>
      <c r="L460" s="374"/>
      <c r="M460" s="374"/>
      <c r="N460" s="374"/>
      <c r="O460" s="374"/>
      <c r="P460" s="374"/>
    </row>
    <row r="461" spans="1:17">
      <c r="A461" s="390"/>
      <c r="B461" s="374"/>
      <c r="C461" s="388"/>
      <c r="D461" s="374"/>
      <c r="E461" s="374"/>
      <c r="F461" s="374"/>
      <c r="G461" s="374"/>
      <c r="H461" s="374"/>
      <c r="I461" s="374"/>
      <c r="J461" s="374"/>
      <c r="K461" s="374"/>
      <c r="L461" s="374"/>
      <c r="M461" s="374"/>
      <c r="N461" s="374"/>
      <c r="O461" s="374"/>
      <c r="P461" s="374"/>
    </row>
    <row r="462" spans="1:17">
      <c r="A462" s="390"/>
      <c r="B462" s="34"/>
      <c r="C462" s="363"/>
      <c r="D462" s="363"/>
      <c r="E462" s="363"/>
      <c r="F462" s="363"/>
      <c r="G462" s="363"/>
      <c r="H462" s="363"/>
      <c r="I462" s="363"/>
      <c r="J462" s="363"/>
      <c r="K462" s="363"/>
      <c r="L462" s="363"/>
      <c r="M462" s="363"/>
      <c r="N462" s="363"/>
      <c r="O462" s="363"/>
      <c r="P462" s="33"/>
    </row>
    <row r="463" spans="1:17">
      <c r="A463" s="390"/>
      <c r="B463" s="34"/>
      <c r="C463" s="363"/>
      <c r="D463" s="363"/>
      <c r="E463" s="363"/>
      <c r="F463" s="363"/>
      <c r="G463" s="363"/>
      <c r="H463" s="363"/>
      <c r="I463" s="363"/>
      <c r="J463" s="363"/>
      <c r="K463" s="363"/>
      <c r="L463" s="363"/>
      <c r="M463" s="363"/>
      <c r="N463" s="363"/>
      <c r="O463" s="363"/>
      <c r="P463" s="36"/>
    </row>
    <row r="464" spans="1:17">
      <c r="A464" s="390"/>
      <c r="B464" s="34"/>
      <c r="C464" s="363"/>
      <c r="D464" s="363"/>
      <c r="E464" s="363"/>
      <c r="F464" s="363"/>
      <c r="G464" s="363"/>
      <c r="H464" s="363"/>
      <c r="I464" s="363"/>
      <c r="J464" s="363"/>
      <c r="K464" s="363"/>
      <c r="L464" s="363"/>
      <c r="M464" s="363"/>
      <c r="N464" s="363"/>
      <c r="O464" s="363"/>
      <c r="P464" s="36"/>
    </row>
    <row r="465" spans="1:16">
      <c r="A465" s="390"/>
      <c r="B465" s="34"/>
      <c r="C465" s="363"/>
      <c r="D465" s="363"/>
      <c r="E465" s="363"/>
      <c r="F465" s="363"/>
      <c r="G465" s="363"/>
      <c r="H465" s="363"/>
      <c r="I465" s="363"/>
      <c r="J465" s="363"/>
      <c r="K465" s="363"/>
      <c r="L465" s="363"/>
      <c r="M465" s="363"/>
      <c r="N465" s="363"/>
      <c r="O465" s="363"/>
      <c r="P465" s="36"/>
    </row>
    <row r="466" spans="1:16">
      <c r="A466" s="390"/>
      <c r="B466" s="34"/>
      <c r="C466" s="363"/>
      <c r="D466" s="363"/>
      <c r="E466" s="363"/>
      <c r="F466" s="363"/>
      <c r="G466" s="363"/>
      <c r="H466" s="363"/>
      <c r="I466" s="363"/>
      <c r="J466" s="363"/>
      <c r="K466" s="363"/>
      <c r="L466" s="363"/>
      <c r="M466" s="363"/>
      <c r="N466" s="363"/>
      <c r="O466" s="363"/>
      <c r="P466" s="36"/>
    </row>
    <row r="467" spans="1:16">
      <c r="A467" s="390"/>
      <c r="B467" s="34"/>
      <c r="C467" s="300"/>
      <c r="D467" s="300"/>
      <c r="E467" s="300"/>
      <c r="F467" s="300"/>
      <c r="G467" s="300"/>
      <c r="H467" s="300"/>
      <c r="I467" s="300"/>
      <c r="J467" s="300"/>
      <c r="K467" s="300"/>
      <c r="L467" s="300"/>
      <c r="M467" s="300"/>
      <c r="N467" s="300"/>
      <c r="O467" s="300"/>
      <c r="P467" s="63"/>
    </row>
    <row r="468" spans="1:16">
      <c r="A468" s="390"/>
      <c r="B468" s="73"/>
      <c r="C468" s="19"/>
      <c r="D468" s="19"/>
      <c r="E468" s="19"/>
      <c r="F468" s="19"/>
      <c r="G468" s="19"/>
      <c r="H468" s="19"/>
      <c r="I468" s="19"/>
      <c r="J468" s="19" t="s">
        <v>38</v>
      </c>
      <c r="K468" s="19"/>
      <c r="L468" s="19"/>
      <c r="M468" s="19"/>
      <c r="N468" s="19"/>
      <c r="O468" s="19"/>
      <c r="P468" s="74"/>
    </row>
    <row r="469" spans="1:16">
      <c r="A469" s="390"/>
      <c r="B469" s="390"/>
      <c r="C469" s="390"/>
      <c r="D469" s="390"/>
      <c r="E469" s="390"/>
      <c r="F469" s="390"/>
      <c r="G469" s="390"/>
      <c r="H469" s="390"/>
      <c r="I469" s="390"/>
      <c r="J469" s="390"/>
      <c r="K469" s="390"/>
      <c r="L469" s="390"/>
      <c r="M469" s="390"/>
      <c r="N469" s="390"/>
      <c r="O469" s="390"/>
      <c r="P469" s="390"/>
    </row>
    <row r="470" spans="1:16">
      <c r="A470" s="390"/>
      <c r="B470" s="390"/>
      <c r="C470" s="390"/>
      <c r="D470" s="390"/>
      <c r="E470" s="390"/>
      <c r="F470" s="390"/>
      <c r="G470" s="390"/>
      <c r="H470" s="390"/>
      <c r="I470" s="390"/>
      <c r="J470" s="390"/>
      <c r="K470" s="390"/>
      <c r="L470" s="390"/>
      <c r="M470" s="390"/>
      <c r="N470" s="390"/>
      <c r="O470" s="390"/>
      <c r="P470" s="390"/>
    </row>
    <row r="471" spans="1:16">
      <c r="A471" s="390"/>
      <c r="B471" s="390"/>
      <c r="C471" s="390"/>
      <c r="D471" s="390"/>
      <c r="E471" s="390"/>
      <c r="F471" s="390"/>
      <c r="G471" s="390"/>
      <c r="H471" s="390"/>
      <c r="I471" s="390"/>
      <c r="J471" s="390"/>
      <c r="K471" s="390"/>
      <c r="L471" s="390"/>
      <c r="M471" s="390"/>
      <c r="N471" s="390"/>
      <c r="O471" s="390"/>
      <c r="P471" s="390"/>
    </row>
    <row r="472" spans="1:16">
      <c r="A472" s="390"/>
      <c r="B472" s="390"/>
      <c r="C472" s="390"/>
      <c r="D472" s="390"/>
      <c r="E472" s="390"/>
      <c r="F472" s="390"/>
      <c r="G472" s="390"/>
      <c r="H472" s="390"/>
      <c r="I472" s="390"/>
      <c r="J472" s="390"/>
      <c r="K472" s="390"/>
      <c r="L472" s="390"/>
      <c r="M472" s="390"/>
      <c r="N472" s="390"/>
      <c r="O472" s="390"/>
      <c r="P472" s="390"/>
    </row>
    <row r="473" spans="1:16">
      <c r="A473" s="390"/>
      <c r="B473" s="390"/>
      <c r="C473" s="390"/>
      <c r="D473" s="390"/>
      <c r="E473" s="390"/>
      <c r="F473" s="390"/>
      <c r="G473" s="390"/>
      <c r="H473" s="390"/>
      <c r="I473" s="390"/>
      <c r="J473" s="390"/>
      <c r="K473" s="390"/>
      <c r="L473" s="390"/>
      <c r="M473" s="390"/>
      <c r="N473" s="390"/>
      <c r="O473" s="390"/>
      <c r="P473" s="390"/>
    </row>
    <row r="474" spans="1:16">
      <c r="A474" s="390"/>
      <c r="B474" s="390"/>
      <c r="C474" s="390"/>
      <c r="D474" s="390"/>
      <c r="E474" s="390"/>
      <c r="F474" s="390"/>
      <c r="G474" s="390"/>
      <c r="H474" s="390"/>
      <c r="I474" s="390"/>
      <c r="J474" s="390"/>
      <c r="K474" s="390"/>
      <c r="L474" s="390"/>
      <c r="M474" s="390"/>
      <c r="N474" s="390"/>
      <c r="O474" s="390"/>
      <c r="P474" s="390"/>
    </row>
    <row r="475" spans="1:16">
      <c r="A475" s="390"/>
      <c r="B475" s="390"/>
      <c r="C475" s="390"/>
      <c r="D475" s="390"/>
      <c r="E475" s="390"/>
      <c r="F475" s="390"/>
      <c r="G475" s="390"/>
      <c r="H475" s="390"/>
      <c r="I475" s="390"/>
      <c r="J475" s="390"/>
      <c r="K475" s="390"/>
      <c r="L475" s="390"/>
      <c r="M475" s="390"/>
      <c r="N475" s="390"/>
      <c r="O475" s="390"/>
      <c r="P475" s="390"/>
    </row>
    <row r="476" spans="1:16" ht="15.75" thickBot="1">
      <c r="A476" s="390"/>
      <c r="B476" s="390"/>
      <c r="C476" s="390"/>
      <c r="D476" s="390"/>
      <c r="E476" s="390"/>
      <c r="F476" s="390"/>
      <c r="G476" s="390"/>
      <c r="H476" s="390"/>
      <c r="I476" s="390"/>
      <c r="J476" s="390"/>
      <c r="K476" s="390"/>
      <c r="L476" s="390"/>
      <c r="M476" s="390"/>
      <c r="N476" s="390"/>
      <c r="O476" s="390"/>
      <c r="P476" s="390"/>
    </row>
    <row r="477" spans="1:16">
      <c r="A477" s="390"/>
      <c r="B477" s="1180" t="s">
        <v>727</v>
      </c>
      <c r="C477" s="1180"/>
      <c r="D477" s="1180"/>
      <c r="E477" s="1180"/>
      <c r="F477" s="1180"/>
      <c r="G477" s="1180"/>
      <c r="H477" s="1180"/>
      <c r="I477" s="1180"/>
      <c r="J477" s="1180"/>
      <c r="K477" s="1180"/>
      <c r="L477" s="1180"/>
      <c r="M477" s="1180"/>
      <c r="N477" s="1180"/>
      <c r="O477" s="1180"/>
      <c r="P477" s="1181"/>
    </row>
    <row r="478" spans="1:16">
      <c r="A478" s="390"/>
      <c r="B478" s="1182"/>
      <c r="C478" s="1182"/>
      <c r="D478" s="1182"/>
      <c r="E478" s="1182"/>
      <c r="F478" s="1182"/>
      <c r="G478" s="1182"/>
      <c r="H478" s="1182"/>
      <c r="I478" s="1182"/>
      <c r="J478" s="1182"/>
      <c r="K478" s="1182"/>
      <c r="L478" s="1182"/>
      <c r="M478" s="1182"/>
      <c r="N478" s="1182"/>
      <c r="O478" s="1182"/>
      <c r="P478" s="1183"/>
    </row>
    <row r="479" spans="1:16">
      <c r="A479" s="390"/>
      <c r="B479" s="1184" t="s">
        <v>728</v>
      </c>
      <c r="C479" s="1184"/>
      <c r="D479" s="1184"/>
      <c r="E479" s="1184"/>
      <c r="F479" s="1184"/>
      <c r="G479" s="1184"/>
      <c r="H479" s="1184"/>
      <c r="I479" s="1184"/>
      <c r="J479" s="1184"/>
      <c r="K479" s="1184"/>
      <c r="L479" s="1184"/>
      <c r="M479" s="1184"/>
      <c r="N479" s="1184"/>
      <c r="O479" s="1184"/>
      <c r="P479" s="1185"/>
    </row>
    <row r="480" spans="1:16">
      <c r="A480" s="390"/>
      <c r="B480" s="31" t="s">
        <v>199</v>
      </c>
      <c r="C480" s="32"/>
      <c r="D480" s="609" t="s">
        <v>425</v>
      </c>
      <c r="E480" s="300"/>
      <c r="F480" s="33"/>
      <c r="G480" s="32"/>
      <c r="H480" s="32"/>
      <c r="I480" s="40" t="s">
        <v>145</v>
      </c>
      <c r="J480" s="75"/>
      <c r="K480" s="75"/>
      <c r="L480" s="75"/>
      <c r="M480" s="75"/>
      <c r="N480" s="75"/>
      <c r="O480" s="75"/>
      <c r="P480" s="369"/>
    </row>
    <row r="481" spans="1:17" ht="15.75">
      <c r="A481" s="390"/>
      <c r="B481" s="34"/>
      <c r="C481" s="363" t="s">
        <v>426</v>
      </c>
      <c r="D481" s="363"/>
      <c r="E481" s="36"/>
      <c r="F481" s="76"/>
      <c r="G481" s="370"/>
      <c r="H481" s="300"/>
      <c r="I481" s="382" t="str">
        <f>'04-22-Master'!B27</f>
        <v>Bharath Pal</v>
      </c>
      <c r="J481" s="370"/>
      <c r="K481" s="370"/>
      <c r="L481" s="370"/>
      <c r="M481" s="370"/>
      <c r="N481" s="370"/>
      <c r="O481" s="370"/>
      <c r="P481" s="371"/>
    </row>
    <row r="482" spans="1:17">
      <c r="A482" s="390"/>
      <c r="B482" s="37"/>
      <c r="C482" s="38"/>
      <c r="D482" s="38"/>
      <c r="E482" s="39"/>
      <c r="F482" s="77"/>
      <c r="G482" s="78"/>
      <c r="H482" s="78"/>
      <c r="I482" s="78"/>
      <c r="J482" s="78"/>
      <c r="K482" s="78"/>
      <c r="L482" s="78"/>
      <c r="M482" s="78"/>
      <c r="N482" s="78"/>
      <c r="O482" s="78"/>
      <c r="P482" s="372"/>
    </row>
    <row r="483" spans="1:17">
      <c r="A483" s="390"/>
      <c r="B483" s="1186"/>
      <c r="C483" s="1186"/>
      <c r="D483" s="1186"/>
      <c r="E483" s="1186"/>
      <c r="F483" s="40"/>
      <c r="G483" s="32"/>
      <c r="H483" s="32"/>
      <c r="I483" s="32"/>
      <c r="J483" s="32"/>
      <c r="K483" s="32"/>
      <c r="L483" s="32"/>
      <c r="M483" s="32"/>
      <c r="N483" s="32"/>
      <c r="O483" s="32"/>
      <c r="P483" s="33"/>
    </row>
    <row r="484" spans="1:17">
      <c r="A484" s="390"/>
      <c r="B484" s="1186"/>
      <c r="C484" s="1186"/>
      <c r="D484" s="1186"/>
      <c r="E484" s="1186"/>
      <c r="F484" s="300"/>
      <c r="G484" s="363"/>
      <c r="H484" s="152"/>
      <c r="I484" s="300" t="s">
        <v>147</v>
      </c>
      <c r="J484" s="373"/>
      <c r="K484" s="373"/>
      <c r="L484" s="363"/>
      <c r="M484" s="363"/>
      <c r="N484" s="363"/>
      <c r="O484" s="363"/>
      <c r="P484" s="36"/>
    </row>
    <row r="485" spans="1:17">
      <c r="A485" s="390"/>
      <c r="B485" s="1186"/>
      <c r="C485" s="1186"/>
      <c r="D485" s="1186"/>
      <c r="E485" s="1186"/>
      <c r="F485" s="34"/>
      <c r="G485" s="363"/>
      <c r="H485" s="363"/>
      <c r="I485" s="363" t="str">
        <f>'04-22-Master'!E27</f>
        <v>Mani ram</v>
      </c>
      <c r="J485" s="363"/>
      <c r="K485" s="363"/>
      <c r="L485" s="363"/>
      <c r="M485" s="363"/>
      <c r="N485" s="363"/>
      <c r="O485" s="363"/>
      <c r="P485" s="36"/>
    </row>
    <row r="486" spans="1:17">
      <c r="A486" s="390"/>
      <c r="B486" s="1186"/>
      <c r="C486" s="1186"/>
      <c r="D486" s="1186"/>
      <c r="E486" s="1186"/>
      <c r="F486" s="300"/>
      <c r="G486" s="38"/>
      <c r="H486" s="112"/>
      <c r="I486" s="300" t="s">
        <v>148</v>
      </c>
      <c r="J486" s="38"/>
      <c r="K486" s="38"/>
      <c r="L486" s="112">
        <f>'04-22-Master'!I27</f>
        <v>44615</v>
      </c>
      <c r="M486" s="38"/>
      <c r="N486" s="38"/>
      <c r="O486" s="38"/>
      <c r="P486" s="39"/>
    </row>
    <row r="487" spans="1:17">
      <c r="A487" s="390"/>
      <c r="B487" s="1187" t="e">
        <f>#REF!</f>
        <v>#REF!</v>
      </c>
      <c r="C487" s="1189" t="s">
        <v>431</v>
      </c>
      <c r="D487" s="1190"/>
      <c r="E487" s="1189" t="s">
        <v>432</v>
      </c>
      <c r="F487" s="1190"/>
      <c r="G487" s="1193" t="s">
        <v>433</v>
      </c>
      <c r="H487" s="1189" t="s">
        <v>434</v>
      </c>
      <c r="I487" s="1194"/>
      <c r="J487" s="1195" t="s">
        <v>435</v>
      </c>
      <c r="K487" s="1194"/>
      <c r="L487" s="1196"/>
      <c r="M487" s="1195" t="s">
        <v>436</v>
      </c>
      <c r="N487" s="1194"/>
      <c r="O487" s="1194"/>
      <c r="P487" s="1200" t="s">
        <v>437</v>
      </c>
    </row>
    <row r="488" spans="1:17" ht="15.75" thickBot="1">
      <c r="A488" s="390"/>
      <c r="B488" s="1188"/>
      <c r="C488" s="1189"/>
      <c r="D488" s="1190"/>
      <c r="E488" s="1189"/>
      <c r="F488" s="1190"/>
      <c r="G488" s="1187"/>
      <c r="H488" s="1189"/>
      <c r="I488" s="1194"/>
      <c r="J488" s="1197"/>
      <c r="K488" s="1198"/>
      <c r="L488" s="1199"/>
      <c r="M488" s="1197"/>
      <c r="N488" s="1198"/>
      <c r="O488" s="1198"/>
      <c r="P488" s="1201"/>
    </row>
    <row r="489" spans="1:17">
      <c r="A489" s="390"/>
      <c r="B489" s="352">
        <v>1</v>
      </c>
      <c r="C489" s="1191"/>
      <c r="D489" s="1192"/>
      <c r="E489" s="1191"/>
      <c r="F489" s="1192"/>
      <c r="G489" s="352">
        <v>6</v>
      </c>
      <c r="H489" s="1191"/>
      <c r="I489" s="1192"/>
      <c r="J489" s="311">
        <v>9</v>
      </c>
      <c r="K489" s="311"/>
      <c r="L489" s="311"/>
      <c r="M489" s="311">
        <v>9</v>
      </c>
      <c r="N489" s="311"/>
      <c r="O489" s="311"/>
      <c r="P489" s="312" t="s">
        <v>438</v>
      </c>
    </row>
    <row r="490" spans="1:17" ht="89.25">
      <c r="A490" s="390"/>
      <c r="B490" s="313"/>
      <c r="C490" s="313" t="s">
        <v>439</v>
      </c>
      <c r="D490" s="313" t="s">
        <v>440</v>
      </c>
      <c r="E490" s="313" t="s">
        <v>441</v>
      </c>
      <c r="F490" s="313" t="s">
        <v>150</v>
      </c>
      <c r="G490" s="313"/>
      <c r="H490" s="313" t="s">
        <v>442</v>
      </c>
      <c r="I490" s="313" t="s">
        <v>443</v>
      </c>
      <c r="J490" s="313" t="s">
        <v>149</v>
      </c>
      <c r="K490" s="313" t="s">
        <v>444</v>
      </c>
      <c r="L490" s="313" t="s">
        <v>445</v>
      </c>
      <c r="M490" s="313" t="s">
        <v>446</v>
      </c>
      <c r="N490" s="313" t="s">
        <v>447</v>
      </c>
      <c r="O490" s="314" t="s">
        <v>448</v>
      </c>
      <c r="P490" s="314"/>
    </row>
    <row r="491" spans="1:17">
      <c r="A491" s="390"/>
      <c r="B491" s="315"/>
      <c r="C491" s="313"/>
      <c r="D491" s="313"/>
      <c r="E491" s="316"/>
      <c r="F491" s="316"/>
      <c r="G491" s="313"/>
      <c r="H491" s="313"/>
      <c r="I491" s="313"/>
      <c r="J491" s="313"/>
      <c r="K491" s="313"/>
      <c r="L491" s="313"/>
      <c r="M491" s="313"/>
      <c r="N491" s="313"/>
      <c r="O491" s="313"/>
      <c r="P491" s="313"/>
    </row>
    <row r="492" spans="1:17" s="390" customFormat="1">
      <c r="B492" s="315" t="s">
        <v>1053</v>
      </c>
      <c r="C492" s="313">
        <v>1.5</v>
      </c>
      <c r="D492" s="313">
        <v>0</v>
      </c>
      <c r="E492" s="313">
        <v>0</v>
      </c>
      <c r="F492" s="313">
        <v>0</v>
      </c>
      <c r="G492" s="313">
        <v>0</v>
      </c>
      <c r="H492" s="313"/>
      <c r="I492" s="313"/>
      <c r="J492" s="313" t="s">
        <v>718</v>
      </c>
      <c r="K492" s="313" t="s">
        <v>152</v>
      </c>
      <c r="L492" s="313" t="s">
        <v>152</v>
      </c>
      <c r="M492" s="313"/>
      <c r="N492" s="852"/>
      <c r="O492" s="313"/>
      <c r="P492" s="313"/>
    </row>
    <row r="493" spans="1:17" s="855" customFormat="1">
      <c r="B493" s="315" t="s">
        <v>1100</v>
      </c>
      <c r="C493" s="313">
        <v>1.5</v>
      </c>
      <c r="D493" s="313">
        <v>0</v>
      </c>
      <c r="E493" s="313">
        <v>0</v>
      </c>
      <c r="F493" s="313">
        <v>0</v>
      </c>
      <c r="G493" s="313">
        <f>G492+C493-D493</f>
        <v>1.5</v>
      </c>
      <c r="H493" s="313"/>
      <c r="I493" s="313"/>
      <c r="J493" s="313" t="s">
        <v>152</v>
      </c>
      <c r="K493" s="313" t="s">
        <v>152</v>
      </c>
      <c r="L493" s="313" t="s">
        <v>152</v>
      </c>
      <c r="M493" s="313"/>
      <c r="N493" s="313"/>
      <c r="O493" s="313"/>
      <c r="P493" s="313"/>
    </row>
    <row r="494" spans="1:17" s="855" customFormat="1">
      <c r="B494" s="375" t="s">
        <v>1139</v>
      </c>
      <c r="C494" s="313">
        <v>1.5</v>
      </c>
      <c r="D494" s="313">
        <v>0</v>
      </c>
      <c r="E494" s="313">
        <v>0</v>
      </c>
      <c r="F494" s="313">
        <v>0</v>
      </c>
      <c r="G494" s="313">
        <f>G493+C494-D494</f>
        <v>3</v>
      </c>
      <c r="H494" s="313"/>
      <c r="I494" s="313"/>
      <c r="J494" s="313" t="s">
        <v>152</v>
      </c>
      <c r="K494" s="313" t="s">
        <v>152</v>
      </c>
      <c r="L494" s="313" t="s">
        <v>152</v>
      </c>
      <c r="M494" s="313"/>
      <c r="N494" s="313"/>
      <c r="O494" s="313"/>
      <c r="P494" s="313"/>
      <c r="Q494" s="855">
        <v>12</v>
      </c>
    </row>
    <row r="495" spans="1:17">
      <c r="A495" s="390"/>
      <c r="B495" s="315"/>
      <c r="C495" s="313"/>
      <c r="D495" s="313"/>
      <c r="E495" s="316"/>
      <c r="F495" s="316"/>
      <c r="G495" s="313"/>
      <c r="H495" s="313"/>
      <c r="I495" s="313"/>
      <c r="J495" s="313"/>
      <c r="K495" s="313"/>
      <c r="L495" s="313"/>
      <c r="M495" s="313"/>
      <c r="N495" s="313"/>
      <c r="O495" s="313"/>
      <c r="P495" s="313"/>
    </row>
    <row r="496" spans="1:17">
      <c r="A496" s="390"/>
      <c r="B496" s="601"/>
      <c r="C496" s="294"/>
      <c r="D496" s="294"/>
      <c r="E496" s="294"/>
      <c r="F496" s="294"/>
      <c r="G496" s="313"/>
      <c r="H496" s="294"/>
      <c r="I496" s="294"/>
      <c r="J496" s="313"/>
      <c r="K496" s="313"/>
      <c r="L496" s="313"/>
      <c r="M496" s="313"/>
      <c r="N496" s="313"/>
      <c r="O496" s="313"/>
      <c r="P496" s="313"/>
    </row>
    <row r="497" spans="1:16">
      <c r="A497" s="390"/>
      <c r="B497" s="315"/>
      <c r="C497" s="307"/>
      <c r="D497" s="313"/>
      <c r="E497" s="313"/>
      <c r="F497" s="313"/>
      <c r="G497" s="313"/>
      <c r="H497" s="313"/>
      <c r="I497" s="313"/>
      <c r="J497" s="313"/>
      <c r="K497" s="313"/>
      <c r="L497" s="313"/>
      <c r="M497" s="313"/>
      <c r="N497" s="313"/>
      <c r="O497" s="313"/>
      <c r="P497" s="313"/>
    </row>
    <row r="498" spans="1:16">
      <c r="A498" s="390"/>
      <c r="B498" s="315"/>
      <c r="C498" s="313"/>
      <c r="D498" s="313"/>
      <c r="E498" s="313"/>
      <c r="F498" s="313"/>
      <c r="G498" s="313"/>
      <c r="H498" s="313"/>
      <c r="I498" s="313"/>
      <c r="J498" s="313"/>
      <c r="K498" s="313"/>
      <c r="L498" s="313"/>
      <c r="M498" s="313"/>
      <c r="N498" s="313"/>
      <c r="O498" s="313"/>
      <c r="P498" s="313"/>
    </row>
    <row r="499" spans="1:16">
      <c r="A499" s="390"/>
      <c r="B499" s="315"/>
      <c r="C499" s="313"/>
      <c r="D499" s="313"/>
      <c r="E499" s="313"/>
      <c r="F499" s="313"/>
      <c r="G499" s="313"/>
      <c r="H499" s="313"/>
      <c r="I499" s="313"/>
      <c r="J499" s="313"/>
      <c r="K499" s="313"/>
      <c r="L499" s="313"/>
      <c r="M499" s="313"/>
      <c r="N499" s="313"/>
      <c r="O499" s="313"/>
      <c r="P499" s="313"/>
    </row>
    <row r="500" spans="1:16">
      <c r="A500" s="390"/>
      <c r="B500" s="315"/>
      <c r="C500" s="313"/>
      <c r="D500" s="313"/>
      <c r="E500" s="313"/>
      <c r="F500" s="313"/>
      <c r="G500" s="313"/>
      <c r="H500" s="313"/>
      <c r="I500" s="313"/>
      <c r="J500" s="313"/>
      <c r="K500" s="313"/>
      <c r="L500" s="313"/>
      <c r="M500" s="313"/>
      <c r="N500" s="313"/>
      <c r="O500" s="313"/>
      <c r="P500" s="313"/>
    </row>
    <row r="501" spans="1:16">
      <c r="A501" s="390"/>
      <c r="B501" s="315"/>
      <c r="C501" s="313"/>
      <c r="D501" s="313"/>
      <c r="E501" s="313"/>
      <c r="F501" s="313"/>
      <c r="G501" s="313"/>
      <c r="H501" s="313"/>
      <c r="I501" s="313"/>
      <c r="J501" s="313"/>
      <c r="K501" s="313"/>
      <c r="L501" s="313"/>
      <c r="M501" s="313"/>
      <c r="N501" s="313"/>
      <c r="O501" s="313"/>
      <c r="P501" s="313"/>
    </row>
    <row r="502" spans="1:16">
      <c r="A502" s="390"/>
      <c r="B502" s="315"/>
      <c r="C502" s="313"/>
      <c r="D502" s="313"/>
      <c r="E502" s="313"/>
      <c r="F502" s="313"/>
      <c r="G502" s="313"/>
      <c r="H502" s="313"/>
      <c r="I502" s="313"/>
      <c r="J502" s="313"/>
      <c r="K502" s="313"/>
      <c r="L502" s="313"/>
      <c r="M502" s="313"/>
      <c r="N502" s="313"/>
      <c r="O502" s="313"/>
      <c r="P502" s="313"/>
    </row>
    <row r="503" spans="1:16">
      <c r="A503" s="390"/>
      <c r="B503" s="315"/>
      <c r="C503" s="313"/>
      <c r="D503" s="313"/>
      <c r="E503" s="313"/>
      <c r="F503" s="313"/>
      <c r="G503" s="313"/>
      <c r="H503" s="313"/>
      <c r="I503" s="313"/>
      <c r="J503" s="313"/>
      <c r="K503" s="313"/>
      <c r="L503" s="313"/>
      <c r="M503" s="313"/>
      <c r="N503" s="313"/>
      <c r="O503" s="313"/>
      <c r="P503" s="313"/>
    </row>
    <row r="504" spans="1:16">
      <c r="A504" s="390"/>
      <c r="B504" s="374"/>
      <c r="C504" s="374"/>
      <c r="D504" s="374"/>
      <c r="E504" s="374"/>
      <c r="F504" s="374"/>
      <c r="G504" s="374"/>
      <c r="H504" s="374"/>
      <c r="I504" s="374"/>
      <c r="J504" s="374"/>
      <c r="K504" s="374"/>
      <c r="L504" s="374"/>
      <c r="M504" s="374"/>
      <c r="N504" s="374"/>
      <c r="O504" s="374"/>
      <c r="P504" s="374"/>
    </row>
    <row r="505" spans="1:16">
      <c r="A505" s="390"/>
      <c r="B505" s="374"/>
      <c r="C505" s="374"/>
      <c r="D505" s="374"/>
      <c r="E505" s="374"/>
      <c r="F505" s="374"/>
      <c r="G505" s="374"/>
      <c r="H505" s="374"/>
      <c r="I505" s="374"/>
      <c r="J505" s="374"/>
      <c r="K505" s="374"/>
      <c r="L505" s="374"/>
      <c r="M505" s="374"/>
      <c r="N505" s="374"/>
      <c r="O505" s="374"/>
      <c r="P505" s="374"/>
    </row>
    <row r="506" spans="1:16">
      <c r="A506" s="390"/>
      <c r="B506" s="374"/>
      <c r="C506" s="388"/>
      <c r="D506" s="374"/>
      <c r="E506" s="374"/>
      <c r="F506" s="374"/>
      <c r="G506" s="374"/>
      <c r="H506" s="374"/>
      <c r="I506" s="374"/>
      <c r="J506" s="374"/>
      <c r="K506" s="374"/>
      <c r="L506" s="374"/>
      <c r="M506" s="374"/>
      <c r="N506" s="374"/>
      <c r="O506" s="374"/>
      <c r="P506" s="374"/>
    </row>
    <row r="507" spans="1:16">
      <c r="A507" s="390"/>
      <c r="B507" s="34"/>
      <c r="C507" s="363"/>
      <c r="D507" s="363"/>
      <c r="E507" s="363"/>
      <c r="F507" s="363"/>
      <c r="G507" s="363"/>
      <c r="H507" s="363"/>
      <c r="I507" s="363"/>
      <c r="J507" s="363"/>
      <c r="K507" s="363"/>
      <c r="L507" s="363"/>
      <c r="M507" s="363"/>
      <c r="N507" s="363"/>
      <c r="O507" s="363"/>
      <c r="P507" s="33"/>
    </row>
    <row r="508" spans="1:16">
      <c r="A508" s="390"/>
      <c r="B508" s="34"/>
      <c r="C508" s="363"/>
      <c r="D508" s="363"/>
      <c r="E508" s="363"/>
      <c r="F508" s="363"/>
      <c r="G508" s="363"/>
      <c r="H508" s="363"/>
      <c r="I508" s="363"/>
      <c r="J508" s="363"/>
      <c r="K508" s="363"/>
      <c r="L508" s="363"/>
      <c r="M508" s="363"/>
      <c r="N508" s="363"/>
      <c r="O508" s="363"/>
      <c r="P508" s="36"/>
    </row>
    <row r="509" spans="1:16">
      <c r="A509" s="390"/>
      <c r="B509" s="34"/>
      <c r="C509" s="363"/>
      <c r="D509" s="363"/>
      <c r="E509" s="363"/>
      <c r="F509" s="363"/>
      <c r="G509" s="363"/>
      <c r="H509" s="363"/>
      <c r="I509" s="363"/>
      <c r="J509" s="363"/>
      <c r="K509" s="363"/>
      <c r="L509" s="363"/>
      <c r="M509" s="363"/>
      <c r="N509" s="363"/>
      <c r="O509" s="363"/>
      <c r="P509" s="36"/>
    </row>
    <row r="510" spans="1:16">
      <c r="A510" s="390"/>
      <c r="B510" s="34"/>
      <c r="C510" s="363"/>
      <c r="D510" s="363"/>
      <c r="E510" s="363"/>
      <c r="F510" s="363"/>
      <c r="G510" s="363"/>
      <c r="H510" s="363"/>
      <c r="I510" s="363"/>
      <c r="J510" s="363"/>
      <c r="K510" s="363"/>
      <c r="L510" s="363"/>
      <c r="M510" s="363"/>
      <c r="N510" s="363"/>
      <c r="O510" s="363"/>
      <c r="P510" s="36"/>
    </row>
    <row r="511" spans="1:16">
      <c r="A511" s="390"/>
      <c r="B511" s="34"/>
      <c r="C511" s="363"/>
      <c r="D511" s="363"/>
      <c r="E511" s="363"/>
      <c r="F511" s="363"/>
      <c r="G511" s="363"/>
      <c r="H511" s="363"/>
      <c r="I511" s="363"/>
      <c r="J511" s="363"/>
      <c r="K511" s="363"/>
      <c r="L511" s="363"/>
      <c r="M511" s="363"/>
      <c r="N511" s="363"/>
      <c r="O511" s="363"/>
      <c r="P511" s="36"/>
    </row>
    <row r="512" spans="1:16">
      <c r="A512" s="390"/>
      <c r="B512" s="34"/>
      <c r="C512" s="300"/>
      <c r="D512" s="300"/>
      <c r="E512" s="300"/>
      <c r="F512" s="300"/>
      <c r="G512" s="300"/>
      <c r="H512" s="300"/>
      <c r="I512" s="300"/>
      <c r="J512" s="300"/>
      <c r="K512" s="300"/>
      <c r="L512" s="300"/>
      <c r="M512" s="300"/>
      <c r="N512" s="300"/>
      <c r="O512" s="300"/>
      <c r="P512" s="63"/>
    </row>
    <row r="513" spans="1:16">
      <c r="A513" s="390"/>
      <c r="B513" s="73"/>
      <c r="C513" s="19"/>
      <c r="D513" s="19"/>
      <c r="E513" s="19"/>
      <c r="F513" s="19"/>
      <c r="G513" s="19"/>
      <c r="H513" s="19"/>
      <c r="I513" s="19"/>
      <c r="J513" s="19" t="s">
        <v>38</v>
      </c>
      <c r="K513" s="19"/>
      <c r="L513" s="19"/>
      <c r="M513" s="19"/>
      <c r="N513" s="19"/>
      <c r="O513" s="19"/>
      <c r="P513" s="74"/>
    </row>
    <row r="514" spans="1:16">
      <c r="A514" s="390"/>
      <c r="B514" s="390"/>
      <c r="C514" s="390"/>
      <c r="D514" s="390"/>
      <c r="E514" s="390"/>
      <c r="F514" s="390"/>
      <c r="G514" s="390"/>
      <c r="H514" s="390"/>
      <c r="I514" s="390"/>
      <c r="J514" s="390"/>
      <c r="K514" s="390"/>
      <c r="L514" s="390"/>
      <c r="M514" s="390"/>
      <c r="N514" s="390"/>
      <c r="O514" s="390"/>
      <c r="P514" s="390"/>
    </row>
    <row r="515" spans="1:16">
      <c r="A515" s="390"/>
      <c r="B515" s="390"/>
      <c r="C515" s="390"/>
      <c r="D515" s="390"/>
      <c r="E515" s="390"/>
      <c r="F515" s="390"/>
      <c r="G515" s="390"/>
      <c r="H515" s="390"/>
      <c r="I515" s="390"/>
      <c r="J515" s="390"/>
      <c r="K515" s="390"/>
      <c r="L515" s="390"/>
      <c r="M515" s="390"/>
      <c r="N515" s="390"/>
      <c r="O515" s="390"/>
      <c r="P515" s="390"/>
    </row>
    <row r="516" spans="1:16">
      <c r="A516" s="390"/>
      <c r="B516" s="390"/>
      <c r="C516" s="390"/>
      <c r="D516" s="390"/>
      <c r="E516" s="390"/>
      <c r="F516" s="390"/>
      <c r="G516" s="390"/>
      <c r="H516" s="390"/>
      <c r="I516" s="390"/>
      <c r="J516" s="390"/>
      <c r="K516" s="390"/>
      <c r="L516" s="390"/>
      <c r="M516" s="390"/>
      <c r="N516" s="390"/>
      <c r="O516" s="390"/>
      <c r="P516" s="390"/>
    </row>
    <row r="517" spans="1:16" ht="15.75" thickBot="1">
      <c r="A517" s="390"/>
      <c r="B517" s="390"/>
      <c r="C517" s="390"/>
      <c r="D517" s="390"/>
      <c r="E517" s="390"/>
      <c r="F517" s="390"/>
      <c r="G517" s="390"/>
      <c r="H517" s="390"/>
      <c r="I517" s="390"/>
      <c r="J517" s="390"/>
      <c r="K517" s="390"/>
      <c r="L517" s="390"/>
      <c r="M517" s="390"/>
      <c r="N517" s="390"/>
      <c r="O517" s="390"/>
      <c r="P517" s="390"/>
    </row>
    <row r="518" spans="1:16">
      <c r="A518" s="390"/>
      <c r="B518" s="1180" t="s">
        <v>727</v>
      </c>
      <c r="C518" s="1180"/>
      <c r="D518" s="1180"/>
      <c r="E518" s="1180"/>
      <c r="F518" s="1180"/>
      <c r="G518" s="1180"/>
      <c r="H518" s="1180"/>
      <c r="I518" s="1180"/>
      <c r="J518" s="1180"/>
      <c r="K518" s="1180"/>
      <c r="L518" s="1180"/>
      <c r="M518" s="1180"/>
      <c r="N518" s="1180"/>
      <c r="O518" s="1180"/>
      <c r="P518" s="1181"/>
    </row>
    <row r="519" spans="1:16">
      <c r="A519" s="390"/>
      <c r="B519" s="1182"/>
      <c r="C519" s="1182"/>
      <c r="D519" s="1182"/>
      <c r="E519" s="1182"/>
      <c r="F519" s="1182"/>
      <c r="G519" s="1182"/>
      <c r="H519" s="1182"/>
      <c r="I519" s="1182"/>
      <c r="J519" s="1182"/>
      <c r="K519" s="1182"/>
      <c r="L519" s="1182"/>
      <c r="M519" s="1182"/>
      <c r="N519" s="1182"/>
      <c r="O519" s="1182"/>
      <c r="P519" s="1183"/>
    </row>
    <row r="520" spans="1:16">
      <c r="A520" s="390"/>
      <c r="B520" s="1184" t="s">
        <v>728</v>
      </c>
      <c r="C520" s="1184"/>
      <c r="D520" s="1184"/>
      <c r="E520" s="1184"/>
      <c r="F520" s="1184"/>
      <c r="G520" s="1184"/>
      <c r="H520" s="1184"/>
      <c r="I520" s="1184"/>
      <c r="J520" s="1184"/>
      <c r="K520" s="1184"/>
      <c r="L520" s="1184"/>
      <c r="M520" s="1184"/>
      <c r="N520" s="1184"/>
      <c r="O520" s="1184"/>
      <c r="P520" s="1185"/>
    </row>
    <row r="521" spans="1:16">
      <c r="A521" s="390"/>
      <c r="B521" s="31" t="s">
        <v>199</v>
      </c>
      <c r="C521" s="32"/>
      <c r="D521" s="609" t="s">
        <v>425</v>
      </c>
      <c r="E521" s="300"/>
      <c r="F521" s="33"/>
      <c r="G521" s="32"/>
      <c r="H521" s="32"/>
      <c r="I521" s="40" t="s">
        <v>145</v>
      </c>
      <c r="J521" s="75"/>
      <c r="K521" s="75"/>
      <c r="L521" s="75"/>
      <c r="M521" s="75"/>
      <c r="N521" s="75"/>
      <c r="O521" s="75"/>
      <c r="P521" s="369"/>
    </row>
    <row r="522" spans="1:16" ht="15.75">
      <c r="A522" s="390"/>
      <c r="B522" s="34"/>
      <c r="C522" s="363" t="s">
        <v>426</v>
      </c>
      <c r="D522" s="363"/>
      <c r="E522" s="36"/>
      <c r="F522" s="76"/>
      <c r="G522" s="370"/>
      <c r="H522" s="300"/>
      <c r="I522" s="382" t="str">
        <f>'04-22-Master'!B28</f>
        <v>NEERUDU SAI KUMAR</v>
      </c>
      <c r="J522" s="370"/>
      <c r="K522" s="370"/>
      <c r="L522" s="370"/>
      <c r="M522" s="370"/>
      <c r="N522" s="370"/>
      <c r="O522" s="370"/>
      <c r="P522" s="371"/>
    </row>
    <row r="523" spans="1:16">
      <c r="A523" s="390"/>
      <c r="B523" s="37"/>
      <c r="C523" s="38"/>
      <c r="D523" s="38"/>
      <c r="E523" s="39"/>
      <c r="F523" s="77"/>
      <c r="G523" s="78"/>
      <c r="H523" s="78"/>
      <c r="I523" s="78"/>
      <c r="J523" s="78"/>
      <c r="K523" s="78"/>
      <c r="L523" s="78"/>
      <c r="M523" s="78"/>
      <c r="N523" s="78"/>
      <c r="O523" s="78"/>
      <c r="P523" s="372"/>
    </row>
    <row r="524" spans="1:16">
      <c r="A524" s="390"/>
      <c r="B524" s="1186"/>
      <c r="C524" s="1186"/>
      <c r="D524" s="1186"/>
      <c r="E524" s="1186"/>
      <c r="F524" s="40"/>
      <c r="G524" s="32"/>
      <c r="H524" s="32"/>
      <c r="I524" s="32"/>
      <c r="J524" s="32"/>
      <c r="K524" s="32"/>
      <c r="L524" s="32"/>
      <c r="M524" s="32"/>
      <c r="N524" s="32"/>
      <c r="O524" s="32"/>
      <c r="P524" s="33"/>
    </row>
    <row r="525" spans="1:16">
      <c r="A525" s="390"/>
      <c r="B525" s="1186"/>
      <c r="C525" s="1186"/>
      <c r="D525" s="1186"/>
      <c r="E525" s="1186"/>
      <c r="F525" s="300"/>
      <c r="G525" s="363"/>
      <c r="H525" s="152"/>
      <c r="I525" s="300" t="s">
        <v>147</v>
      </c>
      <c r="J525" s="373"/>
      <c r="K525" s="373"/>
      <c r="L525" s="363"/>
      <c r="M525" s="363"/>
      <c r="N525" s="363"/>
      <c r="O525" s="363"/>
      <c r="P525" s="36"/>
    </row>
    <row r="526" spans="1:16">
      <c r="A526" s="390"/>
      <c r="B526" s="1186"/>
      <c r="C526" s="1186"/>
      <c r="D526" s="1186"/>
      <c r="E526" s="1186"/>
      <c r="F526" s="34"/>
      <c r="G526" s="363"/>
      <c r="H526" s="363"/>
      <c r="I526" s="363" t="str">
        <f>'04-22-Master'!E28</f>
        <v>UMA</v>
      </c>
      <c r="J526" s="363"/>
      <c r="K526" s="363"/>
      <c r="L526" s="363"/>
      <c r="M526" s="363"/>
      <c r="N526" s="363"/>
      <c r="O526" s="363"/>
      <c r="P526" s="36"/>
    </row>
    <row r="527" spans="1:16">
      <c r="A527" s="390"/>
      <c r="B527" s="1186"/>
      <c r="C527" s="1186"/>
      <c r="D527" s="1186"/>
      <c r="E527" s="1186"/>
      <c r="F527" s="300"/>
      <c r="G527" s="38"/>
      <c r="H527" s="112"/>
      <c r="I527" s="300" t="s">
        <v>148</v>
      </c>
      <c r="J527" s="38"/>
      <c r="K527" s="38"/>
      <c r="L527" s="112">
        <f>'04-22-Master'!I28</f>
        <v>44615</v>
      </c>
      <c r="M527" s="38"/>
      <c r="N527" s="38"/>
      <c r="O527" s="38"/>
      <c r="P527" s="39"/>
    </row>
    <row r="528" spans="1:16">
      <c r="A528" s="390"/>
      <c r="B528" s="1187" t="e">
        <f>#REF!</f>
        <v>#REF!</v>
      </c>
      <c r="C528" s="1189" t="s">
        <v>431</v>
      </c>
      <c r="D528" s="1190"/>
      <c r="E528" s="1189" t="s">
        <v>432</v>
      </c>
      <c r="F528" s="1190"/>
      <c r="G528" s="1193" t="s">
        <v>433</v>
      </c>
      <c r="H528" s="1189" t="s">
        <v>434</v>
      </c>
      <c r="I528" s="1194"/>
      <c r="J528" s="1195" t="s">
        <v>435</v>
      </c>
      <c r="K528" s="1194"/>
      <c r="L528" s="1196"/>
      <c r="M528" s="1195" t="s">
        <v>436</v>
      </c>
      <c r="N528" s="1194"/>
      <c r="O528" s="1194"/>
      <c r="P528" s="1200" t="s">
        <v>437</v>
      </c>
    </row>
    <row r="529" spans="1:17" ht="15.75" thickBot="1">
      <c r="A529" s="390"/>
      <c r="B529" s="1188"/>
      <c r="C529" s="1189"/>
      <c r="D529" s="1190"/>
      <c r="E529" s="1189"/>
      <c r="F529" s="1190"/>
      <c r="G529" s="1187"/>
      <c r="H529" s="1189"/>
      <c r="I529" s="1194"/>
      <c r="J529" s="1197"/>
      <c r="K529" s="1198"/>
      <c r="L529" s="1199"/>
      <c r="M529" s="1197"/>
      <c r="N529" s="1198"/>
      <c r="O529" s="1198"/>
      <c r="P529" s="1201"/>
    </row>
    <row r="530" spans="1:17">
      <c r="A530" s="390"/>
      <c r="B530" s="352">
        <v>1</v>
      </c>
      <c r="C530" s="1191"/>
      <c r="D530" s="1192"/>
      <c r="E530" s="1191"/>
      <c r="F530" s="1192"/>
      <c r="G530" s="352">
        <v>6</v>
      </c>
      <c r="H530" s="1191"/>
      <c r="I530" s="1192"/>
      <c r="J530" s="311">
        <v>9</v>
      </c>
      <c r="K530" s="311"/>
      <c r="L530" s="311"/>
      <c r="M530" s="311">
        <v>9</v>
      </c>
      <c r="N530" s="311"/>
      <c r="O530" s="311"/>
      <c r="P530" s="312" t="s">
        <v>438</v>
      </c>
    </row>
    <row r="531" spans="1:17" ht="89.25">
      <c r="A531" s="390"/>
      <c r="B531" s="313"/>
      <c r="C531" s="313" t="s">
        <v>439</v>
      </c>
      <c r="D531" s="313" t="s">
        <v>440</v>
      </c>
      <c r="E531" s="313" t="s">
        <v>441</v>
      </c>
      <c r="F531" s="313" t="s">
        <v>150</v>
      </c>
      <c r="G531" s="313"/>
      <c r="H531" s="313" t="s">
        <v>442</v>
      </c>
      <c r="I531" s="313" t="s">
        <v>443</v>
      </c>
      <c r="J531" s="313" t="s">
        <v>149</v>
      </c>
      <c r="K531" s="313" t="s">
        <v>444</v>
      </c>
      <c r="L531" s="313" t="s">
        <v>445</v>
      </c>
      <c r="M531" s="313" t="s">
        <v>446</v>
      </c>
      <c r="N531" s="313" t="s">
        <v>447</v>
      </c>
      <c r="O531" s="314" t="s">
        <v>448</v>
      </c>
      <c r="P531" s="314"/>
    </row>
    <row r="532" spans="1:17">
      <c r="A532" s="390"/>
      <c r="B532" s="315"/>
      <c r="C532" s="313"/>
      <c r="D532" s="313"/>
      <c r="E532" s="316"/>
      <c r="F532" s="316"/>
      <c r="G532" s="313"/>
      <c r="H532" s="313"/>
      <c r="I532" s="313"/>
      <c r="J532" s="313"/>
      <c r="K532" s="313"/>
      <c r="L532" s="313"/>
      <c r="M532" s="313"/>
      <c r="N532" s="313"/>
      <c r="O532" s="313"/>
      <c r="P532" s="313"/>
    </row>
    <row r="533" spans="1:17" s="390" customFormat="1">
      <c r="B533" s="315" t="s">
        <v>1053</v>
      </c>
      <c r="C533" s="313">
        <v>1.5</v>
      </c>
      <c r="D533" s="313">
        <v>0</v>
      </c>
      <c r="E533" s="313">
        <v>0</v>
      </c>
      <c r="F533" s="313">
        <v>0</v>
      </c>
      <c r="G533" s="313">
        <v>0</v>
      </c>
      <c r="H533" s="313"/>
      <c r="I533" s="313"/>
      <c r="J533" s="313" t="s">
        <v>718</v>
      </c>
      <c r="K533" s="313" t="s">
        <v>152</v>
      </c>
      <c r="L533" s="313" t="s">
        <v>152</v>
      </c>
      <c r="M533" s="313"/>
      <c r="N533" s="852"/>
      <c r="O533" s="313"/>
      <c r="P533" s="313"/>
    </row>
    <row r="534" spans="1:17" s="855" customFormat="1">
      <c r="B534" s="315" t="s">
        <v>1100</v>
      </c>
      <c r="C534" s="313">
        <v>1.5</v>
      </c>
      <c r="D534" s="313">
        <v>0</v>
      </c>
      <c r="E534" s="313">
        <v>0</v>
      </c>
      <c r="F534" s="313">
        <v>0</v>
      </c>
      <c r="G534" s="313">
        <f>G533+C534-D534</f>
        <v>1.5</v>
      </c>
      <c r="H534" s="313"/>
      <c r="I534" s="313"/>
      <c r="J534" s="313" t="s">
        <v>152</v>
      </c>
      <c r="K534" s="313" t="s">
        <v>152</v>
      </c>
      <c r="L534" s="313" t="s">
        <v>152</v>
      </c>
      <c r="M534" s="313"/>
      <c r="N534" s="313"/>
      <c r="O534" s="313"/>
      <c r="P534" s="313"/>
    </row>
    <row r="535" spans="1:17" s="855" customFormat="1">
      <c r="B535" s="375" t="s">
        <v>1139</v>
      </c>
      <c r="C535" s="313">
        <v>1.5</v>
      </c>
      <c r="D535" s="313">
        <v>0</v>
      </c>
      <c r="E535" s="313">
        <v>0</v>
      </c>
      <c r="F535" s="313">
        <v>0</v>
      </c>
      <c r="G535" s="313">
        <f>G534+C535-D535</f>
        <v>3</v>
      </c>
      <c r="H535" s="313"/>
      <c r="I535" s="313"/>
      <c r="J535" s="313" t="s">
        <v>152</v>
      </c>
      <c r="K535" s="313" t="s">
        <v>152</v>
      </c>
      <c r="L535" s="313" t="s">
        <v>152</v>
      </c>
      <c r="M535" s="313"/>
      <c r="N535" s="313"/>
      <c r="O535" s="313"/>
      <c r="P535" s="313"/>
      <c r="Q535" s="855">
        <v>13</v>
      </c>
    </row>
    <row r="536" spans="1:17">
      <c r="A536" s="390"/>
      <c r="B536" s="315"/>
      <c r="C536" s="313"/>
      <c r="D536" s="313"/>
      <c r="E536" s="316"/>
      <c r="F536" s="316"/>
      <c r="G536" s="313"/>
      <c r="H536" s="313"/>
      <c r="I536" s="313"/>
      <c r="J536" s="313"/>
      <c r="K536" s="313"/>
      <c r="L536" s="313"/>
      <c r="M536" s="313"/>
      <c r="N536" s="313"/>
      <c r="O536" s="313"/>
      <c r="P536" s="313"/>
    </row>
    <row r="537" spans="1:17">
      <c r="A537" s="390"/>
      <c r="B537" s="601"/>
      <c r="C537" s="294"/>
      <c r="D537" s="294"/>
      <c r="E537" s="294"/>
      <c r="F537" s="294"/>
      <c r="G537" s="313"/>
      <c r="H537" s="294"/>
      <c r="I537" s="294"/>
      <c r="J537" s="313"/>
      <c r="K537" s="313"/>
      <c r="L537" s="313"/>
      <c r="M537" s="313"/>
      <c r="N537" s="313"/>
      <c r="O537" s="313"/>
      <c r="P537" s="313"/>
    </row>
    <row r="538" spans="1:17">
      <c r="A538" s="390"/>
      <c r="B538" s="315"/>
      <c r="C538" s="307"/>
      <c r="D538" s="313"/>
      <c r="E538" s="313"/>
      <c r="F538" s="313"/>
      <c r="G538" s="313"/>
      <c r="H538" s="313"/>
      <c r="I538" s="313"/>
      <c r="J538" s="313"/>
      <c r="K538" s="313"/>
      <c r="L538" s="313"/>
      <c r="M538" s="313"/>
      <c r="N538" s="313"/>
      <c r="O538" s="313"/>
      <c r="P538" s="313"/>
    </row>
    <row r="539" spans="1:17">
      <c r="A539" s="390"/>
      <c r="B539" s="315"/>
      <c r="C539" s="313"/>
      <c r="D539" s="313"/>
      <c r="E539" s="313"/>
      <c r="F539" s="313"/>
      <c r="G539" s="313"/>
      <c r="H539" s="313"/>
      <c r="I539" s="313"/>
      <c r="J539" s="313"/>
      <c r="K539" s="313"/>
      <c r="L539" s="313"/>
      <c r="M539" s="313"/>
      <c r="N539" s="313"/>
      <c r="O539" s="313"/>
      <c r="P539" s="313"/>
    </row>
    <row r="540" spans="1:17">
      <c r="A540" s="390"/>
      <c r="B540" s="315"/>
      <c r="C540" s="313"/>
      <c r="D540" s="313"/>
      <c r="E540" s="313"/>
      <c r="F540" s="313"/>
      <c r="G540" s="313"/>
      <c r="H540" s="313"/>
      <c r="I540" s="313"/>
      <c r="J540" s="313"/>
      <c r="K540" s="313"/>
      <c r="L540" s="313"/>
      <c r="M540" s="313"/>
      <c r="N540" s="313"/>
      <c r="O540" s="313"/>
      <c r="P540" s="313"/>
    </row>
    <row r="541" spans="1:17">
      <c r="A541" s="390"/>
      <c r="B541" s="315"/>
      <c r="C541" s="313"/>
      <c r="D541" s="313"/>
      <c r="E541" s="313"/>
      <c r="F541" s="313"/>
      <c r="G541" s="313"/>
      <c r="H541" s="313"/>
      <c r="I541" s="313"/>
      <c r="J541" s="313"/>
      <c r="K541" s="313"/>
      <c r="L541" s="313"/>
      <c r="M541" s="313"/>
      <c r="N541" s="313"/>
      <c r="O541" s="313"/>
      <c r="P541" s="313"/>
    </row>
    <row r="542" spans="1:17">
      <c r="A542" s="390"/>
      <c r="B542" s="315"/>
      <c r="C542" s="313"/>
      <c r="D542" s="313"/>
      <c r="E542" s="313"/>
      <c r="F542" s="313"/>
      <c r="G542" s="313"/>
      <c r="H542" s="313"/>
      <c r="I542" s="313"/>
      <c r="J542" s="313"/>
      <c r="K542" s="313"/>
      <c r="L542" s="313"/>
      <c r="M542" s="313"/>
      <c r="N542" s="313"/>
      <c r="O542" s="313"/>
      <c r="P542" s="313"/>
    </row>
    <row r="543" spans="1:17">
      <c r="A543" s="390"/>
      <c r="B543" s="315"/>
      <c r="C543" s="313"/>
      <c r="D543" s="313"/>
      <c r="E543" s="313"/>
      <c r="F543" s="313"/>
      <c r="G543" s="313"/>
      <c r="H543" s="313"/>
      <c r="I543" s="313"/>
      <c r="J543" s="313"/>
      <c r="K543" s="313"/>
      <c r="L543" s="313"/>
      <c r="M543" s="313"/>
      <c r="N543" s="313"/>
      <c r="O543" s="313"/>
      <c r="P543" s="313"/>
    </row>
    <row r="544" spans="1:17">
      <c r="A544" s="390"/>
      <c r="B544" s="315"/>
      <c r="C544" s="313"/>
      <c r="D544" s="313"/>
      <c r="E544" s="313"/>
      <c r="F544" s="313"/>
      <c r="G544" s="313"/>
      <c r="H544" s="313"/>
      <c r="I544" s="313"/>
      <c r="J544" s="313"/>
      <c r="K544" s="313"/>
      <c r="L544" s="313"/>
      <c r="M544" s="313"/>
      <c r="N544" s="313"/>
      <c r="O544" s="313"/>
      <c r="P544" s="313"/>
    </row>
    <row r="545" spans="1:16">
      <c r="A545" s="390"/>
      <c r="B545" s="374"/>
      <c r="C545" s="374"/>
      <c r="D545" s="374"/>
      <c r="E545" s="374"/>
      <c r="F545" s="374"/>
      <c r="G545" s="374"/>
      <c r="H545" s="374"/>
      <c r="I545" s="374"/>
      <c r="J545" s="374"/>
      <c r="K545" s="374"/>
      <c r="L545" s="374"/>
      <c r="M545" s="374"/>
      <c r="N545" s="374"/>
      <c r="O545" s="374"/>
      <c r="P545" s="374"/>
    </row>
    <row r="546" spans="1:16">
      <c r="A546" s="390"/>
      <c r="B546" s="374"/>
      <c r="C546" s="374"/>
      <c r="D546" s="374"/>
      <c r="E546" s="374"/>
      <c r="F546" s="374"/>
      <c r="G546" s="374"/>
      <c r="H546" s="374"/>
      <c r="I546" s="374"/>
      <c r="J546" s="374"/>
      <c r="K546" s="374"/>
      <c r="L546" s="374"/>
      <c r="M546" s="374"/>
      <c r="N546" s="374"/>
      <c r="O546" s="374"/>
      <c r="P546" s="374"/>
    </row>
    <row r="547" spans="1:16">
      <c r="A547" s="390"/>
      <c r="B547" s="374"/>
      <c r="C547" s="388"/>
      <c r="D547" s="374"/>
      <c r="E547" s="374"/>
      <c r="F547" s="374"/>
      <c r="G547" s="374"/>
      <c r="H547" s="374"/>
      <c r="I547" s="374"/>
      <c r="J547" s="374"/>
      <c r="K547" s="374"/>
      <c r="L547" s="374"/>
      <c r="M547" s="374"/>
      <c r="N547" s="374"/>
      <c r="O547" s="374"/>
      <c r="P547" s="374"/>
    </row>
    <row r="548" spans="1:16">
      <c r="A548" s="390"/>
      <c r="B548" s="34"/>
      <c r="C548" s="363"/>
      <c r="D548" s="363"/>
      <c r="E548" s="363"/>
      <c r="F548" s="363"/>
      <c r="G548" s="363"/>
      <c r="H548" s="363"/>
      <c r="I548" s="363"/>
      <c r="J548" s="363"/>
      <c r="K548" s="363"/>
      <c r="L548" s="363"/>
      <c r="M548" s="363"/>
      <c r="N548" s="363"/>
      <c r="O548" s="363"/>
      <c r="P548" s="33"/>
    </row>
    <row r="549" spans="1:16">
      <c r="A549" s="390"/>
      <c r="B549" s="34"/>
      <c r="C549" s="363"/>
      <c r="D549" s="363"/>
      <c r="E549" s="363"/>
      <c r="F549" s="363"/>
      <c r="G549" s="363"/>
      <c r="H549" s="363"/>
      <c r="I549" s="363"/>
      <c r="J549" s="363"/>
      <c r="K549" s="363"/>
      <c r="L549" s="363"/>
      <c r="M549" s="363"/>
      <c r="N549" s="363"/>
      <c r="O549" s="363"/>
      <c r="P549" s="36"/>
    </row>
    <row r="550" spans="1:16">
      <c r="A550" s="390"/>
      <c r="B550" s="34"/>
      <c r="C550" s="363"/>
      <c r="D550" s="363"/>
      <c r="E550" s="363"/>
      <c r="F550" s="363"/>
      <c r="G550" s="363"/>
      <c r="H550" s="363"/>
      <c r="I550" s="363"/>
      <c r="J550" s="363"/>
      <c r="K550" s="363"/>
      <c r="L550" s="363"/>
      <c r="M550" s="363"/>
      <c r="N550" s="363"/>
      <c r="O550" s="363"/>
      <c r="P550" s="36"/>
    </row>
    <row r="551" spans="1:16">
      <c r="A551" s="390"/>
      <c r="B551" s="34"/>
      <c r="C551" s="363"/>
      <c r="D551" s="363"/>
      <c r="E551" s="363"/>
      <c r="F551" s="363"/>
      <c r="G551" s="363"/>
      <c r="H551" s="363"/>
      <c r="I551" s="363"/>
      <c r="J551" s="363"/>
      <c r="K551" s="363"/>
      <c r="L551" s="363"/>
      <c r="M551" s="363"/>
      <c r="N551" s="363"/>
      <c r="O551" s="363"/>
      <c r="P551" s="36"/>
    </row>
    <row r="552" spans="1:16">
      <c r="A552" s="390"/>
      <c r="B552" s="34"/>
      <c r="C552" s="363"/>
      <c r="D552" s="363"/>
      <c r="E552" s="363"/>
      <c r="F552" s="363"/>
      <c r="G552" s="363"/>
      <c r="H552" s="363"/>
      <c r="I552" s="363"/>
      <c r="J552" s="363"/>
      <c r="K552" s="363"/>
      <c r="L552" s="363"/>
      <c r="M552" s="363"/>
      <c r="N552" s="363"/>
      <c r="O552" s="363"/>
      <c r="P552" s="36"/>
    </row>
    <row r="553" spans="1:16">
      <c r="A553" s="390"/>
      <c r="B553" s="34"/>
      <c r="C553" s="300"/>
      <c r="D553" s="300"/>
      <c r="E553" s="300"/>
      <c r="F553" s="300"/>
      <c r="G553" s="300"/>
      <c r="H553" s="300"/>
      <c r="I553" s="300"/>
      <c r="J553" s="300"/>
      <c r="K553" s="300"/>
      <c r="L553" s="300"/>
      <c r="M553" s="300"/>
      <c r="N553" s="300"/>
      <c r="O553" s="300"/>
      <c r="P553" s="63"/>
    </row>
    <row r="554" spans="1:16">
      <c r="A554" s="390"/>
      <c r="B554" s="73"/>
      <c r="C554" s="19"/>
      <c r="D554" s="19"/>
      <c r="E554" s="19"/>
      <c r="F554" s="19"/>
      <c r="G554" s="19"/>
      <c r="H554" s="19"/>
      <c r="I554" s="19"/>
      <c r="J554" s="19" t="s">
        <v>38</v>
      </c>
      <c r="K554" s="19"/>
      <c r="L554" s="19"/>
      <c r="M554" s="19"/>
      <c r="N554" s="19"/>
      <c r="O554" s="19"/>
      <c r="P554" s="74"/>
    </row>
    <row r="555" spans="1:16">
      <c r="A555" s="390"/>
      <c r="B555" s="390"/>
      <c r="C555" s="390"/>
      <c r="D555" s="390"/>
      <c r="E555" s="390"/>
      <c r="F555" s="390"/>
      <c r="G555" s="390"/>
      <c r="H555" s="390"/>
      <c r="I555" s="390"/>
      <c r="J555" s="390"/>
      <c r="K555" s="390"/>
      <c r="L555" s="390"/>
      <c r="M555" s="390"/>
      <c r="N555" s="390"/>
      <c r="O555" s="390"/>
      <c r="P555" s="390"/>
    </row>
    <row r="556" spans="1:16">
      <c r="A556" s="390"/>
      <c r="B556" s="390"/>
      <c r="C556" s="390"/>
      <c r="D556" s="390"/>
      <c r="E556" s="390"/>
      <c r="F556" s="390"/>
      <c r="G556" s="390"/>
      <c r="H556" s="390"/>
      <c r="I556" s="390"/>
      <c r="J556" s="390"/>
      <c r="K556" s="390"/>
      <c r="L556" s="390"/>
      <c r="M556" s="390"/>
      <c r="N556" s="390"/>
      <c r="O556" s="390"/>
      <c r="P556" s="390"/>
    </row>
    <row r="557" spans="1:16">
      <c r="A557" s="390"/>
      <c r="B557" s="390"/>
      <c r="C557" s="390"/>
      <c r="D557" s="390"/>
      <c r="E557" s="390"/>
      <c r="F557" s="390"/>
      <c r="G557" s="390"/>
      <c r="H557" s="390"/>
      <c r="I557" s="390"/>
      <c r="J557" s="390"/>
      <c r="K557" s="390"/>
      <c r="L557" s="390"/>
      <c r="M557" s="390"/>
      <c r="N557" s="390"/>
      <c r="O557" s="390"/>
      <c r="P557" s="390"/>
    </row>
    <row r="558" spans="1:16">
      <c r="A558" s="390"/>
      <c r="B558" s="390"/>
      <c r="C558" s="390"/>
      <c r="D558" s="390"/>
      <c r="E558" s="390"/>
      <c r="F558" s="390"/>
      <c r="G558" s="390"/>
      <c r="H558" s="390"/>
      <c r="I558" s="390"/>
      <c r="J558" s="390"/>
      <c r="K558" s="390"/>
      <c r="L558" s="390"/>
      <c r="M558" s="390"/>
      <c r="N558" s="390"/>
      <c r="O558" s="390"/>
      <c r="P558" s="390"/>
    </row>
    <row r="559" spans="1:16">
      <c r="A559" s="390"/>
      <c r="B559" s="390"/>
      <c r="C559" s="390"/>
      <c r="D559" s="390"/>
      <c r="E559" s="390"/>
      <c r="F559" s="390"/>
      <c r="G559" s="390"/>
      <c r="H559" s="390"/>
      <c r="I559" s="390"/>
      <c r="J559" s="390"/>
      <c r="K559" s="390"/>
      <c r="L559" s="390"/>
      <c r="M559" s="390"/>
      <c r="N559" s="390"/>
      <c r="O559" s="390"/>
      <c r="P559" s="390"/>
    </row>
    <row r="560" spans="1:16">
      <c r="A560" s="390"/>
      <c r="B560" s="390"/>
      <c r="C560" s="390"/>
      <c r="D560" s="390"/>
      <c r="E560" s="390"/>
      <c r="F560" s="390"/>
      <c r="G560" s="390"/>
      <c r="H560" s="390"/>
      <c r="I560" s="390"/>
      <c r="J560" s="390"/>
      <c r="K560" s="390"/>
      <c r="L560" s="390"/>
      <c r="M560" s="390"/>
      <c r="N560" s="390"/>
      <c r="O560" s="390"/>
      <c r="P560" s="390"/>
    </row>
    <row r="561" spans="1:16">
      <c r="A561" s="390"/>
      <c r="B561" s="390"/>
      <c r="C561" s="390"/>
      <c r="D561" s="390"/>
      <c r="E561" s="390"/>
      <c r="F561" s="390"/>
      <c r="G561" s="390"/>
      <c r="H561" s="390"/>
      <c r="I561" s="390"/>
      <c r="J561" s="390"/>
      <c r="K561" s="390"/>
      <c r="L561" s="390"/>
      <c r="M561" s="390"/>
      <c r="N561" s="390"/>
      <c r="O561" s="390"/>
      <c r="P561" s="390"/>
    </row>
    <row r="562" spans="1:16" ht="15.75" thickBot="1">
      <c r="A562" s="390"/>
      <c r="B562" s="390"/>
      <c r="C562" s="390"/>
      <c r="D562" s="390"/>
      <c r="E562" s="390"/>
      <c r="F562" s="390"/>
      <c r="G562" s="390"/>
      <c r="H562" s="390"/>
      <c r="I562" s="390"/>
      <c r="J562" s="390"/>
      <c r="K562" s="390"/>
      <c r="L562" s="390"/>
      <c r="M562" s="390"/>
      <c r="N562" s="390"/>
      <c r="O562" s="390"/>
      <c r="P562" s="390"/>
    </row>
    <row r="563" spans="1:16">
      <c r="A563" s="390"/>
      <c r="B563" s="1180" t="s">
        <v>727</v>
      </c>
      <c r="C563" s="1180"/>
      <c r="D563" s="1180"/>
      <c r="E563" s="1180"/>
      <c r="F563" s="1180"/>
      <c r="G563" s="1180"/>
      <c r="H563" s="1180"/>
      <c r="I563" s="1180"/>
      <c r="J563" s="1180"/>
      <c r="K563" s="1180"/>
      <c r="L563" s="1180"/>
      <c r="M563" s="1180"/>
      <c r="N563" s="1180"/>
      <c r="O563" s="1180"/>
      <c r="P563" s="1181"/>
    </row>
    <row r="564" spans="1:16">
      <c r="A564" s="390"/>
      <c r="B564" s="1182"/>
      <c r="C564" s="1182"/>
      <c r="D564" s="1182"/>
      <c r="E564" s="1182"/>
      <c r="F564" s="1182"/>
      <c r="G564" s="1182"/>
      <c r="H564" s="1182"/>
      <c r="I564" s="1182"/>
      <c r="J564" s="1182"/>
      <c r="K564" s="1182"/>
      <c r="L564" s="1182"/>
      <c r="M564" s="1182"/>
      <c r="N564" s="1182"/>
      <c r="O564" s="1182"/>
      <c r="P564" s="1183"/>
    </row>
    <row r="565" spans="1:16">
      <c r="A565" s="390"/>
      <c r="B565" s="1184" t="s">
        <v>728</v>
      </c>
      <c r="C565" s="1184"/>
      <c r="D565" s="1184"/>
      <c r="E565" s="1184"/>
      <c r="F565" s="1184"/>
      <c r="G565" s="1184"/>
      <c r="H565" s="1184"/>
      <c r="I565" s="1184"/>
      <c r="J565" s="1184"/>
      <c r="K565" s="1184"/>
      <c r="L565" s="1184"/>
      <c r="M565" s="1184"/>
      <c r="N565" s="1184"/>
      <c r="O565" s="1184"/>
      <c r="P565" s="1185"/>
    </row>
    <row r="566" spans="1:16">
      <c r="A566" s="390"/>
      <c r="B566" s="31" t="s">
        <v>199</v>
      </c>
      <c r="C566" s="32"/>
      <c r="D566" s="609" t="s">
        <v>425</v>
      </c>
      <c r="E566" s="300"/>
      <c r="F566" s="33"/>
      <c r="G566" s="32"/>
      <c r="H566" s="32"/>
      <c r="I566" s="40" t="s">
        <v>145</v>
      </c>
      <c r="J566" s="75"/>
      <c r="K566" s="75"/>
      <c r="L566" s="75"/>
      <c r="M566" s="75"/>
      <c r="N566" s="75"/>
      <c r="O566" s="75"/>
      <c r="P566" s="369"/>
    </row>
    <row r="567" spans="1:16" ht="15.75">
      <c r="A567" s="390"/>
      <c r="B567" s="34"/>
      <c r="C567" s="363" t="s">
        <v>426</v>
      </c>
      <c r="D567" s="363"/>
      <c r="E567" s="36"/>
      <c r="F567" s="76"/>
      <c r="G567" s="370"/>
      <c r="H567" s="300"/>
      <c r="I567" s="382" t="str">
        <f>'04-22-Master'!B29</f>
        <v>Ramineni Abhilash</v>
      </c>
      <c r="J567" s="370"/>
      <c r="K567" s="370"/>
      <c r="L567" s="370"/>
      <c r="M567" s="370"/>
      <c r="N567" s="370"/>
      <c r="O567" s="370"/>
      <c r="P567" s="371"/>
    </row>
    <row r="568" spans="1:16">
      <c r="A568" s="390"/>
      <c r="B568" s="37"/>
      <c r="C568" s="38"/>
      <c r="D568" s="38"/>
      <c r="E568" s="39"/>
      <c r="F568" s="77"/>
      <c r="G568" s="78"/>
      <c r="H568" s="78"/>
      <c r="I568" s="78"/>
      <c r="J568" s="78"/>
      <c r="K568" s="78"/>
      <c r="L568" s="78"/>
      <c r="M568" s="78"/>
      <c r="N568" s="78"/>
      <c r="O568" s="78"/>
      <c r="P568" s="372"/>
    </row>
    <row r="569" spans="1:16">
      <c r="A569" s="390"/>
      <c r="B569" s="1186"/>
      <c r="C569" s="1186"/>
      <c r="D569" s="1186"/>
      <c r="E569" s="1186"/>
      <c r="F569" s="40"/>
      <c r="G569" s="32"/>
      <c r="H569" s="32"/>
      <c r="I569" s="32"/>
      <c r="J569" s="32"/>
      <c r="K569" s="32"/>
      <c r="L569" s="32"/>
      <c r="M569" s="32"/>
      <c r="N569" s="32"/>
      <c r="O569" s="32"/>
      <c r="P569" s="33"/>
    </row>
    <row r="570" spans="1:16">
      <c r="A570" s="390"/>
      <c r="B570" s="1186"/>
      <c r="C570" s="1186"/>
      <c r="D570" s="1186"/>
      <c r="E570" s="1186"/>
      <c r="F570" s="300"/>
      <c r="G570" s="363"/>
      <c r="H570" s="152"/>
      <c r="I570" s="300" t="s">
        <v>147</v>
      </c>
      <c r="J570" s="373"/>
      <c r="K570" s="373"/>
      <c r="L570" s="363"/>
      <c r="M570" s="363"/>
      <c r="N570" s="363"/>
      <c r="O570" s="363"/>
      <c r="P570" s="36"/>
    </row>
    <row r="571" spans="1:16">
      <c r="A571" s="390"/>
      <c r="B571" s="1186"/>
      <c r="C571" s="1186"/>
      <c r="D571" s="1186"/>
      <c r="E571" s="1186"/>
      <c r="F571" s="34"/>
      <c r="G571" s="363"/>
      <c r="H571" s="363"/>
      <c r="I571" s="363" t="str">
        <f>'04-22-Master'!E29</f>
        <v>Bhulokarao</v>
      </c>
      <c r="J571" s="363"/>
      <c r="K571" s="363"/>
      <c r="L571" s="363"/>
      <c r="M571" s="363"/>
      <c r="N571" s="363"/>
      <c r="O571" s="363"/>
      <c r="P571" s="36"/>
    </row>
    <row r="572" spans="1:16">
      <c r="A572" s="390"/>
      <c r="B572" s="1186"/>
      <c r="C572" s="1186"/>
      <c r="D572" s="1186"/>
      <c r="E572" s="1186"/>
      <c r="F572" s="300"/>
      <c r="G572" s="38"/>
      <c r="H572" s="112"/>
      <c r="I572" s="300" t="s">
        <v>148</v>
      </c>
      <c r="J572" s="38"/>
      <c r="K572" s="38"/>
      <c r="L572" s="112">
        <f>'04-22-Master'!I29</f>
        <v>44615</v>
      </c>
      <c r="M572" s="38"/>
      <c r="N572" s="38"/>
      <c r="O572" s="38"/>
      <c r="P572" s="39"/>
    </row>
    <row r="573" spans="1:16">
      <c r="A573" s="390"/>
      <c r="B573" s="1187" t="e">
        <f>#REF!</f>
        <v>#REF!</v>
      </c>
      <c r="C573" s="1189" t="s">
        <v>431</v>
      </c>
      <c r="D573" s="1190"/>
      <c r="E573" s="1189" t="s">
        <v>432</v>
      </c>
      <c r="F573" s="1190"/>
      <c r="G573" s="1193" t="s">
        <v>433</v>
      </c>
      <c r="H573" s="1189" t="s">
        <v>434</v>
      </c>
      <c r="I573" s="1194"/>
      <c r="J573" s="1195" t="s">
        <v>435</v>
      </c>
      <c r="K573" s="1194"/>
      <c r="L573" s="1196"/>
      <c r="M573" s="1195" t="s">
        <v>436</v>
      </c>
      <c r="N573" s="1194"/>
      <c r="O573" s="1194"/>
      <c r="P573" s="1200" t="s">
        <v>437</v>
      </c>
    </row>
    <row r="574" spans="1:16" ht="15.75" thickBot="1">
      <c r="A574" s="390"/>
      <c r="B574" s="1188"/>
      <c r="C574" s="1189"/>
      <c r="D574" s="1190"/>
      <c r="E574" s="1189"/>
      <c r="F574" s="1190"/>
      <c r="G574" s="1187"/>
      <c r="H574" s="1189"/>
      <c r="I574" s="1194"/>
      <c r="J574" s="1197"/>
      <c r="K574" s="1198"/>
      <c r="L574" s="1199"/>
      <c r="M574" s="1197"/>
      <c r="N574" s="1198"/>
      <c r="O574" s="1198"/>
      <c r="P574" s="1201"/>
    </row>
    <row r="575" spans="1:16">
      <c r="A575" s="390"/>
      <c r="B575" s="352">
        <v>1</v>
      </c>
      <c r="C575" s="1191"/>
      <c r="D575" s="1192"/>
      <c r="E575" s="1191"/>
      <c r="F575" s="1192"/>
      <c r="G575" s="352">
        <v>6</v>
      </c>
      <c r="H575" s="1191"/>
      <c r="I575" s="1192"/>
      <c r="J575" s="311">
        <v>9</v>
      </c>
      <c r="K575" s="311"/>
      <c r="L575" s="311"/>
      <c r="M575" s="311">
        <v>9</v>
      </c>
      <c r="N575" s="311"/>
      <c r="O575" s="311"/>
      <c r="P575" s="312" t="s">
        <v>438</v>
      </c>
    </row>
    <row r="576" spans="1:16" ht="89.25">
      <c r="A576" s="390"/>
      <c r="B576" s="313"/>
      <c r="C576" s="313" t="s">
        <v>439</v>
      </c>
      <c r="D576" s="313" t="s">
        <v>440</v>
      </c>
      <c r="E576" s="313" t="s">
        <v>441</v>
      </c>
      <c r="F576" s="313" t="s">
        <v>150</v>
      </c>
      <c r="G576" s="313"/>
      <c r="H576" s="313" t="s">
        <v>442</v>
      </c>
      <c r="I576" s="313" t="s">
        <v>443</v>
      </c>
      <c r="J576" s="313" t="s">
        <v>149</v>
      </c>
      <c r="K576" s="313" t="s">
        <v>444</v>
      </c>
      <c r="L576" s="313" t="s">
        <v>445</v>
      </c>
      <c r="M576" s="313" t="s">
        <v>446</v>
      </c>
      <c r="N576" s="313" t="s">
        <v>447</v>
      </c>
      <c r="O576" s="314" t="s">
        <v>448</v>
      </c>
      <c r="P576" s="314"/>
    </row>
    <row r="577" spans="1:17">
      <c r="A577" s="390"/>
      <c r="B577" s="315"/>
      <c r="C577" s="313"/>
      <c r="D577" s="313"/>
      <c r="E577" s="316"/>
      <c r="F577" s="316"/>
      <c r="G577" s="313"/>
      <c r="H577" s="313"/>
      <c r="I577" s="313"/>
      <c r="J577" s="313"/>
      <c r="K577" s="313"/>
      <c r="L577" s="313"/>
      <c r="M577" s="313"/>
      <c r="N577" s="313"/>
      <c r="O577" s="313"/>
      <c r="P577" s="313"/>
    </row>
    <row r="578" spans="1:17" s="390" customFormat="1">
      <c r="B578" s="315" t="s">
        <v>1053</v>
      </c>
      <c r="C578" s="313">
        <v>1.5</v>
      </c>
      <c r="D578" s="313">
        <v>0</v>
      </c>
      <c r="E578" s="313">
        <v>0</v>
      </c>
      <c r="F578" s="313">
        <v>0</v>
      </c>
      <c r="G578" s="313">
        <v>0</v>
      </c>
      <c r="H578" s="313"/>
      <c r="I578" s="313"/>
      <c r="J578" s="313" t="s">
        <v>718</v>
      </c>
      <c r="K578" s="313" t="s">
        <v>152</v>
      </c>
      <c r="L578" s="313" t="s">
        <v>152</v>
      </c>
      <c r="M578" s="313"/>
      <c r="N578" s="852"/>
      <c r="O578" s="313"/>
      <c r="P578" s="313"/>
    </row>
    <row r="579" spans="1:17" s="855" customFormat="1">
      <c r="B579" s="315" t="s">
        <v>1100</v>
      </c>
      <c r="C579" s="313">
        <v>1.5</v>
      </c>
      <c r="D579" s="313">
        <v>0</v>
      </c>
      <c r="E579" s="313">
        <v>0</v>
      </c>
      <c r="F579" s="313">
        <v>0</v>
      </c>
      <c r="G579" s="313">
        <f>G578+C579-D579</f>
        <v>1.5</v>
      </c>
      <c r="H579" s="313"/>
      <c r="I579" s="313"/>
      <c r="J579" s="313" t="s">
        <v>152</v>
      </c>
      <c r="K579" s="313" t="s">
        <v>152</v>
      </c>
      <c r="L579" s="313" t="s">
        <v>152</v>
      </c>
      <c r="M579" s="313"/>
      <c r="N579" s="313"/>
      <c r="O579" s="313"/>
      <c r="P579" s="313"/>
    </row>
    <row r="580" spans="1:17" s="855" customFormat="1">
      <c r="B580" s="375" t="s">
        <v>1139</v>
      </c>
      <c r="C580" s="313">
        <v>1.5</v>
      </c>
      <c r="D580" s="313">
        <v>0</v>
      </c>
      <c r="E580" s="313">
        <v>0</v>
      </c>
      <c r="F580" s="313">
        <v>0</v>
      </c>
      <c r="G580" s="313">
        <f>G579+C580-D580</f>
        <v>3</v>
      </c>
      <c r="H580" s="313"/>
      <c r="I580" s="313"/>
      <c r="J580" s="313" t="s">
        <v>152</v>
      </c>
      <c r="K580" s="313" t="s">
        <v>152</v>
      </c>
      <c r="L580" s="313" t="s">
        <v>152</v>
      </c>
      <c r="M580" s="313"/>
      <c r="N580" s="313"/>
      <c r="O580" s="313"/>
      <c r="P580" s="313"/>
      <c r="Q580" s="855">
        <v>14</v>
      </c>
    </row>
    <row r="581" spans="1:17">
      <c r="A581" s="390"/>
      <c r="B581" s="315"/>
      <c r="C581" s="313"/>
      <c r="D581" s="313"/>
      <c r="E581" s="316"/>
      <c r="F581" s="316"/>
      <c r="G581" s="313"/>
      <c r="H581" s="313"/>
      <c r="I581" s="313"/>
      <c r="J581" s="313"/>
      <c r="K581" s="313"/>
      <c r="L581" s="313"/>
      <c r="M581" s="313"/>
      <c r="N581" s="313"/>
      <c r="O581" s="313"/>
      <c r="P581" s="313"/>
    </row>
    <row r="582" spans="1:17">
      <c r="A582" s="390"/>
      <c r="B582" s="601"/>
      <c r="C582" s="294"/>
      <c r="D582" s="294"/>
      <c r="E582" s="294"/>
      <c r="F582" s="294"/>
      <c r="G582" s="313"/>
      <c r="H582" s="294"/>
      <c r="I582" s="294"/>
      <c r="J582" s="313"/>
      <c r="K582" s="313"/>
      <c r="L582" s="313"/>
      <c r="M582" s="313"/>
      <c r="N582" s="313"/>
      <c r="O582" s="313"/>
      <c r="P582" s="313"/>
    </row>
    <row r="583" spans="1:17">
      <c r="A583" s="390"/>
      <c r="B583" s="315"/>
      <c r="C583" s="307"/>
      <c r="D583" s="313"/>
      <c r="E583" s="313"/>
      <c r="F583" s="313"/>
      <c r="G583" s="313"/>
      <c r="H583" s="313"/>
      <c r="I583" s="313"/>
      <c r="J583" s="313"/>
      <c r="K583" s="313"/>
      <c r="L583" s="313"/>
      <c r="M583" s="313"/>
      <c r="N583" s="313"/>
      <c r="O583" s="313"/>
      <c r="P583" s="313"/>
    </row>
    <row r="584" spans="1:17">
      <c r="A584" s="390"/>
      <c r="B584" s="315"/>
      <c r="C584" s="313"/>
      <c r="D584" s="313"/>
      <c r="E584" s="313"/>
      <c r="F584" s="313"/>
      <c r="G584" s="313"/>
      <c r="H584" s="313"/>
      <c r="I584" s="313"/>
      <c r="J584" s="313"/>
      <c r="K584" s="313"/>
      <c r="L584" s="313"/>
      <c r="M584" s="313"/>
      <c r="N584" s="313"/>
      <c r="O584" s="313"/>
      <c r="P584" s="313"/>
    </row>
    <row r="585" spans="1:17">
      <c r="A585" s="390"/>
      <c r="B585" s="315"/>
      <c r="C585" s="313"/>
      <c r="D585" s="313"/>
      <c r="E585" s="313"/>
      <c r="F585" s="313"/>
      <c r="G585" s="313"/>
      <c r="H585" s="313"/>
      <c r="I585" s="313"/>
      <c r="J585" s="313"/>
      <c r="K585" s="313"/>
      <c r="L585" s="313"/>
      <c r="M585" s="313"/>
      <c r="N585" s="313"/>
      <c r="O585" s="313"/>
      <c r="P585" s="313"/>
    </row>
    <row r="586" spans="1:17">
      <c r="A586" s="390"/>
      <c r="B586" s="315"/>
      <c r="C586" s="313"/>
      <c r="D586" s="313"/>
      <c r="E586" s="313"/>
      <c r="F586" s="313"/>
      <c r="G586" s="313"/>
      <c r="H586" s="313"/>
      <c r="I586" s="313"/>
      <c r="J586" s="313"/>
      <c r="K586" s="313"/>
      <c r="L586" s="313"/>
      <c r="M586" s="313"/>
      <c r="N586" s="313"/>
      <c r="O586" s="313"/>
      <c r="P586" s="313"/>
    </row>
    <row r="587" spans="1:17">
      <c r="A587" s="390"/>
      <c r="B587" s="315"/>
      <c r="C587" s="313"/>
      <c r="D587" s="313"/>
      <c r="E587" s="313"/>
      <c r="F587" s="313"/>
      <c r="G587" s="313"/>
      <c r="H587" s="313"/>
      <c r="I587" s="313"/>
      <c r="J587" s="313"/>
      <c r="K587" s="313"/>
      <c r="L587" s="313"/>
      <c r="M587" s="313"/>
      <c r="N587" s="313"/>
      <c r="O587" s="313"/>
      <c r="P587" s="313"/>
    </row>
    <row r="588" spans="1:17">
      <c r="A588" s="390"/>
      <c r="B588" s="315"/>
      <c r="C588" s="313"/>
      <c r="D588" s="313"/>
      <c r="E588" s="313"/>
      <c r="F588" s="313"/>
      <c r="G588" s="313"/>
      <c r="H588" s="313"/>
      <c r="I588" s="313"/>
      <c r="J588" s="313"/>
      <c r="K588" s="313"/>
      <c r="L588" s="313"/>
      <c r="M588" s="313"/>
      <c r="N588" s="313"/>
      <c r="O588" s="313"/>
      <c r="P588" s="313"/>
    </row>
    <row r="589" spans="1:17">
      <c r="A589" s="390"/>
      <c r="B589" s="315"/>
      <c r="C589" s="313"/>
      <c r="D589" s="313"/>
      <c r="E589" s="313"/>
      <c r="F589" s="313"/>
      <c r="G589" s="313"/>
      <c r="H589" s="313"/>
      <c r="I589" s="313"/>
      <c r="J589" s="313"/>
      <c r="K589" s="313"/>
      <c r="L589" s="313"/>
      <c r="M589" s="313"/>
      <c r="N589" s="313"/>
      <c r="O589" s="313"/>
      <c r="P589" s="313"/>
    </row>
    <row r="590" spans="1:17">
      <c r="A590" s="390"/>
      <c r="B590" s="374"/>
      <c r="C590" s="374"/>
      <c r="D590" s="374"/>
      <c r="E590" s="374"/>
      <c r="F590" s="374"/>
      <c r="G590" s="374"/>
      <c r="H590" s="374"/>
      <c r="I590" s="374"/>
      <c r="J590" s="374"/>
      <c r="K590" s="374"/>
      <c r="L590" s="374"/>
      <c r="M590" s="374"/>
      <c r="N590" s="374"/>
      <c r="O590" s="374"/>
      <c r="P590" s="374"/>
    </row>
    <row r="591" spans="1:17">
      <c r="A591" s="390"/>
      <c r="B591" s="374"/>
      <c r="C591" s="374"/>
      <c r="D591" s="374"/>
      <c r="E591" s="374"/>
      <c r="F591" s="374"/>
      <c r="G591" s="374"/>
      <c r="H591" s="374"/>
      <c r="I591" s="374"/>
      <c r="J591" s="374"/>
      <c r="K591" s="374"/>
      <c r="L591" s="374"/>
      <c r="M591" s="374"/>
      <c r="N591" s="374"/>
      <c r="O591" s="374"/>
      <c r="P591" s="374"/>
    </row>
    <row r="592" spans="1:17">
      <c r="A592" s="390"/>
      <c r="B592" s="374"/>
      <c r="C592" s="388"/>
      <c r="D592" s="374"/>
      <c r="E592" s="374"/>
      <c r="F592" s="374"/>
      <c r="G592" s="374"/>
      <c r="H592" s="374"/>
      <c r="I592" s="374"/>
      <c r="J592" s="374"/>
      <c r="K592" s="374"/>
      <c r="L592" s="374"/>
      <c r="M592" s="374"/>
      <c r="N592" s="374"/>
      <c r="O592" s="374"/>
      <c r="P592" s="374"/>
    </row>
    <row r="593" spans="1:16" s="11" customFormat="1">
      <c r="B593" s="981"/>
      <c r="C593" s="982"/>
      <c r="D593" s="982"/>
      <c r="E593" s="982"/>
      <c r="F593" s="982"/>
      <c r="G593" s="982"/>
      <c r="H593" s="982"/>
      <c r="I593" s="982"/>
      <c r="J593" s="982"/>
      <c r="K593" s="982"/>
      <c r="L593" s="982"/>
      <c r="M593" s="982"/>
      <c r="N593" s="982"/>
      <c r="O593" s="982"/>
      <c r="P593" s="983"/>
    </row>
    <row r="594" spans="1:16" s="11" customFormat="1">
      <c r="B594" s="981"/>
      <c r="C594" s="982"/>
      <c r="D594" s="982"/>
      <c r="E594" s="982"/>
      <c r="F594" s="982"/>
      <c r="G594" s="982"/>
      <c r="H594" s="982"/>
      <c r="I594" s="982"/>
      <c r="J594" s="982"/>
      <c r="K594" s="982"/>
      <c r="L594" s="982"/>
      <c r="M594" s="982"/>
      <c r="N594" s="982"/>
      <c r="O594" s="982"/>
      <c r="P594" s="984"/>
    </row>
    <row r="595" spans="1:16" s="11" customFormat="1">
      <c r="B595" s="981"/>
      <c r="C595" s="982"/>
      <c r="D595" s="982"/>
      <c r="E595" s="982"/>
      <c r="F595" s="982"/>
      <c r="G595" s="982"/>
      <c r="H595" s="982"/>
      <c r="I595" s="982"/>
      <c r="J595" s="982"/>
      <c r="K595" s="982"/>
      <c r="L595" s="982"/>
      <c r="M595" s="982"/>
      <c r="N595" s="982"/>
      <c r="O595" s="982"/>
      <c r="P595" s="984"/>
    </row>
    <row r="596" spans="1:16" s="11" customFormat="1">
      <c r="B596" s="981"/>
      <c r="C596" s="982"/>
      <c r="D596" s="982"/>
      <c r="E596" s="982"/>
      <c r="F596" s="982"/>
      <c r="G596" s="982"/>
      <c r="H596" s="982"/>
      <c r="I596" s="982"/>
      <c r="J596" s="982"/>
      <c r="K596" s="982"/>
      <c r="L596" s="982"/>
      <c r="M596" s="982"/>
      <c r="N596" s="982"/>
      <c r="O596" s="982"/>
      <c r="P596" s="984"/>
    </row>
    <row r="597" spans="1:16" s="11" customFormat="1">
      <c r="B597" s="981"/>
      <c r="C597" s="982"/>
      <c r="D597" s="982"/>
      <c r="E597" s="982"/>
      <c r="F597" s="982"/>
      <c r="G597" s="982"/>
      <c r="H597" s="982"/>
      <c r="I597" s="982"/>
      <c r="J597" s="982"/>
      <c r="K597" s="982"/>
      <c r="L597" s="982"/>
      <c r="M597" s="982"/>
      <c r="N597" s="982"/>
      <c r="O597" s="982"/>
      <c r="P597" s="984"/>
    </row>
    <row r="598" spans="1:16" s="11" customFormat="1">
      <c r="B598" s="981"/>
      <c r="C598" s="401"/>
      <c r="D598" s="401"/>
      <c r="E598" s="401"/>
      <c r="F598" s="401"/>
      <c r="G598" s="401"/>
      <c r="H598" s="401"/>
      <c r="I598" s="401"/>
      <c r="J598" s="401"/>
      <c r="K598" s="401"/>
      <c r="L598" s="401"/>
      <c r="M598" s="401"/>
      <c r="N598" s="401"/>
      <c r="O598" s="401"/>
      <c r="P598" s="985"/>
    </row>
    <row r="599" spans="1:16" s="11" customFormat="1">
      <c r="B599" s="936"/>
      <c r="C599" s="932"/>
      <c r="D599" s="932"/>
      <c r="E599" s="932"/>
      <c r="F599" s="932"/>
      <c r="G599" s="932"/>
      <c r="H599" s="932"/>
      <c r="I599" s="932"/>
      <c r="J599" s="932" t="s">
        <v>38</v>
      </c>
      <c r="K599" s="932"/>
      <c r="L599" s="932"/>
      <c r="M599" s="932"/>
      <c r="N599" s="932"/>
      <c r="O599" s="932"/>
      <c r="P599" s="937"/>
    </row>
    <row r="600" spans="1:16" s="11" customFormat="1"/>
    <row r="601" spans="1:16" s="11" customFormat="1"/>
    <row r="602" spans="1:16" s="11" customFormat="1"/>
    <row r="603" spans="1:16" s="11" customFormat="1" ht="15.75" thickBot="1"/>
    <row r="604" spans="1:16">
      <c r="A604" s="390"/>
      <c r="B604" s="1180" t="s">
        <v>727</v>
      </c>
      <c r="C604" s="1180"/>
      <c r="D604" s="1180"/>
      <c r="E604" s="1180"/>
      <c r="F604" s="1180"/>
      <c r="G604" s="1180"/>
      <c r="H604" s="1180"/>
      <c r="I604" s="1180"/>
      <c r="J604" s="1180"/>
      <c r="K604" s="1180"/>
      <c r="L604" s="1180"/>
      <c r="M604" s="1180"/>
      <c r="N604" s="1180"/>
      <c r="O604" s="1180"/>
      <c r="P604" s="1181"/>
    </row>
    <row r="605" spans="1:16">
      <c r="A605" s="390"/>
      <c r="B605" s="1182"/>
      <c r="C605" s="1182"/>
      <c r="D605" s="1182"/>
      <c r="E605" s="1182"/>
      <c r="F605" s="1182"/>
      <c r="G605" s="1182"/>
      <c r="H605" s="1182"/>
      <c r="I605" s="1182"/>
      <c r="J605" s="1182"/>
      <c r="K605" s="1182"/>
      <c r="L605" s="1182"/>
      <c r="M605" s="1182"/>
      <c r="N605" s="1182"/>
      <c r="O605" s="1182"/>
      <c r="P605" s="1183"/>
    </row>
    <row r="606" spans="1:16">
      <c r="A606" s="390"/>
      <c r="B606" s="1184" t="s">
        <v>728</v>
      </c>
      <c r="C606" s="1184"/>
      <c r="D606" s="1184"/>
      <c r="E606" s="1184"/>
      <c r="F606" s="1184"/>
      <c r="G606" s="1184"/>
      <c r="H606" s="1184"/>
      <c r="I606" s="1184"/>
      <c r="J606" s="1184"/>
      <c r="K606" s="1184"/>
      <c r="L606" s="1184"/>
      <c r="M606" s="1184"/>
      <c r="N606" s="1184"/>
      <c r="O606" s="1184"/>
      <c r="P606" s="1185"/>
    </row>
    <row r="607" spans="1:16">
      <c r="A607" s="390"/>
      <c r="B607" s="31" t="s">
        <v>199</v>
      </c>
      <c r="C607" s="32"/>
      <c r="D607" s="609" t="s">
        <v>425</v>
      </c>
      <c r="E607" s="300"/>
      <c r="F607" s="33"/>
      <c r="G607" s="32"/>
      <c r="H607" s="32"/>
      <c r="I607" s="40" t="s">
        <v>145</v>
      </c>
      <c r="J607" s="75"/>
      <c r="K607" s="75"/>
      <c r="L607" s="75"/>
      <c r="M607" s="75"/>
      <c r="N607" s="75"/>
      <c r="O607" s="75"/>
      <c r="P607" s="369"/>
    </row>
    <row r="608" spans="1:16" ht="15.75">
      <c r="A608" s="390"/>
      <c r="B608" s="34"/>
      <c r="C608" s="363" t="s">
        <v>426</v>
      </c>
      <c r="D608" s="363"/>
      <c r="E608" s="36"/>
      <c r="F608" s="76"/>
      <c r="G608" s="370"/>
      <c r="H608" s="300"/>
      <c r="I608" s="382" t="str">
        <f>'04-22-Master'!B30</f>
        <v>B SRILATHA</v>
      </c>
      <c r="J608" s="370"/>
      <c r="K608" s="370"/>
      <c r="L608" s="370"/>
      <c r="M608" s="370"/>
      <c r="N608" s="370"/>
      <c r="O608" s="370"/>
      <c r="P608" s="371"/>
    </row>
    <row r="609" spans="1:17">
      <c r="A609" s="390"/>
      <c r="B609" s="37"/>
      <c r="C609" s="38"/>
      <c r="D609" s="38"/>
      <c r="E609" s="39"/>
      <c r="F609" s="77"/>
      <c r="G609" s="78"/>
      <c r="H609" s="78"/>
      <c r="I609" s="78"/>
      <c r="J609" s="78"/>
      <c r="K609" s="78"/>
      <c r="L609" s="78"/>
      <c r="M609" s="78"/>
      <c r="N609" s="78"/>
      <c r="O609" s="78"/>
      <c r="P609" s="372"/>
    </row>
    <row r="610" spans="1:17">
      <c r="A610" s="390"/>
      <c r="B610" s="1186"/>
      <c r="C610" s="1186"/>
      <c r="D610" s="1186"/>
      <c r="E610" s="1186"/>
      <c r="F610" s="40"/>
      <c r="G610" s="32"/>
      <c r="H610" s="32"/>
      <c r="I610" s="32"/>
      <c r="J610" s="32"/>
      <c r="K610" s="32"/>
      <c r="L610" s="32"/>
      <c r="M610" s="32"/>
      <c r="N610" s="32"/>
      <c r="O610" s="32"/>
      <c r="P610" s="33"/>
    </row>
    <row r="611" spans="1:17">
      <c r="A611" s="390"/>
      <c r="B611" s="1186"/>
      <c r="C611" s="1186"/>
      <c r="D611" s="1186"/>
      <c r="E611" s="1186"/>
      <c r="F611" s="300"/>
      <c r="G611" s="363"/>
      <c r="H611" s="152"/>
      <c r="I611" s="300" t="s">
        <v>147</v>
      </c>
      <c r="J611" s="373"/>
      <c r="K611" s="373"/>
      <c r="L611" s="363"/>
      <c r="M611" s="363"/>
      <c r="N611" s="363"/>
      <c r="O611" s="363"/>
      <c r="P611" s="36"/>
    </row>
    <row r="612" spans="1:17">
      <c r="A612" s="390"/>
      <c r="B612" s="1186"/>
      <c r="C612" s="1186"/>
      <c r="D612" s="1186"/>
      <c r="E612" s="1186"/>
      <c r="F612" s="34"/>
      <c r="G612" s="363"/>
      <c r="H612" s="363"/>
      <c r="I612" s="363" t="str">
        <f>'04-22-Master'!E30</f>
        <v>Anjaneya Reddy</v>
      </c>
      <c r="J612" s="363"/>
      <c r="K612" s="363"/>
      <c r="L612" s="363"/>
      <c r="M612" s="363"/>
      <c r="N612" s="363"/>
      <c r="O612" s="363"/>
      <c r="P612" s="36"/>
    </row>
    <row r="613" spans="1:17">
      <c r="A613" s="390"/>
      <c r="B613" s="1186"/>
      <c r="C613" s="1186"/>
      <c r="D613" s="1186"/>
      <c r="E613" s="1186"/>
      <c r="F613" s="300"/>
      <c r="G613" s="38"/>
      <c r="H613" s="112"/>
      <c r="I613" s="300" t="s">
        <v>148</v>
      </c>
      <c r="J613" s="38"/>
      <c r="K613" s="38"/>
      <c r="L613" s="112">
        <f>'04-22-Master'!I30</f>
        <v>44621</v>
      </c>
      <c r="M613" s="38"/>
      <c r="N613" s="38"/>
      <c r="O613" s="38"/>
      <c r="P613" s="39"/>
    </row>
    <row r="614" spans="1:17">
      <c r="A614" s="390"/>
      <c r="B614" s="1187" t="e">
        <f>#REF!</f>
        <v>#REF!</v>
      </c>
      <c r="C614" s="1189" t="s">
        <v>431</v>
      </c>
      <c r="D614" s="1190"/>
      <c r="E614" s="1189" t="s">
        <v>432</v>
      </c>
      <c r="F614" s="1190"/>
      <c r="G614" s="1193" t="s">
        <v>433</v>
      </c>
      <c r="H614" s="1189" t="s">
        <v>434</v>
      </c>
      <c r="I614" s="1194"/>
      <c r="J614" s="1195" t="s">
        <v>435</v>
      </c>
      <c r="K614" s="1194"/>
      <c r="L614" s="1196"/>
      <c r="M614" s="1195" t="s">
        <v>436</v>
      </c>
      <c r="N614" s="1194"/>
      <c r="O614" s="1194"/>
      <c r="P614" s="1200" t="s">
        <v>437</v>
      </c>
    </row>
    <row r="615" spans="1:17" ht="15.75" thickBot="1">
      <c r="A615" s="390"/>
      <c r="B615" s="1188"/>
      <c r="C615" s="1189"/>
      <c r="D615" s="1190"/>
      <c r="E615" s="1189"/>
      <c r="F615" s="1190"/>
      <c r="G615" s="1187"/>
      <c r="H615" s="1189"/>
      <c r="I615" s="1194"/>
      <c r="J615" s="1197"/>
      <c r="K615" s="1198"/>
      <c r="L615" s="1199"/>
      <c r="M615" s="1197"/>
      <c r="N615" s="1198"/>
      <c r="O615" s="1198"/>
      <c r="P615" s="1201"/>
    </row>
    <row r="616" spans="1:17">
      <c r="A616" s="390"/>
      <c r="B616" s="352">
        <v>1</v>
      </c>
      <c r="C616" s="1191"/>
      <c r="D616" s="1192"/>
      <c r="E616" s="1191"/>
      <c r="F616" s="1192"/>
      <c r="G616" s="352">
        <v>6</v>
      </c>
      <c r="H616" s="1191"/>
      <c r="I616" s="1192"/>
      <c r="J616" s="311">
        <v>9</v>
      </c>
      <c r="K616" s="311"/>
      <c r="L616" s="311"/>
      <c r="M616" s="311">
        <v>9</v>
      </c>
      <c r="N616" s="311"/>
      <c r="O616" s="311"/>
      <c r="P616" s="312" t="s">
        <v>438</v>
      </c>
    </row>
    <row r="617" spans="1:17" ht="89.25">
      <c r="A617" s="390"/>
      <c r="B617" s="313"/>
      <c r="C617" s="313" t="s">
        <v>439</v>
      </c>
      <c r="D617" s="313" t="s">
        <v>440</v>
      </c>
      <c r="E617" s="313" t="s">
        <v>441</v>
      </c>
      <c r="F617" s="313" t="s">
        <v>150</v>
      </c>
      <c r="G617" s="313"/>
      <c r="H617" s="313" t="s">
        <v>442</v>
      </c>
      <c r="I617" s="313" t="s">
        <v>443</v>
      </c>
      <c r="J617" s="313" t="s">
        <v>149</v>
      </c>
      <c r="K617" s="313" t="s">
        <v>444</v>
      </c>
      <c r="L617" s="313" t="s">
        <v>445</v>
      </c>
      <c r="M617" s="313" t="s">
        <v>446</v>
      </c>
      <c r="N617" s="313" t="s">
        <v>447</v>
      </c>
      <c r="O617" s="314" t="s">
        <v>448</v>
      </c>
      <c r="P617" s="314"/>
    </row>
    <row r="618" spans="1:17">
      <c r="A618" s="390"/>
      <c r="B618" s="315"/>
      <c r="C618" s="313"/>
      <c r="D618" s="313"/>
      <c r="E618" s="316"/>
      <c r="F618" s="316"/>
      <c r="G618" s="313"/>
      <c r="H618" s="313"/>
      <c r="I618" s="313"/>
      <c r="J618" s="313"/>
      <c r="K618" s="313"/>
      <c r="L618" s="313"/>
      <c r="M618" s="313"/>
      <c r="N618" s="313"/>
      <c r="O618" s="313"/>
      <c r="P618" s="313"/>
    </row>
    <row r="619" spans="1:17">
      <c r="A619" s="390"/>
      <c r="B619" s="600"/>
      <c r="C619" s="374"/>
      <c r="D619" s="374"/>
      <c r="E619" s="503"/>
      <c r="F619" s="503"/>
      <c r="G619" s="313"/>
      <c r="H619" s="374"/>
      <c r="I619" s="374"/>
      <c r="J619" s="313"/>
      <c r="K619" s="313"/>
      <c r="L619" s="313"/>
      <c r="M619" s="374"/>
      <c r="N619" s="374"/>
      <c r="O619" s="374"/>
      <c r="P619" s="374"/>
    </row>
    <row r="620" spans="1:17" s="855" customFormat="1">
      <c r="B620" s="315" t="s">
        <v>1099</v>
      </c>
      <c r="C620" s="313">
        <v>1.5</v>
      </c>
      <c r="D620" s="313">
        <v>0</v>
      </c>
      <c r="E620" s="313">
        <v>0</v>
      </c>
      <c r="F620" s="313">
        <v>0</v>
      </c>
      <c r="G620" s="313">
        <v>1.5</v>
      </c>
      <c r="H620" s="313"/>
      <c r="I620" s="313"/>
      <c r="J620" s="313"/>
      <c r="K620" s="313" t="s">
        <v>152</v>
      </c>
      <c r="L620" s="313" t="s">
        <v>152</v>
      </c>
      <c r="M620" s="313"/>
      <c r="N620" s="852"/>
      <c r="O620" s="313"/>
      <c r="P620" s="313"/>
    </row>
    <row r="621" spans="1:17" s="855" customFormat="1">
      <c r="B621" s="375" t="s">
        <v>1139</v>
      </c>
      <c r="C621" s="313">
        <v>1.5</v>
      </c>
      <c r="D621" s="313">
        <v>0</v>
      </c>
      <c r="E621" s="313">
        <v>0</v>
      </c>
      <c r="F621" s="313">
        <v>0</v>
      </c>
      <c r="G621" s="313">
        <f>G620+C621-D621</f>
        <v>3</v>
      </c>
      <c r="H621" s="313"/>
      <c r="I621" s="313"/>
      <c r="J621" s="313" t="s">
        <v>152</v>
      </c>
      <c r="K621" s="313" t="s">
        <v>152</v>
      </c>
      <c r="L621" s="313" t="s">
        <v>152</v>
      </c>
      <c r="M621" s="313"/>
      <c r="N621" s="313"/>
      <c r="O621" s="313"/>
      <c r="P621" s="313"/>
      <c r="Q621" s="855">
        <v>15</v>
      </c>
    </row>
    <row r="622" spans="1:17">
      <c r="A622" s="390"/>
      <c r="B622" s="315"/>
      <c r="C622" s="313"/>
      <c r="D622" s="313"/>
      <c r="E622" s="316"/>
      <c r="F622" s="316"/>
      <c r="G622" s="313"/>
      <c r="H622" s="313"/>
      <c r="I622" s="313"/>
      <c r="J622" s="313"/>
      <c r="K622" s="313"/>
      <c r="L622" s="313"/>
      <c r="M622" s="313"/>
      <c r="N622" s="313"/>
      <c r="O622" s="313"/>
      <c r="P622" s="313"/>
    </row>
    <row r="623" spans="1:17">
      <c r="A623" s="390"/>
      <c r="B623" s="601"/>
      <c r="C623" s="294"/>
      <c r="D623" s="294"/>
      <c r="E623" s="294"/>
      <c r="F623" s="294"/>
      <c r="G623" s="313"/>
      <c r="H623" s="294"/>
      <c r="I623" s="294"/>
      <c r="J623" s="313"/>
      <c r="K623" s="313"/>
      <c r="L623" s="313"/>
      <c r="M623" s="313"/>
      <c r="N623" s="313"/>
      <c r="O623" s="313"/>
      <c r="P623" s="313"/>
    </row>
    <row r="624" spans="1:17">
      <c r="A624" s="390"/>
      <c r="B624" s="315"/>
      <c r="C624" s="307"/>
      <c r="D624" s="313"/>
      <c r="E624" s="313"/>
      <c r="F624" s="313"/>
      <c r="G624" s="313"/>
      <c r="H624" s="313"/>
      <c r="I624" s="313"/>
      <c r="J624" s="313"/>
      <c r="K624" s="313"/>
      <c r="L624" s="313"/>
      <c r="M624" s="313"/>
      <c r="N624" s="313"/>
      <c r="O624" s="313"/>
      <c r="P624" s="313"/>
    </row>
    <row r="625" spans="1:16">
      <c r="A625" s="390"/>
      <c r="B625" s="315"/>
      <c r="C625" s="313"/>
      <c r="D625" s="313"/>
      <c r="E625" s="313"/>
      <c r="F625" s="313"/>
      <c r="G625" s="313"/>
      <c r="H625" s="313"/>
      <c r="I625" s="313"/>
      <c r="J625" s="313"/>
      <c r="K625" s="313"/>
      <c r="L625" s="313"/>
      <c r="M625" s="313"/>
      <c r="N625" s="313"/>
      <c r="O625" s="313"/>
      <c r="P625" s="313"/>
    </row>
    <row r="626" spans="1:16">
      <c r="A626" s="390"/>
      <c r="B626" s="315"/>
      <c r="C626" s="313"/>
      <c r="D626" s="313"/>
      <c r="E626" s="313"/>
      <c r="F626" s="313"/>
      <c r="G626" s="313"/>
      <c r="H626" s="313"/>
      <c r="I626" s="313"/>
      <c r="J626" s="313"/>
      <c r="K626" s="313"/>
      <c r="L626" s="313"/>
      <c r="M626" s="313"/>
      <c r="N626" s="313"/>
      <c r="O626" s="313"/>
      <c r="P626" s="313"/>
    </row>
    <row r="627" spans="1:16">
      <c r="A627" s="390"/>
      <c r="B627" s="315"/>
      <c r="C627" s="313"/>
      <c r="D627" s="313"/>
      <c r="E627" s="313"/>
      <c r="F627" s="313"/>
      <c r="G627" s="313"/>
      <c r="H627" s="313"/>
      <c r="I627" s="313"/>
      <c r="J627" s="313"/>
      <c r="K627" s="313"/>
      <c r="L627" s="313"/>
      <c r="M627" s="313"/>
      <c r="N627" s="313"/>
      <c r="O627" s="313"/>
      <c r="P627" s="313"/>
    </row>
    <row r="628" spans="1:16">
      <c r="A628" s="390"/>
      <c r="B628" s="315"/>
      <c r="C628" s="313"/>
      <c r="D628" s="313"/>
      <c r="E628" s="313"/>
      <c r="F628" s="313"/>
      <c r="G628" s="313"/>
      <c r="H628" s="313"/>
      <c r="I628" s="313"/>
      <c r="J628" s="313"/>
      <c r="K628" s="313"/>
      <c r="L628" s="313"/>
      <c r="M628" s="313"/>
      <c r="N628" s="313"/>
      <c r="O628" s="313"/>
      <c r="P628" s="313"/>
    </row>
    <row r="629" spans="1:16">
      <c r="A629" s="390"/>
      <c r="B629" s="315"/>
      <c r="C629" s="313"/>
      <c r="D629" s="313"/>
      <c r="E629" s="313"/>
      <c r="F629" s="313"/>
      <c r="G629" s="313"/>
      <c r="H629" s="313"/>
      <c r="I629" s="313"/>
      <c r="J629" s="313"/>
      <c r="K629" s="313"/>
      <c r="L629" s="313"/>
      <c r="M629" s="313"/>
      <c r="N629" s="313"/>
      <c r="O629" s="313"/>
      <c r="P629" s="313"/>
    </row>
    <row r="630" spans="1:16">
      <c r="A630" s="390"/>
      <c r="B630" s="315"/>
      <c r="C630" s="313"/>
      <c r="D630" s="313"/>
      <c r="E630" s="313"/>
      <c r="F630" s="313"/>
      <c r="G630" s="313"/>
      <c r="H630" s="313"/>
      <c r="I630" s="313"/>
      <c r="J630" s="313"/>
      <c r="K630" s="313"/>
      <c r="L630" s="313"/>
      <c r="M630" s="313"/>
      <c r="N630" s="313"/>
      <c r="O630" s="313"/>
      <c r="P630" s="313"/>
    </row>
    <row r="631" spans="1:16">
      <c r="A631" s="390"/>
      <c r="B631" s="374"/>
      <c r="C631" s="374"/>
      <c r="D631" s="374"/>
      <c r="E631" s="374"/>
      <c r="F631" s="374"/>
      <c r="G631" s="374"/>
      <c r="H631" s="374"/>
      <c r="I631" s="374"/>
      <c r="J631" s="374"/>
      <c r="K631" s="374"/>
      <c r="L631" s="374"/>
      <c r="M631" s="374"/>
      <c r="N631" s="374"/>
      <c r="O631" s="374"/>
      <c r="P631" s="374"/>
    </row>
    <row r="632" spans="1:16">
      <c r="A632" s="390"/>
      <c r="B632" s="374"/>
      <c r="C632" s="374"/>
      <c r="D632" s="374"/>
      <c r="E632" s="374"/>
      <c r="F632" s="374"/>
      <c r="G632" s="374"/>
      <c r="H632" s="374"/>
      <c r="I632" s="374"/>
      <c r="J632" s="374"/>
      <c r="K632" s="374"/>
      <c r="L632" s="374"/>
      <c r="M632" s="374"/>
      <c r="N632" s="374"/>
      <c r="O632" s="374"/>
      <c r="P632" s="374"/>
    </row>
    <row r="633" spans="1:16">
      <c r="A633" s="390"/>
      <c r="B633" s="374"/>
      <c r="C633" s="388"/>
      <c r="D633" s="374"/>
      <c r="E633" s="374"/>
      <c r="F633" s="374"/>
      <c r="G633" s="374"/>
      <c r="H633" s="374"/>
      <c r="I633" s="374"/>
      <c r="J633" s="374"/>
      <c r="K633" s="374"/>
      <c r="L633" s="374"/>
      <c r="M633" s="374"/>
      <c r="N633" s="374"/>
      <c r="O633" s="374"/>
      <c r="P633" s="374"/>
    </row>
    <row r="634" spans="1:16">
      <c r="A634" s="390"/>
      <c r="B634" s="34"/>
      <c r="C634" s="363"/>
      <c r="D634" s="363"/>
      <c r="E634" s="363"/>
      <c r="F634" s="363"/>
      <c r="G634" s="363"/>
      <c r="H634" s="363"/>
      <c r="I634" s="363"/>
      <c r="J634" s="363"/>
      <c r="K634" s="363"/>
      <c r="L634" s="363"/>
      <c r="M634" s="363"/>
      <c r="N634" s="363"/>
      <c r="O634" s="363"/>
      <c r="P634" s="33"/>
    </row>
    <row r="635" spans="1:16">
      <c r="A635" s="390"/>
      <c r="B635" s="34"/>
      <c r="C635" s="363"/>
      <c r="D635" s="363"/>
      <c r="E635" s="363"/>
      <c r="F635" s="363"/>
      <c r="G635" s="363"/>
      <c r="H635" s="363"/>
      <c r="I635" s="363"/>
      <c r="J635" s="363"/>
      <c r="K635" s="363"/>
      <c r="L635" s="363"/>
      <c r="M635" s="363"/>
      <c r="N635" s="363"/>
      <c r="O635" s="363"/>
      <c r="P635" s="36"/>
    </row>
    <row r="636" spans="1:16">
      <c r="A636" s="390"/>
      <c r="B636" s="34"/>
      <c r="C636" s="363"/>
      <c r="D636" s="363"/>
      <c r="E636" s="363"/>
      <c r="F636" s="363"/>
      <c r="G636" s="363"/>
      <c r="H636" s="363"/>
      <c r="I636" s="363"/>
      <c r="J636" s="363"/>
      <c r="K636" s="363"/>
      <c r="L636" s="363"/>
      <c r="M636" s="363"/>
      <c r="N636" s="363"/>
      <c r="O636" s="363"/>
      <c r="P636" s="36"/>
    </row>
    <row r="637" spans="1:16">
      <c r="A637" s="390"/>
      <c r="B637" s="34"/>
      <c r="C637" s="363"/>
      <c r="D637" s="363"/>
      <c r="E637" s="363"/>
      <c r="F637" s="363"/>
      <c r="G637" s="363"/>
      <c r="H637" s="363"/>
      <c r="I637" s="363"/>
      <c r="J637" s="363"/>
      <c r="K637" s="363"/>
      <c r="L637" s="363"/>
      <c r="M637" s="363"/>
      <c r="N637" s="363"/>
      <c r="O637" s="363"/>
      <c r="P637" s="36"/>
    </row>
    <row r="638" spans="1:16">
      <c r="A638" s="390"/>
      <c r="B638" s="34"/>
      <c r="C638" s="363"/>
      <c r="D638" s="363"/>
      <c r="E638" s="363"/>
      <c r="F638" s="363"/>
      <c r="G638" s="363"/>
      <c r="H638" s="363"/>
      <c r="I638" s="363"/>
      <c r="J638" s="363"/>
      <c r="K638" s="363"/>
      <c r="L638" s="363"/>
      <c r="M638" s="363"/>
      <c r="N638" s="363"/>
      <c r="O638" s="363"/>
      <c r="P638" s="36"/>
    </row>
    <row r="639" spans="1:16">
      <c r="A639" s="390"/>
      <c r="B639" s="34"/>
      <c r="C639" s="300"/>
      <c r="D639" s="300"/>
      <c r="E639" s="300"/>
      <c r="F639" s="300"/>
      <c r="G639" s="300"/>
      <c r="H639" s="300"/>
      <c r="I639" s="300"/>
      <c r="J639" s="300"/>
      <c r="K639" s="300"/>
      <c r="L639" s="300"/>
      <c r="M639" s="300"/>
      <c r="N639" s="300"/>
      <c r="O639" s="300"/>
      <c r="P639" s="63"/>
    </row>
    <row r="640" spans="1:16">
      <c r="A640" s="390"/>
      <c r="B640" s="73"/>
      <c r="C640" s="19"/>
      <c r="D640" s="19"/>
      <c r="E640" s="19"/>
      <c r="F640" s="19"/>
      <c r="G640" s="19"/>
      <c r="H640" s="19"/>
      <c r="I640" s="19"/>
      <c r="J640" s="19" t="s">
        <v>38</v>
      </c>
      <c r="K640" s="19"/>
      <c r="L640" s="19"/>
      <c r="M640" s="19"/>
      <c r="N640" s="19"/>
      <c r="O640" s="19"/>
      <c r="P640" s="74"/>
    </row>
    <row r="641" spans="1:16">
      <c r="A641" s="390"/>
      <c r="B641" s="390"/>
      <c r="C641" s="390"/>
      <c r="D641" s="390"/>
      <c r="E641" s="390"/>
      <c r="F641" s="390"/>
      <c r="G641" s="390"/>
      <c r="H641" s="390"/>
      <c r="I641" s="390"/>
      <c r="J641" s="390"/>
      <c r="K641" s="390"/>
      <c r="L641" s="390"/>
      <c r="M641" s="390"/>
      <c r="N641" s="390"/>
      <c r="O641" s="390"/>
      <c r="P641" s="390"/>
    </row>
    <row r="642" spans="1:16">
      <c r="A642" s="390"/>
      <c r="B642" s="390"/>
      <c r="C642" s="390"/>
      <c r="D642" s="390"/>
      <c r="E642" s="390"/>
      <c r="F642" s="390"/>
      <c r="G642" s="390"/>
      <c r="H642" s="390"/>
      <c r="I642" s="390"/>
      <c r="J642" s="390"/>
      <c r="K642" s="390"/>
      <c r="L642" s="390"/>
      <c r="M642" s="390"/>
      <c r="N642" s="390"/>
      <c r="O642" s="390"/>
      <c r="P642" s="390"/>
    </row>
    <row r="643" spans="1:16">
      <c r="A643" s="390"/>
      <c r="B643" s="390"/>
      <c r="C643" s="390"/>
      <c r="D643" s="390"/>
      <c r="E643" s="390"/>
      <c r="F643" s="390"/>
      <c r="G643" s="390"/>
      <c r="H643" s="390"/>
      <c r="I643" s="390"/>
      <c r="J643" s="390"/>
      <c r="K643" s="390"/>
      <c r="L643" s="390"/>
      <c r="M643" s="390"/>
      <c r="N643" s="390"/>
      <c r="O643" s="390"/>
      <c r="P643" s="390"/>
    </row>
    <row r="644" spans="1:16">
      <c r="A644" s="390"/>
      <c r="B644" s="390"/>
      <c r="C644" s="390"/>
      <c r="D644" s="390"/>
      <c r="E644" s="390"/>
      <c r="F644" s="390"/>
      <c r="G644" s="390"/>
      <c r="H644" s="390"/>
      <c r="I644" s="390"/>
      <c r="J644" s="390"/>
      <c r="K644" s="390"/>
      <c r="L644" s="390"/>
      <c r="M644" s="390"/>
      <c r="N644" s="390"/>
      <c r="O644" s="390"/>
      <c r="P644" s="390"/>
    </row>
    <row r="645" spans="1:16">
      <c r="A645" s="390"/>
      <c r="B645" s="390"/>
      <c r="C645" s="390"/>
      <c r="D645" s="390"/>
      <c r="E645" s="390"/>
      <c r="F645" s="390"/>
      <c r="G645" s="390"/>
      <c r="H645" s="390"/>
      <c r="I645" s="390"/>
      <c r="J645" s="390"/>
      <c r="K645" s="390"/>
      <c r="L645" s="390"/>
      <c r="M645" s="390"/>
      <c r="N645" s="390"/>
      <c r="O645" s="390"/>
      <c r="P645" s="390"/>
    </row>
    <row r="646" spans="1:16">
      <c r="A646" s="390"/>
      <c r="B646" s="390"/>
      <c r="C646" s="390"/>
      <c r="D646" s="390"/>
      <c r="E646" s="390"/>
      <c r="F646" s="390"/>
      <c r="G646" s="390"/>
      <c r="H646" s="390"/>
      <c r="I646" s="390"/>
      <c r="J646" s="390"/>
      <c r="K646" s="390"/>
      <c r="L646" s="390"/>
      <c r="M646" s="390"/>
      <c r="N646" s="390"/>
      <c r="O646" s="390"/>
      <c r="P646" s="390"/>
    </row>
    <row r="647" spans="1:16">
      <c r="A647" s="390"/>
      <c r="B647" s="390"/>
      <c r="C647" s="390"/>
      <c r="D647" s="390"/>
      <c r="E647" s="390"/>
      <c r="F647" s="390"/>
      <c r="G647" s="390"/>
      <c r="H647" s="390"/>
      <c r="I647" s="390"/>
      <c r="J647" s="390"/>
      <c r="K647" s="390"/>
      <c r="L647" s="390"/>
      <c r="M647" s="390"/>
      <c r="N647" s="390"/>
      <c r="O647" s="390"/>
      <c r="P647" s="390"/>
    </row>
    <row r="648" spans="1:16" ht="15.75" thickBot="1">
      <c r="A648" s="390"/>
      <c r="B648" s="390"/>
      <c r="C648" s="390"/>
      <c r="D648" s="390"/>
      <c r="E648" s="390"/>
      <c r="F648" s="390"/>
      <c r="G648" s="390"/>
      <c r="H648" s="390"/>
      <c r="I648" s="390"/>
      <c r="J648" s="390"/>
      <c r="K648" s="390"/>
      <c r="L648" s="390"/>
      <c r="M648" s="390"/>
      <c r="N648" s="390"/>
      <c r="O648" s="390"/>
      <c r="P648" s="390"/>
    </row>
    <row r="649" spans="1:16">
      <c r="A649" s="390"/>
      <c r="B649" s="1180" t="s">
        <v>727</v>
      </c>
      <c r="C649" s="1180"/>
      <c r="D649" s="1180"/>
      <c r="E649" s="1180"/>
      <c r="F649" s="1180"/>
      <c r="G649" s="1180"/>
      <c r="H649" s="1180"/>
      <c r="I649" s="1180"/>
      <c r="J649" s="1180"/>
      <c r="K649" s="1180"/>
      <c r="L649" s="1180"/>
      <c r="M649" s="1180"/>
      <c r="N649" s="1180"/>
      <c r="O649" s="1180"/>
      <c r="P649" s="1181"/>
    </row>
    <row r="650" spans="1:16">
      <c r="A650" s="390"/>
      <c r="B650" s="1182"/>
      <c r="C650" s="1182"/>
      <c r="D650" s="1182"/>
      <c r="E650" s="1182"/>
      <c r="F650" s="1182"/>
      <c r="G650" s="1182"/>
      <c r="H650" s="1182"/>
      <c r="I650" s="1182"/>
      <c r="J650" s="1182"/>
      <c r="K650" s="1182"/>
      <c r="L650" s="1182"/>
      <c r="M650" s="1182"/>
      <c r="N650" s="1182"/>
      <c r="O650" s="1182"/>
      <c r="P650" s="1183"/>
    </row>
    <row r="651" spans="1:16">
      <c r="A651" s="390"/>
      <c r="B651" s="1184" t="s">
        <v>728</v>
      </c>
      <c r="C651" s="1184"/>
      <c r="D651" s="1184"/>
      <c r="E651" s="1184"/>
      <c r="F651" s="1184"/>
      <c r="G651" s="1184"/>
      <c r="H651" s="1184"/>
      <c r="I651" s="1184"/>
      <c r="J651" s="1184"/>
      <c r="K651" s="1184"/>
      <c r="L651" s="1184"/>
      <c r="M651" s="1184"/>
      <c r="N651" s="1184"/>
      <c r="O651" s="1184"/>
      <c r="P651" s="1185"/>
    </row>
    <row r="652" spans="1:16">
      <c r="A652" s="390"/>
      <c r="B652" s="31" t="s">
        <v>199</v>
      </c>
      <c r="C652" s="32"/>
      <c r="D652" s="609" t="s">
        <v>425</v>
      </c>
      <c r="E652" s="300"/>
      <c r="F652" s="33"/>
      <c r="G652" s="32"/>
      <c r="H652" s="32"/>
      <c r="I652" s="40" t="s">
        <v>145</v>
      </c>
      <c r="J652" s="75"/>
      <c r="K652" s="75"/>
      <c r="L652" s="75"/>
      <c r="M652" s="75"/>
      <c r="N652" s="75"/>
      <c r="O652" s="75"/>
      <c r="P652" s="369"/>
    </row>
    <row r="653" spans="1:16" ht="15.75">
      <c r="A653" s="390"/>
      <c r="B653" s="34"/>
      <c r="C653" s="363" t="s">
        <v>426</v>
      </c>
      <c r="D653" s="363"/>
      <c r="E653" s="36"/>
      <c r="F653" s="76"/>
      <c r="G653" s="370"/>
      <c r="H653" s="300"/>
      <c r="I653" s="382" t="str">
        <f>'04-22-Master'!B31</f>
        <v> SURESH Kumar KOLA</v>
      </c>
      <c r="J653" s="370"/>
      <c r="K653" s="370"/>
      <c r="L653" s="370"/>
      <c r="M653" s="370"/>
      <c r="N653" s="370"/>
      <c r="O653" s="370"/>
      <c r="P653" s="371"/>
    </row>
    <row r="654" spans="1:16">
      <c r="A654" s="390"/>
      <c r="B654" s="37"/>
      <c r="C654" s="38"/>
      <c r="D654" s="38"/>
      <c r="E654" s="39"/>
      <c r="F654" s="77"/>
      <c r="G654" s="78"/>
      <c r="H654" s="78"/>
      <c r="I654" s="78"/>
      <c r="J654" s="78"/>
      <c r="K654" s="78"/>
      <c r="L654" s="78"/>
      <c r="M654" s="78"/>
      <c r="N654" s="78"/>
      <c r="O654" s="78"/>
      <c r="P654" s="372"/>
    </row>
    <row r="655" spans="1:16">
      <c r="A655" s="390"/>
      <c r="B655" s="1186"/>
      <c r="C655" s="1186"/>
      <c r="D655" s="1186"/>
      <c r="E655" s="1186"/>
      <c r="F655" s="40"/>
      <c r="G655" s="32"/>
      <c r="H655" s="32"/>
      <c r="I655" s="32"/>
      <c r="J655" s="32"/>
      <c r="K655" s="32"/>
      <c r="L655" s="32"/>
      <c r="M655" s="32"/>
      <c r="N655" s="32"/>
      <c r="O655" s="32"/>
      <c r="P655" s="33"/>
    </row>
    <row r="656" spans="1:16">
      <c r="A656" s="390"/>
      <c r="B656" s="1186"/>
      <c r="C656" s="1186"/>
      <c r="D656" s="1186"/>
      <c r="E656" s="1186"/>
      <c r="F656" s="300"/>
      <c r="G656" s="363"/>
      <c r="H656" s="152"/>
      <c r="I656" s="300" t="s">
        <v>147</v>
      </c>
      <c r="J656" s="373"/>
      <c r="K656" s="373"/>
      <c r="L656" s="363"/>
      <c r="M656" s="363"/>
      <c r="N656" s="363"/>
      <c r="O656" s="363"/>
      <c r="P656" s="36"/>
    </row>
    <row r="657" spans="1:17">
      <c r="A657" s="390"/>
      <c r="B657" s="1186"/>
      <c r="C657" s="1186"/>
      <c r="D657" s="1186"/>
      <c r="E657" s="1186"/>
      <c r="F657" s="34"/>
      <c r="G657" s="363"/>
      <c r="H657" s="363"/>
      <c r="I657" s="363" t="str">
        <f>'04-22-Master'!E31</f>
        <v>BHAVANI KOLA</v>
      </c>
      <c r="J657" s="363"/>
      <c r="K657" s="363"/>
      <c r="L657" s="363"/>
      <c r="M657" s="363"/>
      <c r="N657" s="363"/>
      <c r="O657" s="363"/>
      <c r="P657" s="36"/>
    </row>
    <row r="658" spans="1:17">
      <c r="A658" s="390"/>
      <c r="B658" s="1186"/>
      <c r="C658" s="1186"/>
      <c r="D658" s="1186"/>
      <c r="E658" s="1186"/>
      <c r="F658" s="300"/>
      <c r="G658" s="38"/>
      <c r="H658" s="112"/>
      <c r="I658" s="300" t="s">
        <v>148</v>
      </c>
      <c r="J658" s="38"/>
      <c r="K658" s="38"/>
      <c r="L658" s="112">
        <f>'04-22-Master'!I31</f>
        <v>44637</v>
      </c>
      <c r="M658" s="38"/>
      <c r="N658" s="38"/>
      <c r="O658" s="38"/>
      <c r="P658" s="39"/>
    </row>
    <row r="659" spans="1:17">
      <c r="A659" s="390"/>
      <c r="B659" s="1187" t="e">
        <f>#REF!</f>
        <v>#REF!</v>
      </c>
      <c r="C659" s="1189" t="s">
        <v>431</v>
      </c>
      <c r="D659" s="1190"/>
      <c r="E659" s="1189" t="s">
        <v>432</v>
      </c>
      <c r="F659" s="1190"/>
      <c r="G659" s="1193" t="s">
        <v>433</v>
      </c>
      <c r="H659" s="1189" t="s">
        <v>434</v>
      </c>
      <c r="I659" s="1194"/>
      <c r="J659" s="1195" t="s">
        <v>435</v>
      </c>
      <c r="K659" s="1194"/>
      <c r="L659" s="1196"/>
      <c r="M659" s="1195" t="s">
        <v>436</v>
      </c>
      <c r="N659" s="1194"/>
      <c r="O659" s="1194"/>
      <c r="P659" s="1200" t="s">
        <v>437</v>
      </c>
    </row>
    <row r="660" spans="1:17" ht="15.75" thickBot="1">
      <c r="A660" s="390"/>
      <c r="B660" s="1188"/>
      <c r="C660" s="1189"/>
      <c r="D660" s="1190"/>
      <c r="E660" s="1189"/>
      <c r="F660" s="1190"/>
      <c r="G660" s="1187"/>
      <c r="H660" s="1189"/>
      <c r="I660" s="1194"/>
      <c r="J660" s="1197"/>
      <c r="K660" s="1198"/>
      <c r="L660" s="1199"/>
      <c r="M660" s="1197"/>
      <c r="N660" s="1198"/>
      <c r="O660" s="1198"/>
      <c r="P660" s="1201"/>
    </row>
    <row r="661" spans="1:17">
      <c r="A661" s="390"/>
      <c r="B661" s="352">
        <v>1</v>
      </c>
      <c r="C661" s="1191"/>
      <c r="D661" s="1192"/>
      <c r="E661" s="1191"/>
      <c r="F661" s="1192"/>
      <c r="G661" s="352">
        <v>6</v>
      </c>
      <c r="H661" s="1191"/>
      <c r="I661" s="1192"/>
      <c r="J661" s="311">
        <v>9</v>
      </c>
      <c r="K661" s="311"/>
      <c r="L661" s="311"/>
      <c r="M661" s="311">
        <v>9</v>
      </c>
      <c r="N661" s="311"/>
      <c r="O661" s="311"/>
      <c r="P661" s="312" t="s">
        <v>438</v>
      </c>
    </row>
    <row r="662" spans="1:17" ht="89.25">
      <c r="A662" s="390"/>
      <c r="B662" s="313"/>
      <c r="C662" s="313" t="s">
        <v>439</v>
      </c>
      <c r="D662" s="313" t="s">
        <v>440</v>
      </c>
      <c r="E662" s="313" t="s">
        <v>441</v>
      </c>
      <c r="F662" s="313" t="s">
        <v>150</v>
      </c>
      <c r="G662" s="313"/>
      <c r="H662" s="313" t="s">
        <v>442</v>
      </c>
      <c r="I662" s="313" t="s">
        <v>443</v>
      </c>
      <c r="J662" s="313" t="s">
        <v>149</v>
      </c>
      <c r="K662" s="313" t="s">
        <v>444</v>
      </c>
      <c r="L662" s="313" t="s">
        <v>445</v>
      </c>
      <c r="M662" s="313" t="s">
        <v>446</v>
      </c>
      <c r="N662" s="313" t="s">
        <v>447</v>
      </c>
      <c r="O662" s="314" t="s">
        <v>448</v>
      </c>
      <c r="P662" s="314"/>
    </row>
    <row r="663" spans="1:17">
      <c r="A663" s="390"/>
      <c r="B663" s="315"/>
      <c r="C663" s="313"/>
      <c r="D663" s="313"/>
      <c r="E663" s="316"/>
      <c r="F663" s="316"/>
      <c r="G663" s="313"/>
      <c r="H663" s="313"/>
      <c r="I663" s="313"/>
      <c r="J663" s="313"/>
      <c r="K663" s="313"/>
      <c r="L663" s="313"/>
      <c r="M663" s="313"/>
      <c r="N663" s="313"/>
      <c r="O663" s="313"/>
      <c r="P663" s="313"/>
    </row>
    <row r="664" spans="1:17">
      <c r="A664" s="390"/>
      <c r="B664" s="600"/>
      <c r="C664" s="374"/>
      <c r="D664" s="374"/>
      <c r="E664" s="503"/>
      <c r="F664" s="503"/>
      <c r="G664" s="313"/>
      <c r="H664" s="374"/>
      <c r="I664" s="374"/>
      <c r="J664" s="313"/>
      <c r="K664" s="313"/>
      <c r="L664" s="313"/>
      <c r="M664" s="374"/>
      <c r="N664" s="374"/>
      <c r="O664" s="374"/>
      <c r="P664" s="374"/>
    </row>
    <row r="665" spans="1:17" s="855" customFormat="1">
      <c r="A665" s="855">
        <v>19</v>
      </c>
      <c r="B665" s="315" t="s">
        <v>1100</v>
      </c>
      <c r="C665" s="313">
        <v>0</v>
      </c>
      <c r="D665" s="313">
        <v>0</v>
      </c>
      <c r="E665" s="313">
        <v>0</v>
      </c>
      <c r="F665" s="313">
        <v>0</v>
      </c>
      <c r="G665" s="313">
        <v>0</v>
      </c>
      <c r="H665" s="313"/>
      <c r="I665" s="313"/>
      <c r="J665" s="313" t="s">
        <v>718</v>
      </c>
      <c r="K665" s="313" t="s">
        <v>152</v>
      </c>
      <c r="L665" s="313" t="s">
        <v>152</v>
      </c>
      <c r="M665" s="313"/>
      <c r="N665" s="852"/>
      <c r="O665" s="313"/>
      <c r="P665" s="313"/>
    </row>
    <row r="666" spans="1:17" s="855" customFormat="1">
      <c r="B666" s="375" t="s">
        <v>1139</v>
      </c>
      <c r="C666" s="313">
        <v>1.5</v>
      </c>
      <c r="D666" s="313">
        <v>0</v>
      </c>
      <c r="E666" s="313">
        <v>0</v>
      </c>
      <c r="F666" s="313">
        <v>0</v>
      </c>
      <c r="G666" s="313">
        <f>G665+C666-D666</f>
        <v>1.5</v>
      </c>
      <c r="H666" s="313"/>
      <c r="I666" s="313"/>
      <c r="J666" s="313" t="s">
        <v>152</v>
      </c>
      <c r="K666" s="313" t="s">
        <v>152</v>
      </c>
      <c r="L666" s="313" t="s">
        <v>152</v>
      </c>
      <c r="M666" s="313"/>
      <c r="N666" s="313"/>
      <c r="O666" s="313"/>
      <c r="P666" s="313"/>
      <c r="Q666" s="855">
        <v>16</v>
      </c>
    </row>
    <row r="667" spans="1:17">
      <c r="A667" s="390"/>
      <c r="B667" s="315"/>
      <c r="C667" s="313"/>
      <c r="D667" s="313"/>
      <c r="E667" s="316"/>
      <c r="F667" s="316"/>
      <c r="G667" s="313"/>
      <c r="H667" s="313"/>
      <c r="I667" s="313"/>
      <c r="J667" s="313"/>
      <c r="K667" s="313"/>
      <c r="L667" s="313"/>
      <c r="M667" s="313"/>
      <c r="N667" s="313"/>
      <c r="O667" s="313"/>
      <c r="P667" s="313"/>
    </row>
    <row r="668" spans="1:17">
      <c r="A668" s="390"/>
      <c r="B668" s="601"/>
      <c r="C668" s="294"/>
      <c r="D668" s="294"/>
      <c r="E668" s="294"/>
      <c r="F668" s="294"/>
      <c r="G668" s="313"/>
      <c r="H668" s="294"/>
      <c r="I668" s="294"/>
      <c r="J668" s="313"/>
      <c r="K668" s="313"/>
      <c r="L668" s="313"/>
      <c r="M668" s="313"/>
      <c r="N668" s="313"/>
      <c r="O668" s="313"/>
      <c r="P668" s="313"/>
    </row>
    <row r="669" spans="1:17">
      <c r="A669" s="390"/>
      <c r="B669" s="315"/>
      <c r="C669" s="307"/>
      <c r="D669" s="313"/>
      <c r="E669" s="313"/>
      <c r="F669" s="313"/>
      <c r="G669" s="313"/>
      <c r="H669" s="313"/>
      <c r="I669" s="313"/>
      <c r="J669" s="313"/>
      <c r="K669" s="313"/>
      <c r="L669" s="313"/>
      <c r="M669" s="313"/>
      <c r="N669" s="313"/>
      <c r="O669" s="313"/>
      <c r="P669" s="313"/>
    </row>
    <row r="670" spans="1:17">
      <c r="A670" s="390"/>
      <c r="B670" s="315"/>
      <c r="C670" s="313"/>
      <c r="D670" s="313"/>
      <c r="E670" s="313"/>
      <c r="F670" s="313"/>
      <c r="G670" s="313"/>
      <c r="H670" s="313"/>
      <c r="I670" s="313"/>
      <c r="J670" s="313"/>
      <c r="K670" s="313"/>
      <c r="L670" s="313"/>
      <c r="M670" s="313"/>
      <c r="N670" s="313"/>
      <c r="O670" s="313"/>
      <c r="P670" s="313"/>
    </row>
    <row r="671" spans="1:17">
      <c r="A671" s="390"/>
      <c r="B671" s="315"/>
      <c r="C671" s="313"/>
      <c r="D671" s="313"/>
      <c r="E671" s="313"/>
      <c r="F671" s="313"/>
      <c r="G671" s="313"/>
      <c r="H671" s="313"/>
      <c r="I671" s="313"/>
      <c r="J671" s="313"/>
      <c r="K671" s="313"/>
      <c r="L671" s="313"/>
      <c r="M671" s="313"/>
      <c r="N671" s="313"/>
      <c r="O671" s="313"/>
      <c r="P671" s="313"/>
    </row>
    <row r="672" spans="1:17">
      <c r="A672" s="390"/>
      <c r="B672" s="315"/>
      <c r="C672" s="313"/>
      <c r="D672" s="313"/>
      <c r="E672" s="313"/>
      <c r="F672" s="313"/>
      <c r="G672" s="313"/>
      <c r="H672" s="313"/>
      <c r="I672" s="313"/>
      <c r="J672" s="313"/>
      <c r="K672" s="313"/>
      <c r="L672" s="313"/>
      <c r="M672" s="313"/>
      <c r="N672" s="313"/>
      <c r="O672" s="313"/>
      <c r="P672" s="313"/>
    </row>
    <row r="673" spans="1:16">
      <c r="A673" s="390"/>
      <c r="B673" s="315"/>
      <c r="C673" s="313"/>
      <c r="D673" s="313"/>
      <c r="E673" s="313"/>
      <c r="F673" s="313"/>
      <c r="G673" s="313"/>
      <c r="H673" s="313"/>
      <c r="I673" s="313"/>
      <c r="J673" s="313"/>
      <c r="K673" s="313"/>
      <c r="L673" s="313"/>
      <c r="M673" s="313"/>
      <c r="N673" s="313"/>
      <c r="O673" s="313"/>
      <c r="P673" s="313"/>
    </row>
    <row r="674" spans="1:16">
      <c r="A674" s="390"/>
      <c r="B674" s="315"/>
      <c r="C674" s="313"/>
      <c r="D674" s="313"/>
      <c r="E674" s="313"/>
      <c r="F674" s="313"/>
      <c r="G674" s="313"/>
      <c r="H674" s="313"/>
      <c r="I674" s="313"/>
      <c r="J674" s="313"/>
      <c r="K674" s="313"/>
      <c r="L674" s="313"/>
      <c r="M674" s="313"/>
      <c r="N674" s="313"/>
      <c r="O674" s="313"/>
      <c r="P674" s="313"/>
    </row>
    <row r="675" spans="1:16">
      <c r="A675" s="390"/>
      <c r="B675" s="315"/>
      <c r="C675" s="313"/>
      <c r="D675" s="313"/>
      <c r="E675" s="313"/>
      <c r="F675" s="313"/>
      <c r="G675" s="313"/>
      <c r="H675" s="313"/>
      <c r="I675" s="313"/>
      <c r="J675" s="313"/>
      <c r="K675" s="313"/>
      <c r="L675" s="313"/>
      <c r="M675" s="313"/>
      <c r="N675" s="313"/>
      <c r="O675" s="313"/>
      <c r="P675" s="313"/>
    </row>
    <row r="676" spans="1:16">
      <c r="A676" s="390"/>
      <c r="B676" s="374"/>
      <c r="C676" s="374"/>
      <c r="D676" s="374"/>
      <c r="E676" s="374"/>
      <c r="F676" s="374"/>
      <c r="G676" s="374"/>
      <c r="H676" s="374"/>
      <c r="I676" s="374"/>
      <c r="J676" s="374"/>
      <c r="K676" s="374"/>
      <c r="L676" s="374"/>
      <c r="M676" s="374"/>
      <c r="N676" s="374"/>
      <c r="O676" s="374"/>
      <c r="P676" s="374"/>
    </row>
    <row r="677" spans="1:16">
      <c r="A677" s="390"/>
      <c r="B677" s="374"/>
      <c r="C677" s="374"/>
      <c r="D677" s="374"/>
      <c r="E677" s="374"/>
      <c r="F677" s="374"/>
      <c r="G677" s="374"/>
      <c r="H677" s="374"/>
      <c r="I677" s="374"/>
      <c r="J677" s="374"/>
      <c r="K677" s="374"/>
      <c r="L677" s="374"/>
      <c r="M677" s="374"/>
      <c r="N677" s="374"/>
      <c r="O677" s="374"/>
      <c r="P677" s="374"/>
    </row>
    <row r="678" spans="1:16">
      <c r="A678" s="390"/>
      <c r="B678" s="374"/>
      <c r="C678" s="388"/>
      <c r="D678" s="374"/>
      <c r="E678" s="374"/>
      <c r="F678" s="374"/>
      <c r="G678" s="374"/>
      <c r="H678" s="374"/>
      <c r="I678" s="374"/>
      <c r="J678" s="374"/>
      <c r="K678" s="374"/>
      <c r="L678" s="374"/>
      <c r="M678" s="374"/>
      <c r="N678" s="374"/>
      <c r="O678" s="374"/>
      <c r="P678" s="374"/>
    </row>
    <row r="679" spans="1:16">
      <c r="A679" s="390"/>
      <c r="B679" s="34"/>
      <c r="C679" s="363"/>
      <c r="D679" s="363"/>
      <c r="E679" s="363"/>
      <c r="F679" s="363"/>
      <c r="G679" s="363"/>
      <c r="H679" s="363"/>
      <c r="I679" s="363"/>
      <c r="J679" s="363"/>
      <c r="K679" s="363"/>
      <c r="L679" s="363"/>
      <c r="M679" s="363"/>
      <c r="N679" s="363"/>
      <c r="O679" s="363"/>
      <c r="P679" s="33"/>
    </row>
    <row r="680" spans="1:16">
      <c r="A680" s="390"/>
      <c r="B680" s="34"/>
      <c r="C680" s="363"/>
      <c r="D680" s="363"/>
      <c r="E680" s="363"/>
      <c r="F680" s="363"/>
      <c r="G680" s="363"/>
      <c r="H680" s="363"/>
      <c r="I680" s="363"/>
      <c r="J680" s="363"/>
      <c r="K680" s="363"/>
      <c r="L680" s="363"/>
      <c r="M680" s="363"/>
      <c r="N680" s="363"/>
      <c r="O680" s="363"/>
      <c r="P680" s="36"/>
    </row>
    <row r="681" spans="1:16">
      <c r="A681" s="390"/>
      <c r="B681" s="34"/>
      <c r="C681" s="363"/>
      <c r="D681" s="363"/>
      <c r="E681" s="363"/>
      <c r="F681" s="363"/>
      <c r="G681" s="363"/>
      <c r="H681" s="363"/>
      <c r="I681" s="363"/>
      <c r="J681" s="363"/>
      <c r="K681" s="363"/>
      <c r="L681" s="363"/>
      <c r="M681" s="363"/>
      <c r="N681" s="363"/>
      <c r="O681" s="363"/>
      <c r="P681" s="36"/>
    </row>
    <row r="682" spans="1:16">
      <c r="A682" s="390"/>
      <c r="B682" s="34"/>
      <c r="C682" s="363"/>
      <c r="D682" s="363"/>
      <c r="E682" s="363"/>
      <c r="F682" s="363"/>
      <c r="G682" s="363"/>
      <c r="H682" s="363"/>
      <c r="I682" s="363"/>
      <c r="J682" s="363"/>
      <c r="K682" s="363"/>
      <c r="L682" s="363"/>
      <c r="M682" s="363"/>
      <c r="N682" s="363"/>
      <c r="O682" s="363"/>
      <c r="P682" s="36"/>
    </row>
    <row r="683" spans="1:16">
      <c r="A683" s="390"/>
      <c r="B683" s="34"/>
      <c r="C683" s="363"/>
      <c r="D683" s="363"/>
      <c r="E683" s="363"/>
      <c r="F683" s="363"/>
      <c r="G683" s="363"/>
      <c r="H683" s="363"/>
      <c r="I683" s="363"/>
      <c r="J683" s="363"/>
      <c r="K683" s="363"/>
      <c r="L683" s="363"/>
      <c r="M683" s="363"/>
      <c r="N683" s="363"/>
      <c r="O683" s="363"/>
      <c r="P683" s="36"/>
    </row>
    <row r="684" spans="1:16">
      <c r="A684" s="390"/>
      <c r="B684" s="34"/>
      <c r="C684" s="300"/>
      <c r="D684" s="300"/>
      <c r="E684" s="300"/>
      <c r="F684" s="300"/>
      <c r="G684" s="300"/>
      <c r="H684" s="300"/>
      <c r="I684" s="300"/>
      <c r="J684" s="300"/>
      <c r="K684" s="300"/>
      <c r="L684" s="300"/>
      <c r="M684" s="300"/>
      <c r="N684" s="300"/>
      <c r="O684" s="300"/>
      <c r="P684" s="63"/>
    </row>
    <row r="685" spans="1:16">
      <c r="A685" s="390"/>
      <c r="B685" s="73"/>
      <c r="C685" s="19"/>
      <c r="D685" s="19"/>
      <c r="E685" s="19"/>
      <c r="F685" s="19"/>
      <c r="G685" s="19"/>
      <c r="H685" s="19"/>
      <c r="I685" s="19"/>
      <c r="J685" s="19" t="s">
        <v>38</v>
      </c>
      <c r="K685" s="19"/>
      <c r="L685" s="19"/>
      <c r="M685" s="19"/>
      <c r="N685" s="19"/>
      <c r="O685" s="19"/>
      <c r="P685" s="74"/>
    </row>
    <row r="686" spans="1:16">
      <c r="A686" s="390"/>
      <c r="B686" s="390"/>
      <c r="C686" s="390"/>
      <c r="D686" s="390"/>
      <c r="E686" s="390"/>
      <c r="F686" s="390"/>
      <c r="G686" s="390"/>
      <c r="H686" s="390"/>
      <c r="I686" s="390"/>
      <c r="J686" s="390"/>
      <c r="K686" s="390"/>
      <c r="L686" s="390"/>
      <c r="M686" s="390"/>
      <c r="N686" s="390"/>
      <c r="O686" s="390"/>
      <c r="P686" s="390"/>
    </row>
    <row r="687" spans="1:16">
      <c r="A687" s="390"/>
      <c r="B687" s="390"/>
      <c r="C687" s="390"/>
      <c r="D687" s="390"/>
      <c r="E687" s="390"/>
      <c r="F687" s="390"/>
      <c r="G687" s="390"/>
      <c r="H687" s="390"/>
      <c r="I687" s="390"/>
      <c r="J687" s="390"/>
      <c r="K687" s="390"/>
      <c r="L687" s="390"/>
      <c r="M687" s="390"/>
      <c r="N687" s="390"/>
      <c r="O687" s="390"/>
      <c r="P687" s="390"/>
    </row>
    <row r="688" spans="1:16">
      <c r="A688" s="390"/>
      <c r="B688" s="390"/>
      <c r="C688" s="390"/>
      <c r="D688" s="390"/>
      <c r="E688" s="390"/>
      <c r="F688" s="390"/>
      <c r="G688" s="390"/>
      <c r="H688" s="390"/>
      <c r="I688" s="390"/>
      <c r="J688" s="390"/>
      <c r="K688" s="390"/>
      <c r="L688" s="390"/>
      <c r="M688" s="390"/>
      <c r="N688" s="390"/>
      <c r="O688" s="390"/>
      <c r="P688" s="390"/>
    </row>
    <row r="689" spans="1:16" ht="15.75" thickBot="1">
      <c r="A689" s="390"/>
      <c r="B689" s="390"/>
      <c r="C689" s="390"/>
      <c r="D689" s="390"/>
      <c r="E689" s="390"/>
      <c r="F689" s="390"/>
      <c r="G689" s="390"/>
      <c r="H689" s="390"/>
      <c r="I689" s="390"/>
      <c r="J689" s="390"/>
      <c r="K689" s="390"/>
      <c r="L689" s="390"/>
      <c r="M689" s="390"/>
      <c r="N689" s="390"/>
      <c r="O689" s="390"/>
      <c r="P689" s="390"/>
    </row>
    <row r="690" spans="1:16">
      <c r="A690" s="390"/>
      <c r="B690" s="1180" t="s">
        <v>727</v>
      </c>
      <c r="C690" s="1180"/>
      <c r="D690" s="1180"/>
      <c r="E690" s="1180"/>
      <c r="F690" s="1180"/>
      <c r="G690" s="1180"/>
      <c r="H690" s="1180"/>
      <c r="I690" s="1180"/>
      <c r="J690" s="1180"/>
      <c r="K690" s="1180"/>
      <c r="L690" s="1180"/>
      <c r="M690" s="1180"/>
      <c r="N690" s="1180"/>
      <c r="O690" s="1180"/>
      <c r="P690" s="1181"/>
    </row>
    <row r="691" spans="1:16">
      <c r="A691" s="390"/>
      <c r="B691" s="1182"/>
      <c r="C691" s="1182"/>
      <c r="D691" s="1182"/>
      <c r="E691" s="1182"/>
      <c r="F691" s="1182"/>
      <c r="G691" s="1182"/>
      <c r="H691" s="1182"/>
      <c r="I691" s="1182"/>
      <c r="J691" s="1182"/>
      <c r="K691" s="1182"/>
      <c r="L691" s="1182"/>
      <c r="M691" s="1182"/>
      <c r="N691" s="1182"/>
      <c r="O691" s="1182"/>
      <c r="P691" s="1183"/>
    </row>
    <row r="692" spans="1:16">
      <c r="A692" s="390"/>
      <c r="B692" s="1184" t="s">
        <v>728</v>
      </c>
      <c r="C692" s="1184"/>
      <c r="D692" s="1184"/>
      <c r="E692" s="1184"/>
      <c r="F692" s="1184"/>
      <c r="G692" s="1184"/>
      <c r="H692" s="1184"/>
      <c r="I692" s="1184"/>
      <c r="J692" s="1184"/>
      <c r="K692" s="1184"/>
      <c r="L692" s="1184"/>
      <c r="M692" s="1184"/>
      <c r="N692" s="1184"/>
      <c r="O692" s="1184"/>
      <c r="P692" s="1185"/>
    </row>
    <row r="693" spans="1:16">
      <c r="A693" s="390"/>
      <c r="B693" s="31" t="s">
        <v>199</v>
      </c>
      <c r="C693" s="32"/>
      <c r="D693" s="609" t="s">
        <v>425</v>
      </c>
      <c r="E693" s="300"/>
      <c r="F693" s="33"/>
      <c r="G693" s="32"/>
      <c r="H693" s="32"/>
      <c r="I693" s="40" t="s">
        <v>145</v>
      </c>
      <c r="J693" s="75"/>
      <c r="K693" s="75"/>
      <c r="L693" s="75"/>
      <c r="M693" s="75"/>
      <c r="N693" s="75"/>
      <c r="O693" s="75"/>
      <c r="P693" s="369"/>
    </row>
    <row r="694" spans="1:16" ht="15.75">
      <c r="A694" s="390"/>
      <c r="B694" s="34"/>
      <c r="C694" s="363" t="s">
        <v>426</v>
      </c>
      <c r="D694" s="363"/>
      <c r="E694" s="36"/>
      <c r="F694" s="76"/>
      <c r="G694" s="370"/>
      <c r="H694" s="300"/>
      <c r="I694" s="382" t="str">
        <f>'04-22-Master'!B32</f>
        <v xml:space="preserve"> MUMMANA ANILKUMAR</v>
      </c>
      <c r="J694" s="370"/>
      <c r="K694" s="370"/>
      <c r="L694" s="370"/>
      <c r="M694" s="370"/>
      <c r="N694" s="370"/>
      <c r="O694" s="370"/>
      <c r="P694" s="371"/>
    </row>
    <row r="695" spans="1:16">
      <c r="A695" s="390"/>
      <c r="B695" s="37"/>
      <c r="C695" s="38"/>
      <c r="D695" s="38"/>
      <c r="E695" s="39"/>
      <c r="F695" s="77"/>
      <c r="G695" s="78"/>
      <c r="H695" s="78"/>
      <c r="I695" s="78"/>
      <c r="J695" s="78"/>
      <c r="K695" s="78"/>
      <c r="L695" s="78"/>
      <c r="M695" s="78"/>
      <c r="N695" s="78"/>
      <c r="O695" s="78"/>
      <c r="P695" s="372"/>
    </row>
    <row r="696" spans="1:16">
      <c r="A696" s="390"/>
      <c r="B696" s="1186"/>
      <c r="C696" s="1186"/>
      <c r="D696" s="1186"/>
      <c r="E696" s="1186"/>
      <c r="F696" s="40"/>
      <c r="G696" s="32"/>
      <c r="H696" s="32"/>
      <c r="I696" s="32"/>
      <c r="J696" s="32"/>
      <c r="K696" s="32"/>
      <c r="L696" s="32"/>
      <c r="M696" s="32"/>
      <c r="N696" s="32"/>
      <c r="O696" s="32"/>
      <c r="P696" s="33"/>
    </row>
    <row r="697" spans="1:16">
      <c r="A697" s="390"/>
      <c r="B697" s="1186"/>
      <c r="C697" s="1186"/>
      <c r="D697" s="1186"/>
      <c r="E697" s="1186"/>
      <c r="F697" s="300"/>
      <c r="G697" s="363"/>
      <c r="H697" s="152"/>
      <c r="I697" s="300" t="s">
        <v>147</v>
      </c>
      <c r="J697" s="373"/>
      <c r="K697" s="373"/>
      <c r="L697" s="363"/>
      <c r="M697" s="363"/>
      <c r="N697" s="363"/>
      <c r="O697" s="363"/>
      <c r="P697" s="36"/>
    </row>
    <row r="698" spans="1:16">
      <c r="A698" s="390"/>
      <c r="B698" s="1186"/>
      <c r="C698" s="1186"/>
      <c r="D698" s="1186"/>
      <c r="E698" s="1186"/>
      <c r="F698" s="34"/>
      <c r="G698" s="363"/>
      <c r="H698" s="363"/>
      <c r="I698" s="363" t="str">
        <f>'04-22-Master'!E32</f>
        <v>MUMMANA VENKATESWARLU</v>
      </c>
      <c r="J698" s="363"/>
      <c r="K698" s="363"/>
      <c r="L698" s="363"/>
      <c r="M698" s="363"/>
      <c r="N698" s="363"/>
      <c r="O698" s="363"/>
      <c r="P698" s="36"/>
    </row>
    <row r="699" spans="1:16">
      <c r="A699" s="390"/>
      <c r="B699" s="1186"/>
      <c r="C699" s="1186"/>
      <c r="D699" s="1186"/>
      <c r="E699" s="1186"/>
      <c r="F699" s="300"/>
      <c r="G699" s="38"/>
      <c r="H699" s="112"/>
      <c r="I699" s="300" t="s">
        <v>148</v>
      </c>
      <c r="J699" s="38"/>
      <c r="K699" s="38"/>
      <c r="L699" s="112">
        <f>'04-22-Master'!I32</f>
        <v>44648</v>
      </c>
      <c r="M699" s="38"/>
      <c r="N699" s="38"/>
      <c r="O699" s="38"/>
      <c r="P699" s="39"/>
    </row>
    <row r="700" spans="1:16">
      <c r="A700" s="390"/>
      <c r="B700" s="1187" t="e">
        <f>#REF!</f>
        <v>#REF!</v>
      </c>
      <c r="C700" s="1189" t="s">
        <v>431</v>
      </c>
      <c r="D700" s="1190"/>
      <c r="E700" s="1189" t="s">
        <v>432</v>
      </c>
      <c r="F700" s="1190"/>
      <c r="G700" s="1193" t="s">
        <v>433</v>
      </c>
      <c r="H700" s="1189" t="s">
        <v>434</v>
      </c>
      <c r="I700" s="1194"/>
      <c r="J700" s="1195" t="s">
        <v>435</v>
      </c>
      <c r="K700" s="1194"/>
      <c r="L700" s="1196"/>
      <c r="M700" s="1195" t="s">
        <v>436</v>
      </c>
      <c r="N700" s="1194"/>
      <c r="O700" s="1194"/>
      <c r="P700" s="1200" t="s">
        <v>437</v>
      </c>
    </row>
    <row r="701" spans="1:16" ht="15.75" thickBot="1">
      <c r="A701" s="390"/>
      <c r="B701" s="1188"/>
      <c r="C701" s="1189"/>
      <c r="D701" s="1190"/>
      <c r="E701" s="1189"/>
      <c r="F701" s="1190"/>
      <c r="G701" s="1187"/>
      <c r="H701" s="1189"/>
      <c r="I701" s="1194"/>
      <c r="J701" s="1197"/>
      <c r="K701" s="1198"/>
      <c r="L701" s="1199"/>
      <c r="M701" s="1197"/>
      <c r="N701" s="1198"/>
      <c r="O701" s="1198"/>
      <c r="P701" s="1201"/>
    </row>
    <row r="702" spans="1:16">
      <c r="A702" s="390"/>
      <c r="B702" s="352">
        <v>1</v>
      </c>
      <c r="C702" s="1191"/>
      <c r="D702" s="1192"/>
      <c r="E702" s="1191"/>
      <c r="F702" s="1192"/>
      <c r="G702" s="352">
        <v>6</v>
      </c>
      <c r="H702" s="1191"/>
      <c r="I702" s="1192"/>
      <c r="J702" s="311">
        <v>9</v>
      </c>
      <c r="K702" s="311"/>
      <c r="L702" s="311"/>
      <c r="M702" s="311">
        <v>9</v>
      </c>
      <c r="N702" s="311"/>
      <c r="O702" s="311"/>
      <c r="P702" s="312" t="s">
        <v>438</v>
      </c>
    </row>
    <row r="703" spans="1:16" ht="89.25">
      <c r="A703" s="390"/>
      <c r="B703" s="313"/>
      <c r="C703" s="313" t="s">
        <v>439</v>
      </c>
      <c r="D703" s="313" t="s">
        <v>440</v>
      </c>
      <c r="E703" s="313" t="s">
        <v>441</v>
      </c>
      <c r="F703" s="313" t="s">
        <v>150</v>
      </c>
      <c r="G703" s="313"/>
      <c r="H703" s="313" t="s">
        <v>442</v>
      </c>
      <c r="I703" s="313" t="s">
        <v>443</v>
      </c>
      <c r="J703" s="313" t="s">
        <v>149</v>
      </c>
      <c r="K703" s="313" t="s">
        <v>444</v>
      </c>
      <c r="L703" s="313" t="s">
        <v>445</v>
      </c>
      <c r="M703" s="313" t="s">
        <v>446</v>
      </c>
      <c r="N703" s="313" t="s">
        <v>447</v>
      </c>
      <c r="O703" s="314" t="s">
        <v>448</v>
      </c>
      <c r="P703" s="314"/>
    </row>
    <row r="704" spans="1:16">
      <c r="A704" s="390"/>
      <c r="B704" s="315"/>
      <c r="C704" s="313"/>
      <c r="D704" s="313"/>
      <c r="E704" s="316"/>
      <c r="F704" s="316"/>
      <c r="G704" s="313"/>
      <c r="H704" s="313"/>
      <c r="I704" s="313"/>
      <c r="J704" s="313"/>
      <c r="K704" s="313"/>
      <c r="L704" s="313"/>
      <c r="M704" s="313"/>
      <c r="N704" s="313"/>
      <c r="O704" s="313"/>
      <c r="P704" s="313"/>
    </row>
    <row r="705" spans="1:17" s="855" customFormat="1">
      <c r="B705" s="315" t="s">
        <v>1100</v>
      </c>
      <c r="C705" s="313">
        <v>0</v>
      </c>
      <c r="D705" s="313">
        <v>0</v>
      </c>
      <c r="E705" s="313">
        <v>0</v>
      </c>
      <c r="F705" s="313">
        <v>0</v>
      </c>
      <c r="G705" s="313">
        <v>0</v>
      </c>
      <c r="H705" s="313"/>
      <c r="I705" s="313"/>
      <c r="J705" s="313" t="s">
        <v>718</v>
      </c>
      <c r="K705" s="313" t="s">
        <v>152</v>
      </c>
      <c r="L705" s="313" t="s">
        <v>152</v>
      </c>
      <c r="M705" s="313"/>
      <c r="N705" s="852"/>
      <c r="O705" s="313"/>
      <c r="P705" s="313"/>
    </row>
    <row r="706" spans="1:17" s="855" customFormat="1">
      <c r="B706" s="375" t="s">
        <v>1139</v>
      </c>
      <c r="C706" s="313">
        <v>1.5</v>
      </c>
      <c r="D706" s="313">
        <v>0</v>
      </c>
      <c r="E706" s="313">
        <v>0</v>
      </c>
      <c r="F706" s="313">
        <v>0</v>
      </c>
      <c r="G706" s="313">
        <f>G705+C706-D706</f>
        <v>1.5</v>
      </c>
      <c r="H706" s="313"/>
      <c r="I706" s="313"/>
      <c r="J706" s="313" t="s">
        <v>152</v>
      </c>
      <c r="K706" s="313" t="s">
        <v>152</v>
      </c>
      <c r="L706" s="313" t="s">
        <v>152</v>
      </c>
      <c r="M706" s="313"/>
      <c r="N706" s="313"/>
      <c r="O706" s="313"/>
      <c r="P706" s="313"/>
      <c r="Q706" s="855">
        <v>17</v>
      </c>
    </row>
    <row r="707" spans="1:17">
      <c r="A707" s="390"/>
      <c r="B707" s="315"/>
      <c r="C707" s="313"/>
      <c r="D707" s="313"/>
      <c r="E707" s="521"/>
      <c r="F707" s="521"/>
      <c r="G707" s="313"/>
      <c r="H707" s="313"/>
      <c r="I707" s="313"/>
      <c r="J707" s="313"/>
      <c r="K707" s="313"/>
      <c r="L707" s="313"/>
      <c r="M707" s="313"/>
      <c r="N707" s="313"/>
      <c r="O707" s="390"/>
      <c r="P707" s="313"/>
    </row>
    <row r="708" spans="1:17">
      <c r="A708" s="390"/>
      <c r="B708" s="315"/>
      <c r="C708" s="313"/>
      <c r="D708" s="313"/>
      <c r="E708" s="316"/>
      <c r="F708" s="316"/>
      <c r="G708" s="313"/>
      <c r="H708" s="313"/>
      <c r="I708" s="313"/>
      <c r="J708" s="313"/>
      <c r="K708" s="313"/>
      <c r="L708" s="313"/>
      <c r="M708" s="313"/>
      <c r="N708" s="313"/>
      <c r="O708" s="313"/>
      <c r="P708" s="313"/>
    </row>
    <row r="709" spans="1:17">
      <c r="A709" s="390"/>
      <c r="B709" s="601"/>
      <c r="C709" s="294"/>
      <c r="D709" s="294"/>
      <c r="E709" s="294"/>
      <c r="F709" s="294"/>
      <c r="G709" s="313"/>
      <c r="H709" s="294"/>
      <c r="I709" s="294"/>
      <c r="J709" s="313"/>
      <c r="K709" s="313"/>
      <c r="L709" s="313"/>
      <c r="M709" s="313"/>
      <c r="N709" s="313"/>
      <c r="O709" s="313"/>
      <c r="P709" s="313"/>
    </row>
    <row r="710" spans="1:17">
      <c r="A710" s="390"/>
      <c r="B710" s="315"/>
      <c r="C710" s="307"/>
      <c r="D710" s="313"/>
      <c r="E710" s="313"/>
      <c r="F710" s="313"/>
      <c r="G710" s="313"/>
      <c r="H710" s="313"/>
      <c r="I710" s="313"/>
      <c r="J710" s="313"/>
      <c r="K710" s="313"/>
      <c r="L710" s="313"/>
      <c r="M710" s="313"/>
      <c r="N710" s="313"/>
      <c r="O710" s="313"/>
      <c r="P710" s="313"/>
    </row>
    <row r="711" spans="1:17">
      <c r="A711" s="390"/>
      <c r="B711" s="315"/>
      <c r="C711" s="313"/>
      <c r="D711" s="313"/>
      <c r="E711" s="313"/>
      <c r="F711" s="313"/>
      <c r="G711" s="313"/>
      <c r="H711" s="313"/>
      <c r="I711" s="313"/>
      <c r="J711" s="313"/>
      <c r="K711" s="313"/>
      <c r="L711" s="313"/>
      <c r="M711" s="313"/>
      <c r="N711" s="313"/>
      <c r="O711" s="313"/>
      <c r="P711" s="313"/>
    </row>
    <row r="712" spans="1:17">
      <c r="A712" s="390"/>
      <c r="B712" s="315"/>
      <c r="C712" s="313"/>
      <c r="D712" s="313"/>
      <c r="E712" s="313"/>
      <c r="F712" s="313"/>
      <c r="G712" s="313"/>
      <c r="H712" s="313"/>
      <c r="I712" s="313"/>
      <c r="J712" s="313"/>
      <c r="K712" s="313"/>
      <c r="L712" s="313"/>
      <c r="M712" s="313"/>
      <c r="N712" s="313"/>
      <c r="O712" s="313"/>
      <c r="P712" s="313"/>
    </row>
    <row r="713" spans="1:17">
      <c r="A713" s="390"/>
      <c r="B713" s="315"/>
      <c r="C713" s="313"/>
      <c r="D713" s="313"/>
      <c r="E713" s="313"/>
      <c r="F713" s="313"/>
      <c r="G713" s="313"/>
      <c r="H713" s="313"/>
      <c r="I713" s="313"/>
      <c r="J713" s="313"/>
      <c r="K713" s="313"/>
      <c r="L713" s="313"/>
      <c r="M713" s="313"/>
      <c r="N713" s="313"/>
      <c r="O713" s="313"/>
      <c r="P713" s="313"/>
    </row>
    <row r="714" spans="1:17">
      <c r="A714" s="390"/>
      <c r="B714" s="315"/>
      <c r="C714" s="313"/>
      <c r="D714" s="313"/>
      <c r="E714" s="313"/>
      <c r="F714" s="313"/>
      <c r="G714" s="313"/>
      <c r="H714" s="313"/>
      <c r="I714" s="313"/>
      <c r="J714" s="313"/>
      <c r="K714" s="313"/>
      <c r="L714" s="313"/>
      <c r="M714" s="313"/>
      <c r="N714" s="313"/>
      <c r="O714" s="313"/>
      <c r="P714" s="313"/>
    </row>
    <row r="715" spans="1:17">
      <c r="A715" s="390"/>
      <c r="B715" s="315"/>
      <c r="C715" s="313"/>
      <c r="D715" s="313"/>
      <c r="E715" s="313"/>
      <c r="F715" s="313"/>
      <c r="G715" s="313"/>
      <c r="H715" s="313"/>
      <c r="I715" s="313"/>
      <c r="J715" s="313"/>
      <c r="K715" s="313"/>
      <c r="L715" s="313"/>
      <c r="M715" s="313"/>
      <c r="N715" s="313"/>
      <c r="O715" s="313"/>
      <c r="P715" s="313"/>
    </row>
    <row r="716" spans="1:17">
      <c r="A716" s="390"/>
      <c r="B716" s="315"/>
      <c r="C716" s="313"/>
      <c r="D716" s="313"/>
      <c r="E716" s="313"/>
      <c r="F716" s="313"/>
      <c r="G716" s="313"/>
      <c r="H716" s="313"/>
      <c r="I716" s="313"/>
      <c r="J716" s="313"/>
      <c r="K716" s="313"/>
      <c r="L716" s="313"/>
      <c r="M716" s="313"/>
      <c r="N716" s="313"/>
      <c r="O716" s="313"/>
      <c r="P716" s="313"/>
    </row>
    <row r="717" spans="1:17">
      <c r="A717" s="390"/>
      <c r="B717" s="374"/>
      <c r="C717" s="374"/>
      <c r="D717" s="374"/>
      <c r="E717" s="374"/>
      <c r="F717" s="374"/>
      <c r="G717" s="374"/>
      <c r="H717" s="374"/>
      <c r="I717" s="374"/>
      <c r="J717" s="374"/>
      <c r="K717" s="374"/>
      <c r="L717" s="374"/>
      <c r="M717" s="374"/>
      <c r="N717" s="374"/>
      <c r="O717" s="374"/>
      <c r="P717" s="374"/>
    </row>
    <row r="718" spans="1:17">
      <c r="A718" s="390"/>
      <c r="B718" s="374"/>
      <c r="C718" s="374"/>
      <c r="D718" s="374"/>
      <c r="E718" s="374"/>
      <c r="F718" s="374"/>
      <c r="G718" s="374"/>
      <c r="H718" s="374"/>
      <c r="I718" s="374"/>
      <c r="J718" s="374"/>
      <c r="K718" s="374"/>
      <c r="L718" s="374"/>
      <c r="M718" s="374"/>
      <c r="N718" s="374"/>
      <c r="O718" s="374"/>
      <c r="P718" s="374"/>
    </row>
    <row r="719" spans="1:17">
      <c r="A719" s="390"/>
      <c r="B719" s="374"/>
      <c r="C719" s="388"/>
      <c r="D719" s="374"/>
      <c r="E719" s="374"/>
      <c r="F719" s="374"/>
      <c r="G719" s="374"/>
      <c r="H719" s="374"/>
      <c r="I719" s="374"/>
      <c r="J719" s="374"/>
      <c r="K719" s="374"/>
      <c r="L719" s="374"/>
      <c r="M719" s="374"/>
      <c r="N719" s="374"/>
      <c r="O719" s="374"/>
      <c r="P719" s="374"/>
    </row>
    <row r="720" spans="1:17">
      <c r="A720" s="390"/>
      <c r="B720" s="34"/>
      <c r="C720" s="363"/>
      <c r="D720" s="363"/>
      <c r="E720" s="363"/>
      <c r="F720" s="363"/>
      <c r="G720" s="363"/>
      <c r="H720" s="363"/>
      <c r="I720" s="363"/>
      <c r="J720" s="363"/>
      <c r="K720" s="363"/>
      <c r="L720" s="363"/>
      <c r="M720" s="363"/>
      <c r="N720" s="363"/>
      <c r="O720" s="363"/>
      <c r="P720" s="33"/>
    </row>
    <row r="721" spans="1:16">
      <c r="A721" s="390"/>
      <c r="B721" s="34"/>
      <c r="C721" s="363"/>
      <c r="D721" s="363"/>
      <c r="E721" s="363"/>
      <c r="F721" s="363"/>
      <c r="G721" s="363"/>
      <c r="H721" s="363"/>
      <c r="I721" s="363"/>
      <c r="J721" s="363"/>
      <c r="K721" s="363"/>
      <c r="L721" s="363"/>
      <c r="M721" s="363"/>
      <c r="N721" s="363"/>
      <c r="O721" s="363"/>
      <c r="P721" s="36"/>
    </row>
    <row r="722" spans="1:16">
      <c r="A722" s="390"/>
      <c r="B722" s="34"/>
      <c r="C722" s="363"/>
      <c r="D722" s="363"/>
      <c r="E722" s="363"/>
      <c r="F722" s="363"/>
      <c r="G722" s="363"/>
      <c r="H722" s="363"/>
      <c r="I722" s="363"/>
      <c r="J722" s="363"/>
      <c r="K722" s="363"/>
      <c r="L722" s="363"/>
      <c r="M722" s="363"/>
      <c r="N722" s="363"/>
      <c r="O722" s="363"/>
      <c r="P722" s="36"/>
    </row>
    <row r="723" spans="1:16">
      <c r="A723" s="390"/>
      <c r="B723" s="34"/>
      <c r="C723" s="363"/>
      <c r="D723" s="363"/>
      <c r="E723" s="363"/>
      <c r="F723" s="363"/>
      <c r="G723" s="363"/>
      <c r="H723" s="363"/>
      <c r="I723" s="363"/>
      <c r="J723" s="363"/>
      <c r="K723" s="363"/>
      <c r="L723" s="363"/>
      <c r="M723" s="363"/>
      <c r="N723" s="363"/>
      <c r="O723" s="363"/>
      <c r="P723" s="36"/>
    </row>
    <row r="724" spans="1:16">
      <c r="A724" s="390"/>
      <c r="B724" s="34"/>
      <c r="C724" s="363"/>
      <c r="D724" s="363"/>
      <c r="E724" s="363"/>
      <c r="F724" s="363"/>
      <c r="G724" s="363"/>
      <c r="H724" s="363"/>
      <c r="I724" s="363"/>
      <c r="J724" s="363"/>
      <c r="K724" s="363"/>
      <c r="L724" s="363"/>
      <c r="M724" s="363"/>
      <c r="N724" s="363"/>
      <c r="O724" s="363"/>
      <c r="P724" s="36"/>
    </row>
    <row r="725" spans="1:16">
      <c r="A725" s="390"/>
      <c r="B725" s="34"/>
      <c r="C725" s="300"/>
      <c r="D725" s="300"/>
      <c r="E725" s="300"/>
      <c r="F725" s="300"/>
      <c r="G725" s="300"/>
      <c r="H725" s="300"/>
      <c r="I725" s="300"/>
      <c r="J725" s="300"/>
      <c r="K725" s="300"/>
      <c r="L725" s="300"/>
      <c r="M725" s="300"/>
      <c r="N725" s="300"/>
      <c r="O725" s="300"/>
      <c r="P725" s="63"/>
    </row>
    <row r="726" spans="1:16">
      <c r="A726" s="390"/>
      <c r="B726" s="73"/>
      <c r="C726" s="19"/>
      <c r="D726" s="19"/>
      <c r="E726" s="19"/>
      <c r="F726" s="19"/>
      <c r="G726" s="19"/>
      <c r="H726" s="19"/>
      <c r="I726" s="19"/>
      <c r="J726" s="19" t="s">
        <v>38</v>
      </c>
      <c r="K726" s="19"/>
      <c r="L726" s="19"/>
      <c r="M726" s="19"/>
      <c r="N726" s="19"/>
      <c r="O726" s="19"/>
      <c r="P726" s="74"/>
    </row>
    <row r="727" spans="1:16">
      <c r="A727" s="390"/>
      <c r="B727" s="390"/>
      <c r="C727" s="390"/>
      <c r="D727" s="390"/>
      <c r="E727" s="390"/>
      <c r="F727" s="390"/>
      <c r="G727" s="390"/>
      <c r="H727" s="390"/>
      <c r="I727" s="390"/>
      <c r="J727" s="390"/>
      <c r="K727" s="390"/>
      <c r="L727" s="390"/>
      <c r="M727" s="390"/>
      <c r="N727" s="390"/>
      <c r="O727" s="390"/>
      <c r="P727" s="390"/>
    </row>
    <row r="728" spans="1:16">
      <c r="A728" s="390"/>
      <c r="B728" s="390"/>
      <c r="C728" s="390"/>
      <c r="D728" s="390"/>
      <c r="E728" s="390"/>
      <c r="F728" s="390"/>
      <c r="G728" s="390"/>
      <c r="H728" s="390"/>
      <c r="I728" s="390"/>
      <c r="J728" s="390"/>
      <c r="K728" s="390"/>
      <c r="L728" s="390"/>
      <c r="M728" s="390"/>
      <c r="N728" s="390"/>
      <c r="O728" s="390"/>
      <c r="P728" s="390"/>
    </row>
    <row r="729" spans="1:16">
      <c r="A729" s="390"/>
      <c r="B729" s="390"/>
      <c r="C729" s="390"/>
      <c r="D729" s="390"/>
      <c r="E729" s="390"/>
      <c r="F729" s="390"/>
      <c r="G729" s="390"/>
      <c r="H729" s="390"/>
      <c r="I729" s="390"/>
      <c r="J729" s="390"/>
      <c r="K729" s="390"/>
      <c r="L729" s="390"/>
      <c r="M729" s="390"/>
      <c r="N729" s="390"/>
      <c r="O729" s="390"/>
      <c r="P729" s="390"/>
    </row>
    <row r="730" spans="1:16">
      <c r="A730" s="390"/>
      <c r="B730" s="390"/>
      <c r="C730" s="390"/>
      <c r="D730" s="390"/>
      <c r="E730" s="390"/>
      <c r="F730" s="390"/>
      <c r="G730" s="390"/>
      <c r="H730" s="390"/>
      <c r="I730" s="390"/>
      <c r="J730" s="390"/>
      <c r="K730" s="390"/>
      <c r="L730" s="390"/>
      <c r="M730" s="390"/>
      <c r="N730" s="390"/>
      <c r="O730" s="390"/>
      <c r="P730" s="390"/>
    </row>
    <row r="731" spans="1:16">
      <c r="A731" s="390"/>
      <c r="B731" s="390"/>
      <c r="C731" s="390"/>
      <c r="D731" s="390"/>
      <c r="E731" s="390"/>
      <c r="F731" s="390"/>
      <c r="G731" s="390"/>
      <c r="H731" s="390"/>
      <c r="I731" s="390"/>
      <c r="J731" s="390"/>
      <c r="K731" s="390"/>
      <c r="L731" s="390"/>
      <c r="M731" s="390"/>
      <c r="N731" s="390"/>
      <c r="O731" s="390"/>
      <c r="P731" s="390"/>
    </row>
    <row r="732" spans="1:16">
      <c r="A732" s="390"/>
      <c r="B732" s="390"/>
      <c r="C732" s="390"/>
      <c r="D732" s="390"/>
      <c r="E732" s="390"/>
      <c r="F732" s="390"/>
      <c r="G732" s="390"/>
      <c r="H732" s="390"/>
      <c r="I732" s="390"/>
      <c r="J732" s="390"/>
      <c r="K732" s="390"/>
      <c r="L732" s="390"/>
      <c r="M732" s="390"/>
      <c r="N732" s="390"/>
      <c r="O732" s="390"/>
      <c r="P732" s="390"/>
    </row>
    <row r="733" spans="1:16">
      <c r="A733" s="390"/>
      <c r="B733" s="390"/>
      <c r="C733" s="390"/>
      <c r="D733" s="390"/>
      <c r="E733" s="390"/>
      <c r="F733" s="390"/>
      <c r="G733" s="390"/>
      <c r="H733" s="390"/>
      <c r="I733" s="390"/>
      <c r="J733" s="390"/>
      <c r="K733" s="390"/>
      <c r="L733" s="390"/>
      <c r="M733" s="390"/>
      <c r="N733" s="390"/>
      <c r="O733" s="390"/>
      <c r="P733" s="390"/>
    </row>
    <row r="734" spans="1:16" ht="15.75" thickBot="1">
      <c r="A734" s="390"/>
      <c r="B734" s="390"/>
      <c r="C734" s="390"/>
      <c r="D734" s="390"/>
      <c r="E734" s="390"/>
      <c r="F734" s="390"/>
      <c r="G734" s="390"/>
      <c r="H734" s="390"/>
      <c r="I734" s="390"/>
      <c r="J734" s="390"/>
      <c r="K734" s="390"/>
      <c r="L734" s="390"/>
      <c r="M734" s="390"/>
      <c r="N734" s="390"/>
      <c r="O734" s="390"/>
      <c r="P734" s="390"/>
    </row>
    <row r="735" spans="1:16">
      <c r="A735" s="390"/>
      <c r="B735" s="1180" t="s">
        <v>727</v>
      </c>
      <c r="C735" s="1180"/>
      <c r="D735" s="1180"/>
      <c r="E735" s="1180"/>
      <c r="F735" s="1180"/>
      <c r="G735" s="1180"/>
      <c r="H735" s="1180"/>
      <c r="I735" s="1180"/>
      <c r="J735" s="1180"/>
      <c r="K735" s="1180"/>
      <c r="L735" s="1180"/>
      <c r="M735" s="1180"/>
      <c r="N735" s="1180"/>
      <c r="O735" s="1180"/>
      <c r="P735" s="1181"/>
    </row>
    <row r="736" spans="1:16">
      <c r="A736" s="390"/>
      <c r="B736" s="1182"/>
      <c r="C736" s="1182"/>
      <c r="D736" s="1182"/>
      <c r="E736" s="1182"/>
      <c r="F736" s="1182"/>
      <c r="G736" s="1182"/>
      <c r="H736" s="1182"/>
      <c r="I736" s="1182"/>
      <c r="J736" s="1182"/>
      <c r="K736" s="1182"/>
      <c r="L736" s="1182"/>
      <c r="M736" s="1182"/>
      <c r="N736" s="1182"/>
      <c r="O736" s="1182"/>
      <c r="P736" s="1183"/>
    </row>
    <row r="737" spans="1:16">
      <c r="A737" s="390"/>
      <c r="B737" s="1184" t="s">
        <v>728</v>
      </c>
      <c r="C737" s="1184"/>
      <c r="D737" s="1184"/>
      <c r="E737" s="1184"/>
      <c r="F737" s="1184"/>
      <c r="G737" s="1184"/>
      <c r="H737" s="1184"/>
      <c r="I737" s="1184"/>
      <c r="J737" s="1184"/>
      <c r="K737" s="1184"/>
      <c r="L737" s="1184"/>
      <c r="M737" s="1184"/>
      <c r="N737" s="1184"/>
      <c r="O737" s="1184"/>
      <c r="P737" s="1185"/>
    </row>
    <row r="738" spans="1:16">
      <c r="A738" s="390"/>
      <c r="B738" s="31" t="s">
        <v>199</v>
      </c>
      <c r="C738" s="32"/>
      <c r="D738" s="609" t="s">
        <v>425</v>
      </c>
      <c r="E738" s="300"/>
      <c r="F738" s="33"/>
      <c r="G738" s="32"/>
      <c r="H738" s="32"/>
      <c r="I738" s="40" t="s">
        <v>145</v>
      </c>
      <c r="J738" s="75"/>
      <c r="K738" s="75"/>
      <c r="L738" s="75"/>
      <c r="M738" s="75"/>
      <c r="N738" s="75"/>
      <c r="O738" s="75"/>
      <c r="P738" s="369"/>
    </row>
    <row r="739" spans="1:16" ht="15.75">
      <c r="A739" s="390"/>
      <c r="B739" s="34"/>
      <c r="C739" s="363" t="s">
        <v>426</v>
      </c>
      <c r="D739" s="363"/>
      <c r="E739" s="36"/>
      <c r="F739" s="76"/>
      <c r="G739" s="370"/>
      <c r="H739" s="300"/>
      <c r="I739" s="382" t="str">
        <f>'04-22-Master'!B33</f>
        <v xml:space="preserve">Ravi Gande </v>
      </c>
      <c r="J739" s="370"/>
      <c r="K739" s="370"/>
      <c r="L739" s="370"/>
      <c r="M739" s="370"/>
      <c r="N739" s="370"/>
      <c r="O739" s="370"/>
      <c r="P739" s="371"/>
    </row>
    <row r="740" spans="1:16">
      <c r="A740" s="390"/>
      <c r="B740" s="37"/>
      <c r="C740" s="38"/>
      <c r="D740" s="38"/>
      <c r="E740" s="39"/>
      <c r="F740" s="77"/>
      <c r="G740" s="78"/>
      <c r="H740" s="78"/>
      <c r="I740" s="78"/>
      <c r="J740" s="78"/>
      <c r="K740" s="78"/>
      <c r="L740" s="78"/>
      <c r="M740" s="78"/>
      <c r="N740" s="78"/>
      <c r="O740" s="78"/>
      <c r="P740" s="372"/>
    </row>
    <row r="741" spans="1:16">
      <c r="A741" s="390"/>
      <c r="B741" s="1186"/>
      <c r="C741" s="1186"/>
      <c r="D741" s="1186"/>
      <c r="E741" s="1186"/>
      <c r="F741" s="40"/>
      <c r="G741" s="32"/>
      <c r="H741" s="32"/>
      <c r="I741" s="32"/>
      <c r="J741" s="32"/>
      <c r="K741" s="32"/>
      <c r="L741" s="32"/>
      <c r="M741" s="32"/>
      <c r="N741" s="32"/>
      <c r="O741" s="32"/>
      <c r="P741" s="33"/>
    </row>
    <row r="742" spans="1:16">
      <c r="A742" s="390"/>
      <c r="B742" s="1186"/>
      <c r="C742" s="1186"/>
      <c r="D742" s="1186"/>
      <c r="E742" s="1186"/>
      <c r="F742" s="300"/>
      <c r="G742" s="363"/>
      <c r="H742" s="152"/>
      <c r="I742" s="300" t="s">
        <v>147</v>
      </c>
      <c r="J742" s="373"/>
      <c r="K742" s="373"/>
      <c r="L742" s="363"/>
      <c r="M742" s="363"/>
      <c r="N742" s="363"/>
      <c r="O742" s="363"/>
      <c r="P742" s="36"/>
    </row>
    <row r="743" spans="1:16">
      <c r="A743" s="390"/>
      <c r="B743" s="1186"/>
      <c r="C743" s="1186"/>
      <c r="D743" s="1186"/>
      <c r="E743" s="1186"/>
      <c r="F743" s="34"/>
      <c r="G743" s="363"/>
      <c r="H743" s="363"/>
      <c r="I743" s="363" t="str">
        <f>'04-22-Master'!E33</f>
        <v>Narsimhulu</v>
      </c>
      <c r="J743" s="363"/>
      <c r="K743" s="363"/>
      <c r="L743" s="363"/>
      <c r="M743" s="363"/>
      <c r="N743" s="363"/>
      <c r="O743" s="363"/>
      <c r="P743" s="36"/>
    </row>
    <row r="744" spans="1:16">
      <c r="A744" s="390"/>
      <c r="B744" s="1186"/>
      <c r="C744" s="1186"/>
      <c r="D744" s="1186"/>
      <c r="E744" s="1186"/>
      <c r="F744" s="300"/>
      <c r="G744" s="38"/>
      <c r="H744" s="112"/>
      <c r="I744" s="300" t="s">
        <v>148</v>
      </c>
      <c r="J744" s="38"/>
      <c r="K744" s="38"/>
      <c r="L744" s="112">
        <f>'04-22-Master'!I33</f>
        <v>44648</v>
      </c>
      <c r="M744" s="38"/>
      <c r="N744" s="38"/>
      <c r="O744" s="38"/>
      <c r="P744" s="39"/>
    </row>
    <row r="745" spans="1:16">
      <c r="A745" s="390"/>
      <c r="B745" s="1187" t="e">
        <f>#REF!</f>
        <v>#REF!</v>
      </c>
      <c r="C745" s="1189" t="s">
        <v>431</v>
      </c>
      <c r="D745" s="1190"/>
      <c r="E745" s="1189" t="s">
        <v>432</v>
      </c>
      <c r="F745" s="1190"/>
      <c r="G745" s="1193" t="s">
        <v>433</v>
      </c>
      <c r="H745" s="1189" t="s">
        <v>434</v>
      </c>
      <c r="I745" s="1194"/>
      <c r="J745" s="1195" t="s">
        <v>435</v>
      </c>
      <c r="K745" s="1194"/>
      <c r="L745" s="1196"/>
      <c r="M745" s="1195" t="s">
        <v>436</v>
      </c>
      <c r="N745" s="1194"/>
      <c r="O745" s="1194"/>
      <c r="P745" s="1200" t="s">
        <v>437</v>
      </c>
    </row>
    <row r="746" spans="1:16" ht="15.75" thickBot="1">
      <c r="A746" s="390"/>
      <c r="B746" s="1188"/>
      <c r="C746" s="1189"/>
      <c r="D746" s="1190"/>
      <c r="E746" s="1189"/>
      <c r="F746" s="1190"/>
      <c r="G746" s="1187"/>
      <c r="H746" s="1189"/>
      <c r="I746" s="1194"/>
      <c r="J746" s="1197"/>
      <c r="K746" s="1198"/>
      <c r="L746" s="1199"/>
      <c r="M746" s="1197"/>
      <c r="N746" s="1198"/>
      <c r="O746" s="1198"/>
      <c r="P746" s="1201"/>
    </row>
    <row r="747" spans="1:16">
      <c r="A747" s="390"/>
      <c r="B747" s="352">
        <v>1</v>
      </c>
      <c r="C747" s="1191"/>
      <c r="D747" s="1192"/>
      <c r="E747" s="1191"/>
      <c r="F747" s="1192"/>
      <c r="G747" s="352">
        <v>6</v>
      </c>
      <c r="H747" s="1191"/>
      <c r="I747" s="1192"/>
      <c r="J747" s="311">
        <v>9</v>
      </c>
      <c r="K747" s="311"/>
      <c r="L747" s="311"/>
      <c r="M747" s="311">
        <v>9</v>
      </c>
      <c r="N747" s="311"/>
      <c r="O747" s="311"/>
      <c r="P747" s="312" t="s">
        <v>438</v>
      </c>
    </row>
    <row r="748" spans="1:16" ht="89.25">
      <c r="A748" s="390"/>
      <c r="B748" s="313"/>
      <c r="C748" s="313" t="s">
        <v>439</v>
      </c>
      <c r="D748" s="313" t="s">
        <v>440</v>
      </c>
      <c r="E748" s="313" t="s">
        <v>441</v>
      </c>
      <c r="F748" s="313" t="s">
        <v>150</v>
      </c>
      <c r="G748" s="313"/>
      <c r="H748" s="313" t="s">
        <v>442</v>
      </c>
      <c r="I748" s="313" t="s">
        <v>443</v>
      </c>
      <c r="J748" s="313" t="s">
        <v>149</v>
      </c>
      <c r="K748" s="313" t="s">
        <v>444</v>
      </c>
      <c r="L748" s="313" t="s">
        <v>445</v>
      </c>
      <c r="M748" s="313" t="s">
        <v>446</v>
      </c>
      <c r="N748" s="313" t="s">
        <v>447</v>
      </c>
      <c r="O748" s="314" t="s">
        <v>448</v>
      </c>
      <c r="P748" s="314"/>
    </row>
    <row r="749" spans="1:16">
      <c r="A749" s="390"/>
      <c r="B749" s="315"/>
      <c r="C749" s="313"/>
      <c r="D749" s="313"/>
      <c r="E749" s="316"/>
      <c r="F749" s="316"/>
      <c r="G749" s="313"/>
      <c r="H749" s="313"/>
      <c r="I749" s="313"/>
      <c r="J749" s="313"/>
      <c r="K749" s="313"/>
      <c r="L749" s="313"/>
      <c r="M749" s="313"/>
      <c r="N749" s="313"/>
      <c r="O749" s="313"/>
      <c r="P749" s="313"/>
    </row>
    <row r="750" spans="1:16">
      <c r="A750" s="390"/>
      <c r="B750" s="600"/>
      <c r="C750" s="374"/>
      <c r="D750" s="374"/>
      <c r="E750" s="503"/>
      <c r="F750" s="503"/>
      <c r="G750" s="313"/>
      <c r="H750" s="374"/>
      <c r="I750" s="374"/>
      <c r="J750" s="313"/>
      <c r="K750" s="313"/>
      <c r="L750" s="313"/>
      <c r="M750" s="374"/>
      <c r="N750" s="374"/>
      <c r="O750" s="374"/>
      <c r="P750" s="374"/>
    </row>
    <row r="751" spans="1:16">
      <c r="A751" s="390"/>
      <c r="B751" s="600"/>
      <c r="C751" s="374"/>
      <c r="D751" s="374"/>
      <c r="E751" s="374"/>
      <c r="F751" s="374"/>
      <c r="G751" s="313"/>
      <c r="H751" s="374"/>
      <c r="I751" s="374"/>
      <c r="J751" s="313"/>
      <c r="K751" s="313"/>
      <c r="L751" s="313"/>
      <c r="M751" s="374"/>
      <c r="N751" s="374"/>
      <c r="O751" s="374"/>
      <c r="P751" s="374"/>
    </row>
    <row r="752" spans="1:16" s="855" customFormat="1">
      <c r="B752" s="315" t="s">
        <v>1099</v>
      </c>
      <c r="C752" s="313">
        <v>0</v>
      </c>
      <c r="D752" s="313">
        <v>0</v>
      </c>
      <c r="E752" s="313">
        <v>0</v>
      </c>
      <c r="F752" s="313">
        <v>0</v>
      </c>
      <c r="G752" s="313">
        <v>0</v>
      </c>
      <c r="H752" s="313"/>
      <c r="I752" s="313"/>
      <c r="J752" s="313" t="s">
        <v>718</v>
      </c>
      <c r="K752" s="313" t="s">
        <v>152</v>
      </c>
      <c r="L752" s="313" t="s">
        <v>152</v>
      </c>
      <c r="M752" s="313"/>
      <c r="N752" s="852"/>
      <c r="O752" s="313"/>
      <c r="P752" s="313"/>
    </row>
    <row r="753" spans="1:17" s="855" customFormat="1">
      <c r="B753" s="375" t="s">
        <v>1139</v>
      </c>
      <c r="C753" s="313">
        <v>1.5</v>
      </c>
      <c r="D753" s="313">
        <v>0</v>
      </c>
      <c r="E753" s="313">
        <v>0</v>
      </c>
      <c r="F753" s="313">
        <v>0</v>
      </c>
      <c r="G753" s="313">
        <f>G752+C753-D753</f>
        <v>1.5</v>
      </c>
      <c r="H753" s="313"/>
      <c r="I753" s="313"/>
      <c r="J753" s="313" t="s">
        <v>152</v>
      </c>
      <c r="K753" s="313" t="s">
        <v>152</v>
      </c>
      <c r="L753" s="313" t="s">
        <v>152</v>
      </c>
      <c r="M753" s="313"/>
      <c r="N753" s="313"/>
      <c r="O753" s="313"/>
      <c r="P753" s="313"/>
      <c r="Q753" s="855">
        <v>18</v>
      </c>
    </row>
    <row r="754" spans="1:17">
      <c r="A754" s="390"/>
      <c r="B754" s="601"/>
      <c r="C754" s="294"/>
      <c r="D754" s="294"/>
      <c r="E754" s="294"/>
      <c r="F754" s="294"/>
      <c r="G754" s="313"/>
      <c r="H754" s="294"/>
      <c r="I754" s="294"/>
      <c r="J754" s="313"/>
      <c r="K754" s="313"/>
      <c r="L754" s="313"/>
      <c r="M754" s="313"/>
      <c r="N754" s="313"/>
      <c r="O754" s="313"/>
      <c r="P754" s="313"/>
    </row>
    <row r="755" spans="1:17">
      <c r="A755" s="390"/>
      <c r="B755" s="315"/>
      <c r="C755" s="307"/>
      <c r="D755" s="313"/>
      <c r="E755" s="313"/>
      <c r="F755" s="313"/>
      <c r="G755" s="313"/>
      <c r="H755" s="313"/>
      <c r="I755" s="313"/>
      <c r="J755" s="313"/>
      <c r="K755" s="313"/>
      <c r="L755" s="313"/>
      <c r="M755" s="313"/>
      <c r="N755" s="313"/>
      <c r="O755" s="313"/>
      <c r="P755" s="313"/>
    </row>
    <row r="756" spans="1:17">
      <c r="A756" s="390"/>
      <c r="B756" s="315"/>
      <c r="C756" s="313"/>
      <c r="D756" s="313"/>
      <c r="E756" s="313"/>
      <c r="F756" s="313"/>
      <c r="G756" s="313"/>
      <c r="H756" s="313"/>
      <c r="I756" s="313"/>
      <c r="J756" s="313"/>
      <c r="K756" s="313"/>
      <c r="L756" s="313"/>
      <c r="M756" s="313"/>
      <c r="N756" s="313"/>
      <c r="O756" s="313"/>
      <c r="P756" s="313"/>
    </row>
    <row r="757" spans="1:17">
      <c r="A757" s="390"/>
      <c r="B757" s="315"/>
      <c r="C757" s="313"/>
      <c r="D757" s="313"/>
      <c r="E757" s="313"/>
      <c r="F757" s="313"/>
      <c r="G757" s="313"/>
      <c r="H757" s="313"/>
      <c r="I757" s="313"/>
      <c r="J757" s="313"/>
      <c r="K757" s="313"/>
      <c r="L757" s="313"/>
      <c r="M757" s="313"/>
      <c r="N757" s="313"/>
      <c r="O757" s="313"/>
      <c r="P757" s="313"/>
    </row>
    <row r="758" spans="1:17">
      <c r="A758" s="390"/>
      <c r="B758" s="315"/>
      <c r="C758" s="313"/>
      <c r="D758" s="313"/>
      <c r="E758" s="313"/>
      <c r="F758" s="313"/>
      <c r="G758" s="313"/>
      <c r="H758" s="313"/>
      <c r="I758" s="313"/>
      <c r="J758" s="313"/>
      <c r="K758" s="313"/>
      <c r="L758" s="313"/>
      <c r="M758" s="313"/>
      <c r="N758" s="313"/>
      <c r="O758" s="313"/>
      <c r="P758" s="313"/>
    </row>
    <row r="759" spans="1:17">
      <c r="A759" s="390"/>
      <c r="B759" s="315"/>
      <c r="C759" s="313"/>
      <c r="D759" s="313"/>
      <c r="E759" s="313"/>
      <c r="F759" s="313"/>
      <c r="G759" s="313"/>
      <c r="H759" s="313"/>
      <c r="I759" s="313"/>
      <c r="J759" s="313"/>
      <c r="K759" s="313"/>
      <c r="L759" s="313"/>
      <c r="M759" s="313"/>
      <c r="N759" s="313"/>
      <c r="O759" s="313"/>
      <c r="P759" s="313"/>
    </row>
    <row r="760" spans="1:17">
      <c r="A760" s="390"/>
      <c r="B760" s="315"/>
      <c r="C760" s="313"/>
      <c r="D760" s="313"/>
      <c r="E760" s="313"/>
      <c r="F760" s="313"/>
      <c r="G760" s="313"/>
      <c r="H760" s="313"/>
      <c r="I760" s="313"/>
      <c r="J760" s="313"/>
      <c r="K760" s="313"/>
      <c r="L760" s="313"/>
      <c r="M760" s="313"/>
      <c r="N760" s="313"/>
      <c r="O760" s="313"/>
      <c r="P760" s="313"/>
    </row>
    <row r="761" spans="1:17">
      <c r="A761" s="390"/>
      <c r="B761" s="315"/>
      <c r="C761" s="313"/>
      <c r="D761" s="313"/>
      <c r="E761" s="313"/>
      <c r="F761" s="313"/>
      <c r="G761" s="313"/>
      <c r="H761" s="313"/>
      <c r="I761" s="313"/>
      <c r="J761" s="313"/>
      <c r="K761" s="313"/>
      <c r="L761" s="313"/>
      <c r="M761" s="313"/>
      <c r="N761" s="313"/>
      <c r="O761" s="313"/>
      <c r="P761" s="313"/>
    </row>
    <row r="762" spans="1:17">
      <c r="A762" s="390"/>
      <c r="B762" s="374"/>
      <c r="C762" s="374"/>
      <c r="D762" s="374"/>
      <c r="E762" s="374"/>
      <c r="F762" s="374"/>
      <c r="G762" s="374"/>
      <c r="H762" s="374"/>
      <c r="I762" s="374"/>
      <c r="J762" s="374"/>
      <c r="K762" s="374"/>
      <c r="L762" s="374"/>
      <c r="M762" s="374"/>
      <c r="N762" s="374"/>
      <c r="O762" s="374"/>
      <c r="P762" s="374"/>
    </row>
    <row r="763" spans="1:17">
      <c r="A763" s="390"/>
      <c r="B763" s="374"/>
      <c r="C763" s="374"/>
      <c r="D763" s="374"/>
      <c r="E763" s="374"/>
      <c r="F763" s="374"/>
      <c r="G763" s="374"/>
      <c r="H763" s="374"/>
      <c r="I763" s="374"/>
      <c r="J763" s="374"/>
      <c r="K763" s="374"/>
      <c r="L763" s="374"/>
      <c r="M763" s="374"/>
      <c r="N763" s="374"/>
      <c r="O763" s="374"/>
      <c r="P763" s="374"/>
    </row>
    <row r="764" spans="1:17">
      <c r="A764" s="390"/>
      <c r="B764" s="374"/>
      <c r="C764" s="388"/>
      <c r="D764" s="374"/>
      <c r="E764" s="374"/>
      <c r="F764" s="374"/>
      <c r="G764" s="374"/>
      <c r="H764" s="374"/>
      <c r="I764" s="374"/>
      <c r="J764" s="374"/>
      <c r="K764" s="374"/>
      <c r="L764" s="374"/>
      <c r="M764" s="374"/>
      <c r="N764" s="374"/>
      <c r="O764" s="374"/>
      <c r="P764" s="374"/>
    </row>
    <row r="765" spans="1:17">
      <c r="A765" s="390"/>
      <c r="B765" s="34"/>
      <c r="C765" s="363"/>
      <c r="D765" s="363"/>
      <c r="E765" s="363"/>
      <c r="F765" s="363"/>
      <c r="G765" s="363"/>
      <c r="H765" s="363"/>
      <c r="I765" s="363"/>
      <c r="J765" s="363"/>
      <c r="K765" s="363"/>
      <c r="L765" s="363"/>
      <c r="M765" s="363"/>
      <c r="N765" s="363"/>
      <c r="O765" s="363"/>
      <c r="P765" s="33"/>
    </row>
    <row r="766" spans="1:17">
      <c r="A766" s="390"/>
      <c r="B766" s="34"/>
      <c r="C766" s="363"/>
      <c r="D766" s="363"/>
      <c r="E766" s="363"/>
      <c r="F766" s="363"/>
      <c r="G766" s="363"/>
      <c r="H766" s="363"/>
      <c r="I766" s="363"/>
      <c r="J766" s="363"/>
      <c r="K766" s="363"/>
      <c r="L766" s="363"/>
      <c r="M766" s="363"/>
      <c r="N766" s="363"/>
      <c r="O766" s="363"/>
      <c r="P766" s="36"/>
    </row>
    <row r="767" spans="1:17">
      <c r="A767" s="390"/>
      <c r="B767" s="34"/>
      <c r="C767" s="363"/>
      <c r="D767" s="363"/>
      <c r="E767" s="363"/>
      <c r="F767" s="363"/>
      <c r="G767" s="363"/>
      <c r="H767" s="363"/>
      <c r="I767" s="363"/>
      <c r="J767" s="363"/>
      <c r="K767" s="363"/>
      <c r="L767" s="363"/>
      <c r="M767" s="363"/>
      <c r="N767" s="363"/>
      <c r="O767" s="363"/>
      <c r="P767" s="36"/>
    </row>
    <row r="768" spans="1:17">
      <c r="A768" s="390"/>
      <c r="B768" s="34"/>
      <c r="C768" s="363"/>
      <c r="D768" s="363"/>
      <c r="E768" s="363"/>
      <c r="F768" s="363"/>
      <c r="G768" s="363"/>
      <c r="H768" s="363"/>
      <c r="I768" s="363"/>
      <c r="J768" s="363"/>
      <c r="K768" s="363"/>
      <c r="L768" s="363"/>
      <c r="M768" s="363"/>
      <c r="N768" s="363"/>
      <c r="O768" s="363"/>
      <c r="P768" s="36"/>
    </row>
    <row r="769" spans="1:16">
      <c r="A769" s="390"/>
      <c r="B769" s="34"/>
      <c r="C769" s="363"/>
      <c r="D769" s="363"/>
      <c r="E769" s="363"/>
      <c r="F769" s="363"/>
      <c r="G769" s="363"/>
      <c r="H769" s="363"/>
      <c r="I769" s="363"/>
      <c r="J769" s="363"/>
      <c r="K769" s="363"/>
      <c r="L769" s="363"/>
      <c r="M769" s="363"/>
      <c r="N769" s="363"/>
      <c r="O769" s="363"/>
      <c r="P769" s="36"/>
    </row>
    <row r="770" spans="1:16">
      <c r="A770" s="390"/>
      <c r="B770" s="34"/>
      <c r="C770" s="300"/>
      <c r="D770" s="300"/>
      <c r="E770" s="300"/>
      <c r="F770" s="300"/>
      <c r="G770" s="300"/>
      <c r="H770" s="300"/>
      <c r="I770" s="300"/>
      <c r="J770" s="300"/>
      <c r="K770" s="300"/>
      <c r="L770" s="300"/>
      <c r="M770" s="300"/>
      <c r="N770" s="300"/>
      <c r="O770" s="300"/>
      <c r="P770" s="63"/>
    </row>
    <row r="771" spans="1:16">
      <c r="A771" s="390"/>
      <c r="B771" s="73"/>
      <c r="C771" s="19"/>
      <c r="D771" s="19"/>
      <c r="E771" s="19"/>
      <c r="F771" s="19"/>
      <c r="G771" s="19"/>
      <c r="H771" s="19"/>
      <c r="I771" s="19"/>
      <c r="J771" s="19" t="s">
        <v>38</v>
      </c>
      <c r="K771" s="19"/>
      <c r="L771" s="19"/>
      <c r="M771" s="19"/>
      <c r="N771" s="19"/>
      <c r="O771" s="19"/>
      <c r="P771" s="74"/>
    </row>
    <row r="772" spans="1:16" s="1093" customFormat="1"/>
    <row r="773" spans="1:16" s="1093" customFormat="1"/>
    <row r="774" spans="1:16" s="1093" customFormat="1"/>
    <row r="775" spans="1:16" s="1093" customFormat="1" ht="15.75" thickBot="1"/>
    <row r="776" spans="1:16">
      <c r="A776" s="855"/>
      <c r="B776" s="1180" t="s">
        <v>727</v>
      </c>
      <c r="C776" s="1180"/>
      <c r="D776" s="1180"/>
      <c r="E776" s="1180"/>
      <c r="F776" s="1180"/>
      <c r="G776" s="1180"/>
      <c r="H776" s="1180"/>
      <c r="I776" s="1180"/>
      <c r="J776" s="1180"/>
      <c r="K776" s="1180"/>
      <c r="L776" s="1180"/>
      <c r="M776" s="1180"/>
      <c r="N776" s="1180"/>
      <c r="O776" s="1180"/>
      <c r="P776" s="1181"/>
    </row>
    <row r="777" spans="1:16">
      <c r="A777" s="855"/>
      <c r="B777" s="1182"/>
      <c r="C777" s="1182"/>
      <c r="D777" s="1182"/>
      <c r="E777" s="1182"/>
      <c r="F777" s="1182"/>
      <c r="G777" s="1182"/>
      <c r="H777" s="1182"/>
      <c r="I777" s="1182"/>
      <c r="J777" s="1182"/>
      <c r="K777" s="1182"/>
      <c r="L777" s="1182"/>
      <c r="M777" s="1182"/>
      <c r="N777" s="1182"/>
      <c r="O777" s="1182"/>
      <c r="P777" s="1183"/>
    </row>
    <row r="778" spans="1:16">
      <c r="A778" s="855"/>
      <c r="B778" s="1184" t="s">
        <v>728</v>
      </c>
      <c r="C778" s="1184"/>
      <c r="D778" s="1184"/>
      <c r="E778" s="1184"/>
      <c r="F778" s="1184"/>
      <c r="G778" s="1184"/>
      <c r="H778" s="1184"/>
      <c r="I778" s="1184"/>
      <c r="J778" s="1184"/>
      <c r="K778" s="1184"/>
      <c r="L778" s="1184"/>
      <c r="M778" s="1184"/>
      <c r="N778" s="1184"/>
      <c r="O778" s="1184"/>
      <c r="P778" s="1185"/>
    </row>
    <row r="779" spans="1:16">
      <c r="A779" s="855"/>
      <c r="B779" s="31" t="s">
        <v>199</v>
      </c>
      <c r="C779" s="32"/>
      <c r="D779" s="609" t="s">
        <v>425</v>
      </c>
      <c r="E779" s="300"/>
      <c r="F779" s="33"/>
      <c r="G779" s="32"/>
      <c r="H779" s="32"/>
      <c r="I779" s="40" t="s">
        <v>145</v>
      </c>
      <c r="J779" s="75"/>
      <c r="K779" s="75"/>
      <c r="L779" s="75"/>
      <c r="M779" s="75"/>
      <c r="N779" s="75"/>
      <c r="O779" s="75"/>
      <c r="P779" s="369"/>
    </row>
    <row r="780" spans="1:16" ht="15.75">
      <c r="A780" s="855"/>
      <c r="B780" s="34"/>
      <c r="C780" s="363" t="s">
        <v>426</v>
      </c>
      <c r="D780" s="363"/>
      <c r="E780" s="36"/>
      <c r="F780" s="76"/>
      <c r="G780" s="370"/>
      <c r="H780" s="300"/>
      <c r="I780" s="382" t="str">
        <f>'04-22-Master'!B34</f>
        <v xml:space="preserve">NarsiReddy Venna </v>
      </c>
      <c r="J780" s="370"/>
      <c r="K780" s="370"/>
      <c r="L780" s="370"/>
      <c r="M780" s="370"/>
      <c r="N780" s="370"/>
      <c r="O780" s="370"/>
      <c r="P780" s="371"/>
    </row>
    <row r="781" spans="1:16">
      <c r="A781" s="855"/>
      <c r="B781" s="37"/>
      <c r="C781" s="38"/>
      <c r="D781" s="38"/>
      <c r="E781" s="39"/>
      <c r="F781" s="77"/>
      <c r="G781" s="78"/>
      <c r="H781" s="78"/>
      <c r="I781" s="78"/>
      <c r="J781" s="78"/>
      <c r="K781" s="78"/>
      <c r="L781" s="78"/>
      <c r="M781" s="78"/>
      <c r="N781" s="78"/>
      <c r="O781" s="78"/>
      <c r="P781" s="372"/>
    </row>
    <row r="782" spans="1:16">
      <c r="A782" s="855"/>
      <c r="B782" s="1186"/>
      <c r="C782" s="1186"/>
      <c r="D782" s="1186"/>
      <c r="E782" s="1186"/>
      <c r="F782" s="40"/>
      <c r="G782" s="32"/>
      <c r="H782" s="32"/>
      <c r="I782" s="32"/>
      <c r="J782" s="32"/>
      <c r="K782" s="32"/>
      <c r="L782" s="32"/>
      <c r="M782" s="32"/>
      <c r="N782" s="32"/>
      <c r="O782" s="32"/>
      <c r="P782" s="33"/>
    </row>
    <row r="783" spans="1:16">
      <c r="A783" s="855"/>
      <c r="B783" s="1186"/>
      <c r="C783" s="1186"/>
      <c r="D783" s="1186"/>
      <c r="E783" s="1186"/>
      <c r="F783" s="300"/>
      <c r="G783" s="363"/>
      <c r="H783" s="152"/>
      <c r="I783" s="300" t="s">
        <v>147</v>
      </c>
      <c r="J783" s="373"/>
      <c r="K783" s="373"/>
      <c r="L783" s="363"/>
      <c r="M783" s="363"/>
      <c r="N783" s="363"/>
      <c r="O783" s="363"/>
      <c r="P783" s="36"/>
    </row>
    <row r="784" spans="1:16">
      <c r="A784" s="855"/>
      <c r="B784" s="1186"/>
      <c r="C784" s="1186"/>
      <c r="D784" s="1186"/>
      <c r="E784" s="1186"/>
      <c r="F784" s="34"/>
      <c r="G784" s="363"/>
      <c r="H784" s="363"/>
      <c r="I784" s="363" t="str">
        <f>'04-22-Master'!E34</f>
        <v>Krishna Reddy</v>
      </c>
      <c r="J784" s="363"/>
      <c r="K784" s="363"/>
      <c r="L784" s="363"/>
      <c r="M784" s="363"/>
      <c r="N784" s="363"/>
      <c r="O784" s="363"/>
      <c r="P784" s="36"/>
    </row>
    <row r="785" spans="1:17">
      <c r="A785" s="855"/>
      <c r="B785" s="1186"/>
      <c r="C785" s="1186"/>
      <c r="D785" s="1186"/>
      <c r="E785" s="1186"/>
      <c r="F785" s="300"/>
      <c r="G785" s="38"/>
      <c r="H785" s="112"/>
      <c r="I785" s="300" t="s">
        <v>148</v>
      </c>
      <c r="J785" s="38"/>
      <c r="K785" s="38"/>
      <c r="L785" s="112">
        <f>'04-22-Master'!I34</f>
        <v>44655</v>
      </c>
      <c r="M785" s="38"/>
      <c r="N785" s="38"/>
      <c r="O785" s="38"/>
      <c r="P785" s="39"/>
    </row>
    <row r="786" spans="1:17">
      <c r="A786" s="855"/>
      <c r="B786" s="1187" t="e">
        <f>#REF!</f>
        <v>#REF!</v>
      </c>
      <c r="C786" s="1189" t="s">
        <v>431</v>
      </c>
      <c r="D786" s="1190"/>
      <c r="E786" s="1189" t="s">
        <v>432</v>
      </c>
      <c r="F786" s="1190"/>
      <c r="G786" s="1193" t="s">
        <v>433</v>
      </c>
      <c r="H786" s="1189" t="s">
        <v>434</v>
      </c>
      <c r="I786" s="1194"/>
      <c r="J786" s="1195" t="s">
        <v>435</v>
      </c>
      <c r="K786" s="1194"/>
      <c r="L786" s="1196"/>
      <c r="M786" s="1195" t="s">
        <v>436</v>
      </c>
      <c r="N786" s="1194"/>
      <c r="O786" s="1194"/>
      <c r="P786" s="1200" t="s">
        <v>437</v>
      </c>
    </row>
    <row r="787" spans="1:17" ht="15.75" thickBot="1">
      <c r="A787" s="855"/>
      <c r="B787" s="1188"/>
      <c r="C787" s="1189"/>
      <c r="D787" s="1190"/>
      <c r="E787" s="1189"/>
      <c r="F787" s="1190"/>
      <c r="G787" s="1187"/>
      <c r="H787" s="1189"/>
      <c r="I787" s="1194"/>
      <c r="J787" s="1197"/>
      <c r="K787" s="1198"/>
      <c r="L787" s="1199"/>
      <c r="M787" s="1197"/>
      <c r="N787" s="1198"/>
      <c r="O787" s="1198"/>
      <c r="P787" s="1201"/>
    </row>
    <row r="788" spans="1:17">
      <c r="A788" s="855"/>
      <c r="B788" s="352">
        <v>1</v>
      </c>
      <c r="C788" s="1191"/>
      <c r="D788" s="1192"/>
      <c r="E788" s="1191"/>
      <c r="F788" s="1192"/>
      <c r="G788" s="352">
        <v>6</v>
      </c>
      <c r="H788" s="1191"/>
      <c r="I788" s="1192"/>
      <c r="J788" s="311">
        <v>9</v>
      </c>
      <c r="K788" s="311"/>
      <c r="L788" s="311"/>
      <c r="M788" s="311">
        <v>9</v>
      </c>
      <c r="N788" s="311"/>
      <c r="O788" s="311"/>
      <c r="P788" s="312" t="s">
        <v>438</v>
      </c>
    </row>
    <row r="789" spans="1:17" ht="89.25">
      <c r="A789" s="855"/>
      <c r="B789" s="313"/>
      <c r="C789" s="313" t="s">
        <v>439</v>
      </c>
      <c r="D789" s="313" t="s">
        <v>440</v>
      </c>
      <c r="E789" s="313" t="s">
        <v>441</v>
      </c>
      <c r="F789" s="313" t="s">
        <v>150</v>
      </c>
      <c r="G789" s="313"/>
      <c r="H789" s="313" t="s">
        <v>442</v>
      </c>
      <c r="I789" s="313" t="s">
        <v>443</v>
      </c>
      <c r="J789" s="313" t="s">
        <v>149</v>
      </c>
      <c r="K789" s="313" t="s">
        <v>444</v>
      </c>
      <c r="L789" s="313" t="s">
        <v>445</v>
      </c>
      <c r="M789" s="313" t="s">
        <v>446</v>
      </c>
      <c r="N789" s="313" t="s">
        <v>447</v>
      </c>
      <c r="O789" s="314" t="s">
        <v>448</v>
      </c>
      <c r="P789" s="314"/>
    </row>
    <row r="790" spans="1:17">
      <c r="A790" s="855"/>
      <c r="B790" s="315"/>
      <c r="C790" s="313"/>
      <c r="D790" s="313"/>
      <c r="E790" s="316"/>
      <c r="F790" s="316"/>
      <c r="G790" s="313"/>
      <c r="H790" s="313"/>
      <c r="I790" s="313"/>
      <c r="J790" s="313"/>
      <c r="K790" s="313"/>
      <c r="L790" s="313"/>
      <c r="M790" s="313"/>
      <c r="N790" s="313"/>
      <c r="O790" s="313"/>
      <c r="P790" s="313"/>
    </row>
    <row r="791" spans="1:17" s="855" customFormat="1">
      <c r="B791" s="375" t="s">
        <v>1139</v>
      </c>
      <c r="C791" s="313">
        <v>1.5</v>
      </c>
      <c r="D791" s="313">
        <v>0</v>
      </c>
      <c r="E791" s="313">
        <v>0</v>
      </c>
      <c r="F791" s="313">
        <v>0</v>
      </c>
      <c r="G791" s="313">
        <f>G790+C791-D791</f>
        <v>1.5</v>
      </c>
      <c r="H791" s="313"/>
      <c r="I791" s="313"/>
      <c r="J791" s="313" t="s">
        <v>152</v>
      </c>
      <c r="K791" s="313" t="s">
        <v>152</v>
      </c>
      <c r="L791" s="313" t="s">
        <v>152</v>
      </c>
      <c r="M791" s="313"/>
      <c r="N791" s="313"/>
      <c r="O791" s="313"/>
      <c r="P791" s="313"/>
      <c r="Q791" s="855">
        <v>19</v>
      </c>
    </row>
    <row r="792" spans="1:17">
      <c r="A792" s="855"/>
      <c r="B792" s="600"/>
      <c r="C792" s="374"/>
      <c r="D792" s="374"/>
      <c r="E792" s="374"/>
      <c r="F792" s="374"/>
      <c r="G792" s="313"/>
      <c r="H792" s="374"/>
      <c r="I792" s="374"/>
      <c r="J792" s="313"/>
      <c r="K792" s="313"/>
      <c r="L792" s="313"/>
      <c r="M792" s="374"/>
      <c r="N792" s="374"/>
      <c r="O792" s="374"/>
      <c r="P792" s="374"/>
    </row>
    <row r="793" spans="1:17">
      <c r="A793" s="855"/>
      <c r="B793" s="315"/>
      <c r="C793" s="313"/>
      <c r="D793" s="313"/>
      <c r="E793" s="521"/>
      <c r="F793" s="521"/>
      <c r="G793" s="313"/>
      <c r="H793" s="313"/>
      <c r="I793" s="313"/>
      <c r="J793" s="313"/>
      <c r="K793" s="313"/>
      <c r="L793" s="313"/>
      <c r="M793" s="313"/>
      <c r="N793" s="313"/>
      <c r="O793" s="855"/>
      <c r="P793" s="313"/>
    </row>
    <row r="794" spans="1:17">
      <c r="A794" s="855"/>
      <c r="B794" s="315"/>
      <c r="C794" s="313"/>
      <c r="D794" s="313"/>
      <c r="E794" s="316"/>
      <c r="F794" s="316"/>
      <c r="G794" s="313"/>
      <c r="H794" s="313"/>
      <c r="I794" s="313"/>
      <c r="J794" s="313"/>
      <c r="K794" s="313"/>
      <c r="L794" s="313"/>
      <c r="M794" s="313"/>
      <c r="N794" s="313"/>
      <c r="O794" s="313"/>
      <c r="P794" s="313"/>
    </row>
    <row r="795" spans="1:17">
      <c r="A795" s="855"/>
      <c r="B795" s="601"/>
      <c r="C795" s="857"/>
      <c r="D795" s="857"/>
      <c r="E795" s="857"/>
      <c r="F795" s="857"/>
      <c r="G795" s="313"/>
      <c r="H795" s="857"/>
      <c r="I795" s="857"/>
      <c r="J795" s="313"/>
      <c r="K795" s="313"/>
      <c r="L795" s="313"/>
      <c r="M795" s="313"/>
      <c r="N795" s="313"/>
      <c r="O795" s="313"/>
      <c r="P795" s="313"/>
    </row>
    <row r="796" spans="1:17">
      <c r="A796" s="855"/>
      <c r="B796" s="315"/>
      <c r="C796" s="307"/>
      <c r="D796" s="313"/>
      <c r="E796" s="313"/>
      <c r="F796" s="313"/>
      <c r="G796" s="313"/>
      <c r="H796" s="313"/>
      <c r="I796" s="313"/>
      <c r="J796" s="313"/>
      <c r="K796" s="313"/>
      <c r="L796" s="313"/>
      <c r="M796" s="313"/>
      <c r="N796" s="313"/>
      <c r="O796" s="313"/>
      <c r="P796" s="313"/>
    </row>
    <row r="797" spans="1:17">
      <c r="A797" s="855"/>
      <c r="B797" s="315"/>
      <c r="C797" s="313"/>
      <c r="D797" s="313"/>
      <c r="E797" s="313"/>
      <c r="F797" s="313"/>
      <c r="G797" s="313"/>
      <c r="H797" s="313"/>
      <c r="I797" s="313"/>
      <c r="J797" s="313"/>
      <c r="K797" s="313"/>
      <c r="L797" s="313"/>
      <c r="M797" s="313"/>
      <c r="N797" s="313"/>
      <c r="O797" s="313"/>
      <c r="P797" s="313"/>
    </row>
    <row r="798" spans="1:17">
      <c r="A798" s="855"/>
      <c r="B798" s="315"/>
      <c r="C798" s="313"/>
      <c r="D798" s="313"/>
      <c r="E798" s="313"/>
      <c r="F798" s="313"/>
      <c r="G798" s="313"/>
      <c r="H798" s="313"/>
      <c r="I798" s="313"/>
      <c r="J798" s="313"/>
      <c r="K798" s="313"/>
      <c r="L798" s="313"/>
      <c r="M798" s="313"/>
      <c r="N798" s="313"/>
      <c r="O798" s="313"/>
      <c r="P798" s="313"/>
    </row>
    <row r="799" spans="1:17">
      <c r="A799" s="855"/>
      <c r="B799" s="315"/>
      <c r="C799" s="313"/>
      <c r="D799" s="313"/>
      <c r="E799" s="313"/>
      <c r="F799" s="313"/>
      <c r="G799" s="313"/>
      <c r="H799" s="313"/>
      <c r="I799" s="313"/>
      <c r="J799" s="313"/>
      <c r="K799" s="313"/>
      <c r="L799" s="313"/>
      <c r="M799" s="313"/>
      <c r="N799" s="313"/>
      <c r="O799" s="313"/>
      <c r="P799" s="313"/>
    </row>
    <row r="800" spans="1:17">
      <c r="A800" s="855"/>
      <c r="B800" s="315"/>
      <c r="C800" s="313"/>
      <c r="D800" s="313"/>
      <c r="E800" s="313"/>
      <c r="F800" s="313"/>
      <c r="G800" s="313"/>
      <c r="H800" s="313"/>
      <c r="I800" s="313"/>
      <c r="J800" s="313"/>
      <c r="K800" s="313"/>
      <c r="L800" s="313"/>
      <c r="M800" s="313"/>
      <c r="N800" s="313"/>
      <c r="O800" s="313"/>
      <c r="P800" s="313"/>
    </row>
    <row r="801" spans="1:16">
      <c r="A801" s="855"/>
      <c r="B801" s="315"/>
      <c r="C801" s="313"/>
      <c r="D801" s="313"/>
      <c r="E801" s="313"/>
      <c r="F801" s="313"/>
      <c r="G801" s="313"/>
      <c r="H801" s="313"/>
      <c r="I801" s="313"/>
      <c r="J801" s="313"/>
      <c r="K801" s="313"/>
      <c r="L801" s="313"/>
      <c r="M801" s="313"/>
      <c r="N801" s="313"/>
      <c r="O801" s="313"/>
      <c r="P801" s="313"/>
    </row>
    <row r="802" spans="1:16">
      <c r="A802" s="855"/>
      <c r="B802" s="315"/>
      <c r="C802" s="313"/>
      <c r="D802" s="313"/>
      <c r="E802" s="313"/>
      <c r="F802" s="313"/>
      <c r="G802" s="313"/>
      <c r="H802" s="313"/>
      <c r="I802" s="313"/>
      <c r="J802" s="313"/>
      <c r="K802" s="313"/>
      <c r="L802" s="313"/>
      <c r="M802" s="313"/>
      <c r="N802" s="313"/>
      <c r="O802" s="313"/>
      <c r="P802" s="313"/>
    </row>
    <row r="803" spans="1:16">
      <c r="A803" s="855"/>
      <c r="B803" s="374"/>
      <c r="C803" s="374"/>
      <c r="D803" s="374"/>
      <c r="E803" s="374"/>
      <c r="F803" s="374"/>
      <c r="G803" s="374"/>
      <c r="H803" s="374"/>
      <c r="I803" s="374"/>
      <c r="J803" s="374"/>
      <c r="K803" s="374"/>
      <c r="L803" s="374"/>
      <c r="M803" s="374"/>
      <c r="N803" s="374"/>
      <c r="O803" s="374"/>
      <c r="P803" s="374"/>
    </row>
    <row r="804" spans="1:16">
      <c r="A804" s="855"/>
      <c r="B804" s="374"/>
      <c r="C804" s="374"/>
      <c r="D804" s="374"/>
      <c r="E804" s="374"/>
      <c r="F804" s="374"/>
      <c r="G804" s="374"/>
      <c r="H804" s="374"/>
      <c r="I804" s="374"/>
      <c r="J804" s="374"/>
      <c r="K804" s="374"/>
      <c r="L804" s="374"/>
      <c r="M804" s="374"/>
      <c r="N804" s="374"/>
      <c r="O804" s="374"/>
      <c r="P804" s="374"/>
    </row>
    <row r="805" spans="1:16">
      <c r="A805" s="855"/>
      <c r="B805" s="374"/>
      <c r="C805" s="388"/>
      <c r="D805" s="374"/>
      <c r="E805" s="374"/>
      <c r="F805" s="374"/>
      <c r="G805" s="374"/>
      <c r="H805" s="374"/>
      <c r="I805" s="374"/>
      <c r="J805" s="374"/>
      <c r="K805" s="374"/>
      <c r="L805" s="374"/>
      <c r="M805" s="374"/>
      <c r="N805" s="374"/>
      <c r="O805" s="374"/>
      <c r="P805" s="374"/>
    </row>
    <row r="806" spans="1:16">
      <c r="A806" s="855"/>
      <c r="B806" s="34"/>
      <c r="C806" s="363"/>
      <c r="D806" s="363"/>
      <c r="E806" s="363"/>
      <c r="F806" s="363"/>
      <c r="G806" s="363"/>
      <c r="H806" s="363"/>
      <c r="I806" s="363"/>
      <c r="J806" s="363"/>
      <c r="K806" s="363"/>
      <c r="L806" s="363"/>
      <c r="M806" s="363"/>
      <c r="N806" s="363"/>
      <c r="O806" s="363"/>
      <c r="P806" s="33"/>
    </row>
    <row r="807" spans="1:16">
      <c r="A807" s="855"/>
      <c r="B807" s="34"/>
      <c r="C807" s="363"/>
      <c r="D807" s="363"/>
      <c r="E807" s="363"/>
      <c r="F807" s="363"/>
      <c r="G807" s="363"/>
      <c r="H807" s="363"/>
      <c r="I807" s="363"/>
      <c r="J807" s="363"/>
      <c r="K807" s="363"/>
      <c r="L807" s="363"/>
      <c r="M807" s="363"/>
      <c r="N807" s="363"/>
      <c r="O807" s="363"/>
      <c r="P807" s="36"/>
    </row>
    <row r="808" spans="1:16">
      <c r="A808" s="855"/>
      <c r="B808" s="34"/>
      <c r="C808" s="363"/>
      <c r="D808" s="363"/>
      <c r="E808" s="363"/>
      <c r="F808" s="363"/>
      <c r="G808" s="363"/>
      <c r="H808" s="363"/>
      <c r="I808" s="363"/>
      <c r="J808" s="363"/>
      <c r="K808" s="363"/>
      <c r="L808" s="363"/>
      <c r="M808" s="363"/>
      <c r="N808" s="363"/>
      <c r="O808" s="363"/>
      <c r="P808" s="36"/>
    </row>
    <row r="809" spans="1:16">
      <c r="A809" s="855"/>
      <c r="B809" s="34"/>
      <c r="C809" s="363"/>
      <c r="D809" s="363"/>
      <c r="E809" s="363"/>
      <c r="F809" s="363"/>
      <c r="G809" s="363"/>
      <c r="H809" s="363"/>
      <c r="I809" s="363"/>
      <c r="J809" s="363"/>
      <c r="K809" s="363"/>
      <c r="L809" s="363"/>
      <c r="M809" s="363"/>
      <c r="N809" s="363"/>
      <c r="O809" s="363"/>
      <c r="P809" s="36"/>
    </row>
    <row r="810" spans="1:16">
      <c r="A810" s="855"/>
      <c r="B810" s="34"/>
      <c r="C810" s="363"/>
      <c r="D810" s="363"/>
      <c r="E810" s="363"/>
      <c r="F810" s="363"/>
      <c r="G810" s="363"/>
      <c r="H810" s="363"/>
      <c r="I810" s="363"/>
      <c r="J810" s="363"/>
      <c r="K810" s="363"/>
      <c r="L810" s="363"/>
      <c r="M810" s="363"/>
      <c r="N810" s="363"/>
      <c r="O810" s="363"/>
      <c r="P810" s="36"/>
    </row>
    <row r="811" spans="1:16">
      <c r="A811" s="855"/>
      <c r="B811" s="34"/>
      <c r="C811" s="300"/>
      <c r="D811" s="300"/>
      <c r="E811" s="300"/>
      <c r="F811" s="300"/>
      <c r="G811" s="300"/>
      <c r="H811" s="300"/>
      <c r="I811" s="300"/>
      <c r="J811" s="300"/>
      <c r="K811" s="300"/>
      <c r="L811" s="300"/>
      <c r="M811" s="300"/>
      <c r="N811" s="300"/>
      <c r="O811" s="300"/>
      <c r="P811" s="63"/>
    </row>
    <row r="812" spans="1:16">
      <c r="A812" s="855"/>
      <c r="B812" s="73"/>
      <c r="C812" s="19"/>
      <c r="D812" s="19"/>
      <c r="E812" s="19"/>
      <c r="F812" s="19"/>
      <c r="G812" s="19"/>
      <c r="H812" s="19"/>
      <c r="I812" s="19"/>
      <c r="J812" s="19" t="s">
        <v>38</v>
      </c>
      <c r="K812" s="19"/>
      <c r="L812" s="19"/>
      <c r="M812" s="19"/>
      <c r="N812" s="19"/>
      <c r="O812" s="19"/>
      <c r="P812" s="74"/>
    </row>
    <row r="813" spans="1:16">
      <c r="A813" s="855"/>
      <c r="B813" s="855"/>
      <c r="C813" s="855"/>
      <c r="D813" s="855"/>
      <c r="E813" s="855"/>
      <c r="F813" s="855"/>
      <c r="G813" s="855"/>
      <c r="H813" s="855"/>
      <c r="I813" s="855"/>
      <c r="J813" s="855"/>
      <c r="K813" s="855"/>
      <c r="L813" s="855"/>
      <c r="M813" s="855"/>
      <c r="N813" s="855"/>
      <c r="O813" s="855"/>
      <c r="P813" s="855"/>
    </row>
    <row r="814" spans="1:16">
      <c r="A814" s="855"/>
      <c r="B814" s="855"/>
      <c r="C814" s="855"/>
      <c r="D814" s="855"/>
      <c r="E814" s="855"/>
      <c r="F814" s="855"/>
      <c r="G814" s="855"/>
      <c r="H814" s="855"/>
      <c r="I814" s="855"/>
      <c r="J814" s="855"/>
      <c r="K814" s="855"/>
      <c r="L814" s="855"/>
      <c r="M814" s="855"/>
      <c r="N814" s="855"/>
      <c r="O814" s="855"/>
      <c r="P814" s="855"/>
    </row>
    <row r="815" spans="1:16">
      <c r="A815" s="855"/>
      <c r="B815" s="855"/>
      <c r="C815" s="855"/>
      <c r="D815" s="855"/>
      <c r="E815" s="855"/>
      <c r="F815" s="855"/>
      <c r="G815" s="855"/>
      <c r="H815" s="855"/>
      <c r="I815" s="855"/>
      <c r="J815" s="855"/>
      <c r="K815" s="855"/>
      <c r="L815" s="855"/>
      <c r="M815" s="855"/>
      <c r="N815" s="855"/>
      <c r="O815" s="855"/>
      <c r="P815" s="855"/>
    </row>
    <row r="816" spans="1:16">
      <c r="A816" s="855"/>
      <c r="B816" s="855"/>
      <c r="C816" s="855"/>
      <c r="D816" s="855"/>
      <c r="E816" s="855"/>
      <c r="F816" s="855"/>
      <c r="G816" s="855"/>
      <c r="H816" s="855"/>
      <c r="I816" s="855"/>
      <c r="J816" s="855"/>
      <c r="K816" s="855"/>
      <c r="L816" s="855"/>
      <c r="M816" s="855"/>
      <c r="N816" s="855"/>
      <c r="O816" s="855"/>
      <c r="P816" s="855"/>
    </row>
    <row r="817" spans="1:16">
      <c r="A817" s="855"/>
      <c r="B817" s="855"/>
      <c r="C817" s="855"/>
      <c r="D817" s="855"/>
      <c r="E817" s="855"/>
      <c r="F817" s="855"/>
      <c r="G817" s="855"/>
      <c r="H817" s="855"/>
      <c r="I817" s="855"/>
      <c r="J817" s="855"/>
      <c r="K817" s="855"/>
      <c r="L817" s="855"/>
      <c r="M817" s="855"/>
      <c r="N817" s="855"/>
      <c r="O817" s="855"/>
      <c r="P817" s="855"/>
    </row>
    <row r="818" spans="1:16">
      <c r="A818" s="855"/>
      <c r="B818" s="855"/>
      <c r="C818" s="855"/>
      <c r="D818" s="855"/>
      <c r="E818" s="855"/>
      <c r="F818" s="855"/>
      <c r="G818" s="855"/>
      <c r="H818" s="855"/>
      <c r="I818" s="855"/>
      <c r="J818" s="855"/>
      <c r="K818" s="855"/>
      <c r="L818" s="855"/>
      <c r="M818" s="855"/>
      <c r="N818" s="855"/>
      <c r="O818" s="855"/>
      <c r="P818" s="855"/>
    </row>
    <row r="819" spans="1:16">
      <c r="A819" s="855"/>
      <c r="B819" s="855"/>
      <c r="C819" s="855"/>
      <c r="D819" s="855"/>
      <c r="E819" s="855"/>
      <c r="F819" s="855"/>
      <c r="G819" s="855"/>
      <c r="H819" s="855"/>
      <c r="I819" s="855"/>
      <c r="J819" s="855"/>
      <c r="K819" s="855"/>
      <c r="L819" s="855"/>
      <c r="M819" s="855"/>
      <c r="N819" s="855"/>
      <c r="O819" s="855"/>
      <c r="P819" s="855"/>
    </row>
    <row r="820" spans="1:16" ht="15.75" thickBot="1">
      <c r="A820" s="855"/>
      <c r="B820" s="855"/>
      <c r="C820" s="855"/>
      <c r="D820" s="855"/>
      <c r="E820" s="855"/>
      <c r="F820" s="855"/>
      <c r="G820" s="855"/>
      <c r="H820" s="855"/>
      <c r="I820" s="855"/>
      <c r="J820" s="855"/>
      <c r="K820" s="855"/>
      <c r="L820" s="855"/>
      <c r="M820" s="855"/>
      <c r="N820" s="855"/>
      <c r="O820" s="855"/>
      <c r="P820" s="855"/>
    </row>
    <row r="821" spans="1:16">
      <c r="A821" s="855"/>
      <c r="B821" s="1180" t="s">
        <v>727</v>
      </c>
      <c r="C821" s="1180"/>
      <c r="D821" s="1180"/>
      <c r="E821" s="1180"/>
      <c r="F821" s="1180"/>
      <c r="G821" s="1180"/>
      <c r="H821" s="1180"/>
      <c r="I821" s="1180"/>
      <c r="J821" s="1180"/>
      <c r="K821" s="1180"/>
      <c r="L821" s="1180"/>
      <c r="M821" s="1180"/>
      <c r="N821" s="1180"/>
      <c r="O821" s="1180"/>
      <c r="P821" s="1181"/>
    </row>
    <row r="822" spans="1:16">
      <c r="A822" s="855"/>
      <c r="B822" s="1182"/>
      <c r="C822" s="1182"/>
      <c r="D822" s="1182"/>
      <c r="E822" s="1182"/>
      <c r="F822" s="1182"/>
      <c r="G822" s="1182"/>
      <c r="H822" s="1182"/>
      <c r="I822" s="1182"/>
      <c r="J822" s="1182"/>
      <c r="K822" s="1182"/>
      <c r="L822" s="1182"/>
      <c r="M822" s="1182"/>
      <c r="N822" s="1182"/>
      <c r="O822" s="1182"/>
      <c r="P822" s="1183"/>
    </row>
    <row r="823" spans="1:16">
      <c r="A823" s="855"/>
      <c r="B823" s="1184" t="s">
        <v>728</v>
      </c>
      <c r="C823" s="1184"/>
      <c r="D823" s="1184"/>
      <c r="E823" s="1184"/>
      <c r="F823" s="1184"/>
      <c r="G823" s="1184"/>
      <c r="H823" s="1184"/>
      <c r="I823" s="1184"/>
      <c r="J823" s="1184"/>
      <c r="K823" s="1184"/>
      <c r="L823" s="1184"/>
      <c r="M823" s="1184"/>
      <c r="N823" s="1184"/>
      <c r="O823" s="1184"/>
      <c r="P823" s="1185"/>
    </row>
    <row r="824" spans="1:16">
      <c r="A824" s="855"/>
      <c r="B824" s="31" t="s">
        <v>199</v>
      </c>
      <c r="C824" s="32"/>
      <c r="D824" s="609" t="s">
        <v>425</v>
      </c>
      <c r="E824" s="300"/>
      <c r="F824" s="33"/>
      <c r="G824" s="32"/>
      <c r="H824" s="32"/>
      <c r="I824" s="40" t="s">
        <v>145</v>
      </c>
      <c r="J824" s="75"/>
      <c r="K824" s="75"/>
      <c r="L824" s="75"/>
      <c r="M824" s="75"/>
      <c r="N824" s="75"/>
      <c r="O824" s="75"/>
      <c r="P824" s="369"/>
    </row>
    <row r="825" spans="1:16" ht="15.75">
      <c r="A825" s="855"/>
      <c r="B825" s="34"/>
      <c r="C825" s="363" t="s">
        <v>426</v>
      </c>
      <c r="D825" s="363"/>
      <c r="E825" s="36"/>
      <c r="F825" s="76"/>
      <c r="G825" s="370"/>
      <c r="H825" s="300"/>
      <c r="I825" s="382" t="str">
        <f>'04-22-Master'!B35</f>
        <v xml:space="preserve">AbdulSaleem Sunkesula </v>
      </c>
      <c r="J825" s="370"/>
      <c r="K825" s="370"/>
      <c r="L825" s="370"/>
      <c r="M825" s="370"/>
      <c r="N825" s="370"/>
      <c r="O825" s="370"/>
      <c r="P825" s="371"/>
    </row>
    <row r="826" spans="1:16">
      <c r="A826" s="855"/>
      <c r="B826" s="37"/>
      <c r="C826" s="38"/>
      <c r="D826" s="38"/>
      <c r="E826" s="39"/>
      <c r="F826" s="77"/>
      <c r="G826" s="78"/>
      <c r="H826" s="78"/>
      <c r="I826" s="78"/>
      <c r="J826" s="78"/>
      <c r="K826" s="78"/>
      <c r="L826" s="78"/>
      <c r="M826" s="78"/>
      <c r="N826" s="78"/>
      <c r="O826" s="78"/>
      <c r="P826" s="372"/>
    </row>
    <row r="827" spans="1:16">
      <c r="A827" s="855"/>
      <c r="B827" s="1186"/>
      <c r="C827" s="1186"/>
      <c r="D827" s="1186"/>
      <c r="E827" s="1186"/>
      <c r="F827" s="40"/>
      <c r="G827" s="32"/>
      <c r="H827" s="32"/>
      <c r="I827" s="32"/>
      <c r="J827" s="32"/>
      <c r="K827" s="32"/>
      <c r="L827" s="32"/>
      <c r="M827" s="32"/>
      <c r="N827" s="32"/>
      <c r="O827" s="32"/>
      <c r="P827" s="33"/>
    </row>
    <row r="828" spans="1:16">
      <c r="A828" s="855"/>
      <c r="B828" s="1186"/>
      <c r="C828" s="1186"/>
      <c r="D828" s="1186"/>
      <c r="E828" s="1186"/>
      <c r="F828" s="300"/>
      <c r="G828" s="363"/>
      <c r="H828" s="152"/>
      <c r="I828" s="300" t="s">
        <v>147</v>
      </c>
      <c r="J828" s="373"/>
      <c r="K828" s="373"/>
      <c r="L828" s="363"/>
      <c r="M828" s="363"/>
      <c r="N828" s="363"/>
      <c r="O828" s="363"/>
      <c r="P828" s="36"/>
    </row>
    <row r="829" spans="1:16">
      <c r="A829" s="855"/>
      <c r="B829" s="1186"/>
      <c r="C829" s="1186"/>
      <c r="D829" s="1186"/>
      <c r="E829" s="1186"/>
      <c r="F829" s="34"/>
      <c r="G829" s="363"/>
      <c r="H829" s="363"/>
      <c r="I829" s="363" t="str">
        <f>'04-22-Master'!E35</f>
        <v>Sunkesula Sowdayya</v>
      </c>
      <c r="J829" s="363"/>
      <c r="K829" s="363"/>
      <c r="L829" s="363"/>
      <c r="M829" s="363"/>
      <c r="N829" s="363"/>
      <c r="O829" s="363"/>
      <c r="P829" s="36"/>
    </row>
    <row r="830" spans="1:16">
      <c r="A830" s="855"/>
      <c r="B830" s="1186"/>
      <c r="C830" s="1186"/>
      <c r="D830" s="1186"/>
      <c r="E830" s="1186"/>
      <c r="F830" s="300"/>
      <c r="G830" s="38"/>
      <c r="H830" s="112"/>
      <c r="I830" s="300" t="s">
        <v>148</v>
      </c>
      <c r="J830" s="38"/>
      <c r="K830" s="38"/>
      <c r="L830" s="112">
        <f>'04-22-Master'!I35</f>
        <v>44671</v>
      </c>
      <c r="M830" s="38"/>
      <c r="N830" s="38"/>
      <c r="O830" s="38"/>
      <c r="P830" s="39"/>
    </row>
    <row r="831" spans="1:16">
      <c r="A831" s="855"/>
      <c r="B831" s="1187" t="e">
        <f>#REF!</f>
        <v>#REF!</v>
      </c>
      <c r="C831" s="1189" t="s">
        <v>431</v>
      </c>
      <c r="D831" s="1190"/>
      <c r="E831" s="1189" t="s">
        <v>432</v>
      </c>
      <c r="F831" s="1190"/>
      <c r="G831" s="1193" t="s">
        <v>433</v>
      </c>
      <c r="H831" s="1189" t="s">
        <v>434</v>
      </c>
      <c r="I831" s="1194"/>
      <c r="J831" s="1195" t="s">
        <v>435</v>
      </c>
      <c r="K831" s="1194"/>
      <c r="L831" s="1196"/>
      <c r="M831" s="1195" t="s">
        <v>436</v>
      </c>
      <c r="N831" s="1194"/>
      <c r="O831" s="1194"/>
      <c r="P831" s="1200" t="s">
        <v>437</v>
      </c>
    </row>
    <row r="832" spans="1:16" ht="15.75" thickBot="1">
      <c r="A832" s="855"/>
      <c r="B832" s="1188"/>
      <c r="C832" s="1189"/>
      <c r="D832" s="1190"/>
      <c r="E832" s="1189"/>
      <c r="F832" s="1190"/>
      <c r="G832" s="1187"/>
      <c r="H832" s="1189"/>
      <c r="I832" s="1194"/>
      <c r="J832" s="1197"/>
      <c r="K832" s="1198"/>
      <c r="L832" s="1199"/>
      <c r="M832" s="1197"/>
      <c r="N832" s="1198"/>
      <c r="O832" s="1198"/>
      <c r="P832" s="1201"/>
    </row>
    <row r="833" spans="1:17">
      <c r="A833" s="855"/>
      <c r="B833" s="352">
        <v>1</v>
      </c>
      <c r="C833" s="1191"/>
      <c r="D833" s="1192"/>
      <c r="E833" s="1191"/>
      <c r="F833" s="1192"/>
      <c r="G833" s="352">
        <v>6</v>
      </c>
      <c r="H833" s="1191"/>
      <c r="I833" s="1192"/>
      <c r="J833" s="311">
        <v>9</v>
      </c>
      <c r="K833" s="311"/>
      <c r="L833" s="311"/>
      <c r="M833" s="311">
        <v>9</v>
      </c>
      <c r="N833" s="311"/>
      <c r="O833" s="311"/>
      <c r="P833" s="312" t="s">
        <v>438</v>
      </c>
    </row>
    <row r="834" spans="1:17" ht="89.25">
      <c r="A834" s="855"/>
      <c r="B834" s="313"/>
      <c r="C834" s="313" t="s">
        <v>439</v>
      </c>
      <c r="D834" s="313" t="s">
        <v>440</v>
      </c>
      <c r="E834" s="313" t="s">
        <v>441</v>
      </c>
      <c r="F834" s="313" t="s">
        <v>150</v>
      </c>
      <c r="G834" s="313"/>
      <c r="H834" s="313" t="s">
        <v>442</v>
      </c>
      <c r="I834" s="313" t="s">
        <v>443</v>
      </c>
      <c r="J834" s="313" t="s">
        <v>149</v>
      </c>
      <c r="K834" s="313" t="s">
        <v>444</v>
      </c>
      <c r="L834" s="313" t="s">
        <v>445</v>
      </c>
      <c r="M834" s="313" t="s">
        <v>446</v>
      </c>
      <c r="N834" s="313" t="s">
        <v>447</v>
      </c>
      <c r="O834" s="314" t="s">
        <v>448</v>
      </c>
      <c r="P834" s="314"/>
    </row>
    <row r="835" spans="1:17">
      <c r="A835" s="855"/>
      <c r="B835" s="315"/>
      <c r="C835" s="313"/>
      <c r="D835" s="313"/>
      <c r="E835" s="316"/>
      <c r="F835" s="316"/>
      <c r="G835" s="313"/>
      <c r="H835" s="313"/>
      <c r="I835" s="313"/>
      <c r="J835" s="313"/>
      <c r="K835" s="313"/>
      <c r="L835" s="313"/>
      <c r="M835" s="313"/>
      <c r="N835" s="313"/>
      <c r="O835" s="313"/>
      <c r="P835" s="313"/>
    </row>
    <row r="836" spans="1:17" s="855" customFormat="1">
      <c r="B836" s="375" t="s">
        <v>1139</v>
      </c>
      <c r="C836" s="313">
        <v>0</v>
      </c>
      <c r="D836" s="313">
        <v>0</v>
      </c>
      <c r="E836" s="313">
        <v>0</v>
      </c>
      <c r="F836" s="313">
        <v>0</v>
      </c>
      <c r="G836" s="313">
        <f>G835+C836-D836</f>
        <v>0</v>
      </c>
      <c r="H836" s="313"/>
      <c r="I836" s="313"/>
      <c r="J836" s="313" t="s">
        <v>152</v>
      </c>
      <c r="K836" s="313" t="s">
        <v>152</v>
      </c>
      <c r="L836" s="313" t="s">
        <v>152</v>
      </c>
      <c r="M836" s="313" t="s">
        <v>718</v>
      </c>
      <c r="N836" s="313"/>
      <c r="O836" s="313"/>
      <c r="P836" s="313"/>
      <c r="Q836" s="855">
        <v>20</v>
      </c>
    </row>
    <row r="837" spans="1:17">
      <c r="A837" s="855"/>
      <c r="B837" s="600"/>
      <c r="C837" s="374"/>
      <c r="D837" s="374"/>
      <c r="E837" s="374"/>
      <c r="F837" s="374"/>
      <c r="G837" s="313"/>
      <c r="H837" s="374"/>
      <c r="I837" s="374"/>
      <c r="J837" s="313"/>
      <c r="K837" s="313"/>
      <c r="L837" s="313"/>
      <c r="M837" s="374"/>
      <c r="N837" s="374"/>
      <c r="O837" s="374"/>
      <c r="P837" s="374"/>
    </row>
    <row r="838" spans="1:17">
      <c r="A838" s="855"/>
      <c r="B838" s="315"/>
      <c r="C838" s="313"/>
      <c r="D838" s="313"/>
      <c r="E838" s="521"/>
      <c r="F838" s="521"/>
      <c r="G838" s="313"/>
      <c r="H838" s="313"/>
      <c r="I838" s="313"/>
      <c r="J838" s="313"/>
      <c r="K838" s="313"/>
      <c r="L838" s="313"/>
      <c r="M838" s="313"/>
      <c r="N838" s="313"/>
      <c r="O838" s="855"/>
      <c r="P838" s="313"/>
    </row>
    <row r="839" spans="1:17">
      <c r="A839" s="855"/>
      <c r="B839" s="315"/>
      <c r="C839" s="313"/>
      <c r="D839" s="313"/>
      <c r="E839" s="316"/>
      <c r="F839" s="316"/>
      <c r="G839" s="313"/>
      <c r="H839" s="313"/>
      <c r="I839" s="313"/>
      <c r="J839" s="313"/>
      <c r="K839" s="313"/>
      <c r="L839" s="313"/>
      <c r="M839" s="313"/>
      <c r="N839" s="313"/>
      <c r="O839" s="313"/>
      <c r="P839" s="313"/>
    </row>
    <row r="840" spans="1:17">
      <c r="A840" s="855"/>
      <c r="B840" s="601"/>
      <c r="C840" s="857"/>
      <c r="D840" s="857"/>
      <c r="E840" s="857"/>
      <c r="F840" s="857"/>
      <c r="G840" s="313"/>
      <c r="H840" s="857"/>
      <c r="I840" s="857"/>
      <c r="J840" s="313"/>
      <c r="K840" s="313"/>
      <c r="L840" s="313"/>
      <c r="M840" s="313"/>
      <c r="N840" s="313"/>
      <c r="O840" s="313"/>
      <c r="P840" s="313"/>
    </row>
    <row r="841" spans="1:17">
      <c r="A841" s="855"/>
      <c r="B841" s="315"/>
      <c r="C841" s="307"/>
      <c r="D841" s="313"/>
      <c r="E841" s="313"/>
      <c r="F841" s="313"/>
      <c r="G841" s="313"/>
      <c r="H841" s="313"/>
      <c r="I841" s="313"/>
      <c r="J841" s="313"/>
      <c r="K841" s="313"/>
      <c r="L841" s="313"/>
      <c r="M841" s="313"/>
      <c r="N841" s="313"/>
      <c r="O841" s="313"/>
      <c r="P841" s="313"/>
    </row>
    <row r="842" spans="1:17">
      <c r="A842" s="855"/>
      <c r="B842" s="315"/>
      <c r="C842" s="313"/>
      <c r="D842" s="313"/>
      <c r="E842" s="313"/>
      <c r="F842" s="313"/>
      <c r="G842" s="313"/>
      <c r="H842" s="313"/>
      <c r="I842" s="313"/>
      <c r="J842" s="313"/>
      <c r="K842" s="313"/>
      <c r="L842" s="313"/>
      <c r="M842" s="313"/>
      <c r="N842" s="313"/>
      <c r="O842" s="313"/>
      <c r="P842" s="313"/>
    </row>
    <row r="843" spans="1:17">
      <c r="A843" s="855"/>
      <c r="B843" s="315"/>
      <c r="C843" s="313"/>
      <c r="D843" s="313"/>
      <c r="E843" s="313"/>
      <c r="F843" s="313"/>
      <c r="G843" s="313"/>
      <c r="H843" s="313"/>
      <c r="I843" s="313"/>
      <c r="J843" s="313"/>
      <c r="K843" s="313"/>
      <c r="L843" s="313"/>
      <c r="M843" s="313"/>
      <c r="N843" s="313"/>
      <c r="O843" s="313"/>
      <c r="P843" s="313"/>
    </row>
    <row r="844" spans="1:17">
      <c r="A844" s="855"/>
      <c r="B844" s="315"/>
      <c r="C844" s="313"/>
      <c r="D844" s="313"/>
      <c r="E844" s="313"/>
      <c r="F844" s="313"/>
      <c r="G844" s="313"/>
      <c r="H844" s="313"/>
      <c r="I844" s="313"/>
      <c r="J844" s="313"/>
      <c r="K844" s="313"/>
      <c r="L844" s="313"/>
      <c r="M844" s="313"/>
      <c r="N844" s="313"/>
      <c r="O844" s="313"/>
      <c r="P844" s="313"/>
    </row>
    <row r="845" spans="1:17">
      <c r="A845" s="855"/>
      <c r="B845" s="315"/>
      <c r="C845" s="313"/>
      <c r="D845" s="313"/>
      <c r="E845" s="313"/>
      <c r="F845" s="313"/>
      <c r="G845" s="313"/>
      <c r="H845" s="313"/>
      <c r="I845" s="313"/>
      <c r="J845" s="313"/>
      <c r="K845" s="313"/>
      <c r="L845" s="313"/>
      <c r="M845" s="313"/>
      <c r="N845" s="313"/>
      <c r="O845" s="313"/>
      <c r="P845" s="313"/>
    </row>
    <row r="846" spans="1:17">
      <c r="A846" s="855"/>
      <c r="B846" s="315"/>
      <c r="C846" s="313"/>
      <c r="D846" s="313"/>
      <c r="E846" s="313"/>
      <c r="F846" s="313"/>
      <c r="G846" s="313"/>
      <c r="H846" s="313"/>
      <c r="I846" s="313"/>
      <c r="J846" s="313"/>
      <c r="K846" s="313"/>
      <c r="L846" s="313"/>
      <c r="M846" s="313"/>
      <c r="N846" s="313"/>
      <c r="O846" s="313"/>
      <c r="P846" s="313"/>
    </row>
    <row r="847" spans="1:17">
      <c r="A847" s="855"/>
      <c r="B847" s="315"/>
      <c r="C847" s="313"/>
      <c r="D847" s="313"/>
      <c r="E847" s="313"/>
      <c r="F847" s="313"/>
      <c r="G847" s="313"/>
      <c r="H847" s="313"/>
      <c r="I847" s="313"/>
      <c r="J847" s="313"/>
      <c r="K847" s="313"/>
      <c r="L847" s="313"/>
      <c r="M847" s="313"/>
      <c r="N847" s="313"/>
      <c r="O847" s="313"/>
      <c r="P847" s="313"/>
    </row>
    <row r="848" spans="1:17">
      <c r="A848" s="855"/>
      <c r="B848" s="374"/>
      <c r="C848" s="374"/>
      <c r="D848" s="374"/>
      <c r="E848" s="374"/>
      <c r="F848" s="374"/>
      <c r="G848" s="374"/>
      <c r="H848" s="374"/>
      <c r="I848" s="374"/>
      <c r="J848" s="374"/>
      <c r="K848" s="374"/>
      <c r="L848" s="374"/>
      <c r="M848" s="374"/>
      <c r="N848" s="374"/>
      <c r="O848" s="374"/>
      <c r="P848" s="374"/>
    </row>
    <row r="849" spans="1:16">
      <c r="A849" s="855"/>
      <c r="B849" s="374"/>
      <c r="C849" s="374"/>
      <c r="D849" s="374"/>
      <c r="E849" s="374"/>
      <c r="F849" s="374"/>
      <c r="G849" s="374"/>
      <c r="H849" s="374"/>
      <c r="I849" s="374"/>
      <c r="J849" s="374"/>
      <c r="K849" s="374"/>
      <c r="L849" s="374"/>
      <c r="M849" s="374"/>
      <c r="N849" s="374"/>
      <c r="O849" s="374"/>
      <c r="P849" s="374"/>
    </row>
    <row r="850" spans="1:16">
      <c r="A850" s="855"/>
      <c r="B850" s="374"/>
      <c r="C850" s="388"/>
      <c r="D850" s="374"/>
      <c r="E850" s="374"/>
      <c r="F850" s="374"/>
      <c r="G850" s="374"/>
      <c r="H850" s="374"/>
      <c r="I850" s="374"/>
      <c r="J850" s="374"/>
      <c r="K850" s="374"/>
      <c r="L850" s="374"/>
      <c r="M850" s="374"/>
      <c r="N850" s="374"/>
      <c r="O850" s="374"/>
      <c r="P850" s="374"/>
    </row>
    <row r="851" spans="1:16">
      <c r="A851" s="855"/>
      <c r="B851" s="34"/>
      <c r="C851" s="363"/>
      <c r="D851" s="363"/>
      <c r="E851" s="363"/>
      <c r="F851" s="363"/>
      <c r="G851" s="363"/>
      <c r="H851" s="363"/>
      <c r="I851" s="363"/>
      <c r="J851" s="363"/>
      <c r="K851" s="363"/>
      <c r="L851" s="363"/>
      <c r="M851" s="363"/>
      <c r="N851" s="363"/>
      <c r="O851" s="363"/>
      <c r="P851" s="33"/>
    </row>
    <row r="852" spans="1:16">
      <c r="A852" s="855"/>
      <c r="B852" s="34"/>
      <c r="C852" s="363"/>
      <c r="D852" s="363"/>
      <c r="E852" s="363"/>
      <c r="F852" s="363"/>
      <c r="G852" s="363"/>
      <c r="H852" s="363"/>
      <c r="I852" s="363"/>
      <c r="J852" s="363"/>
      <c r="K852" s="363"/>
      <c r="L852" s="363"/>
      <c r="M852" s="363"/>
      <c r="N852" s="363"/>
      <c r="O852" s="363"/>
      <c r="P852" s="36"/>
    </row>
    <row r="853" spans="1:16">
      <c r="A853" s="855"/>
      <c r="B853" s="34"/>
      <c r="C853" s="363"/>
      <c r="D853" s="363"/>
      <c r="E853" s="363"/>
      <c r="F853" s="363"/>
      <c r="G853" s="363"/>
      <c r="H853" s="363"/>
      <c r="I853" s="363"/>
      <c r="J853" s="363"/>
      <c r="K853" s="363"/>
      <c r="L853" s="363"/>
      <c r="M853" s="363"/>
      <c r="N853" s="363"/>
      <c r="O853" s="363"/>
      <c r="P853" s="36"/>
    </row>
    <row r="854" spans="1:16">
      <c r="A854" s="855"/>
      <c r="B854" s="34"/>
      <c r="C854" s="363"/>
      <c r="D854" s="363"/>
      <c r="E854" s="363"/>
      <c r="F854" s="363"/>
      <c r="G854" s="363"/>
      <c r="H854" s="363"/>
      <c r="I854" s="363"/>
      <c r="J854" s="363"/>
      <c r="K854" s="363"/>
      <c r="L854" s="363"/>
      <c r="M854" s="363"/>
      <c r="N854" s="363"/>
      <c r="O854" s="363"/>
      <c r="P854" s="36"/>
    </row>
    <row r="855" spans="1:16">
      <c r="A855" s="855"/>
      <c r="B855" s="34"/>
      <c r="C855" s="363"/>
      <c r="D855" s="363"/>
      <c r="E855" s="363"/>
      <c r="F855" s="363"/>
      <c r="G855" s="363"/>
      <c r="H855" s="363"/>
      <c r="I855" s="363"/>
      <c r="J855" s="363"/>
      <c r="K855" s="363"/>
      <c r="L855" s="363"/>
      <c r="M855" s="363"/>
      <c r="N855" s="363"/>
      <c r="O855" s="363"/>
      <c r="P855" s="36"/>
    </row>
    <row r="856" spans="1:16">
      <c r="A856" s="855"/>
      <c r="B856" s="34"/>
      <c r="C856" s="300"/>
      <c r="D856" s="300"/>
      <c r="E856" s="300"/>
      <c r="F856" s="300"/>
      <c r="G856" s="300"/>
      <c r="H856" s="300"/>
      <c r="I856" s="300"/>
      <c r="J856" s="300"/>
      <c r="K856" s="300"/>
      <c r="L856" s="300"/>
      <c r="M856" s="300"/>
      <c r="N856" s="300"/>
      <c r="O856" s="300"/>
      <c r="P856" s="63"/>
    </row>
    <row r="857" spans="1:16">
      <c r="A857" s="855"/>
      <c r="B857" s="73"/>
      <c r="C857" s="19"/>
      <c r="D857" s="19"/>
      <c r="E857" s="19"/>
      <c r="F857" s="19"/>
      <c r="G857" s="19"/>
      <c r="H857" s="19"/>
      <c r="I857" s="19"/>
      <c r="J857" s="19" t="s">
        <v>38</v>
      </c>
      <c r="K857" s="19"/>
      <c r="L857" s="19"/>
      <c r="M857" s="19"/>
      <c r="N857" s="19"/>
      <c r="O857" s="19"/>
      <c r="P857" s="74"/>
    </row>
    <row r="858" spans="1:16">
      <c r="A858" s="855"/>
      <c r="B858" s="855"/>
      <c r="C858" s="855"/>
      <c r="D858" s="855"/>
      <c r="E858" s="855"/>
      <c r="F858" s="855"/>
      <c r="G858" s="855"/>
      <c r="H858" s="855"/>
      <c r="I858" s="855"/>
      <c r="J858" s="855"/>
      <c r="K858" s="855"/>
      <c r="L858" s="855"/>
      <c r="M858" s="855"/>
      <c r="N858" s="855"/>
      <c r="O858" s="855"/>
      <c r="P858" s="855"/>
    </row>
    <row r="859" spans="1:16">
      <c r="A859" s="855"/>
      <c r="B859" s="855"/>
      <c r="C859" s="855"/>
      <c r="D859" s="855"/>
      <c r="E859" s="855"/>
      <c r="F859" s="855"/>
      <c r="G859" s="855"/>
      <c r="H859" s="855"/>
      <c r="I859" s="855"/>
      <c r="J859" s="855"/>
      <c r="K859" s="855"/>
      <c r="L859" s="855"/>
      <c r="M859" s="855"/>
      <c r="N859" s="855"/>
      <c r="O859" s="855"/>
      <c r="P859" s="855"/>
    </row>
    <row r="860" spans="1:16">
      <c r="A860" s="855"/>
      <c r="B860" s="855"/>
      <c r="C860" s="855"/>
      <c r="D860" s="855"/>
      <c r="E860" s="855"/>
      <c r="F860" s="855"/>
      <c r="G860" s="855"/>
      <c r="H860" s="855"/>
      <c r="I860" s="855"/>
      <c r="J860" s="855"/>
      <c r="K860" s="855"/>
      <c r="L860" s="855"/>
      <c r="M860" s="855"/>
      <c r="N860" s="855"/>
      <c r="O860" s="855"/>
      <c r="P860" s="855"/>
    </row>
    <row r="861" spans="1:16" ht="15.75" thickBot="1">
      <c r="A861" s="855"/>
      <c r="B861" s="855"/>
      <c r="C861" s="855"/>
      <c r="D861" s="855"/>
      <c r="E861" s="855"/>
      <c r="F861" s="855"/>
      <c r="G861" s="855"/>
      <c r="H861" s="855"/>
      <c r="I861" s="855"/>
      <c r="J861" s="855"/>
      <c r="K861" s="855"/>
      <c r="L861" s="855"/>
      <c r="M861" s="855"/>
      <c r="N861" s="855"/>
      <c r="O861" s="855"/>
      <c r="P861" s="855"/>
    </row>
    <row r="862" spans="1:16">
      <c r="A862" s="855"/>
      <c r="B862" s="1180" t="s">
        <v>727</v>
      </c>
      <c r="C862" s="1180"/>
      <c r="D862" s="1180"/>
      <c r="E862" s="1180"/>
      <c r="F862" s="1180"/>
      <c r="G862" s="1180"/>
      <c r="H862" s="1180"/>
      <c r="I862" s="1180"/>
      <c r="J862" s="1180"/>
      <c r="K862" s="1180"/>
      <c r="L862" s="1180"/>
      <c r="M862" s="1180"/>
      <c r="N862" s="1180"/>
      <c r="O862" s="1180"/>
      <c r="P862" s="1181"/>
    </row>
    <row r="863" spans="1:16">
      <c r="A863" s="855"/>
      <c r="B863" s="1182"/>
      <c r="C863" s="1182"/>
      <c r="D863" s="1182"/>
      <c r="E863" s="1182"/>
      <c r="F863" s="1182"/>
      <c r="G863" s="1182"/>
      <c r="H863" s="1182"/>
      <c r="I863" s="1182"/>
      <c r="J863" s="1182"/>
      <c r="K863" s="1182"/>
      <c r="L863" s="1182"/>
      <c r="M863" s="1182"/>
      <c r="N863" s="1182"/>
      <c r="O863" s="1182"/>
      <c r="P863" s="1183"/>
    </row>
    <row r="864" spans="1:16">
      <c r="A864" s="855"/>
      <c r="B864" s="1184" t="s">
        <v>728</v>
      </c>
      <c r="C864" s="1184"/>
      <c r="D864" s="1184"/>
      <c r="E864" s="1184"/>
      <c r="F864" s="1184"/>
      <c r="G864" s="1184"/>
      <c r="H864" s="1184"/>
      <c r="I864" s="1184"/>
      <c r="J864" s="1184"/>
      <c r="K864" s="1184"/>
      <c r="L864" s="1184"/>
      <c r="M864" s="1184"/>
      <c r="N864" s="1184"/>
      <c r="O864" s="1184"/>
      <c r="P864" s="1185"/>
    </row>
    <row r="865" spans="1:17">
      <c r="A865" s="855"/>
      <c r="B865" s="31" t="s">
        <v>199</v>
      </c>
      <c r="C865" s="32"/>
      <c r="D865" s="609" t="s">
        <v>425</v>
      </c>
      <c r="E865" s="300"/>
      <c r="F865" s="33"/>
      <c r="G865" s="32"/>
      <c r="H865" s="32"/>
      <c r="I865" s="40" t="s">
        <v>145</v>
      </c>
      <c r="J865" s="75"/>
      <c r="K865" s="75"/>
      <c r="L865" s="75"/>
      <c r="M865" s="75"/>
      <c r="N865" s="75"/>
      <c r="O865" s="75"/>
      <c r="P865" s="369"/>
    </row>
    <row r="866" spans="1:17" ht="15.75">
      <c r="A866" s="855"/>
      <c r="B866" s="34"/>
      <c r="C866" s="363" t="s">
        <v>426</v>
      </c>
      <c r="D866" s="363"/>
      <c r="E866" s="36"/>
      <c r="F866" s="76"/>
      <c r="G866" s="370"/>
      <c r="H866" s="300"/>
      <c r="I866" s="382" t="str">
        <f>'04-22-Master'!B36</f>
        <v xml:space="preserve">SADHAM HUSSAIN </v>
      </c>
      <c r="J866" s="370"/>
      <c r="K866" s="370"/>
      <c r="L866" s="370"/>
      <c r="M866" s="370"/>
      <c r="N866" s="370"/>
      <c r="O866" s="370"/>
      <c r="P866" s="371"/>
    </row>
    <row r="867" spans="1:17">
      <c r="A867" s="855"/>
      <c r="B867" s="37"/>
      <c r="C867" s="38"/>
      <c r="D867" s="38"/>
      <c r="E867" s="39"/>
      <c r="F867" s="77"/>
      <c r="G867" s="78"/>
      <c r="H867" s="78"/>
      <c r="I867" s="78"/>
      <c r="J867" s="78"/>
      <c r="K867" s="78"/>
      <c r="L867" s="78"/>
      <c r="M867" s="78"/>
      <c r="N867" s="78"/>
      <c r="O867" s="78"/>
      <c r="P867" s="372"/>
    </row>
    <row r="868" spans="1:17">
      <c r="A868" s="855"/>
      <c r="B868" s="1186"/>
      <c r="C868" s="1186"/>
      <c r="D868" s="1186"/>
      <c r="E868" s="1186"/>
      <c r="F868" s="40"/>
      <c r="G868" s="32"/>
      <c r="H868" s="32"/>
      <c r="I868" s="32"/>
      <c r="J868" s="32"/>
      <c r="K868" s="32"/>
      <c r="L868" s="32"/>
      <c r="M868" s="32"/>
      <c r="N868" s="32"/>
      <c r="O868" s="32"/>
      <c r="P868" s="33"/>
    </row>
    <row r="869" spans="1:17">
      <c r="A869" s="855"/>
      <c r="B869" s="1186"/>
      <c r="C869" s="1186"/>
      <c r="D869" s="1186"/>
      <c r="E869" s="1186"/>
      <c r="F869" s="300"/>
      <c r="G869" s="363"/>
      <c r="H869" s="152"/>
      <c r="I869" s="300" t="s">
        <v>147</v>
      </c>
      <c r="J869" s="373"/>
      <c r="K869" s="373"/>
      <c r="L869" s="363"/>
      <c r="M869" s="363"/>
      <c r="N869" s="363"/>
      <c r="O869" s="363"/>
      <c r="P869" s="36"/>
    </row>
    <row r="870" spans="1:17">
      <c r="A870" s="855"/>
      <c r="B870" s="1186"/>
      <c r="C870" s="1186"/>
      <c r="D870" s="1186"/>
      <c r="E870" s="1186"/>
      <c r="F870" s="34"/>
      <c r="G870" s="363"/>
      <c r="H870" s="363"/>
      <c r="I870" s="363" t="str">
        <f>'04-22-Master'!E36</f>
        <v>Shahul Hameed</v>
      </c>
      <c r="J870" s="363"/>
      <c r="K870" s="363"/>
      <c r="L870" s="363"/>
      <c r="M870" s="363"/>
      <c r="N870" s="363"/>
      <c r="O870" s="363"/>
      <c r="P870" s="36"/>
    </row>
    <row r="871" spans="1:17">
      <c r="A871" s="855"/>
      <c r="B871" s="1186"/>
      <c r="C871" s="1186"/>
      <c r="D871" s="1186"/>
      <c r="E871" s="1186"/>
      <c r="F871" s="300"/>
      <c r="G871" s="38"/>
      <c r="H871" s="112"/>
      <c r="I871" s="300" t="s">
        <v>148</v>
      </c>
      <c r="J871" s="38"/>
      <c r="K871" s="38"/>
      <c r="L871" s="112">
        <f>'04-22-Master'!I36</f>
        <v>44676</v>
      </c>
      <c r="M871" s="38"/>
      <c r="N871" s="38"/>
      <c r="O871" s="38"/>
      <c r="P871" s="39"/>
    </row>
    <row r="872" spans="1:17">
      <c r="A872" s="855"/>
      <c r="B872" s="1187" t="e">
        <f>#REF!</f>
        <v>#REF!</v>
      </c>
      <c r="C872" s="1189" t="s">
        <v>431</v>
      </c>
      <c r="D872" s="1190"/>
      <c r="E872" s="1189" t="s">
        <v>432</v>
      </c>
      <c r="F872" s="1190"/>
      <c r="G872" s="1193" t="s">
        <v>433</v>
      </c>
      <c r="H872" s="1189" t="s">
        <v>434</v>
      </c>
      <c r="I872" s="1194"/>
      <c r="J872" s="1195" t="s">
        <v>435</v>
      </c>
      <c r="K872" s="1194"/>
      <c r="L872" s="1196"/>
      <c r="M872" s="1195" t="s">
        <v>436</v>
      </c>
      <c r="N872" s="1194"/>
      <c r="O872" s="1194"/>
      <c r="P872" s="1200" t="s">
        <v>437</v>
      </c>
    </row>
    <row r="873" spans="1:17" ht="15.75" thickBot="1">
      <c r="A873" s="855"/>
      <c r="B873" s="1188"/>
      <c r="C873" s="1189"/>
      <c r="D873" s="1190"/>
      <c r="E873" s="1189"/>
      <c r="F873" s="1190"/>
      <c r="G873" s="1187"/>
      <c r="H873" s="1189"/>
      <c r="I873" s="1194"/>
      <c r="J873" s="1197"/>
      <c r="K873" s="1198"/>
      <c r="L873" s="1199"/>
      <c r="M873" s="1197"/>
      <c r="N873" s="1198"/>
      <c r="O873" s="1198"/>
      <c r="P873" s="1201"/>
    </row>
    <row r="874" spans="1:17">
      <c r="A874" s="855"/>
      <c r="B874" s="352">
        <v>1</v>
      </c>
      <c r="C874" s="1191"/>
      <c r="D874" s="1192"/>
      <c r="E874" s="1191"/>
      <c r="F874" s="1192"/>
      <c r="G874" s="352">
        <v>6</v>
      </c>
      <c r="H874" s="1191"/>
      <c r="I874" s="1192"/>
      <c r="J874" s="311">
        <v>9</v>
      </c>
      <c r="K874" s="311"/>
      <c r="L874" s="311"/>
      <c r="M874" s="311">
        <v>9</v>
      </c>
      <c r="N874" s="311"/>
      <c r="O874" s="311"/>
      <c r="P874" s="312" t="s">
        <v>438</v>
      </c>
    </row>
    <row r="875" spans="1:17" ht="89.25">
      <c r="A875" s="855"/>
      <c r="B875" s="313"/>
      <c r="C875" s="313" t="s">
        <v>439</v>
      </c>
      <c r="D875" s="313" t="s">
        <v>440</v>
      </c>
      <c r="E875" s="313" t="s">
        <v>441</v>
      </c>
      <c r="F875" s="313" t="s">
        <v>150</v>
      </c>
      <c r="G875" s="313"/>
      <c r="H875" s="313" t="s">
        <v>442</v>
      </c>
      <c r="I875" s="313" t="s">
        <v>443</v>
      </c>
      <c r="J875" s="313" t="s">
        <v>149</v>
      </c>
      <c r="K875" s="313" t="s">
        <v>444</v>
      </c>
      <c r="L875" s="313" t="s">
        <v>445</v>
      </c>
      <c r="M875" s="313" t="s">
        <v>446</v>
      </c>
      <c r="N875" s="313" t="s">
        <v>447</v>
      </c>
      <c r="O875" s="314" t="s">
        <v>448</v>
      </c>
      <c r="P875" s="314"/>
    </row>
    <row r="876" spans="1:17">
      <c r="A876" s="855"/>
      <c r="B876" s="315"/>
      <c r="C876" s="313"/>
      <c r="D876" s="313"/>
      <c r="E876" s="316"/>
      <c r="F876" s="316"/>
      <c r="G876" s="313"/>
      <c r="H876" s="313"/>
      <c r="I876" s="313"/>
      <c r="J876" s="313"/>
      <c r="K876" s="313"/>
      <c r="L876" s="313"/>
      <c r="M876" s="313"/>
      <c r="N876" s="313"/>
      <c r="O876" s="313"/>
      <c r="P876" s="313"/>
    </row>
    <row r="877" spans="1:17" s="855" customFormat="1">
      <c r="B877" s="375" t="s">
        <v>1139</v>
      </c>
      <c r="C877" s="313">
        <v>0</v>
      </c>
      <c r="D877" s="313">
        <v>0</v>
      </c>
      <c r="E877" s="313">
        <v>0</v>
      </c>
      <c r="F877" s="313">
        <v>0</v>
      </c>
      <c r="G877" s="313">
        <f>G876+C877-D877</f>
        <v>0</v>
      </c>
      <c r="H877" s="313"/>
      <c r="I877" s="313"/>
      <c r="J877" s="313" t="s">
        <v>152</v>
      </c>
      <c r="K877" s="313" t="s">
        <v>152</v>
      </c>
      <c r="L877" s="313" t="s">
        <v>152</v>
      </c>
      <c r="M877" s="313"/>
      <c r="N877" s="313" t="s">
        <v>718</v>
      </c>
      <c r="O877" s="313"/>
      <c r="P877" s="313"/>
      <c r="Q877" s="855">
        <v>21</v>
      </c>
    </row>
    <row r="878" spans="1:17">
      <c r="A878" s="855"/>
      <c r="B878" s="600"/>
      <c r="C878" s="374"/>
      <c r="D878" s="374"/>
      <c r="E878" s="374"/>
      <c r="F878" s="374"/>
      <c r="G878" s="313"/>
      <c r="H878" s="374"/>
      <c r="I878" s="374"/>
      <c r="J878" s="313"/>
      <c r="K878" s="313"/>
      <c r="L878" s="313"/>
      <c r="M878" s="374"/>
      <c r="N878" s="374"/>
      <c r="O878" s="374"/>
      <c r="P878" s="374"/>
    </row>
    <row r="879" spans="1:17">
      <c r="A879" s="855"/>
      <c r="B879" s="315"/>
      <c r="C879" s="313"/>
      <c r="D879" s="313"/>
      <c r="E879" s="521"/>
      <c r="F879" s="521"/>
      <c r="G879" s="313"/>
      <c r="H879" s="313"/>
      <c r="I879" s="313"/>
      <c r="J879" s="313"/>
      <c r="K879" s="313"/>
      <c r="L879" s="313"/>
      <c r="M879" s="313"/>
      <c r="N879" s="313"/>
      <c r="O879" s="855"/>
      <c r="P879" s="313"/>
    </row>
    <row r="880" spans="1:17">
      <c r="A880" s="855"/>
      <c r="B880" s="315"/>
      <c r="C880" s="313"/>
      <c r="D880" s="313"/>
      <c r="E880" s="316"/>
      <c r="F880" s="316"/>
      <c r="G880" s="313"/>
      <c r="H880" s="313"/>
      <c r="I880" s="313"/>
      <c r="J880" s="313"/>
      <c r="K880" s="313"/>
      <c r="L880" s="313"/>
      <c r="M880" s="313"/>
      <c r="N880" s="313"/>
      <c r="O880" s="313"/>
      <c r="P880" s="313"/>
    </row>
    <row r="881" spans="1:16">
      <c r="A881" s="855"/>
      <c r="B881" s="601"/>
      <c r="C881" s="857"/>
      <c r="D881" s="857"/>
      <c r="E881" s="857"/>
      <c r="F881" s="857"/>
      <c r="G881" s="313"/>
      <c r="H881" s="857"/>
      <c r="I881" s="857"/>
      <c r="J881" s="313"/>
      <c r="K881" s="313"/>
      <c r="L881" s="313"/>
      <c r="M881" s="313"/>
      <c r="N881" s="313"/>
      <c r="O881" s="313"/>
      <c r="P881" s="313"/>
    </row>
    <row r="882" spans="1:16">
      <c r="A882" s="855"/>
      <c r="B882" s="315"/>
      <c r="C882" s="307"/>
      <c r="D882" s="313"/>
      <c r="E882" s="313"/>
      <c r="F882" s="313"/>
      <c r="G882" s="313"/>
      <c r="H882" s="313"/>
      <c r="I882" s="313"/>
      <c r="J882" s="313"/>
      <c r="K882" s="313"/>
      <c r="L882" s="313"/>
      <c r="M882" s="313"/>
      <c r="N882" s="313"/>
      <c r="O882" s="313"/>
      <c r="P882" s="313"/>
    </row>
    <row r="883" spans="1:16">
      <c r="A883" s="855"/>
      <c r="B883" s="315"/>
      <c r="C883" s="313"/>
      <c r="D883" s="313"/>
      <c r="E883" s="313"/>
      <c r="F883" s="313"/>
      <c r="G883" s="313"/>
      <c r="H883" s="313"/>
      <c r="I883" s="313"/>
      <c r="J883" s="313"/>
      <c r="K883" s="313"/>
      <c r="L883" s="313"/>
      <c r="M883" s="313"/>
      <c r="N883" s="313"/>
      <c r="O883" s="313"/>
      <c r="P883" s="313"/>
    </row>
    <row r="884" spans="1:16">
      <c r="A884" s="855"/>
      <c r="B884" s="315"/>
      <c r="C884" s="313"/>
      <c r="D884" s="313"/>
      <c r="E884" s="313"/>
      <c r="F884" s="313"/>
      <c r="G884" s="313"/>
      <c r="H884" s="313"/>
      <c r="I884" s="313"/>
      <c r="J884" s="313"/>
      <c r="K884" s="313"/>
      <c r="L884" s="313"/>
      <c r="M884" s="313"/>
      <c r="N884" s="313"/>
      <c r="O884" s="313"/>
      <c r="P884" s="313"/>
    </row>
    <row r="885" spans="1:16">
      <c r="A885" s="855"/>
      <c r="B885" s="315"/>
      <c r="C885" s="313"/>
      <c r="D885" s="313"/>
      <c r="E885" s="313"/>
      <c r="F885" s="313"/>
      <c r="G885" s="313"/>
      <c r="H885" s="313"/>
      <c r="I885" s="313"/>
      <c r="J885" s="313"/>
      <c r="K885" s="313"/>
      <c r="L885" s="313"/>
      <c r="M885" s="313"/>
      <c r="N885" s="313"/>
      <c r="O885" s="313"/>
      <c r="P885" s="313"/>
    </row>
    <row r="886" spans="1:16">
      <c r="A886" s="855"/>
      <c r="B886" s="315"/>
      <c r="C886" s="313"/>
      <c r="D886" s="313"/>
      <c r="E886" s="313"/>
      <c r="F886" s="313"/>
      <c r="G886" s="313"/>
      <c r="H886" s="313"/>
      <c r="I886" s="313"/>
      <c r="J886" s="313"/>
      <c r="K886" s="313"/>
      <c r="L886" s="313"/>
      <c r="M886" s="313"/>
      <c r="N886" s="313"/>
      <c r="O886" s="313"/>
      <c r="P886" s="313"/>
    </row>
    <row r="887" spans="1:16">
      <c r="A887" s="855"/>
      <c r="B887" s="315"/>
      <c r="C887" s="313"/>
      <c r="D887" s="313"/>
      <c r="E887" s="313"/>
      <c r="F887" s="313"/>
      <c r="G887" s="313"/>
      <c r="H887" s="313"/>
      <c r="I887" s="313"/>
      <c r="J887" s="313"/>
      <c r="K887" s="313"/>
      <c r="L887" s="313"/>
      <c r="M887" s="313"/>
      <c r="N887" s="313"/>
      <c r="O887" s="313"/>
      <c r="P887" s="313"/>
    </row>
    <row r="888" spans="1:16">
      <c r="A888" s="855"/>
      <c r="B888" s="315"/>
      <c r="C888" s="313"/>
      <c r="D888" s="313"/>
      <c r="E888" s="313"/>
      <c r="F888" s="313"/>
      <c r="G888" s="313"/>
      <c r="H888" s="313"/>
      <c r="I888" s="313"/>
      <c r="J888" s="313"/>
      <c r="K888" s="313"/>
      <c r="L888" s="313"/>
      <c r="M888" s="313"/>
      <c r="N888" s="313"/>
      <c r="O888" s="313"/>
      <c r="P888" s="313"/>
    </row>
    <row r="889" spans="1:16">
      <c r="A889" s="855"/>
      <c r="B889" s="374"/>
      <c r="C889" s="374"/>
      <c r="D889" s="374"/>
      <c r="E889" s="374"/>
      <c r="F889" s="374"/>
      <c r="G889" s="374"/>
      <c r="H889" s="374"/>
      <c r="I889" s="374"/>
      <c r="J889" s="374"/>
      <c r="K889" s="374"/>
      <c r="L889" s="374"/>
      <c r="M889" s="374"/>
      <c r="N889" s="374"/>
      <c r="O889" s="374"/>
      <c r="P889" s="374"/>
    </row>
    <row r="890" spans="1:16">
      <c r="A890" s="855"/>
      <c r="B890" s="374"/>
      <c r="C890" s="374"/>
      <c r="D890" s="374"/>
      <c r="E890" s="374"/>
      <c r="F890" s="374"/>
      <c r="G890" s="374"/>
      <c r="H890" s="374"/>
      <c r="I890" s="374"/>
      <c r="J890" s="374"/>
      <c r="K890" s="374"/>
      <c r="L890" s="374"/>
      <c r="M890" s="374"/>
      <c r="N890" s="374"/>
      <c r="O890" s="374"/>
      <c r="P890" s="374"/>
    </row>
    <row r="891" spans="1:16">
      <c r="A891" s="855"/>
      <c r="B891" s="374"/>
      <c r="C891" s="388"/>
      <c r="D891" s="374"/>
      <c r="E891" s="374"/>
      <c r="F891" s="374"/>
      <c r="G891" s="374"/>
      <c r="H891" s="374"/>
      <c r="I891" s="374"/>
      <c r="J891" s="374"/>
      <c r="K891" s="374"/>
      <c r="L891" s="374"/>
      <c r="M891" s="374"/>
      <c r="N891" s="374"/>
      <c r="O891" s="374"/>
      <c r="P891" s="374"/>
    </row>
    <row r="892" spans="1:16">
      <c r="A892" s="855"/>
      <c r="B892" s="34"/>
      <c r="C892" s="363"/>
      <c r="D892" s="363"/>
      <c r="E892" s="363"/>
      <c r="F892" s="363"/>
      <c r="G892" s="363"/>
      <c r="H892" s="363"/>
      <c r="I892" s="363"/>
      <c r="J892" s="363"/>
      <c r="K892" s="363"/>
      <c r="L892" s="363"/>
      <c r="M892" s="363"/>
      <c r="N892" s="363"/>
      <c r="O892" s="363"/>
      <c r="P892" s="33"/>
    </row>
    <row r="893" spans="1:16">
      <c r="A893" s="855"/>
      <c r="B893" s="34"/>
      <c r="C893" s="363"/>
      <c r="D893" s="363"/>
      <c r="E893" s="363"/>
      <c r="F893" s="363"/>
      <c r="G893" s="363"/>
      <c r="H893" s="363"/>
      <c r="I893" s="363"/>
      <c r="J893" s="363"/>
      <c r="K893" s="363"/>
      <c r="L893" s="363"/>
      <c r="M893" s="363"/>
      <c r="N893" s="363"/>
      <c r="O893" s="363"/>
      <c r="P893" s="36"/>
    </row>
    <row r="894" spans="1:16">
      <c r="A894" s="855"/>
      <c r="B894" s="34"/>
      <c r="C894" s="363"/>
      <c r="D894" s="363"/>
      <c r="E894" s="363"/>
      <c r="F894" s="363"/>
      <c r="G894" s="363"/>
      <c r="H894" s="363"/>
      <c r="I894" s="363"/>
      <c r="J894" s="363"/>
      <c r="K894" s="363"/>
      <c r="L894" s="363"/>
      <c r="M894" s="363"/>
      <c r="N894" s="363"/>
      <c r="O894" s="363"/>
      <c r="P894" s="36"/>
    </row>
    <row r="895" spans="1:16">
      <c r="A895" s="855"/>
      <c r="B895" s="34"/>
      <c r="C895" s="363"/>
      <c r="D895" s="363"/>
      <c r="E895" s="363"/>
      <c r="F895" s="363"/>
      <c r="G895" s="363"/>
      <c r="H895" s="363"/>
      <c r="I895" s="363"/>
      <c r="J895" s="363"/>
      <c r="K895" s="363"/>
      <c r="L895" s="363"/>
      <c r="M895" s="363"/>
      <c r="N895" s="363"/>
      <c r="O895" s="363"/>
      <c r="P895" s="36"/>
    </row>
    <row r="896" spans="1:16">
      <c r="A896" s="855"/>
      <c r="B896" s="34"/>
      <c r="C896" s="363"/>
      <c r="D896" s="363"/>
      <c r="E896" s="363"/>
      <c r="F896" s="363"/>
      <c r="G896" s="363"/>
      <c r="H896" s="363"/>
      <c r="I896" s="363"/>
      <c r="J896" s="363"/>
      <c r="K896" s="363"/>
      <c r="L896" s="363"/>
      <c r="M896" s="363"/>
      <c r="N896" s="363"/>
      <c r="O896" s="363"/>
      <c r="P896" s="36"/>
    </row>
    <row r="897" spans="1:16">
      <c r="A897" s="855"/>
      <c r="B897" s="34"/>
      <c r="C897" s="300"/>
      <c r="D897" s="300"/>
      <c r="E897" s="300"/>
      <c r="F897" s="300"/>
      <c r="G897" s="300"/>
      <c r="H897" s="300"/>
      <c r="I897" s="300"/>
      <c r="J897" s="300"/>
      <c r="K897" s="300"/>
      <c r="L897" s="300"/>
      <c r="M897" s="300"/>
      <c r="N897" s="300"/>
      <c r="O897" s="300"/>
      <c r="P897" s="63"/>
    </row>
    <row r="898" spans="1:16">
      <c r="A898" s="855"/>
      <c r="B898" s="73"/>
      <c r="C898" s="19"/>
      <c r="D898" s="19"/>
      <c r="E898" s="19"/>
      <c r="F898" s="19"/>
      <c r="G898" s="19"/>
      <c r="H898" s="19"/>
      <c r="I898" s="19"/>
      <c r="J898" s="19" t="s">
        <v>38</v>
      </c>
      <c r="K898" s="19"/>
      <c r="L898" s="19"/>
      <c r="M898" s="19"/>
      <c r="N898" s="19"/>
      <c r="O898" s="19"/>
      <c r="P898" s="74"/>
    </row>
    <row r="899" spans="1:16">
      <c r="A899" s="855"/>
      <c r="B899" s="855"/>
      <c r="C899" s="855"/>
      <c r="D899" s="855"/>
      <c r="E899" s="855"/>
      <c r="F899" s="855"/>
      <c r="G899" s="855"/>
      <c r="H899" s="855"/>
      <c r="I899" s="855"/>
      <c r="J899" s="855"/>
      <c r="K899" s="855"/>
      <c r="L899" s="855"/>
      <c r="M899" s="855"/>
      <c r="N899" s="855"/>
      <c r="O899" s="855"/>
      <c r="P899" s="855"/>
    </row>
    <row r="900" spans="1:16">
      <c r="A900" s="855"/>
      <c r="B900" s="855"/>
      <c r="C900" s="855"/>
      <c r="D900" s="855"/>
      <c r="E900" s="855"/>
      <c r="F900" s="855"/>
      <c r="G900" s="855"/>
      <c r="H900" s="855"/>
      <c r="I900" s="855"/>
      <c r="J900" s="855"/>
      <c r="K900" s="855"/>
      <c r="L900" s="855"/>
      <c r="M900" s="855"/>
      <c r="N900" s="855"/>
      <c r="O900" s="855"/>
      <c r="P900" s="855"/>
    </row>
    <row r="901" spans="1:16">
      <c r="A901" s="855"/>
      <c r="B901" s="855"/>
      <c r="C901" s="855"/>
      <c r="D901" s="855"/>
      <c r="E901" s="855"/>
      <c r="F901" s="855"/>
      <c r="G901" s="855"/>
      <c r="H901" s="855"/>
      <c r="I901" s="855"/>
      <c r="J901" s="855"/>
      <c r="K901" s="855"/>
      <c r="L901" s="855"/>
      <c r="M901" s="855"/>
      <c r="N901" s="855"/>
      <c r="O901" s="855"/>
      <c r="P901" s="855"/>
    </row>
    <row r="902" spans="1:16">
      <c r="A902" s="855"/>
      <c r="B902" s="855"/>
      <c r="C902" s="855"/>
      <c r="D902" s="855"/>
      <c r="E902" s="855"/>
      <c r="F902" s="855"/>
      <c r="G902" s="855"/>
      <c r="H902" s="855"/>
      <c r="I902" s="855"/>
      <c r="J902" s="855"/>
      <c r="K902" s="855"/>
      <c r="L902" s="855"/>
      <c r="M902" s="855"/>
      <c r="N902" s="855"/>
      <c r="O902" s="855"/>
      <c r="P902" s="855"/>
    </row>
    <row r="903" spans="1:16">
      <c r="A903" s="855"/>
      <c r="B903" s="855"/>
      <c r="C903" s="855"/>
      <c r="D903" s="855"/>
      <c r="E903" s="855"/>
      <c r="F903" s="855"/>
      <c r="G903" s="855"/>
      <c r="H903" s="855"/>
      <c r="I903" s="855"/>
      <c r="J903" s="855"/>
      <c r="K903" s="855"/>
      <c r="L903" s="855"/>
      <c r="M903" s="855"/>
      <c r="N903" s="855"/>
      <c r="O903" s="855"/>
      <c r="P903" s="855"/>
    </row>
    <row r="904" spans="1:16">
      <c r="A904" s="855"/>
      <c r="B904" s="855"/>
      <c r="C904" s="855"/>
      <c r="D904" s="855"/>
      <c r="E904" s="855"/>
      <c r="F904" s="855"/>
      <c r="G904" s="855"/>
      <c r="H904" s="855"/>
      <c r="I904" s="855"/>
      <c r="J904" s="855"/>
      <c r="K904" s="855"/>
      <c r="L904" s="855"/>
      <c r="M904" s="855"/>
      <c r="N904" s="855"/>
      <c r="O904" s="855"/>
      <c r="P904" s="855"/>
    </row>
    <row r="905" spans="1:16">
      <c r="A905" s="855"/>
      <c r="B905" s="855"/>
      <c r="C905" s="855"/>
      <c r="D905" s="855"/>
      <c r="E905" s="855"/>
      <c r="F905" s="855"/>
      <c r="G905" s="855"/>
      <c r="H905" s="855"/>
      <c r="I905" s="855"/>
      <c r="J905" s="855"/>
      <c r="K905" s="855"/>
      <c r="L905" s="855"/>
      <c r="M905" s="855"/>
      <c r="N905" s="855"/>
      <c r="O905" s="855"/>
      <c r="P905" s="855"/>
    </row>
    <row r="906" spans="1:16" ht="15.75" thickBot="1">
      <c r="A906" s="855"/>
      <c r="B906" s="855"/>
      <c r="C906" s="855"/>
      <c r="D906" s="855"/>
      <c r="E906" s="855"/>
      <c r="F906" s="855"/>
      <c r="G906" s="855"/>
      <c r="H906" s="855"/>
      <c r="I906" s="855"/>
      <c r="J906" s="855"/>
      <c r="K906" s="855"/>
      <c r="L906" s="855"/>
      <c r="M906" s="855"/>
      <c r="N906" s="855"/>
      <c r="O906" s="855"/>
      <c r="P906" s="855"/>
    </row>
    <row r="907" spans="1:16">
      <c r="A907" s="855"/>
      <c r="B907" s="1180" t="s">
        <v>727</v>
      </c>
      <c r="C907" s="1180"/>
      <c r="D907" s="1180"/>
      <c r="E907" s="1180"/>
      <c r="F907" s="1180"/>
      <c r="G907" s="1180"/>
      <c r="H907" s="1180"/>
      <c r="I907" s="1180"/>
      <c r="J907" s="1180"/>
      <c r="K907" s="1180"/>
      <c r="L907" s="1180"/>
      <c r="M907" s="1180"/>
      <c r="N907" s="1180"/>
      <c r="O907" s="1180"/>
      <c r="P907" s="1181"/>
    </row>
    <row r="908" spans="1:16">
      <c r="A908" s="855"/>
      <c r="B908" s="1182"/>
      <c r="C908" s="1182"/>
      <c r="D908" s="1182"/>
      <c r="E908" s="1182"/>
      <c r="F908" s="1182"/>
      <c r="G908" s="1182"/>
      <c r="H908" s="1182"/>
      <c r="I908" s="1182"/>
      <c r="J908" s="1182"/>
      <c r="K908" s="1182"/>
      <c r="L908" s="1182"/>
      <c r="M908" s="1182"/>
      <c r="N908" s="1182"/>
      <c r="O908" s="1182"/>
      <c r="P908" s="1183"/>
    </row>
    <row r="909" spans="1:16">
      <c r="A909" s="855"/>
      <c r="B909" s="1184" t="s">
        <v>728</v>
      </c>
      <c r="C909" s="1184"/>
      <c r="D909" s="1184"/>
      <c r="E909" s="1184"/>
      <c r="F909" s="1184"/>
      <c r="G909" s="1184"/>
      <c r="H909" s="1184"/>
      <c r="I909" s="1184"/>
      <c r="J909" s="1184"/>
      <c r="K909" s="1184"/>
      <c r="L909" s="1184"/>
      <c r="M909" s="1184"/>
      <c r="N909" s="1184"/>
      <c r="O909" s="1184"/>
      <c r="P909" s="1185"/>
    </row>
    <row r="910" spans="1:16">
      <c r="A910" s="855"/>
      <c r="B910" s="31" t="s">
        <v>199</v>
      </c>
      <c r="C910" s="32"/>
      <c r="D910" s="609" t="s">
        <v>425</v>
      </c>
      <c r="E910" s="300"/>
      <c r="F910" s="33"/>
      <c r="G910" s="32"/>
      <c r="H910" s="32"/>
      <c r="I910" s="40" t="s">
        <v>145</v>
      </c>
      <c r="J910" s="75"/>
      <c r="K910" s="75"/>
      <c r="L910" s="75"/>
      <c r="M910" s="75"/>
      <c r="N910" s="75"/>
      <c r="O910" s="75"/>
      <c r="P910" s="369"/>
    </row>
    <row r="911" spans="1:16" ht="15.75">
      <c r="A911" s="855"/>
      <c r="B911" s="34"/>
      <c r="C911" s="363" t="s">
        <v>426</v>
      </c>
      <c r="D911" s="363"/>
      <c r="E911" s="36"/>
      <c r="F911" s="76"/>
      <c r="G911" s="370"/>
      <c r="H911" s="300"/>
      <c r="I911" s="382">
        <f>'04-22-Master'!B496</f>
        <v>0</v>
      </c>
      <c r="J911" s="370"/>
      <c r="K911" s="370"/>
      <c r="L911" s="370"/>
      <c r="M911" s="370"/>
      <c r="N911" s="370"/>
      <c r="O911" s="370"/>
      <c r="P911" s="371"/>
    </row>
    <row r="912" spans="1:16">
      <c r="A912" s="855"/>
      <c r="B912" s="37"/>
      <c r="C912" s="38"/>
      <c r="D912" s="38"/>
      <c r="E912" s="39"/>
      <c r="F912" s="77"/>
      <c r="G912" s="78"/>
      <c r="H912" s="78"/>
      <c r="I912" s="78"/>
      <c r="J912" s="78"/>
      <c r="K912" s="78"/>
      <c r="L912" s="78"/>
      <c r="M912" s="78"/>
      <c r="N912" s="78"/>
      <c r="O912" s="78"/>
      <c r="P912" s="372"/>
    </row>
    <row r="913" spans="1:16">
      <c r="A913" s="855"/>
      <c r="B913" s="1186"/>
      <c r="C913" s="1186"/>
      <c r="D913" s="1186"/>
      <c r="E913" s="1186"/>
      <c r="F913" s="40"/>
      <c r="G913" s="32"/>
      <c r="H913" s="32"/>
      <c r="I913" s="32"/>
      <c r="J913" s="32"/>
      <c r="K913" s="32"/>
      <c r="L913" s="32"/>
      <c r="M913" s="32"/>
      <c r="N913" s="32"/>
      <c r="O913" s="32"/>
      <c r="P913" s="33"/>
    </row>
    <row r="914" spans="1:16">
      <c r="A914" s="855"/>
      <c r="B914" s="1186"/>
      <c r="C914" s="1186"/>
      <c r="D914" s="1186"/>
      <c r="E914" s="1186"/>
      <c r="F914" s="300"/>
      <c r="G914" s="363"/>
      <c r="H914" s="152"/>
      <c r="I914" s="300" t="s">
        <v>147</v>
      </c>
      <c r="J914" s="373"/>
      <c r="K914" s="373"/>
      <c r="L914" s="363"/>
      <c r="M914" s="363"/>
      <c r="N914" s="363"/>
      <c r="O914" s="363"/>
      <c r="P914" s="36"/>
    </row>
    <row r="915" spans="1:16">
      <c r="A915" s="855"/>
      <c r="B915" s="1186"/>
      <c r="C915" s="1186"/>
      <c r="D915" s="1186"/>
      <c r="E915" s="1186"/>
      <c r="F915" s="34"/>
      <c r="G915" s="363"/>
      <c r="H915" s="363"/>
      <c r="I915" s="363">
        <f>'04-22-Master'!E496</f>
        <v>0</v>
      </c>
      <c r="J915" s="363"/>
      <c r="K915" s="363"/>
      <c r="L915" s="363"/>
      <c r="M915" s="363"/>
      <c r="N915" s="363"/>
      <c r="O915" s="363"/>
      <c r="P915" s="36"/>
    </row>
    <row r="916" spans="1:16">
      <c r="A916" s="855"/>
      <c r="B916" s="1186"/>
      <c r="C916" s="1186"/>
      <c r="D916" s="1186"/>
      <c r="E916" s="1186"/>
      <c r="F916" s="300"/>
      <c r="G916" s="38"/>
      <c r="H916" s="112"/>
      <c r="I916" s="300" t="s">
        <v>148</v>
      </c>
      <c r="J916" s="38"/>
      <c r="K916" s="38"/>
      <c r="L916" s="112">
        <f>'04-22-Master'!I496</f>
        <v>0</v>
      </c>
      <c r="M916" s="38"/>
      <c r="N916" s="38"/>
      <c r="O916" s="38"/>
      <c r="P916" s="39"/>
    </row>
    <row r="917" spans="1:16">
      <c r="A917" s="855"/>
      <c r="B917" s="1187" t="e">
        <f>#REF!</f>
        <v>#REF!</v>
      </c>
      <c r="C917" s="1189" t="s">
        <v>431</v>
      </c>
      <c r="D917" s="1190"/>
      <c r="E917" s="1189" t="s">
        <v>432</v>
      </c>
      <c r="F917" s="1190"/>
      <c r="G917" s="1193" t="s">
        <v>433</v>
      </c>
      <c r="H917" s="1189" t="s">
        <v>434</v>
      </c>
      <c r="I917" s="1194"/>
      <c r="J917" s="1195" t="s">
        <v>435</v>
      </c>
      <c r="K917" s="1194"/>
      <c r="L917" s="1196"/>
      <c r="M917" s="1195" t="s">
        <v>436</v>
      </c>
      <c r="N917" s="1194"/>
      <c r="O917" s="1194"/>
      <c r="P917" s="1200" t="s">
        <v>437</v>
      </c>
    </row>
    <row r="918" spans="1:16" ht="15.75" thickBot="1">
      <c r="A918" s="855"/>
      <c r="B918" s="1188"/>
      <c r="C918" s="1189"/>
      <c r="D918" s="1190"/>
      <c r="E918" s="1189"/>
      <c r="F918" s="1190"/>
      <c r="G918" s="1187"/>
      <c r="H918" s="1189"/>
      <c r="I918" s="1194"/>
      <c r="J918" s="1197"/>
      <c r="K918" s="1198"/>
      <c r="L918" s="1199"/>
      <c r="M918" s="1197"/>
      <c r="N918" s="1198"/>
      <c r="O918" s="1198"/>
      <c r="P918" s="1201"/>
    </row>
    <row r="919" spans="1:16">
      <c r="A919" s="855"/>
      <c r="B919" s="352">
        <v>1</v>
      </c>
      <c r="C919" s="1191"/>
      <c r="D919" s="1192"/>
      <c r="E919" s="1191"/>
      <c r="F919" s="1192"/>
      <c r="G919" s="352">
        <v>6</v>
      </c>
      <c r="H919" s="1191"/>
      <c r="I919" s="1192"/>
      <c r="J919" s="311">
        <v>9</v>
      </c>
      <c r="K919" s="311"/>
      <c r="L919" s="311"/>
      <c r="M919" s="311">
        <v>9</v>
      </c>
      <c r="N919" s="311"/>
      <c r="O919" s="311"/>
      <c r="P919" s="312" t="s">
        <v>438</v>
      </c>
    </row>
    <row r="920" spans="1:16" ht="89.25">
      <c r="A920" s="855"/>
      <c r="B920" s="313"/>
      <c r="C920" s="313" t="s">
        <v>439</v>
      </c>
      <c r="D920" s="313" t="s">
        <v>440</v>
      </c>
      <c r="E920" s="313" t="s">
        <v>441</v>
      </c>
      <c r="F920" s="313" t="s">
        <v>150</v>
      </c>
      <c r="G920" s="313"/>
      <c r="H920" s="313" t="s">
        <v>442</v>
      </c>
      <c r="I920" s="313" t="s">
        <v>443</v>
      </c>
      <c r="J920" s="313" t="s">
        <v>149</v>
      </c>
      <c r="K920" s="313" t="s">
        <v>444</v>
      </c>
      <c r="L920" s="313" t="s">
        <v>445</v>
      </c>
      <c r="M920" s="313" t="s">
        <v>446</v>
      </c>
      <c r="N920" s="313" t="s">
        <v>447</v>
      </c>
      <c r="O920" s="314" t="s">
        <v>448</v>
      </c>
      <c r="P920" s="314"/>
    </row>
    <row r="921" spans="1:16">
      <c r="A921" s="855"/>
      <c r="B921" s="315"/>
      <c r="C921" s="313"/>
      <c r="D921" s="313"/>
      <c r="E921" s="316"/>
      <c r="F921" s="316"/>
      <c r="G921" s="313"/>
      <c r="H921" s="313"/>
      <c r="I921" s="313"/>
      <c r="J921" s="313"/>
      <c r="K921" s="313"/>
      <c r="L921" s="313"/>
      <c r="M921" s="313"/>
      <c r="N921" s="313"/>
      <c r="O921" s="313"/>
      <c r="P921" s="313"/>
    </row>
    <row r="922" spans="1:16">
      <c r="A922" s="855"/>
      <c r="B922" s="600"/>
      <c r="C922" s="374"/>
      <c r="D922" s="374"/>
      <c r="E922" s="503"/>
      <c r="F922" s="503"/>
      <c r="G922" s="313"/>
      <c r="H922" s="374"/>
      <c r="I922" s="374"/>
      <c r="J922" s="313"/>
      <c r="K922" s="313"/>
      <c r="L922" s="313"/>
      <c r="M922" s="374"/>
      <c r="N922" s="374"/>
      <c r="O922" s="374"/>
      <c r="P922" s="374"/>
    </row>
    <row r="923" spans="1:16">
      <c r="A923" s="855"/>
      <c r="B923" s="600"/>
      <c r="C923" s="374"/>
      <c r="D923" s="374"/>
      <c r="E923" s="374"/>
      <c r="F923" s="374"/>
      <c r="G923" s="313"/>
      <c r="H923" s="374"/>
      <c r="I923" s="374"/>
      <c r="J923" s="313"/>
      <c r="K923" s="313"/>
      <c r="L923" s="313"/>
      <c r="M923" s="374"/>
      <c r="N923" s="374"/>
      <c r="O923" s="374"/>
      <c r="P923" s="374"/>
    </row>
    <row r="924" spans="1:16">
      <c r="A924" s="855"/>
      <c r="B924" s="315"/>
      <c r="C924" s="313"/>
      <c r="D924" s="313"/>
      <c r="E924" s="521"/>
      <c r="F924" s="521"/>
      <c r="G924" s="313"/>
      <c r="H924" s="313"/>
      <c r="I924" s="313"/>
      <c r="J924" s="313"/>
      <c r="K924" s="313"/>
      <c r="L924" s="313"/>
      <c r="M924" s="313"/>
      <c r="N924" s="313"/>
      <c r="O924" s="855"/>
      <c r="P924" s="313"/>
    </row>
    <row r="925" spans="1:16">
      <c r="A925" s="855"/>
      <c r="B925" s="315"/>
      <c r="C925" s="313"/>
      <c r="D925" s="313"/>
      <c r="E925" s="316"/>
      <c r="F925" s="316"/>
      <c r="G925" s="313"/>
      <c r="H925" s="313"/>
      <c r="I925" s="313"/>
      <c r="J925" s="313"/>
      <c r="K925" s="313"/>
      <c r="L925" s="313"/>
      <c r="M925" s="313"/>
      <c r="N925" s="313"/>
      <c r="O925" s="313"/>
      <c r="P925" s="313"/>
    </row>
    <row r="926" spans="1:16">
      <c r="A926" s="855"/>
      <c r="B926" s="601"/>
      <c r="C926" s="857"/>
      <c r="D926" s="857"/>
      <c r="E926" s="857"/>
      <c r="F926" s="857"/>
      <c r="G926" s="313"/>
      <c r="H926" s="857"/>
      <c r="I926" s="857"/>
      <c r="J926" s="313"/>
      <c r="K926" s="313"/>
      <c r="L926" s="313"/>
      <c r="M926" s="313"/>
      <c r="N926" s="313"/>
      <c r="O926" s="313"/>
      <c r="P926" s="313"/>
    </row>
    <row r="927" spans="1:16">
      <c r="A927" s="855"/>
      <c r="B927" s="315"/>
      <c r="C927" s="307"/>
      <c r="D927" s="313"/>
      <c r="E927" s="313"/>
      <c r="F927" s="313"/>
      <c r="G927" s="313"/>
      <c r="H927" s="313"/>
      <c r="I927" s="313"/>
      <c r="J927" s="313"/>
      <c r="K927" s="313"/>
      <c r="L927" s="313"/>
      <c r="M927" s="313"/>
      <c r="N927" s="313"/>
      <c r="O927" s="313"/>
      <c r="P927" s="313"/>
    </row>
    <row r="928" spans="1:16">
      <c r="A928" s="855"/>
      <c r="B928" s="315"/>
      <c r="C928" s="313"/>
      <c r="D928" s="313"/>
      <c r="E928" s="313"/>
      <c r="F928" s="313"/>
      <c r="G928" s="313"/>
      <c r="H928" s="313"/>
      <c r="I928" s="313"/>
      <c r="J928" s="313"/>
      <c r="K928" s="313"/>
      <c r="L928" s="313"/>
      <c r="M928" s="313"/>
      <c r="N928" s="313"/>
      <c r="O928" s="313"/>
      <c r="P928" s="313"/>
    </row>
    <row r="929" spans="1:16">
      <c r="A929" s="855"/>
      <c r="B929" s="315"/>
      <c r="C929" s="313"/>
      <c r="D929" s="313"/>
      <c r="E929" s="313"/>
      <c r="F929" s="313"/>
      <c r="G929" s="313"/>
      <c r="H929" s="313"/>
      <c r="I929" s="313"/>
      <c r="J929" s="313"/>
      <c r="K929" s="313"/>
      <c r="L929" s="313"/>
      <c r="M929" s="313"/>
      <c r="N929" s="313"/>
      <c r="O929" s="313"/>
      <c r="P929" s="313"/>
    </row>
    <row r="930" spans="1:16">
      <c r="A930" s="855"/>
      <c r="B930" s="315"/>
      <c r="C930" s="313"/>
      <c r="D930" s="313"/>
      <c r="E930" s="313"/>
      <c r="F930" s="313"/>
      <c r="G930" s="313"/>
      <c r="H930" s="313"/>
      <c r="I930" s="313"/>
      <c r="J930" s="313"/>
      <c r="K930" s="313"/>
      <c r="L930" s="313"/>
      <c r="M930" s="313"/>
      <c r="N930" s="313"/>
      <c r="O930" s="313"/>
      <c r="P930" s="313"/>
    </row>
    <row r="931" spans="1:16">
      <c r="A931" s="855"/>
      <c r="B931" s="315"/>
      <c r="C931" s="313"/>
      <c r="D931" s="313"/>
      <c r="E931" s="313"/>
      <c r="F931" s="313"/>
      <c r="G931" s="313"/>
      <c r="H931" s="313"/>
      <c r="I931" s="313"/>
      <c r="J931" s="313"/>
      <c r="K931" s="313"/>
      <c r="L931" s="313"/>
      <c r="M931" s="313"/>
      <c r="N931" s="313"/>
      <c r="O931" s="313"/>
      <c r="P931" s="313"/>
    </row>
    <row r="932" spans="1:16">
      <c r="A932" s="855"/>
      <c r="B932" s="315"/>
      <c r="C932" s="313"/>
      <c r="D932" s="313"/>
      <c r="E932" s="313"/>
      <c r="F932" s="313"/>
      <c r="G932" s="313"/>
      <c r="H932" s="313"/>
      <c r="I932" s="313"/>
      <c r="J932" s="313"/>
      <c r="K932" s="313"/>
      <c r="L932" s="313"/>
      <c r="M932" s="313"/>
      <c r="N932" s="313"/>
      <c r="O932" s="313"/>
      <c r="P932" s="313"/>
    </row>
    <row r="933" spans="1:16">
      <c r="A933" s="855"/>
      <c r="B933" s="315"/>
      <c r="C933" s="313"/>
      <c r="D933" s="313"/>
      <c r="E933" s="313"/>
      <c r="F933" s="313"/>
      <c r="G933" s="313"/>
      <c r="H933" s="313"/>
      <c r="I933" s="313"/>
      <c r="J933" s="313"/>
      <c r="K933" s="313"/>
      <c r="L933" s="313"/>
      <c r="M933" s="313"/>
      <c r="N933" s="313"/>
      <c r="O933" s="313"/>
      <c r="P933" s="313"/>
    </row>
    <row r="934" spans="1:16">
      <c r="A934" s="855"/>
      <c r="B934" s="374"/>
      <c r="C934" s="374"/>
      <c r="D934" s="374"/>
      <c r="E934" s="374"/>
      <c r="F934" s="374"/>
      <c r="G934" s="374"/>
      <c r="H934" s="374"/>
      <c r="I934" s="374"/>
      <c r="J934" s="374"/>
      <c r="K934" s="374"/>
      <c r="L934" s="374"/>
      <c r="M934" s="374"/>
      <c r="N934" s="374"/>
      <c r="O934" s="374"/>
      <c r="P934" s="374"/>
    </row>
    <row r="935" spans="1:16">
      <c r="A935" s="855"/>
      <c r="B935" s="374"/>
      <c r="C935" s="374"/>
      <c r="D935" s="374"/>
      <c r="E935" s="374"/>
      <c r="F935" s="374"/>
      <c r="G935" s="374"/>
      <c r="H935" s="374"/>
      <c r="I935" s="374"/>
      <c r="J935" s="374"/>
      <c r="K935" s="374"/>
      <c r="L935" s="374"/>
      <c r="M935" s="374"/>
      <c r="N935" s="374"/>
      <c r="O935" s="374"/>
      <c r="P935" s="374"/>
    </row>
    <row r="936" spans="1:16">
      <c r="A936" s="855"/>
      <c r="B936" s="374"/>
      <c r="C936" s="388"/>
      <c r="D936" s="374"/>
      <c r="E936" s="374"/>
      <c r="F936" s="374"/>
      <c r="G936" s="374"/>
      <c r="H936" s="374"/>
      <c r="I936" s="374"/>
      <c r="J936" s="374"/>
      <c r="K936" s="374"/>
      <c r="L936" s="374"/>
      <c r="M936" s="374"/>
      <c r="N936" s="374"/>
      <c r="O936" s="374"/>
      <c r="P936" s="374"/>
    </row>
    <row r="937" spans="1:16">
      <c r="A937" s="855"/>
      <c r="B937" s="34"/>
      <c r="C937" s="363"/>
      <c r="D937" s="363"/>
      <c r="E937" s="363"/>
      <c r="F937" s="363"/>
      <c r="G937" s="363"/>
      <c r="H937" s="363"/>
      <c r="I937" s="363"/>
      <c r="J937" s="363"/>
      <c r="K937" s="363"/>
      <c r="L937" s="363"/>
      <c r="M937" s="363"/>
      <c r="N937" s="363"/>
      <c r="O937" s="363"/>
      <c r="P937" s="33"/>
    </row>
    <row r="938" spans="1:16">
      <c r="A938" s="855"/>
      <c r="B938" s="34"/>
      <c r="C938" s="363"/>
      <c r="D938" s="363"/>
      <c r="E938" s="363"/>
      <c r="F938" s="363"/>
      <c r="G938" s="363"/>
      <c r="H938" s="363"/>
      <c r="I938" s="363"/>
      <c r="J938" s="363"/>
      <c r="K938" s="363"/>
      <c r="L938" s="363"/>
      <c r="M938" s="363"/>
      <c r="N938" s="363"/>
      <c r="O938" s="363"/>
      <c r="P938" s="36"/>
    </row>
    <row r="939" spans="1:16">
      <c r="A939" s="855"/>
      <c r="B939" s="34"/>
      <c r="C939" s="363"/>
      <c r="D939" s="363"/>
      <c r="E939" s="363"/>
      <c r="F939" s="363"/>
      <c r="G939" s="363"/>
      <c r="H939" s="363"/>
      <c r="I939" s="363"/>
      <c r="J939" s="363"/>
      <c r="K939" s="363"/>
      <c r="L939" s="363"/>
      <c r="M939" s="363"/>
      <c r="N939" s="363"/>
      <c r="O939" s="363"/>
      <c r="P939" s="36"/>
    </row>
    <row r="940" spans="1:16">
      <c r="A940" s="855"/>
      <c r="B940" s="34"/>
      <c r="C940" s="363"/>
      <c r="D940" s="363"/>
      <c r="E940" s="363"/>
      <c r="F940" s="363"/>
      <c r="G940" s="363"/>
      <c r="H940" s="363"/>
      <c r="I940" s="363"/>
      <c r="J940" s="363"/>
      <c r="K940" s="363"/>
      <c r="L940" s="363"/>
      <c r="M940" s="363"/>
      <c r="N940" s="363"/>
      <c r="O940" s="363"/>
      <c r="P940" s="36"/>
    </row>
    <row r="941" spans="1:16">
      <c r="A941" s="855"/>
      <c r="B941" s="34"/>
      <c r="C941" s="363"/>
      <c r="D941" s="363"/>
      <c r="E941" s="363"/>
      <c r="F941" s="363"/>
      <c r="G941" s="363"/>
      <c r="H941" s="363"/>
      <c r="I941" s="363"/>
      <c r="J941" s="363"/>
      <c r="K941" s="363"/>
      <c r="L941" s="363"/>
      <c r="M941" s="363"/>
      <c r="N941" s="363"/>
      <c r="O941" s="363"/>
      <c r="P941" s="36"/>
    </row>
    <row r="942" spans="1:16">
      <c r="A942" s="855"/>
      <c r="B942" s="34"/>
      <c r="C942" s="300"/>
      <c r="D942" s="300"/>
      <c r="E942" s="300"/>
      <c r="F942" s="300"/>
      <c r="G942" s="300"/>
      <c r="H942" s="300"/>
      <c r="I942" s="300"/>
      <c r="J942" s="300"/>
      <c r="K942" s="300"/>
      <c r="L942" s="300"/>
      <c r="M942" s="300"/>
      <c r="N942" s="300"/>
      <c r="O942" s="300"/>
      <c r="P942" s="63"/>
    </row>
    <row r="943" spans="1:16">
      <c r="A943" s="855"/>
      <c r="B943" s="73"/>
      <c r="C943" s="19"/>
      <c r="D943" s="19"/>
      <c r="E943" s="19"/>
      <c r="F943" s="19"/>
      <c r="G943" s="19"/>
      <c r="H943" s="19"/>
      <c r="I943" s="19"/>
      <c r="J943" s="19" t="s">
        <v>38</v>
      </c>
      <c r="K943" s="19"/>
      <c r="L943" s="19"/>
      <c r="M943" s="19"/>
      <c r="N943" s="19"/>
      <c r="O943" s="19"/>
      <c r="P943" s="74"/>
    </row>
  </sheetData>
  <protectedRanges>
    <protectedRange password="CA4D" sqref="E825:E826 B824:D826 F824 E780:E781 B779:D781 F779 F91 B91:D93 E92:E93 B4:E5 F132 B132:D134 E133:E134 E694:E695 B693:D695 F693 E256:E257 B300:D302 F300 F50 B50:D52 E51:E52 E391:E392 B390:D392 F390 F173 B173:D175 E174:E175 F255 E653:E654 B652:D654 F214 B214:D216 E215:E216 F652 B255:D257 E866:E867 E739:E740 B738:D740 F738 E436:E437 B435:D437 F435 E911:E912 B910:D912 F910 E346:E347 B345:D347 F345 B865:D867 F865 E301:E302 E481:E482 B480:D482 F480 E522:E523 B521:D523 F521 E567:E568 B566:D568 F566 E608:E609 B607:D609 F607" name="Range1_2"/>
    <protectedRange password="CA4D" sqref="J824:P826 I825 G824:I824 F825:G826 H826:I826 J779:P781 I780 G779:I779 F780:G781 H781:I781 J91:P93 I92 G91:I91 F92:G93 H93:I93 J4:P5 I4 F4:G5 H5:I5 J132:P134 I133 G132:I132 F133:G134 H134:I134 J693:P695 I694 G693:I693 F694:G695 H695:I695 J255:P257 I256 G255:I255 F256:G257 H257:I257 J50:P52 I51 G50:I50 F51:G52 H52:I52 J390:P392 I391 G390:I390 F391:G392 H392:I392 J173:P175 I174 G173:I173 F174:G175 H175:I175 J300:P302 I301 G300:I300 F301:G302 H302:I302 J214:P216 I215 G214:I214 F215:G216 H216:I216 J652:P654 I653 G652:I652 F653:G654 H654:I654 J738:P740 I739 G738:I738 F739:G740 H740:I740 J435:P437 I436 G435:I435 F436:G437 H437:I437 J910:P912 I911 G910:I910 F911:G912 H912:I912 J345:P347 I346 G345:I345 F346:G347 H347:I347 J865:P867 I866 G865:I865 F866:G867 H867:I867 J480:P482 I481 G480:I480 F481:G482 H482:I482 J521:P523 I522 G521:I521 F522:G523 H523:I523 J566:P568 I567 G566:I566 F567:G568 H568:I568 J607:P609 I608 G607:I607 F608:G609 H609:I609" name="Range1_4"/>
    <protectedRange password="CA4D" sqref="F829 I828 J827:P830 H827:I827 G827:G830 F827 H829:I830 F784 I783 J782:P785 H782:I782 G782:G785 F782 H784:I785 I95 J94:P97 H94:I94 G94:G97 F94 H96:I97 F698 F8 I7 J6:P9 H6:I6 G6:G9 F6 H8:I9 I136 J135:P138 H135:I135 G135:G138 F135 H137:I138 F743 I697 J696:P699 H696:I696 G696:G699 F696 H698:I699 F137 F260 I259 J258:P261 H258:I258 G258:G261 F258 H260:I261 F55 I54 J53:P56 H53:I53 G53:G56 F53 H55:I56 H350:I351 F395 I394 J393:P396 H393:I393 G393:G396 F393 I177 J176:P179 H176:I176 G176:G179 F176 H178:I179 F219 F657 F303 F305 I304 J303:P306 H303:I303 G303:G306 I218 J217:P220 H217:I217 G217:G220 F217 H219:I220 H395:I396 I656 J655:P658 H655:I655 G655:G658 F655 H657:I658 F870 I742 J741:P744 H741:I741 G741:G744 F741 F96 F178 F440 I439 J438:P441 H438:I438 G438:G441 F438 H870:I871 I914 J913:P916 H913:I913 G913:G916 F913 H915:I916 H440:I441 H743:I744 H305:I306 F350 I349 J348:P351 H348:I348 G348:G351 F348 F915 I869 J868:P871 H868:I868 G868:G871 F868 F485 I484 J483:P486 H483:I483 G483:G486 F483 H485:I486 F526 I525 J524:P527 H524:I524 G524:G527 F524 H526:I527 F571 I570 J569:P572 H569:I569 G569:G572 F569 H571:I572 F612 I611 J610:P613 H610:I610 G610:G613 F610 H612:I613" name="Range1_5"/>
    <protectedRange password="CA4D" sqref="B827:E830 B782:E785 B94:E97 B6:E9 B135:E138 B696:E699 B258:E261 B53:E56 B393:E396 B176:E179 B303:E306 B217:E220 B655:E658 B741:E744 B438:E441 B913:E916 B348:E351 B868:E871 B483:E486 B524:E527 B569:E572 B610:E613" name="Range1_6"/>
    <protectedRange password="CA4D" sqref="B98:P100 B700:P702 B786:P788 B10:P12 B139:P141 B831:P833 B262:P264 B57:P59 B397:P399 B180:P182 B307:P309 B221:P223 B659:P661 B745:P747 B442:P444 B917:P919 B352:P354 B872:P874 B487:P489 B528:P530 B573:P575 B614:P616" name="Range1_21"/>
    <protectedRange password="CA4D" sqref="A21:A22 A33:A46 A312:A313 A357:A358 A267 A792 A72:A73 A837 A750:A751 A110:A112 A878 A150:A152 A191:A193 A233:A234 A922:A923 A619 A664" name="Range1_28"/>
    <protectedRange password="CA4D" sqref="A23" name="Range1_6_6"/>
    <protectedRange password="CA4D" sqref="A24:A32" name="Range1_1_6"/>
  </protectedRanges>
  <mergeCells count="242">
    <mergeCell ref="B907:P908"/>
    <mergeCell ref="B909:P909"/>
    <mergeCell ref="B913:E916"/>
    <mergeCell ref="B917:B918"/>
    <mergeCell ref="C917:D919"/>
    <mergeCell ref="E917:F919"/>
    <mergeCell ref="G917:G918"/>
    <mergeCell ref="H917:I919"/>
    <mergeCell ref="J917:L918"/>
    <mergeCell ref="M917:O918"/>
    <mergeCell ref="P917:P918"/>
    <mergeCell ref="B862:P863"/>
    <mergeCell ref="B864:P864"/>
    <mergeCell ref="B868:E871"/>
    <mergeCell ref="B872:B873"/>
    <mergeCell ref="C872:D874"/>
    <mergeCell ref="E872:F874"/>
    <mergeCell ref="G872:G873"/>
    <mergeCell ref="H872:I874"/>
    <mergeCell ref="J872:L873"/>
    <mergeCell ref="M872:O873"/>
    <mergeCell ref="P872:P873"/>
    <mergeCell ref="B821:P822"/>
    <mergeCell ref="B823:P823"/>
    <mergeCell ref="B827:E830"/>
    <mergeCell ref="B831:B832"/>
    <mergeCell ref="C831:D833"/>
    <mergeCell ref="E831:F833"/>
    <mergeCell ref="G831:G832"/>
    <mergeCell ref="H831:I833"/>
    <mergeCell ref="J831:L832"/>
    <mergeCell ref="M831:O832"/>
    <mergeCell ref="P831:P832"/>
    <mergeCell ref="B776:P777"/>
    <mergeCell ref="B778:P778"/>
    <mergeCell ref="B782:E785"/>
    <mergeCell ref="B786:B787"/>
    <mergeCell ref="C786:D788"/>
    <mergeCell ref="E786:F788"/>
    <mergeCell ref="G786:G787"/>
    <mergeCell ref="H786:I788"/>
    <mergeCell ref="J786:L787"/>
    <mergeCell ref="M786:O787"/>
    <mergeCell ref="P786:P787"/>
    <mergeCell ref="B432:P433"/>
    <mergeCell ref="B434:P434"/>
    <mergeCell ref="B438:E441"/>
    <mergeCell ref="B442:B443"/>
    <mergeCell ref="C442:D444"/>
    <mergeCell ref="E442:F444"/>
    <mergeCell ref="G442:G443"/>
    <mergeCell ref="H442:I444"/>
    <mergeCell ref="J442:L443"/>
    <mergeCell ref="M442:O443"/>
    <mergeCell ref="P442:P443"/>
    <mergeCell ref="B387:P388"/>
    <mergeCell ref="B389:P389"/>
    <mergeCell ref="B393:E396"/>
    <mergeCell ref="B397:B398"/>
    <mergeCell ref="C397:D399"/>
    <mergeCell ref="E397:F399"/>
    <mergeCell ref="G397:G398"/>
    <mergeCell ref="H397:I399"/>
    <mergeCell ref="J397:L398"/>
    <mergeCell ref="M397:O398"/>
    <mergeCell ref="P397:P398"/>
    <mergeCell ref="B342:P343"/>
    <mergeCell ref="B344:P344"/>
    <mergeCell ref="B348:E351"/>
    <mergeCell ref="B352:B353"/>
    <mergeCell ref="C352:D354"/>
    <mergeCell ref="E352:F354"/>
    <mergeCell ref="G352:G353"/>
    <mergeCell ref="H352:I354"/>
    <mergeCell ref="J352:L353"/>
    <mergeCell ref="M352:O353"/>
    <mergeCell ref="P352:P353"/>
    <mergeCell ref="B297:P298"/>
    <mergeCell ref="B299:P299"/>
    <mergeCell ref="B303:E306"/>
    <mergeCell ref="B307:B308"/>
    <mergeCell ref="C307:D309"/>
    <mergeCell ref="E307:F309"/>
    <mergeCell ref="G307:G308"/>
    <mergeCell ref="H307:I309"/>
    <mergeCell ref="J307:L308"/>
    <mergeCell ref="M307:O308"/>
    <mergeCell ref="P307:P308"/>
    <mergeCell ref="B211:P212"/>
    <mergeCell ref="B213:P213"/>
    <mergeCell ref="B217:E220"/>
    <mergeCell ref="B221:B222"/>
    <mergeCell ref="C221:D223"/>
    <mergeCell ref="E221:F223"/>
    <mergeCell ref="G221:G222"/>
    <mergeCell ref="H221:I223"/>
    <mergeCell ref="J221:L222"/>
    <mergeCell ref="M221:O222"/>
    <mergeCell ref="P221:P222"/>
    <mergeCell ref="B47:P48"/>
    <mergeCell ref="B49:P49"/>
    <mergeCell ref="B53:E56"/>
    <mergeCell ref="B57:B58"/>
    <mergeCell ref="C57:D59"/>
    <mergeCell ref="E57:F59"/>
    <mergeCell ref="G57:G58"/>
    <mergeCell ref="H57:I59"/>
    <mergeCell ref="J57:L58"/>
    <mergeCell ref="M57:O58"/>
    <mergeCell ref="P57:P58"/>
    <mergeCell ref="B1:P2"/>
    <mergeCell ref="B3:P3"/>
    <mergeCell ref="B6:E9"/>
    <mergeCell ref="B10:B11"/>
    <mergeCell ref="C10:D12"/>
    <mergeCell ref="E10:F12"/>
    <mergeCell ref="G10:G11"/>
    <mergeCell ref="H10:I12"/>
    <mergeCell ref="J10:L11"/>
    <mergeCell ref="M10:O11"/>
    <mergeCell ref="P10:P11"/>
    <mergeCell ref="B88:P89"/>
    <mergeCell ref="B90:P90"/>
    <mergeCell ref="B94:E97"/>
    <mergeCell ref="B98:B99"/>
    <mergeCell ref="C98:D100"/>
    <mergeCell ref="E98:F100"/>
    <mergeCell ref="G98:G99"/>
    <mergeCell ref="H98:I100"/>
    <mergeCell ref="J98:L99"/>
    <mergeCell ref="M98:O99"/>
    <mergeCell ref="P98:P99"/>
    <mergeCell ref="B129:P130"/>
    <mergeCell ref="B131:P131"/>
    <mergeCell ref="B135:E138"/>
    <mergeCell ref="B139:B140"/>
    <mergeCell ref="C139:D141"/>
    <mergeCell ref="E139:F141"/>
    <mergeCell ref="G139:G140"/>
    <mergeCell ref="H139:I141"/>
    <mergeCell ref="J139:L140"/>
    <mergeCell ref="M139:O140"/>
    <mergeCell ref="P139:P140"/>
    <mergeCell ref="B170:P171"/>
    <mergeCell ref="B172:P172"/>
    <mergeCell ref="B176:E179"/>
    <mergeCell ref="B180:B181"/>
    <mergeCell ref="C180:D182"/>
    <mergeCell ref="E180:F182"/>
    <mergeCell ref="G180:G181"/>
    <mergeCell ref="H180:I182"/>
    <mergeCell ref="J180:L181"/>
    <mergeCell ref="M180:O181"/>
    <mergeCell ref="P180:P181"/>
    <mergeCell ref="B252:P253"/>
    <mergeCell ref="B254:P254"/>
    <mergeCell ref="B258:E261"/>
    <mergeCell ref="B262:B263"/>
    <mergeCell ref="C262:D264"/>
    <mergeCell ref="E262:F264"/>
    <mergeCell ref="G262:G263"/>
    <mergeCell ref="H262:I264"/>
    <mergeCell ref="J262:L263"/>
    <mergeCell ref="M262:O263"/>
    <mergeCell ref="P262:P263"/>
    <mergeCell ref="B477:P478"/>
    <mergeCell ref="B479:P479"/>
    <mergeCell ref="B483:E486"/>
    <mergeCell ref="B487:B488"/>
    <mergeCell ref="C487:D489"/>
    <mergeCell ref="E487:F489"/>
    <mergeCell ref="G487:G488"/>
    <mergeCell ref="H487:I489"/>
    <mergeCell ref="J487:L488"/>
    <mergeCell ref="M487:O488"/>
    <mergeCell ref="P487:P488"/>
    <mergeCell ref="B518:P519"/>
    <mergeCell ref="B520:P520"/>
    <mergeCell ref="B524:E527"/>
    <mergeCell ref="B528:B529"/>
    <mergeCell ref="C528:D530"/>
    <mergeCell ref="E528:F530"/>
    <mergeCell ref="G528:G529"/>
    <mergeCell ref="H528:I530"/>
    <mergeCell ref="J528:L529"/>
    <mergeCell ref="M528:O529"/>
    <mergeCell ref="P528:P529"/>
    <mergeCell ref="B563:P564"/>
    <mergeCell ref="B565:P565"/>
    <mergeCell ref="B569:E572"/>
    <mergeCell ref="B573:B574"/>
    <mergeCell ref="C573:D575"/>
    <mergeCell ref="E573:F575"/>
    <mergeCell ref="G573:G574"/>
    <mergeCell ref="H573:I575"/>
    <mergeCell ref="J573:L574"/>
    <mergeCell ref="M573:O574"/>
    <mergeCell ref="P573:P574"/>
    <mergeCell ref="B604:P605"/>
    <mergeCell ref="B606:P606"/>
    <mergeCell ref="B610:E613"/>
    <mergeCell ref="B614:B615"/>
    <mergeCell ref="C614:D616"/>
    <mergeCell ref="E614:F616"/>
    <mergeCell ref="G614:G615"/>
    <mergeCell ref="H614:I616"/>
    <mergeCell ref="J614:L615"/>
    <mergeCell ref="M614:O615"/>
    <mergeCell ref="P614:P615"/>
    <mergeCell ref="B649:P650"/>
    <mergeCell ref="B651:P651"/>
    <mergeCell ref="B655:E658"/>
    <mergeCell ref="B659:B660"/>
    <mergeCell ref="C659:D661"/>
    <mergeCell ref="E659:F661"/>
    <mergeCell ref="G659:G660"/>
    <mergeCell ref="H659:I661"/>
    <mergeCell ref="J659:L660"/>
    <mergeCell ref="M659:O660"/>
    <mergeCell ref="P659:P660"/>
    <mergeCell ref="B690:P691"/>
    <mergeCell ref="B692:P692"/>
    <mergeCell ref="B696:E699"/>
    <mergeCell ref="B700:B701"/>
    <mergeCell ref="C700:D702"/>
    <mergeCell ref="E700:F702"/>
    <mergeCell ref="G700:G701"/>
    <mergeCell ref="H700:I702"/>
    <mergeCell ref="J700:L701"/>
    <mergeCell ref="M700:O701"/>
    <mergeCell ref="P700:P701"/>
    <mergeCell ref="B735:P736"/>
    <mergeCell ref="B737:P737"/>
    <mergeCell ref="B741:E744"/>
    <mergeCell ref="B745:B746"/>
    <mergeCell ref="C745:D747"/>
    <mergeCell ref="E745:F747"/>
    <mergeCell ref="G745:G746"/>
    <mergeCell ref="H745:I747"/>
    <mergeCell ref="J745:L746"/>
    <mergeCell ref="M745:O746"/>
    <mergeCell ref="P745:P746"/>
  </mergeCells>
  <phoneticPr fontId="83" type="noConversion"/>
  <pageMargins left="0.70866141732283472" right="0.70866141732283472" top="0.74803149606299213" bottom="0.74803149606299213" header="0.31496062992125984" footer="0.31496062992125984"/>
  <pageSetup scale="7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39"/>
  <sheetViews>
    <sheetView topLeftCell="W8" zoomScale="84" zoomScaleNormal="84" workbookViewId="0">
      <selection activeCell="AC12" sqref="AC12:AC32"/>
    </sheetView>
  </sheetViews>
  <sheetFormatPr defaultRowHeight="15.75"/>
  <cols>
    <col min="1" max="1" width="6.7109375" style="6" customWidth="1"/>
    <col min="2" max="2" width="26.140625" customWidth="1"/>
    <col min="3" max="3" width="8.28515625" customWidth="1"/>
    <col min="4" max="4" width="30.5703125" customWidth="1"/>
    <col min="5" max="5" width="7.85546875" customWidth="1"/>
    <col min="6" max="6" width="7.5703125" customWidth="1"/>
    <col min="7" max="7" width="11" style="1" customWidth="1"/>
    <col min="8" max="8" width="9.28515625" style="11" customWidth="1"/>
    <col min="9" max="9" width="7.7109375" customWidth="1"/>
    <col min="10" max="10" width="5.5703125" customWidth="1"/>
    <col min="11" max="11" width="10" customWidth="1"/>
    <col min="12" max="12" width="9.140625" customWidth="1"/>
    <col min="13" max="13" width="7.7109375" customWidth="1"/>
    <col min="14" max="14" width="8.5703125" customWidth="1"/>
    <col min="15" max="15" width="9.7109375" customWidth="1"/>
    <col min="16" max="16" width="10.7109375" customWidth="1"/>
    <col min="17" max="17" width="10.85546875" customWidth="1"/>
    <col min="18" max="18" width="11.85546875" customWidth="1"/>
    <col min="19" max="20" width="10.140625" customWidth="1"/>
    <col min="21" max="21" width="12.140625" customWidth="1"/>
    <col min="22" max="22" width="6.7109375" style="6" customWidth="1"/>
    <col min="23" max="23" width="7.7109375" style="6" customWidth="1"/>
    <col min="24" max="24" width="8" style="6" customWidth="1"/>
    <col min="25" max="25" width="9.5703125" style="6" customWidth="1"/>
    <col min="26" max="26" width="8.140625" style="6" customWidth="1"/>
    <col min="27" max="27" width="7.42578125" style="306" customWidth="1"/>
    <col min="28" max="28" width="9.28515625" style="6" customWidth="1"/>
    <col min="29" max="30" width="10.5703125" customWidth="1"/>
    <col min="31" max="31" width="14" customWidth="1"/>
    <col min="32" max="32" width="21.42578125" bestFit="1" customWidth="1"/>
    <col min="33" max="33" width="17.85546875" customWidth="1"/>
  </cols>
  <sheetData>
    <row r="1" spans="1:37" ht="22.5" customHeight="1">
      <c r="A1" s="1209" t="s">
        <v>52</v>
      </c>
      <c r="B1" s="1210"/>
      <c r="C1" s="1210"/>
      <c r="D1" s="1210"/>
      <c r="E1" s="1210"/>
      <c r="F1" s="1210"/>
      <c r="G1" s="1210"/>
      <c r="H1" s="1210"/>
      <c r="I1" s="1210"/>
      <c r="J1" s="1210"/>
      <c r="K1" s="1210"/>
      <c r="L1" s="1210"/>
      <c r="M1" s="1210"/>
      <c r="N1" s="1210"/>
      <c r="O1" s="1210"/>
      <c r="P1" s="1210"/>
      <c r="Q1" s="1210"/>
      <c r="R1" s="1210"/>
      <c r="S1" s="1210"/>
      <c r="T1" s="1210"/>
      <c r="U1" s="1210"/>
      <c r="V1" s="1210"/>
      <c r="W1" s="1210"/>
      <c r="X1" s="1210"/>
      <c r="Y1" s="1210"/>
      <c r="Z1" s="1210"/>
      <c r="AA1" s="1210"/>
      <c r="AB1" s="1210"/>
      <c r="AC1" s="1210"/>
      <c r="AD1" s="1210"/>
      <c r="AE1" s="1210"/>
      <c r="AF1" s="1210"/>
      <c r="AG1" s="1211"/>
    </row>
    <row r="2" spans="1:37" ht="22.5" customHeight="1">
      <c r="A2" s="1212" t="s">
        <v>0</v>
      </c>
      <c r="B2" s="1213"/>
      <c r="C2" s="1213"/>
      <c r="D2" s="392" t="str">
        <f>'04-22-Master'!F5</f>
        <v>Burgeon IT Services Pvt.Ltd.</v>
      </c>
      <c r="E2" s="300"/>
      <c r="F2" s="300"/>
      <c r="G2" s="391"/>
      <c r="H2" s="401"/>
      <c r="I2" s="300"/>
      <c r="J2" s="300"/>
      <c r="K2" s="300"/>
      <c r="L2" s="300"/>
      <c r="M2" s="300"/>
      <c r="N2" s="300"/>
      <c r="O2" s="300"/>
      <c r="P2" s="393"/>
      <c r="Q2" s="393"/>
      <c r="R2" s="393"/>
      <c r="S2" s="393"/>
      <c r="T2" s="300"/>
      <c r="U2" s="393" t="s">
        <v>1</v>
      </c>
      <c r="V2" s="393"/>
      <c r="W2" s="393"/>
      <c r="X2" s="393"/>
      <c r="Y2" s="393"/>
      <c r="Z2" s="620"/>
      <c r="AA2" s="620"/>
      <c r="AB2" s="394" t="str">
        <f>'04-22-Master'!AJ5</f>
        <v>Burgeon IT Services Pvt.Ltd.</v>
      </c>
      <c r="AC2" s="301"/>
      <c r="AD2" s="301"/>
      <c r="AE2" s="301"/>
      <c r="AF2" s="301"/>
      <c r="AG2" s="86"/>
      <c r="AH2" s="3"/>
      <c r="AI2" s="3"/>
      <c r="AJ2" s="3"/>
      <c r="AK2" s="3"/>
    </row>
    <row r="3" spans="1:37" ht="22.5" customHeight="1">
      <c r="A3" s="395"/>
      <c r="B3" s="300"/>
      <c r="C3" s="300"/>
      <c r="D3" s="396" t="str">
        <f>'04-22-Master'!F6</f>
        <v>Siri Mansion LIGB 436 Dr.A S Rao Nagar,Hyderabad</v>
      </c>
      <c r="E3" s="300"/>
      <c r="F3" s="300"/>
      <c r="G3" s="391"/>
      <c r="H3" s="401"/>
      <c r="I3" s="300"/>
      <c r="J3" s="300"/>
      <c r="K3" s="625"/>
      <c r="L3" s="625"/>
      <c r="M3" s="625"/>
      <c r="N3" s="625"/>
      <c r="O3" s="625"/>
      <c r="P3" s="625"/>
      <c r="Q3" s="625"/>
      <c r="R3" s="625"/>
      <c r="S3" s="625"/>
      <c r="T3" s="625"/>
      <c r="U3" s="625"/>
      <c r="V3" s="620"/>
      <c r="W3" s="620"/>
      <c r="X3" s="620"/>
      <c r="Y3" s="300"/>
      <c r="Z3" s="620"/>
      <c r="AA3" s="620"/>
      <c r="AB3" s="396" t="str">
        <f>'04-22-Master'!AJ6</f>
        <v>Siri Mansion LIGB 436 Dr.A S Rao Nagar,Hyderabad</v>
      </c>
      <c r="AC3" s="402"/>
      <c r="AD3" s="402"/>
      <c r="AE3" s="402"/>
      <c r="AF3" s="402"/>
      <c r="AG3" s="403"/>
      <c r="AH3" s="7"/>
      <c r="AI3" s="7"/>
      <c r="AJ3" s="7"/>
      <c r="AK3" s="7"/>
    </row>
    <row r="4" spans="1:37" ht="22.5" customHeight="1">
      <c r="A4" s="1212" t="s">
        <v>2</v>
      </c>
      <c r="B4" s="1213"/>
      <c r="C4" s="1213"/>
      <c r="D4" s="397" t="str">
        <f>'04-22-Master'!F8</f>
        <v>IT SUPPORTIVE SERVICES &amp; HYDERABAD SEZ</v>
      </c>
      <c r="E4" s="300"/>
      <c r="F4" s="300"/>
      <c r="G4" s="391"/>
      <c r="H4" s="401"/>
      <c r="I4" s="300"/>
      <c r="J4" s="300"/>
      <c r="K4" s="625"/>
      <c r="L4" s="625"/>
      <c r="M4" s="625"/>
      <c r="N4" s="625"/>
      <c r="O4" s="625"/>
      <c r="P4" s="625"/>
      <c r="Q4" s="625"/>
      <c r="R4" s="625"/>
      <c r="S4" s="625"/>
      <c r="T4" s="625"/>
      <c r="U4" s="625"/>
      <c r="V4" s="620"/>
      <c r="W4" s="620"/>
      <c r="X4" s="398"/>
      <c r="Y4" s="398"/>
      <c r="Z4" s="398"/>
      <c r="AA4" s="398"/>
      <c r="AB4" s="398"/>
      <c r="AC4" s="398"/>
      <c r="AD4" s="398"/>
      <c r="AE4" s="398"/>
      <c r="AF4" s="398"/>
      <c r="AG4" s="404"/>
      <c r="AH4" s="9"/>
      <c r="AI4" s="9"/>
      <c r="AJ4" s="9"/>
      <c r="AK4" s="9"/>
    </row>
    <row r="5" spans="1:37" ht="22.5" customHeight="1">
      <c r="A5" s="395"/>
      <c r="B5" s="300"/>
      <c r="C5" s="300"/>
      <c r="D5" s="300"/>
      <c r="E5" s="300"/>
      <c r="F5" s="300"/>
      <c r="G5" s="391"/>
      <c r="H5" s="401"/>
      <c r="I5" s="300"/>
      <c r="J5" s="300"/>
      <c r="K5" s="625"/>
      <c r="L5" s="625"/>
      <c r="M5" s="625"/>
      <c r="N5" s="625"/>
      <c r="O5" s="625"/>
      <c r="P5" s="625"/>
      <c r="Q5" s="625"/>
      <c r="R5" s="625"/>
      <c r="S5" s="625"/>
      <c r="T5" s="625"/>
      <c r="U5" s="625"/>
      <c r="V5" s="620"/>
      <c r="W5" s="620"/>
      <c r="X5" s="1214"/>
      <c r="Y5" s="1214"/>
      <c r="Z5" s="1214"/>
      <c r="AA5" s="1214"/>
      <c r="AB5" s="1214"/>
      <c r="AC5" s="1214"/>
      <c r="AD5" s="1214"/>
      <c r="AE5" s="1214"/>
      <c r="AF5" s="1214"/>
      <c r="AG5" s="1215"/>
    </row>
    <row r="6" spans="1:37" ht="22.5" customHeight="1">
      <c r="A6" s="1212" t="s">
        <v>3</v>
      </c>
      <c r="B6" s="1213"/>
      <c r="C6" s="1213"/>
      <c r="D6" s="725">
        <f>'04-22-Master'!D10</f>
        <v>44652</v>
      </c>
      <c r="E6" s="300"/>
      <c r="F6" s="300"/>
      <c r="G6" s="391"/>
      <c r="H6" s="401"/>
      <c r="I6" s="300"/>
      <c r="J6" s="300"/>
      <c r="K6" s="621"/>
      <c r="L6" s="621"/>
      <c r="M6" s="621"/>
      <c r="N6" s="621"/>
      <c r="O6" s="621"/>
      <c r="P6" s="399"/>
      <c r="Q6" s="399"/>
      <c r="R6" s="399"/>
      <c r="S6" s="399"/>
      <c r="T6" s="300"/>
      <c r="U6" s="300"/>
      <c r="V6" s="621" t="s">
        <v>4</v>
      </c>
      <c r="W6" s="620"/>
      <c r="X6" s="620"/>
      <c r="Y6" s="301"/>
      <c r="Z6" s="620"/>
      <c r="AA6" s="620"/>
      <c r="AB6" s="621" t="str">
        <f>'04-22-Master'!AJ10</f>
        <v>INFOSYS  LTD.IL Hyderabad SEZ</v>
      </c>
      <c r="AC6" s="301"/>
      <c r="AD6" s="301"/>
      <c r="AE6" s="301"/>
      <c r="AF6" s="405"/>
      <c r="AG6" s="406"/>
      <c r="AH6" s="3"/>
      <c r="AI6" s="3"/>
    </row>
    <row r="7" spans="1:37" ht="22.5" customHeight="1">
      <c r="A7" s="624"/>
      <c r="B7" s="300"/>
      <c r="C7" s="300"/>
      <c r="D7" s="300"/>
      <c r="E7" s="300"/>
      <c r="F7" s="300"/>
      <c r="G7" s="391"/>
      <c r="H7" s="401"/>
      <c r="I7" s="300"/>
      <c r="J7" s="300"/>
      <c r="K7" s="300"/>
      <c r="L7" s="300"/>
      <c r="M7" s="300"/>
      <c r="N7" s="300"/>
      <c r="O7" s="300"/>
      <c r="P7" s="300"/>
      <c r="Q7" s="300"/>
      <c r="R7" s="300"/>
      <c r="S7" s="300"/>
      <c r="T7" s="300"/>
      <c r="U7" s="300"/>
      <c r="V7" s="620"/>
      <c r="W7" s="620"/>
      <c r="X7" s="620"/>
      <c r="Y7" s="407"/>
      <c r="Z7" s="620"/>
      <c r="AA7" s="620"/>
      <c r="AB7" s="400" t="str">
        <f>'04-22-Master'!AJ11</f>
        <v>Sy.No 42,Pocharam Village,Gatkesar Mandal</v>
      </c>
      <c r="AC7" s="402"/>
      <c r="AD7" s="402"/>
      <c r="AE7" s="402"/>
      <c r="AF7" s="402"/>
      <c r="AG7" s="403"/>
      <c r="AH7" s="7"/>
      <c r="AI7" s="7"/>
    </row>
    <row r="8" spans="1:37" ht="22.5" customHeight="1">
      <c r="A8" s="624"/>
      <c r="B8" s="300"/>
      <c r="C8" s="401"/>
      <c r="D8" s="300"/>
      <c r="E8" s="300"/>
      <c r="F8" s="300"/>
      <c r="G8" s="391"/>
      <c r="H8" s="401"/>
      <c r="I8" s="300"/>
      <c r="J8" s="300"/>
      <c r="K8" s="300"/>
      <c r="L8" s="300"/>
      <c r="M8" s="300"/>
      <c r="N8" s="300"/>
      <c r="O8" s="300"/>
      <c r="P8" s="300"/>
      <c r="Q8" s="300"/>
      <c r="R8" s="300"/>
      <c r="S8" s="300"/>
      <c r="T8" s="300"/>
      <c r="U8" s="300"/>
      <c r="V8" s="620"/>
      <c r="W8" s="620"/>
      <c r="X8" s="620"/>
      <c r="Y8" s="620"/>
      <c r="Z8" s="620"/>
      <c r="AA8" s="620"/>
      <c r="AB8" s="620"/>
      <c r="AC8" s="300"/>
      <c r="AD8" s="300"/>
      <c r="AE8" s="300"/>
      <c r="AF8" s="300"/>
      <c r="AG8" s="16"/>
    </row>
    <row r="9" spans="1:37" ht="22.5" customHeight="1" thickBot="1">
      <c r="A9" s="624"/>
      <c r="B9" s="300"/>
      <c r="C9" s="300"/>
      <c r="D9" s="300"/>
      <c r="E9" s="300"/>
      <c r="F9" s="300"/>
      <c r="G9" s="391"/>
      <c r="H9" s="401"/>
      <c r="I9" s="300"/>
      <c r="J9" s="300"/>
      <c r="K9" s="300"/>
      <c r="L9" s="300"/>
      <c r="M9" s="300"/>
      <c r="N9" s="300"/>
      <c r="O9" s="300"/>
      <c r="P9" s="300"/>
      <c r="Q9" s="300"/>
      <c r="R9" s="300"/>
      <c r="S9" s="300"/>
      <c r="T9" s="300"/>
      <c r="U9" s="300"/>
      <c r="V9" s="620"/>
      <c r="W9" s="620"/>
      <c r="X9" s="620"/>
      <c r="Y9" s="620"/>
      <c r="Z9" s="620"/>
      <c r="AA9" s="620"/>
      <c r="AB9" s="620"/>
      <c r="AC9" s="300"/>
      <c r="AD9" s="300"/>
      <c r="AE9" s="300"/>
      <c r="AF9" s="300"/>
      <c r="AG9" s="16"/>
    </row>
    <row r="10" spans="1:37" s="12" customFormat="1" ht="53.25" customHeight="1">
      <c r="A10" s="1207" t="s">
        <v>5</v>
      </c>
      <c r="B10" s="1203" t="s">
        <v>6</v>
      </c>
      <c r="C10" s="1203" t="s">
        <v>7</v>
      </c>
      <c r="D10" s="1203" t="s">
        <v>8</v>
      </c>
      <c r="E10" s="1203" t="s">
        <v>9</v>
      </c>
      <c r="F10" s="1203" t="s">
        <v>10</v>
      </c>
      <c r="G10" s="1203" t="s">
        <v>200</v>
      </c>
      <c r="H10" s="1203" t="s">
        <v>11</v>
      </c>
      <c r="I10" s="1203" t="s">
        <v>12</v>
      </c>
      <c r="J10" s="1203" t="s">
        <v>13</v>
      </c>
      <c r="K10" s="1203" t="s">
        <v>14</v>
      </c>
      <c r="L10" s="612" t="s">
        <v>15</v>
      </c>
      <c r="M10" s="612" t="s">
        <v>16</v>
      </c>
      <c r="N10" s="612" t="s">
        <v>17</v>
      </c>
      <c r="O10" s="612" t="s">
        <v>18</v>
      </c>
      <c r="P10" s="1205" t="s">
        <v>19</v>
      </c>
      <c r="Q10" s="308" t="s">
        <v>20</v>
      </c>
      <c r="R10" s="308" t="s">
        <v>21</v>
      </c>
      <c r="S10" s="308" t="s">
        <v>22</v>
      </c>
      <c r="T10" s="522" t="s">
        <v>23</v>
      </c>
      <c r="U10" s="522" t="s">
        <v>24</v>
      </c>
      <c r="V10" s="1216" t="s">
        <v>25</v>
      </c>
      <c r="W10" s="1217"/>
      <c r="X10" s="1217"/>
      <c r="Y10" s="1217"/>
      <c r="Z10" s="1217"/>
      <c r="AA10" s="1217"/>
      <c r="AB10" s="1218"/>
      <c r="AC10" s="1203" t="s">
        <v>26</v>
      </c>
      <c r="AD10" s="1203" t="s">
        <v>27</v>
      </c>
      <c r="AE10" s="612" t="s">
        <v>28</v>
      </c>
      <c r="AF10" s="1203" t="s">
        <v>29</v>
      </c>
      <c r="AG10" s="1219" t="s">
        <v>30</v>
      </c>
    </row>
    <row r="11" spans="1:37" ht="13.5" customHeight="1">
      <c r="A11" s="1208"/>
      <c r="B11" s="1206"/>
      <c r="C11" s="1204"/>
      <c r="D11" s="1204"/>
      <c r="E11" s="1204"/>
      <c r="F11" s="1204"/>
      <c r="G11" s="1204"/>
      <c r="H11" s="1204"/>
      <c r="I11" s="1204"/>
      <c r="J11" s="1204"/>
      <c r="K11" s="1204"/>
      <c r="L11" s="613"/>
      <c r="M11" s="613"/>
      <c r="N11" s="613"/>
      <c r="O11" s="613"/>
      <c r="P11" s="1206"/>
      <c r="Q11" s="619"/>
      <c r="R11" s="619"/>
      <c r="S11" s="619"/>
      <c r="T11" s="619"/>
      <c r="U11" s="619"/>
      <c r="V11" s="408" t="s">
        <v>31</v>
      </c>
      <c r="W11" s="408" t="s">
        <v>32</v>
      </c>
      <c r="X11" s="408" t="s">
        <v>33</v>
      </c>
      <c r="Y11" s="408" t="s">
        <v>34</v>
      </c>
      <c r="Z11" s="408" t="s">
        <v>35</v>
      </c>
      <c r="AA11" s="309" t="s">
        <v>429</v>
      </c>
      <c r="AB11" s="309" t="s">
        <v>36</v>
      </c>
      <c r="AC11" s="1204"/>
      <c r="AD11" s="1204"/>
      <c r="AE11" s="613"/>
      <c r="AF11" s="1204"/>
      <c r="AG11" s="1220"/>
    </row>
    <row r="12" spans="1:37" ht="25.15" customHeight="1">
      <c r="A12" s="409">
        <v>1</v>
      </c>
      <c r="B12" s="722" t="str">
        <f>'04-22-Master'!P16</f>
        <v>kaja Venkat Ragavendra</v>
      </c>
      <c r="C12" s="377">
        <f>'04-22-Master'!AT16</f>
        <v>41</v>
      </c>
      <c r="D12" s="1072" t="str">
        <f>'04-22-Master'!F16</f>
        <v xml:space="preserve"> SR.Application Consultant</v>
      </c>
      <c r="E12" s="410">
        <f>'04-22-Master'!Q16</f>
        <v>30</v>
      </c>
      <c r="F12" s="411" t="str">
        <f>'04-22-Master'!R16</f>
        <v>N/A</v>
      </c>
      <c r="G12" s="411">
        <f>'04-22-Master'!S16</f>
        <v>84913</v>
      </c>
      <c r="H12" s="412">
        <f>'04-22-Master'!T16</f>
        <v>50947.8</v>
      </c>
      <c r="I12" s="377">
        <f>'04-22-Master'!U16</f>
        <v>0</v>
      </c>
      <c r="J12" s="377">
        <f>'04-22-Master'!V16</f>
        <v>0</v>
      </c>
      <c r="K12" s="310">
        <f>L12+M12+N12+O12</f>
        <v>34078.19999999999</v>
      </c>
      <c r="L12" s="310">
        <f>'04-22-Master'!X16</f>
        <v>20379.120000000003</v>
      </c>
      <c r="M12" s="310">
        <f>'04-22-Master'!Y16</f>
        <v>2083</v>
      </c>
      <c r="N12" s="310">
        <f>'04-22-Master'!Z16</f>
        <v>2083</v>
      </c>
      <c r="O12" s="310">
        <f>'04-22-Master'!AA16</f>
        <v>9533.0799999999872</v>
      </c>
      <c r="P12" s="310">
        <f>H12+K12</f>
        <v>85026</v>
      </c>
      <c r="Q12" s="377">
        <f>'04-22-Master'!AC16</f>
        <v>1554.6089999999999</v>
      </c>
      <c r="R12" s="377">
        <f>'04-22-Master'!AD16</f>
        <v>2450.5891799999999</v>
      </c>
      <c r="S12" s="377">
        <f>'04-22-Master'!AE16</f>
        <v>4245.6500000000005</v>
      </c>
      <c r="T12" s="310">
        <f>'04-22-Master'!AF16</f>
        <v>0</v>
      </c>
      <c r="U12" s="310">
        <f>P12+Q12+R12+S12+T12</f>
        <v>93276.848179999986</v>
      </c>
      <c r="V12" s="412">
        <f>'04-22-Master'!AH16</f>
        <v>0</v>
      </c>
      <c r="W12" s="310">
        <f>'04-22-Master'!AI16</f>
        <v>1800</v>
      </c>
      <c r="X12" s="310">
        <f>'04-22-Master'!AJ16</f>
        <v>200</v>
      </c>
      <c r="Y12" s="310">
        <f>'04-22-Master'!AK16</f>
        <v>0</v>
      </c>
      <c r="Z12" s="310">
        <f>'04-22-Master'!AL16</f>
        <v>391.787848</v>
      </c>
      <c r="AA12" s="310">
        <v>0</v>
      </c>
      <c r="AB12" s="310">
        <f>V12+W12+X12+Y12+Z12+AA12</f>
        <v>2391.7878479999999</v>
      </c>
      <c r="AC12" s="310">
        <f>U12-AB12</f>
        <v>90885.060331999994</v>
      </c>
      <c r="AD12" s="1073">
        <f>'04-22-Master'!AP16</f>
        <v>44686</v>
      </c>
      <c r="AE12" s="413" t="str">
        <f>'04-22-Master'!AQ16</f>
        <v>KMB</v>
      </c>
      <c r="AF12" s="414" t="str">
        <f>'04-22-Master'!AR16</f>
        <v>A/C'6812236194</v>
      </c>
      <c r="AG12" s="723"/>
    </row>
    <row r="13" spans="1:37" s="390" customFormat="1" ht="25.15" customHeight="1">
      <c r="A13" s="409">
        <v>2</v>
      </c>
      <c r="B13" s="722" t="str">
        <f>'04-22-Master'!P17</f>
        <v>VeerendraBabu Galam</v>
      </c>
      <c r="C13" s="377">
        <f>'04-22-Master'!AT17</f>
        <v>68</v>
      </c>
      <c r="D13" s="1072" t="str">
        <f>'04-22-Master'!F17</f>
        <v>Senior Test Engineer</v>
      </c>
      <c r="E13" s="410">
        <f>'04-22-Master'!Q17</f>
        <v>30</v>
      </c>
      <c r="F13" s="411" t="str">
        <f>'04-22-Master'!R17</f>
        <v>N/A</v>
      </c>
      <c r="G13" s="411">
        <f>'04-22-Master'!S17</f>
        <v>66374</v>
      </c>
      <c r="H13" s="412">
        <f>'04-22-Master'!T17</f>
        <v>39824.400000000001</v>
      </c>
      <c r="I13" s="377">
        <f>'04-22-Master'!U17</f>
        <v>0</v>
      </c>
      <c r="J13" s="377">
        <f>'04-22-Master'!V17</f>
        <v>0</v>
      </c>
      <c r="K13" s="310">
        <f t="shared" ref="K13:K32" si="0">L13+M13+N13+O13</f>
        <v>26662.6</v>
      </c>
      <c r="L13" s="310">
        <f>'04-22-Master'!X17</f>
        <v>15929.760000000002</v>
      </c>
      <c r="M13" s="310">
        <f>'04-22-Master'!Y17</f>
        <v>2083</v>
      </c>
      <c r="N13" s="310">
        <f>'04-22-Master'!Z17</f>
        <v>2083</v>
      </c>
      <c r="O13" s="310">
        <f>'04-22-Master'!AA17</f>
        <v>6566.8399999999965</v>
      </c>
      <c r="P13" s="310">
        <f t="shared" ref="P13:P32" si="1">H13+K13</f>
        <v>66487</v>
      </c>
      <c r="Q13" s="377">
        <f>'04-22-Master'!AC17</f>
        <v>1554.6089999999999</v>
      </c>
      <c r="R13" s="377">
        <f>'04-22-Master'!AD17</f>
        <v>1915.5536400000001</v>
      </c>
      <c r="S13" s="377">
        <f>'04-22-Master'!AE17</f>
        <v>3318.7000000000003</v>
      </c>
      <c r="T13" s="310">
        <f>'04-22-Master'!AF17</f>
        <v>0</v>
      </c>
      <c r="U13" s="310">
        <f t="shared" ref="U13:U32" si="2">P13+Q13+R13+S13+T13</f>
        <v>73275.862639999992</v>
      </c>
      <c r="V13" s="412">
        <f>'04-22-Master'!AH17</f>
        <v>0</v>
      </c>
      <c r="W13" s="310">
        <f>'04-22-Master'!AI17</f>
        <v>1800</v>
      </c>
      <c r="X13" s="310">
        <f>'04-22-Master'!AJ17</f>
        <v>200</v>
      </c>
      <c r="Y13" s="310">
        <f>'04-22-Master'!AK17</f>
        <v>0</v>
      </c>
      <c r="Z13" s="310">
        <f>'04-22-Master'!AL17</f>
        <v>391.787848</v>
      </c>
      <c r="AA13" s="310">
        <v>0</v>
      </c>
      <c r="AB13" s="310">
        <f t="shared" ref="AB13:AB32" si="3">V13+W13+X13+Y13+Z13+AA13</f>
        <v>2391.7878479999999</v>
      </c>
      <c r="AC13" s="310">
        <f t="shared" ref="AC13:AC32" si="4">U13-AB13</f>
        <v>70884.074791999999</v>
      </c>
      <c r="AD13" s="1073">
        <f>'04-22-Master'!AP17</f>
        <v>44686</v>
      </c>
      <c r="AE13" s="413" t="str">
        <f>'04-22-Master'!AQ17</f>
        <v>Standard chartered Bank</v>
      </c>
      <c r="AF13" s="414" t="str">
        <f>'04-22-Master'!AR17</f>
        <v>A/C'44511140919</v>
      </c>
      <c r="AG13" s="723"/>
    </row>
    <row r="14" spans="1:37" s="390" customFormat="1" ht="25.15" customHeight="1">
      <c r="A14" s="409">
        <v>3</v>
      </c>
      <c r="B14" s="722" t="str">
        <f>'04-22-Master'!P18</f>
        <v>RUKNUDEEN S</v>
      </c>
      <c r="C14" s="377">
        <f>'04-22-Master'!AT18</f>
        <v>75</v>
      </c>
      <c r="D14" s="1072" t="str">
        <f>'04-22-Master'!F18</f>
        <v>Technical consultant</v>
      </c>
      <c r="E14" s="410">
        <f>'04-22-Master'!Q18</f>
        <v>30</v>
      </c>
      <c r="F14" s="411" t="str">
        <f>'04-22-Master'!R18</f>
        <v>N/A</v>
      </c>
      <c r="G14" s="411">
        <f>'04-22-Master'!S18</f>
        <v>89547</v>
      </c>
      <c r="H14" s="412">
        <f>'04-22-Master'!T18</f>
        <v>53728.2</v>
      </c>
      <c r="I14" s="377">
        <f>'04-22-Master'!U18</f>
        <v>0</v>
      </c>
      <c r="J14" s="377">
        <f>'04-22-Master'!V18</f>
        <v>0</v>
      </c>
      <c r="K14" s="310">
        <f t="shared" si="0"/>
        <v>35931.800000000003</v>
      </c>
      <c r="L14" s="310">
        <f>'04-22-Master'!X18</f>
        <v>21491.279999999999</v>
      </c>
      <c r="M14" s="310">
        <f>'04-22-Master'!Y18</f>
        <v>2083</v>
      </c>
      <c r="N14" s="310">
        <f>'04-22-Master'!Z18</f>
        <v>2083</v>
      </c>
      <c r="O14" s="310">
        <f>'04-22-Master'!AA18</f>
        <v>10274.520000000004</v>
      </c>
      <c r="P14" s="310">
        <f t="shared" si="1"/>
        <v>89660</v>
      </c>
      <c r="Q14" s="377">
        <f>'04-22-Master'!AC18</f>
        <v>1554.6089999999999</v>
      </c>
      <c r="R14" s="377">
        <f>'04-22-Master'!AD18</f>
        <v>2584.3264199999994</v>
      </c>
      <c r="S14" s="377">
        <f>'04-22-Master'!AE18</f>
        <v>4477.3499999999995</v>
      </c>
      <c r="T14" s="310">
        <f>'04-22-Master'!AF18</f>
        <v>0</v>
      </c>
      <c r="U14" s="310">
        <f t="shared" si="2"/>
        <v>98276.28542</v>
      </c>
      <c r="V14" s="412">
        <f>'04-22-Master'!AH18</f>
        <v>0</v>
      </c>
      <c r="W14" s="310">
        <f>'04-22-Master'!AI18</f>
        <v>1800</v>
      </c>
      <c r="X14" s="310">
        <f>'04-22-Master'!AJ18</f>
        <v>200</v>
      </c>
      <c r="Y14" s="310">
        <f>'04-22-Master'!AK18</f>
        <v>0</v>
      </c>
      <c r="Z14" s="310">
        <f>'04-22-Master'!AL18</f>
        <v>391.787848</v>
      </c>
      <c r="AA14" s="310">
        <v>0</v>
      </c>
      <c r="AB14" s="310">
        <f t="shared" si="3"/>
        <v>2391.7878479999999</v>
      </c>
      <c r="AC14" s="310">
        <f t="shared" si="4"/>
        <v>95884.497571999993</v>
      </c>
      <c r="AD14" s="1073">
        <f>'04-22-Master'!AP18</f>
        <v>44686</v>
      </c>
      <c r="AE14" s="413" t="str">
        <f>'04-22-Master'!AQ18</f>
        <v>SBI</v>
      </c>
      <c r="AF14" s="414">
        <f>'04-22-Master'!AR18</f>
        <v>39203094887</v>
      </c>
      <c r="AG14" s="723"/>
    </row>
    <row r="15" spans="1:37" s="390" customFormat="1" ht="25.15" customHeight="1">
      <c r="A15" s="409">
        <v>4</v>
      </c>
      <c r="B15" s="722" t="str">
        <f>'04-22-Master'!P19</f>
        <v xml:space="preserve">Srikanth Thota   </v>
      </c>
      <c r="C15" s="377">
        <f>'04-22-Master'!AT19</f>
        <v>80</v>
      </c>
      <c r="D15" s="1072" t="str">
        <f>'04-22-Master'!F19</f>
        <v>PMO Manager</v>
      </c>
      <c r="E15" s="410">
        <f>'04-22-Master'!Q19</f>
        <v>30</v>
      </c>
      <c r="F15" s="411" t="str">
        <f>'04-22-Master'!R19</f>
        <v>N/A</v>
      </c>
      <c r="G15" s="411">
        <f>'04-22-Master'!S19</f>
        <v>103451</v>
      </c>
      <c r="H15" s="412">
        <f>'04-22-Master'!T19</f>
        <v>62070.6</v>
      </c>
      <c r="I15" s="377">
        <f>'04-22-Master'!U19</f>
        <v>0</v>
      </c>
      <c r="J15" s="377">
        <f>'04-22-Master'!V19</f>
        <v>0</v>
      </c>
      <c r="K15" s="310">
        <f t="shared" si="0"/>
        <v>41493.400000000009</v>
      </c>
      <c r="L15" s="310">
        <f>'04-22-Master'!X19</f>
        <v>24828.240000000002</v>
      </c>
      <c r="M15" s="310">
        <f>'04-22-Master'!Y19</f>
        <v>2083</v>
      </c>
      <c r="N15" s="310">
        <f>'04-22-Master'!Z19</f>
        <v>2083</v>
      </c>
      <c r="O15" s="310">
        <f>'04-22-Master'!AA19</f>
        <v>12499.160000000003</v>
      </c>
      <c r="P15" s="310">
        <f t="shared" si="1"/>
        <v>103564</v>
      </c>
      <c r="Q15" s="377">
        <f>'04-22-Master'!AC19</f>
        <v>1554.6089999999999</v>
      </c>
      <c r="R15" s="377">
        <f>'04-22-Master'!AD19</f>
        <v>2985.5958599999994</v>
      </c>
      <c r="S15" s="377">
        <f>'04-22-Master'!AE19</f>
        <v>5172.55</v>
      </c>
      <c r="T15" s="310">
        <f>'04-22-Master'!AF19</f>
        <v>0</v>
      </c>
      <c r="U15" s="310">
        <f t="shared" si="2"/>
        <v>113276.75486</v>
      </c>
      <c r="V15" s="412">
        <f>'04-22-Master'!AH19</f>
        <v>0</v>
      </c>
      <c r="W15" s="310">
        <f>'04-22-Master'!AI19</f>
        <v>1800</v>
      </c>
      <c r="X15" s="310">
        <f>'04-22-Master'!AJ19</f>
        <v>200</v>
      </c>
      <c r="Y15" s="310">
        <f>'04-22-Master'!AK19</f>
        <v>0</v>
      </c>
      <c r="Z15" s="310">
        <f>'04-22-Master'!AL19</f>
        <v>377</v>
      </c>
      <c r="AA15" s="310">
        <v>0</v>
      </c>
      <c r="AB15" s="310">
        <f t="shared" si="3"/>
        <v>2377</v>
      </c>
      <c r="AC15" s="310">
        <f t="shared" si="4"/>
        <v>110899.75486</v>
      </c>
      <c r="AD15" s="1073">
        <f>'04-22-Master'!AP19</f>
        <v>44686</v>
      </c>
      <c r="AE15" s="413" t="str">
        <f>'04-22-Master'!AQ19</f>
        <v>ICICI BANK</v>
      </c>
      <c r="AF15" s="414" t="str">
        <f>'04-22-Master'!AR19</f>
        <v>020201513961</v>
      </c>
      <c r="AG15" s="723"/>
    </row>
    <row r="16" spans="1:37" s="390" customFormat="1" ht="25.15" customHeight="1">
      <c r="A16" s="409">
        <v>5</v>
      </c>
      <c r="B16" s="722" t="str">
        <f>'04-22-Master'!P20</f>
        <v xml:space="preserve">Shekhar Panchal  </v>
      </c>
      <c r="C16" s="377">
        <f>'04-22-Master'!AT20</f>
        <v>81</v>
      </c>
      <c r="D16" s="1072" t="str">
        <f>'04-22-Master'!F20</f>
        <v>Sr. Network Security Engineer</v>
      </c>
      <c r="E16" s="410">
        <f>'04-22-Master'!Q20</f>
        <v>30</v>
      </c>
      <c r="F16" s="411" t="str">
        <f>'04-22-Master'!R20</f>
        <v>N/A</v>
      </c>
      <c r="G16" s="411">
        <f>'04-22-Master'!S20</f>
        <v>66374</v>
      </c>
      <c r="H16" s="412">
        <f>'04-22-Master'!T20</f>
        <v>39824.400000000001</v>
      </c>
      <c r="I16" s="377">
        <f>'04-22-Master'!U20</f>
        <v>0</v>
      </c>
      <c r="J16" s="377">
        <f>'04-22-Master'!V20</f>
        <v>0</v>
      </c>
      <c r="K16" s="310">
        <f t="shared" si="0"/>
        <v>26662.6</v>
      </c>
      <c r="L16" s="310">
        <f>'04-22-Master'!X20</f>
        <v>15929.760000000002</v>
      </c>
      <c r="M16" s="310">
        <f>'04-22-Master'!Y20</f>
        <v>2083</v>
      </c>
      <c r="N16" s="310">
        <f>'04-22-Master'!Z20</f>
        <v>2083</v>
      </c>
      <c r="O16" s="310">
        <f>'04-22-Master'!AA20</f>
        <v>6566.8399999999965</v>
      </c>
      <c r="P16" s="310">
        <f t="shared" si="1"/>
        <v>66487</v>
      </c>
      <c r="Q16" s="377">
        <f>'04-22-Master'!AC20</f>
        <v>1554.6089999999999</v>
      </c>
      <c r="R16" s="377">
        <f>'04-22-Master'!AD20</f>
        <v>1915.5536400000001</v>
      </c>
      <c r="S16" s="377">
        <f>'04-22-Master'!AE20</f>
        <v>3318.7000000000003</v>
      </c>
      <c r="T16" s="310">
        <f>'04-22-Master'!AF20</f>
        <v>0</v>
      </c>
      <c r="U16" s="310">
        <f t="shared" si="2"/>
        <v>73275.862639999992</v>
      </c>
      <c r="V16" s="412">
        <f>'04-22-Master'!AH20</f>
        <v>0</v>
      </c>
      <c r="W16" s="310">
        <f>'04-22-Master'!AI20</f>
        <v>1800</v>
      </c>
      <c r="X16" s="310">
        <f>'04-22-Master'!AJ20</f>
        <v>200</v>
      </c>
      <c r="Y16" s="310">
        <f>'04-22-Master'!AK20</f>
        <v>0</v>
      </c>
      <c r="Z16" s="310">
        <f>'04-22-Master'!AL20</f>
        <v>336</v>
      </c>
      <c r="AA16" s="310">
        <v>0</v>
      </c>
      <c r="AB16" s="310">
        <f t="shared" si="3"/>
        <v>2336</v>
      </c>
      <c r="AC16" s="310">
        <f t="shared" si="4"/>
        <v>70939.862639999992</v>
      </c>
      <c r="AD16" s="1073">
        <f>'04-22-Master'!AP20</f>
        <v>44686</v>
      </c>
      <c r="AE16" s="413" t="str">
        <f>'04-22-Master'!AQ20</f>
        <v>ICICI BANK</v>
      </c>
      <c r="AF16" s="414" t="str">
        <f>'04-22-Master'!AR20</f>
        <v>346801502975</v>
      </c>
      <c r="AG16" s="723"/>
    </row>
    <row r="17" spans="1:33" s="390" customFormat="1" ht="25.15" customHeight="1">
      <c r="A17" s="409">
        <v>6</v>
      </c>
      <c r="B17" s="722" t="str">
        <f>'04-22-Master'!P21</f>
        <v>Gangadhar Yarabham</v>
      </c>
      <c r="C17" s="377">
        <f>'04-22-Master'!AT21</f>
        <v>83</v>
      </c>
      <c r="D17" s="1072" t="str">
        <f>'04-22-Master'!F21</f>
        <v>Senior Specialist</v>
      </c>
      <c r="E17" s="410">
        <f>'04-22-Master'!Q21</f>
        <v>30</v>
      </c>
      <c r="F17" s="411" t="str">
        <f>'04-22-Master'!R21</f>
        <v>N/A</v>
      </c>
      <c r="G17" s="411">
        <f>'04-22-Master'!S21</f>
        <v>84912</v>
      </c>
      <c r="H17" s="412">
        <f>'04-22-Master'!T21</f>
        <v>50947.199999999997</v>
      </c>
      <c r="I17" s="377">
        <f>'04-22-Master'!U21</f>
        <v>0</v>
      </c>
      <c r="J17" s="377">
        <f>'04-22-Master'!V21</f>
        <v>0</v>
      </c>
      <c r="K17" s="310">
        <f t="shared" si="0"/>
        <v>34077.800000000003</v>
      </c>
      <c r="L17" s="310">
        <f>'04-22-Master'!X21</f>
        <v>20378.88</v>
      </c>
      <c r="M17" s="310">
        <f>'04-22-Master'!Y21</f>
        <v>2083</v>
      </c>
      <c r="N17" s="310">
        <f>'04-22-Master'!Z21</f>
        <v>2083</v>
      </c>
      <c r="O17" s="310">
        <f>'04-22-Master'!AA21</f>
        <v>9532.9199999999983</v>
      </c>
      <c r="P17" s="310">
        <f t="shared" si="1"/>
        <v>85025</v>
      </c>
      <c r="Q17" s="377">
        <f>'04-22-Master'!AC21</f>
        <v>1554.6089999999999</v>
      </c>
      <c r="R17" s="377">
        <f>'04-22-Master'!AD21</f>
        <v>2450.5603199999996</v>
      </c>
      <c r="S17" s="377">
        <f>'04-22-Master'!AE21</f>
        <v>4245.5999999999995</v>
      </c>
      <c r="T17" s="310">
        <f>'04-22-Master'!AF21</f>
        <v>0</v>
      </c>
      <c r="U17" s="310">
        <f t="shared" si="2"/>
        <v>93275.769320000007</v>
      </c>
      <c r="V17" s="412">
        <f>'04-22-Master'!AH21</f>
        <v>0</v>
      </c>
      <c r="W17" s="310">
        <f>'04-22-Master'!AI21</f>
        <v>1800</v>
      </c>
      <c r="X17" s="310">
        <f>'04-22-Master'!AJ21</f>
        <v>200</v>
      </c>
      <c r="Y17" s="310">
        <f>'04-22-Master'!AK21</f>
        <v>0</v>
      </c>
      <c r="Z17" s="310">
        <f>'04-22-Master'!AL21</f>
        <v>377</v>
      </c>
      <c r="AA17" s="310">
        <v>0</v>
      </c>
      <c r="AB17" s="310">
        <f t="shared" si="3"/>
        <v>2377</v>
      </c>
      <c r="AC17" s="310">
        <f t="shared" si="4"/>
        <v>90898.769320000007</v>
      </c>
      <c r="AD17" s="1073">
        <f>'04-22-Master'!AP21</f>
        <v>44686</v>
      </c>
      <c r="AE17" s="413" t="str">
        <f>'04-22-Master'!AQ21</f>
        <v>KOTAK BANK</v>
      </c>
      <c r="AF17" s="414" t="str">
        <f>'04-22-Master'!AR21</f>
        <v>A/C NUM:0745780762</v>
      </c>
      <c r="AG17" s="723"/>
    </row>
    <row r="18" spans="1:33" s="390" customFormat="1" ht="25.15" customHeight="1">
      <c r="A18" s="409">
        <v>7</v>
      </c>
      <c r="B18" s="722" t="str">
        <f>'04-22-Master'!P22</f>
        <v xml:space="preserve">Nikhila Kaveri </v>
      </c>
      <c r="C18" s="377">
        <f>'04-22-Master'!AT22</f>
        <v>89</v>
      </c>
      <c r="D18" s="1072" t="str">
        <f>'04-22-Master'!F22</f>
        <v xml:space="preserve">TECHNICAL SOLUTION CONSULTANT </v>
      </c>
      <c r="E18" s="410">
        <f>'04-22-Master'!Q22</f>
        <v>30</v>
      </c>
      <c r="F18" s="411" t="str">
        <f>'04-22-Master'!R22</f>
        <v>N/A</v>
      </c>
      <c r="G18" s="411">
        <f>'04-22-Master'!S22</f>
        <v>108085</v>
      </c>
      <c r="H18" s="412">
        <f>'04-22-Master'!T22</f>
        <v>64851</v>
      </c>
      <c r="I18" s="377">
        <f>'04-22-Master'!U22</f>
        <v>0</v>
      </c>
      <c r="J18" s="377">
        <f>'04-22-Master'!V22</f>
        <v>0</v>
      </c>
      <c r="K18" s="310">
        <f t="shared" si="0"/>
        <v>43347.000000000007</v>
      </c>
      <c r="L18" s="310">
        <f>'04-22-Master'!X22</f>
        <v>25940.400000000001</v>
      </c>
      <c r="M18" s="310">
        <f>'04-22-Master'!Y22</f>
        <v>2083</v>
      </c>
      <c r="N18" s="310">
        <f>'04-22-Master'!Z22</f>
        <v>2083</v>
      </c>
      <c r="O18" s="310">
        <f>'04-22-Master'!AA22</f>
        <v>13240.600000000006</v>
      </c>
      <c r="P18" s="310">
        <f t="shared" si="1"/>
        <v>108198</v>
      </c>
      <c r="Q18" s="377">
        <f>'04-22-Master'!AC22</f>
        <v>1554.6089999999999</v>
      </c>
      <c r="R18" s="377">
        <f>'04-22-Master'!AD22</f>
        <v>3119.3330999999998</v>
      </c>
      <c r="S18" s="377">
        <f>'04-22-Master'!AE22</f>
        <v>5404.25</v>
      </c>
      <c r="T18" s="310">
        <f>'04-22-Master'!AF22</f>
        <v>0</v>
      </c>
      <c r="U18" s="310">
        <f t="shared" si="2"/>
        <v>118276.1921</v>
      </c>
      <c r="V18" s="412">
        <f>'04-22-Master'!AH22</f>
        <v>0</v>
      </c>
      <c r="W18" s="310">
        <f>'04-22-Master'!AI22</f>
        <v>1800</v>
      </c>
      <c r="X18" s="310">
        <f>'04-22-Master'!AJ22</f>
        <v>200</v>
      </c>
      <c r="Y18" s="310">
        <f>'04-22-Master'!AK22</f>
        <v>0</v>
      </c>
      <c r="Z18" s="310">
        <f>'04-22-Master'!AL22</f>
        <v>252</v>
      </c>
      <c r="AA18" s="310">
        <v>0</v>
      </c>
      <c r="AB18" s="310">
        <f t="shared" si="3"/>
        <v>2252</v>
      </c>
      <c r="AC18" s="310">
        <f t="shared" si="4"/>
        <v>116024.1921</v>
      </c>
      <c r="AD18" s="1073">
        <f>'04-22-Master'!AP22</f>
        <v>44686</v>
      </c>
      <c r="AE18" s="413" t="str">
        <f>'04-22-Master'!AQ22</f>
        <v>HDFC BANK</v>
      </c>
      <c r="AF18" s="414" t="str">
        <f>'04-22-Master'!AR22</f>
        <v>HDFC0002770</v>
      </c>
      <c r="AG18" s="723"/>
    </row>
    <row r="19" spans="1:33" s="390" customFormat="1" ht="25.15" customHeight="1">
      <c r="A19" s="409">
        <v>8</v>
      </c>
      <c r="B19" s="722" t="str">
        <f>'04-22-Master'!P23</f>
        <v>Thaposh Ghosh</v>
      </c>
      <c r="C19" s="377">
        <f>'04-22-Master'!AT23</f>
        <v>90</v>
      </c>
      <c r="D19" s="1072" t="str">
        <f>'04-22-Master'!F23</f>
        <v>Incident Governance Manager</v>
      </c>
      <c r="E19" s="410">
        <f>'04-22-Master'!Q23</f>
        <v>30</v>
      </c>
      <c r="F19" s="411" t="str">
        <f>'04-22-Master'!R23</f>
        <v>N/A</v>
      </c>
      <c r="G19" s="411">
        <f>'04-22-Master'!S23</f>
        <v>140526</v>
      </c>
      <c r="H19" s="412">
        <f>'04-22-Master'!T23</f>
        <v>84315.6</v>
      </c>
      <c r="I19" s="377">
        <f>'04-22-Master'!U23</f>
        <v>0</v>
      </c>
      <c r="J19" s="377">
        <f>'04-22-Master'!V23</f>
        <v>0</v>
      </c>
      <c r="K19" s="310">
        <f t="shared" si="0"/>
        <v>56323.399999999994</v>
      </c>
      <c r="L19" s="310">
        <f>'04-22-Master'!X23</f>
        <v>33726.240000000005</v>
      </c>
      <c r="M19" s="310">
        <f>'04-22-Master'!Y23</f>
        <v>2083</v>
      </c>
      <c r="N19" s="310">
        <f>'04-22-Master'!Z23</f>
        <v>2083</v>
      </c>
      <c r="O19" s="310">
        <f>'04-22-Master'!AA23</f>
        <v>18431.159999999989</v>
      </c>
      <c r="P19" s="310">
        <f t="shared" si="1"/>
        <v>140639</v>
      </c>
      <c r="Q19" s="377">
        <f>'04-22-Master'!AC23</f>
        <v>1554.6089999999999</v>
      </c>
      <c r="R19" s="377">
        <f>'04-22-Master'!AD23</f>
        <v>4055.5803600000004</v>
      </c>
      <c r="S19" s="377">
        <f>'04-22-Master'!AE23</f>
        <v>7026.3</v>
      </c>
      <c r="T19" s="310">
        <f>'04-22-Master'!AF23</f>
        <v>0</v>
      </c>
      <c r="U19" s="310">
        <f t="shared" si="2"/>
        <v>153275.48935999998</v>
      </c>
      <c r="V19" s="412">
        <f>'04-22-Master'!AH23</f>
        <v>0</v>
      </c>
      <c r="W19" s="310">
        <f>'04-22-Master'!AI23</f>
        <v>1800</v>
      </c>
      <c r="X19" s="310">
        <f>'04-22-Master'!AJ23</f>
        <v>200</v>
      </c>
      <c r="Y19" s="310">
        <f>'04-22-Master'!AK23</f>
        <v>0</v>
      </c>
      <c r="Z19" s="310">
        <f>'04-22-Master'!AL23</f>
        <v>283</v>
      </c>
      <c r="AA19" s="310">
        <v>0</v>
      </c>
      <c r="AB19" s="310">
        <f t="shared" si="3"/>
        <v>2283</v>
      </c>
      <c r="AC19" s="310">
        <f t="shared" si="4"/>
        <v>150992.48935999998</v>
      </c>
      <c r="AD19" s="1073">
        <f>'04-22-Master'!AP23</f>
        <v>44686</v>
      </c>
      <c r="AE19" s="413" t="str">
        <f>'04-22-Master'!AQ23</f>
        <v>AXIS BANK</v>
      </c>
      <c r="AF19" s="414" t="str">
        <f>'04-22-Master'!AR23</f>
        <v>914010012727732</v>
      </c>
      <c r="AG19" s="723"/>
    </row>
    <row r="20" spans="1:33" s="390" customFormat="1" ht="25.15" customHeight="1">
      <c r="A20" s="409">
        <v>9</v>
      </c>
      <c r="B20" s="722" t="str">
        <f>'04-22-Master'!P24</f>
        <v>Nagashree Narayan</v>
      </c>
      <c r="C20" s="377">
        <f>'04-22-Master'!AT24</f>
        <v>91</v>
      </c>
      <c r="D20" s="1072" t="str">
        <f>'04-22-Master'!F24</f>
        <v>Technical Lead</v>
      </c>
      <c r="E20" s="410">
        <f>'04-22-Master'!Q24</f>
        <v>29</v>
      </c>
      <c r="F20" s="411" t="str">
        <f>'04-22-Master'!R24</f>
        <v>N/A</v>
      </c>
      <c r="G20" s="411">
        <f>'04-22-Master'!S24</f>
        <v>98816</v>
      </c>
      <c r="H20" s="412">
        <f>'04-22-Master'!T24</f>
        <v>57313.279999999999</v>
      </c>
      <c r="I20" s="377">
        <f>'04-22-Master'!U24</f>
        <v>0</v>
      </c>
      <c r="J20" s="377">
        <f>'04-22-Master'!V24</f>
        <v>0</v>
      </c>
      <c r="K20" s="310">
        <f t="shared" si="0"/>
        <v>38321.853333333333</v>
      </c>
      <c r="L20" s="310">
        <f>'04-22-Master'!X24</f>
        <v>22925.312000000002</v>
      </c>
      <c r="M20" s="310">
        <f>'04-22-Master'!Y24</f>
        <v>2014</v>
      </c>
      <c r="N20" s="310">
        <f>'04-22-Master'!Z24</f>
        <v>2014</v>
      </c>
      <c r="O20" s="310">
        <f>'04-22-Master'!AA24</f>
        <v>11368.541333333327</v>
      </c>
      <c r="P20" s="310">
        <f t="shared" si="1"/>
        <v>95635.133333333331</v>
      </c>
      <c r="Q20" s="377">
        <f>'04-22-Master'!AC24</f>
        <v>1554.6089999999999</v>
      </c>
      <c r="R20" s="377">
        <f>'04-22-Master'!AD24</f>
        <v>2756.7687679999999</v>
      </c>
      <c r="S20" s="377">
        <f>'04-22-Master'!AE24</f>
        <v>4776.1066666666666</v>
      </c>
      <c r="T20" s="310">
        <f>'04-22-Master'!AF24</f>
        <v>0</v>
      </c>
      <c r="U20" s="310">
        <f t="shared" si="2"/>
        <v>104722.617768</v>
      </c>
      <c r="V20" s="412">
        <f>'04-22-Master'!AH24</f>
        <v>0</v>
      </c>
      <c r="W20" s="310">
        <f>'04-22-Master'!AI24</f>
        <v>1800</v>
      </c>
      <c r="X20" s="310">
        <f>'04-22-Master'!AJ24</f>
        <v>200</v>
      </c>
      <c r="Y20" s="310">
        <f>'04-22-Master'!AK24</f>
        <v>0</v>
      </c>
      <c r="Z20" s="310">
        <f>'04-22-Master'!AL24</f>
        <v>283</v>
      </c>
      <c r="AA20" s="310">
        <v>0</v>
      </c>
      <c r="AB20" s="310">
        <f t="shared" si="3"/>
        <v>2283</v>
      </c>
      <c r="AC20" s="310">
        <f t="shared" si="4"/>
        <v>102439.617768</v>
      </c>
      <c r="AD20" s="1073">
        <f>'04-22-Master'!AP24</f>
        <v>44686</v>
      </c>
      <c r="AE20" s="413" t="str">
        <f>'04-22-Master'!AQ24</f>
        <v xml:space="preserve">ICICI BANK </v>
      </c>
      <c r="AF20" s="414" t="str">
        <f>'04-22-Master'!AR24</f>
        <v xml:space="preserve">098601510169 </v>
      </c>
      <c r="AG20" s="724"/>
    </row>
    <row r="21" spans="1:33" s="339" customFormat="1" ht="25.15" customHeight="1">
      <c r="A21" s="409">
        <v>10</v>
      </c>
      <c r="B21" s="722" t="str">
        <f>'04-22-Master'!P25</f>
        <v>ROOPINI CHIYYARAPU</v>
      </c>
      <c r="C21" s="377">
        <f>'04-22-Master'!AT25</f>
        <v>92</v>
      </c>
      <c r="D21" s="1072" t="str">
        <f>'04-22-Master'!F25</f>
        <v>Service Now Developer</v>
      </c>
      <c r="E21" s="410">
        <f>'04-22-Master'!Q25</f>
        <v>30</v>
      </c>
      <c r="F21" s="411" t="str">
        <f>'04-22-Master'!R25</f>
        <v>N/A</v>
      </c>
      <c r="G21" s="411">
        <f>'04-22-Master'!S25</f>
        <v>75643</v>
      </c>
      <c r="H21" s="412">
        <f>'04-22-Master'!T25</f>
        <v>45385.8</v>
      </c>
      <c r="I21" s="377">
        <f>'04-22-Master'!U25</f>
        <v>0</v>
      </c>
      <c r="J21" s="377">
        <f>'04-22-Master'!V25</f>
        <v>0</v>
      </c>
      <c r="K21" s="310">
        <f t="shared" si="0"/>
        <v>30370.199999999993</v>
      </c>
      <c r="L21" s="310">
        <f>'04-22-Master'!X25</f>
        <v>18154.320000000003</v>
      </c>
      <c r="M21" s="310">
        <f>'04-22-Master'!Y25</f>
        <v>2083</v>
      </c>
      <c r="N21" s="310">
        <f>'04-22-Master'!Z25</f>
        <v>2083</v>
      </c>
      <c r="O21" s="310">
        <f>'04-22-Master'!AA25</f>
        <v>8049.8799999999901</v>
      </c>
      <c r="P21" s="310">
        <f t="shared" si="1"/>
        <v>75756</v>
      </c>
      <c r="Q21" s="377">
        <f>'04-22-Master'!AC25</f>
        <v>1554.6089999999999</v>
      </c>
      <c r="R21" s="377">
        <f>'04-22-Master'!AD25</f>
        <v>2183.0569799999998</v>
      </c>
      <c r="S21" s="377">
        <f>'04-22-Master'!AE25</f>
        <v>3782.15</v>
      </c>
      <c r="T21" s="310">
        <f>'04-22-Master'!AF25</f>
        <v>0</v>
      </c>
      <c r="U21" s="310">
        <f t="shared" si="2"/>
        <v>83275.815979999985</v>
      </c>
      <c r="V21" s="412">
        <f>'04-22-Master'!AH25</f>
        <v>0</v>
      </c>
      <c r="W21" s="310">
        <f>'04-22-Master'!AI25</f>
        <v>1800</v>
      </c>
      <c r="X21" s="310">
        <f>'04-22-Master'!AJ25</f>
        <v>200</v>
      </c>
      <c r="Y21" s="310">
        <f>'04-22-Master'!AK25</f>
        <v>0</v>
      </c>
      <c r="Z21" s="310">
        <f>'04-22-Master'!AL25</f>
        <v>283</v>
      </c>
      <c r="AA21" s="310">
        <v>0</v>
      </c>
      <c r="AB21" s="310">
        <f t="shared" si="3"/>
        <v>2283</v>
      </c>
      <c r="AC21" s="310">
        <f t="shared" si="4"/>
        <v>80992.815979999985</v>
      </c>
      <c r="AD21" s="1073">
        <f>'04-22-Master'!AP25</f>
        <v>44686</v>
      </c>
      <c r="AE21" s="413" t="str">
        <f>'04-22-Master'!AQ25</f>
        <v>SBI</v>
      </c>
      <c r="AF21" s="414">
        <f>'04-22-Master'!AR25</f>
        <v>39504382024</v>
      </c>
      <c r="AG21" s="724"/>
    </row>
    <row r="22" spans="1:33" s="390" customFormat="1" ht="25.15" customHeight="1">
      <c r="A22" s="409">
        <v>11</v>
      </c>
      <c r="B22" s="722" t="str">
        <f>'04-22-Master'!P26</f>
        <v>D.Santhoshi</v>
      </c>
      <c r="C22" s="377">
        <f>'04-22-Master'!AT26</f>
        <v>93</v>
      </c>
      <c r="D22" s="1072" t="str">
        <f>'04-22-Master'!F26</f>
        <v>SAP Basis Consultant</v>
      </c>
      <c r="E22" s="410">
        <f>'04-22-Master'!Q26</f>
        <v>30</v>
      </c>
      <c r="F22" s="411" t="str">
        <f>'04-22-Master'!R26</f>
        <v>N/A</v>
      </c>
      <c r="G22" s="411">
        <f>'04-22-Master'!S26</f>
        <v>38567</v>
      </c>
      <c r="H22" s="412">
        <f>'04-22-Master'!T26</f>
        <v>23140.2</v>
      </c>
      <c r="I22" s="377">
        <f>'04-22-Master'!U26</f>
        <v>0</v>
      </c>
      <c r="J22" s="377">
        <f>'04-22-Master'!V26</f>
        <v>0</v>
      </c>
      <c r="K22" s="310">
        <f t="shared" si="0"/>
        <v>15539.800000000001</v>
      </c>
      <c r="L22" s="310">
        <f>'04-22-Master'!X26</f>
        <v>9256.08</v>
      </c>
      <c r="M22" s="310">
        <f>'04-22-Master'!Y26</f>
        <v>2083</v>
      </c>
      <c r="N22" s="310">
        <f>'04-22-Master'!Z26</f>
        <v>2083</v>
      </c>
      <c r="O22" s="310">
        <f>'04-22-Master'!AA26</f>
        <v>2117.7200000000012</v>
      </c>
      <c r="P22" s="310">
        <f t="shared" si="1"/>
        <v>38680</v>
      </c>
      <c r="Q22" s="377">
        <f>'04-22-Master'!AC26</f>
        <v>1554.6089999999999</v>
      </c>
      <c r="R22" s="377">
        <f>'04-22-Master'!AD26</f>
        <v>1113.0436199999999</v>
      </c>
      <c r="S22" s="377">
        <f>'04-22-Master'!AE26</f>
        <v>1928.3500000000001</v>
      </c>
      <c r="T22" s="310">
        <f>'04-22-Master'!AF26</f>
        <v>0</v>
      </c>
      <c r="U22" s="310">
        <f t="shared" si="2"/>
        <v>43276.002619999992</v>
      </c>
      <c r="V22" s="412">
        <f>'04-22-Master'!AH26</f>
        <v>0</v>
      </c>
      <c r="W22" s="310">
        <f>'04-22-Master'!AI26</f>
        <v>1800</v>
      </c>
      <c r="X22" s="310">
        <f>'04-22-Master'!AJ26</f>
        <v>200</v>
      </c>
      <c r="Y22" s="310">
        <f>'04-22-Master'!AK26</f>
        <v>0</v>
      </c>
      <c r="Z22" s="310">
        <f>'04-22-Master'!AL26</f>
        <v>283</v>
      </c>
      <c r="AA22" s="310">
        <v>0</v>
      </c>
      <c r="AB22" s="310">
        <f t="shared" si="3"/>
        <v>2283</v>
      </c>
      <c r="AC22" s="310">
        <f t="shared" si="4"/>
        <v>40993.002619999992</v>
      </c>
      <c r="AD22" s="1073">
        <f>'04-22-Master'!AP26</f>
        <v>44686</v>
      </c>
      <c r="AE22" s="413" t="str">
        <f>'04-22-Master'!AQ26</f>
        <v>INDIAN BANK</v>
      </c>
      <c r="AF22" s="414">
        <f>'04-22-Master'!AR26</f>
        <v>6108665097</v>
      </c>
      <c r="AG22" s="724"/>
    </row>
    <row r="23" spans="1:33" s="390" customFormat="1" ht="25.15" customHeight="1">
      <c r="A23" s="409">
        <v>12</v>
      </c>
      <c r="B23" s="722" t="str">
        <f>'04-22-Master'!P27</f>
        <v>Bharath</v>
      </c>
      <c r="C23" s="377">
        <f>'04-22-Master'!AT27</f>
        <v>94</v>
      </c>
      <c r="D23" s="1072" t="str">
        <f>'04-22-Master'!F27</f>
        <v>SAP Basis Consultant</v>
      </c>
      <c r="E23" s="410">
        <f>'04-22-Master'!Q27</f>
        <v>30</v>
      </c>
      <c r="F23" s="411" t="str">
        <f>'04-22-Master'!R27</f>
        <v>N/A</v>
      </c>
      <c r="G23" s="411">
        <f>'04-22-Master'!S27</f>
        <v>24636</v>
      </c>
      <c r="H23" s="412">
        <f>'04-22-Master'!T27</f>
        <v>14781.6</v>
      </c>
      <c r="I23" s="377">
        <f>'04-22-Master'!U27</f>
        <v>0</v>
      </c>
      <c r="J23" s="377">
        <f>'04-22-Master'!V27</f>
        <v>0</v>
      </c>
      <c r="K23" s="310">
        <f t="shared" si="0"/>
        <v>9967.3999999999978</v>
      </c>
      <c r="L23" s="310">
        <f>'04-22-Master'!X27</f>
        <v>5912.64</v>
      </c>
      <c r="M23" s="310">
        <f>'04-22-Master'!Y27</f>
        <v>1500</v>
      </c>
      <c r="N23" s="310">
        <f>'04-22-Master'!Z27</f>
        <v>1500</v>
      </c>
      <c r="O23" s="310">
        <f>'04-22-Master'!AA27</f>
        <v>1054.7599999999984</v>
      </c>
      <c r="P23" s="310">
        <f t="shared" si="1"/>
        <v>24749</v>
      </c>
      <c r="Q23" s="377">
        <f>'04-22-Master'!AC27</f>
        <v>1554.6089999999999</v>
      </c>
      <c r="R23" s="377">
        <f>'04-22-Master'!AD27</f>
        <v>710.99495999999999</v>
      </c>
      <c r="S23" s="377">
        <f>'04-22-Master'!AE27</f>
        <v>1231.8</v>
      </c>
      <c r="T23" s="310">
        <f>'04-22-Master'!AF27</f>
        <v>0</v>
      </c>
      <c r="U23" s="310">
        <f t="shared" si="2"/>
        <v>28246.40396</v>
      </c>
      <c r="V23" s="412">
        <f>'04-22-Master'!AH27</f>
        <v>0</v>
      </c>
      <c r="W23" s="310">
        <f>'04-22-Master'!AI27</f>
        <v>1774</v>
      </c>
      <c r="X23" s="310">
        <f>'04-22-Master'!AJ27</f>
        <v>200</v>
      </c>
      <c r="Y23" s="310">
        <f>'04-22-Master'!AK27</f>
        <v>0</v>
      </c>
      <c r="Z23" s="310">
        <f>'04-22-Master'!AL27</f>
        <v>283</v>
      </c>
      <c r="AA23" s="310">
        <v>0</v>
      </c>
      <c r="AB23" s="310">
        <f t="shared" si="3"/>
        <v>2257</v>
      </c>
      <c r="AC23" s="310">
        <f t="shared" si="4"/>
        <v>25989.40396</v>
      </c>
      <c r="AD23" s="1073">
        <f>'04-22-Master'!AP27</f>
        <v>44686</v>
      </c>
      <c r="AE23" s="413" t="str">
        <f>'04-22-Master'!AQ27</f>
        <v>SBI</v>
      </c>
      <c r="AF23" s="414">
        <f>'04-22-Master'!AR27</f>
        <v>34997967265</v>
      </c>
      <c r="AG23" s="724"/>
    </row>
    <row r="24" spans="1:33" s="390" customFormat="1" ht="25.15" customHeight="1">
      <c r="A24" s="409">
        <v>13</v>
      </c>
      <c r="B24" s="722" t="str">
        <f>'04-22-Master'!P28</f>
        <v>NEERUDU SAI KUMAR</v>
      </c>
      <c r="C24" s="377">
        <f>'04-22-Master'!AT28</f>
        <v>95</v>
      </c>
      <c r="D24" s="1072" t="str">
        <f>'04-22-Master'!F28</f>
        <v>SAP Basis Consultant</v>
      </c>
      <c r="E24" s="410">
        <f>'04-22-Master'!Q28</f>
        <v>30</v>
      </c>
      <c r="F24" s="411" t="str">
        <f>'04-22-Master'!R28</f>
        <v>N/A</v>
      </c>
      <c r="G24" s="411">
        <f>'04-22-Master'!S28</f>
        <v>38567</v>
      </c>
      <c r="H24" s="412">
        <f>'04-22-Master'!T28</f>
        <v>23140.2</v>
      </c>
      <c r="I24" s="377">
        <f>'04-22-Master'!U28</f>
        <v>0</v>
      </c>
      <c r="J24" s="377">
        <f>'04-22-Master'!V28</f>
        <v>0</v>
      </c>
      <c r="K24" s="310">
        <f t="shared" si="0"/>
        <v>15539.800000000001</v>
      </c>
      <c r="L24" s="310">
        <f>'04-22-Master'!X28</f>
        <v>9256.08</v>
      </c>
      <c r="M24" s="310">
        <f>'04-22-Master'!Y28</f>
        <v>2083</v>
      </c>
      <c r="N24" s="310">
        <f>'04-22-Master'!Z28</f>
        <v>2083</v>
      </c>
      <c r="O24" s="310">
        <f>'04-22-Master'!AA28</f>
        <v>2117.7200000000012</v>
      </c>
      <c r="P24" s="310">
        <f t="shared" si="1"/>
        <v>38680</v>
      </c>
      <c r="Q24" s="377">
        <f>'04-22-Master'!AC28</f>
        <v>1554.6089999999999</v>
      </c>
      <c r="R24" s="377">
        <f>'04-22-Master'!AD28</f>
        <v>1113.0436199999999</v>
      </c>
      <c r="S24" s="377">
        <f>'04-22-Master'!AE28</f>
        <v>1928.3500000000001</v>
      </c>
      <c r="T24" s="310">
        <f>'04-22-Master'!AF28</f>
        <v>0</v>
      </c>
      <c r="U24" s="310">
        <f t="shared" si="2"/>
        <v>43276.002619999992</v>
      </c>
      <c r="V24" s="412">
        <f>'04-22-Master'!AH28</f>
        <v>0</v>
      </c>
      <c r="W24" s="310">
        <f>'04-22-Master'!AI28</f>
        <v>1800</v>
      </c>
      <c r="X24" s="310">
        <f>'04-22-Master'!AJ28</f>
        <v>200</v>
      </c>
      <c r="Y24" s="310">
        <f>'04-22-Master'!AK28</f>
        <v>0</v>
      </c>
      <c r="Z24" s="310">
        <f>'04-22-Master'!AL28</f>
        <v>283</v>
      </c>
      <c r="AA24" s="310">
        <v>0</v>
      </c>
      <c r="AB24" s="310">
        <f t="shared" si="3"/>
        <v>2283</v>
      </c>
      <c r="AC24" s="310">
        <f t="shared" si="4"/>
        <v>40993.002619999992</v>
      </c>
      <c r="AD24" s="1073">
        <f>'04-22-Master'!AP28</f>
        <v>44686</v>
      </c>
      <c r="AE24" s="413" t="str">
        <f>'04-22-Master'!AQ28</f>
        <v>HDFC</v>
      </c>
      <c r="AF24" s="414">
        <f>'04-22-Master'!AR28</f>
        <v>50100450339212</v>
      </c>
      <c r="AG24" s="724"/>
    </row>
    <row r="25" spans="1:33" s="390" customFormat="1" ht="25.15" customHeight="1">
      <c r="A25" s="409">
        <v>14</v>
      </c>
      <c r="B25" s="722" t="str">
        <f>'04-22-Master'!P29</f>
        <v>Ramineni Abhilash</v>
      </c>
      <c r="C25" s="377">
        <f>'04-22-Master'!AT29</f>
        <v>96</v>
      </c>
      <c r="D25" s="1072" t="str">
        <f>'04-22-Master'!F29</f>
        <v>SAP Basis Consultant</v>
      </c>
      <c r="E25" s="410">
        <f>'04-22-Master'!Q29</f>
        <v>30</v>
      </c>
      <c r="F25" s="411" t="str">
        <f>'04-22-Master'!R29</f>
        <v>N/A</v>
      </c>
      <c r="G25" s="411">
        <f>'04-22-Master'!S29</f>
        <v>38567</v>
      </c>
      <c r="H25" s="412">
        <f>'04-22-Master'!T29</f>
        <v>23140.2</v>
      </c>
      <c r="I25" s="377">
        <f>'04-22-Master'!U29</f>
        <v>0</v>
      </c>
      <c r="J25" s="377">
        <f>'04-22-Master'!V29</f>
        <v>0</v>
      </c>
      <c r="K25" s="310">
        <f t="shared" si="0"/>
        <v>15539.800000000001</v>
      </c>
      <c r="L25" s="310">
        <f>'04-22-Master'!X29</f>
        <v>9256.08</v>
      </c>
      <c r="M25" s="310">
        <f>'04-22-Master'!Y29</f>
        <v>2083</v>
      </c>
      <c r="N25" s="310">
        <f>'04-22-Master'!Z29</f>
        <v>2083</v>
      </c>
      <c r="O25" s="310">
        <f>'04-22-Master'!AA29</f>
        <v>2117.7200000000012</v>
      </c>
      <c r="P25" s="310">
        <f t="shared" si="1"/>
        <v>38680</v>
      </c>
      <c r="Q25" s="377">
        <f>'04-22-Master'!AC29</f>
        <v>1554.6089999999999</v>
      </c>
      <c r="R25" s="377">
        <f>'04-22-Master'!AD29</f>
        <v>1113.0436199999999</v>
      </c>
      <c r="S25" s="377">
        <f>'04-22-Master'!AE29</f>
        <v>1928.3500000000001</v>
      </c>
      <c r="T25" s="310">
        <f>'04-22-Master'!AF29</f>
        <v>0</v>
      </c>
      <c r="U25" s="310">
        <f t="shared" si="2"/>
        <v>43276.002619999992</v>
      </c>
      <c r="V25" s="412">
        <f>'04-22-Master'!AH29</f>
        <v>0</v>
      </c>
      <c r="W25" s="310">
        <f>'04-22-Master'!AI29</f>
        <v>1800</v>
      </c>
      <c r="X25" s="310">
        <f>'04-22-Master'!AJ29</f>
        <v>200</v>
      </c>
      <c r="Y25" s="310">
        <f>'04-22-Master'!AK29</f>
        <v>0</v>
      </c>
      <c r="Z25" s="310">
        <f>'04-22-Master'!AL29</f>
        <v>283</v>
      </c>
      <c r="AA25" s="310">
        <v>0</v>
      </c>
      <c r="AB25" s="310">
        <f t="shared" si="3"/>
        <v>2283</v>
      </c>
      <c r="AC25" s="310">
        <f t="shared" si="4"/>
        <v>40993.002619999992</v>
      </c>
      <c r="AD25" s="1073">
        <f>'04-22-Master'!AP29</f>
        <v>44686</v>
      </c>
      <c r="AE25" s="413" t="str">
        <f>'04-22-Master'!AQ29</f>
        <v>IDBI</v>
      </c>
      <c r="AF25" s="414" t="str">
        <f>'04-22-Master'!AR29</f>
        <v>1169104000110723</v>
      </c>
      <c r="AG25" s="724"/>
    </row>
    <row r="26" spans="1:33" s="390" customFormat="1" ht="25.15" customHeight="1">
      <c r="A26" s="409">
        <v>15</v>
      </c>
      <c r="B26" s="722" t="str">
        <f>'04-22-Master'!P30</f>
        <v>B SRILATHA</v>
      </c>
      <c r="C26" s="377">
        <f>'04-22-Master'!AT30</f>
        <v>97</v>
      </c>
      <c r="D26" s="1072" t="str">
        <f>'04-22-Master'!F30</f>
        <v>Data Engineer</v>
      </c>
      <c r="E26" s="410">
        <f>'04-22-Master'!Q30</f>
        <v>30</v>
      </c>
      <c r="F26" s="411" t="str">
        <f>'04-22-Master'!R30</f>
        <v>N/A</v>
      </c>
      <c r="G26" s="411">
        <f>'04-22-Master'!S30</f>
        <v>103450</v>
      </c>
      <c r="H26" s="412">
        <f>'04-22-Master'!T30</f>
        <v>62070</v>
      </c>
      <c r="I26" s="377">
        <f>'04-22-Master'!U30</f>
        <v>0</v>
      </c>
      <c r="J26" s="377">
        <f>'04-22-Master'!V30</f>
        <v>0</v>
      </c>
      <c r="K26" s="310">
        <f t="shared" si="0"/>
        <v>41493</v>
      </c>
      <c r="L26" s="310">
        <f>'04-22-Master'!X30</f>
        <v>24828</v>
      </c>
      <c r="M26" s="310">
        <f>'04-22-Master'!Y30</f>
        <v>2083</v>
      </c>
      <c r="N26" s="310">
        <f>'04-22-Master'!Z30</f>
        <v>2083</v>
      </c>
      <c r="O26" s="310">
        <f>'04-22-Master'!AA30</f>
        <v>12499</v>
      </c>
      <c r="P26" s="310">
        <f t="shared" si="1"/>
        <v>103563</v>
      </c>
      <c r="Q26" s="377">
        <f>'04-22-Master'!AC30</f>
        <v>1554.6089999999999</v>
      </c>
      <c r="R26" s="377">
        <f>'04-22-Master'!AD30</f>
        <v>2985.5669999999996</v>
      </c>
      <c r="S26" s="377">
        <f>'04-22-Master'!AE30</f>
        <v>5172.5</v>
      </c>
      <c r="T26" s="310">
        <f>'04-22-Master'!AF30</f>
        <v>0</v>
      </c>
      <c r="U26" s="310">
        <f t="shared" si="2"/>
        <v>113275.67599999999</v>
      </c>
      <c r="V26" s="412">
        <f>'04-22-Master'!AH30</f>
        <v>0</v>
      </c>
      <c r="W26" s="310">
        <f>'04-22-Master'!AI30</f>
        <v>1800</v>
      </c>
      <c r="X26" s="310">
        <f>'04-22-Master'!AJ30</f>
        <v>200</v>
      </c>
      <c r="Y26" s="310">
        <f>'04-22-Master'!AK30</f>
        <v>0</v>
      </c>
      <c r="Z26" s="310">
        <f>'04-22-Master'!AL30</f>
        <v>283</v>
      </c>
      <c r="AA26" s="310">
        <v>0</v>
      </c>
      <c r="AB26" s="310">
        <f t="shared" si="3"/>
        <v>2283</v>
      </c>
      <c r="AC26" s="310">
        <f t="shared" si="4"/>
        <v>110992.67599999999</v>
      </c>
      <c r="AD26" s="1073">
        <f>'04-22-Master'!AP30</f>
        <v>44686</v>
      </c>
      <c r="AE26" s="413" t="str">
        <f>'04-22-Master'!AQ30</f>
        <v>SBI</v>
      </c>
      <c r="AF26" s="414">
        <f>'04-22-Master'!AR30</f>
        <v>33161877369</v>
      </c>
      <c r="AG26" s="724"/>
    </row>
    <row r="27" spans="1:33" s="2" customFormat="1" ht="25.15" customHeight="1">
      <c r="A27" s="409">
        <v>16</v>
      </c>
      <c r="B27" s="722" t="str">
        <f>'04-22-Master'!P31</f>
        <v> SURESH Kumar KOLA</v>
      </c>
      <c r="C27" s="377">
        <f>'04-22-Master'!AT31</f>
        <v>98</v>
      </c>
      <c r="D27" s="1072" t="str">
        <f>'04-22-Master'!F31</f>
        <v>SOFTWARE ENGINEER</v>
      </c>
      <c r="E27" s="410">
        <f>'04-22-Master'!Q31</f>
        <v>30</v>
      </c>
      <c r="F27" s="411" t="str">
        <f>'04-22-Master'!R31</f>
        <v>N/A</v>
      </c>
      <c r="G27" s="411">
        <f>'04-22-Master'!S31</f>
        <v>80278</v>
      </c>
      <c r="H27" s="412">
        <f>'04-22-Master'!T31</f>
        <v>48166.8</v>
      </c>
      <c r="I27" s="377">
        <f>'04-22-Master'!U31</f>
        <v>0</v>
      </c>
      <c r="J27" s="377">
        <f>'04-22-Master'!V31</f>
        <v>0</v>
      </c>
      <c r="K27" s="310">
        <f t="shared" si="0"/>
        <v>32224.199999999997</v>
      </c>
      <c r="L27" s="310">
        <f>'04-22-Master'!X31</f>
        <v>19266.72</v>
      </c>
      <c r="M27" s="310">
        <f>'04-22-Master'!Y31</f>
        <v>2083</v>
      </c>
      <c r="N27" s="310">
        <f>'04-22-Master'!Z31</f>
        <v>2083</v>
      </c>
      <c r="O27" s="310">
        <f>'04-22-Master'!AA31</f>
        <v>8791.4799999999959</v>
      </c>
      <c r="P27" s="310">
        <f t="shared" si="1"/>
        <v>80391</v>
      </c>
      <c r="Q27" s="377">
        <f>'04-22-Master'!AC31</f>
        <v>1554.6089999999999</v>
      </c>
      <c r="R27" s="377">
        <f>'04-22-Master'!AD31</f>
        <v>2316.8230800000001</v>
      </c>
      <c r="S27" s="377">
        <f>'04-22-Master'!AE31</f>
        <v>4013.9</v>
      </c>
      <c r="T27" s="310">
        <f>'04-22-Master'!AF31</f>
        <v>0</v>
      </c>
      <c r="U27" s="310">
        <f t="shared" si="2"/>
        <v>88276.332079999993</v>
      </c>
      <c r="V27" s="412">
        <f>'04-22-Master'!AH31</f>
        <v>0</v>
      </c>
      <c r="W27" s="310">
        <f>'04-22-Master'!AI31</f>
        <v>1800</v>
      </c>
      <c r="X27" s="310">
        <f>'04-22-Master'!AJ31</f>
        <v>200</v>
      </c>
      <c r="Y27" s="310">
        <f>'04-22-Master'!AK31</f>
        <v>0</v>
      </c>
      <c r="Z27" s="310">
        <f>'04-22-Master'!AL31</f>
        <v>283</v>
      </c>
      <c r="AA27" s="310">
        <v>0</v>
      </c>
      <c r="AB27" s="310">
        <f t="shared" si="3"/>
        <v>2283</v>
      </c>
      <c r="AC27" s="310">
        <f t="shared" si="4"/>
        <v>85993.332079999993</v>
      </c>
      <c r="AD27" s="1073">
        <f>'04-22-Master'!AP31</f>
        <v>44686</v>
      </c>
      <c r="AE27" s="413" t="str">
        <f>'04-22-Master'!AQ31</f>
        <v>BANK OF BARODA</v>
      </c>
      <c r="AF27" s="414" t="str">
        <f>'04-22-Master'!AR31</f>
        <v>83270100000529</v>
      </c>
      <c r="AG27" s="724"/>
    </row>
    <row r="28" spans="1:33" s="213" customFormat="1" ht="25.15" customHeight="1">
      <c r="A28" s="377">
        <v>17</v>
      </c>
      <c r="B28" s="722" t="str">
        <f>'04-22-Master'!P32</f>
        <v>ANILKUMAR MUMMANA</v>
      </c>
      <c r="C28" s="377">
        <f>'04-22-Master'!AT32</f>
        <v>99</v>
      </c>
      <c r="D28" s="1072" t="str">
        <f>'04-22-Master'!F32</f>
        <v>Sr Developer technical lead</v>
      </c>
      <c r="E28" s="410">
        <f>'04-22-Master'!Q32</f>
        <v>30</v>
      </c>
      <c r="F28" s="411" t="str">
        <f>'04-22-Master'!R32</f>
        <v>N/A</v>
      </c>
      <c r="G28" s="411">
        <f>'04-22-Master'!S32</f>
        <v>131257</v>
      </c>
      <c r="H28" s="412">
        <f>'04-22-Master'!T32</f>
        <v>78754.2</v>
      </c>
      <c r="I28" s="377">
        <f>'04-22-Master'!U32</f>
        <v>0</v>
      </c>
      <c r="J28" s="377">
        <f>'04-22-Master'!V32</f>
        <v>0</v>
      </c>
      <c r="K28" s="310">
        <f t="shared" si="0"/>
        <v>52615.799999999996</v>
      </c>
      <c r="L28" s="310">
        <f>'04-22-Master'!X32</f>
        <v>31501.68</v>
      </c>
      <c r="M28" s="310">
        <f>'04-22-Master'!Y32</f>
        <v>2083</v>
      </c>
      <c r="N28" s="310">
        <f>'04-22-Master'!Z32</f>
        <v>2083</v>
      </c>
      <c r="O28" s="310">
        <f>'04-22-Master'!AA32</f>
        <v>16948.119999999995</v>
      </c>
      <c r="P28" s="310">
        <f t="shared" si="1"/>
        <v>131370</v>
      </c>
      <c r="Q28" s="377">
        <f>'04-22-Master'!AC32</f>
        <v>1554.6089999999999</v>
      </c>
      <c r="R28" s="377">
        <f>'04-22-Master'!AD32</f>
        <v>3788.0770199999993</v>
      </c>
      <c r="S28" s="377">
        <f>'04-22-Master'!AE32</f>
        <v>6562.8499999999995</v>
      </c>
      <c r="T28" s="310">
        <f>'04-22-Master'!AF32</f>
        <v>0</v>
      </c>
      <c r="U28" s="310">
        <f t="shared" si="2"/>
        <v>143275.53602</v>
      </c>
      <c r="V28" s="412">
        <f>'04-22-Master'!AH32</f>
        <v>0</v>
      </c>
      <c r="W28" s="310">
        <f>'04-22-Master'!AI32</f>
        <v>1800</v>
      </c>
      <c r="X28" s="310">
        <f>'04-22-Master'!AJ32</f>
        <v>200</v>
      </c>
      <c r="Y28" s="310">
        <f>'04-22-Master'!AK32</f>
        <v>0</v>
      </c>
      <c r="Z28" s="310">
        <f>'04-22-Master'!AL32</f>
        <v>283</v>
      </c>
      <c r="AA28" s="310">
        <v>0</v>
      </c>
      <c r="AB28" s="310">
        <f t="shared" si="3"/>
        <v>2283</v>
      </c>
      <c r="AC28" s="310">
        <f t="shared" si="4"/>
        <v>140992.53602</v>
      </c>
      <c r="AD28" s="1073">
        <f>'04-22-Master'!AP32</f>
        <v>44686</v>
      </c>
      <c r="AE28" s="413" t="str">
        <f>'04-22-Master'!AQ32</f>
        <v>HDFC</v>
      </c>
      <c r="AF28" s="414" t="str">
        <f>'04-22-Master'!AR32</f>
        <v>50100480501513</v>
      </c>
      <c r="AG28" s="998"/>
    </row>
    <row r="29" spans="1:33" s="213" customFormat="1" ht="25.15" customHeight="1">
      <c r="A29" s="377">
        <v>18</v>
      </c>
      <c r="B29" s="997" t="str">
        <f>'04-22-Master'!P33</f>
        <v xml:space="preserve">Ravi Gande </v>
      </c>
      <c r="C29" s="377">
        <f>'04-22-Master'!AT33</f>
        <v>100</v>
      </c>
      <c r="D29" s="1072" t="str">
        <f>'04-22-Master'!F33</f>
        <v>JAVA DEVELOPER</v>
      </c>
      <c r="E29" s="410">
        <f>'04-22-Master'!Q33</f>
        <v>30</v>
      </c>
      <c r="F29" s="411" t="str">
        <f>'04-22-Master'!R33</f>
        <v>N/A</v>
      </c>
      <c r="G29" s="411">
        <f>'04-22-Master'!S33</f>
        <v>68182</v>
      </c>
      <c r="H29" s="412">
        <f>'04-22-Master'!T33</f>
        <v>40909.199999999997</v>
      </c>
      <c r="I29" s="377">
        <f>'04-22-Master'!U33</f>
        <v>0</v>
      </c>
      <c r="J29" s="377">
        <f>'04-22-Master'!V33</f>
        <v>0</v>
      </c>
      <c r="K29" s="310">
        <f t="shared" si="0"/>
        <v>27385.800000000003</v>
      </c>
      <c r="L29" s="310">
        <f>'04-22-Master'!X33</f>
        <v>16363.68</v>
      </c>
      <c r="M29" s="310">
        <f>'04-22-Master'!Y33</f>
        <v>2083</v>
      </c>
      <c r="N29" s="310">
        <f>'04-22-Master'!Z33</f>
        <v>2083</v>
      </c>
      <c r="O29" s="310">
        <f>'04-22-Master'!AA33</f>
        <v>6856.1200000000026</v>
      </c>
      <c r="P29" s="310">
        <f t="shared" si="1"/>
        <v>68295</v>
      </c>
      <c r="Q29" s="377">
        <f>'04-22-Master'!AC33</f>
        <v>1441.6089999999999</v>
      </c>
      <c r="R29" s="377">
        <f>'04-22-Master'!AD33</f>
        <v>1967.7325199999998</v>
      </c>
      <c r="S29" s="377">
        <f>'04-22-Master'!AE33</f>
        <v>3409.1</v>
      </c>
      <c r="T29" s="310">
        <f>'04-22-Master'!AF33</f>
        <v>0</v>
      </c>
      <c r="U29" s="310">
        <f t="shared" si="2"/>
        <v>75113.441520000008</v>
      </c>
      <c r="V29" s="412">
        <f>'04-22-Master'!AH33</f>
        <v>0</v>
      </c>
      <c r="W29" s="310">
        <f>'04-22-Master'!AI33</f>
        <v>0</v>
      </c>
      <c r="X29" s="310">
        <f>'04-22-Master'!AJ33</f>
        <v>200</v>
      </c>
      <c r="Y29" s="310">
        <f>'04-22-Master'!AK33</f>
        <v>0</v>
      </c>
      <c r="Z29" s="310">
        <f>'04-22-Master'!AL33</f>
        <v>0</v>
      </c>
      <c r="AA29" s="310">
        <v>0</v>
      </c>
      <c r="AB29" s="310">
        <f t="shared" si="3"/>
        <v>200</v>
      </c>
      <c r="AC29" s="310">
        <f t="shared" si="4"/>
        <v>74913.441520000008</v>
      </c>
      <c r="AD29" s="1073">
        <f>'04-22-Master'!AP33</f>
        <v>44686</v>
      </c>
      <c r="AE29" s="413" t="str">
        <f>'04-22-Master'!AQ33</f>
        <v xml:space="preserve">ICICI BANK </v>
      </c>
      <c r="AF29" s="414" t="str">
        <f>'04-22-Master'!AR33</f>
        <v>038201510552</v>
      </c>
      <c r="AG29" s="998"/>
    </row>
    <row r="30" spans="1:33" s="390" customFormat="1" ht="25.15" customHeight="1">
      <c r="A30" s="377">
        <v>19</v>
      </c>
      <c r="B30" s="997" t="str">
        <f>'04-22-Master'!P34</f>
        <v xml:space="preserve">NarsiReddy Venna </v>
      </c>
      <c r="C30" s="377">
        <f>'04-22-Master'!AT34</f>
        <v>101</v>
      </c>
      <c r="D30" s="1072" t="str">
        <f>'04-22-Master'!F34</f>
        <v>Senior Administrator</v>
      </c>
      <c r="E30" s="410">
        <f>'04-22-Master'!Q34</f>
        <v>27</v>
      </c>
      <c r="F30" s="411">
        <f>'04-22-Master'!R34</f>
        <v>0</v>
      </c>
      <c r="G30" s="411">
        <f>'04-22-Master'!S34</f>
        <v>112719</v>
      </c>
      <c r="H30" s="412">
        <f>'04-22-Master'!T34</f>
        <v>60868.26</v>
      </c>
      <c r="I30" s="377">
        <f>'04-22-Master'!U34</f>
        <v>0</v>
      </c>
      <c r="J30" s="377">
        <f>'04-22-Master'!V34</f>
        <v>0</v>
      </c>
      <c r="K30" s="310">
        <f t="shared" si="0"/>
        <v>40691.839999999997</v>
      </c>
      <c r="L30" s="310">
        <f>'04-22-Master'!X34</f>
        <v>24347.304000000004</v>
      </c>
      <c r="M30" s="310">
        <f>'04-22-Master'!Y34</f>
        <v>1875</v>
      </c>
      <c r="N30" s="310">
        <f>'04-22-Master'!Z34</f>
        <v>1875</v>
      </c>
      <c r="O30" s="310">
        <f>'04-22-Master'!AA34</f>
        <v>12594.535999999993</v>
      </c>
      <c r="P30" s="310">
        <f t="shared" si="1"/>
        <v>101560.1</v>
      </c>
      <c r="Q30" s="377">
        <f>'04-22-Master'!AC34</f>
        <v>1554.6089999999999</v>
      </c>
      <c r="R30" s="377">
        <f>'04-22-Master'!AD34</f>
        <v>2927.7633059999998</v>
      </c>
      <c r="S30" s="377">
        <f>'04-22-Master'!AE34</f>
        <v>5072.3550000000005</v>
      </c>
      <c r="T30" s="310">
        <f>'04-22-Master'!AF34</f>
        <v>0</v>
      </c>
      <c r="U30" s="310">
        <f t="shared" si="2"/>
        <v>111114.82730599999</v>
      </c>
      <c r="V30" s="412">
        <f>'04-22-Master'!AH34</f>
        <v>0</v>
      </c>
      <c r="W30" s="310">
        <f>'04-22-Master'!AI34</f>
        <v>1800</v>
      </c>
      <c r="X30" s="310">
        <f>'04-22-Master'!AJ34</f>
        <v>200</v>
      </c>
      <c r="Y30" s="310">
        <f>'04-22-Master'!AK34</f>
        <v>0</v>
      </c>
      <c r="Z30" s="310">
        <f>'04-22-Master'!AL34</f>
        <v>0</v>
      </c>
      <c r="AA30" s="310">
        <v>0</v>
      </c>
      <c r="AB30" s="310">
        <f t="shared" si="3"/>
        <v>2000</v>
      </c>
      <c r="AC30" s="310">
        <f t="shared" si="4"/>
        <v>109114.82730599999</v>
      </c>
      <c r="AD30" s="1073">
        <f>'04-22-Master'!AP34</f>
        <v>44686</v>
      </c>
      <c r="AE30" s="413" t="str">
        <f>'04-22-Master'!AQ34</f>
        <v>CITI Bank</v>
      </c>
      <c r="AF30" s="414" t="str">
        <f>'04-22-Master'!AR34</f>
        <v>5708925554</v>
      </c>
      <c r="AG30" s="413"/>
    </row>
    <row r="31" spans="1:33" ht="16.899999999999999" customHeight="1">
      <c r="A31" s="551">
        <v>20</v>
      </c>
      <c r="B31" s="997" t="str">
        <f>'04-22-Master'!P35</f>
        <v xml:space="preserve">AbdulSaleem Sunkesula </v>
      </c>
      <c r="C31" s="377">
        <f>'04-22-Master'!AT35</f>
        <v>102</v>
      </c>
      <c r="D31" s="1072" t="str">
        <f>'04-22-Master'!F35</f>
        <v>Technical Consultant</v>
      </c>
      <c r="E31" s="410">
        <f>'04-22-Master'!Q35</f>
        <v>11</v>
      </c>
      <c r="F31" s="411">
        <f>'04-22-Master'!R35</f>
        <v>0</v>
      </c>
      <c r="G31" s="411">
        <f>'04-22-Master'!S35</f>
        <v>75643</v>
      </c>
      <c r="H31" s="412">
        <f>'04-22-Master'!T35</f>
        <v>16641.46</v>
      </c>
      <c r="I31" s="377">
        <f>'04-22-Master'!U35</f>
        <v>0</v>
      </c>
      <c r="J31" s="377">
        <f>'04-22-Master'!V35</f>
        <v>0</v>
      </c>
      <c r="K31" s="310">
        <f t="shared" si="0"/>
        <v>11207.306666666667</v>
      </c>
      <c r="L31" s="310">
        <f>'04-22-Master'!X35</f>
        <v>6656.5839999999998</v>
      </c>
      <c r="M31" s="310">
        <f>'04-22-Master'!Y35</f>
        <v>764</v>
      </c>
      <c r="N31" s="310">
        <f>'04-22-Master'!Z35</f>
        <v>764</v>
      </c>
      <c r="O31" s="310">
        <f>'04-22-Master'!AA35</f>
        <v>3022.7226666666684</v>
      </c>
      <c r="P31" s="310">
        <f t="shared" si="1"/>
        <v>27848.766666666666</v>
      </c>
      <c r="Q31" s="377">
        <f>'04-22-Master'!AC35</f>
        <v>1554.6089999999999</v>
      </c>
      <c r="R31" s="377">
        <f>'04-22-Master'!AD35</f>
        <v>800.45422599999995</v>
      </c>
      <c r="S31" s="377">
        <f>'04-22-Master'!AE35</f>
        <v>1386.7883333333332</v>
      </c>
      <c r="T31" s="310">
        <f>'04-22-Master'!AF35</f>
        <v>0</v>
      </c>
      <c r="U31" s="310">
        <f t="shared" si="2"/>
        <v>31590.618226000002</v>
      </c>
      <c r="V31" s="412">
        <f>'04-22-Master'!AH35</f>
        <v>0</v>
      </c>
      <c r="W31" s="310">
        <f>'04-22-Master'!AI35</f>
        <v>1800</v>
      </c>
      <c r="X31" s="310">
        <f>'04-22-Master'!AJ35</f>
        <v>200</v>
      </c>
      <c r="Y31" s="310">
        <f>'04-22-Master'!AK35</f>
        <v>0</v>
      </c>
      <c r="Z31" s="310">
        <f>'04-22-Master'!AL35</f>
        <v>0</v>
      </c>
      <c r="AA31" s="310">
        <v>0</v>
      </c>
      <c r="AB31" s="310">
        <f t="shared" si="3"/>
        <v>2000</v>
      </c>
      <c r="AC31" s="310">
        <f t="shared" si="4"/>
        <v>29590.618226000002</v>
      </c>
      <c r="AD31" s="1073">
        <f>'04-22-Master'!AP35</f>
        <v>44686</v>
      </c>
      <c r="AE31" s="413" t="str">
        <f>'04-22-Master'!AQ35</f>
        <v>SBI</v>
      </c>
      <c r="AF31" s="414" t="str">
        <f>'04-22-Master'!AR35</f>
        <v>20029285687</v>
      </c>
      <c r="AG31" s="857"/>
    </row>
    <row r="32" spans="1:33" s="855" customFormat="1" ht="22.9" customHeight="1">
      <c r="A32" s="551">
        <v>21</v>
      </c>
      <c r="B32" s="997" t="str">
        <f>'04-22-Master'!P36</f>
        <v xml:space="preserve">SADHAMHUSSAIN </v>
      </c>
      <c r="C32" s="377">
        <f>'04-22-Master'!AT36</f>
        <v>103</v>
      </c>
      <c r="D32" s="1072" t="str">
        <f>'04-22-Master'!F36</f>
        <v>Security Administrator</v>
      </c>
      <c r="E32" s="410">
        <f>'04-22-Master'!Q36</f>
        <v>6</v>
      </c>
      <c r="F32" s="411">
        <f>'04-22-Master'!R36</f>
        <v>0</v>
      </c>
      <c r="G32" s="411">
        <f>'04-22-Master'!S36</f>
        <v>135892</v>
      </c>
      <c r="H32" s="412">
        <f>'04-22-Master'!T36</f>
        <v>16307.04</v>
      </c>
      <c r="I32" s="377">
        <f>'04-22-Master'!U36</f>
        <v>0</v>
      </c>
      <c r="J32" s="377">
        <f>'04-22-Master'!V36</f>
        <v>0</v>
      </c>
      <c r="K32" s="310">
        <f t="shared" si="0"/>
        <v>10984.360000000002</v>
      </c>
      <c r="L32" s="310">
        <f>'04-22-Master'!X36</f>
        <v>6522.8160000000007</v>
      </c>
      <c r="M32" s="310">
        <f>'04-22-Master'!Y36</f>
        <v>417</v>
      </c>
      <c r="N32" s="310">
        <f>'04-22-Master'!Z36</f>
        <v>417</v>
      </c>
      <c r="O32" s="310">
        <f>'04-22-Master'!AA36</f>
        <v>3627.5440000000017</v>
      </c>
      <c r="P32" s="310">
        <f t="shared" si="1"/>
        <v>27291.4</v>
      </c>
      <c r="Q32" s="377">
        <f>'04-22-Master'!AC36</f>
        <v>1554.6089999999999</v>
      </c>
      <c r="R32" s="377">
        <f>'04-22-Master'!AD36</f>
        <v>784.36862399999995</v>
      </c>
      <c r="S32" s="377">
        <f>'04-22-Master'!AE36</f>
        <v>1358.92</v>
      </c>
      <c r="T32" s="310">
        <f>'04-22-Master'!AF36</f>
        <v>0</v>
      </c>
      <c r="U32" s="310">
        <f t="shared" si="2"/>
        <v>30989.297623999999</v>
      </c>
      <c r="V32" s="412">
        <f>'04-22-Master'!AH36</f>
        <v>0</v>
      </c>
      <c r="W32" s="310">
        <f>'04-22-Master'!AI36</f>
        <v>1800</v>
      </c>
      <c r="X32" s="310">
        <f>'04-22-Master'!AJ36</f>
        <v>200</v>
      </c>
      <c r="Y32" s="310">
        <f>'04-22-Master'!AK36</f>
        <v>0</v>
      </c>
      <c r="Z32" s="310">
        <f>'04-22-Master'!AL36</f>
        <v>0</v>
      </c>
      <c r="AA32" s="310">
        <v>0</v>
      </c>
      <c r="AB32" s="310">
        <f t="shared" si="3"/>
        <v>2000</v>
      </c>
      <c r="AC32" s="310">
        <f t="shared" si="4"/>
        <v>28989.297623999999</v>
      </c>
      <c r="AD32" s="1073">
        <f>'04-22-Master'!AP36</f>
        <v>44686</v>
      </c>
      <c r="AE32" s="413" t="str">
        <f>'04-22-Master'!AQ36</f>
        <v>HDFC BANK</v>
      </c>
      <c r="AF32" s="414" t="str">
        <f>'04-22-Master'!AR36</f>
        <v>50100271012409</v>
      </c>
      <c r="AG32" s="857"/>
    </row>
    <row r="33" spans="1:33" s="855" customFormat="1" ht="22.9" customHeight="1">
      <c r="A33" s="1003"/>
      <c r="B33" s="987"/>
      <c r="C33" s="988"/>
      <c r="D33" s="989"/>
      <c r="E33" s="410">
        <f t="shared" ref="E33:AC33" si="5">SUM(E12:E32)</f>
        <v>583</v>
      </c>
      <c r="F33" s="411">
        <f t="shared" si="5"/>
        <v>0</v>
      </c>
      <c r="G33" s="411">
        <f t="shared" si="5"/>
        <v>1766399</v>
      </c>
      <c r="H33" s="412">
        <f t="shared" si="5"/>
        <v>957127.44</v>
      </c>
      <c r="I33" s="377">
        <f t="shared" si="5"/>
        <v>0</v>
      </c>
      <c r="J33" s="377">
        <f t="shared" si="5"/>
        <v>0</v>
      </c>
      <c r="K33" s="310">
        <f t="shared" si="5"/>
        <v>640457.96000000008</v>
      </c>
      <c r="L33" s="310">
        <f t="shared" si="5"/>
        <v>382850.97599999997</v>
      </c>
      <c r="M33" s="310">
        <f t="shared" si="5"/>
        <v>39898</v>
      </c>
      <c r="N33" s="310">
        <f t="shared" si="5"/>
        <v>39898</v>
      </c>
      <c r="O33" s="310">
        <f t="shared" si="5"/>
        <v>177810.98399999994</v>
      </c>
      <c r="P33" s="310">
        <f t="shared" si="5"/>
        <v>1597585.4</v>
      </c>
      <c r="Q33" s="377">
        <f t="shared" si="5"/>
        <v>32533.789000000004</v>
      </c>
      <c r="R33" s="377">
        <f t="shared" si="5"/>
        <v>46037.829864000007</v>
      </c>
      <c r="S33" s="377">
        <f t="shared" si="5"/>
        <v>79760.62</v>
      </c>
      <c r="T33" s="310">
        <f t="shared" si="5"/>
        <v>0</v>
      </c>
      <c r="U33" s="310">
        <f t="shared" si="5"/>
        <v>1755917.6388640003</v>
      </c>
      <c r="V33" s="412">
        <f t="shared" si="5"/>
        <v>0</v>
      </c>
      <c r="W33" s="310">
        <f t="shared" si="5"/>
        <v>35974</v>
      </c>
      <c r="X33" s="310">
        <f t="shared" si="5"/>
        <v>4200</v>
      </c>
      <c r="Y33" s="310">
        <f t="shared" si="5"/>
        <v>0</v>
      </c>
      <c r="Z33" s="310">
        <f t="shared" si="5"/>
        <v>5347.3635439999998</v>
      </c>
      <c r="AA33" s="310">
        <f t="shared" si="5"/>
        <v>0</v>
      </c>
      <c r="AB33" s="310">
        <f t="shared" si="5"/>
        <v>45521.363544</v>
      </c>
      <c r="AC33" s="310">
        <f t="shared" si="5"/>
        <v>1710396.27532</v>
      </c>
      <c r="AD33" s="994"/>
      <c r="AE33" s="995"/>
      <c r="AF33" s="996"/>
      <c r="AG33" s="300"/>
    </row>
    <row r="34" spans="1:33" s="855" customFormat="1" ht="22.9" customHeight="1">
      <c r="A34" s="1003"/>
      <c r="B34" s="987"/>
      <c r="C34" s="988"/>
      <c r="D34" s="989"/>
      <c r="E34" s="990"/>
      <c r="F34" s="991"/>
      <c r="G34" s="991"/>
      <c r="H34" s="992"/>
      <c r="I34" s="988"/>
      <c r="J34" s="988"/>
      <c r="K34" s="993"/>
      <c r="L34" s="993"/>
      <c r="M34" s="993"/>
      <c r="N34" s="993"/>
      <c r="O34" s="993"/>
      <c r="P34" s="993"/>
      <c r="Q34" s="988"/>
      <c r="R34" s="988"/>
      <c r="S34" s="988"/>
      <c r="T34" s="993"/>
      <c r="U34" s="993"/>
      <c r="V34" s="992"/>
      <c r="W34" s="993"/>
      <c r="X34" s="993"/>
      <c r="Y34" s="993"/>
      <c r="Z34" s="993"/>
      <c r="AA34" s="993"/>
      <c r="AB34" s="993"/>
      <c r="AC34" s="993"/>
      <c r="AD34" s="994"/>
      <c r="AE34" s="995"/>
      <c r="AF34" s="996"/>
      <c r="AG34" s="300"/>
    </row>
    <row r="35" spans="1:33" s="855" customFormat="1" ht="22.9" customHeight="1">
      <c r="A35" s="1003"/>
      <c r="B35" s="987"/>
      <c r="C35" s="988"/>
      <c r="D35" s="989"/>
      <c r="E35" s="990"/>
      <c r="F35" s="991"/>
      <c r="G35" s="991"/>
      <c r="H35" s="992"/>
      <c r="I35" s="988"/>
      <c r="J35" s="988"/>
      <c r="K35" s="993"/>
      <c r="L35" s="993"/>
      <c r="M35" s="993"/>
      <c r="N35" s="993"/>
      <c r="O35" s="993"/>
      <c r="P35" s="993"/>
      <c r="Q35" s="988"/>
      <c r="R35" s="988"/>
      <c r="S35" s="988"/>
      <c r="T35" s="993"/>
      <c r="U35" s="993"/>
      <c r="V35" s="992"/>
      <c r="W35" s="993"/>
      <c r="X35" s="993"/>
      <c r="Y35" s="993"/>
      <c r="Z35" s="993"/>
      <c r="AA35" s="993"/>
      <c r="AB35" s="993"/>
      <c r="AC35" s="993"/>
      <c r="AD35" s="994"/>
      <c r="AE35" s="995"/>
      <c r="AF35" s="996"/>
      <c r="AG35" s="300"/>
    </row>
    <row r="36" spans="1:33" s="855" customFormat="1" ht="15">
      <c r="A36" s="1003"/>
      <c r="B36" s="987"/>
      <c r="C36" s="988"/>
      <c r="D36" s="989"/>
      <c r="E36" s="990"/>
      <c r="F36" s="991"/>
      <c r="G36" s="991"/>
      <c r="H36" s="992"/>
      <c r="I36" s="988"/>
      <c r="J36" s="988"/>
      <c r="K36" s="993"/>
      <c r="L36" s="993"/>
      <c r="M36" s="993"/>
      <c r="N36" s="993"/>
      <c r="O36" s="993"/>
      <c r="P36" s="993"/>
      <c r="Q36" s="988"/>
      <c r="R36" s="988"/>
      <c r="S36" s="988"/>
      <c r="T36" s="993"/>
      <c r="U36" s="993"/>
      <c r="V36" s="992"/>
      <c r="W36" s="993"/>
      <c r="X36" s="993"/>
      <c r="Y36" s="993"/>
      <c r="Z36" s="993"/>
      <c r="AA36" s="993"/>
      <c r="AB36" s="993"/>
      <c r="AC36" s="993"/>
      <c r="AD36" s="994"/>
      <c r="AE36" s="995"/>
      <c r="AF36" s="996"/>
      <c r="AG36" s="300"/>
    </row>
    <row r="37" spans="1:33" s="855" customFormat="1" ht="15">
      <c r="A37" s="1003"/>
      <c r="B37" s="987"/>
      <c r="C37" s="988"/>
      <c r="D37" s="989"/>
      <c r="E37" s="990"/>
      <c r="F37" s="991"/>
      <c r="G37" s="991"/>
      <c r="H37" s="992"/>
      <c r="I37" s="988"/>
      <c r="J37" s="988"/>
      <c r="K37" s="993"/>
      <c r="L37" s="993"/>
      <c r="M37" s="993"/>
      <c r="N37" s="993"/>
      <c r="O37" s="993"/>
      <c r="P37" s="993"/>
      <c r="Q37" s="988"/>
      <c r="R37" s="988"/>
      <c r="S37" s="988"/>
      <c r="T37" s="993"/>
      <c r="U37" s="993"/>
      <c r="V37" s="992"/>
      <c r="W37" s="993"/>
      <c r="X37" s="993"/>
      <c r="Y37" s="993"/>
      <c r="Z37" s="993"/>
      <c r="AA37" s="993"/>
      <c r="AB37" s="993"/>
      <c r="AC37" s="993"/>
      <c r="AD37" s="994"/>
      <c r="AE37" s="995"/>
      <c r="AF37" s="996"/>
      <c r="AG37" s="300"/>
    </row>
    <row r="38" spans="1:33" s="855" customFormat="1" ht="15">
      <c r="A38" s="1003"/>
      <c r="B38" s="987"/>
      <c r="C38" s="988"/>
      <c r="D38" s="989"/>
      <c r="E38" s="990"/>
      <c r="F38" s="991"/>
      <c r="G38" s="991"/>
      <c r="H38" s="992"/>
      <c r="I38" s="988"/>
      <c r="J38" s="988"/>
      <c r="K38" s="993"/>
      <c r="L38" s="993"/>
      <c r="M38" s="993"/>
      <c r="N38" s="993"/>
      <c r="O38" s="993"/>
      <c r="P38" s="993"/>
      <c r="Q38" s="988"/>
      <c r="R38" s="988"/>
      <c r="S38" s="988"/>
      <c r="T38" s="993"/>
      <c r="U38" s="993"/>
      <c r="V38" s="992"/>
      <c r="W38" s="993"/>
      <c r="X38" s="993"/>
      <c r="Y38" s="993"/>
      <c r="Z38" s="993"/>
      <c r="AA38" s="993"/>
      <c r="AB38" s="993"/>
      <c r="AC38" s="993"/>
      <c r="AD38" s="994"/>
      <c r="AE38" s="995"/>
      <c r="AF38" s="996"/>
      <c r="AG38" s="300"/>
    </row>
    <row r="39" spans="1:33" s="855" customFormat="1" ht="15">
      <c r="A39" s="911"/>
      <c r="B39" s="987"/>
      <c r="C39" s="988"/>
      <c r="D39" s="989"/>
      <c r="E39" s="990"/>
      <c r="F39" s="991"/>
      <c r="G39" s="991"/>
      <c r="H39" s="992"/>
      <c r="I39" s="988"/>
      <c r="J39" s="988"/>
      <c r="K39" s="993"/>
      <c r="L39" s="993"/>
      <c r="M39" s="993"/>
      <c r="N39" s="993"/>
      <c r="O39" s="993"/>
      <c r="P39" s="993"/>
      <c r="Q39" s="988"/>
      <c r="R39" s="988"/>
      <c r="S39" s="988"/>
      <c r="T39" s="993"/>
      <c r="U39" s="993"/>
      <c r="V39" s="992"/>
      <c r="W39" s="993"/>
      <c r="X39" s="993"/>
      <c r="Y39" s="993"/>
      <c r="Z39" s="993"/>
      <c r="AA39" s="993"/>
      <c r="AB39" s="993"/>
      <c r="AC39" s="993"/>
      <c r="AD39" s="994"/>
      <c r="AE39" s="995"/>
      <c r="AF39" s="996"/>
      <c r="AG39" s="300"/>
    </row>
  </sheetData>
  <mergeCells count="22">
    <mergeCell ref="V10:AB10"/>
    <mergeCell ref="AC10:AC11"/>
    <mergeCell ref="AD10:AD11"/>
    <mergeCell ref="AF10:AF11"/>
    <mergeCell ref="AG10:AG11"/>
    <mergeCell ref="A1:AG1"/>
    <mergeCell ref="A2:C2"/>
    <mergeCell ref="A4:C4"/>
    <mergeCell ref="X5:AG5"/>
    <mergeCell ref="A6:C6"/>
    <mergeCell ref="K10:K11"/>
    <mergeCell ref="P10:P11"/>
    <mergeCell ref="A10:A11"/>
    <mergeCell ref="B10:B11"/>
    <mergeCell ref="C10:C11"/>
    <mergeCell ref="D10:D11"/>
    <mergeCell ref="E10:E11"/>
    <mergeCell ref="F10:F11"/>
    <mergeCell ref="G10:G11"/>
    <mergeCell ref="H10:H11"/>
    <mergeCell ref="I10:I11"/>
    <mergeCell ref="J10:J11"/>
  </mergeCells>
  <printOptions horizontalCentered="1" verticalCentered="1"/>
  <pageMargins left="0" right="0" top="0" bottom="0" header="0.31496062992125984" footer="0.31496062992125984"/>
  <pageSetup paperSize="8" scale="50" orientation="landscape" horizontalDpi="4294967293"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138"/>
  <sheetViews>
    <sheetView topLeftCell="A975" zoomScaleNormal="100" zoomScaleSheetLayoutView="100" workbookViewId="0">
      <selection activeCell="H972" sqref="H972:L972"/>
    </sheetView>
  </sheetViews>
  <sheetFormatPr defaultRowHeight="15"/>
  <cols>
    <col min="2" max="2" width="9.42578125" customWidth="1"/>
    <col min="3" max="3" width="9.7109375" customWidth="1"/>
    <col min="4" max="4" width="9" customWidth="1"/>
    <col min="6" max="6" width="9.140625" customWidth="1"/>
    <col min="7" max="7" width="9" customWidth="1"/>
    <col min="8" max="8" width="9.28515625" customWidth="1"/>
    <col min="10" max="10" width="14.7109375" customWidth="1"/>
    <col min="11" max="11" width="9.42578125" customWidth="1"/>
    <col min="12" max="12" width="17.5703125" customWidth="1"/>
    <col min="13" max="13" width="7.85546875" customWidth="1"/>
  </cols>
  <sheetData>
    <row r="1" spans="2:12" ht="32.25">
      <c r="B1" s="1256" t="s">
        <v>117</v>
      </c>
      <c r="C1" s="1257"/>
      <c r="D1" s="1257"/>
      <c r="E1" s="1257"/>
      <c r="F1" s="1257"/>
      <c r="G1" s="1257"/>
      <c r="H1" s="1257"/>
      <c r="I1" s="1257"/>
      <c r="J1" s="1257"/>
      <c r="K1" s="1257"/>
      <c r="L1" s="1258"/>
    </row>
    <row r="2" spans="2:12" ht="23.25">
      <c r="B2" s="1237" t="s">
        <v>118</v>
      </c>
      <c r="C2" s="1238"/>
      <c r="D2" s="1238"/>
      <c r="E2" s="1238"/>
      <c r="F2" s="1238"/>
      <c r="G2" s="1238"/>
      <c r="H2" s="1238"/>
      <c r="I2" s="1238"/>
      <c r="J2" s="1238"/>
      <c r="K2" s="1238"/>
      <c r="L2" s="1239"/>
    </row>
    <row r="3" spans="2:12" ht="16.5" thickBot="1">
      <c r="B3" s="1240" t="s">
        <v>119</v>
      </c>
      <c r="C3" s="1241"/>
      <c r="D3" s="1241"/>
      <c r="E3" s="1241"/>
      <c r="F3" s="1241"/>
      <c r="G3" s="1241"/>
      <c r="H3" s="1241"/>
      <c r="I3" s="1241"/>
      <c r="J3" s="1241"/>
      <c r="K3" s="1241"/>
      <c r="L3" s="1242"/>
    </row>
    <row r="4" spans="2:12" ht="32.25" customHeight="1">
      <c r="B4" s="1243" t="s">
        <v>120</v>
      </c>
      <c r="C4" s="1244"/>
      <c r="D4" s="1244"/>
      <c r="E4" s="1244"/>
      <c r="F4" s="1244"/>
      <c r="G4" s="300"/>
      <c r="H4" s="1247" t="s">
        <v>121</v>
      </c>
      <c r="I4" s="1247"/>
      <c r="J4" s="1247"/>
      <c r="K4" s="1247"/>
      <c r="L4" s="1248"/>
    </row>
    <row r="5" spans="2:12" ht="32.25" customHeight="1" thickBot="1">
      <c r="B5" s="1245"/>
      <c r="C5" s="1246"/>
      <c r="D5" s="1246"/>
      <c r="E5" s="1246"/>
      <c r="F5" s="1246"/>
      <c r="G5" s="300"/>
      <c r="H5" s="1249"/>
      <c r="I5" s="1249"/>
      <c r="J5" s="1249"/>
      <c r="K5" s="1249"/>
      <c r="L5" s="1250"/>
    </row>
    <row r="6" spans="2:12" ht="32.25" customHeight="1">
      <c r="B6" s="79"/>
      <c r="C6" s="80"/>
      <c r="D6" s="80"/>
      <c r="E6" s="80"/>
      <c r="F6" s="81"/>
      <c r="G6" s="300"/>
      <c r="H6" s="79"/>
      <c r="I6" s="80"/>
      <c r="J6" s="80"/>
      <c r="K6" s="80"/>
      <c r="L6" s="81"/>
    </row>
    <row r="7" spans="2:12" ht="32.25" customHeight="1">
      <c r="B7" s="82" t="str">
        <f>'04-22-Master'!F5</f>
        <v>Burgeon IT Services Pvt.Ltd.</v>
      </c>
      <c r="C7" s="300"/>
      <c r="D7" s="300"/>
      <c r="E7" s="300"/>
      <c r="F7" s="16"/>
      <c r="G7" s="300"/>
      <c r="H7" s="82" t="str">
        <f>'04-22-Master'!AJ5</f>
        <v>Burgeon IT Services Pvt.Ltd.</v>
      </c>
      <c r="I7" s="300"/>
      <c r="J7" s="300"/>
      <c r="K7" s="300"/>
      <c r="L7" s="16"/>
    </row>
    <row r="8" spans="2:12" ht="32.25" customHeight="1">
      <c r="B8" s="15"/>
      <c r="C8" s="300"/>
      <c r="D8" s="300"/>
      <c r="E8" s="300"/>
      <c r="F8" s="16"/>
      <c r="G8" s="300"/>
      <c r="H8" s="15"/>
      <c r="I8" s="300"/>
      <c r="J8" s="300"/>
      <c r="K8" s="300"/>
      <c r="L8" s="16"/>
    </row>
    <row r="9" spans="2:12" ht="32.25" customHeight="1">
      <c r="B9" s="82" t="str">
        <f>'04-22-Master'!F6</f>
        <v>Siri Mansion LIGB 436 Dr.A S Rao Nagar,Hyderabad</v>
      </c>
      <c r="C9" s="300"/>
      <c r="D9" s="300"/>
      <c r="E9" s="300"/>
      <c r="F9" s="16"/>
      <c r="G9" s="300"/>
      <c r="H9" s="82" t="str">
        <f>'04-22-Master'!AJ6</f>
        <v>Siri Mansion LIGB 436 Dr.A S Rao Nagar,Hyderabad</v>
      </c>
      <c r="I9" s="300"/>
      <c r="J9" s="300"/>
      <c r="K9" s="300"/>
      <c r="L9" s="16"/>
    </row>
    <row r="10" spans="2:12" ht="32.25" customHeight="1" thickBot="1">
      <c r="B10" s="27"/>
      <c r="C10" s="25"/>
      <c r="D10" s="25"/>
      <c r="E10" s="25"/>
      <c r="F10" s="26"/>
      <c r="G10" s="300"/>
      <c r="H10" s="27"/>
      <c r="I10" s="25"/>
      <c r="J10" s="25"/>
      <c r="K10" s="25"/>
      <c r="L10" s="26"/>
    </row>
    <row r="11" spans="2:12" ht="32.25" customHeight="1">
      <c r="B11" s="15"/>
      <c r="C11" s="300"/>
      <c r="D11" s="300"/>
      <c r="E11" s="300"/>
      <c r="F11" s="300"/>
      <c r="G11" s="300"/>
      <c r="H11" s="300"/>
      <c r="I11" s="300"/>
      <c r="J11" s="300" t="s">
        <v>122</v>
      </c>
      <c r="K11" s="300"/>
      <c r="L11" s="16"/>
    </row>
    <row r="12" spans="2:12" ht="32.25" customHeight="1">
      <c r="B12" s="1212" t="s">
        <v>123</v>
      </c>
      <c r="C12" s="1213"/>
      <c r="D12" s="1213"/>
      <c r="E12" s="1213"/>
      <c r="F12" s="1213"/>
      <c r="G12" s="300"/>
      <c r="H12" s="1213" t="s">
        <v>4</v>
      </c>
      <c r="I12" s="1213"/>
      <c r="J12" s="1213"/>
      <c r="K12" s="1213"/>
      <c r="L12" s="1251"/>
    </row>
    <row r="13" spans="2:12" ht="32.25" customHeight="1" thickBot="1">
      <c r="B13" s="15"/>
      <c r="C13" s="300"/>
      <c r="D13" s="300"/>
      <c r="E13" s="300"/>
      <c r="F13" s="300"/>
      <c r="G13" s="300"/>
      <c r="H13" s="300"/>
      <c r="I13" s="300"/>
      <c r="J13" s="300"/>
      <c r="K13" s="300"/>
      <c r="L13" s="16"/>
    </row>
    <row r="14" spans="2:12" ht="32.25" customHeight="1">
      <c r="B14" s="79"/>
      <c r="C14" s="80"/>
      <c r="D14" s="80"/>
      <c r="E14" s="80"/>
      <c r="F14" s="81"/>
      <c r="G14" s="300"/>
      <c r="H14" s="83"/>
      <c r="I14" s="84"/>
      <c r="J14" s="84"/>
      <c r="K14" s="84"/>
      <c r="L14" s="85"/>
    </row>
    <row r="15" spans="2:12" ht="32.25" customHeight="1">
      <c r="B15" s="15"/>
      <c r="C15" s="300"/>
      <c r="D15" s="300"/>
      <c r="E15" s="300"/>
      <c r="F15" s="16"/>
      <c r="G15" s="300"/>
      <c r="H15" s="82" t="str">
        <f>'04-22-Master'!AJ10</f>
        <v>INFOSYS  LTD.IL Hyderabad SEZ</v>
      </c>
      <c r="I15" s="301"/>
      <c r="J15" s="301"/>
      <c r="K15" s="301"/>
      <c r="L15" s="86"/>
    </row>
    <row r="16" spans="2:12" ht="32.25" customHeight="1">
      <c r="B16" s="82" t="str">
        <f>'04-22-Master'!F8</f>
        <v>IT SUPPORTIVE SERVICES &amp; HYDERABAD SEZ</v>
      </c>
      <c r="C16" s="300"/>
      <c r="D16" s="300"/>
      <c r="E16" s="300"/>
      <c r="F16" s="16"/>
      <c r="G16" s="300"/>
      <c r="H16" s="82"/>
      <c r="I16" s="301"/>
      <c r="J16" s="301"/>
      <c r="K16" s="301"/>
      <c r="L16" s="86"/>
    </row>
    <row r="17" spans="2:12" ht="14.45" customHeight="1">
      <c r="B17" s="15"/>
      <c r="C17" s="300"/>
      <c r="D17" s="300"/>
      <c r="E17" s="300"/>
      <c r="F17" s="16"/>
      <c r="G17" s="300"/>
      <c r="H17" s="82" t="str">
        <f>'04-22-Master'!AJ11</f>
        <v>Sy.No 42,Pocharam Village,Gatkesar Mandal</v>
      </c>
      <c r="I17" s="301"/>
      <c r="J17" s="301"/>
      <c r="K17" s="301"/>
      <c r="L17" s="86"/>
    </row>
    <row r="18" spans="2:12" ht="14.45" customHeight="1" thickBot="1">
      <c r="B18" s="27"/>
      <c r="C18" s="25"/>
      <c r="D18" s="25"/>
      <c r="E18" s="25"/>
      <c r="F18" s="26"/>
      <c r="G18" s="300"/>
      <c r="H18" s="82"/>
      <c r="I18" s="301"/>
      <c r="J18" s="301"/>
      <c r="K18" s="301"/>
      <c r="L18" s="86"/>
    </row>
    <row r="19" spans="2:12" ht="25.35" customHeight="1">
      <c r="B19" s="1221" t="s">
        <v>124</v>
      </c>
      <c r="C19" s="1222"/>
      <c r="D19" s="1222"/>
      <c r="E19" s="1222"/>
      <c r="F19" s="1222"/>
      <c r="G19" s="1252"/>
      <c r="H19" s="1230" t="str">
        <f>'04-22-Master'!B16</f>
        <v>kaja Venkat Ragavendra</v>
      </c>
      <c r="I19" s="1223"/>
      <c r="J19" s="1223"/>
      <c r="K19" s="1223"/>
      <c r="L19" s="1223"/>
    </row>
    <row r="20" spans="2:12" ht="25.35" customHeight="1">
      <c r="B20" s="1253"/>
      <c r="C20" s="1254"/>
      <c r="D20" s="1254"/>
      <c r="E20" s="1254"/>
      <c r="F20" s="1254"/>
      <c r="G20" s="1254"/>
      <c r="H20" s="1261" t="str">
        <f>'04-22-Master'!G16</f>
        <v>Kidambi Residency, Flat no 6, Agraharam, Guntur, 522003</v>
      </c>
      <c r="I20" s="1261"/>
      <c r="J20" s="1261"/>
      <c r="K20" s="1261"/>
      <c r="L20" s="1261"/>
    </row>
    <row r="21" spans="2:12" ht="25.35" customHeight="1">
      <c r="B21" s="1225" t="s">
        <v>125</v>
      </c>
      <c r="C21" s="1226"/>
      <c r="D21" s="1226"/>
      <c r="E21" s="1226"/>
      <c r="F21" s="1226"/>
      <c r="G21" s="1226"/>
      <c r="H21" s="1227">
        <f>'04-22-Master'!AT16</f>
        <v>41</v>
      </c>
      <c r="I21" s="1228"/>
      <c r="J21" s="1228"/>
      <c r="K21" s="1228"/>
      <c r="L21" s="1229"/>
    </row>
    <row r="22" spans="2:12" ht="25.35" customHeight="1">
      <c r="B22" s="1221" t="s">
        <v>126</v>
      </c>
      <c r="C22" s="1222"/>
      <c r="D22" s="1222"/>
      <c r="E22" s="1222"/>
      <c r="F22" s="1222"/>
      <c r="G22" s="1222"/>
      <c r="H22" s="1230" t="str">
        <f>'04-22-Master'!F16</f>
        <v xml:space="preserve"> SR.Application Consultant</v>
      </c>
      <c r="I22" s="1223"/>
      <c r="J22" s="1223"/>
      <c r="K22" s="1223"/>
      <c r="L22" s="1224"/>
    </row>
    <row r="23" spans="2:12" ht="25.35" customHeight="1">
      <c r="B23" s="1221" t="s">
        <v>127</v>
      </c>
      <c r="C23" s="1222"/>
      <c r="D23" s="1222"/>
      <c r="E23" s="1222"/>
      <c r="F23" s="1222"/>
      <c r="G23" s="1222"/>
      <c r="H23" s="1231">
        <f>'04-22-Master'!I16</f>
        <v>43864</v>
      </c>
      <c r="I23" s="1259"/>
      <c r="J23" s="1259"/>
      <c r="K23" s="1259"/>
      <c r="L23" s="1260"/>
    </row>
    <row r="24" spans="2:12" ht="25.35" customHeight="1">
      <c r="B24" s="378" t="s">
        <v>128</v>
      </c>
      <c r="C24" s="302"/>
      <c r="D24" s="302"/>
      <c r="E24" s="302"/>
      <c r="F24" s="302"/>
      <c r="G24" s="302"/>
      <c r="H24" s="303"/>
      <c r="I24" s="304"/>
      <c r="J24" s="298" t="str">
        <f>'04-22-Master'!O16</f>
        <v>N/A</v>
      </c>
      <c r="K24" s="367"/>
      <c r="L24" s="368"/>
    </row>
    <row r="25" spans="2:12" ht="25.35" customHeight="1">
      <c r="B25" s="378" t="s">
        <v>129</v>
      </c>
      <c r="C25" s="302"/>
      <c r="D25" s="302"/>
      <c r="E25" s="302"/>
      <c r="F25" s="302"/>
      <c r="G25" s="366"/>
      <c r="H25" s="96"/>
      <c r="I25" s="97"/>
      <c r="J25" s="298">
        <f>'04-22-Master'!N16</f>
        <v>101308550178</v>
      </c>
      <c r="K25" s="97"/>
      <c r="L25" s="98"/>
    </row>
    <row r="26" spans="2:12" ht="25.35" customHeight="1">
      <c r="B26" s="1233" t="s">
        <v>130</v>
      </c>
      <c r="C26" s="1234"/>
      <c r="D26" s="1234"/>
      <c r="E26" s="1234"/>
      <c r="F26" s="1234"/>
      <c r="G26" s="1234"/>
      <c r="H26" s="1227">
        <f>'04-22-Master'!S16</f>
        <v>84913</v>
      </c>
      <c r="I26" s="1228"/>
      <c r="J26" s="1228"/>
      <c r="K26" s="1228"/>
      <c r="L26" s="1229"/>
    </row>
    <row r="27" spans="2:12" ht="25.35" customHeight="1">
      <c r="B27" s="1221" t="s">
        <v>131</v>
      </c>
      <c r="C27" s="1222"/>
      <c r="D27" s="1222"/>
      <c r="E27" s="1222"/>
      <c r="F27" s="1222"/>
      <c r="G27" s="1222"/>
      <c r="H27" s="1236">
        <f>'04-22-Master'!D10</f>
        <v>44652</v>
      </c>
      <c r="I27" s="1223"/>
      <c r="J27" s="1223"/>
      <c r="K27" s="1223"/>
      <c r="L27" s="1224"/>
    </row>
    <row r="28" spans="2:12" ht="25.35" customHeight="1">
      <c r="B28" s="1221" t="s">
        <v>132</v>
      </c>
      <c r="C28" s="1222"/>
      <c r="D28" s="1222"/>
      <c r="E28" s="1222"/>
      <c r="F28" s="1222"/>
      <c r="G28" s="1222"/>
      <c r="H28" s="1223" t="s">
        <v>133</v>
      </c>
      <c r="I28" s="1223"/>
      <c r="J28" s="1223"/>
      <c r="K28" s="1223"/>
      <c r="L28" s="1224"/>
    </row>
    <row r="29" spans="2:12" ht="25.35" customHeight="1">
      <c r="B29" s="378" t="s">
        <v>134</v>
      </c>
      <c r="C29" s="302"/>
      <c r="D29" s="302"/>
      <c r="E29" s="302"/>
      <c r="F29" s="302"/>
      <c r="G29" s="366"/>
      <c r="H29" s="303"/>
      <c r="I29" s="367"/>
      <c r="J29" s="305">
        <f>'04-22-Master'!Q16</f>
        <v>30</v>
      </c>
      <c r="K29" s="367"/>
      <c r="L29" s="368"/>
    </row>
    <row r="30" spans="2:12" ht="25.35" customHeight="1">
      <c r="B30" s="378" t="s">
        <v>135</v>
      </c>
      <c r="C30" s="302"/>
      <c r="D30" s="302"/>
      <c r="E30" s="302"/>
      <c r="F30" s="302"/>
      <c r="G30" s="366"/>
      <c r="H30" s="303"/>
      <c r="I30" s="367"/>
      <c r="J30" s="367" t="s">
        <v>37</v>
      </c>
      <c r="K30" s="367"/>
      <c r="L30" s="368"/>
    </row>
    <row r="31" spans="2:12" ht="25.35" customHeight="1">
      <c r="B31" s="378" t="s">
        <v>136</v>
      </c>
      <c r="C31" s="302"/>
      <c r="D31" s="302"/>
      <c r="E31" s="302"/>
      <c r="F31" s="302"/>
      <c r="G31" s="366"/>
      <c r="H31" s="303"/>
      <c r="I31" s="367"/>
      <c r="J31" s="305">
        <v>0</v>
      </c>
      <c r="K31" s="367"/>
      <c r="L31" s="368"/>
    </row>
    <row r="32" spans="2:12" ht="25.35" customHeight="1">
      <c r="B32" s="378" t="s">
        <v>137</v>
      </c>
      <c r="C32" s="302"/>
      <c r="D32" s="302"/>
      <c r="E32" s="302"/>
      <c r="F32" s="302"/>
      <c r="G32" s="366"/>
      <c r="H32" s="303"/>
      <c r="I32" s="367"/>
      <c r="J32" s="367">
        <v>0</v>
      </c>
      <c r="K32" s="367"/>
      <c r="L32" s="368"/>
    </row>
    <row r="33" spans="2:12" ht="25.35" customHeight="1">
      <c r="B33" s="378" t="s">
        <v>138</v>
      </c>
      <c r="C33" s="302"/>
      <c r="D33" s="302"/>
      <c r="E33" s="302"/>
      <c r="F33" s="302"/>
      <c r="G33" s="366"/>
      <c r="H33" s="303"/>
      <c r="I33" s="367"/>
      <c r="J33" s="305">
        <f>'04-22-Master'!AG16</f>
        <v>93276.848179999986</v>
      </c>
      <c r="K33" s="367"/>
      <c r="L33" s="368" t="s">
        <v>35</v>
      </c>
    </row>
    <row r="34" spans="2:12" ht="25.35" customHeight="1">
      <c r="B34" s="378" t="s">
        <v>139</v>
      </c>
      <c r="C34" s="302"/>
      <c r="D34" s="365" t="s">
        <v>32</v>
      </c>
      <c r="E34" s="364">
        <f>'04-22-Master'!AI16</f>
        <v>1800</v>
      </c>
      <c r="F34" s="365" t="s">
        <v>31</v>
      </c>
      <c r="G34" s="364">
        <f>'04-22-Master'!AH16</f>
        <v>0</v>
      </c>
      <c r="H34" s="365" t="s">
        <v>33</v>
      </c>
      <c r="I34" s="364">
        <f>'04-22-Master'!AJ16</f>
        <v>200</v>
      </c>
      <c r="J34" s="365" t="s">
        <v>34</v>
      </c>
      <c r="K34" s="364">
        <f>'04-22-Master'!AK16</f>
        <v>0</v>
      </c>
      <c r="L34" s="111">
        <f>'04-22-Master'!AL16</f>
        <v>391.787848</v>
      </c>
    </row>
    <row r="35" spans="2:12" ht="25.35" customHeight="1">
      <c r="B35" s="378" t="s">
        <v>140</v>
      </c>
      <c r="C35" s="302"/>
      <c r="D35" s="302"/>
      <c r="E35" s="302"/>
      <c r="F35" s="302"/>
      <c r="G35" s="366"/>
      <c r="H35" s="303"/>
      <c r="I35" s="367"/>
      <c r="J35" s="305">
        <f>'04-22-Master'!AO16</f>
        <v>90885.060331999994</v>
      </c>
      <c r="K35" s="367"/>
      <c r="L35" s="368"/>
    </row>
    <row r="36" spans="2:12" ht="14.45" customHeight="1">
      <c r="B36" s="379" t="s">
        <v>141</v>
      </c>
      <c r="C36" s="102"/>
      <c r="D36" s="102"/>
      <c r="E36" s="102"/>
      <c r="F36" s="102"/>
      <c r="G36" s="103"/>
      <c r="H36" s="104"/>
      <c r="I36" s="105"/>
      <c r="J36" s="105"/>
      <c r="K36" s="105"/>
      <c r="L36" s="106"/>
    </row>
    <row r="37" spans="2:12" ht="14.45" customHeight="1">
      <c r="B37" s="380" t="s">
        <v>142</v>
      </c>
      <c r="C37" s="107"/>
      <c r="D37" s="107"/>
      <c r="E37" s="107"/>
      <c r="F37" s="107"/>
      <c r="G37" s="108"/>
      <c r="H37" s="73"/>
      <c r="I37" s="19"/>
      <c r="J37" s="19"/>
      <c r="K37" s="19"/>
      <c r="L37" s="109"/>
    </row>
    <row r="38" spans="2:12" ht="14.45" customHeight="1">
      <c r="B38" s="15"/>
      <c r="C38" s="300"/>
      <c r="D38" s="300"/>
      <c r="E38" s="300"/>
      <c r="F38" s="300"/>
      <c r="G38" s="300"/>
      <c r="H38" s="300"/>
      <c r="I38" s="300"/>
      <c r="J38" s="300"/>
      <c r="K38" s="300"/>
      <c r="L38" s="16"/>
    </row>
    <row r="39" spans="2:12" ht="14.45" customHeight="1" thickBot="1">
      <c r="B39" s="27"/>
      <c r="C39" s="25"/>
      <c r="D39" s="25"/>
      <c r="E39" s="25"/>
      <c r="F39" s="25"/>
      <c r="G39" s="25"/>
      <c r="H39" s="25"/>
      <c r="I39" s="25"/>
      <c r="J39" s="25"/>
      <c r="K39" s="25"/>
      <c r="L39" s="26"/>
    </row>
    <row r="40" spans="2:12" ht="14.45" customHeight="1"/>
    <row r="41" spans="2:12" ht="14.45" customHeight="1"/>
    <row r="42" spans="2:12" ht="14.45" customHeight="1"/>
    <row r="43" spans="2:12" ht="14.45" customHeight="1"/>
    <row r="44" spans="2:12" ht="14.45" customHeight="1"/>
    <row r="45" spans="2:12" s="390" customFormat="1" ht="15.75" thickBot="1"/>
    <row r="46" spans="2:12" ht="32.25">
      <c r="B46" s="1256" t="s">
        <v>117</v>
      </c>
      <c r="C46" s="1257"/>
      <c r="D46" s="1257"/>
      <c r="E46" s="1257"/>
      <c r="F46" s="1257"/>
      <c r="G46" s="1257"/>
      <c r="H46" s="1257"/>
      <c r="I46" s="1257"/>
      <c r="J46" s="1257"/>
      <c r="K46" s="1257"/>
      <c r="L46" s="1258"/>
    </row>
    <row r="47" spans="2:12" ht="23.25">
      <c r="B47" s="1237" t="s">
        <v>118</v>
      </c>
      <c r="C47" s="1238"/>
      <c r="D47" s="1238"/>
      <c r="E47" s="1238"/>
      <c r="F47" s="1238"/>
      <c r="G47" s="1238"/>
      <c r="H47" s="1238"/>
      <c r="I47" s="1238"/>
      <c r="J47" s="1238"/>
      <c r="K47" s="1238"/>
      <c r="L47" s="1239"/>
    </row>
    <row r="48" spans="2:12" ht="16.5" thickBot="1">
      <c r="B48" s="1240" t="s">
        <v>119</v>
      </c>
      <c r="C48" s="1241"/>
      <c r="D48" s="1241"/>
      <c r="E48" s="1241"/>
      <c r="F48" s="1241"/>
      <c r="G48" s="1241"/>
      <c r="H48" s="1241"/>
      <c r="I48" s="1241"/>
      <c r="J48" s="1241"/>
      <c r="K48" s="1241"/>
      <c r="L48" s="1242"/>
    </row>
    <row r="49" spans="2:12">
      <c r="B49" s="1243" t="s">
        <v>120</v>
      </c>
      <c r="C49" s="1244"/>
      <c r="D49" s="1244"/>
      <c r="E49" s="1244"/>
      <c r="F49" s="1244"/>
      <c r="G49" s="300"/>
      <c r="H49" s="1247" t="s">
        <v>121</v>
      </c>
      <c r="I49" s="1247"/>
      <c r="J49" s="1247"/>
      <c r="K49" s="1247"/>
      <c r="L49" s="1248"/>
    </row>
    <row r="50" spans="2:12" ht="15.75" thickBot="1">
      <c r="B50" s="1245"/>
      <c r="C50" s="1246"/>
      <c r="D50" s="1246"/>
      <c r="E50" s="1246"/>
      <c r="F50" s="1246"/>
      <c r="G50" s="300"/>
      <c r="H50" s="1249"/>
      <c r="I50" s="1249"/>
      <c r="J50" s="1249"/>
      <c r="K50" s="1249"/>
      <c r="L50" s="1250"/>
    </row>
    <row r="51" spans="2:12">
      <c r="B51" s="79"/>
      <c r="C51" s="80"/>
      <c r="D51" s="80"/>
      <c r="E51" s="80"/>
      <c r="F51" s="81"/>
      <c r="G51" s="300"/>
      <c r="H51" s="79"/>
      <c r="I51" s="80"/>
      <c r="J51" s="80"/>
      <c r="K51" s="80"/>
      <c r="L51" s="81"/>
    </row>
    <row r="52" spans="2:12">
      <c r="B52" s="82" t="str">
        <f>'04-22-Master'!F5</f>
        <v>Burgeon IT Services Pvt.Ltd.</v>
      </c>
      <c r="C52" s="300"/>
      <c r="D52" s="300"/>
      <c r="E52" s="300"/>
      <c r="F52" s="16"/>
      <c r="G52" s="300"/>
      <c r="H52" s="82" t="str">
        <f>'04-22-Master'!AJ5</f>
        <v>Burgeon IT Services Pvt.Ltd.</v>
      </c>
      <c r="I52" s="300"/>
      <c r="J52" s="300"/>
      <c r="K52" s="300"/>
      <c r="L52" s="16"/>
    </row>
    <row r="53" spans="2:12">
      <c r="B53" s="15"/>
      <c r="C53" s="300"/>
      <c r="D53" s="300"/>
      <c r="E53" s="300"/>
      <c r="F53" s="16"/>
      <c r="G53" s="300"/>
      <c r="H53" s="15"/>
      <c r="I53" s="300"/>
      <c r="J53" s="300"/>
      <c r="K53" s="300"/>
      <c r="L53" s="16"/>
    </row>
    <row r="54" spans="2:12">
      <c r="B54" s="82" t="str">
        <f>'04-22-Master'!F6</f>
        <v>Siri Mansion LIGB 436 Dr.A S Rao Nagar,Hyderabad</v>
      </c>
      <c r="C54" s="300"/>
      <c r="D54" s="300"/>
      <c r="E54" s="300"/>
      <c r="F54" s="16"/>
      <c r="G54" s="300"/>
      <c r="H54" s="82" t="str">
        <f>'04-22-Master'!AJ6</f>
        <v>Siri Mansion LIGB 436 Dr.A S Rao Nagar,Hyderabad</v>
      </c>
      <c r="I54" s="300"/>
      <c r="J54" s="300"/>
      <c r="K54" s="300"/>
      <c r="L54" s="16"/>
    </row>
    <row r="55" spans="2:12" ht="15.75" thickBot="1">
      <c r="B55" s="27"/>
      <c r="C55" s="25"/>
      <c r="D55" s="25"/>
      <c r="E55" s="25"/>
      <c r="F55" s="26"/>
      <c r="G55" s="300"/>
      <c r="H55" s="27"/>
      <c r="I55" s="25"/>
      <c r="J55" s="25"/>
      <c r="K55" s="25"/>
      <c r="L55" s="26"/>
    </row>
    <row r="56" spans="2:12">
      <c r="B56" s="15"/>
      <c r="C56" s="300"/>
      <c r="D56" s="300"/>
      <c r="E56" s="300"/>
      <c r="F56" s="300"/>
      <c r="G56" s="300"/>
      <c r="H56" s="300"/>
      <c r="I56" s="300"/>
      <c r="J56" s="300" t="s">
        <v>122</v>
      </c>
      <c r="K56" s="300"/>
      <c r="L56" s="16"/>
    </row>
    <row r="57" spans="2:12">
      <c r="B57" s="1212" t="s">
        <v>123</v>
      </c>
      <c r="C57" s="1213"/>
      <c r="D57" s="1213"/>
      <c r="E57" s="1213"/>
      <c r="F57" s="1213"/>
      <c r="G57" s="300"/>
      <c r="H57" s="1213" t="s">
        <v>4</v>
      </c>
      <c r="I57" s="1213"/>
      <c r="J57" s="1213"/>
      <c r="K57" s="1213"/>
      <c r="L57" s="1251"/>
    </row>
    <row r="58" spans="2:12" ht="15.75" thickBot="1">
      <c r="B58" s="15"/>
      <c r="C58" s="300"/>
      <c r="D58" s="300"/>
      <c r="E58" s="300"/>
      <c r="F58" s="300"/>
      <c r="G58" s="300"/>
      <c r="H58" s="300"/>
      <c r="I58" s="300"/>
      <c r="J58" s="300"/>
      <c r="K58" s="300"/>
      <c r="L58" s="16"/>
    </row>
    <row r="59" spans="2:12">
      <c r="B59" s="79"/>
      <c r="C59" s="80"/>
      <c r="D59" s="80"/>
      <c r="E59" s="80"/>
      <c r="F59" s="81"/>
      <c r="G59" s="300"/>
      <c r="H59" s="83"/>
      <c r="I59" s="84"/>
      <c r="J59" s="84"/>
      <c r="K59" s="84"/>
      <c r="L59" s="85"/>
    </row>
    <row r="60" spans="2:12">
      <c r="B60" s="15"/>
      <c r="C60" s="300"/>
      <c r="D60" s="300"/>
      <c r="E60" s="300"/>
      <c r="F60" s="16"/>
      <c r="G60" s="300"/>
      <c r="H60" s="82" t="str">
        <f>'04-22-Master'!AJ10</f>
        <v>INFOSYS  LTD.IL Hyderabad SEZ</v>
      </c>
      <c r="I60" s="301"/>
      <c r="J60" s="301"/>
      <c r="K60" s="301"/>
      <c r="L60" s="86"/>
    </row>
    <row r="61" spans="2:12">
      <c r="B61" s="82" t="str">
        <f>'04-22-Master'!F8</f>
        <v>IT SUPPORTIVE SERVICES &amp; HYDERABAD SEZ</v>
      </c>
      <c r="C61" s="300"/>
      <c r="D61" s="300"/>
      <c r="E61" s="300"/>
      <c r="F61" s="16"/>
      <c r="G61" s="300"/>
      <c r="H61" s="82"/>
      <c r="I61" s="301"/>
      <c r="J61" s="301"/>
      <c r="K61" s="301"/>
      <c r="L61" s="86"/>
    </row>
    <row r="62" spans="2:12">
      <c r="B62" s="15"/>
      <c r="C62" s="300"/>
      <c r="D62" s="300"/>
      <c r="E62" s="300"/>
      <c r="F62" s="16"/>
      <c r="G62" s="300"/>
      <c r="H62" s="82" t="str">
        <f>'04-22-Master'!AJ11</f>
        <v>Sy.No 42,Pocharam Village,Gatkesar Mandal</v>
      </c>
      <c r="I62" s="301"/>
      <c r="J62" s="301"/>
      <c r="K62" s="301"/>
      <c r="L62" s="86"/>
    </row>
    <row r="63" spans="2:12" ht="15.75" thickBot="1">
      <c r="B63" s="27"/>
      <c r="C63" s="25"/>
      <c r="D63" s="25"/>
      <c r="E63" s="25"/>
      <c r="F63" s="26"/>
      <c r="G63" s="300"/>
      <c r="H63" s="82"/>
      <c r="I63" s="301"/>
      <c r="J63" s="301"/>
      <c r="K63" s="301"/>
      <c r="L63" s="86"/>
    </row>
    <row r="64" spans="2:12" ht="38.25" customHeight="1">
      <c r="B64" s="1221" t="s">
        <v>124</v>
      </c>
      <c r="C64" s="1222"/>
      <c r="D64" s="1222"/>
      <c r="E64" s="1222"/>
      <c r="F64" s="1222"/>
      <c r="G64" s="1252"/>
      <c r="H64" s="1230" t="str">
        <f>'04-22-Master'!B17</f>
        <v>VeerendraBabu Galam</v>
      </c>
      <c r="I64" s="1223"/>
      <c r="J64" s="1223"/>
      <c r="K64" s="1223"/>
      <c r="L64" s="1223"/>
    </row>
    <row r="65" spans="2:12" ht="33" customHeight="1">
      <c r="B65" s="1253"/>
      <c r="C65" s="1254"/>
      <c r="D65" s="1254"/>
      <c r="E65" s="1254"/>
      <c r="F65" s="1254"/>
      <c r="G65" s="1254"/>
      <c r="H65" s="1255" t="str">
        <f>'04-22-Master'!G17</f>
        <v>1-66, Lakshmipuram Village, Kallur mandal, Khammam Dist, Telangana 507209</v>
      </c>
      <c r="I65" s="1255"/>
      <c r="J65" s="1255"/>
      <c r="K65" s="1255"/>
      <c r="L65" s="1255"/>
    </row>
    <row r="66" spans="2:12" ht="29.25" customHeight="1">
      <c r="B66" s="1225" t="s">
        <v>125</v>
      </c>
      <c r="C66" s="1226"/>
      <c r="D66" s="1226"/>
      <c r="E66" s="1226"/>
      <c r="F66" s="1226"/>
      <c r="G66" s="1226"/>
      <c r="H66" s="1227">
        <f>'04-22-Master'!AT17</f>
        <v>68</v>
      </c>
      <c r="I66" s="1228"/>
      <c r="J66" s="1228"/>
      <c r="K66" s="1228"/>
      <c r="L66" s="1229"/>
    </row>
    <row r="67" spans="2:12" ht="28.5" customHeight="1">
      <c r="B67" s="1221" t="s">
        <v>126</v>
      </c>
      <c r="C67" s="1222"/>
      <c r="D67" s="1222"/>
      <c r="E67" s="1222"/>
      <c r="F67" s="1222"/>
      <c r="G67" s="1222"/>
      <c r="H67" s="1230" t="str">
        <f>'04-22-Master'!F17</f>
        <v>Senior Test Engineer</v>
      </c>
      <c r="I67" s="1223"/>
      <c r="J67" s="1223"/>
      <c r="K67" s="1223"/>
      <c r="L67" s="1224"/>
    </row>
    <row r="68" spans="2:12" ht="27.75" customHeight="1">
      <c r="B68" s="1221" t="s">
        <v>127</v>
      </c>
      <c r="C68" s="1222"/>
      <c r="D68" s="1222"/>
      <c r="E68" s="1222"/>
      <c r="F68" s="1222"/>
      <c r="G68" s="1222"/>
      <c r="H68" s="1231" t="str">
        <f>'04-22-Master'!I17</f>
        <v>18-03-2021</v>
      </c>
      <c r="I68" s="1231"/>
      <c r="J68" s="1231"/>
      <c r="K68" s="1231"/>
      <c r="L68" s="1232"/>
    </row>
    <row r="69" spans="2:12" ht="32.25" customHeight="1">
      <c r="B69" s="378" t="s">
        <v>128</v>
      </c>
      <c r="C69" s="302"/>
      <c r="D69" s="302"/>
      <c r="E69" s="302"/>
      <c r="F69" s="302"/>
      <c r="G69" s="302"/>
      <c r="H69" s="303"/>
      <c r="I69" s="304"/>
      <c r="J69" s="298" t="str">
        <f>'04-22-Master'!O17</f>
        <v>N/A</v>
      </c>
      <c r="K69" s="439"/>
      <c r="L69" s="442"/>
    </row>
    <row r="70" spans="2:12" ht="32.25" customHeight="1">
      <c r="B70" s="378" t="s">
        <v>129</v>
      </c>
      <c r="C70" s="302"/>
      <c r="D70" s="302"/>
      <c r="E70" s="302"/>
      <c r="F70" s="302"/>
      <c r="G70" s="376"/>
      <c r="H70" s="96"/>
      <c r="I70" s="97"/>
      <c r="J70" s="298">
        <f>'04-22-Master'!N17</f>
        <v>100916499521</v>
      </c>
      <c r="K70" s="97"/>
      <c r="L70" s="98"/>
    </row>
    <row r="71" spans="2:12" ht="28.5" customHeight="1">
      <c r="B71" s="1233" t="s">
        <v>130</v>
      </c>
      <c r="C71" s="1234"/>
      <c r="D71" s="1234"/>
      <c r="E71" s="1234"/>
      <c r="F71" s="1234"/>
      <c r="G71" s="1234"/>
      <c r="H71" s="1227">
        <f>'04-22-Master'!S17</f>
        <v>66374</v>
      </c>
      <c r="I71" s="1228"/>
      <c r="J71" s="1228"/>
      <c r="K71" s="1228"/>
      <c r="L71" s="1229"/>
    </row>
    <row r="72" spans="2:12" ht="32.25" customHeight="1">
      <c r="B72" s="1221" t="s">
        <v>131</v>
      </c>
      <c r="C72" s="1222"/>
      <c r="D72" s="1222"/>
      <c r="E72" s="1222"/>
      <c r="F72" s="1222"/>
      <c r="G72" s="1222"/>
      <c r="H72" s="1236">
        <f>'04-22-Master'!D10</f>
        <v>44652</v>
      </c>
      <c r="I72" s="1223"/>
      <c r="J72" s="1223"/>
      <c r="K72" s="1223"/>
      <c r="L72" s="1224"/>
    </row>
    <row r="73" spans="2:12" ht="37.5" customHeight="1">
      <c r="B73" s="1221" t="s">
        <v>132</v>
      </c>
      <c r="C73" s="1222"/>
      <c r="D73" s="1222"/>
      <c r="E73" s="1222"/>
      <c r="F73" s="1222"/>
      <c r="G73" s="1222"/>
      <c r="H73" s="1223" t="s">
        <v>133</v>
      </c>
      <c r="I73" s="1223"/>
      <c r="J73" s="1223"/>
      <c r="K73" s="1223"/>
      <c r="L73" s="1224"/>
    </row>
    <row r="74" spans="2:12" ht="26.25" customHeight="1">
      <c r="B74" s="378" t="s">
        <v>134</v>
      </c>
      <c r="C74" s="302"/>
      <c r="D74" s="302"/>
      <c r="E74" s="302"/>
      <c r="F74" s="302"/>
      <c r="G74" s="376"/>
      <c r="H74" s="303"/>
      <c r="I74" s="439"/>
      <c r="J74" s="305">
        <f>'04-22-Master'!Q17</f>
        <v>30</v>
      </c>
      <c r="K74" s="439"/>
      <c r="L74" s="442"/>
    </row>
    <row r="75" spans="2:12" ht="27.75" customHeight="1">
      <c r="B75" s="378" t="s">
        <v>135</v>
      </c>
      <c r="C75" s="302"/>
      <c r="D75" s="302"/>
      <c r="E75" s="302"/>
      <c r="F75" s="302"/>
      <c r="G75" s="376"/>
      <c r="H75" s="303"/>
      <c r="I75" s="439"/>
      <c r="J75" s="439" t="s">
        <v>37</v>
      </c>
      <c r="K75" s="439"/>
      <c r="L75" s="442"/>
    </row>
    <row r="76" spans="2:12" ht="27.75" customHeight="1">
      <c r="B76" s="378" t="s">
        <v>136</v>
      </c>
      <c r="C76" s="302"/>
      <c r="D76" s="302"/>
      <c r="E76" s="302"/>
      <c r="F76" s="302"/>
      <c r="G76" s="376"/>
      <c r="H76" s="303"/>
      <c r="I76" s="439"/>
      <c r="J76" s="305">
        <v>0</v>
      </c>
      <c r="K76" s="439"/>
      <c r="L76" s="442"/>
    </row>
    <row r="77" spans="2:12" ht="29.25" customHeight="1">
      <c r="B77" s="378" t="s">
        <v>137</v>
      </c>
      <c r="C77" s="302"/>
      <c r="D77" s="302"/>
      <c r="E77" s="302"/>
      <c r="F77" s="302"/>
      <c r="G77" s="376"/>
      <c r="H77" s="303"/>
      <c r="I77" s="439"/>
      <c r="J77" s="439">
        <v>0</v>
      </c>
      <c r="K77" s="439"/>
      <c r="L77" s="442"/>
    </row>
    <row r="78" spans="2:12" ht="28.5" customHeight="1">
      <c r="B78" s="378" t="s">
        <v>138</v>
      </c>
      <c r="C78" s="302"/>
      <c r="D78" s="302"/>
      <c r="E78" s="302"/>
      <c r="F78" s="302"/>
      <c r="G78" s="376"/>
      <c r="H78" s="303"/>
      <c r="I78" s="439"/>
      <c r="J78" s="305">
        <f>'04-22-Master'!AG17</f>
        <v>73275.862639999992</v>
      </c>
      <c r="K78" s="439"/>
      <c r="L78" s="442" t="s">
        <v>35</v>
      </c>
    </row>
    <row r="79" spans="2:12" ht="22.5" customHeight="1">
      <c r="B79" s="378" t="s">
        <v>139</v>
      </c>
      <c r="C79" s="302"/>
      <c r="D79" s="438" t="s">
        <v>32</v>
      </c>
      <c r="E79" s="440">
        <f>'04-22-Master'!AI17</f>
        <v>1800</v>
      </c>
      <c r="F79" s="438" t="s">
        <v>31</v>
      </c>
      <c r="G79" s="440">
        <f>'04-22-Master'!AH177</f>
        <v>0</v>
      </c>
      <c r="H79" s="438" t="s">
        <v>33</v>
      </c>
      <c r="I79" s="440">
        <f>'04-22-Master'!AJ17</f>
        <v>200</v>
      </c>
      <c r="J79" s="438" t="s">
        <v>34</v>
      </c>
      <c r="K79" s="440">
        <f>'04-22-Master'!AK17</f>
        <v>0</v>
      </c>
      <c r="L79" s="111">
        <f>'04-22-Master'!AL17</f>
        <v>391.787848</v>
      </c>
    </row>
    <row r="80" spans="2:12" ht="26.25" customHeight="1">
      <c r="B80" s="378" t="s">
        <v>140</v>
      </c>
      <c r="C80" s="302"/>
      <c r="D80" s="302"/>
      <c r="E80" s="302"/>
      <c r="F80" s="302"/>
      <c r="G80" s="376"/>
      <c r="H80" s="303"/>
      <c r="I80" s="439"/>
      <c r="J80" s="305">
        <f>J78-(E79+G79+I79+K79+L79)</f>
        <v>70884.074791999999</v>
      </c>
      <c r="K80" s="439"/>
      <c r="L80" s="442"/>
    </row>
    <row r="81" spans="2:12">
      <c r="B81" s="379" t="s">
        <v>141</v>
      </c>
      <c r="C81" s="102"/>
      <c r="D81" s="102"/>
      <c r="E81" s="102"/>
      <c r="F81" s="102"/>
      <c r="G81" s="103"/>
      <c r="H81" s="104"/>
      <c r="I81" s="105"/>
      <c r="J81" s="105"/>
      <c r="K81" s="105"/>
      <c r="L81" s="106"/>
    </row>
    <row r="82" spans="2:12">
      <c r="B82" s="380" t="s">
        <v>142</v>
      </c>
      <c r="C82" s="107"/>
      <c r="D82" s="107"/>
      <c r="E82" s="107"/>
      <c r="F82" s="107"/>
      <c r="G82" s="108"/>
      <c r="H82" s="73"/>
      <c r="I82" s="19"/>
      <c r="J82" s="19"/>
      <c r="K82" s="19"/>
      <c r="L82" s="109"/>
    </row>
    <row r="83" spans="2:12">
      <c r="B83" s="15"/>
      <c r="C83" s="300"/>
      <c r="D83" s="300"/>
      <c r="E83" s="300"/>
      <c r="F83" s="300"/>
      <c r="G83" s="300"/>
      <c r="H83" s="300"/>
      <c r="I83" s="300"/>
      <c r="J83" s="300"/>
      <c r="K83" s="300"/>
      <c r="L83" s="16"/>
    </row>
    <row r="84" spans="2:12" ht="15.75" thickBot="1">
      <c r="B84" s="27"/>
      <c r="C84" s="25"/>
      <c r="D84" s="25"/>
      <c r="E84" s="25"/>
      <c r="F84" s="25"/>
      <c r="G84" s="25"/>
      <c r="H84" s="25"/>
      <c r="I84" s="25"/>
      <c r="J84" s="25"/>
      <c r="K84" s="25"/>
      <c r="L84" s="26"/>
    </row>
    <row r="85" spans="2:12">
      <c r="B85" s="390"/>
      <c r="C85" s="390"/>
      <c r="D85" s="390"/>
      <c r="E85" s="390"/>
      <c r="F85" s="390"/>
      <c r="G85" s="390"/>
      <c r="H85" s="390"/>
      <c r="I85" s="390"/>
      <c r="J85" s="390"/>
      <c r="K85" s="390"/>
      <c r="L85" s="390"/>
    </row>
    <row r="86" spans="2:12">
      <c r="B86" s="390"/>
      <c r="C86" s="390"/>
      <c r="D86" s="390"/>
      <c r="E86" s="390"/>
      <c r="F86" s="390"/>
      <c r="G86" s="390"/>
      <c r="H86" s="390"/>
      <c r="I86" s="390"/>
      <c r="J86" s="390"/>
      <c r="K86" s="390"/>
      <c r="L86" s="390"/>
    </row>
    <row r="87" spans="2:12">
      <c r="B87" s="390"/>
      <c r="C87" s="390"/>
      <c r="D87" s="390"/>
      <c r="E87" s="390"/>
      <c r="F87" s="390"/>
      <c r="G87" s="390"/>
      <c r="H87" s="390"/>
      <c r="I87" s="390"/>
      <c r="J87" s="390"/>
      <c r="K87" s="390"/>
      <c r="L87" s="390"/>
    </row>
    <row r="88" spans="2:12">
      <c r="B88" s="390"/>
      <c r="C88" s="390"/>
      <c r="D88" s="390"/>
      <c r="E88" s="390"/>
      <c r="F88" s="390"/>
      <c r="G88" s="390"/>
      <c r="H88" s="390"/>
      <c r="I88" s="390"/>
      <c r="J88" s="390"/>
      <c r="K88" s="390"/>
      <c r="L88" s="390"/>
    </row>
    <row r="89" spans="2:12">
      <c r="B89" s="390"/>
      <c r="C89" s="390"/>
      <c r="D89" s="390"/>
      <c r="E89" s="390"/>
      <c r="F89" s="390"/>
      <c r="G89" s="390"/>
      <c r="H89" s="390"/>
      <c r="I89" s="390"/>
      <c r="J89" s="390"/>
      <c r="K89" s="390"/>
      <c r="L89" s="390"/>
    </row>
    <row r="90" spans="2:12">
      <c r="B90" s="390"/>
      <c r="C90" s="390"/>
      <c r="D90" s="390"/>
      <c r="E90" s="390"/>
      <c r="F90" s="390"/>
      <c r="G90" s="390"/>
      <c r="H90" s="390"/>
      <c r="I90" s="390"/>
      <c r="J90" s="390"/>
      <c r="K90" s="390"/>
      <c r="L90" s="390"/>
    </row>
    <row r="91" spans="2:12">
      <c r="B91" s="390"/>
      <c r="C91" s="390"/>
      <c r="D91" s="390"/>
      <c r="E91" s="390"/>
      <c r="F91" s="390"/>
      <c r="G91" s="390"/>
      <c r="H91" s="390"/>
      <c r="I91" s="390"/>
      <c r="J91" s="390"/>
      <c r="K91" s="390"/>
      <c r="L91" s="390"/>
    </row>
    <row r="94" spans="2:12" s="390" customFormat="1"/>
    <row r="95" spans="2:12" s="390" customFormat="1"/>
    <row r="96" spans="2:12" s="390" customFormat="1"/>
    <row r="97" spans="2:12" s="390" customFormat="1">
      <c r="B97" s="999"/>
      <c r="C97" s="999"/>
      <c r="D97" s="999"/>
      <c r="E97" s="999"/>
      <c r="F97" s="999"/>
      <c r="G97" s="999"/>
      <c r="H97" s="999"/>
      <c r="I97" s="999"/>
      <c r="J97" s="999"/>
      <c r="K97" s="999"/>
      <c r="L97" s="999"/>
    </row>
    <row r="98" spans="2:12" s="390" customFormat="1" ht="15.75" thickBot="1">
      <c r="B98" s="999"/>
      <c r="C98" s="999"/>
      <c r="D98" s="999"/>
      <c r="E98" s="999"/>
      <c r="F98" s="999"/>
      <c r="G98" s="999"/>
      <c r="H98" s="999"/>
      <c r="I98" s="999"/>
      <c r="J98" s="999"/>
      <c r="K98" s="999"/>
      <c r="L98" s="999"/>
    </row>
    <row r="99" spans="2:12" ht="32.25">
      <c r="B99" s="1256" t="s">
        <v>117</v>
      </c>
      <c r="C99" s="1257"/>
      <c r="D99" s="1257"/>
      <c r="E99" s="1257"/>
      <c r="F99" s="1257"/>
      <c r="G99" s="1257"/>
      <c r="H99" s="1257"/>
      <c r="I99" s="1257"/>
      <c r="J99" s="1257"/>
      <c r="K99" s="1257"/>
      <c r="L99" s="1258"/>
    </row>
    <row r="100" spans="2:12" ht="23.25">
      <c r="B100" s="1237" t="s">
        <v>118</v>
      </c>
      <c r="C100" s="1238"/>
      <c r="D100" s="1238"/>
      <c r="E100" s="1238"/>
      <c r="F100" s="1238"/>
      <c r="G100" s="1238"/>
      <c r="H100" s="1238"/>
      <c r="I100" s="1238"/>
      <c r="J100" s="1238"/>
      <c r="K100" s="1238"/>
      <c r="L100" s="1239"/>
    </row>
    <row r="101" spans="2:12" ht="16.5" thickBot="1">
      <c r="B101" s="1240" t="s">
        <v>119</v>
      </c>
      <c r="C101" s="1241"/>
      <c r="D101" s="1241"/>
      <c r="E101" s="1241"/>
      <c r="F101" s="1241"/>
      <c r="G101" s="1241"/>
      <c r="H101" s="1241"/>
      <c r="I101" s="1241"/>
      <c r="J101" s="1241"/>
      <c r="K101" s="1241"/>
      <c r="L101" s="1242"/>
    </row>
    <row r="102" spans="2:12">
      <c r="B102" s="1243" t="s">
        <v>120</v>
      </c>
      <c r="C102" s="1244"/>
      <c r="D102" s="1244"/>
      <c r="E102" s="1244"/>
      <c r="F102" s="1244"/>
      <c r="G102" s="300"/>
      <c r="H102" s="1247" t="s">
        <v>121</v>
      </c>
      <c r="I102" s="1247"/>
      <c r="J102" s="1247"/>
      <c r="K102" s="1247"/>
      <c r="L102" s="1248"/>
    </row>
    <row r="103" spans="2:12" ht="15.75" thickBot="1">
      <c r="B103" s="1245"/>
      <c r="C103" s="1246"/>
      <c r="D103" s="1246"/>
      <c r="E103" s="1246"/>
      <c r="F103" s="1246"/>
      <c r="G103" s="300"/>
      <c r="H103" s="1249"/>
      <c r="I103" s="1249"/>
      <c r="J103" s="1249"/>
      <c r="K103" s="1249"/>
      <c r="L103" s="1250"/>
    </row>
    <row r="104" spans="2:12">
      <c r="B104" s="79"/>
      <c r="C104" s="80"/>
      <c r="D104" s="80"/>
      <c r="E104" s="80"/>
      <c r="F104" s="81"/>
      <c r="G104" s="300"/>
      <c r="H104" s="79"/>
      <c r="I104" s="80"/>
      <c r="J104" s="80"/>
      <c r="K104" s="80"/>
      <c r="L104" s="81"/>
    </row>
    <row r="105" spans="2:12">
      <c r="B105" s="82" t="str">
        <f>'04-22-Master'!F5</f>
        <v>Burgeon IT Services Pvt.Ltd.</v>
      </c>
      <c r="C105" s="300"/>
      <c r="D105" s="300"/>
      <c r="E105" s="300"/>
      <c r="F105" s="16"/>
      <c r="G105" s="300"/>
      <c r="H105" s="82" t="str">
        <f>'04-22-Master'!AJ5</f>
        <v>Burgeon IT Services Pvt.Ltd.</v>
      </c>
      <c r="I105" s="300"/>
      <c r="J105" s="300"/>
      <c r="K105" s="300"/>
      <c r="L105" s="16"/>
    </row>
    <row r="106" spans="2:12">
      <c r="B106" s="15"/>
      <c r="C106" s="300"/>
      <c r="D106" s="300"/>
      <c r="E106" s="300"/>
      <c r="F106" s="16"/>
      <c r="G106" s="300"/>
      <c r="H106" s="15"/>
      <c r="I106" s="300"/>
      <c r="J106" s="300"/>
      <c r="K106" s="300"/>
      <c r="L106" s="16"/>
    </row>
    <row r="107" spans="2:12">
      <c r="B107" s="82" t="str">
        <f>'04-22-Master'!F6</f>
        <v>Siri Mansion LIGB 436 Dr.A S Rao Nagar,Hyderabad</v>
      </c>
      <c r="C107" s="300"/>
      <c r="D107" s="300"/>
      <c r="E107" s="300"/>
      <c r="F107" s="16"/>
      <c r="G107" s="300"/>
      <c r="H107" s="82" t="str">
        <f>'04-22-Master'!AJ6</f>
        <v>Siri Mansion LIGB 436 Dr.A S Rao Nagar,Hyderabad</v>
      </c>
      <c r="I107" s="300"/>
      <c r="J107" s="300"/>
      <c r="K107" s="300"/>
      <c r="L107" s="16"/>
    </row>
    <row r="108" spans="2:12" ht="15.75" thickBot="1">
      <c r="B108" s="27"/>
      <c r="C108" s="25"/>
      <c r="D108" s="25"/>
      <c r="E108" s="25"/>
      <c r="F108" s="26"/>
      <c r="G108" s="300"/>
      <c r="H108" s="27"/>
      <c r="I108" s="25"/>
      <c r="J108" s="25"/>
      <c r="K108" s="25"/>
      <c r="L108" s="26"/>
    </row>
    <row r="109" spans="2:12">
      <c r="B109" s="15"/>
      <c r="C109" s="300"/>
      <c r="D109" s="300"/>
      <c r="E109" s="300"/>
      <c r="F109" s="300"/>
      <c r="G109" s="300"/>
      <c r="H109" s="300"/>
      <c r="I109" s="300"/>
      <c r="J109" s="300" t="s">
        <v>122</v>
      </c>
      <c r="K109" s="300"/>
      <c r="L109" s="16"/>
    </row>
    <row r="110" spans="2:12">
      <c r="B110" s="1212" t="s">
        <v>123</v>
      </c>
      <c r="C110" s="1213"/>
      <c r="D110" s="1213"/>
      <c r="E110" s="1213"/>
      <c r="F110" s="1213"/>
      <c r="G110" s="300"/>
      <c r="H110" s="1213" t="s">
        <v>4</v>
      </c>
      <c r="I110" s="1213"/>
      <c r="J110" s="1213"/>
      <c r="K110" s="1213"/>
      <c r="L110" s="1251"/>
    </row>
    <row r="111" spans="2:12" ht="15.75" thickBot="1">
      <c r="B111" s="15"/>
      <c r="C111" s="300"/>
      <c r="D111" s="300"/>
      <c r="E111" s="300"/>
      <c r="F111" s="300"/>
      <c r="G111" s="300"/>
      <c r="H111" s="300"/>
      <c r="I111" s="300"/>
      <c r="J111" s="300"/>
      <c r="K111" s="300"/>
      <c r="L111" s="16"/>
    </row>
    <row r="112" spans="2:12">
      <c r="B112" s="79"/>
      <c r="C112" s="80"/>
      <c r="D112" s="80"/>
      <c r="E112" s="80"/>
      <c r="F112" s="81"/>
      <c r="G112" s="300"/>
      <c r="H112" s="83"/>
      <c r="I112" s="84"/>
      <c r="J112" s="84"/>
      <c r="K112" s="84"/>
      <c r="L112" s="85"/>
    </row>
    <row r="113" spans="2:12">
      <c r="B113" s="15"/>
      <c r="C113" s="300"/>
      <c r="D113" s="300"/>
      <c r="E113" s="300"/>
      <c r="F113" s="16"/>
      <c r="G113" s="300"/>
      <c r="H113" s="82" t="str">
        <f>'04-22-Master'!AJ10</f>
        <v>INFOSYS  LTD.IL Hyderabad SEZ</v>
      </c>
      <c r="I113" s="301"/>
      <c r="J113" s="301"/>
      <c r="K113" s="301"/>
      <c r="L113" s="86"/>
    </row>
    <row r="114" spans="2:12">
      <c r="B114" s="82" t="str">
        <f>'04-22-Master'!F8</f>
        <v>IT SUPPORTIVE SERVICES &amp; HYDERABAD SEZ</v>
      </c>
      <c r="C114" s="300"/>
      <c r="D114" s="300"/>
      <c r="E114" s="300"/>
      <c r="F114" s="16"/>
      <c r="G114" s="300"/>
      <c r="H114" s="82"/>
      <c r="I114" s="301"/>
      <c r="J114" s="301"/>
      <c r="K114" s="301"/>
      <c r="L114" s="86"/>
    </row>
    <row r="115" spans="2:12">
      <c r="B115" s="15"/>
      <c r="C115" s="300"/>
      <c r="D115" s="300"/>
      <c r="E115" s="300"/>
      <c r="F115" s="16"/>
      <c r="G115" s="300"/>
      <c r="H115" s="82" t="str">
        <f>'04-22-Master'!AJ11</f>
        <v>Sy.No 42,Pocharam Village,Gatkesar Mandal</v>
      </c>
      <c r="I115" s="301"/>
      <c r="J115" s="301"/>
      <c r="K115" s="301"/>
      <c r="L115" s="86"/>
    </row>
    <row r="116" spans="2:12" ht="15.75" thickBot="1">
      <c r="B116" s="27"/>
      <c r="C116" s="25"/>
      <c r="D116" s="25"/>
      <c r="E116" s="25"/>
      <c r="F116" s="26"/>
      <c r="G116" s="300"/>
      <c r="H116" s="82"/>
      <c r="I116" s="301"/>
      <c r="J116" s="301"/>
      <c r="K116" s="301"/>
      <c r="L116" s="86"/>
    </row>
    <row r="117" spans="2:12" ht="30" customHeight="1">
      <c r="B117" s="1221" t="s">
        <v>124</v>
      </c>
      <c r="C117" s="1222"/>
      <c r="D117" s="1222"/>
      <c r="E117" s="1222"/>
      <c r="F117" s="1222"/>
      <c r="G117" s="1252"/>
      <c r="H117" s="1230" t="str">
        <f>'04-22-Master'!B18</f>
        <v>RUKNUDEEN S</v>
      </c>
      <c r="I117" s="1223"/>
      <c r="J117" s="1223"/>
      <c r="K117" s="1223"/>
      <c r="L117" s="1223"/>
    </row>
    <row r="118" spans="2:12" ht="30" customHeight="1">
      <c r="B118" s="1253"/>
      <c r="C118" s="1254"/>
      <c r="D118" s="1254"/>
      <c r="E118" s="1254"/>
      <c r="F118" s="1254"/>
      <c r="G118" s="1254"/>
      <c r="H118" s="1255" t="str">
        <f>'04-22-Master'!G18</f>
        <v>WARD 5-2-46/7,PTR COLONY ,UTHAMAPALAYAM,THENI,TAMILNADU-625533</v>
      </c>
      <c r="I118" s="1255"/>
      <c r="J118" s="1255"/>
      <c r="K118" s="1255"/>
      <c r="L118" s="1255"/>
    </row>
    <row r="119" spans="2:12" ht="30" customHeight="1">
      <c r="B119" s="1225" t="s">
        <v>125</v>
      </c>
      <c r="C119" s="1226"/>
      <c r="D119" s="1226"/>
      <c r="E119" s="1226"/>
      <c r="F119" s="1226"/>
      <c r="G119" s="1226"/>
      <c r="H119" s="1227">
        <f>'04-22-Master'!AT18</f>
        <v>75</v>
      </c>
      <c r="I119" s="1228"/>
      <c r="J119" s="1228"/>
      <c r="K119" s="1228"/>
      <c r="L119" s="1229"/>
    </row>
    <row r="120" spans="2:12" ht="30" customHeight="1">
      <c r="B120" s="1221" t="s">
        <v>126</v>
      </c>
      <c r="C120" s="1222"/>
      <c r="D120" s="1222"/>
      <c r="E120" s="1222"/>
      <c r="F120" s="1222"/>
      <c r="G120" s="1222"/>
      <c r="H120" s="1230" t="str">
        <f>'04-22-Master'!F18</f>
        <v>Technical consultant</v>
      </c>
      <c r="I120" s="1223"/>
      <c r="J120" s="1223"/>
      <c r="K120" s="1223"/>
      <c r="L120" s="1224"/>
    </row>
    <row r="121" spans="2:12" ht="30" customHeight="1">
      <c r="B121" s="1221" t="s">
        <v>127</v>
      </c>
      <c r="C121" s="1222"/>
      <c r="D121" s="1222"/>
      <c r="E121" s="1222"/>
      <c r="F121" s="1222"/>
      <c r="G121" s="1222"/>
      <c r="H121" s="1231">
        <f>'04-22-Master'!I18</f>
        <v>44330</v>
      </c>
      <c r="I121" s="1231"/>
      <c r="J121" s="1231"/>
      <c r="K121" s="1231"/>
      <c r="L121" s="1232"/>
    </row>
    <row r="122" spans="2:12" ht="30" customHeight="1">
      <c r="B122" s="378" t="s">
        <v>128</v>
      </c>
      <c r="C122" s="302"/>
      <c r="D122" s="302"/>
      <c r="E122" s="302"/>
      <c r="F122" s="302"/>
      <c r="G122" s="302"/>
      <c r="H122" s="493"/>
      <c r="I122" s="304"/>
      <c r="J122" s="298" t="str">
        <f>'04-22-Master'!O18</f>
        <v>N/A</v>
      </c>
      <c r="K122" s="492"/>
      <c r="L122" s="494"/>
    </row>
    <row r="123" spans="2:12" ht="30" customHeight="1">
      <c r="B123" s="378" t="s">
        <v>129</v>
      </c>
      <c r="C123" s="302"/>
      <c r="D123" s="302"/>
      <c r="E123" s="302"/>
      <c r="F123" s="302"/>
      <c r="G123" s="376"/>
      <c r="H123" s="96"/>
      <c r="I123" s="97"/>
      <c r="J123" s="298">
        <f>'04-22-Master'!N18</f>
        <v>101695261761</v>
      </c>
      <c r="K123" s="97"/>
      <c r="L123" s="98"/>
    </row>
    <row r="124" spans="2:12" ht="30" customHeight="1">
      <c r="B124" s="1233" t="s">
        <v>130</v>
      </c>
      <c r="C124" s="1234"/>
      <c r="D124" s="1234"/>
      <c r="E124" s="1234"/>
      <c r="F124" s="1234"/>
      <c r="G124" s="1234"/>
      <c r="H124" s="1227">
        <f>'04-22-Master'!Q18</f>
        <v>30</v>
      </c>
      <c r="I124" s="1227"/>
      <c r="J124" s="1227"/>
      <c r="K124" s="1227"/>
      <c r="L124" s="1235"/>
    </row>
    <row r="125" spans="2:12" ht="30" customHeight="1">
      <c r="B125" s="1221" t="s">
        <v>131</v>
      </c>
      <c r="C125" s="1222"/>
      <c r="D125" s="1222"/>
      <c r="E125" s="1222"/>
      <c r="F125" s="1222"/>
      <c r="G125" s="1222"/>
      <c r="H125" s="1236">
        <f>'04-22-Master'!D10</f>
        <v>44652</v>
      </c>
      <c r="I125" s="1223"/>
      <c r="J125" s="1223"/>
      <c r="K125" s="1223"/>
      <c r="L125" s="1224"/>
    </row>
    <row r="126" spans="2:12" ht="30" customHeight="1">
      <c r="B126" s="1221" t="s">
        <v>132</v>
      </c>
      <c r="C126" s="1222"/>
      <c r="D126" s="1222"/>
      <c r="E126" s="1222"/>
      <c r="F126" s="1222"/>
      <c r="G126" s="1222"/>
      <c r="H126" s="1223" t="s">
        <v>133</v>
      </c>
      <c r="I126" s="1223"/>
      <c r="J126" s="1223"/>
      <c r="K126" s="1223"/>
      <c r="L126" s="1224"/>
    </row>
    <row r="127" spans="2:12" ht="30" customHeight="1">
      <c r="B127" s="378" t="s">
        <v>134</v>
      </c>
      <c r="C127" s="302"/>
      <c r="D127" s="302"/>
      <c r="E127" s="302"/>
      <c r="F127" s="302"/>
      <c r="G127" s="376"/>
      <c r="H127" s="493"/>
      <c r="I127" s="492"/>
      <c r="J127" s="305">
        <f>'04-22-Master'!S18</f>
        <v>89547</v>
      </c>
      <c r="K127" s="492"/>
      <c r="L127" s="494"/>
    </row>
    <row r="128" spans="2:12" ht="30" customHeight="1">
      <c r="B128" s="378" t="s">
        <v>135</v>
      </c>
      <c r="C128" s="302"/>
      <c r="D128" s="302"/>
      <c r="E128" s="302"/>
      <c r="F128" s="302"/>
      <c r="G128" s="376"/>
      <c r="H128" s="493"/>
      <c r="I128" s="492"/>
      <c r="J128" s="492" t="s">
        <v>37</v>
      </c>
      <c r="K128" s="492"/>
      <c r="L128" s="494"/>
    </row>
    <row r="129" spans="2:12" ht="30" customHeight="1">
      <c r="B129" s="378" t="s">
        <v>136</v>
      </c>
      <c r="C129" s="302"/>
      <c r="D129" s="302"/>
      <c r="E129" s="302"/>
      <c r="F129" s="302"/>
      <c r="G129" s="376"/>
      <c r="H129" s="493"/>
      <c r="I129" s="492"/>
      <c r="J129" s="305">
        <v>0</v>
      </c>
      <c r="K129" s="492"/>
      <c r="L129" s="494"/>
    </row>
    <row r="130" spans="2:12" ht="30" customHeight="1">
      <c r="B130" s="378" t="s">
        <v>137</v>
      </c>
      <c r="C130" s="302"/>
      <c r="D130" s="302"/>
      <c r="E130" s="302"/>
      <c r="F130" s="302"/>
      <c r="G130" s="376"/>
      <c r="H130" s="493"/>
      <c r="I130" s="492"/>
      <c r="J130" s="492">
        <v>0</v>
      </c>
      <c r="K130" s="492"/>
      <c r="L130" s="494"/>
    </row>
    <row r="131" spans="2:12" ht="30" customHeight="1">
      <c r="B131" s="378" t="s">
        <v>138</v>
      </c>
      <c r="C131" s="302"/>
      <c r="D131" s="302"/>
      <c r="E131" s="302"/>
      <c r="F131" s="302"/>
      <c r="G131" s="376"/>
      <c r="H131" s="493"/>
      <c r="I131" s="492"/>
      <c r="J131" s="305">
        <f>'04-22-Master'!AG18</f>
        <v>98276.28542</v>
      </c>
      <c r="K131" s="492"/>
      <c r="L131" s="494" t="s">
        <v>35</v>
      </c>
    </row>
    <row r="132" spans="2:12" ht="30" customHeight="1">
      <c r="B132" s="378" t="s">
        <v>139</v>
      </c>
      <c r="C132" s="302"/>
      <c r="D132" s="490" t="s">
        <v>32</v>
      </c>
      <c r="E132" s="491">
        <f>'04-22-Master'!AI18</f>
        <v>1800</v>
      </c>
      <c r="F132" s="490" t="s">
        <v>31</v>
      </c>
      <c r="G132" s="491">
        <f>'04-22-Master'!AH508</f>
        <v>0</v>
      </c>
      <c r="H132" s="490" t="s">
        <v>33</v>
      </c>
      <c r="I132" s="491">
        <f>'04-22-Master'!AJ18</f>
        <v>200</v>
      </c>
      <c r="J132" s="490" t="s">
        <v>34</v>
      </c>
      <c r="K132" s="491">
        <f>'04-22-Master'!AK18</f>
        <v>0</v>
      </c>
      <c r="L132" s="111">
        <f>'04-22-Master'!AL18</f>
        <v>391.787848</v>
      </c>
    </row>
    <row r="133" spans="2:12" ht="30" customHeight="1">
      <c r="B133" s="378" t="s">
        <v>140</v>
      </c>
      <c r="C133" s="302"/>
      <c r="D133" s="302"/>
      <c r="E133" s="302"/>
      <c r="F133" s="302"/>
      <c r="G133" s="376"/>
      <c r="H133" s="493"/>
      <c r="I133" s="492"/>
      <c r="J133" s="305">
        <f>J131-(E132+G132+I132+K132+L132)</f>
        <v>95884.497571999993</v>
      </c>
      <c r="K133" s="492"/>
      <c r="L133" s="494"/>
    </row>
    <row r="134" spans="2:12">
      <c r="B134" s="379" t="s">
        <v>141</v>
      </c>
      <c r="C134" s="102"/>
      <c r="D134" s="102"/>
      <c r="E134" s="102"/>
      <c r="F134" s="102"/>
      <c r="G134" s="103"/>
      <c r="H134" s="104"/>
      <c r="I134" s="105"/>
      <c r="J134" s="105"/>
      <c r="K134" s="105"/>
      <c r="L134" s="106"/>
    </row>
    <row r="135" spans="2:12">
      <c r="B135" s="380" t="s">
        <v>142</v>
      </c>
      <c r="C135" s="107"/>
      <c r="D135" s="107"/>
      <c r="E135" s="107"/>
      <c r="F135" s="107"/>
      <c r="G135" s="108"/>
      <c r="H135" s="73"/>
      <c r="I135" s="19"/>
      <c r="J135" s="19"/>
      <c r="K135" s="19"/>
      <c r="L135" s="109"/>
    </row>
    <row r="136" spans="2:12">
      <c r="B136" s="15"/>
      <c r="C136" s="300"/>
      <c r="D136" s="300"/>
      <c r="E136" s="300"/>
      <c r="F136" s="300"/>
      <c r="G136" s="300"/>
      <c r="H136" s="300"/>
      <c r="I136" s="300"/>
      <c r="J136" s="300"/>
      <c r="K136" s="300"/>
      <c r="L136" s="16"/>
    </row>
    <row r="137" spans="2:12" ht="15.75" thickBot="1">
      <c r="B137" s="27"/>
      <c r="C137" s="25"/>
      <c r="D137" s="25"/>
      <c r="E137" s="25"/>
      <c r="F137" s="25"/>
      <c r="G137" s="25"/>
      <c r="H137" s="25"/>
      <c r="I137" s="25"/>
      <c r="J137" s="25"/>
      <c r="K137" s="25"/>
      <c r="L137" s="26"/>
    </row>
    <row r="138" spans="2:12">
      <c r="B138" s="390"/>
      <c r="C138" s="390"/>
      <c r="D138" s="390"/>
      <c r="E138" s="390"/>
      <c r="F138" s="390"/>
      <c r="G138" s="390"/>
      <c r="H138" s="390"/>
      <c r="I138" s="390"/>
      <c r="J138" s="390"/>
      <c r="K138" s="390"/>
      <c r="L138" s="390"/>
    </row>
    <row r="139" spans="2:12">
      <c r="B139" s="390"/>
      <c r="C139" s="390"/>
      <c r="D139" s="390"/>
      <c r="E139" s="390"/>
      <c r="F139" s="390"/>
      <c r="G139" s="390"/>
      <c r="H139" s="390"/>
      <c r="I139" s="390"/>
      <c r="J139" s="390"/>
      <c r="K139" s="390"/>
      <c r="L139" s="390"/>
    </row>
    <row r="140" spans="2:12">
      <c r="B140" s="390"/>
      <c r="C140" s="390"/>
      <c r="D140" s="390"/>
      <c r="E140" s="390"/>
      <c r="F140" s="390"/>
      <c r="G140" s="390"/>
      <c r="H140" s="390"/>
      <c r="I140" s="390"/>
      <c r="J140" s="390"/>
      <c r="K140" s="390"/>
      <c r="L140" s="390"/>
    </row>
    <row r="141" spans="2:12">
      <c r="B141" s="390"/>
      <c r="C141" s="390"/>
      <c r="D141" s="390"/>
      <c r="E141" s="390"/>
      <c r="F141" s="390"/>
      <c r="G141" s="390"/>
      <c r="H141" s="390"/>
      <c r="I141" s="390"/>
      <c r="J141" s="390"/>
      <c r="K141" s="390"/>
      <c r="L141" s="390"/>
    </row>
    <row r="142" spans="2:12">
      <c r="B142" s="390"/>
      <c r="C142" s="390"/>
      <c r="D142" s="390"/>
      <c r="E142" s="390"/>
      <c r="F142" s="390"/>
      <c r="G142" s="390"/>
      <c r="H142" s="390"/>
      <c r="I142" s="390"/>
      <c r="J142" s="390"/>
      <c r="K142" s="390"/>
      <c r="L142" s="390"/>
    </row>
    <row r="147" spans="1:12" s="390" customFormat="1"/>
    <row r="148" spans="1:12" s="390" customFormat="1"/>
    <row r="149" spans="1:12" s="390" customFormat="1"/>
    <row r="150" spans="1:12" s="390" customFormat="1" ht="15.75" thickBot="1"/>
    <row r="151" spans="1:12" ht="32.25">
      <c r="A151" s="390"/>
      <c r="B151" s="1256" t="s">
        <v>117</v>
      </c>
      <c r="C151" s="1257"/>
      <c r="D151" s="1257"/>
      <c r="E151" s="1257"/>
      <c r="F151" s="1257"/>
      <c r="G151" s="1257"/>
      <c r="H151" s="1257"/>
      <c r="I151" s="1257"/>
      <c r="J151" s="1257"/>
      <c r="K151" s="1257"/>
      <c r="L151" s="1258"/>
    </row>
    <row r="152" spans="1:12" ht="23.25">
      <c r="A152" s="390"/>
      <c r="B152" s="1237" t="s">
        <v>118</v>
      </c>
      <c r="C152" s="1238"/>
      <c r="D152" s="1238"/>
      <c r="E152" s="1238"/>
      <c r="F152" s="1238"/>
      <c r="G152" s="1238"/>
      <c r="H152" s="1238"/>
      <c r="I152" s="1238"/>
      <c r="J152" s="1238"/>
      <c r="K152" s="1238"/>
      <c r="L152" s="1239"/>
    </row>
    <row r="153" spans="1:12" ht="16.5" thickBot="1">
      <c r="A153" s="390"/>
      <c r="B153" s="1240" t="s">
        <v>119</v>
      </c>
      <c r="C153" s="1241"/>
      <c r="D153" s="1241"/>
      <c r="E153" s="1241"/>
      <c r="F153" s="1241"/>
      <c r="G153" s="1241"/>
      <c r="H153" s="1241"/>
      <c r="I153" s="1241"/>
      <c r="J153" s="1241"/>
      <c r="K153" s="1241"/>
      <c r="L153" s="1242"/>
    </row>
    <row r="154" spans="1:12">
      <c r="A154" s="390"/>
      <c r="B154" s="1243" t="s">
        <v>120</v>
      </c>
      <c r="C154" s="1244"/>
      <c r="D154" s="1244"/>
      <c r="E154" s="1244"/>
      <c r="F154" s="1244"/>
      <c r="G154" s="300"/>
      <c r="H154" s="1247" t="s">
        <v>121</v>
      </c>
      <c r="I154" s="1247"/>
      <c r="J154" s="1247"/>
      <c r="K154" s="1247"/>
      <c r="L154" s="1248"/>
    </row>
    <row r="155" spans="1:12" ht="22.5" customHeight="1" thickBot="1">
      <c r="A155" s="390"/>
      <c r="B155" s="1245"/>
      <c r="C155" s="1246"/>
      <c r="D155" s="1246"/>
      <c r="E155" s="1246"/>
      <c r="F155" s="1246"/>
      <c r="G155" s="300"/>
      <c r="H155" s="1249"/>
      <c r="I155" s="1249"/>
      <c r="J155" s="1249"/>
      <c r="K155" s="1249"/>
      <c r="L155" s="1250"/>
    </row>
    <row r="156" spans="1:12" ht="22.5" customHeight="1">
      <c r="A156" s="390"/>
      <c r="B156" s="79"/>
      <c r="C156" s="80"/>
      <c r="D156" s="80"/>
      <c r="E156" s="80"/>
      <c r="F156" s="81"/>
      <c r="G156" s="300"/>
      <c r="H156" s="79"/>
      <c r="I156" s="80"/>
      <c r="J156" s="80"/>
      <c r="K156" s="80"/>
      <c r="L156" s="81"/>
    </row>
    <row r="157" spans="1:12" ht="22.5" customHeight="1">
      <c r="A157" s="390"/>
      <c r="B157" s="82" t="str">
        <f>'04-22-Master'!F5</f>
        <v>Burgeon IT Services Pvt.Ltd.</v>
      </c>
      <c r="C157" s="300"/>
      <c r="D157" s="300"/>
      <c r="E157" s="300"/>
      <c r="F157" s="16"/>
      <c r="G157" s="300"/>
      <c r="H157" s="82" t="str">
        <f>B157</f>
        <v>Burgeon IT Services Pvt.Ltd.</v>
      </c>
      <c r="I157" s="300"/>
      <c r="J157" s="300"/>
      <c r="K157" s="300"/>
      <c r="L157" s="16"/>
    </row>
    <row r="158" spans="1:12" ht="22.5" customHeight="1">
      <c r="A158" s="390"/>
      <c r="B158" s="15"/>
      <c r="C158" s="300"/>
      <c r="D158" s="300"/>
      <c r="E158" s="300"/>
      <c r="F158" s="16"/>
      <c r="G158" s="300"/>
      <c r="H158" s="15"/>
      <c r="I158" s="300"/>
      <c r="J158" s="300"/>
      <c r="K158" s="300"/>
      <c r="L158" s="16"/>
    </row>
    <row r="159" spans="1:12" ht="22.5" customHeight="1">
      <c r="A159" s="390"/>
      <c r="B159" s="82" t="str">
        <f>'04-22-Master'!F6</f>
        <v>Siri Mansion LIGB 436 Dr.A S Rao Nagar,Hyderabad</v>
      </c>
      <c r="C159" s="300"/>
      <c r="D159" s="300"/>
      <c r="E159" s="300"/>
      <c r="F159" s="16"/>
      <c r="G159" s="300"/>
      <c r="H159" s="82" t="str">
        <f>B159</f>
        <v>Siri Mansion LIGB 436 Dr.A S Rao Nagar,Hyderabad</v>
      </c>
      <c r="I159" s="300"/>
      <c r="J159" s="300"/>
      <c r="K159" s="300"/>
      <c r="L159" s="16"/>
    </row>
    <row r="160" spans="1:12" ht="22.5" customHeight="1" thickBot="1">
      <c r="A160" s="390"/>
      <c r="B160" s="27"/>
      <c r="C160" s="25"/>
      <c r="D160" s="25"/>
      <c r="E160" s="25"/>
      <c r="F160" s="26"/>
      <c r="G160" s="300"/>
      <c r="H160" s="27"/>
      <c r="I160" s="25"/>
      <c r="J160" s="25"/>
      <c r="K160" s="25"/>
      <c r="L160" s="26"/>
    </row>
    <row r="161" spans="1:12" ht="22.5" customHeight="1">
      <c r="A161" s="390"/>
      <c r="B161" s="15"/>
      <c r="C161" s="300"/>
      <c r="D161" s="300"/>
      <c r="E161" s="300"/>
      <c r="F161" s="300"/>
      <c r="G161" s="300"/>
      <c r="H161" s="300"/>
      <c r="I161" s="300"/>
      <c r="J161" s="300" t="s">
        <v>122</v>
      </c>
      <c r="K161" s="300"/>
      <c r="L161" s="16"/>
    </row>
    <row r="162" spans="1:12" ht="22.5" customHeight="1">
      <c r="A162" s="390"/>
      <c r="B162" s="1212" t="s">
        <v>123</v>
      </c>
      <c r="C162" s="1213"/>
      <c r="D162" s="1213"/>
      <c r="E162" s="1213"/>
      <c r="F162" s="1213"/>
      <c r="G162" s="300"/>
      <c r="H162" s="1213" t="s">
        <v>4</v>
      </c>
      <c r="I162" s="1213"/>
      <c r="J162" s="1213"/>
      <c r="K162" s="1213"/>
      <c r="L162" s="1251"/>
    </row>
    <row r="163" spans="1:12" ht="22.5" customHeight="1" thickBot="1">
      <c r="A163" s="390"/>
      <c r="B163" s="15"/>
      <c r="C163" s="300"/>
      <c r="D163" s="300"/>
      <c r="E163" s="300"/>
      <c r="F163" s="300"/>
      <c r="G163" s="300"/>
      <c r="H163" s="300"/>
      <c r="I163" s="300"/>
      <c r="J163" s="300"/>
      <c r="K163" s="300"/>
      <c r="L163" s="16"/>
    </row>
    <row r="164" spans="1:12" ht="22.5" customHeight="1">
      <c r="A164" s="390"/>
      <c r="B164" s="79"/>
      <c r="C164" s="80"/>
      <c r="D164" s="80"/>
      <c r="E164" s="80"/>
      <c r="F164" s="81"/>
      <c r="G164" s="300"/>
      <c r="H164" s="83"/>
      <c r="I164" s="84"/>
      <c r="J164" s="84"/>
      <c r="K164" s="84"/>
      <c r="L164" s="85"/>
    </row>
    <row r="165" spans="1:12" ht="22.5" customHeight="1">
      <c r="A165" s="390"/>
      <c r="B165" s="15"/>
      <c r="C165" s="300"/>
      <c r="D165" s="300"/>
      <c r="E165" s="300"/>
      <c r="F165" s="16"/>
      <c r="G165" s="300"/>
      <c r="H165" s="82" t="str">
        <f>'04-22-Master'!AJ10</f>
        <v>INFOSYS  LTD.IL Hyderabad SEZ</v>
      </c>
      <c r="I165" s="301"/>
      <c r="J165" s="301"/>
      <c r="K165" s="301"/>
      <c r="L165" s="86"/>
    </row>
    <row r="166" spans="1:12" ht="22.5" customHeight="1">
      <c r="A166" s="390"/>
      <c r="B166" s="82" t="str">
        <f>'04-22-Master'!F8</f>
        <v>IT SUPPORTIVE SERVICES &amp; HYDERABAD SEZ</v>
      </c>
      <c r="C166" s="300"/>
      <c r="D166" s="300"/>
      <c r="E166" s="300"/>
      <c r="F166" s="16"/>
      <c r="G166" s="300"/>
      <c r="H166" s="82"/>
      <c r="I166" s="301"/>
      <c r="J166" s="301"/>
      <c r="K166" s="301"/>
      <c r="L166" s="86"/>
    </row>
    <row r="167" spans="1:12" ht="22.5" customHeight="1">
      <c r="A167" s="390"/>
      <c r="B167" s="15"/>
      <c r="C167" s="300"/>
      <c r="D167" s="300"/>
      <c r="E167" s="300"/>
      <c r="F167" s="16"/>
      <c r="G167" s="300"/>
      <c r="H167" s="82" t="str">
        <f>'04-22-Master'!AJ11</f>
        <v>Sy.No 42,Pocharam Village,Gatkesar Mandal</v>
      </c>
      <c r="I167" s="301"/>
      <c r="J167" s="301"/>
      <c r="K167" s="301"/>
      <c r="L167" s="86"/>
    </row>
    <row r="168" spans="1:12" ht="22.5" customHeight="1" thickBot="1">
      <c r="A168" s="390"/>
      <c r="B168" s="27"/>
      <c r="C168" s="25"/>
      <c r="D168" s="25"/>
      <c r="E168" s="25"/>
      <c r="F168" s="26"/>
      <c r="G168" s="300"/>
      <c r="H168" s="82"/>
      <c r="I168" s="301"/>
      <c r="J168" s="301"/>
      <c r="K168" s="301"/>
      <c r="L168" s="86"/>
    </row>
    <row r="169" spans="1:12" ht="30" customHeight="1">
      <c r="A169" s="390"/>
      <c r="B169" s="1221" t="s">
        <v>124</v>
      </c>
      <c r="C169" s="1222"/>
      <c r="D169" s="1222"/>
      <c r="E169" s="1222"/>
      <c r="F169" s="1222"/>
      <c r="G169" s="1252"/>
      <c r="H169" s="1230" t="str">
        <f>'04-22-Master'!B19</f>
        <v xml:space="preserve">Srikanth Thota   </v>
      </c>
      <c r="I169" s="1223"/>
      <c r="J169" s="1223"/>
      <c r="K169" s="1223"/>
      <c r="L169" s="1223"/>
    </row>
    <row r="170" spans="1:12" ht="30" customHeight="1">
      <c r="A170" s="390"/>
      <c r="B170" s="1253"/>
      <c r="C170" s="1254"/>
      <c r="D170" s="1254"/>
      <c r="E170" s="1254"/>
      <c r="F170" s="1254"/>
      <c r="G170" s="1254"/>
      <c r="H170" s="1255" t="str">
        <f>'04-22-Master'!G19</f>
        <v>Plot No 779,Defence colony Sainikpuri Secunderabad 500094</v>
      </c>
      <c r="I170" s="1255"/>
      <c r="J170" s="1255"/>
      <c r="K170" s="1255"/>
      <c r="L170" s="1255"/>
    </row>
    <row r="171" spans="1:12" ht="30" customHeight="1">
      <c r="A171" s="390"/>
      <c r="B171" s="1225" t="s">
        <v>125</v>
      </c>
      <c r="C171" s="1226"/>
      <c r="D171" s="1226"/>
      <c r="E171" s="1226"/>
      <c r="F171" s="1226"/>
      <c r="G171" s="1226"/>
      <c r="H171" s="1227">
        <f>'04-22-Master'!AT19</f>
        <v>80</v>
      </c>
      <c r="I171" s="1228"/>
      <c r="J171" s="1228"/>
      <c r="K171" s="1228"/>
      <c r="L171" s="1229"/>
    </row>
    <row r="172" spans="1:12" ht="30" customHeight="1">
      <c r="A172" s="390"/>
      <c r="B172" s="1221" t="s">
        <v>126</v>
      </c>
      <c r="C172" s="1222"/>
      <c r="D172" s="1222"/>
      <c r="E172" s="1222"/>
      <c r="F172" s="1222"/>
      <c r="G172" s="1222"/>
      <c r="H172" s="1230" t="str">
        <f>'04-22-Master'!F19</f>
        <v>PMO Manager</v>
      </c>
      <c r="I172" s="1223"/>
      <c r="J172" s="1223"/>
      <c r="K172" s="1223"/>
      <c r="L172" s="1224"/>
    </row>
    <row r="173" spans="1:12" ht="30" customHeight="1">
      <c r="A173" s="390"/>
      <c r="B173" s="1221" t="s">
        <v>127</v>
      </c>
      <c r="C173" s="1222"/>
      <c r="D173" s="1222"/>
      <c r="E173" s="1222"/>
      <c r="F173" s="1222"/>
      <c r="G173" s="1222"/>
      <c r="H173" s="1231">
        <f>'04-22-Master'!I19</f>
        <v>44378</v>
      </c>
      <c r="I173" s="1231"/>
      <c r="J173" s="1231"/>
      <c r="K173" s="1231"/>
      <c r="L173" s="1232"/>
    </row>
    <row r="174" spans="1:12" ht="30" customHeight="1">
      <c r="A174" s="390"/>
      <c r="B174" s="378" t="s">
        <v>128</v>
      </c>
      <c r="C174" s="302"/>
      <c r="D174" s="302"/>
      <c r="E174" s="302"/>
      <c r="F174" s="302"/>
      <c r="G174" s="302"/>
      <c r="H174" s="514"/>
      <c r="I174" s="304"/>
      <c r="J174" s="298" t="str">
        <f>'04-22-Master'!O19</f>
        <v>N/A</v>
      </c>
      <c r="K174" s="512"/>
      <c r="L174" s="515"/>
    </row>
    <row r="175" spans="1:12" ht="30" customHeight="1">
      <c r="A175" s="390"/>
      <c r="B175" s="378" t="s">
        <v>129</v>
      </c>
      <c r="C175" s="302"/>
      <c r="D175" s="302"/>
      <c r="E175" s="302"/>
      <c r="F175" s="302"/>
      <c r="G175" s="376"/>
      <c r="H175" s="96"/>
      <c r="I175" s="97"/>
      <c r="J175" s="298" t="str">
        <f>'04-22-Master'!N19</f>
        <v>100362420499</v>
      </c>
      <c r="K175" s="97"/>
      <c r="L175" s="98"/>
    </row>
    <row r="176" spans="1:12" ht="30" customHeight="1">
      <c r="A176" s="390"/>
      <c r="B176" s="1233" t="s">
        <v>130</v>
      </c>
      <c r="C176" s="1234"/>
      <c r="D176" s="1234"/>
      <c r="E176" s="1234"/>
      <c r="F176" s="1234"/>
      <c r="G176" s="1234"/>
      <c r="H176" s="1227">
        <f>'04-22-Master'!S19</f>
        <v>103451</v>
      </c>
      <c r="I176" s="1227"/>
      <c r="J176" s="1227"/>
      <c r="K176" s="1227"/>
      <c r="L176" s="1235"/>
    </row>
    <row r="177" spans="1:12" ht="30" customHeight="1">
      <c r="A177" s="390"/>
      <c r="B177" s="1221" t="s">
        <v>131</v>
      </c>
      <c r="C177" s="1222"/>
      <c r="D177" s="1222"/>
      <c r="E177" s="1222"/>
      <c r="F177" s="1222"/>
      <c r="G177" s="1222"/>
      <c r="H177" s="1236">
        <f>'04-22-Master'!D10</f>
        <v>44652</v>
      </c>
      <c r="I177" s="1223"/>
      <c r="J177" s="1223"/>
      <c r="K177" s="1223"/>
      <c r="L177" s="1224"/>
    </row>
    <row r="178" spans="1:12" ht="30" customHeight="1">
      <c r="A178" s="390"/>
      <c r="B178" s="1221" t="s">
        <v>132</v>
      </c>
      <c r="C178" s="1222"/>
      <c r="D178" s="1222"/>
      <c r="E178" s="1222"/>
      <c r="F178" s="1222"/>
      <c r="G178" s="1222"/>
      <c r="H178" s="1223" t="s">
        <v>133</v>
      </c>
      <c r="I178" s="1223"/>
      <c r="J178" s="1223"/>
      <c r="K178" s="1223"/>
      <c r="L178" s="1224"/>
    </row>
    <row r="179" spans="1:12" ht="30" customHeight="1">
      <c r="A179" s="390"/>
      <c r="B179" s="378" t="s">
        <v>134</v>
      </c>
      <c r="C179" s="302"/>
      <c r="D179" s="302"/>
      <c r="E179" s="302"/>
      <c r="F179" s="302"/>
      <c r="G179" s="376"/>
      <c r="H179" s="514"/>
      <c r="I179" s="512"/>
      <c r="J179" s="305">
        <f>'04-22-Master'!Q19</f>
        <v>30</v>
      </c>
      <c r="K179" s="512"/>
      <c r="L179" s="515"/>
    </row>
    <row r="180" spans="1:12" ht="30" customHeight="1">
      <c r="A180" s="390"/>
      <c r="B180" s="378" t="s">
        <v>135</v>
      </c>
      <c r="C180" s="302"/>
      <c r="D180" s="302"/>
      <c r="E180" s="302"/>
      <c r="F180" s="302"/>
      <c r="G180" s="376"/>
      <c r="H180" s="514"/>
      <c r="I180" s="512"/>
      <c r="J180" s="512" t="s">
        <v>37</v>
      </c>
      <c r="K180" s="512"/>
      <c r="L180" s="515"/>
    </row>
    <row r="181" spans="1:12" ht="30" customHeight="1">
      <c r="A181" s="390"/>
      <c r="B181" s="378" t="s">
        <v>136</v>
      </c>
      <c r="C181" s="302"/>
      <c r="D181" s="302"/>
      <c r="E181" s="302"/>
      <c r="F181" s="302"/>
      <c r="G181" s="376"/>
      <c r="H181" s="514"/>
      <c r="I181" s="512"/>
      <c r="J181" s="305">
        <v>0</v>
      </c>
      <c r="K181" s="512"/>
      <c r="L181" s="515"/>
    </row>
    <row r="182" spans="1:12" ht="30" customHeight="1">
      <c r="A182" s="390"/>
      <c r="B182" s="378" t="s">
        <v>137</v>
      </c>
      <c r="C182" s="302"/>
      <c r="D182" s="302"/>
      <c r="E182" s="302"/>
      <c r="F182" s="302"/>
      <c r="G182" s="376"/>
      <c r="H182" s="514"/>
      <c r="I182" s="512"/>
      <c r="J182" s="512">
        <v>0</v>
      </c>
      <c r="K182" s="512"/>
      <c r="L182" s="515"/>
    </row>
    <row r="183" spans="1:12" ht="30" customHeight="1">
      <c r="A183" s="390"/>
      <c r="B183" s="378" t="s">
        <v>138</v>
      </c>
      <c r="C183" s="302"/>
      <c r="D183" s="302"/>
      <c r="E183" s="302"/>
      <c r="F183" s="302"/>
      <c r="G183" s="376"/>
      <c r="H183" s="514"/>
      <c r="I183" s="512"/>
      <c r="J183" s="305">
        <f>'04-22-Master'!AG19</f>
        <v>113276.75486</v>
      </c>
      <c r="K183" s="512"/>
      <c r="L183" s="515" t="s">
        <v>35</v>
      </c>
    </row>
    <row r="184" spans="1:12" ht="30" customHeight="1">
      <c r="A184" s="390"/>
      <c r="B184" s="378" t="s">
        <v>139</v>
      </c>
      <c r="C184" s="302"/>
      <c r="D184" s="511" t="s">
        <v>32</v>
      </c>
      <c r="E184" s="513">
        <f>'04-22-Master'!AI19</f>
        <v>1800</v>
      </c>
      <c r="F184" s="511" t="s">
        <v>31</v>
      </c>
      <c r="G184" s="513">
        <f>'04-22-Master'!AH814</f>
        <v>0</v>
      </c>
      <c r="H184" s="511" t="s">
        <v>33</v>
      </c>
      <c r="I184" s="513">
        <f>'04-22-Master'!AJ19</f>
        <v>200</v>
      </c>
      <c r="J184" s="511" t="s">
        <v>34</v>
      </c>
      <c r="K184" s="513">
        <f>'04-22-Master'!AK19</f>
        <v>0</v>
      </c>
      <c r="L184" s="111">
        <f>'04-22-Master'!AL19</f>
        <v>377</v>
      </c>
    </row>
    <row r="185" spans="1:12" ht="30" customHeight="1">
      <c r="A185" s="390"/>
      <c r="B185" s="378" t="s">
        <v>140</v>
      </c>
      <c r="C185" s="302"/>
      <c r="D185" s="302"/>
      <c r="E185" s="302"/>
      <c r="F185" s="302"/>
      <c r="G185" s="376"/>
      <c r="H185" s="514"/>
      <c r="I185" s="512"/>
      <c r="J185" s="305">
        <f>J183-E184-I184-K184-L184</f>
        <v>110899.75486</v>
      </c>
      <c r="K185" s="512"/>
      <c r="L185" s="515"/>
    </row>
    <row r="186" spans="1:12" ht="22.5" customHeight="1">
      <c r="A186" s="390"/>
      <c r="B186" s="379" t="s">
        <v>141</v>
      </c>
      <c r="C186" s="102"/>
      <c r="D186" s="102"/>
      <c r="E186" s="102"/>
      <c r="F186" s="102"/>
      <c r="G186" s="103"/>
      <c r="H186" s="104"/>
      <c r="I186" s="105"/>
      <c r="J186" s="105"/>
      <c r="K186" s="105"/>
      <c r="L186" s="106"/>
    </row>
    <row r="187" spans="1:12" ht="22.5" customHeight="1">
      <c r="A187" s="390"/>
      <c r="B187" s="380" t="s">
        <v>142</v>
      </c>
      <c r="C187" s="107"/>
      <c r="D187" s="107"/>
      <c r="E187" s="107"/>
      <c r="F187" s="107"/>
      <c r="G187" s="108"/>
      <c r="H187" s="73"/>
      <c r="I187" s="19"/>
      <c r="J187" s="19"/>
      <c r="K187" s="19"/>
      <c r="L187" s="109"/>
    </row>
    <row r="188" spans="1:12" ht="22.5" customHeight="1">
      <c r="A188" s="390"/>
      <c r="B188" s="15"/>
      <c r="C188" s="300"/>
      <c r="D188" s="300"/>
      <c r="E188" s="300"/>
      <c r="F188" s="300"/>
      <c r="G188" s="300"/>
      <c r="H188" s="300"/>
      <c r="I188" s="300"/>
      <c r="J188" s="300"/>
      <c r="K188" s="300"/>
      <c r="L188" s="16"/>
    </row>
    <row r="189" spans="1:12" ht="22.5" customHeight="1" thickBot="1">
      <c r="A189" s="390"/>
      <c r="B189" s="27"/>
      <c r="C189" s="25"/>
      <c r="D189" s="25"/>
      <c r="E189" s="25"/>
      <c r="F189" s="25"/>
      <c r="G189" s="25"/>
      <c r="H189" s="25"/>
      <c r="I189" s="25"/>
      <c r="J189" s="25"/>
      <c r="K189" s="25"/>
      <c r="L189" s="26"/>
    </row>
    <row r="190" spans="1:12">
      <c r="A190" s="390"/>
      <c r="B190" s="390"/>
      <c r="C190" s="390"/>
      <c r="D190" s="390"/>
      <c r="E190" s="390"/>
      <c r="F190" s="390"/>
      <c r="G190" s="390"/>
      <c r="H190" s="390"/>
      <c r="I190" s="390"/>
      <c r="J190" s="390"/>
      <c r="K190" s="390"/>
      <c r="L190" s="390"/>
    </row>
    <row r="191" spans="1:12">
      <c r="A191" s="390"/>
      <c r="B191" s="390"/>
      <c r="C191" s="390"/>
      <c r="D191" s="390"/>
      <c r="E191" s="390"/>
      <c r="F191" s="390"/>
      <c r="G191" s="390"/>
      <c r="H191" s="390"/>
      <c r="I191" s="390"/>
      <c r="J191" s="390"/>
      <c r="K191" s="390"/>
      <c r="L191" s="390"/>
    </row>
    <row r="192" spans="1:12">
      <c r="A192" s="390"/>
      <c r="B192" s="390"/>
      <c r="C192" s="390"/>
      <c r="D192" s="390"/>
      <c r="E192" s="390"/>
      <c r="F192" s="390"/>
      <c r="G192" s="390"/>
      <c r="H192" s="390"/>
      <c r="I192" s="390"/>
      <c r="J192" s="390"/>
      <c r="K192" s="390"/>
      <c r="L192" s="390"/>
    </row>
    <row r="193" spans="1:12">
      <c r="A193" s="390"/>
      <c r="B193" s="390"/>
      <c r="C193" s="390"/>
      <c r="D193" s="390"/>
      <c r="E193" s="390"/>
      <c r="F193" s="390"/>
      <c r="G193" s="390"/>
      <c r="H193" s="390"/>
      <c r="I193" s="390"/>
      <c r="J193" s="390"/>
      <c r="K193" s="390"/>
      <c r="L193" s="390"/>
    </row>
    <row r="194" spans="1:12">
      <c r="A194" s="390"/>
      <c r="B194" s="390"/>
      <c r="C194" s="390"/>
      <c r="D194" s="390"/>
      <c r="E194" s="390"/>
      <c r="F194" s="390"/>
      <c r="G194" s="390"/>
      <c r="H194" s="390"/>
      <c r="I194" s="390"/>
      <c r="J194" s="390"/>
      <c r="K194" s="390"/>
      <c r="L194" s="390"/>
    </row>
    <row r="195" spans="1:12">
      <c r="J195" s="390"/>
      <c r="K195" s="390"/>
      <c r="L195" s="390"/>
    </row>
    <row r="196" spans="1:12" ht="15.75" thickBot="1"/>
    <row r="197" spans="1:12" ht="32.25">
      <c r="A197" s="390"/>
      <c r="B197" s="1256" t="s">
        <v>117</v>
      </c>
      <c r="C197" s="1257"/>
      <c r="D197" s="1257"/>
      <c r="E197" s="1257"/>
      <c r="F197" s="1257"/>
      <c r="G197" s="1257"/>
      <c r="H197" s="1257"/>
      <c r="I197" s="1257"/>
      <c r="J197" s="1257"/>
      <c r="K197" s="1257"/>
      <c r="L197" s="1258"/>
    </row>
    <row r="198" spans="1:12" ht="23.25">
      <c r="A198" s="390"/>
      <c r="B198" s="1237" t="s">
        <v>118</v>
      </c>
      <c r="C198" s="1238"/>
      <c r="D198" s="1238"/>
      <c r="E198" s="1238"/>
      <c r="F198" s="1238"/>
      <c r="G198" s="1238"/>
      <c r="H198" s="1238"/>
      <c r="I198" s="1238"/>
      <c r="J198" s="1238"/>
      <c r="K198" s="1238"/>
      <c r="L198" s="1239"/>
    </row>
    <row r="199" spans="1:12" ht="16.5" thickBot="1">
      <c r="A199" s="390"/>
      <c r="B199" s="1240" t="s">
        <v>119</v>
      </c>
      <c r="C199" s="1241"/>
      <c r="D199" s="1241"/>
      <c r="E199" s="1241"/>
      <c r="F199" s="1241"/>
      <c r="G199" s="1241"/>
      <c r="H199" s="1241"/>
      <c r="I199" s="1241"/>
      <c r="J199" s="1241"/>
      <c r="K199" s="1241"/>
      <c r="L199" s="1242"/>
    </row>
    <row r="200" spans="1:12">
      <c r="A200" s="390"/>
      <c r="B200" s="1243" t="s">
        <v>120</v>
      </c>
      <c r="C200" s="1244"/>
      <c r="D200" s="1244"/>
      <c r="E200" s="1244"/>
      <c r="F200" s="1244"/>
      <c r="G200" s="300"/>
      <c r="H200" s="1247" t="s">
        <v>121</v>
      </c>
      <c r="I200" s="1247"/>
      <c r="J200" s="1247"/>
      <c r="K200" s="1247"/>
      <c r="L200" s="1248"/>
    </row>
    <row r="201" spans="1:12" ht="15.75" thickBot="1">
      <c r="A201" s="390"/>
      <c r="B201" s="1245"/>
      <c r="C201" s="1246"/>
      <c r="D201" s="1246"/>
      <c r="E201" s="1246"/>
      <c r="F201" s="1246"/>
      <c r="G201" s="300"/>
      <c r="H201" s="1249"/>
      <c r="I201" s="1249"/>
      <c r="J201" s="1249"/>
      <c r="K201" s="1249"/>
      <c r="L201" s="1250"/>
    </row>
    <row r="202" spans="1:12" ht="23.25" customHeight="1">
      <c r="A202" s="390"/>
      <c r="B202" s="79"/>
      <c r="C202" s="80"/>
      <c r="D202" s="80"/>
      <c r="E202" s="80"/>
      <c r="F202" s="81"/>
      <c r="G202" s="300"/>
      <c r="H202" s="79"/>
      <c r="I202" s="80"/>
      <c r="J202" s="80"/>
      <c r="K202" s="80"/>
      <c r="L202" s="81"/>
    </row>
    <row r="203" spans="1:12" ht="23.25" customHeight="1">
      <c r="A203" s="390"/>
      <c r="B203" s="82" t="str">
        <f>'04-22-Master'!AJ5</f>
        <v>Burgeon IT Services Pvt.Ltd.</v>
      </c>
      <c r="C203" s="300"/>
      <c r="D203" s="300"/>
      <c r="E203" s="300"/>
      <c r="F203" s="16"/>
      <c r="G203" s="300"/>
      <c r="H203" s="82" t="str">
        <f>B203</f>
        <v>Burgeon IT Services Pvt.Ltd.</v>
      </c>
      <c r="I203" s="300"/>
      <c r="J203" s="300"/>
      <c r="K203" s="300"/>
      <c r="L203" s="16"/>
    </row>
    <row r="204" spans="1:12" ht="23.25" customHeight="1">
      <c r="A204" s="390"/>
      <c r="B204" s="15"/>
      <c r="C204" s="300"/>
      <c r="D204" s="300"/>
      <c r="E204" s="300"/>
      <c r="F204" s="16"/>
      <c r="G204" s="300"/>
      <c r="H204" s="15"/>
      <c r="I204" s="300"/>
      <c r="J204" s="300"/>
      <c r="K204" s="300"/>
      <c r="L204" s="16"/>
    </row>
    <row r="205" spans="1:12" ht="23.25" customHeight="1">
      <c r="A205" s="390"/>
      <c r="B205" s="82" t="str">
        <f>'04-22-Master'!AJ6</f>
        <v>Siri Mansion LIGB 436 Dr.A S Rao Nagar,Hyderabad</v>
      </c>
      <c r="C205" s="300"/>
      <c r="D205" s="300"/>
      <c r="E205" s="300"/>
      <c r="F205" s="16"/>
      <c r="G205" s="300"/>
      <c r="H205" s="82" t="str">
        <f>B205</f>
        <v>Siri Mansion LIGB 436 Dr.A S Rao Nagar,Hyderabad</v>
      </c>
      <c r="I205" s="300"/>
      <c r="J205" s="300"/>
      <c r="K205" s="300"/>
      <c r="L205" s="16"/>
    </row>
    <row r="206" spans="1:12" ht="23.25" customHeight="1" thickBot="1">
      <c r="A206" s="390"/>
      <c r="B206" s="27"/>
      <c r="C206" s="25"/>
      <c r="D206" s="25"/>
      <c r="E206" s="25"/>
      <c r="F206" s="26"/>
      <c r="G206" s="300"/>
      <c r="H206" s="27"/>
      <c r="I206" s="25"/>
      <c r="J206" s="25"/>
      <c r="K206" s="25"/>
      <c r="L206" s="26"/>
    </row>
    <row r="207" spans="1:12" ht="23.25" customHeight="1">
      <c r="A207" s="390"/>
      <c r="B207" s="15"/>
      <c r="C207" s="300"/>
      <c r="D207" s="300"/>
      <c r="E207" s="300"/>
      <c r="F207" s="300"/>
      <c r="G207" s="300"/>
      <c r="H207" s="300"/>
      <c r="I207" s="300"/>
      <c r="J207" s="300" t="s">
        <v>122</v>
      </c>
      <c r="K207" s="300"/>
      <c r="L207" s="16"/>
    </row>
    <row r="208" spans="1:12" ht="23.25" customHeight="1">
      <c r="A208" s="390"/>
      <c r="B208" s="1212" t="s">
        <v>123</v>
      </c>
      <c r="C208" s="1213"/>
      <c r="D208" s="1213"/>
      <c r="E208" s="1213"/>
      <c r="F208" s="1213"/>
      <c r="G208" s="300"/>
      <c r="H208" s="1213" t="s">
        <v>4</v>
      </c>
      <c r="I208" s="1213"/>
      <c r="J208" s="1213"/>
      <c r="K208" s="1213"/>
      <c r="L208" s="1251"/>
    </row>
    <row r="209" spans="1:12" ht="23.25" customHeight="1" thickBot="1">
      <c r="A209" s="390"/>
      <c r="B209" s="15"/>
      <c r="C209" s="300"/>
      <c r="D209" s="300"/>
      <c r="E209" s="300"/>
      <c r="F209" s="300"/>
      <c r="G209" s="300"/>
      <c r="H209" s="300"/>
      <c r="I209" s="300"/>
      <c r="J209" s="300"/>
      <c r="K209" s="300"/>
      <c r="L209" s="16"/>
    </row>
    <row r="210" spans="1:12" ht="23.25" customHeight="1">
      <c r="A210" s="390"/>
      <c r="B210" s="79"/>
      <c r="C210" s="80"/>
      <c r="D210" s="80"/>
      <c r="E210" s="80"/>
      <c r="F210" s="81"/>
      <c r="G210" s="300"/>
      <c r="H210" s="83"/>
      <c r="I210" s="84"/>
      <c r="J210" s="84"/>
      <c r="K210" s="84"/>
      <c r="L210" s="85"/>
    </row>
    <row r="211" spans="1:12" ht="23.25" customHeight="1">
      <c r="A211" s="390"/>
      <c r="B211" s="15"/>
      <c r="C211" s="300"/>
      <c r="D211" s="300"/>
      <c r="E211" s="300"/>
      <c r="F211" s="16"/>
      <c r="G211" s="300"/>
      <c r="H211" s="82" t="str">
        <f>'04-22-Master'!AJ10</f>
        <v>INFOSYS  LTD.IL Hyderabad SEZ</v>
      </c>
      <c r="I211" s="301"/>
      <c r="J211" s="301"/>
      <c r="K211" s="301"/>
      <c r="L211" s="86"/>
    </row>
    <row r="212" spans="1:12" ht="23.25" customHeight="1">
      <c r="A212" s="390"/>
      <c r="B212" s="82" t="str">
        <f>'04-22-Master'!AE10</f>
        <v>Name and address of Principal Employer:</v>
      </c>
      <c r="C212" s="300"/>
      <c r="D212" s="300"/>
      <c r="E212" s="300"/>
      <c r="F212" s="16"/>
      <c r="G212" s="300"/>
      <c r="H212" s="82"/>
      <c r="I212" s="301"/>
      <c r="J212" s="301"/>
      <c r="K212" s="301"/>
      <c r="L212" s="86"/>
    </row>
    <row r="213" spans="1:12" ht="23.25" customHeight="1">
      <c r="A213" s="390"/>
      <c r="B213" s="15"/>
      <c r="C213" s="300"/>
      <c r="D213" s="300"/>
      <c r="E213" s="300"/>
      <c r="F213" s="16"/>
      <c r="G213" s="300"/>
      <c r="H213" s="82" t="str">
        <f>'04-22-Master'!AJ6</f>
        <v>Siri Mansion LIGB 436 Dr.A S Rao Nagar,Hyderabad</v>
      </c>
      <c r="I213" s="301"/>
      <c r="J213" s="301"/>
      <c r="K213" s="301"/>
      <c r="L213" s="86"/>
    </row>
    <row r="214" spans="1:12" ht="23.25" customHeight="1" thickBot="1">
      <c r="A214" s="390"/>
      <c r="B214" s="27"/>
      <c r="C214" s="25"/>
      <c r="D214" s="25"/>
      <c r="E214" s="25"/>
      <c r="F214" s="26"/>
      <c r="G214" s="300"/>
      <c r="H214" s="82"/>
      <c r="I214" s="301"/>
      <c r="J214" s="301"/>
      <c r="K214" s="301"/>
      <c r="L214" s="86"/>
    </row>
    <row r="215" spans="1:12" ht="30" customHeight="1">
      <c r="A215" s="390"/>
      <c r="B215" s="1221" t="s">
        <v>124</v>
      </c>
      <c r="C215" s="1222"/>
      <c r="D215" s="1222"/>
      <c r="E215" s="1222"/>
      <c r="F215" s="1222"/>
      <c r="G215" s="1252"/>
      <c r="H215" s="1230" t="str">
        <f>'04-22-Master'!B20</f>
        <v xml:space="preserve">Shekhar Panchal  </v>
      </c>
      <c r="I215" s="1223"/>
      <c r="J215" s="1223"/>
      <c r="K215" s="1223"/>
      <c r="L215" s="1223"/>
    </row>
    <row r="216" spans="1:12" ht="30" customHeight="1">
      <c r="A216" s="390"/>
      <c r="B216" s="1253"/>
      <c r="C216" s="1254"/>
      <c r="D216" s="1254"/>
      <c r="E216" s="1254"/>
      <c r="F216" s="1254"/>
      <c r="G216" s="1254"/>
      <c r="H216" s="1255" t="str">
        <f>'04-22-Master'!G20</f>
        <v>V.P.O. ANANDPURI, DIST- BANSWARA, RAJASTHAN-327021</v>
      </c>
      <c r="I216" s="1255"/>
      <c r="J216" s="1255"/>
      <c r="K216" s="1255"/>
      <c r="L216" s="1255"/>
    </row>
    <row r="217" spans="1:12" ht="30" customHeight="1">
      <c r="A217" s="390"/>
      <c r="B217" s="1225" t="s">
        <v>125</v>
      </c>
      <c r="C217" s="1226"/>
      <c r="D217" s="1226"/>
      <c r="E217" s="1226"/>
      <c r="F217" s="1226"/>
      <c r="G217" s="1226"/>
      <c r="H217" s="1227">
        <f>'04-22-Master'!AT20</f>
        <v>81</v>
      </c>
      <c r="I217" s="1228"/>
      <c r="J217" s="1228"/>
      <c r="K217" s="1228"/>
      <c r="L217" s="1229"/>
    </row>
    <row r="218" spans="1:12" ht="30" customHeight="1">
      <c r="A218" s="390"/>
      <c r="B218" s="1221" t="s">
        <v>126</v>
      </c>
      <c r="C218" s="1222"/>
      <c r="D218" s="1222"/>
      <c r="E218" s="1222"/>
      <c r="F218" s="1222"/>
      <c r="G218" s="1222"/>
      <c r="H218" s="1230" t="str">
        <f>'04-22-Master'!F20</f>
        <v>Sr. Network Security Engineer</v>
      </c>
      <c r="I218" s="1223"/>
      <c r="J218" s="1223"/>
      <c r="K218" s="1223"/>
      <c r="L218" s="1224"/>
    </row>
    <row r="219" spans="1:12" ht="30" customHeight="1">
      <c r="A219" s="390"/>
      <c r="B219" s="1221" t="s">
        <v>127</v>
      </c>
      <c r="C219" s="1222"/>
      <c r="D219" s="1222"/>
      <c r="E219" s="1222"/>
      <c r="F219" s="1222"/>
      <c r="G219" s="1222"/>
      <c r="H219" s="1231">
        <f>'04-22-Master'!I20</f>
        <v>44388</v>
      </c>
      <c r="I219" s="1231"/>
      <c r="J219" s="1231"/>
      <c r="K219" s="1231"/>
      <c r="L219" s="1232"/>
    </row>
    <row r="220" spans="1:12" ht="30" customHeight="1">
      <c r="A220" s="390"/>
      <c r="B220" s="378" t="s">
        <v>128</v>
      </c>
      <c r="C220" s="302"/>
      <c r="D220" s="302"/>
      <c r="E220" s="302"/>
      <c r="F220" s="302"/>
      <c r="G220" s="302"/>
      <c r="H220" s="514"/>
      <c r="I220" s="304"/>
      <c r="J220" s="298" t="str">
        <f>'04-22-Master'!O20</f>
        <v>N/A</v>
      </c>
      <c r="K220" s="524"/>
      <c r="L220" s="527"/>
    </row>
    <row r="221" spans="1:12" ht="30" customHeight="1">
      <c r="A221" s="390"/>
      <c r="B221" s="378" t="s">
        <v>129</v>
      </c>
      <c r="C221" s="302"/>
      <c r="D221" s="302"/>
      <c r="E221" s="302"/>
      <c r="F221" s="302"/>
      <c r="G221" s="376"/>
      <c r="H221" s="96"/>
      <c r="I221" s="97"/>
      <c r="J221" s="298" t="str">
        <f>'04-22-Master'!N20</f>
        <v>101185605036</v>
      </c>
      <c r="K221" s="97"/>
      <c r="L221" s="98"/>
    </row>
    <row r="222" spans="1:12" ht="30" customHeight="1">
      <c r="A222" s="390"/>
      <c r="B222" s="1233" t="s">
        <v>130</v>
      </c>
      <c r="C222" s="1234"/>
      <c r="D222" s="1234"/>
      <c r="E222" s="1234"/>
      <c r="F222" s="1234"/>
      <c r="G222" s="1234"/>
      <c r="H222" s="1227">
        <f>'04-22-Master'!S20</f>
        <v>66374</v>
      </c>
      <c r="I222" s="1227"/>
      <c r="J222" s="1227"/>
      <c r="K222" s="1227"/>
      <c r="L222" s="1235"/>
    </row>
    <row r="223" spans="1:12" ht="30" customHeight="1">
      <c r="A223" s="390"/>
      <c r="B223" s="1221" t="s">
        <v>131</v>
      </c>
      <c r="C223" s="1222"/>
      <c r="D223" s="1222"/>
      <c r="E223" s="1222"/>
      <c r="F223" s="1222"/>
      <c r="G223" s="1222"/>
      <c r="H223" s="1236">
        <f>'04-22-Master'!D10</f>
        <v>44652</v>
      </c>
      <c r="I223" s="1223"/>
      <c r="J223" s="1223"/>
      <c r="K223" s="1223"/>
      <c r="L223" s="1224"/>
    </row>
    <row r="224" spans="1:12" ht="30" customHeight="1">
      <c r="A224" s="390"/>
      <c r="B224" s="1221" t="s">
        <v>132</v>
      </c>
      <c r="C224" s="1222"/>
      <c r="D224" s="1222"/>
      <c r="E224" s="1222"/>
      <c r="F224" s="1222"/>
      <c r="G224" s="1222"/>
      <c r="H224" s="1223" t="s">
        <v>133</v>
      </c>
      <c r="I224" s="1223"/>
      <c r="J224" s="1223"/>
      <c r="K224" s="1223"/>
      <c r="L224" s="1224"/>
    </row>
    <row r="225" spans="1:12" ht="30" customHeight="1">
      <c r="A225" s="390"/>
      <c r="B225" s="378" t="s">
        <v>134</v>
      </c>
      <c r="C225" s="302"/>
      <c r="D225" s="302"/>
      <c r="E225" s="302"/>
      <c r="F225" s="302"/>
      <c r="G225" s="376"/>
      <c r="H225" s="514"/>
      <c r="I225" s="524"/>
      <c r="J225" s="305">
        <f>'04-22-Master'!Q20</f>
        <v>30</v>
      </c>
      <c r="K225" s="524"/>
      <c r="L225" s="527"/>
    </row>
    <row r="226" spans="1:12" ht="30" customHeight="1">
      <c r="A226" s="390"/>
      <c r="B226" s="378" t="s">
        <v>135</v>
      </c>
      <c r="C226" s="302"/>
      <c r="D226" s="302"/>
      <c r="E226" s="302"/>
      <c r="F226" s="302"/>
      <c r="G226" s="376"/>
      <c r="H226" s="514"/>
      <c r="I226" s="524"/>
      <c r="J226" s="524" t="s">
        <v>37</v>
      </c>
      <c r="K226" s="524"/>
      <c r="L226" s="527"/>
    </row>
    <row r="227" spans="1:12" ht="30" customHeight="1">
      <c r="A227" s="390"/>
      <c r="B227" s="378" t="s">
        <v>136</v>
      </c>
      <c r="C227" s="302"/>
      <c r="D227" s="302"/>
      <c r="E227" s="302"/>
      <c r="F227" s="302"/>
      <c r="G227" s="376"/>
      <c r="H227" s="514"/>
      <c r="I227" s="524"/>
      <c r="J227" s="305">
        <v>0</v>
      </c>
      <c r="K227" s="524"/>
      <c r="L227" s="527"/>
    </row>
    <row r="228" spans="1:12" ht="30" customHeight="1">
      <c r="A228" s="390"/>
      <c r="B228" s="378" t="s">
        <v>137</v>
      </c>
      <c r="C228" s="302"/>
      <c r="D228" s="302"/>
      <c r="E228" s="302"/>
      <c r="F228" s="302"/>
      <c r="G228" s="376"/>
      <c r="H228" s="514"/>
      <c r="I228" s="524"/>
      <c r="J228" s="524">
        <v>0</v>
      </c>
      <c r="K228" s="524"/>
      <c r="L228" s="527"/>
    </row>
    <row r="229" spans="1:12" ht="30" customHeight="1">
      <c r="A229" s="390"/>
      <c r="B229" s="378" t="s">
        <v>138</v>
      </c>
      <c r="C229" s="302"/>
      <c r="D229" s="302"/>
      <c r="E229" s="302"/>
      <c r="F229" s="302"/>
      <c r="G229" s="376"/>
      <c r="H229" s="514"/>
      <c r="I229" s="524"/>
      <c r="J229" s="305">
        <f>'04-22-Master'!AG20</f>
        <v>73275.862639999992</v>
      </c>
      <c r="K229" s="524"/>
      <c r="L229" s="527" t="s">
        <v>35</v>
      </c>
    </row>
    <row r="230" spans="1:12" ht="30" customHeight="1">
      <c r="A230" s="390"/>
      <c r="B230" s="378" t="s">
        <v>139</v>
      </c>
      <c r="C230" s="302"/>
      <c r="D230" s="523" t="s">
        <v>32</v>
      </c>
      <c r="E230" s="525">
        <v>1800</v>
      </c>
      <c r="F230" s="523" t="s">
        <v>31</v>
      </c>
      <c r="G230" s="525">
        <f>'04-22-Master'!AH865</f>
        <v>0</v>
      </c>
      <c r="H230" s="523" t="s">
        <v>33</v>
      </c>
      <c r="I230" s="525">
        <v>200</v>
      </c>
      <c r="J230" s="523" t="s">
        <v>34</v>
      </c>
      <c r="K230" s="525">
        <f>'04-22-Master'!AK20</f>
        <v>0</v>
      </c>
      <c r="L230" s="111">
        <f>'04-22-Master'!AL20</f>
        <v>336</v>
      </c>
    </row>
    <row r="231" spans="1:12" ht="30" customHeight="1">
      <c r="A231" s="390"/>
      <c r="B231" s="378" t="s">
        <v>140</v>
      </c>
      <c r="C231" s="302"/>
      <c r="D231" s="302"/>
      <c r="E231" s="302"/>
      <c r="F231" s="302"/>
      <c r="G231" s="376"/>
      <c r="H231" s="514"/>
      <c r="I231" s="524"/>
      <c r="J231" s="305">
        <f>J229-(E230+G230+I230+K230+L230)</f>
        <v>70939.862639999992</v>
      </c>
      <c r="K231" s="524"/>
      <c r="L231" s="527"/>
    </row>
    <row r="232" spans="1:12" ht="23.25" customHeight="1">
      <c r="A232" s="390"/>
      <c r="B232" s="379" t="s">
        <v>141</v>
      </c>
      <c r="C232" s="102"/>
      <c r="D232" s="102"/>
      <c r="E232" s="102"/>
      <c r="F232" s="102"/>
      <c r="G232" s="103"/>
      <c r="H232" s="104"/>
      <c r="I232" s="105"/>
      <c r="J232" s="105"/>
      <c r="K232" s="105"/>
      <c r="L232" s="106"/>
    </row>
    <row r="233" spans="1:12" ht="23.25" customHeight="1">
      <c r="A233" s="390"/>
      <c r="B233" s="380" t="s">
        <v>142</v>
      </c>
      <c r="C233" s="107"/>
      <c r="D233" s="107"/>
      <c r="E233" s="107"/>
      <c r="F233" s="107"/>
      <c r="G233" s="108"/>
      <c r="H233" s="73"/>
      <c r="I233" s="19"/>
      <c r="J233" s="19"/>
      <c r="K233" s="19"/>
      <c r="L233" s="109"/>
    </row>
    <row r="234" spans="1:12">
      <c r="A234" s="390"/>
      <c r="B234" s="15"/>
      <c r="C234" s="300"/>
      <c r="D234" s="300"/>
      <c r="E234" s="300"/>
      <c r="F234" s="300"/>
      <c r="G234" s="300"/>
      <c r="H234" s="300"/>
      <c r="I234" s="300"/>
      <c r="J234" s="300"/>
      <c r="K234" s="300"/>
      <c r="L234" s="16"/>
    </row>
    <row r="235" spans="1:12" ht="15.75" thickBot="1">
      <c r="A235" s="390"/>
      <c r="B235" s="27"/>
      <c r="C235" s="25"/>
      <c r="D235" s="25"/>
      <c r="E235" s="25"/>
      <c r="F235" s="25"/>
      <c r="G235" s="25"/>
      <c r="H235" s="25"/>
      <c r="I235" s="25"/>
      <c r="J235" s="25"/>
      <c r="K235" s="25"/>
      <c r="L235" s="26"/>
    </row>
    <row r="236" spans="1:12">
      <c r="A236" s="390"/>
      <c r="B236" s="390"/>
      <c r="C236" s="390"/>
      <c r="D236" s="390"/>
      <c r="E236" s="390"/>
      <c r="F236" s="390"/>
      <c r="G236" s="390"/>
      <c r="H236" s="390"/>
      <c r="I236" s="390"/>
      <c r="J236" s="390"/>
      <c r="K236" s="390"/>
      <c r="L236" s="390"/>
    </row>
    <row r="237" spans="1:12">
      <c r="A237" s="390"/>
      <c r="B237" s="390"/>
      <c r="C237" s="390"/>
      <c r="D237" s="390"/>
      <c r="E237" s="390"/>
      <c r="F237" s="390"/>
      <c r="G237" s="390"/>
      <c r="H237" s="390"/>
      <c r="I237" s="390"/>
      <c r="J237" s="390"/>
      <c r="K237" s="390"/>
      <c r="L237" s="390"/>
    </row>
    <row r="238" spans="1:12">
      <c r="A238" s="390"/>
      <c r="B238" s="390"/>
      <c r="C238" s="390"/>
      <c r="D238" s="390"/>
      <c r="E238" s="390"/>
      <c r="F238" s="390"/>
      <c r="G238" s="390"/>
      <c r="H238" s="390"/>
      <c r="I238" s="390"/>
      <c r="J238" s="390"/>
      <c r="K238" s="390"/>
      <c r="L238" s="390"/>
    </row>
    <row r="239" spans="1:12">
      <c r="A239" s="390"/>
      <c r="B239" s="390"/>
      <c r="C239" s="390"/>
      <c r="D239" s="390"/>
      <c r="E239" s="390"/>
      <c r="F239" s="390"/>
      <c r="G239" s="390"/>
      <c r="H239" s="390"/>
      <c r="I239" s="390"/>
      <c r="J239" s="390"/>
      <c r="K239" s="390"/>
      <c r="L239" s="390"/>
    </row>
    <row r="240" spans="1:12">
      <c r="A240" s="390"/>
      <c r="B240" s="390"/>
      <c r="C240" s="390"/>
      <c r="D240" s="390"/>
      <c r="E240" s="390"/>
      <c r="F240" s="390"/>
      <c r="G240" s="390"/>
      <c r="H240" s="390"/>
      <c r="I240" s="390"/>
      <c r="J240" s="390"/>
      <c r="K240" s="390"/>
      <c r="L240" s="390"/>
    </row>
    <row r="241" spans="1:12">
      <c r="A241" s="390"/>
      <c r="B241" s="390"/>
      <c r="C241" s="390"/>
      <c r="D241" s="390"/>
      <c r="E241" s="390"/>
      <c r="F241" s="390"/>
      <c r="G241" s="390"/>
      <c r="H241" s="390"/>
      <c r="I241" s="390"/>
      <c r="J241" s="390"/>
      <c r="K241" s="390"/>
      <c r="L241" s="390"/>
    </row>
    <row r="243" spans="1:12" ht="15.75" thickBot="1"/>
    <row r="244" spans="1:12" ht="32.25">
      <c r="A244" s="390"/>
      <c r="B244" s="1256" t="s">
        <v>117</v>
      </c>
      <c r="C244" s="1257"/>
      <c r="D244" s="1257"/>
      <c r="E244" s="1257"/>
      <c r="F244" s="1257"/>
      <c r="G244" s="1257"/>
      <c r="H244" s="1257"/>
      <c r="I244" s="1257"/>
      <c r="J244" s="1257"/>
      <c r="K244" s="1257"/>
      <c r="L244" s="1258"/>
    </row>
    <row r="245" spans="1:12" ht="23.25">
      <c r="A245" s="390"/>
      <c r="B245" s="1237" t="s">
        <v>118</v>
      </c>
      <c r="C245" s="1238"/>
      <c r="D245" s="1238"/>
      <c r="E245" s="1238"/>
      <c r="F245" s="1238"/>
      <c r="G245" s="1238"/>
      <c r="H245" s="1238"/>
      <c r="I245" s="1238"/>
      <c r="J245" s="1238"/>
      <c r="K245" s="1238"/>
      <c r="L245" s="1239"/>
    </row>
    <row r="246" spans="1:12" ht="16.5" thickBot="1">
      <c r="A246" s="390"/>
      <c r="B246" s="1240" t="s">
        <v>119</v>
      </c>
      <c r="C246" s="1241"/>
      <c r="D246" s="1241"/>
      <c r="E246" s="1241"/>
      <c r="F246" s="1241"/>
      <c r="G246" s="1241"/>
      <c r="H246" s="1241"/>
      <c r="I246" s="1241"/>
      <c r="J246" s="1241"/>
      <c r="K246" s="1241"/>
      <c r="L246" s="1242"/>
    </row>
    <row r="247" spans="1:12">
      <c r="A247" s="390"/>
      <c r="B247" s="1243" t="s">
        <v>120</v>
      </c>
      <c r="C247" s="1244"/>
      <c r="D247" s="1244"/>
      <c r="E247" s="1244"/>
      <c r="F247" s="1244"/>
      <c r="G247" s="300"/>
      <c r="H247" s="1247" t="s">
        <v>121</v>
      </c>
      <c r="I247" s="1247"/>
      <c r="J247" s="1247"/>
      <c r="K247" s="1247"/>
      <c r="L247" s="1248"/>
    </row>
    <row r="248" spans="1:12" ht="15.75" thickBot="1">
      <c r="A248" s="390"/>
      <c r="B248" s="1245"/>
      <c r="C248" s="1246"/>
      <c r="D248" s="1246"/>
      <c r="E248" s="1246"/>
      <c r="F248" s="1246"/>
      <c r="G248" s="300"/>
      <c r="H248" s="1249"/>
      <c r="I248" s="1249"/>
      <c r="J248" s="1249"/>
      <c r="K248" s="1249"/>
      <c r="L248" s="1250"/>
    </row>
    <row r="249" spans="1:12">
      <c r="A249" s="390"/>
      <c r="B249" s="79"/>
      <c r="C249" s="80"/>
      <c r="D249" s="80"/>
      <c r="E249" s="80"/>
      <c r="F249" s="81"/>
      <c r="G249" s="300"/>
      <c r="H249" s="79"/>
      <c r="I249" s="80"/>
      <c r="J249" s="80"/>
      <c r="K249" s="80"/>
      <c r="L249" s="81"/>
    </row>
    <row r="250" spans="1:12">
      <c r="A250" s="390"/>
      <c r="B250" s="82" t="s">
        <v>425</v>
      </c>
      <c r="C250" s="300"/>
      <c r="D250" s="300"/>
      <c r="E250" s="300"/>
      <c r="F250" s="16"/>
      <c r="G250" s="300"/>
      <c r="H250" s="82" t="s">
        <v>425</v>
      </c>
      <c r="I250" s="300"/>
      <c r="J250" s="300"/>
      <c r="K250" s="300"/>
      <c r="L250" s="16"/>
    </row>
    <row r="251" spans="1:12">
      <c r="A251" s="390"/>
      <c r="B251" s="15"/>
      <c r="C251" s="300"/>
      <c r="D251" s="300"/>
      <c r="E251" s="300"/>
      <c r="F251" s="16"/>
      <c r="G251" s="300"/>
      <c r="H251" s="15"/>
      <c r="I251" s="300"/>
      <c r="J251" s="300"/>
      <c r="K251" s="300"/>
      <c r="L251" s="16"/>
    </row>
    <row r="252" spans="1:12">
      <c r="A252" s="390"/>
      <c r="B252" s="82" t="s">
        <v>426</v>
      </c>
      <c r="C252" s="300"/>
      <c r="D252" s="300"/>
      <c r="E252" s="300"/>
      <c r="F252" s="16"/>
      <c r="G252" s="300"/>
      <c r="H252" s="82" t="s">
        <v>426</v>
      </c>
      <c r="I252" s="300"/>
      <c r="J252" s="300"/>
      <c r="K252" s="300"/>
      <c r="L252" s="16"/>
    </row>
    <row r="253" spans="1:12" ht="15.75" thickBot="1">
      <c r="A253" s="390"/>
      <c r="B253" s="27"/>
      <c r="C253" s="25"/>
      <c r="D253" s="25"/>
      <c r="E253" s="25"/>
      <c r="F253" s="26"/>
      <c r="G253" s="300"/>
      <c r="H253" s="27"/>
      <c r="I253" s="25"/>
      <c r="J253" s="25"/>
      <c r="K253" s="25"/>
      <c r="L253" s="26"/>
    </row>
    <row r="254" spans="1:12" ht="23.25" customHeight="1">
      <c r="A254" s="390"/>
      <c r="B254" s="15"/>
      <c r="C254" s="300"/>
      <c r="D254" s="300"/>
      <c r="E254" s="300"/>
      <c r="F254" s="300"/>
      <c r="G254" s="300"/>
      <c r="H254" s="300"/>
      <c r="I254" s="300"/>
      <c r="J254" s="300" t="s">
        <v>122</v>
      </c>
      <c r="K254" s="300"/>
      <c r="L254" s="16"/>
    </row>
    <row r="255" spans="1:12" ht="23.25" customHeight="1">
      <c r="A255" s="390"/>
      <c r="B255" s="1212" t="s">
        <v>123</v>
      </c>
      <c r="C255" s="1213"/>
      <c r="D255" s="1213"/>
      <c r="E255" s="1213"/>
      <c r="F255" s="1213"/>
      <c r="G255" s="300"/>
      <c r="H255" s="1213" t="s">
        <v>4</v>
      </c>
      <c r="I255" s="1213"/>
      <c r="J255" s="1213"/>
      <c r="K255" s="1213"/>
      <c r="L255" s="1251"/>
    </row>
    <row r="256" spans="1:12" ht="23.25" customHeight="1" thickBot="1">
      <c r="A256" s="390"/>
      <c r="B256" s="15"/>
      <c r="C256" s="300"/>
      <c r="D256" s="300"/>
      <c r="E256" s="300"/>
      <c r="F256" s="300"/>
      <c r="G256" s="300"/>
      <c r="H256" s="300"/>
      <c r="I256" s="300"/>
      <c r="J256" s="300"/>
      <c r="K256" s="300"/>
      <c r="L256" s="16"/>
    </row>
    <row r="257" spans="1:12" ht="23.25" customHeight="1">
      <c r="A257" s="390"/>
      <c r="B257" s="79"/>
      <c r="C257" s="80"/>
      <c r="D257" s="80"/>
      <c r="E257" s="80"/>
      <c r="F257" s="81"/>
      <c r="G257" s="300"/>
      <c r="H257" s="83"/>
      <c r="I257" s="84"/>
      <c r="J257" s="84"/>
      <c r="K257" s="84"/>
      <c r="L257" s="85"/>
    </row>
    <row r="258" spans="1:12" ht="23.25" customHeight="1">
      <c r="A258" s="390"/>
      <c r="B258" s="15"/>
      <c r="C258" s="300"/>
      <c r="D258" s="300"/>
      <c r="E258" s="300"/>
      <c r="F258" s="16"/>
      <c r="G258" s="300"/>
      <c r="H258" s="82" t="s">
        <v>821</v>
      </c>
      <c r="I258" s="301"/>
      <c r="J258" s="301"/>
      <c r="K258" s="301"/>
      <c r="L258" s="86"/>
    </row>
    <row r="259" spans="1:12" ht="23.25" customHeight="1">
      <c r="A259" s="390"/>
      <c r="B259" s="82" t="s">
        <v>819</v>
      </c>
      <c r="C259" s="300"/>
      <c r="D259" s="300"/>
      <c r="E259" s="300"/>
      <c r="F259" s="16"/>
      <c r="G259" s="300"/>
      <c r="H259" s="82"/>
      <c r="I259" s="301"/>
      <c r="J259" s="301"/>
      <c r="K259" s="301"/>
      <c r="L259" s="86"/>
    </row>
    <row r="260" spans="1:12" ht="23.25" customHeight="1">
      <c r="A260" s="390"/>
      <c r="B260" s="15"/>
      <c r="C260" s="300"/>
      <c r="D260" s="300"/>
      <c r="E260" s="300"/>
      <c r="F260" s="16"/>
      <c r="G260" s="300"/>
      <c r="H260" s="82" t="s">
        <v>427</v>
      </c>
      <c r="I260" s="301"/>
      <c r="J260" s="301"/>
      <c r="K260" s="301"/>
      <c r="L260" s="86"/>
    </row>
    <row r="261" spans="1:12" ht="23.25" customHeight="1" thickBot="1">
      <c r="A261" s="390"/>
      <c r="B261" s="27"/>
      <c r="C261" s="25"/>
      <c r="D261" s="25"/>
      <c r="E261" s="25"/>
      <c r="F261" s="26"/>
      <c r="G261" s="300"/>
      <c r="H261" s="82"/>
      <c r="I261" s="301"/>
      <c r="J261" s="301"/>
      <c r="K261" s="301"/>
      <c r="L261" s="86"/>
    </row>
    <row r="262" spans="1:12" ht="30" customHeight="1">
      <c r="A262" s="390"/>
      <c r="B262" s="1221" t="s">
        <v>124</v>
      </c>
      <c r="C262" s="1222"/>
      <c r="D262" s="1222"/>
      <c r="E262" s="1222"/>
      <c r="F262" s="1222"/>
      <c r="G262" s="1252"/>
      <c r="H262" s="1230" t="str">
        <f>'04-22-Master'!B21</f>
        <v>Gangadhar Yarabham</v>
      </c>
      <c r="I262" s="1223"/>
      <c r="J262" s="1223"/>
      <c r="K262" s="1223"/>
      <c r="L262" s="1223"/>
    </row>
    <row r="263" spans="1:12" ht="30" customHeight="1">
      <c r="A263" s="390"/>
      <c r="B263" s="1253"/>
      <c r="C263" s="1254"/>
      <c r="D263" s="1254"/>
      <c r="E263" s="1254"/>
      <c r="F263" s="1254"/>
      <c r="G263" s="1254"/>
      <c r="H263" s="1255" t="str">
        <f>'04-22-Master'!G21</f>
        <v>Flat.No:P1, MVGK Vaishnavy Residency, Kondapur-500084</v>
      </c>
      <c r="I263" s="1255"/>
      <c r="J263" s="1255"/>
      <c r="K263" s="1255"/>
      <c r="L263" s="1255"/>
    </row>
    <row r="264" spans="1:12" ht="30" customHeight="1">
      <c r="A264" s="390"/>
      <c r="B264" s="1225" t="s">
        <v>125</v>
      </c>
      <c r="C264" s="1226"/>
      <c r="D264" s="1226"/>
      <c r="E264" s="1226"/>
      <c r="F264" s="1226"/>
      <c r="G264" s="1226"/>
      <c r="H264" s="1227">
        <f>'04-22-Master'!AT21</f>
        <v>83</v>
      </c>
      <c r="I264" s="1228"/>
      <c r="J264" s="1228"/>
      <c r="K264" s="1228"/>
      <c r="L264" s="1229"/>
    </row>
    <row r="265" spans="1:12" ht="30" customHeight="1">
      <c r="A265" s="390"/>
      <c r="B265" s="1221" t="s">
        <v>126</v>
      </c>
      <c r="C265" s="1222"/>
      <c r="D265" s="1222"/>
      <c r="E265" s="1222"/>
      <c r="F265" s="1222"/>
      <c r="G265" s="1222"/>
      <c r="H265" s="1230" t="str">
        <f>'04-22-Master'!F21</f>
        <v>Senior Specialist</v>
      </c>
      <c r="I265" s="1223"/>
      <c r="J265" s="1223"/>
      <c r="K265" s="1223"/>
      <c r="L265" s="1224"/>
    </row>
    <row r="266" spans="1:12" ht="30" customHeight="1">
      <c r="A266" s="390"/>
      <c r="B266" s="1221" t="s">
        <v>127</v>
      </c>
      <c r="C266" s="1222"/>
      <c r="D266" s="1222"/>
      <c r="E266" s="1222"/>
      <c r="F266" s="1222"/>
      <c r="G266" s="1222"/>
      <c r="H266" s="1231">
        <f>'04-22-Master'!I21</f>
        <v>44431</v>
      </c>
      <c r="I266" s="1231"/>
      <c r="J266" s="1231"/>
      <c r="K266" s="1231"/>
      <c r="L266" s="1232"/>
    </row>
    <row r="267" spans="1:12" ht="30" customHeight="1">
      <c r="A267" s="390"/>
      <c r="B267" s="378" t="s">
        <v>128</v>
      </c>
      <c r="C267" s="302"/>
      <c r="D267" s="302"/>
      <c r="E267" s="302"/>
      <c r="F267" s="302"/>
      <c r="G267" s="302"/>
      <c r="H267" s="514"/>
      <c r="I267" s="304"/>
      <c r="J267" s="298" t="str">
        <f>'04-22-Master'!O21</f>
        <v>N/A</v>
      </c>
      <c r="K267" s="524"/>
      <c r="L267" s="527"/>
    </row>
    <row r="268" spans="1:12" ht="30" customHeight="1">
      <c r="A268" s="390"/>
      <c r="B268" s="378" t="s">
        <v>129</v>
      </c>
      <c r="C268" s="302"/>
      <c r="D268" s="302"/>
      <c r="E268" s="302"/>
      <c r="F268" s="302"/>
      <c r="G268" s="376"/>
      <c r="H268" s="96"/>
      <c r="I268" s="97"/>
      <c r="J268" s="298" t="str">
        <f>'04-22-Master'!N21</f>
        <v>101348551716</v>
      </c>
      <c r="K268" s="97"/>
      <c r="L268" s="98"/>
    </row>
    <row r="269" spans="1:12" ht="30" customHeight="1">
      <c r="A269" s="390"/>
      <c r="B269" s="1233" t="s">
        <v>130</v>
      </c>
      <c r="C269" s="1234"/>
      <c r="D269" s="1234"/>
      <c r="E269" s="1234"/>
      <c r="F269" s="1234"/>
      <c r="G269" s="1234"/>
      <c r="H269" s="1227">
        <f>'04-22-Master'!S21</f>
        <v>84912</v>
      </c>
      <c r="I269" s="1227"/>
      <c r="J269" s="1227"/>
      <c r="K269" s="1227"/>
      <c r="L269" s="1235"/>
    </row>
    <row r="270" spans="1:12" ht="30" customHeight="1">
      <c r="A270" s="390"/>
      <c r="B270" s="1221" t="s">
        <v>131</v>
      </c>
      <c r="C270" s="1222"/>
      <c r="D270" s="1222"/>
      <c r="E270" s="1222"/>
      <c r="F270" s="1222"/>
      <c r="G270" s="1222"/>
      <c r="H270" s="1236">
        <f>'04-22-Master'!D10</f>
        <v>44652</v>
      </c>
      <c r="I270" s="1223"/>
      <c r="J270" s="1223"/>
      <c r="K270" s="1223"/>
      <c r="L270" s="1224"/>
    </row>
    <row r="271" spans="1:12" ht="30" customHeight="1">
      <c r="A271" s="390"/>
      <c r="B271" s="1221" t="s">
        <v>132</v>
      </c>
      <c r="C271" s="1222"/>
      <c r="D271" s="1222"/>
      <c r="E271" s="1222"/>
      <c r="F271" s="1222"/>
      <c r="G271" s="1222"/>
      <c r="H271" s="1223" t="s">
        <v>133</v>
      </c>
      <c r="I271" s="1223"/>
      <c r="J271" s="1223"/>
      <c r="K271" s="1223"/>
      <c r="L271" s="1224"/>
    </row>
    <row r="272" spans="1:12" ht="30" customHeight="1">
      <c r="A272" s="390"/>
      <c r="B272" s="378" t="s">
        <v>134</v>
      </c>
      <c r="C272" s="302"/>
      <c r="D272" s="302"/>
      <c r="E272" s="302"/>
      <c r="F272" s="302"/>
      <c r="G272" s="376"/>
      <c r="H272" s="514"/>
      <c r="I272" s="524"/>
      <c r="J272" s="305">
        <f>'04-22-Master'!Q21</f>
        <v>30</v>
      </c>
      <c r="K272" s="524"/>
      <c r="L272" s="527"/>
    </row>
    <row r="273" spans="1:12" ht="30" customHeight="1">
      <c r="A273" s="390"/>
      <c r="B273" s="378" t="s">
        <v>135</v>
      </c>
      <c r="C273" s="302"/>
      <c r="D273" s="302"/>
      <c r="E273" s="302"/>
      <c r="F273" s="302"/>
      <c r="G273" s="376"/>
      <c r="H273" s="514"/>
      <c r="I273" s="524"/>
      <c r="J273" s="524" t="s">
        <v>37</v>
      </c>
      <c r="K273" s="524"/>
      <c r="L273" s="527"/>
    </row>
    <row r="274" spans="1:12" ht="30" customHeight="1">
      <c r="A274" s="390"/>
      <c r="B274" s="378" t="s">
        <v>136</v>
      </c>
      <c r="C274" s="302"/>
      <c r="D274" s="302"/>
      <c r="E274" s="302"/>
      <c r="F274" s="302"/>
      <c r="G274" s="376"/>
      <c r="H274" s="514"/>
      <c r="I274" s="524"/>
      <c r="J274" s="305">
        <v>0</v>
      </c>
      <c r="K274" s="524"/>
      <c r="L274" s="527"/>
    </row>
    <row r="275" spans="1:12" ht="30" customHeight="1">
      <c r="A275" s="390"/>
      <c r="B275" s="378" t="s">
        <v>137</v>
      </c>
      <c r="C275" s="302"/>
      <c r="D275" s="302"/>
      <c r="E275" s="302"/>
      <c r="F275" s="302"/>
      <c r="G275" s="376"/>
      <c r="H275" s="514"/>
      <c r="I275" s="524"/>
      <c r="J275" s="524">
        <v>0</v>
      </c>
      <c r="K275" s="524"/>
      <c r="L275" s="527"/>
    </row>
    <row r="276" spans="1:12" ht="30" customHeight="1">
      <c r="A276" s="390"/>
      <c r="B276" s="378" t="s">
        <v>138</v>
      </c>
      <c r="C276" s="302"/>
      <c r="D276" s="302"/>
      <c r="E276" s="302"/>
      <c r="F276" s="302"/>
      <c r="G276" s="376"/>
      <c r="H276" s="514"/>
      <c r="I276" s="524"/>
      <c r="J276" s="305">
        <f>'04-22-Master'!AG21</f>
        <v>93275.769320000007</v>
      </c>
      <c r="K276" s="524"/>
      <c r="L276" s="527" t="s">
        <v>35</v>
      </c>
    </row>
    <row r="277" spans="1:12" ht="30" customHeight="1">
      <c r="A277" s="390"/>
      <c r="B277" s="378" t="s">
        <v>139</v>
      </c>
      <c r="C277" s="302"/>
      <c r="D277" s="523" t="s">
        <v>32</v>
      </c>
      <c r="E277" s="525">
        <f>'04-22-Master'!AI21</f>
        <v>1800</v>
      </c>
      <c r="F277" s="523" t="s">
        <v>31</v>
      </c>
      <c r="G277" s="525">
        <f>'04-22-Master'!AH967</f>
        <v>0</v>
      </c>
      <c r="H277" s="523" t="s">
        <v>33</v>
      </c>
      <c r="I277" s="525">
        <f>'04-22-Master'!AJ21</f>
        <v>200</v>
      </c>
      <c r="J277" s="523" t="s">
        <v>34</v>
      </c>
      <c r="K277" s="525">
        <f>'04-22-Master'!AK21</f>
        <v>0</v>
      </c>
      <c r="L277" s="111">
        <f>'04-22-Master'!AL21</f>
        <v>377</v>
      </c>
    </row>
    <row r="278" spans="1:12" ht="30" customHeight="1">
      <c r="A278" s="390"/>
      <c r="B278" s="378" t="s">
        <v>140</v>
      </c>
      <c r="C278" s="302"/>
      <c r="D278" s="302"/>
      <c r="E278" s="302"/>
      <c r="F278" s="302"/>
      <c r="G278" s="376"/>
      <c r="H278" s="514"/>
      <c r="I278" s="524"/>
      <c r="J278" s="305">
        <f>J276-(E277+G277+I277+K277+L277)</f>
        <v>90898.769320000007</v>
      </c>
      <c r="K278" s="524"/>
      <c r="L278" s="527"/>
    </row>
    <row r="279" spans="1:12" ht="23.25" customHeight="1">
      <c r="A279" s="390"/>
      <c r="B279" s="379" t="s">
        <v>141</v>
      </c>
      <c r="C279" s="102"/>
      <c r="D279" s="102"/>
      <c r="E279" s="102"/>
      <c r="F279" s="102"/>
      <c r="G279" s="103"/>
      <c r="H279" s="104"/>
      <c r="I279" s="105"/>
      <c r="J279" s="105"/>
      <c r="K279" s="105"/>
      <c r="L279" s="106"/>
    </row>
    <row r="280" spans="1:12" ht="23.25" customHeight="1">
      <c r="A280" s="390"/>
      <c r="B280" s="380" t="s">
        <v>142</v>
      </c>
      <c r="C280" s="107"/>
      <c r="D280" s="107"/>
      <c r="E280" s="107"/>
      <c r="F280" s="107"/>
      <c r="G280" s="108"/>
      <c r="H280" s="73"/>
      <c r="I280" s="19"/>
      <c r="J280" s="19"/>
      <c r="K280" s="19"/>
      <c r="L280" s="109"/>
    </row>
    <row r="281" spans="1:12" ht="23.25" customHeight="1">
      <c r="A281" s="390"/>
      <c r="B281" s="15"/>
      <c r="C281" s="300"/>
      <c r="D281" s="300"/>
      <c r="E281" s="300"/>
      <c r="F281" s="300"/>
      <c r="G281" s="300"/>
      <c r="H281" s="300"/>
      <c r="I281" s="300"/>
      <c r="J281" s="300"/>
      <c r="K281" s="300"/>
      <c r="L281" s="16"/>
    </row>
    <row r="282" spans="1:12" ht="23.25" customHeight="1" thickBot="1">
      <c r="A282" s="390"/>
      <c r="B282" s="27"/>
      <c r="C282" s="25"/>
      <c r="D282" s="25"/>
      <c r="E282" s="25"/>
      <c r="F282" s="25"/>
      <c r="G282" s="25"/>
      <c r="H282" s="25"/>
      <c r="I282" s="25"/>
      <c r="J282" s="25"/>
      <c r="K282" s="25"/>
      <c r="L282" s="26"/>
    </row>
    <row r="283" spans="1:12">
      <c r="A283" s="390"/>
      <c r="B283" s="390"/>
      <c r="C283" s="390"/>
      <c r="D283" s="390"/>
      <c r="E283" s="390"/>
      <c r="F283" s="390"/>
      <c r="G283" s="390"/>
      <c r="H283" s="390"/>
      <c r="I283" s="390"/>
      <c r="J283" s="390"/>
      <c r="K283" s="390"/>
      <c r="L283" s="390"/>
    </row>
    <row r="284" spans="1:12">
      <c r="A284" s="390"/>
      <c r="B284" s="390"/>
      <c r="C284" s="390"/>
      <c r="D284" s="390"/>
      <c r="E284" s="390"/>
      <c r="F284" s="390"/>
      <c r="G284" s="390"/>
      <c r="H284" s="390"/>
      <c r="I284" s="390"/>
      <c r="J284" s="390"/>
      <c r="K284" s="390"/>
      <c r="L284" s="390"/>
    </row>
    <row r="285" spans="1:12">
      <c r="A285" s="390"/>
      <c r="B285" s="390"/>
      <c r="C285" s="390"/>
      <c r="D285" s="390"/>
      <c r="E285" s="390"/>
      <c r="F285" s="390"/>
      <c r="G285" s="390"/>
      <c r="H285" s="390"/>
      <c r="I285" s="390"/>
      <c r="J285" s="390"/>
      <c r="K285" s="390"/>
      <c r="L285" s="390"/>
    </row>
    <row r="286" spans="1:12">
      <c r="A286" s="390"/>
      <c r="B286" s="390"/>
      <c r="C286" s="390"/>
      <c r="D286" s="390"/>
      <c r="E286" s="390"/>
      <c r="F286" s="390"/>
      <c r="G286" s="390"/>
      <c r="H286" s="390"/>
      <c r="I286" s="390"/>
      <c r="J286" s="390"/>
      <c r="K286" s="390"/>
      <c r="L286" s="390"/>
    </row>
    <row r="287" spans="1:12">
      <c r="A287" s="390"/>
      <c r="B287" s="390"/>
      <c r="C287" s="390"/>
      <c r="D287" s="390"/>
      <c r="E287" s="390"/>
      <c r="F287" s="390"/>
      <c r="G287" s="390"/>
      <c r="H287" s="390"/>
      <c r="I287" s="390"/>
      <c r="J287" s="390"/>
      <c r="K287" s="390"/>
      <c r="L287" s="390"/>
    </row>
    <row r="288" spans="1:12">
      <c r="A288" s="390"/>
      <c r="B288" s="390"/>
      <c r="C288" s="390"/>
      <c r="D288" s="390"/>
      <c r="E288" s="390"/>
      <c r="F288" s="390"/>
      <c r="G288" s="390"/>
      <c r="H288" s="390"/>
      <c r="I288" s="390"/>
      <c r="J288" s="390"/>
      <c r="K288" s="390"/>
      <c r="L288" s="390"/>
    </row>
    <row r="290" spans="1:12" s="11" customFormat="1"/>
    <row r="291" spans="1:12" s="11" customFormat="1" ht="15.75" thickBot="1"/>
    <row r="292" spans="1:12" ht="32.25">
      <c r="A292" s="390"/>
      <c r="B292" s="1256" t="s">
        <v>117</v>
      </c>
      <c r="C292" s="1257"/>
      <c r="D292" s="1257"/>
      <c r="E292" s="1257"/>
      <c r="F292" s="1257"/>
      <c r="G292" s="1257"/>
      <c r="H292" s="1257"/>
      <c r="I292" s="1257"/>
      <c r="J292" s="1257"/>
      <c r="K292" s="1257"/>
      <c r="L292" s="1258"/>
    </row>
    <row r="293" spans="1:12" ht="23.25">
      <c r="A293" s="390"/>
      <c r="B293" s="1237" t="s">
        <v>118</v>
      </c>
      <c r="C293" s="1238"/>
      <c r="D293" s="1238"/>
      <c r="E293" s="1238"/>
      <c r="F293" s="1238"/>
      <c r="G293" s="1238"/>
      <c r="H293" s="1238"/>
      <c r="I293" s="1238"/>
      <c r="J293" s="1238"/>
      <c r="K293" s="1238"/>
      <c r="L293" s="1239"/>
    </row>
    <row r="294" spans="1:12" ht="16.5" thickBot="1">
      <c r="A294" s="390"/>
      <c r="B294" s="1240" t="s">
        <v>119</v>
      </c>
      <c r="C294" s="1241"/>
      <c r="D294" s="1241"/>
      <c r="E294" s="1241"/>
      <c r="F294" s="1241"/>
      <c r="G294" s="1241"/>
      <c r="H294" s="1241"/>
      <c r="I294" s="1241"/>
      <c r="J294" s="1241"/>
      <c r="K294" s="1241"/>
      <c r="L294" s="1242"/>
    </row>
    <row r="295" spans="1:12">
      <c r="A295" s="390"/>
      <c r="B295" s="1243" t="s">
        <v>120</v>
      </c>
      <c r="C295" s="1244"/>
      <c r="D295" s="1244"/>
      <c r="E295" s="1244"/>
      <c r="F295" s="1244"/>
      <c r="G295" s="300"/>
      <c r="H295" s="1247" t="s">
        <v>121</v>
      </c>
      <c r="I295" s="1247"/>
      <c r="J295" s="1247"/>
      <c r="K295" s="1247"/>
      <c r="L295" s="1248"/>
    </row>
    <row r="296" spans="1:12" ht="15.75" thickBot="1">
      <c r="A296" s="390"/>
      <c r="B296" s="1245"/>
      <c r="C296" s="1246"/>
      <c r="D296" s="1246"/>
      <c r="E296" s="1246"/>
      <c r="F296" s="1246"/>
      <c r="G296" s="300"/>
      <c r="H296" s="1249"/>
      <c r="I296" s="1249"/>
      <c r="J296" s="1249"/>
      <c r="K296" s="1249"/>
      <c r="L296" s="1250"/>
    </row>
    <row r="297" spans="1:12" ht="21.75" customHeight="1">
      <c r="A297" s="390"/>
      <c r="B297" s="79"/>
      <c r="C297" s="80"/>
      <c r="D297" s="80"/>
      <c r="E297" s="80"/>
      <c r="F297" s="81"/>
      <c r="G297" s="300"/>
      <c r="H297" s="79"/>
      <c r="I297" s="80"/>
      <c r="J297" s="80"/>
      <c r="K297" s="80"/>
      <c r="L297" s="81"/>
    </row>
    <row r="298" spans="1:12" ht="21.75" customHeight="1">
      <c r="A298" s="390"/>
      <c r="B298" s="82" t="s">
        <v>425</v>
      </c>
      <c r="C298" s="300"/>
      <c r="D298" s="300"/>
      <c r="E298" s="300"/>
      <c r="F298" s="16"/>
      <c r="G298" s="300"/>
      <c r="H298" s="82" t="s">
        <v>425</v>
      </c>
      <c r="I298" s="300"/>
      <c r="J298" s="300"/>
      <c r="K298" s="300"/>
      <c r="L298" s="16"/>
    </row>
    <row r="299" spans="1:12" ht="21.75" customHeight="1">
      <c r="A299" s="390"/>
      <c r="B299" s="15"/>
      <c r="C299" s="300"/>
      <c r="D299" s="300"/>
      <c r="E299" s="300"/>
      <c r="F299" s="16"/>
      <c r="G299" s="300"/>
      <c r="H299" s="15"/>
      <c r="I299" s="300"/>
      <c r="J299" s="300"/>
      <c r="K299" s="300"/>
      <c r="L299" s="16"/>
    </row>
    <row r="300" spans="1:12" ht="21.75" customHeight="1">
      <c r="A300" s="390"/>
      <c r="B300" s="82" t="s">
        <v>426</v>
      </c>
      <c r="C300" s="300"/>
      <c r="D300" s="300"/>
      <c r="E300" s="300"/>
      <c r="F300" s="16"/>
      <c r="G300" s="300"/>
      <c r="H300" s="82" t="s">
        <v>426</v>
      </c>
      <c r="I300" s="300"/>
      <c r="J300" s="300"/>
      <c r="K300" s="300"/>
      <c r="L300" s="16"/>
    </row>
    <row r="301" spans="1:12" ht="21.75" customHeight="1" thickBot="1">
      <c r="A301" s="390"/>
      <c r="B301" s="27"/>
      <c r="C301" s="25"/>
      <c r="D301" s="25"/>
      <c r="E301" s="25"/>
      <c r="F301" s="26"/>
      <c r="G301" s="300"/>
      <c r="H301" s="27"/>
      <c r="I301" s="25"/>
      <c r="J301" s="25"/>
      <c r="K301" s="25"/>
      <c r="L301" s="26"/>
    </row>
    <row r="302" spans="1:12" ht="21.75" customHeight="1">
      <c r="A302" s="390"/>
      <c r="B302" s="15"/>
      <c r="C302" s="300"/>
      <c r="D302" s="300"/>
      <c r="E302" s="300"/>
      <c r="F302" s="300"/>
      <c r="G302" s="300"/>
      <c r="H302" s="300"/>
      <c r="I302" s="300"/>
      <c r="J302" s="300" t="s">
        <v>122</v>
      </c>
      <c r="K302" s="300"/>
      <c r="L302" s="16"/>
    </row>
    <row r="303" spans="1:12" ht="21.75" customHeight="1">
      <c r="A303" s="390"/>
      <c r="B303" s="1212" t="s">
        <v>123</v>
      </c>
      <c r="C303" s="1213"/>
      <c r="D303" s="1213"/>
      <c r="E303" s="1213"/>
      <c r="F303" s="1213"/>
      <c r="G303" s="300"/>
      <c r="H303" s="1213" t="s">
        <v>4</v>
      </c>
      <c r="I303" s="1213"/>
      <c r="J303" s="1213"/>
      <c r="K303" s="1213"/>
      <c r="L303" s="1251"/>
    </row>
    <row r="304" spans="1:12" ht="21.75" customHeight="1" thickBot="1">
      <c r="A304" s="390"/>
      <c r="B304" s="15"/>
      <c r="C304" s="300"/>
      <c r="D304" s="300"/>
      <c r="E304" s="300"/>
      <c r="F304" s="300"/>
      <c r="G304" s="300"/>
      <c r="H304" s="300"/>
      <c r="I304" s="300"/>
      <c r="J304" s="300"/>
      <c r="K304" s="300"/>
      <c r="L304" s="16"/>
    </row>
    <row r="305" spans="1:12" ht="21.75" customHeight="1">
      <c r="A305" s="390"/>
      <c r="B305" s="79"/>
      <c r="C305" s="80"/>
      <c r="D305" s="80"/>
      <c r="E305" s="80"/>
      <c r="F305" s="81"/>
      <c r="G305" s="300"/>
      <c r="H305" s="83"/>
      <c r="I305" s="84"/>
      <c r="J305" s="84"/>
      <c r="K305" s="84"/>
      <c r="L305" s="85"/>
    </row>
    <row r="306" spans="1:12" ht="21.75" customHeight="1">
      <c r="A306" s="390"/>
      <c r="B306" s="15"/>
      <c r="C306" s="300"/>
      <c r="D306" s="300"/>
      <c r="E306" s="300"/>
      <c r="F306" s="16"/>
      <c r="G306" s="300"/>
      <c r="H306" s="82" t="s">
        <v>821</v>
      </c>
      <c r="I306" s="301"/>
      <c r="J306" s="301"/>
      <c r="K306" s="301"/>
      <c r="L306" s="86"/>
    </row>
    <row r="307" spans="1:12" ht="21.75" customHeight="1">
      <c r="A307" s="390"/>
      <c r="B307" s="82" t="s">
        <v>819</v>
      </c>
      <c r="C307" s="300"/>
      <c r="D307" s="300"/>
      <c r="E307" s="300"/>
      <c r="F307" s="16"/>
      <c r="G307" s="300"/>
      <c r="H307" s="82"/>
      <c r="I307" s="301"/>
      <c r="J307" s="301"/>
      <c r="K307" s="301"/>
      <c r="L307" s="86"/>
    </row>
    <row r="308" spans="1:12" ht="21.75" customHeight="1">
      <c r="A308" s="390"/>
      <c r="B308" s="15"/>
      <c r="C308" s="300"/>
      <c r="D308" s="300"/>
      <c r="E308" s="300"/>
      <c r="F308" s="16"/>
      <c r="G308" s="300"/>
      <c r="H308" s="82" t="s">
        <v>427</v>
      </c>
      <c r="I308" s="301"/>
      <c r="J308" s="301"/>
      <c r="K308" s="301"/>
      <c r="L308" s="86"/>
    </row>
    <row r="309" spans="1:12" ht="21.75" customHeight="1" thickBot="1">
      <c r="A309" s="390"/>
      <c r="B309" s="27"/>
      <c r="C309" s="25"/>
      <c r="D309" s="25"/>
      <c r="E309" s="25"/>
      <c r="F309" s="26"/>
      <c r="G309" s="300"/>
      <c r="H309" s="82"/>
      <c r="I309" s="301"/>
      <c r="J309" s="301"/>
      <c r="K309" s="301"/>
      <c r="L309" s="86"/>
    </row>
    <row r="310" spans="1:12" ht="30" customHeight="1">
      <c r="A310" s="390"/>
      <c r="B310" s="1221" t="s">
        <v>124</v>
      </c>
      <c r="C310" s="1222"/>
      <c r="D310" s="1222"/>
      <c r="E310" s="1222"/>
      <c r="F310" s="1222"/>
      <c r="G310" s="1252"/>
      <c r="H310" s="1230" t="str">
        <f>'04-22-Master'!B22</f>
        <v xml:space="preserve">Nikhila Kaveri </v>
      </c>
      <c r="I310" s="1223"/>
      <c r="J310" s="1223"/>
      <c r="K310" s="1223"/>
      <c r="L310" s="1223"/>
    </row>
    <row r="311" spans="1:12" ht="30" customHeight="1">
      <c r="A311" s="390"/>
      <c r="B311" s="1253"/>
      <c r="C311" s="1254"/>
      <c r="D311" s="1254"/>
      <c r="E311" s="1254"/>
      <c r="F311" s="1254"/>
      <c r="G311" s="1254"/>
      <c r="H311" s="1255" t="str">
        <f>'04-22-Master'!G22</f>
        <v>5-6-98/37, Sriharivasam, Behind Dal Factory, Lakshmipuram, Hindupur, AP 515201</v>
      </c>
      <c r="I311" s="1255"/>
      <c r="J311" s="1255"/>
      <c r="K311" s="1255"/>
      <c r="L311" s="1255"/>
    </row>
    <row r="312" spans="1:12" ht="30" customHeight="1">
      <c r="A312" s="390"/>
      <c r="B312" s="1225" t="s">
        <v>125</v>
      </c>
      <c r="C312" s="1226"/>
      <c r="D312" s="1226"/>
      <c r="E312" s="1226"/>
      <c r="F312" s="1226"/>
      <c r="G312" s="1226"/>
      <c r="H312" s="1227">
        <v>89</v>
      </c>
      <c r="I312" s="1228"/>
      <c r="J312" s="1228"/>
      <c r="K312" s="1228"/>
      <c r="L312" s="1229"/>
    </row>
    <row r="313" spans="1:12" ht="30" customHeight="1">
      <c r="A313" s="390"/>
      <c r="B313" s="1221" t="s">
        <v>126</v>
      </c>
      <c r="C313" s="1222"/>
      <c r="D313" s="1222"/>
      <c r="E313" s="1222"/>
      <c r="F313" s="1222"/>
      <c r="G313" s="1222"/>
      <c r="H313" s="1230" t="str">
        <f>'04-22-Master'!F22</f>
        <v xml:space="preserve">TECHNICAL SOLUTION CONSULTANT </v>
      </c>
      <c r="I313" s="1223"/>
      <c r="J313" s="1223"/>
      <c r="K313" s="1223"/>
      <c r="L313" s="1224"/>
    </row>
    <row r="314" spans="1:12" ht="30" customHeight="1">
      <c r="A314" s="390"/>
      <c r="B314" s="1221" t="s">
        <v>127</v>
      </c>
      <c r="C314" s="1222"/>
      <c r="D314" s="1222"/>
      <c r="E314" s="1222"/>
      <c r="F314" s="1222"/>
      <c r="G314" s="1222"/>
      <c r="H314" s="1231">
        <f>'04-22-Master'!I22</f>
        <v>44529</v>
      </c>
      <c r="I314" s="1231"/>
      <c r="J314" s="1231"/>
      <c r="K314" s="1231"/>
      <c r="L314" s="1232"/>
    </row>
    <row r="315" spans="1:12" ht="30" customHeight="1">
      <c r="A315" s="390"/>
      <c r="B315" s="378" t="s">
        <v>128</v>
      </c>
      <c r="C315" s="302"/>
      <c r="D315" s="302"/>
      <c r="E315" s="302"/>
      <c r="F315" s="302"/>
      <c r="G315" s="302"/>
      <c r="H315" s="514"/>
      <c r="I315" s="304"/>
      <c r="J315" s="298">
        <f>'04-22-Master'!O323</f>
        <v>0</v>
      </c>
      <c r="K315" s="607"/>
      <c r="L315" s="608"/>
    </row>
    <row r="316" spans="1:12" ht="30" customHeight="1">
      <c r="A316" s="390"/>
      <c r="B316" s="378" t="s">
        <v>129</v>
      </c>
      <c r="C316" s="302"/>
      <c r="D316" s="302"/>
      <c r="E316" s="302"/>
      <c r="F316" s="302"/>
      <c r="G316" s="376"/>
      <c r="H316" s="96"/>
      <c r="I316" s="97"/>
      <c r="J316" s="298" t="str">
        <f>'04-22-Master'!N22</f>
        <v>100929123434</v>
      </c>
      <c r="K316" s="97"/>
      <c r="L316" s="98"/>
    </row>
    <row r="317" spans="1:12" ht="30" customHeight="1">
      <c r="A317" s="390"/>
      <c r="B317" s="1233" t="s">
        <v>130</v>
      </c>
      <c r="C317" s="1234"/>
      <c r="D317" s="1234"/>
      <c r="E317" s="1234"/>
      <c r="F317" s="1234"/>
      <c r="G317" s="1234"/>
      <c r="H317" s="1227">
        <f>'04-22-Master'!S22</f>
        <v>108085</v>
      </c>
      <c r="I317" s="1227"/>
      <c r="J317" s="1227"/>
      <c r="K317" s="1227"/>
      <c r="L317" s="1235"/>
    </row>
    <row r="318" spans="1:12" ht="30" customHeight="1">
      <c r="A318" s="390"/>
      <c r="B318" s="1221" t="s">
        <v>131</v>
      </c>
      <c r="C318" s="1222"/>
      <c r="D318" s="1222"/>
      <c r="E318" s="1222"/>
      <c r="F318" s="1222"/>
      <c r="G318" s="1222"/>
      <c r="H318" s="1236">
        <f>'04-22-Master'!D10</f>
        <v>44652</v>
      </c>
      <c r="I318" s="1223"/>
      <c r="J318" s="1223"/>
      <c r="K318" s="1223"/>
      <c r="L318" s="1224"/>
    </row>
    <row r="319" spans="1:12" ht="30" customHeight="1">
      <c r="A319" s="390"/>
      <c r="B319" s="1221" t="s">
        <v>132</v>
      </c>
      <c r="C319" s="1222"/>
      <c r="D319" s="1222"/>
      <c r="E319" s="1222"/>
      <c r="F319" s="1222"/>
      <c r="G319" s="1222"/>
      <c r="H319" s="1223" t="s">
        <v>133</v>
      </c>
      <c r="I319" s="1223"/>
      <c r="J319" s="1223"/>
      <c r="K319" s="1223"/>
      <c r="L319" s="1224"/>
    </row>
    <row r="320" spans="1:12" ht="30" customHeight="1">
      <c r="A320" s="390"/>
      <c r="B320" s="378" t="s">
        <v>134</v>
      </c>
      <c r="C320" s="302"/>
      <c r="D320" s="302"/>
      <c r="E320" s="302"/>
      <c r="F320" s="302"/>
      <c r="G320" s="376"/>
      <c r="H320" s="514"/>
      <c r="I320" s="607"/>
      <c r="J320" s="305">
        <f>'04-22-Master'!Q22</f>
        <v>30</v>
      </c>
      <c r="K320" s="607"/>
      <c r="L320" s="608"/>
    </row>
    <row r="321" spans="1:12" ht="30" customHeight="1">
      <c r="A321" s="390"/>
      <c r="B321" s="378" t="s">
        <v>135</v>
      </c>
      <c r="C321" s="302"/>
      <c r="D321" s="302"/>
      <c r="E321" s="302"/>
      <c r="F321" s="302"/>
      <c r="G321" s="376"/>
      <c r="H321" s="514"/>
      <c r="I321" s="607"/>
      <c r="J321" s="607" t="s">
        <v>37</v>
      </c>
      <c r="K321" s="607"/>
      <c r="L321" s="608"/>
    </row>
    <row r="322" spans="1:12" ht="30" customHeight="1">
      <c r="A322" s="390"/>
      <c r="B322" s="378" t="s">
        <v>136</v>
      </c>
      <c r="C322" s="302"/>
      <c r="D322" s="302"/>
      <c r="E322" s="302"/>
      <c r="F322" s="302"/>
      <c r="G322" s="376"/>
      <c r="H322" s="514"/>
      <c r="I322" s="607"/>
      <c r="J322" s="305">
        <v>0</v>
      </c>
      <c r="K322" s="607"/>
      <c r="L322" s="608"/>
    </row>
    <row r="323" spans="1:12" ht="30" customHeight="1">
      <c r="A323" s="390"/>
      <c r="B323" s="378" t="s">
        <v>137</v>
      </c>
      <c r="C323" s="302"/>
      <c r="D323" s="302"/>
      <c r="E323" s="302"/>
      <c r="F323" s="302"/>
      <c r="G323" s="376"/>
      <c r="H323" s="514"/>
      <c r="I323" s="607"/>
      <c r="J323" s="607">
        <v>0</v>
      </c>
      <c r="K323" s="607"/>
      <c r="L323" s="608"/>
    </row>
    <row r="324" spans="1:12" ht="30" customHeight="1">
      <c r="A324" s="390"/>
      <c r="B324" s="378" t="s">
        <v>138</v>
      </c>
      <c r="C324" s="302"/>
      <c r="D324" s="302"/>
      <c r="E324" s="302"/>
      <c r="F324" s="302"/>
      <c r="G324" s="376"/>
      <c r="H324" s="514"/>
      <c r="I324" s="607"/>
      <c r="J324" s="305">
        <f>'04-22-Master'!AG22</f>
        <v>118276.1921</v>
      </c>
      <c r="K324" s="607"/>
      <c r="L324" s="608" t="s">
        <v>35</v>
      </c>
    </row>
    <row r="325" spans="1:12" ht="30" customHeight="1">
      <c r="A325" s="390"/>
      <c r="B325" s="378" t="s">
        <v>139</v>
      </c>
      <c r="C325" s="302"/>
      <c r="D325" s="605" t="s">
        <v>32</v>
      </c>
      <c r="E325" s="606">
        <f>'04-22-Master'!AI22</f>
        <v>1800</v>
      </c>
      <c r="F325" s="605" t="s">
        <v>31</v>
      </c>
      <c r="G325" s="606">
        <f>'04-22-Master'!AH1284</f>
        <v>0</v>
      </c>
      <c r="H325" s="605" t="s">
        <v>33</v>
      </c>
      <c r="I325" s="606">
        <f>'04-22-Master'!AJ22</f>
        <v>200</v>
      </c>
      <c r="J325" s="605" t="s">
        <v>34</v>
      </c>
      <c r="K325" s="606">
        <f>'04-22-Master'!AK22</f>
        <v>0</v>
      </c>
      <c r="L325" s="111">
        <f>'04-22-Master'!AL22</f>
        <v>252</v>
      </c>
    </row>
    <row r="326" spans="1:12" ht="30" customHeight="1">
      <c r="A326" s="390"/>
      <c r="B326" s="378" t="s">
        <v>140</v>
      </c>
      <c r="C326" s="302"/>
      <c r="D326" s="302"/>
      <c r="E326" s="302"/>
      <c r="F326" s="302"/>
      <c r="G326" s="376"/>
      <c r="H326" s="514"/>
      <c r="I326" s="607"/>
      <c r="J326" s="305">
        <f>J324-(E325+G325+I325+K325+L325)</f>
        <v>116024.1921</v>
      </c>
      <c r="K326" s="607"/>
      <c r="L326" s="608"/>
    </row>
    <row r="327" spans="1:12" ht="21.75" customHeight="1">
      <c r="A327" s="390"/>
      <c r="B327" s="379" t="s">
        <v>141</v>
      </c>
      <c r="C327" s="102"/>
      <c r="D327" s="102"/>
      <c r="E327" s="102"/>
      <c r="F327" s="102"/>
      <c r="G327" s="103"/>
      <c r="H327" s="104"/>
      <c r="I327" s="105"/>
      <c r="J327" s="105"/>
      <c r="K327" s="105"/>
      <c r="L327" s="106"/>
    </row>
    <row r="328" spans="1:12" ht="21.75" customHeight="1">
      <c r="A328" s="390"/>
      <c r="B328" s="380" t="s">
        <v>142</v>
      </c>
      <c r="C328" s="107"/>
      <c r="D328" s="107"/>
      <c r="E328" s="107"/>
      <c r="F328" s="107"/>
      <c r="G328" s="108"/>
      <c r="H328" s="73"/>
      <c r="I328" s="19"/>
      <c r="J328" s="19"/>
      <c r="K328" s="19"/>
      <c r="L328" s="109"/>
    </row>
    <row r="329" spans="1:12" ht="21.75" customHeight="1">
      <c r="A329" s="390"/>
      <c r="B329" s="15"/>
      <c r="C329" s="300"/>
      <c r="D329" s="300"/>
      <c r="E329" s="300"/>
      <c r="F329" s="300"/>
      <c r="G329" s="300"/>
      <c r="H329" s="300"/>
      <c r="I329" s="300"/>
      <c r="J329" s="300"/>
      <c r="K329" s="300"/>
      <c r="L329" s="16"/>
    </row>
    <row r="330" spans="1:12" ht="21.75" customHeight="1" thickBot="1">
      <c r="A330" s="390"/>
      <c r="B330" s="27"/>
      <c r="C330" s="25"/>
      <c r="D330" s="25"/>
      <c r="E330" s="25"/>
      <c r="F330" s="25"/>
      <c r="G330" s="25"/>
      <c r="H330" s="25"/>
      <c r="I330" s="25"/>
      <c r="J330" s="25"/>
      <c r="K330" s="25"/>
      <c r="L330" s="26"/>
    </row>
    <row r="331" spans="1:12">
      <c r="A331" s="390"/>
      <c r="B331" s="390"/>
      <c r="C331" s="390"/>
      <c r="D331" s="390"/>
      <c r="E331" s="390"/>
      <c r="F331" s="390"/>
      <c r="G331" s="390"/>
      <c r="H331" s="390"/>
      <c r="I331" s="390"/>
      <c r="J331" s="390"/>
      <c r="K331" s="390"/>
      <c r="L331" s="390"/>
    </row>
    <row r="332" spans="1:12">
      <c r="A332" s="390"/>
      <c r="B332" s="390"/>
      <c r="C332" s="390"/>
      <c r="D332" s="390"/>
      <c r="E332" s="390"/>
      <c r="F332" s="390"/>
      <c r="G332" s="390"/>
      <c r="H332" s="390"/>
      <c r="I332" s="390"/>
      <c r="J332" s="390"/>
      <c r="K332" s="390"/>
      <c r="L332" s="390"/>
    </row>
    <row r="333" spans="1:12">
      <c r="A333" s="390"/>
      <c r="B333" s="390"/>
      <c r="C333" s="390"/>
      <c r="D333" s="390"/>
      <c r="E333" s="390"/>
      <c r="F333" s="390"/>
      <c r="G333" s="390"/>
      <c r="H333" s="390"/>
      <c r="I333" s="390"/>
      <c r="J333" s="390"/>
      <c r="K333" s="390"/>
      <c r="L333" s="390"/>
    </row>
    <row r="334" spans="1:12">
      <c r="A334" s="390"/>
      <c r="B334" s="390"/>
      <c r="C334" s="390"/>
      <c r="D334" s="390"/>
      <c r="E334" s="390"/>
      <c r="F334" s="390"/>
      <c r="G334" s="390"/>
      <c r="H334" s="390"/>
      <c r="I334" s="390"/>
      <c r="J334" s="390"/>
      <c r="K334" s="390"/>
      <c r="L334" s="390"/>
    </row>
    <row r="335" spans="1:12">
      <c r="A335" s="390"/>
      <c r="B335" s="390"/>
      <c r="C335" s="390"/>
      <c r="D335" s="390"/>
      <c r="E335" s="390"/>
      <c r="F335" s="390"/>
      <c r="G335" s="390"/>
      <c r="H335" s="390"/>
      <c r="I335" s="390"/>
      <c r="J335" s="390"/>
      <c r="K335" s="390"/>
      <c r="L335" s="390"/>
    </row>
    <row r="336" spans="1:12">
      <c r="A336" s="390"/>
      <c r="B336" s="390"/>
      <c r="C336" s="390"/>
      <c r="D336" s="390"/>
      <c r="E336" s="390"/>
      <c r="F336" s="390"/>
      <c r="G336" s="390"/>
      <c r="H336" s="390"/>
      <c r="I336" s="390"/>
      <c r="J336" s="390"/>
      <c r="K336" s="390"/>
      <c r="L336" s="390"/>
    </row>
    <row r="337" spans="1:12">
      <c r="A337" s="390"/>
      <c r="B337" s="390"/>
      <c r="C337" s="390"/>
      <c r="D337" s="390"/>
      <c r="E337" s="390"/>
      <c r="F337" s="390"/>
      <c r="G337" s="390"/>
      <c r="H337" s="390"/>
      <c r="I337" s="390"/>
      <c r="J337" s="390"/>
      <c r="K337" s="390"/>
      <c r="L337" s="390"/>
    </row>
    <row r="338" spans="1:12" ht="15.75" thickBot="1"/>
    <row r="339" spans="1:12" ht="32.25">
      <c r="A339" s="390"/>
      <c r="B339" s="1256" t="s">
        <v>117</v>
      </c>
      <c r="C339" s="1257"/>
      <c r="D339" s="1257"/>
      <c r="E339" s="1257"/>
      <c r="F339" s="1257"/>
      <c r="G339" s="1257"/>
      <c r="H339" s="1257"/>
      <c r="I339" s="1257"/>
      <c r="J339" s="1257"/>
      <c r="K339" s="1257"/>
      <c r="L339" s="1258"/>
    </row>
    <row r="340" spans="1:12" ht="23.25">
      <c r="A340" s="390"/>
      <c r="B340" s="1237" t="s">
        <v>118</v>
      </c>
      <c r="C340" s="1238"/>
      <c r="D340" s="1238"/>
      <c r="E340" s="1238"/>
      <c r="F340" s="1238"/>
      <c r="G340" s="1238"/>
      <c r="H340" s="1238"/>
      <c r="I340" s="1238"/>
      <c r="J340" s="1238"/>
      <c r="K340" s="1238"/>
      <c r="L340" s="1239"/>
    </row>
    <row r="341" spans="1:12" ht="16.5" thickBot="1">
      <c r="A341" s="390"/>
      <c r="B341" s="1240" t="s">
        <v>119</v>
      </c>
      <c r="C341" s="1241"/>
      <c r="D341" s="1241"/>
      <c r="E341" s="1241"/>
      <c r="F341" s="1241"/>
      <c r="G341" s="1241"/>
      <c r="H341" s="1241"/>
      <c r="I341" s="1241"/>
      <c r="J341" s="1241"/>
      <c r="K341" s="1241"/>
      <c r="L341" s="1242"/>
    </row>
    <row r="342" spans="1:12">
      <c r="A342" s="390"/>
      <c r="B342" s="1243" t="s">
        <v>120</v>
      </c>
      <c r="C342" s="1244"/>
      <c r="D342" s="1244"/>
      <c r="E342" s="1244"/>
      <c r="F342" s="1244"/>
      <c r="G342" s="300"/>
      <c r="H342" s="1247" t="s">
        <v>121</v>
      </c>
      <c r="I342" s="1247"/>
      <c r="J342" s="1247"/>
      <c r="K342" s="1247"/>
      <c r="L342" s="1248"/>
    </row>
    <row r="343" spans="1:12" ht="15.75" thickBot="1">
      <c r="A343" s="390"/>
      <c r="B343" s="1245"/>
      <c r="C343" s="1246"/>
      <c r="D343" s="1246"/>
      <c r="E343" s="1246"/>
      <c r="F343" s="1246"/>
      <c r="G343" s="300"/>
      <c r="H343" s="1249"/>
      <c r="I343" s="1249"/>
      <c r="J343" s="1249"/>
      <c r="K343" s="1249"/>
      <c r="L343" s="1250"/>
    </row>
    <row r="344" spans="1:12">
      <c r="A344" s="390"/>
      <c r="B344" s="79"/>
      <c r="C344" s="80"/>
      <c r="D344" s="80"/>
      <c r="E344" s="80"/>
      <c r="F344" s="81"/>
      <c r="G344" s="300"/>
      <c r="H344" s="79"/>
      <c r="I344" s="80"/>
      <c r="J344" s="80"/>
      <c r="K344" s="80"/>
      <c r="L344" s="81"/>
    </row>
    <row r="345" spans="1:12">
      <c r="A345" s="390"/>
      <c r="B345" s="82" t="s">
        <v>425</v>
      </c>
      <c r="C345" s="300"/>
      <c r="D345" s="300"/>
      <c r="E345" s="300"/>
      <c r="F345" s="16"/>
      <c r="G345" s="300"/>
      <c r="H345" s="82" t="s">
        <v>425</v>
      </c>
      <c r="I345" s="300"/>
      <c r="J345" s="300"/>
      <c r="K345" s="300"/>
      <c r="L345" s="16"/>
    </row>
    <row r="346" spans="1:12" ht="24" customHeight="1">
      <c r="A346" s="390"/>
      <c r="B346" s="15"/>
      <c r="C346" s="300"/>
      <c r="D346" s="300"/>
      <c r="E346" s="300"/>
      <c r="F346" s="16"/>
      <c r="G346" s="300"/>
      <c r="H346" s="15"/>
      <c r="I346" s="300"/>
      <c r="J346" s="300"/>
      <c r="K346" s="300"/>
      <c r="L346" s="16"/>
    </row>
    <row r="347" spans="1:12" ht="24" customHeight="1">
      <c r="A347" s="390"/>
      <c r="B347" s="82" t="s">
        <v>426</v>
      </c>
      <c r="C347" s="300"/>
      <c r="D347" s="300"/>
      <c r="E347" s="300"/>
      <c r="F347" s="16"/>
      <c r="G347" s="300"/>
      <c r="H347" s="82" t="s">
        <v>426</v>
      </c>
      <c r="I347" s="300"/>
      <c r="J347" s="300"/>
      <c r="K347" s="300"/>
      <c r="L347" s="16"/>
    </row>
    <row r="348" spans="1:12" ht="24" customHeight="1" thickBot="1">
      <c r="A348" s="390"/>
      <c r="B348" s="27"/>
      <c r="C348" s="25"/>
      <c r="D348" s="25"/>
      <c r="E348" s="25"/>
      <c r="F348" s="26"/>
      <c r="G348" s="300"/>
      <c r="H348" s="27"/>
      <c r="I348" s="25"/>
      <c r="J348" s="25"/>
      <c r="K348" s="25"/>
      <c r="L348" s="26"/>
    </row>
    <row r="349" spans="1:12" ht="24" customHeight="1">
      <c r="A349" s="390"/>
      <c r="B349" s="15"/>
      <c r="C349" s="300"/>
      <c r="D349" s="300"/>
      <c r="E349" s="300"/>
      <c r="F349" s="300"/>
      <c r="G349" s="300"/>
      <c r="H349" s="300"/>
      <c r="I349" s="300"/>
      <c r="J349" s="300" t="s">
        <v>122</v>
      </c>
      <c r="K349" s="300"/>
      <c r="L349" s="16"/>
    </row>
    <row r="350" spans="1:12" ht="24" customHeight="1">
      <c r="A350" s="390"/>
      <c r="B350" s="1212" t="s">
        <v>123</v>
      </c>
      <c r="C350" s="1213"/>
      <c r="D350" s="1213"/>
      <c r="E350" s="1213"/>
      <c r="F350" s="1213"/>
      <c r="G350" s="300"/>
      <c r="H350" s="1213" t="s">
        <v>4</v>
      </c>
      <c r="I350" s="1213"/>
      <c r="J350" s="1213"/>
      <c r="K350" s="1213"/>
      <c r="L350" s="1251"/>
    </row>
    <row r="351" spans="1:12" ht="24" customHeight="1" thickBot="1">
      <c r="A351" s="390"/>
      <c r="B351" s="15"/>
      <c r="C351" s="300"/>
      <c r="D351" s="300"/>
      <c r="E351" s="300"/>
      <c r="F351" s="300"/>
      <c r="G351" s="300"/>
      <c r="H351" s="300"/>
      <c r="I351" s="300"/>
      <c r="J351" s="300"/>
      <c r="K351" s="300"/>
      <c r="L351" s="16"/>
    </row>
    <row r="352" spans="1:12" ht="24" customHeight="1">
      <c r="A352" s="390"/>
      <c r="B352" s="79"/>
      <c r="C352" s="80"/>
      <c r="D352" s="80"/>
      <c r="E352" s="80"/>
      <c r="F352" s="81"/>
      <c r="G352" s="300"/>
      <c r="H352" s="83"/>
      <c r="I352" s="84"/>
      <c r="J352" s="84"/>
      <c r="K352" s="84"/>
      <c r="L352" s="85"/>
    </row>
    <row r="353" spans="1:12" ht="24" customHeight="1">
      <c r="A353" s="390"/>
      <c r="B353" s="15"/>
      <c r="C353" s="300"/>
      <c r="D353" s="300"/>
      <c r="E353" s="300"/>
      <c r="F353" s="16"/>
      <c r="G353" s="300"/>
      <c r="H353" s="82" t="s">
        <v>821</v>
      </c>
      <c r="I353" s="301"/>
      <c r="J353" s="301"/>
      <c r="K353" s="301"/>
      <c r="L353" s="86"/>
    </row>
    <row r="354" spans="1:12" ht="24" customHeight="1">
      <c r="A354" s="390"/>
      <c r="B354" s="82" t="s">
        <v>819</v>
      </c>
      <c r="C354" s="300"/>
      <c r="D354" s="300"/>
      <c r="E354" s="300"/>
      <c r="F354" s="16"/>
      <c r="G354" s="300"/>
      <c r="H354" s="82"/>
      <c r="I354" s="301"/>
      <c r="J354" s="301"/>
      <c r="K354" s="301"/>
      <c r="L354" s="86"/>
    </row>
    <row r="355" spans="1:12" ht="24" customHeight="1">
      <c r="A355" s="390"/>
      <c r="B355" s="15"/>
      <c r="C355" s="300"/>
      <c r="D355" s="300"/>
      <c r="E355" s="300"/>
      <c r="F355" s="16"/>
      <c r="G355" s="300"/>
      <c r="H355" s="82" t="s">
        <v>427</v>
      </c>
      <c r="I355" s="301"/>
      <c r="J355" s="301"/>
      <c r="K355" s="301"/>
      <c r="L355" s="86"/>
    </row>
    <row r="356" spans="1:12" ht="24" customHeight="1" thickBot="1">
      <c r="A356" s="390"/>
      <c r="B356" s="27"/>
      <c r="C356" s="25"/>
      <c r="D356" s="25"/>
      <c r="E356" s="25"/>
      <c r="F356" s="26"/>
      <c r="G356" s="300"/>
      <c r="H356" s="82"/>
      <c r="I356" s="301"/>
      <c r="J356" s="301"/>
      <c r="K356" s="301"/>
      <c r="L356" s="86"/>
    </row>
    <row r="357" spans="1:12" ht="24" customHeight="1">
      <c r="A357" s="390"/>
      <c r="B357" s="1221" t="s">
        <v>124</v>
      </c>
      <c r="C357" s="1222"/>
      <c r="D357" s="1222"/>
      <c r="E357" s="1222"/>
      <c r="F357" s="1222"/>
      <c r="G357" s="1252"/>
      <c r="H357" s="1230" t="str">
        <f>'04-22-Master'!B24</f>
        <v>Nagashree Narayan</v>
      </c>
      <c r="I357" s="1223"/>
      <c r="J357" s="1223"/>
      <c r="K357" s="1223"/>
      <c r="L357" s="1223"/>
    </row>
    <row r="358" spans="1:12" ht="82.5" customHeight="1">
      <c r="A358" s="390"/>
      <c r="B358" s="1253"/>
      <c r="C358" s="1254"/>
      <c r="D358" s="1254"/>
      <c r="E358" s="1254"/>
      <c r="F358" s="1254"/>
      <c r="G358" s="1254"/>
      <c r="H358" s="1255" t="str">
        <f>'04-22-Master'!G24</f>
        <v>Flat Number: 1302, 
Building: I-2 (Manchester), 
Puranik City, 
Ghodbunder Road, 
Thane West, 
Thane, Maharastra 
Pin Code: 400615</v>
      </c>
      <c r="I358" s="1255"/>
      <c r="J358" s="1255"/>
      <c r="K358" s="1255"/>
      <c r="L358" s="1255"/>
    </row>
    <row r="359" spans="1:12" ht="30" customHeight="1">
      <c r="A359" s="390"/>
      <c r="B359" s="1225" t="s">
        <v>125</v>
      </c>
      <c r="C359" s="1226"/>
      <c r="D359" s="1226"/>
      <c r="E359" s="1226"/>
      <c r="F359" s="1226"/>
      <c r="G359" s="1226"/>
      <c r="H359" s="1227">
        <v>91</v>
      </c>
      <c r="I359" s="1228"/>
      <c r="J359" s="1228"/>
      <c r="K359" s="1228"/>
      <c r="L359" s="1229"/>
    </row>
    <row r="360" spans="1:12" ht="30" customHeight="1">
      <c r="A360" s="390"/>
      <c r="B360" s="1221" t="s">
        <v>126</v>
      </c>
      <c r="C360" s="1222"/>
      <c r="D360" s="1222"/>
      <c r="E360" s="1222"/>
      <c r="F360" s="1222"/>
      <c r="G360" s="1222"/>
      <c r="H360" s="1230" t="str">
        <f>'04-22-Master'!F24</f>
        <v>Technical Lead</v>
      </c>
      <c r="I360" s="1223"/>
      <c r="J360" s="1223"/>
      <c r="K360" s="1223"/>
      <c r="L360" s="1224"/>
    </row>
    <row r="361" spans="1:12" ht="30" customHeight="1">
      <c r="A361" s="390"/>
      <c r="B361" s="1221" t="s">
        <v>127</v>
      </c>
      <c r="C361" s="1222"/>
      <c r="D361" s="1222"/>
      <c r="E361" s="1222"/>
      <c r="F361" s="1222"/>
      <c r="G361" s="1222"/>
      <c r="H361" s="1231">
        <f>'04-22-Master'!I24</f>
        <v>44571</v>
      </c>
      <c r="I361" s="1231"/>
      <c r="J361" s="1231"/>
      <c r="K361" s="1231"/>
      <c r="L361" s="1232"/>
    </row>
    <row r="362" spans="1:12" ht="30" customHeight="1">
      <c r="A362" s="390"/>
      <c r="B362" s="378" t="s">
        <v>128</v>
      </c>
      <c r="C362" s="302"/>
      <c r="D362" s="302"/>
      <c r="E362" s="302"/>
      <c r="F362" s="302"/>
      <c r="G362" s="302"/>
      <c r="H362" s="514"/>
      <c r="I362" s="304"/>
      <c r="J362" s="298">
        <f>'04-22-Master'!O375</f>
        <v>0</v>
      </c>
      <c r="K362" s="607"/>
      <c r="L362" s="608"/>
    </row>
    <row r="363" spans="1:12" ht="30" customHeight="1">
      <c r="A363" s="390"/>
      <c r="B363" s="378" t="s">
        <v>129</v>
      </c>
      <c r="C363" s="302"/>
      <c r="D363" s="302"/>
      <c r="E363" s="302"/>
      <c r="F363" s="302"/>
      <c r="G363" s="376"/>
      <c r="H363" s="96"/>
      <c r="I363" s="97"/>
      <c r="J363" s="298" t="str">
        <f>'04-22-Master'!N24</f>
        <v>101780502399</v>
      </c>
      <c r="K363" s="97"/>
      <c r="L363" s="98"/>
    </row>
    <row r="364" spans="1:12" ht="30" customHeight="1">
      <c r="A364" s="390"/>
      <c r="B364" s="1233" t="s">
        <v>130</v>
      </c>
      <c r="C364" s="1234"/>
      <c r="D364" s="1234"/>
      <c r="E364" s="1234"/>
      <c r="F364" s="1234"/>
      <c r="G364" s="1234"/>
      <c r="H364" s="1227">
        <f>'04-22-Master'!S24</f>
        <v>98816</v>
      </c>
      <c r="I364" s="1227"/>
      <c r="J364" s="1227"/>
      <c r="K364" s="1227"/>
      <c r="L364" s="1235"/>
    </row>
    <row r="365" spans="1:12" ht="30" customHeight="1">
      <c r="A365" s="390"/>
      <c r="B365" s="1221" t="s">
        <v>131</v>
      </c>
      <c r="C365" s="1222"/>
      <c r="D365" s="1222"/>
      <c r="E365" s="1222"/>
      <c r="F365" s="1222"/>
      <c r="G365" s="1222"/>
      <c r="H365" s="1236">
        <f>'04-22-Master'!D10</f>
        <v>44652</v>
      </c>
      <c r="I365" s="1223"/>
      <c r="J365" s="1223"/>
      <c r="K365" s="1223"/>
      <c r="L365" s="1224"/>
    </row>
    <row r="366" spans="1:12" ht="30" customHeight="1">
      <c r="A366" s="390"/>
      <c r="B366" s="1221" t="s">
        <v>132</v>
      </c>
      <c r="C366" s="1222"/>
      <c r="D366" s="1222"/>
      <c r="E366" s="1222"/>
      <c r="F366" s="1222"/>
      <c r="G366" s="1222"/>
      <c r="H366" s="1223" t="s">
        <v>133</v>
      </c>
      <c r="I366" s="1223"/>
      <c r="J366" s="1223"/>
      <c r="K366" s="1223"/>
      <c r="L366" s="1224"/>
    </row>
    <row r="367" spans="1:12" ht="30" customHeight="1">
      <c r="A367" s="390"/>
      <c r="B367" s="378" t="s">
        <v>134</v>
      </c>
      <c r="C367" s="302"/>
      <c r="D367" s="302"/>
      <c r="E367" s="302"/>
      <c r="F367" s="302"/>
      <c r="G367" s="376"/>
      <c r="H367" s="514"/>
      <c r="I367" s="607"/>
      <c r="J367" s="305">
        <f>'04-22-Master'!Q24</f>
        <v>29</v>
      </c>
      <c r="K367" s="607"/>
      <c r="L367" s="608"/>
    </row>
    <row r="368" spans="1:12" ht="30" customHeight="1">
      <c r="A368" s="390"/>
      <c r="B368" s="378" t="s">
        <v>135</v>
      </c>
      <c r="C368" s="302"/>
      <c r="D368" s="302"/>
      <c r="E368" s="302"/>
      <c r="F368" s="302"/>
      <c r="G368" s="376"/>
      <c r="H368" s="514"/>
      <c r="I368" s="607"/>
      <c r="J368" s="607" t="s">
        <v>37</v>
      </c>
      <c r="K368" s="607"/>
      <c r="L368" s="608"/>
    </row>
    <row r="369" spans="1:12" ht="30" customHeight="1">
      <c r="A369" s="390"/>
      <c r="B369" s="378" t="s">
        <v>136</v>
      </c>
      <c r="C369" s="302"/>
      <c r="D369" s="302"/>
      <c r="E369" s="302"/>
      <c r="F369" s="302"/>
      <c r="G369" s="376"/>
      <c r="H369" s="514"/>
      <c r="I369" s="607"/>
      <c r="J369" s="305">
        <f>'04-22-Master'!S24</f>
        <v>98816</v>
      </c>
      <c r="K369" s="607"/>
      <c r="L369" s="608"/>
    </row>
    <row r="370" spans="1:12" ht="30" customHeight="1">
      <c r="A370" s="390"/>
      <c r="B370" s="378" t="s">
        <v>137</v>
      </c>
      <c r="C370" s="302"/>
      <c r="D370" s="302"/>
      <c r="E370" s="302"/>
      <c r="F370" s="302"/>
      <c r="G370" s="376"/>
      <c r="H370" s="514"/>
      <c r="I370" s="607"/>
      <c r="J370" s="607">
        <v>0</v>
      </c>
      <c r="K370" s="607"/>
      <c r="L370" s="608"/>
    </row>
    <row r="371" spans="1:12" ht="30" customHeight="1">
      <c r="A371" s="390"/>
      <c r="B371" s="378" t="s">
        <v>138</v>
      </c>
      <c r="C371" s="302"/>
      <c r="D371" s="302"/>
      <c r="E371" s="302"/>
      <c r="F371" s="302"/>
      <c r="G371" s="376"/>
      <c r="H371" s="514"/>
      <c r="I371" s="607"/>
      <c r="J371" s="305">
        <f>'04-22-Master'!AG24</f>
        <v>104722.617768</v>
      </c>
      <c r="K371" s="607"/>
      <c r="L371" s="608" t="s">
        <v>35</v>
      </c>
    </row>
    <row r="372" spans="1:12" ht="30" customHeight="1">
      <c r="A372" s="390"/>
      <c r="B372" s="378" t="s">
        <v>139</v>
      </c>
      <c r="C372" s="302"/>
      <c r="D372" s="605" t="s">
        <v>32</v>
      </c>
      <c r="E372" s="606">
        <f>'04-22-Master'!AI24</f>
        <v>1800</v>
      </c>
      <c r="F372" s="605" t="s">
        <v>31</v>
      </c>
      <c r="G372" s="606">
        <f>'04-22-Master'!AH1336</f>
        <v>0</v>
      </c>
      <c r="H372" s="605" t="s">
        <v>33</v>
      </c>
      <c r="I372" s="606">
        <f>'04-22-Master'!AJ24</f>
        <v>200</v>
      </c>
      <c r="J372" s="605" t="s">
        <v>34</v>
      </c>
      <c r="K372" s="606">
        <f>'04-22-Master'!AK24</f>
        <v>0</v>
      </c>
      <c r="L372" s="111">
        <f>'04-22-Master'!AL24</f>
        <v>283</v>
      </c>
    </row>
    <row r="373" spans="1:12" ht="30" customHeight="1">
      <c r="A373" s="390"/>
      <c r="B373" s="378" t="s">
        <v>140</v>
      </c>
      <c r="C373" s="302"/>
      <c r="D373" s="302"/>
      <c r="E373" s="302"/>
      <c r="F373" s="302"/>
      <c r="G373" s="376"/>
      <c r="H373" s="514"/>
      <c r="I373" s="607"/>
      <c r="J373" s="305">
        <f>J371-(E372+G372+I372+K372+L372)</f>
        <v>102439.617768</v>
      </c>
      <c r="K373" s="607"/>
      <c r="L373" s="608"/>
    </row>
    <row r="374" spans="1:12" ht="24" customHeight="1">
      <c r="A374" s="390"/>
      <c r="B374" s="379" t="s">
        <v>141</v>
      </c>
      <c r="C374" s="102"/>
      <c r="D374" s="102"/>
      <c r="E374" s="102"/>
      <c r="F374" s="102"/>
      <c r="G374" s="103"/>
      <c r="H374" s="104"/>
      <c r="I374" s="105"/>
      <c r="J374" s="105"/>
      <c r="K374" s="105"/>
      <c r="L374" s="106"/>
    </row>
    <row r="375" spans="1:12" ht="24" customHeight="1">
      <c r="A375" s="390"/>
      <c r="B375" s="380" t="s">
        <v>142</v>
      </c>
      <c r="C375" s="107"/>
      <c r="D375" s="107"/>
      <c r="E375" s="107"/>
      <c r="F375" s="107"/>
      <c r="G375" s="108"/>
      <c r="H375" s="73"/>
      <c r="I375" s="19"/>
      <c r="J375" s="19"/>
      <c r="K375" s="19"/>
      <c r="L375" s="109"/>
    </row>
    <row r="376" spans="1:12" ht="24" customHeight="1">
      <c r="A376" s="390"/>
      <c r="B376" s="15"/>
      <c r="C376" s="300"/>
      <c r="D376" s="300"/>
      <c r="E376" s="300"/>
      <c r="F376" s="300"/>
      <c r="G376" s="300"/>
      <c r="H376" s="300"/>
      <c r="I376" s="300"/>
      <c r="J376" s="300"/>
      <c r="K376" s="300"/>
      <c r="L376" s="16"/>
    </row>
    <row r="377" spans="1:12" ht="15.75" thickBot="1">
      <c r="A377" s="390"/>
      <c r="B377" s="27"/>
      <c r="C377" s="25"/>
      <c r="D377" s="25"/>
      <c r="E377" s="25"/>
      <c r="F377" s="25"/>
      <c r="G377" s="25"/>
      <c r="H377" s="25"/>
      <c r="I377" s="25"/>
      <c r="J377" s="25"/>
      <c r="K377" s="25"/>
      <c r="L377" s="26"/>
    </row>
    <row r="378" spans="1:12">
      <c r="A378" s="390"/>
      <c r="B378" s="390"/>
      <c r="C378" s="390"/>
      <c r="D378" s="390"/>
      <c r="E378" s="390"/>
      <c r="F378" s="390"/>
      <c r="G378" s="390"/>
      <c r="H378" s="390"/>
      <c r="I378" s="390"/>
      <c r="J378" s="390"/>
      <c r="K378" s="390"/>
      <c r="L378" s="390"/>
    </row>
    <row r="379" spans="1:12">
      <c r="A379" s="390"/>
      <c r="B379" s="390"/>
      <c r="C379" s="390"/>
      <c r="D379" s="390"/>
      <c r="E379" s="390"/>
      <c r="F379" s="390"/>
      <c r="G379" s="390"/>
      <c r="H379" s="390"/>
      <c r="I379" s="390"/>
      <c r="J379" s="390"/>
      <c r="K379" s="390"/>
      <c r="L379" s="390"/>
    </row>
    <row r="380" spans="1:12">
      <c r="A380" s="390"/>
      <c r="B380" s="390"/>
      <c r="C380" s="390"/>
      <c r="D380" s="390"/>
      <c r="E380" s="390"/>
      <c r="F380" s="390"/>
      <c r="G380" s="390"/>
      <c r="H380" s="390"/>
      <c r="I380" s="390"/>
      <c r="J380" s="390"/>
      <c r="K380" s="390"/>
      <c r="L380" s="390"/>
    </row>
    <row r="381" spans="1:12" ht="15.75" thickBot="1">
      <c r="A381" s="390"/>
      <c r="B381" s="390"/>
      <c r="C381" s="390"/>
      <c r="D381" s="390"/>
      <c r="E381" s="390"/>
      <c r="F381" s="390"/>
      <c r="G381" s="390"/>
      <c r="H381" s="390"/>
      <c r="I381" s="390"/>
      <c r="J381" s="390"/>
      <c r="K381" s="390"/>
      <c r="L381" s="390"/>
    </row>
    <row r="382" spans="1:12" ht="32.25">
      <c r="A382" s="390"/>
      <c r="B382" s="1256" t="s">
        <v>117</v>
      </c>
      <c r="C382" s="1257"/>
      <c r="D382" s="1257"/>
      <c r="E382" s="1257"/>
      <c r="F382" s="1257"/>
      <c r="G382" s="1257"/>
      <c r="H382" s="1257"/>
      <c r="I382" s="1257"/>
      <c r="J382" s="1257"/>
      <c r="K382" s="1257"/>
      <c r="L382" s="1258"/>
    </row>
    <row r="383" spans="1:12" ht="23.25">
      <c r="A383" s="390"/>
      <c r="B383" s="1237" t="s">
        <v>118</v>
      </c>
      <c r="C383" s="1238"/>
      <c r="D383" s="1238"/>
      <c r="E383" s="1238"/>
      <c r="F383" s="1238"/>
      <c r="G383" s="1238"/>
      <c r="H383" s="1238"/>
      <c r="I383" s="1238"/>
      <c r="J383" s="1238"/>
      <c r="K383" s="1238"/>
      <c r="L383" s="1239"/>
    </row>
    <row r="384" spans="1:12" ht="16.5" thickBot="1">
      <c r="A384" s="390"/>
      <c r="B384" s="1240" t="s">
        <v>119</v>
      </c>
      <c r="C384" s="1241"/>
      <c r="D384" s="1241"/>
      <c r="E384" s="1241"/>
      <c r="F384" s="1241"/>
      <c r="G384" s="1241"/>
      <c r="H384" s="1241"/>
      <c r="I384" s="1241"/>
      <c r="J384" s="1241"/>
      <c r="K384" s="1241"/>
      <c r="L384" s="1242"/>
    </row>
    <row r="385" spans="1:12">
      <c r="A385" s="390"/>
      <c r="B385" s="1243" t="s">
        <v>120</v>
      </c>
      <c r="C385" s="1244"/>
      <c r="D385" s="1244"/>
      <c r="E385" s="1244"/>
      <c r="F385" s="1244"/>
      <c r="G385" s="300"/>
      <c r="H385" s="1247" t="s">
        <v>121</v>
      </c>
      <c r="I385" s="1247"/>
      <c r="J385" s="1247"/>
      <c r="K385" s="1247"/>
      <c r="L385" s="1248"/>
    </row>
    <row r="386" spans="1:12" ht="21" customHeight="1" thickBot="1">
      <c r="A386" s="390"/>
      <c r="B386" s="1245"/>
      <c r="C386" s="1246"/>
      <c r="D386" s="1246"/>
      <c r="E386" s="1246"/>
      <c r="F386" s="1246"/>
      <c r="G386" s="300"/>
      <c r="H386" s="1249"/>
      <c r="I386" s="1249"/>
      <c r="J386" s="1249"/>
      <c r="K386" s="1249"/>
      <c r="L386" s="1250"/>
    </row>
    <row r="387" spans="1:12" ht="21" customHeight="1">
      <c r="A387" s="390"/>
      <c r="B387" s="79"/>
      <c r="C387" s="80"/>
      <c r="D387" s="80"/>
      <c r="E387" s="80"/>
      <c r="F387" s="81"/>
      <c r="G387" s="300"/>
      <c r="H387" s="79"/>
      <c r="I387" s="80"/>
      <c r="J387" s="80"/>
      <c r="K387" s="80"/>
      <c r="L387" s="81"/>
    </row>
    <row r="388" spans="1:12" ht="21" customHeight="1">
      <c r="A388" s="390"/>
      <c r="B388" s="82" t="s">
        <v>425</v>
      </c>
      <c r="C388" s="300"/>
      <c r="D388" s="300"/>
      <c r="E388" s="300"/>
      <c r="F388" s="16"/>
      <c r="G388" s="300"/>
      <c r="H388" s="82" t="s">
        <v>425</v>
      </c>
      <c r="I388" s="300"/>
      <c r="J388" s="300"/>
      <c r="K388" s="300"/>
      <c r="L388" s="16"/>
    </row>
    <row r="389" spans="1:12" ht="21" customHeight="1">
      <c r="A389" s="390"/>
      <c r="B389" s="15"/>
      <c r="C389" s="300"/>
      <c r="D389" s="300"/>
      <c r="E389" s="300"/>
      <c r="F389" s="16"/>
      <c r="G389" s="300"/>
      <c r="H389" s="15"/>
      <c r="I389" s="300"/>
      <c r="J389" s="300"/>
      <c r="K389" s="300"/>
      <c r="L389" s="16"/>
    </row>
    <row r="390" spans="1:12" ht="21" customHeight="1">
      <c r="A390" s="390"/>
      <c r="B390" s="82" t="s">
        <v>426</v>
      </c>
      <c r="C390" s="300"/>
      <c r="D390" s="300"/>
      <c r="E390" s="300"/>
      <c r="F390" s="16"/>
      <c r="G390" s="300"/>
      <c r="H390" s="82" t="s">
        <v>426</v>
      </c>
      <c r="I390" s="300"/>
      <c r="J390" s="300"/>
      <c r="K390" s="300"/>
      <c r="L390" s="16"/>
    </row>
    <row r="391" spans="1:12" ht="21" customHeight="1" thickBot="1">
      <c r="A391" s="390"/>
      <c r="B391" s="27"/>
      <c r="C391" s="25"/>
      <c r="D391" s="25"/>
      <c r="E391" s="25"/>
      <c r="F391" s="26"/>
      <c r="G391" s="300"/>
      <c r="H391" s="27"/>
      <c r="I391" s="25"/>
      <c r="J391" s="25"/>
      <c r="K391" s="25"/>
      <c r="L391" s="26"/>
    </row>
    <row r="392" spans="1:12" ht="21" customHeight="1">
      <c r="A392" s="390"/>
      <c r="B392" s="15"/>
      <c r="C392" s="300"/>
      <c r="D392" s="300"/>
      <c r="E392" s="300"/>
      <c r="F392" s="300"/>
      <c r="G392" s="300"/>
      <c r="H392" s="300"/>
      <c r="I392" s="300"/>
      <c r="J392" s="300" t="s">
        <v>122</v>
      </c>
      <c r="K392" s="300"/>
      <c r="L392" s="16"/>
    </row>
    <row r="393" spans="1:12" ht="21" customHeight="1">
      <c r="A393" s="390"/>
      <c r="B393" s="1212" t="s">
        <v>123</v>
      </c>
      <c r="C393" s="1213"/>
      <c r="D393" s="1213"/>
      <c r="E393" s="1213"/>
      <c r="F393" s="1213"/>
      <c r="G393" s="300"/>
      <c r="H393" s="1213" t="s">
        <v>4</v>
      </c>
      <c r="I393" s="1213"/>
      <c r="J393" s="1213"/>
      <c r="K393" s="1213"/>
      <c r="L393" s="1251"/>
    </row>
    <row r="394" spans="1:12" ht="21" customHeight="1" thickBot="1">
      <c r="A394" s="390"/>
      <c r="B394" s="15"/>
      <c r="C394" s="300"/>
      <c r="D394" s="300"/>
      <c r="E394" s="300"/>
      <c r="F394" s="300"/>
      <c r="G394" s="300"/>
      <c r="H394" s="300"/>
      <c r="I394" s="300"/>
      <c r="J394" s="300"/>
      <c r="K394" s="300"/>
      <c r="L394" s="16"/>
    </row>
    <row r="395" spans="1:12" ht="21" customHeight="1">
      <c r="A395" s="390"/>
      <c r="B395" s="79"/>
      <c r="C395" s="80"/>
      <c r="D395" s="80"/>
      <c r="E395" s="80"/>
      <c r="F395" s="81"/>
      <c r="G395" s="300"/>
      <c r="H395" s="83"/>
      <c r="I395" s="84"/>
      <c r="J395" s="84"/>
      <c r="K395" s="84"/>
      <c r="L395" s="85"/>
    </row>
    <row r="396" spans="1:12" ht="21" customHeight="1">
      <c r="A396" s="390"/>
      <c r="B396" s="15"/>
      <c r="C396" s="300"/>
      <c r="D396" s="300"/>
      <c r="E396" s="300"/>
      <c r="F396" s="16"/>
      <c r="G396" s="300"/>
      <c r="H396" s="82" t="s">
        <v>821</v>
      </c>
      <c r="I396" s="301"/>
      <c r="J396" s="301"/>
      <c r="K396" s="301"/>
      <c r="L396" s="86"/>
    </row>
    <row r="397" spans="1:12" ht="21" customHeight="1">
      <c r="A397" s="390"/>
      <c r="B397" s="82" t="s">
        <v>819</v>
      </c>
      <c r="C397" s="300"/>
      <c r="D397" s="300"/>
      <c r="E397" s="300"/>
      <c r="F397" s="16"/>
      <c r="G397" s="300"/>
      <c r="H397" s="82"/>
      <c r="I397" s="301"/>
      <c r="J397" s="301"/>
      <c r="K397" s="301"/>
      <c r="L397" s="86"/>
    </row>
    <row r="398" spans="1:12" ht="21" customHeight="1">
      <c r="A398" s="390"/>
      <c r="B398" s="15"/>
      <c r="C398" s="300"/>
      <c r="D398" s="300"/>
      <c r="E398" s="300"/>
      <c r="F398" s="16"/>
      <c r="G398" s="300"/>
      <c r="H398" s="82" t="s">
        <v>427</v>
      </c>
      <c r="I398" s="301"/>
      <c r="J398" s="301"/>
      <c r="K398" s="301"/>
      <c r="L398" s="86"/>
    </row>
    <row r="399" spans="1:12" ht="21" customHeight="1" thickBot="1">
      <c r="A399" s="390"/>
      <c r="B399" s="27"/>
      <c r="C399" s="25"/>
      <c r="D399" s="25"/>
      <c r="E399" s="25"/>
      <c r="F399" s="26"/>
      <c r="G399" s="300"/>
      <c r="H399" s="82"/>
      <c r="I399" s="301"/>
      <c r="J399" s="301"/>
      <c r="K399" s="301"/>
      <c r="L399" s="86"/>
    </row>
    <row r="400" spans="1:12" ht="30" customHeight="1">
      <c r="A400" s="390"/>
      <c r="B400" s="1221" t="s">
        <v>124</v>
      </c>
      <c r="C400" s="1222"/>
      <c r="D400" s="1222"/>
      <c r="E400" s="1222"/>
      <c r="F400" s="1222"/>
      <c r="G400" s="1252"/>
      <c r="H400" s="1230" t="str">
        <f>'04-22-Master'!B23</f>
        <v>Thaposh Ghosh</v>
      </c>
      <c r="I400" s="1223"/>
      <c r="J400" s="1223"/>
      <c r="K400" s="1223"/>
      <c r="L400" s="1223"/>
    </row>
    <row r="401" spans="1:12" ht="30" customHeight="1">
      <c r="A401" s="390"/>
      <c r="B401" s="1253"/>
      <c r="C401" s="1254"/>
      <c r="D401" s="1254"/>
      <c r="E401" s="1254"/>
      <c r="F401" s="1254"/>
      <c r="G401" s="1254"/>
      <c r="H401" s="1255" t="str">
        <f>'04-22-Master'!G23</f>
        <v>Mayflower Grande, Block-D,D003, Mallapur,Hyderabad</v>
      </c>
      <c r="I401" s="1255"/>
      <c r="J401" s="1255"/>
      <c r="K401" s="1255"/>
      <c r="L401" s="1255"/>
    </row>
    <row r="402" spans="1:12" ht="30" customHeight="1">
      <c r="A402" s="390"/>
      <c r="B402" s="1225" t="s">
        <v>125</v>
      </c>
      <c r="C402" s="1226"/>
      <c r="D402" s="1226"/>
      <c r="E402" s="1226"/>
      <c r="F402" s="1226"/>
      <c r="G402" s="1226"/>
      <c r="H402" s="1227">
        <v>90</v>
      </c>
      <c r="I402" s="1228"/>
      <c r="J402" s="1228"/>
      <c r="K402" s="1228"/>
      <c r="L402" s="1229"/>
    </row>
    <row r="403" spans="1:12" ht="30" customHeight="1">
      <c r="A403" s="390"/>
      <c r="B403" s="1221" t="s">
        <v>126</v>
      </c>
      <c r="C403" s="1222"/>
      <c r="D403" s="1222"/>
      <c r="E403" s="1222"/>
      <c r="F403" s="1222"/>
      <c r="G403" s="1222"/>
      <c r="H403" s="1230" t="str">
        <f>'04-22-Master'!F23</f>
        <v>Incident Governance Manager</v>
      </c>
      <c r="I403" s="1223"/>
      <c r="J403" s="1223"/>
      <c r="K403" s="1223"/>
      <c r="L403" s="1224"/>
    </row>
    <row r="404" spans="1:12" ht="30" customHeight="1">
      <c r="A404" s="390"/>
      <c r="B404" s="1221" t="s">
        <v>127</v>
      </c>
      <c r="C404" s="1222"/>
      <c r="D404" s="1222"/>
      <c r="E404" s="1222"/>
      <c r="F404" s="1222"/>
      <c r="G404" s="1222"/>
      <c r="H404" s="1231">
        <f>'04-22-Master'!I23</f>
        <v>44564</v>
      </c>
      <c r="I404" s="1231"/>
      <c r="J404" s="1231"/>
      <c r="K404" s="1231"/>
      <c r="L404" s="1232"/>
    </row>
    <row r="405" spans="1:12" ht="30" customHeight="1">
      <c r="A405" s="390"/>
      <c r="B405" s="378" t="s">
        <v>128</v>
      </c>
      <c r="C405" s="302"/>
      <c r="D405" s="302"/>
      <c r="E405" s="302"/>
      <c r="F405" s="302"/>
      <c r="G405" s="302"/>
      <c r="H405" s="514"/>
      <c r="I405" s="304"/>
      <c r="J405" s="298">
        <f>'04-22-Master'!O428</f>
        <v>0</v>
      </c>
      <c r="K405" s="607"/>
      <c r="L405" s="608"/>
    </row>
    <row r="406" spans="1:12" ht="30" customHeight="1">
      <c r="A406" s="390"/>
      <c r="B406" s="378" t="s">
        <v>129</v>
      </c>
      <c r="C406" s="302"/>
      <c r="D406" s="302"/>
      <c r="E406" s="302"/>
      <c r="F406" s="302"/>
      <c r="G406" s="376"/>
      <c r="H406" s="96"/>
      <c r="I406" s="97"/>
      <c r="J406" s="298" t="str">
        <f>'04-22-Master'!N23</f>
        <v>100605733434</v>
      </c>
      <c r="K406" s="97"/>
      <c r="L406" s="98"/>
    </row>
    <row r="407" spans="1:12" ht="30" customHeight="1">
      <c r="A407" s="390"/>
      <c r="B407" s="1233" t="s">
        <v>130</v>
      </c>
      <c r="C407" s="1234"/>
      <c r="D407" s="1234"/>
      <c r="E407" s="1234"/>
      <c r="F407" s="1234"/>
      <c r="G407" s="1234"/>
      <c r="H407" s="1227">
        <f>'04-22-Master'!S23</f>
        <v>140526</v>
      </c>
      <c r="I407" s="1227"/>
      <c r="J407" s="1227"/>
      <c r="K407" s="1227"/>
      <c r="L407" s="1235"/>
    </row>
    <row r="408" spans="1:12" ht="30" customHeight="1">
      <c r="A408" s="390"/>
      <c r="B408" s="1221" t="s">
        <v>131</v>
      </c>
      <c r="C408" s="1222"/>
      <c r="D408" s="1222"/>
      <c r="E408" s="1222"/>
      <c r="F408" s="1222"/>
      <c r="G408" s="1222"/>
      <c r="H408" s="1236">
        <f>'04-22-Master'!D10</f>
        <v>44652</v>
      </c>
      <c r="I408" s="1223"/>
      <c r="J408" s="1223"/>
      <c r="K408" s="1223"/>
      <c r="L408" s="1224"/>
    </row>
    <row r="409" spans="1:12" ht="30" customHeight="1">
      <c r="A409" s="390"/>
      <c r="B409" s="1221" t="s">
        <v>132</v>
      </c>
      <c r="C409" s="1222"/>
      <c r="D409" s="1222"/>
      <c r="E409" s="1222"/>
      <c r="F409" s="1222"/>
      <c r="G409" s="1222"/>
      <c r="H409" s="1223" t="s">
        <v>133</v>
      </c>
      <c r="I409" s="1223"/>
      <c r="J409" s="1223"/>
      <c r="K409" s="1223"/>
      <c r="L409" s="1224"/>
    </row>
    <row r="410" spans="1:12" ht="30" customHeight="1">
      <c r="A410" s="390"/>
      <c r="B410" s="378" t="s">
        <v>134</v>
      </c>
      <c r="C410" s="302"/>
      <c r="D410" s="302"/>
      <c r="E410" s="302"/>
      <c r="F410" s="302"/>
      <c r="G410" s="376"/>
      <c r="H410" s="514"/>
      <c r="I410" s="607"/>
      <c r="J410" s="305">
        <f>'04-22-Master'!Q23</f>
        <v>30</v>
      </c>
      <c r="K410" s="607"/>
      <c r="L410" s="608"/>
    </row>
    <row r="411" spans="1:12" ht="30" customHeight="1">
      <c r="A411" s="390"/>
      <c r="B411" s="378" t="s">
        <v>135</v>
      </c>
      <c r="C411" s="302"/>
      <c r="D411" s="302"/>
      <c r="E411" s="302"/>
      <c r="F411" s="302"/>
      <c r="G411" s="376"/>
      <c r="H411" s="514"/>
      <c r="I411" s="607"/>
      <c r="J411" s="607" t="s">
        <v>37</v>
      </c>
      <c r="K411" s="607"/>
      <c r="L411" s="608"/>
    </row>
    <row r="412" spans="1:12" ht="30" customHeight="1">
      <c r="A412" s="390"/>
      <c r="B412" s="378" t="s">
        <v>136</v>
      </c>
      <c r="C412" s="302"/>
      <c r="D412" s="302"/>
      <c r="E412" s="302"/>
      <c r="F412" s="302"/>
      <c r="G412" s="376"/>
      <c r="H412" s="514"/>
      <c r="I412" s="607"/>
      <c r="J412" s="305">
        <v>0</v>
      </c>
      <c r="K412" s="607"/>
      <c r="L412" s="608"/>
    </row>
    <row r="413" spans="1:12" ht="30" customHeight="1">
      <c r="A413" s="390"/>
      <c r="B413" s="378" t="s">
        <v>137</v>
      </c>
      <c r="C413" s="302"/>
      <c r="D413" s="302"/>
      <c r="E413" s="302"/>
      <c r="F413" s="302"/>
      <c r="G413" s="376"/>
      <c r="H413" s="514"/>
      <c r="I413" s="607"/>
      <c r="J413" s="607">
        <v>0</v>
      </c>
      <c r="K413" s="607"/>
      <c r="L413" s="608"/>
    </row>
    <row r="414" spans="1:12" ht="30" customHeight="1">
      <c r="A414" s="390"/>
      <c r="B414" s="378" t="s">
        <v>138</v>
      </c>
      <c r="C414" s="302"/>
      <c r="D414" s="302"/>
      <c r="E414" s="302"/>
      <c r="F414" s="302"/>
      <c r="G414" s="376"/>
      <c r="H414" s="514"/>
      <c r="I414" s="607"/>
      <c r="J414" s="305">
        <f>'04-22-Master'!AG23</f>
        <v>153275.48935999998</v>
      </c>
      <c r="K414" s="607"/>
      <c r="L414" s="608" t="s">
        <v>35</v>
      </c>
    </row>
    <row r="415" spans="1:12" ht="30" customHeight="1">
      <c r="A415" s="390"/>
      <c r="B415" s="378" t="s">
        <v>139</v>
      </c>
      <c r="C415" s="302"/>
      <c r="D415" s="605" t="s">
        <v>32</v>
      </c>
      <c r="E415" s="606">
        <f>'04-22-Master'!AI23</f>
        <v>1800</v>
      </c>
      <c r="F415" s="605" t="s">
        <v>31</v>
      </c>
      <c r="G415" s="606">
        <f>'04-22-Master'!AH1389</f>
        <v>0</v>
      </c>
      <c r="H415" s="605" t="s">
        <v>33</v>
      </c>
      <c r="I415" s="606">
        <f>'04-22-Master'!AJ23</f>
        <v>200</v>
      </c>
      <c r="J415" s="605" t="s">
        <v>34</v>
      </c>
      <c r="K415" s="606">
        <f>'04-22-Master'!AK23</f>
        <v>0</v>
      </c>
      <c r="L415" s="111">
        <f>'04-22-Master'!AL23</f>
        <v>283</v>
      </c>
    </row>
    <row r="416" spans="1:12" ht="30" customHeight="1">
      <c r="A416" s="390"/>
      <c r="B416" s="378" t="s">
        <v>140</v>
      </c>
      <c r="C416" s="302"/>
      <c r="D416" s="302"/>
      <c r="E416" s="302"/>
      <c r="F416" s="302"/>
      <c r="G416" s="376"/>
      <c r="H416" s="514"/>
      <c r="I416" s="607"/>
      <c r="J416" s="305">
        <f>J414-(E415+G415+I415+K415+L415)</f>
        <v>150992.48935999998</v>
      </c>
      <c r="K416" s="607"/>
      <c r="L416" s="608"/>
    </row>
    <row r="417" spans="1:12" ht="21" customHeight="1">
      <c r="A417" s="390"/>
      <c r="B417" s="379" t="s">
        <v>141</v>
      </c>
      <c r="C417" s="102"/>
      <c r="D417" s="102"/>
      <c r="E417" s="102"/>
      <c r="F417" s="102"/>
      <c r="G417" s="103"/>
      <c r="H417" s="104"/>
      <c r="I417" s="105"/>
      <c r="J417" s="105"/>
      <c r="K417" s="105"/>
      <c r="L417" s="106"/>
    </row>
    <row r="418" spans="1:12" ht="21" customHeight="1">
      <c r="A418" s="390"/>
      <c r="B418" s="380" t="s">
        <v>142</v>
      </c>
      <c r="C418" s="107"/>
      <c r="D418" s="107"/>
      <c r="E418" s="107"/>
      <c r="F418" s="107"/>
      <c r="G418" s="108"/>
      <c r="H418" s="73"/>
      <c r="I418" s="19"/>
      <c r="J418" s="19"/>
      <c r="K418" s="19"/>
      <c r="L418" s="109"/>
    </row>
    <row r="419" spans="1:12" ht="21" customHeight="1">
      <c r="A419" s="390"/>
      <c r="B419" s="15"/>
      <c r="C419" s="300"/>
      <c r="D419" s="300"/>
      <c r="E419" s="300"/>
      <c r="F419" s="300"/>
      <c r="G419" s="300"/>
      <c r="H419" s="300"/>
      <c r="I419" s="300"/>
      <c r="J419" s="300"/>
      <c r="K419" s="300"/>
      <c r="L419" s="16"/>
    </row>
    <row r="420" spans="1:12" ht="21" customHeight="1" thickBot="1">
      <c r="A420" s="390"/>
      <c r="B420" s="27"/>
      <c r="C420" s="25"/>
      <c r="D420" s="25"/>
      <c r="E420" s="25"/>
      <c r="F420" s="25"/>
      <c r="G420" s="25"/>
      <c r="H420" s="25"/>
      <c r="I420" s="25"/>
      <c r="J420" s="25"/>
      <c r="K420" s="25"/>
      <c r="L420" s="26"/>
    </row>
    <row r="421" spans="1:12">
      <c r="A421" s="390"/>
      <c r="B421" s="390"/>
      <c r="C421" s="390"/>
      <c r="D421" s="390"/>
      <c r="E421" s="390"/>
      <c r="F421" s="390"/>
      <c r="G421" s="390"/>
      <c r="H421" s="390"/>
      <c r="I421" s="390"/>
      <c r="J421" s="390"/>
      <c r="K421" s="390"/>
      <c r="L421" s="390"/>
    </row>
    <row r="422" spans="1:12">
      <c r="A422" s="390"/>
      <c r="B422" s="390"/>
      <c r="C422" s="390"/>
      <c r="D422" s="390"/>
      <c r="E422" s="390"/>
      <c r="F422" s="390"/>
      <c r="G422" s="390"/>
      <c r="H422" s="390"/>
      <c r="I422" s="390"/>
      <c r="J422" s="390"/>
      <c r="K422" s="390"/>
      <c r="L422" s="390"/>
    </row>
    <row r="423" spans="1:12">
      <c r="A423" s="390"/>
      <c r="B423" s="390"/>
      <c r="C423" s="390"/>
      <c r="D423" s="390"/>
      <c r="E423" s="390"/>
      <c r="F423" s="390"/>
      <c r="G423" s="390"/>
      <c r="H423" s="390"/>
      <c r="I423" s="390"/>
      <c r="J423" s="390"/>
      <c r="K423" s="390"/>
      <c r="L423" s="390"/>
    </row>
    <row r="424" spans="1:12">
      <c r="A424" s="390"/>
      <c r="B424" s="390"/>
      <c r="C424" s="390"/>
      <c r="D424" s="390"/>
      <c r="E424" s="390"/>
      <c r="F424" s="390"/>
      <c r="G424" s="390"/>
      <c r="H424" s="390"/>
      <c r="I424" s="390"/>
      <c r="J424" s="390"/>
      <c r="K424" s="390"/>
      <c r="L424" s="390"/>
    </row>
    <row r="425" spans="1:12">
      <c r="A425" s="390"/>
      <c r="B425" s="390"/>
      <c r="C425" s="390"/>
      <c r="D425" s="390"/>
      <c r="E425" s="390"/>
      <c r="F425" s="390"/>
      <c r="G425" s="390"/>
      <c r="H425" s="390"/>
      <c r="I425" s="390"/>
      <c r="J425" s="390"/>
      <c r="K425" s="390"/>
      <c r="L425" s="390"/>
    </row>
    <row r="426" spans="1:12">
      <c r="A426" s="390"/>
      <c r="B426" s="390"/>
      <c r="C426" s="390"/>
      <c r="D426" s="390"/>
      <c r="E426" s="390"/>
      <c r="F426" s="390"/>
      <c r="G426" s="390"/>
      <c r="H426" s="390"/>
      <c r="I426" s="390"/>
      <c r="J426" s="390"/>
      <c r="K426" s="390"/>
      <c r="L426" s="390"/>
    </row>
    <row r="427" spans="1:12">
      <c r="A427" s="390"/>
      <c r="B427" s="390"/>
      <c r="C427" s="390"/>
      <c r="D427" s="390"/>
      <c r="E427" s="390"/>
      <c r="F427" s="390"/>
      <c r="G427" s="390"/>
      <c r="H427" s="390"/>
      <c r="I427" s="390"/>
      <c r="J427" s="390"/>
      <c r="K427" s="390"/>
      <c r="L427" s="390"/>
    </row>
    <row r="428" spans="1:12">
      <c r="A428" s="390"/>
      <c r="B428" s="390"/>
      <c r="C428" s="390"/>
      <c r="D428" s="390"/>
      <c r="E428" s="390"/>
      <c r="F428" s="390"/>
      <c r="G428" s="390"/>
      <c r="H428" s="390"/>
      <c r="I428" s="390"/>
      <c r="J428" s="390"/>
      <c r="K428" s="390"/>
      <c r="L428" s="390"/>
    </row>
    <row r="429" spans="1:12" ht="15.75" thickBot="1">
      <c r="A429" s="390"/>
      <c r="B429" s="390"/>
      <c r="C429" s="390"/>
      <c r="D429" s="390"/>
      <c r="E429" s="390"/>
      <c r="F429" s="390"/>
      <c r="G429" s="390"/>
      <c r="H429" s="390"/>
      <c r="I429" s="390"/>
      <c r="J429" s="390"/>
      <c r="K429" s="390"/>
      <c r="L429" s="390"/>
    </row>
    <row r="430" spans="1:12" ht="32.25">
      <c r="A430" s="390"/>
      <c r="B430" s="1256" t="s">
        <v>117</v>
      </c>
      <c r="C430" s="1257"/>
      <c r="D430" s="1257"/>
      <c r="E430" s="1257"/>
      <c r="F430" s="1257"/>
      <c r="G430" s="1257"/>
      <c r="H430" s="1257"/>
      <c r="I430" s="1257"/>
      <c r="J430" s="1257"/>
      <c r="K430" s="1257"/>
      <c r="L430" s="1258"/>
    </row>
    <row r="431" spans="1:12" ht="23.25">
      <c r="A431" s="390"/>
      <c r="B431" s="1237" t="s">
        <v>118</v>
      </c>
      <c r="C431" s="1238"/>
      <c r="D431" s="1238"/>
      <c r="E431" s="1238"/>
      <c r="F431" s="1238"/>
      <c r="G431" s="1238"/>
      <c r="H431" s="1238"/>
      <c r="I431" s="1238"/>
      <c r="J431" s="1238"/>
      <c r="K431" s="1238"/>
      <c r="L431" s="1239"/>
    </row>
    <row r="432" spans="1:12" ht="16.5" thickBot="1">
      <c r="A432" s="390"/>
      <c r="B432" s="1240" t="s">
        <v>119</v>
      </c>
      <c r="C432" s="1241"/>
      <c r="D432" s="1241"/>
      <c r="E432" s="1241"/>
      <c r="F432" s="1241"/>
      <c r="G432" s="1241"/>
      <c r="H432" s="1241"/>
      <c r="I432" s="1241"/>
      <c r="J432" s="1241"/>
      <c r="K432" s="1241"/>
      <c r="L432" s="1242"/>
    </row>
    <row r="433" spans="1:12" ht="22.5" customHeight="1">
      <c r="A433" s="390"/>
      <c r="B433" s="1243" t="s">
        <v>120</v>
      </c>
      <c r="C433" s="1244"/>
      <c r="D433" s="1244"/>
      <c r="E433" s="1244"/>
      <c r="F433" s="1244"/>
      <c r="G433" s="300"/>
      <c r="H433" s="1247" t="s">
        <v>121</v>
      </c>
      <c r="I433" s="1247"/>
      <c r="J433" s="1247"/>
      <c r="K433" s="1247"/>
      <c r="L433" s="1248"/>
    </row>
    <row r="434" spans="1:12" ht="22.5" customHeight="1" thickBot="1">
      <c r="A434" s="390"/>
      <c r="B434" s="1245"/>
      <c r="C434" s="1246"/>
      <c r="D434" s="1246"/>
      <c r="E434" s="1246"/>
      <c r="F434" s="1246"/>
      <c r="G434" s="300"/>
      <c r="H434" s="1249"/>
      <c r="I434" s="1249"/>
      <c r="J434" s="1249"/>
      <c r="K434" s="1249"/>
      <c r="L434" s="1250"/>
    </row>
    <row r="435" spans="1:12" ht="22.5" customHeight="1">
      <c r="A435" s="390"/>
      <c r="B435" s="79"/>
      <c r="C435" s="80"/>
      <c r="D435" s="80"/>
      <c r="E435" s="80"/>
      <c r="F435" s="81"/>
      <c r="G435" s="300"/>
      <c r="H435" s="79"/>
      <c r="I435" s="80"/>
      <c r="J435" s="80"/>
      <c r="K435" s="80"/>
      <c r="L435" s="81"/>
    </row>
    <row r="436" spans="1:12" ht="22.5" customHeight="1">
      <c r="A436" s="390"/>
      <c r="B436" s="82" t="s">
        <v>425</v>
      </c>
      <c r="C436" s="300"/>
      <c r="D436" s="300"/>
      <c r="E436" s="300"/>
      <c r="F436" s="16"/>
      <c r="G436" s="300"/>
      <c r="H436" s="82" t="s">
        <v>425</v>
      </c>
      <c r="I436" s="300"/>
      <c r="J436" s="300"/>
      <c r="K436" s="300"/>
      <c r="L436" s="16"/>
    </row>
    <row r="437" spans="1:12" ht="22.5" customHeight="1">
      <c r="A437" s="390"/>
      <c r="B437" s="15"/>
      <c r="C437" s="300"/>
      <c r="D437" s="300"/>
      <c r="E437" s="300"/>
      <c r="F437" s="16"/>
      <c r="G437" s="300"/>
      <c r="H437" s="15"/>
      <c r="I437" s="300"/>
      <c r="J437" s="300"/>
      <c r="K437" s="300"/>
      <c r="L437" s="16"/>
    </row>
    <row r="438" spans="1:12" ht="22.5" customHeight="1">
      <c r="A438" s="390"/>
      <c r="B438" s="82" t="s">
        <v>426</v>
      </c>
      <c r="C438" s="300"/>
      <c r="D438" s="300"/>
      <c r="E438" s="300"/>
      <c r="F438" s="16"/>
      <c r="G438" s="300"/>
      <c r="H438" s="82" t="s">
        <v>426</v>
      </c>
      <c r="I438" s="300"/>
      <c r="J438" s="300"/>
      <c r="K438" s="300"/>
      <c r="L438" s="16"/>
    </row>
    <row r="439" spans="1:12" ht="22.5" customHeight="1" thickBot="1">
      <c r="A439" s="390"/>
      <c r="B439" s="27"/>
      <c r="C439" s="25"/>
      <c r="D439" s="25"/>
      <c r="E439" s="25"/>
      <c r="F439" s="26"/>
      <c r="G439" s="300"/>
      <c r="H439" s="27"/>
      <c r="I439" s="25"/>
      <c r="J439" s="25"/>
      <c r="K439" s="25"/>
      <c r="L439" s="26"/>
    </row>
    <row r="440" spans="1:12" ht="22.5" customHeight="1">
      <c r="A440" s="390"/>
      <c r="B440" s="15"/>
      <c r="C440" s="300"/>
      <c r="D440" s="300"/>
      <c r="E440" s="300"/>
      <c r="F440" s="300"/>
      <c r="G440" s="300"/>
      <c r="H440" s="300"/>
      <c r="I440" s="300"/>
      <c r="J440" s="300" t="s">
        <v>122</v>
      </c>
      <c r="K440" s="300"/>
      <c r="L440" s="16"/>
    </row>
    <row r="441" spans="1:12" ht="22.5" customHeight="1">
      <c r="A441" s="390"/>
      <c r="B441" s="1212" t="s">
        <v>123</v>
      </c>
      <c r="C441" s="1213"/>
      <c r="D441" s="1213"/>
      <c r="E441" s="1213"/>
      <c r="F441" s="1213"/>
      <c r="G441" s="300"/>
      <c r="H441" s="1213" t="s">
        <v>4</v>
      </c>
      <c r="I441" s="1213"/>
      <c r="J441" s="1213"/>
      <c r="K441" s="1213"/>
      <c r="L441" s="1251"/>
    </row>
    <row r="442" spans="1:12" ht="22.5" customHeight="1" thickBot="1">
      <c r="A442" s="390"/>
      <c r="B442" s="15"/>
      <c r="C442" s="300"/>
      <c r="D442" s="300"/>
      <c r="E442" s="300"/>
      <c r="F442" s="300"/>
      <c r="G442" s="300"/>
      <c r="H442" s="300"/>
      <c r="I442" s="300"/>
      <c r="J442" s="300"/>
      <c r="K442" s="300"/>
      <c r="L442" s="16"/>
    </row>
    <row r="443" spans="1:12" ht="22.5" customHeight="1">
      <c r="A443" s="390"/>
      <c r="B443" s="79"/>
      <c r="C443" s="80"/>
      <c r="D443" s="80"/>
      <c r="E443" s="80"/>
      <c r="F443" s="81"/>
      <c r="G443" s="300"/>
      <c r="H443" s="83"/>
      <c r="I443" s="84"/>
      <c r="J443" s="84"/>
      <c r="K443" s="84"/>
      <c r="L443" s="85"/>
    </row>
    <row r="444" spans="1:12" ht="22.5" customHeight="1">
      <c r="A444" s="390"/>
      <c r="B444" s="15"/>
      <c r="C444" s="300"/>
      <c r="D444" s="300"/>
      <c r="E444" s="300"/>
      <c r="F444" s="16"/>
      <c r="G444" s="300"/>
      <c r="H444" s="82" t="s">
        <v>821</v>
      </c>
      <c r="I444" s="301"/>
      <c r="J444" s="301"/>
      <c r="K444" s="301"/>
      <c r="L444" s="86"/>
    </row>
    <row r="445" spans="1:12" ht="22.5" customHeight="1">
      <c r="A445" s="390"/>
      <c r="B445" s="82" t="s">
        <v>819</v>
      </c>
      <c r="C445" s="300"/>
      <c r="D445" s="300"/>
      <c r="E445" s="300"/>
      <c r="F445" s="16"/>
      <c r="G445" s="300"/>
      <c r="H445" s="82"/>
      <c r="I445" s="301"/>
      <c r="J445" s="301"/>
      <c r="K445" s="301"/>
      <c r="L445" s="86"/>
    </row>
    <row r="446" spans="1:12" ht="22.5" customHeight="1">
      <c r="A446" s="390"/>
      <c r="B446" s="15"/>
      <c r="C446" s="300"/>
      <c r="D446" s="300"/>
      <c r="E446" s="300"/>
      <c r="F446" s="16"/>
      <c r="G446" s="300"/>
      <c r="H446" s="82" t="s">
        <v>427</v>
      </c>
      <c r="I446" s="301"/>
      <c r="J446" s="301"/>
      <c r="K446" s="301"/>
      <c r="L446" s="86"/>
    </row>
    <row r="447" spans="1:12" ht="22.5" customHeight="1" thickBot="1">
      <c r="A447" s="390"/>
      <c r="B447" s="27"/>
      <c r="C447" s="25"/>
      <c r="D447" s="25"/>
      <c r="E447" s="25"/>
      <c r="F447" s="26"/>
      <c r="G447" s="300"/>
      <c r="H447" s="82"/>
      <c r="I447" s="301"/>
      <c r="J447" s="301"/>
      <c r="K447" s="301"/>
      <c r="L447" s="86"/>
    </row>
    <row r="448" spans="1:12" ht="30" customHeight="1">
      <c r="A448" s="390"/>
      <c r="B448" s="1221" t="s">
        <v>124</v>
      </c>
      <c r="C448" s="1222"/>
      <c r="D448" s="1222"/>
      <c r="E448" s="1222"/>
      <c r="F448" s="1222"/>
      <c r="G448" s="1252"/>
      <c r="H448" s="1230" t="str">
        <f>'04-22-Master'!B25</f>
        <v>ROOPINI CHIYYARAPU</v>
      </c>
      <c r="I448" s="1223"/>
      <c r="J448" s="1223"/>
      <c r="K448" s="1223"/>
      <c r="L448" s="1223"/>
    </row>
    <row r="449" spans="1:12" ht="30" customHeight="1">
      <c r="A449" s="390"/>
      <c r="B449" s="1253"/>
      <c r="C449" s="1254"/>
      <c r="D449" s="1254"/>
      <c r="E449" s="1254"/>
      <c r="F449" s="1254"/>
      <c r="G449" s="1254"/>
      <c r="H449" s="1255" t="str">
        <f>'04-22-Master'!G25</f>
        <v>Abbinaidi palli(v),L.G palli(p),Settigunta,Rly Kodur(m),Kadapa(dist),516101.</v>
      </c>
      <c r="I449" s="1255"/>
      <c r="J449" s="1255"/>
      <c r="K449" s="1255"/>
      <c r="L449" s="1255"/>
    </row>
    <row r="450" spans="1:12" ht="30" customHeight="1">
      <c r="A450" s="390"/>
      <c r="B450" s="1225" t="s">
        <v>125</v>
      </c>
      <c r="C450" s="1226"/>
      <c r="D450" s="1226"/>
      <c r="E450" s="1226"/>
      <c r="F450" s="1226"/>
      <c r="G450" s="1226"/>
      <c r="H450" s="1227">
        <v>92</v>
      </c>
      <c r="I450" s="1228"/>
      <c r="J450" s="1228"/>
      <c r="K450" s="1228"/>
      <c r="L450" s="1229"/>
    </row>
    <row r="451" spans="1:12" ht="30" customHeight="1">
      <c r="A451" s="390"/>
      <c r="B451" s="1221" t="s">
        <v>126</v>
      </c>
      <c r="C451" s="1222"/>
      <c r="D451" s="1222"/>
      <c r="E451" s="1222"/>
      <c r="F451" s="1222"/>
      <c r="G451" s="1222"/>
      <c r="H451" s="1230" t="str">
        <f>'04-22-Master'!F25</f>
        <v>Service Now Developer</v>
      </c>
      <c r="I451" s="1223"/>
      <c r="J451" s="1223"/>
      <c r="K451" s="1223"/>
      <c r="L451" s="1224"/>
    </row>
    <row r="452" spans="1:12" ht="30" customHeight="1">
      <c r="A452" s="390"/>
      <c r="B452" s="1221" t="s">
        <v>127</v>
      </c>
      <c r="C452" s="1222"/>
      <c r="D452" s="1222"/>
      <c r="E452" s="1222"/>
      <c r="F452" s="1222"/>
      <c r="G452" s="1222"/>
      <c r="H452" s="1231">
        <f>'04-22-Master'!I25</f>
        <v>44610</v>
      </c>
      <c r="I452" s="1231"/>
      <c r="J452" s="1231"/>
      <c r="K452" s="1231"/>
      <c r="L452" s="1232"/>
    </row>
    <row r="453" spans="1:12" ht="30" customHeight="1">
      <c r="A453" s="390"/>
      <c r="B453" s="378" t="s">
        <v>128</v>
      </c>
      <c r="C453" s="302"/>
      <c r="D453" s="302"/>
      <c r="E453" s="302"/>
      <c r="F453" s="302"/>
      <c r="G453" s="302"/>
      <c r="H453" s="514"/>
      <c r="I453" s="304"/>
      <c r="J453" s="298">
        <f>'04-22-Master'!O485</f>
        <v>0</v>
      </c>
      <c r="K453" s="830"/>
      <c r="L453" s="832"/>
    </row>
    <row r="454" spans="1:12" ht="30" customHeight="1">
      <c r="A454" s="390"/>
      <c r="B454" s="378" t="s">
        <v>129</v>
      </c>
      <c r="C454" s="302"/>
      <c r="D454" s="302"/>
      <c r="E454" s="302"/>
      <c r="F454" s="302"/>
      <c r="G454" s="376"/>
      <c r="H454" s="96"/>
      <c r="I454" s="97"/>
      <c r="J454" s="298" t="str">
        <f>'04-22-Master'!N25</f>
        <v>101792969219</v>
      </c>
      <c r="K454" s="97"/>
      <c r="L454" s="98"/>
    </row>
    <row r="455" spans="1:12" ht="30" customHeight="1">
      <c r="A455" s="390"/>
      <c r="B455" s="1233" t="s">
        <v>130</v>
      </c>
      <c r="C455" s="1234"/>
      <c r="D455" s="1234"/>
      <c r="E455" s="1234"/>
      <c r="F455" s="1234"/>
      <c r="G455" s="1234"/>
      <c r="H455" s="1227">
        <f>'04-22-Master'!S25</f>
        <v>75643</v>
      </c>
      <c r="I455" s="1227"/>
      <c r="J455" s="1227"/>
      <c r="K455" s="1227"/>
      <c r="L455" s="1235"/>
    </row>
    <row r="456" spans="1:12" ht="30" customHeight="1">
      <c r="A456" s="390"/>
      <c r="B456" s="1221" t="s">
        <v>131</v>
      </c>
      <c r="C456" s="1222"/>
      <c r="D456" s="1222"/>
      <c r="E456" s="1222"/>
      <c r="F456" s="1222"/>
      <c r="G456" s="1222"/>
      <c r="H456" s="1236">
        <f>'04-22-Master'!D10</f>
        <v>44652</v>
      </c>
      <c r="I456" s="1223"/>
      <c r="J456" s="1223"/>
      <c r="K456" s="1223"/>
      <c r="L456" s="1224"/>
    </row>
    <row r="457" spans="1:12" ht="30" customHeight="1">
      <c r="A457" s="390"/>
      <c r="B457" s="1221" t="s">
        <v>132</v>
      </c>
      <c r="C457" s="1222"/>
      <c r="D457" s="1222"/>
      <c r="E457" s="1222"/>
      <c r="F457" s="1222"/>
      <c r="G457" s="1222"/>
      <c r="H457" s="1223" t="s">
        <v>133</v>
      </c>
      <c r="I457" s="1223"/>
      <c r="J457" s="1223"/>
      <c r="K457" s="1223"/>
      <c r="L457" s="1224"/>
    </row>
    <row r="458" spans="1:12" ht="30" customHeight="1">
      <c r="A458" s="390"/>
      <c r="B458" s="378" t="s">
        <v>134</v>
      </c>
      <c r="C458" s="302"/>
      <c r="D458" s="302"/>
      <c r="E458" s="302"/>
      <c r="F458" s="302"/>
      <c r="G458" s="376"/>
      <c r="H458" s="514"/>
      <c r="I458" s="830"/>
      <c r="J458" s="305">
        <f>'04-22-Master'!Q25</f>
        <v>30</v>
      </c>
      <c r="K458" s="830"/>
      <c r="L458" s="832"/>
    </row>
    <row r="459" spans="1:12" ht="30" customHeight="1">
      <c r="A459" s="390"/>
      <c r="B459" s="378" t="s">
        <v>135</v>
      </c>
      <c r="C459" s="302"/>
      <c r="D459" s="302"/>
      <c r="E459" s="302"/>
      <c r="F459" s="302"/>
      <c r="G459" s="376"/>
      <c r="H459" s="514"/>
      <c r="I459" s="830"/>
      <c r="J459" s="830" t="s">
        <v>37</v>
      </c>
      <c r="K459" s="830"/>
      <c r="L459" s="832"/>
    </row>
    <row r="460" spans="1:12" ht="30" customHeight="1">
      <c r="A460" s="390"/>
      <c r="B460" s="378" t="s">
        <v>136</v>
      </c>
      <c r="C460" s="302"/>
      <c r="D460" s="302"/>
      <c r="E460" s="302"/>
      <c r="F460" s="302"/>
      <c r="G460" s="376"/>
      <c r="H460" s="514"/>
      <c r="I460" s="830"/>
      <c r="J460" s="305">
        <v>0</v>
      </c>
      <c r="K460" s="830"/>
      <c r="L460" s="832"/>
    </row>
    <row r="461" spans="1:12" ht="30" customHeight="1">
      <c r="A461" s="390"/>
      <c r="B461" s="378" t="s">
        <v>137</v>
      </c>
      <c r="C461" s="302"/>
      <c r="D461" s="302"/>
      <c r="E461" s="302"/>
      <c r="F461" s="302"/>
      <c r="G461" s="376"/>
      <c r="H461" s="514"/>
      <c r="I461" s="830"/>
      <c r="J461" s="830">
        <v>0</v>
      </c>
      <c r="K461" s="830"/>
      <c r="L461" s="832"/>
    </row>
    <row r="462" spans="1:12" ht="30" customHeight="1">
      <c r="A462" s="390"/>
      <c r="B462" s="378" t="s">
        <v>138</v>
      </c>
      <c r="C462" s="302"/>
      <c r="D462" s="302"/>
      <c r="E462" s="302"/>
      <c r="F462" s="302"/>
      <c r="G462" s="376"/>
      <c r="H462" s="514"/>
      <c r="I462" s="830"/>
      <c r="J462" s="305">
        <f>'04-22-Master'!AG25</f>
        <v>83275.815979999985</v>
      </c>
      <c r="K462" s="830"/>
      <c r="L462" s="832" t="s">
        <v>35</v>
      </c>
    </row>
    <row r="463" spans="1:12" ht="30" customHeight="1">
      <c r="A463" s="390"/>
      <c r="B463" s="378" t="s">
        <v>139</v>
      </c>
      <c r="C463" s="302"/>
      <c r="D463" s="828" t="s">
        <v>32</v>
      </c>
      <c r="E463" s="829">
        <f>'04-22-Master'!AI25</f>
        <v>1800</v>
      </c>
      <c r="F463" s="828" t="s">
        <v>31</v>
      </c>
      <c r="G463" s="829">
        <f>'04-22-Master'!AH1446</f>
        <v>0</v>
      </c>
      <c r="H463" s="828" t="s">
        <v>33</v>
      </c>
      <c r="I463" s="829">
        <f>'04-22-Master'!AJ25</f>
        <v>200</v>
      </c>
      <c r="J463" s="828" t="s">
        <v>34</v>
      </c>
      <c r="K463" s="829">
        <f>'04-22-Master'!AK25</f>
        <v>0</v>
      </c>
      <c r="L463" s="111">
        <f>'04-22-Master'!AL25</f>
        <v>283</v>
      </c>
    </row>
    <row r="464" spans="1:12" ht="30" customHeight="1">
      <c r="A464" s="390"/>
      <c r="B464" s="378" t="s">
        <v>140</v>
      </c>
      <c r="C464" s="302"/>
      <c r="D464" s="302"/>
      <c r="E464" s="302"/>
      <c r="F464" s="302"/>
      <c r="G464" s="376"/>
      <c r="H464" s="514"/>
      <c r="I464" s="830"/>
      <c r="J464" s="305">
        <f>J462-(E463+G463+I463+K463+L463)</f>
        <v>80992.815979999985</v>
      </c>
      <c r="K464" s="830"/>
      <c r="L464" s="832"/>
    </row>
    <row r="465" spans="1:12" ht="22.5" customHeight="1">
      <c r="A465" s="390"/>
      <c r="B465" s="379" t="s">
        <v>141</v>
      </c>
      <c r="C465" s="102"/>
      <c r="D465" s="102"/>
      <c r="E465" s="102"/>
      <c r="F465" s="102"/>
      <c r="G465" s="103"/>
      <c r="H465" s="104"/>
      <c r="I465" s="105"/>
      <c r="J465" s="105"/>
      <c r="K465" s="105"/>
      <c r="L465" s="106"/>
    </row>
    <row r="466" spans="1:12" ht="22.5" customHeight="1">
      <c r="A466" s="390"/>
      <c r="B466" s="380" t="s">
        <v>142</v>
      </c>
      <c r="C466" s="107"/>
      <c r="D466" s="107"/>
      <c r="E466" s="107"/>
      <c r="F466" s="107"/>
      <c r="G466" s="108"/>
      <c r="H466" s="73"/>
      <c r="I466" s="19"/>
      <c r="J466" s="19"/>
      <c r="K466" s="19"/>
      <c r="L466" s="109"/>
    </row>
    <row r="467" spans="1:12" ht="22.5" customHeight="1">
      <c r="A467" s="390"/>
      <c r="B467" s="15"/>
      <c r="C467" s="300"/>
      <c r="D467" s="300"/>
      <c r="E467" s="300"/>
      <c r="F467" s="300"/>
      <c r="G467" s="300"/>
      <c r="H467" s="300"/>
      <c r="I467" s="300"/>
      <c r="J467" s="300"/>
      <c r="K467" s="300"/>
      <c r="L467" s="16"/>
    </row>
    <row r="468" spans="1:12" ht="22.5" customHeight="1" thickBot="1">
      <c r="A468" s="390"/>
      <c r="B468" s="27"/>
      <c r="C468" s="25"/>
      <c r="D468" s="25"/>
      <c r="E468" s="25"/>
      <c r="F468" s="25"/>
      <c r="G468" s="25"/>
      <c r="H468" s="25"/>
      <c r="I468" s="25"/>
      <c r="J468" s="25"/>
      <c r="K468" s="25"/>
      <c r="L468" s="26"/>
    </row>
    <row r="469" spans="1:12">
      <c r="A469" s="390"/>
      <c r="B469" s="390"/>
      <c r="C469" s="390"/>
      <c r="D469" s="390"/>
      <c r="E469" s="390"/>
      <c r="F469" s="390"/>
      <c r="G469" s="390"/>
      <c r="H469" s="390"/>
      <c r="I469" s="390"/>
      <c r="J469" s="390"/>
      <c r="K469" s="390"/>
      <c r="L469" s="390"/>
    </row>
    <row r="470" spans="1:12">
      <c r="A470" s="390"/>
      <c r="B470" s="390"/>
      <c r="C470" s="390"/>
      <c r="D470" s="390"/>
      <c r="E470" s="390"/>
      <c r="F470" s="390"/>
      <c r="G470" s="390"/>
      <c r="H470" s="390"/>
      <c r="I470" s="390"/>
      <c r="J470" s="390"/>
      <c r="K470" s="390"/>
      <c r="L470" s="390"/>
    </row>
    <row r="471" spans="1:12">
      <c r="A471" s="390"/>
      <c r="B471" s="390"/>
      <c r="C471" s="390"/>
      <c r="D471" s="390"/>
      <c r="E471" s="390"/>
      <c r="F471" s="390"/>
      <c r="G471" s="390"/>
      <c r="H471" s="390"/>
      <c r="I471" s="390"/>
      <c r="J471" s="390"/>
      <c r="K471" s="390"/>
      <c r="L471" s="390"/>
    </row>
    <row r="472" spans="1:12">
      <c r="A472" s="390"/>
      <c r="B472" s="390"/>
      <c r="C472" s="390"/>
      <c r="D472" s="390"/>
      <c r="E472" s="390"/>
      <c r="F472" s="390"/>
      <c r="G472" s="390"/>
      <c r="H472" s="390"/>
      <c r="I472" s="390"/>
      <c r="J472" s="390"/>
      <c r="K472" s="390"/>
      <c r="L472" s="390"/>
    </row>
    <row r="473" spans="1:12">
      <c r="A473" s="390"/>
      <c r="B473" s="390"/>
      <c r="C473" s="390"/>
      <c r="D473" s="390"/>
      <c r="E473" s="390"/>
      <c r="F473" s="390"/>
      <c r="G473" s="390"/>
      <c r="H473" s="390"/>
      <c r="I473" s="390"/>
      <c r="J473" s="390"/>
      <c r="K473" s="390"/>
      <c r="L473" s="390"/>
    </row>
    <row r="474" spans="1:12" ht="15.75" thickBot="1">
      <c r="A474" s="390"/>
      <c r="B474" s="390"/>
      <c r="C474" s="390"/>
      <c r="D474" s="390"/>
      <c r="E474" s="390"/>
      <c r="F474" s="390"/>
      <c r="G474" s="390"/>
      <c r="H474" s="390"/>
      <c r="I474" s="390"/>
      <c r="J474" s="390"/>
      <c r="K474" s="390"/>
      <c r="L474" s="390"/>
    </row>
    <row r="475" spans="1:12" ht="32.25">
      <c r="A475" s="390"/>
      <c r="B475" s="1256" t="s">
        <v>117</v>
      </c>
      <c r="C475" s="1257"/>
      <c r="D475" s="1257"/>
      <c r="E475" s="1257"/>
      <c r="F475" s="1257"/>
      <c r="G475" s="1257"/>
      <c r="H475" s="1257"/>
      <c r="I475" s="1257"/>
      <c r="J475" s="1257"/>
      <c r="K475" s="1257"/>
      <c r="L475" s="1258"/>
    </row>
    <row r="476" spans="1:12" ht="23.25">
      <c r="A476" s="390"/>
      <c r="B476" s="1237" t="s">
        <v>118</v>
      </c>
      <c r="C476" s="1238"/>
      <c r="D476" s="1238"/>
      <c r="E476" s="1238"/>
      <c r="F476" s="1238"/>
      <c r="G476" s="1238"/>
      <c r="H476" s="1238"/>
      <c r="I476" s="1238"/>
      <c r="J476" s="1238"/>
      <c r="K476" s="1238"/>
      <c r="L476" s="1239"/>
    </row>
    <row r="477" spans="1:12" ht="16.5" thickBot="1">
      <c r="A477" s="390"/>
      <c r="B477" s="1240" t="s">
        <v>119</v>
      </c>
      <c r="C477" s="1241"/>
      <c r="D477" s="1241"/>
      <c r="E477" s="1241"/>
      <c r="F477" s="1241"/>
      <c r="G477" s="1241"/>
      <c r="H477" s="1241"/>
      <c r="I477" s="1241"/>
      <c r="J477" s="1241"/>
      <c r="K477" s="1241"/>
      <c r="L477" s="1242"/>
    </row>
    <row r="478" spans="1:12">
      <c r="A478" s="390"/>
      <c r="B478" s="1243" t="s">
        <v>120</v>
      </c>
      <c r="C478" s="1244"/>
      <c r="D478" s="1244"/>
      <c r="E478" s="1244"/>
      <c r="F478" s="1244"/>
      <c r="G478" s="300"/>
      <c r="H478" s="1247" t="s">
        <v>121</v>
      </c>
      <c r="I478" s="1247"/>
      <c r="J478" s="1247"/>
      <c r="K478" s="1247"/>
      <c r="L478" s="1248"/>
    </row>
    <row r="479" spans="1:12" ht="15.75" thickBot="1">
      <c r="A479" s="390"/>
      <c r="B479" s="1245"/>
      <c r="C479" s="1246"/>
      <c r="D479" s="1246"/>
      <c r="E479" s="1246"/>
      <c r="F479" s="1246"/>
      <c r="G479" s="300"/>
      <c r="H479" s="1249"/>
      <c r="I479" s="1249"/>
      <c r="J479" s="1249"/>
      <c r="K479" s="1249"/>
      <c r="L479" s="1250"/>
    </row>
    <row r="480" spans="1:12" ht="21" customHeight="1">
      <c r="A480" s="390"/>
      <c r="B480" s="79"/>
      <c r="C480" s="80"/>
      <c r="D480" s="80"/>
      <c r="E480" s="80"/>
      <c r="F480" s="81"/>
      <c r="G480" s="300"/>
      <c r="H480" s="79"/>
      <c r="I480" s="80"/>
      <c r="J480" s="80"/>
      <c r="K480" s="80"/>
      <c r="L480" s="81"/>
    </row>
    <row r="481" spans="1:12" ht="21" customHeight="1">
      <c r="A481" s="390"/>
      <c r="B481" s="82" t="s">
        <v>425</v>
      </c>
      <c r="C481" s="300"/>
      <c r="D481" s="300"/>
      <c r="E481" s="300"/>
      <c r="F481" s="16"/>
      <c r="G481" s="300"/>
      <c r="H481" s="82" t="s">
        <v>425</v>
      </c>
      <c r="I481" s="300"/>
      <c r="J481" s="300"/>
      <c r="K481" s="300"/>
      <c r="L481" s="16"/>
    </row>
    <row r="482" spans="1:12" ht="21" customHeight="1">
      <c r="A482" s="390"/>
      <c r="B482" s="15"/>
      <c r="C482" s="300"/>
      <c r="D482" s="300"/>
      <c r="E482" s="300"/>
      <c r="F482" s="16"/>
      <c r="G482" s="300"/>
      <c r="H482" s="15"/>
      <c r="I482" s="300"/>
      <c r="J482" s="300"/>
      <c r="K482" s="300"/>
      <c r="L482" s="16"/>
    </row>
    <row r="483" spans="1:12" ht="21" customHeight="1">
      <c r="A483" s="390"/>
      <c r="B483" s="82" t="s">
        <v>426</v>
      </c>
      <c r="C483" s="300"/>
      <c r="D483" s="300"/>
      <c r="E483" s="300"/>
      <c r="F483" s="16"/>
      <c r="G483" s="300"/>
      <c r="H483" s="82" t="s">
        <v>426</v>
      </c>
      <c r="I483" s="300"/>
      <c r="J483" s="300"/>
      <c r="K483" s="300"/>
      <c r="L483" s="16"/>
    </row>
    <row r="484" spans="1:12" ht="21" customHeight="1" thickBot="1">
      <c r="A484" s="390"/>
      <c r="B484" s="27"/>
      <c r="C484" s="25"/>
      <c r="D484" s="25"/>
      <c r="E484" s="25"/>
      <c r="F484" s="26"/>
      <c r="G484" s="300"/>
      <c r="H484" s="27"/>
      <c r="I484" s="25"/>
      <c r="J484" s="25"/>
      <c r="K484" s="25"/>
      <c r="L484" s="26"/>
    </row>
    <row r="485" spans="1:12" ht="21" customHeight="1">
      <c r="A485" s="390"/>
      <c r="B485" s="15"/>
      <c r="C485" s="300"/>
      <c r="D485" s="300"/>
      <c r="E485" s="300"/>
      <c r="F485" s="300"/>
      <c r="G485" s="300"/>
      <c r="H485" s="300"/>
      <c r="I485" s="300"/>
      <c r="J485" s="300" t="s">
        <v>122</v>
      </c>
      <c r="K485" s="300"/>
      <c r="L485" s="16"/>
    </row>
    <row r="486" spans="1:12" ht="21" customHeight="1">
      <c r="A486" s="390"/>
      <c r="B486" s="1212" t="s">
        <v>123</v>
      </c>
      <c r="C486" s="1213"/>
      <c r="D486" s="1213"/>
      <c r="E486" s="1213"/>
      <c r="F486" s="1213"/>
      <c r="G486" s="300"/>
      <c r="H486" s="1213" t="s">
        <v>4</v>
      </c>
      <c r="I486" s="1213"/>
      <c r="J486" s="1213"/>
      <c r="K486" s="1213"/>
      <c r="L486" s="1251"/>
    </row>
    <row r="487" spans="1:12" ht="21" customHeight="1" thickBot="1">
      <c r="A487" s="390"/>
      <c r="B487" s="15"/>
      <c r="C487" s="300"/>
      <c r="D487" s="300"/>
      <c r="E487" s="300"/>
      <c r="F487" s="300"/>
      <c r="G487" s="300"/>
      <c r="H487" s="300"/>
      <c r="I487" s="300"/>
      <c r="J487" s="300"/>
      <c r="K487" s="300"/>
      <c r="L487" s="16"/>
    </row>
    <row r="488" spans="1:12" ht="21" customHeight="1">
      <c r="A488" s="390"/>
      <c r="B488" s="79"/>
      <c r="C488" s="80"/>
      <c r="D488" s="80"/>
      <c r="E488" s="80"/>
      <c r="F488" s="81"/>
      <c r="G488" s="300"/>
      <c r="H488" s="83"/>
      <c r="I488" s="84"/>
      <c r="J488" s="84"/>
      <c r="K488" s="84"/>
      <c r="L488" s="85"/>
    </row>
    <row r="489" spans="1:12" ht="21" customHeight="1">
      <c r="A489" s="390"/>
      <c r="B489" s="15"/>
      <c r="C489" s="300"/>
      <c r="D489" s="300"/>
      <c r="E489" s="300"/>
      <c r="F489" s="16"/>
      <c r="G489" s="300"/>
      <c r="H489" s="82" t="s">
        <v>821</v>
      </c>
      <c r="I489" s="301"/>
      <c r="J489" s="301"/>
      <c r="K489" s="301"/>
      <c r="L489" s="86"/>
    </row>
    <row r="490" spans="1:12" ht="21" customHeight="1">
      <c r="A490" s="390"/>
      <c r="B490" s="82" t="s">
        <v>819</v>
      </c>
      <c r="C490" s="300"/>
      <c r="D490" s="300"/>
      <c r="E490" s="300"/>
      <c r="F490" s="16"/>
      <c r="G490" s="300"/>
      <c r="H490" s="82"/>
      <c r="I490" s="301"/>
      <c r="J490" s="301"/>
      <c r="K490" s="301"/>
      <c r="L490" s="86"/>
    </row>
    <row r="491" spans="1:12" ht="21" customHeight="1">
      <c r="A491" s="390"/>
      <c r="B491" s="15"/>
      <c r="C491" s="300"/>
      <c r="D491" s="300"/>
      <c r="E491" s="300"/>
      <c r="F491" s="16"/>
      <c r="G491" s="300"/>
      <c r="H491" s="82" t="s">
        <v>427</v>
      </c>
      <c r="I491" s="301"/>
      <c r="J491" s="301"/>
      <c r="K491" s="301"/>
      <c r="L491" s="86"/>
    </row>
    <row r="492" spans="1:12" ht="21" customHeight="1" thickBot="1">
      <c r="A492" s="390"/>
      <c r="B492" s="27"/>
      <c r="C492" s="25"/>
      <c r="D492" s="25"/>
      <c r="E492" s="25"/>
      <c r="F492" s="26"/>
      <c r="G492" s="300"/>
      <c r="H492" s="82"/>
      <c r="I492" s="301"/>
      <c r="J492" s="301"/>
      <c r="K492" s="301"/>
      <c r="L492" s="86"/>
    </row>
    <row r="493" spans="1:12" ht="30" customHeight="1">
      <c r="A493" s="390"/>
      <c r="B493" s="1221" t="s">
        <v>124</v>
      </c>
      <c r="C493" s="1222"/>
      <c r="D493" s="1222"/>
      <c r="E493" s="1222"/>
      <c r="F493" s="1222"/>
      <c r="G493" s="1252"/>
      <c r="H493" s="1230" t="str">
        <f>'04-22-Master'!B26</f>
        <v>D.Santhoshi</v>
      </c>
      <c r="I493" s="1223"/>
      <c r="J493" s="1223"/>
      <c r="K493" s="1223"/>
      <c r="L493" s="1223"/>
    </row>
    <row r="494" spans="1:12" ht="30" customHeight="1">
      <c r="A494" s="390"/>
      <c r="B494" s="1253"/>
      <c r="C494" s="1254"/>
      <c r="D494" s="1254"/>
      <c r="E494" s="1254"/>
      <c r="F494" s="1254"/>
      <c r="G494" s="1254"/>
      <c r="H494" s="1255" t="str">
        <f>'04-22-Master'!G26</f>
        <v>6-56, Nekkantivari street, alamuru East godavari Dist</v>
      </c>
      <c r="I494" s="1255"/>
      <c r="J494" s="1255"/>
      <c r="K494" s="1255"/>
      <c r="L494" s="1255"/>
    </row>
    <row r="495" spans="1:12" ht="30" customHeight="1">
      <c r="A495" s="390"/>
      <c r="B495" s="1225" t="s">
        <v>125</v>
      </c>
      <c r="C495" s="1226"/>
      <c r="D495" s="1226"/>
      <c r="E495" s="1226"/>
      <c r="F495" s="1226"/>
      <c r="G495" s="1226"/>
      <c r="H495" s="1227">
        <v>93</v>
      </c>
      <c r="I495" s="1228"/>
      <c r="J495" s="1228"/>
      <c r="K495" s="1228"/>
      <c r="L495" s="1229"/>
    </row>
    <row r="496" spans="1:12" ht="30" customHeight="1">
      <c r="A496" s="390"/>
      <c r="B496" s="1221" t="s">
        <v>126</v>
      </c>
      <c r="C496" s="1222"/>
      <c r="D496" s="1222"/>
      <c r="E496" s="1222"/>
      <c r="F496" s="1222"/>
      <c r="G496" s="1222"/>
      <c r="H496" s="1230" t="str">
        <f>'04-22-Master'!F26</f>
        <v>SAP Basis Consultant</v>
      </c>
      <c r="I496" s="1223"/>
      <c r="J496" s="1223"/>
      <c r="K496" s="1223"/>
      <c r="L496" s="1224"/>
    </row>
    <row r="497" spans="1:12" ht="30" customHeight="1">
      <c r="A497" s="390"/>
      <c r="B497" s="1221" t="s">
        <v>127</v>
      </c>
      <c r="C497" s="1222"/>
      <c r="D497" s="1222"/>
      <c r="E497" s="1222"/>
      <c r="F497" s="1222"/>
      <c r="G497" s="1222"/>
      <c r="J497" s="284">
        <f>'04-22-Master'!I26</f>
        <v>44615</v>
      </c>
    </row>
    <row r="498" spans="1:12" ht="30" customHeight="1">
      <c r="A498" s="390"/>
      <c r="B498" s="378" t="s">
        <v>128</v>
      </c>
      <c r="C498" s="302"/>
      <c r="D498" s="302"/>
      <c r="E498" s="302"/>
      <c r="F498" s="302"/>
      <c r="G498" s="302"/>
      <c r="H498" s="514"/>
      <c r="I498" s="304"/>
      <c r="J498" s="298">
        <f>'04-22-Master'!O542</f>
        <v>0</v>
      </c>
      <c r="K498" s="830"/>
      <c r="L498" s="832"/>
    </row>
    <row r="499" spans="1:12" ht="30" customHeight="1">
      <c r="A499" s="390"/>
      <c r="B499" s="378" t="s">
        <v>129</v>
      </c>
      <c r="C499" s="302"/>
      <c r="D499" s="302"/>
      <c r="E499" s="302"/>
      <c r="F499" s="302"/>
      <c r="G499" s="376"/>
      <c r="H499" s="96"/>
      <c r="I499" s="97"/>
      <c r="J499" s="298" t="str">
        <f>'04-22-Master'!N26</f>
        <v>101284342568</v>
      </c>
      <c r="K499" s="97"/>
      <c r="L499" s="98"/>
    </row>
    <row r="500" spans="1:12" ht="30" customHeight="1">
      <c r="A500" s="390"/>
      <c r="B500" s="1233" t="s">
        <v>130</v>
      </c>
      <c r="C500" s="1234"/>
      <c r="D500" s="1234"/>
      <c r="E500" s="1234"/>
      <c r="F500" s="1234"/>
      <c r="G500" s="1234"/>
      <c r="H500" s="1227">
        <f>'04-22-Master'!S26</f>
        <v>38567</v>
      </c>
      <c r="I500" s="1227"/>
      <c r="J500" s="1227"/>
      <c r="K500" s="1227"/>
      <c r="L500" s="1235"/>
    </row>
    <row r="501" spans="1:12" ht="30" customHeight="1">
      <c r="A501" s="390"/>
      <c r="B501" s="1221" t="s">
        <v>131</v>
      </c>
      <c r="C501" s="1222"/>
      <c r="D501" s="1222"/>
      <c r="E501" s="1222"/>
      <c r="F501" s="1222"/>
      <c r="G501" s="1222"/>
      <c r="H501" s="1236">
        <f>'04-22-Master'!D10</f>
        <v>44652</v>
      </c>
      <c r="I501" s="1223"/>
      <c r="J501" s="1223"/>
      <c r="K501" s="1223"/>
      <c r="L501" s="1224"/>
    </row>
    <row r="502" spans="1:12" ht="30" customHeight="1">
      <c r="A502" s="390"/>
      <c r="B502" s="1221" t="s">
        <v>132</v>
      </c>
      <c r="C502" s="1222"/>
      <c r="D502" s="1222"/>
      <c r="E502" s="1222"/>
      <c r="F502" s="1222"/>
      <c r="G502" s="1222"/>
      <c r="H502" s="1223" t="s">
        <v>133</v>
      </c>
      <c r="I502" s="1223"/>
      <c r="J502" s="1223"/>
      <c r="K502" s="1223"/>
      <c r="L502" s="1224"/>
    </row>
    <row r="503" spans="1:12" ht="30" customHeight="1">
      <c r="A503" s="390"/>
      <c r="B503" s="378" t="s">
        <v>134</v>
      </c>
      <c r="C503" s="302"/>
      <c r="D503" s="302"/>
      <c r="E503" s="302"/>
      <c r="F503" s="302"/>
      <c r="G503" s="376"/>
      <c r="H503" s="514"/>
      <c r="I503" s="830"/>
      <c r="J503" s="305">
        <f>'04-22-Master'!Q26</f>
        <v>30</v>
      </c>
      <c r="K503" s="830"/>
      <c r="L503" s="832"/>
    </row>
    <row r="504" spans="1:12" ht="30" customHeight="1">
      <c r="A504" s="390"/>
      <c r="B504" s="378" t="s">
        <v>135</v>
      </c>
      <c r="C504" s="302"/>
      <c r="D504" s="302"/>
      <c r="E504" s="302"/>
      <c r="F504" s="302"/>
      <c r="G504" s="376"/>
      <c r="H504" s="514"/>
      <c r="I504" s="830"/>
      <c r="J504" s="830" t="s">
        <v>37</v>
      </c>
      <c r="K504" s="830"/>
      <c r="L504" s="832"/>
    </row>
    <row r="505" spans="1:12" ht="30" customHeight="1">
      <c r="A505" s="390"/>
      <c r="B505" s="378" t="s">
        <v>136</v>
      </c>
      <c r="C505" s="302"/>
      <c r="D505" s="302"/>
      <c r="E505" s="302"/>
      <c r="F505" s="302"/>
      <c r="G505" s="376"/>
      <c r="H505" s="514"/>
      <c r="I505" s="830"/>
      <c r="J505" s="305">
        <v>0</v>
      </c>
      <c r="K505" s="830"/>
      <c r="L505" s="832"/>
    </row>
    <row r="506" spans="1:12" ht="30" customHeight="1">
      <c r="A506" s="390"/>
      <c r="B506" s="378" t="s">
        <v>137</v>
      </c>
      <c r="C506" s="302"/>
      <c r="D506" s="302"/>
      <c r="E506" s="302"/>
      <c r="F506" s="302"/>
      <c r="G506" s="376"/>
      <c r="H506" s="514"/>
      <c r="I506" s="830"/>
      <c r="J506" s="830">
        <v>0</v>
      </c>
      <c r="K506" s="830"/>
      <c r="L506" s="832"/>
    </row>
    <row r="507" spans="1:12" ht="30" customHeight="1">
      <c r="A507" s="390"/>
      <c r="B507" s="378" t="s">
        <v>138</v>
      </c>
      <c r="C507" s="302"/>
      <c r="D507" s="302"/>
      <c r="E507" s="302"/>
      <c r="F507" s="302"/>
      <c r="G507" s="376"/>
      <c r="H507" s="514"/>
      <c r="I507" s="830"/>
      <c r="J507" s="305">
        <f>'04-22-Master'!AG26</f>
        <v>43276.002619999992</v>
      </c>
      <c r="K507" s="830"/>
      <c r="L507" s="832" t="s">
        <v>35</v>
      </c>
    </row>
    <row r="508" spans="1:12" ht="30" customHeight="1">
      <c r="A508" s="390"/>
      <c r="B508" s="378" t="s">
        <v>139</v>
      </c>
      <c r="C508" s="302"/>
      <c r="D508" s="828" t="s">
        <v>32</v>
      </c>
      <c r="E508" s="829">
        <f>'04-22-Master'!AI26</f>
        <v>1800</v>
      </c>
      <c r="F508" s="828" t="s">
        <v>31</v>
      </c>
      <c r="G508" s="829">
        <f>'04-22-Master'!AH1503</f>
        <v>0</v>
      </c>
      <c r="H508" s="828" t="s">
        <v>33</v>
      </c>
      <c r="I508" s="829">
        <f>'04-22-Master'!AJ27</f>
        <v>200</v>
      </c>
      <c r="J508" s="828" t="s">
        <v>34</v>
      </c>
      <c r="K508" s="829">
        <f>'04-22-Master'!AK26</f>
        <v>0</v>
      </c>
      <c r="L508" s="111">
        <f>'04-22-Master'!AL26</f>
        <v>283</v>
      </c>
    </row>
    <row r="509" spans="1:12" ht="30" customHeight="1">
      <c r="A509" s="390"/>
      <c r="B509" s="378" t="s">
        <v>140</v>
      </c>
      <c r="C509" s="302"/>
      <c r="D509" s="302"/>
      <c r="E509" s="302"/>
      <c r="F509" s="302"/>
      <c r="G509" s="376"/>
      <c r="H509" s="514"/>
      <c r="I509" s="830"/>
      <c r="J509" s="305">
        <f>J507-(E508+G508+I508+K508+L508)</f>
        <v>40993.002619999992</v>
      </c>
      <c r="K509" s="830"/>
      <c r="L509" s="832"/>
    </row>
    <row r="510" spans="1:12" ht="21" customHeight="1">
      <c r="A510" s="390"/>
      <c r="B510" s="379" t="s">
        <v>141</v>
      </c>
      <c r="C510" s="102"/>
      <c r="D510" s="102"/>
      <c r="E510" s="102"/>
      <c r="F510" s="102"/>
      <c r="G510" s="103"/>
      <c r="H510" s="104"/>
      <c r="I510" s="105"/>
      <c r="J510" s="105"/>
      <c r="K510" s="105"/>
      <c r="L510" s="106"/>
    </row>
    <row r="511" spans="1:12" ht="21" customHeight="1">
      <c r="A511" s="390"/>
      <c r="B511" s="380" t="s">
        <v>142</v>
      </c>
      <c r="C511" s="107"/>
      <c r="D511" s="107"/>
      <c r="E511" s="107"/>
      <c r="F511" s="107"/>
      <c r="G511" s="108"/>
      <c r="H511" s="73"/>
      <c r="I511" s="19"/>
      <c r="J511" s="19"/>
      <c r="K511" s="19"/>
      <c r="L511" s="109"/>
    </row>
    <row r="512" spans="1:12" ht="21" customHeight="1">
      <c r="A512" s="390"/>
      <c r="B512" s="15"/>
      <c r="C512" s="300"/>
      <c r="D512" s="300"/>
      <c r="E512" s="300"/>
      <c r="F512" s="300"/>
      <c r="G512" s="300"/>
      <c r="H512" s="300"/>
      <c r="I512" s="300"/>
      <c r="J512" s="300"/>
      <c r="K512" s="300"/>
      <c r="L512" s="16"/>
    </row>
    <row r="513" spans="1:12" ht="21" customHeight="1" thickBot="1">
      <c r="A513" s="390"/>
      <c r="B513" s="27"/>
      <c r="C513" s="25"/>
      <c r="D513" s="25"/>
      <c r="E513" s="25"/>
      <c r="F513" s="25"/>
      <c r="G513" s="25"/>
      <c r="H513" s="25"/>
      <c r="I513" s="25"/>
      <c r="J513" s="25"/>
      <c r="K513" s="25"/>
      <c r="L513" s="26"/>
    </row>
    <row r="514" spans="1:12">
      <c r="A514" s="390"/>
      <c r="B514" s="390"/>
      <c r="C514" s="390"/>
      <c r="D514" s="390"/>
      <c r="E514" s="390"/>
      <c r="F514" s="390"/>
      <c r="G514" s="390"/>
      <c r="H514" s="390"/>
      <c r="I514" s="390"/>
      <c r="J514" s="390"/>
      <c r="K514" s="390"/>
      <c r="L514" s="390"/>
    </row>
    <row r="515" spans="1:12">
      <c r="A515" s="390"/>
      <c r="B515" s="390"/>
      <c r="C515" s="390"/>
      <c r="D515" s="390"/>
      <c r="E515" s="390"/>
      <c r="F515" s="390"/>
      <c r="G515" s="390"/>
      <c r="H515" s="390"/>
      <c r="I515" s="390"/>
      <c r="J515" s="390"/>
      <c r="K515" s="390"/>
      <c r="L515" s="390"/>
    </row>
    <row r="516" spans="1:12">
      <c r="A516" s="390"/>
      <c r="B516" s="390"/>
      <c r="C516" s="390"/>
      <c r="D516" s="390"/>
      <c r="E516" s="390"/>
      <c r="F516" s="390"/>
      <c r="G516" s="390"/>
      <c r="H516" s="390"/>
      <c r="I516" s="390"/>
      <c r="J516" s="390"/>
      <c r="K516" s="390"/>
      <c r="L516" s="390"/>
    </row>
    <row r="517" spans="1:12">
      <c r="A517" s="390"/>
      <c r="B517" s="390"/>
      <c r="C517" s="390"/>
      <c r="D517" s="390"/>
      <c r="E517" s="390"/>
      <c r="F517" s="390"/>
      <c r="G517" s="390"/>
      <c r="H517" s="390"/>
      <c r="I517" s="390"/>
      <c r="J517" s="390"/>
      <c r="K517" s="390"/>
      <c r="L517" s="390"/>
    </row>
    <row r="518" spans="1:12">
      <c r="A518" s="390"/>
      <c r="B518" s="390"/>
      <c r="C518" s="390"/>
      <c r="D518" s="390"/>
      <c r="E518" s="390"/>
      <c r="F518" s="390"/>
      <c r="G518" s="390"/>
      <c r="H518" s="390"/>
      <c r="I518" s="390"/>
      <c r="J518" s="390"/>
      <c r="K518" s="390"/>
      <c r="L518" s="390"/>
    </row>
    <row r="519" spans="1:12">
      <c r="A519" s="390"/>
      <c r="B519" s="390"/>
      <c r="C519" s="390"/>
      <c r="D519" s="390"/>
      <c r="E519" s="390"/>
      <c r="F519" s="390"/>
      <c r="G519" s="390"/>
      <c r="H519" s="390"/>
      <c r="I519" s="390"/>
      <c r="J519" s="390"/>
      <c r="K519" s="390"/>
      <c r="L519" s="390"/>
    </row>
    <row r="520" spans="1:12">
      <c r="A520" s="390"/>
      <c r="B520" s="390"/>
      <c r="C520" s="390"/>
      <c r="D520" s="390"/>
      <c r="E520" s="390"/>
      <c r="F520" s="390"/>
      <c r="G520" s="390"/>
      <c r="H520" s="390"/>
      <c r="I520" s="390"/>
      <c r="J520" s="390"/>
      <c r="K520" s="390"/>
      <c r="L520" s="390"/>
    </row>
    <row r="521" spans="1:12">
      <c r="A521" s="390"/>
      <c r="B521" s="390"/>
      <c r="C521" s="390"/>
      <c r="D521" s="390"/>
      <c r="E521" s="390"/>
      <c r="F521" s="390"/>
      <c r="G521" s="390"/>
      <c r="H521" s="390"/>
      <c r="I521" s="390"/>
      <c r="J521" s="390"/>
      <c r="K521" s="390"/>
      <c r="L521" s="390"/>
    </row>
    <row r="522" spans="1:12" s="855" customFormat="1"/>
    <row r="523" spans="1:12" s="855" customFormat="1"/>
    <row r="524" spans="1:12" ht="15.75" thickBot="1">
      <c r="A524" s="390"/>
      <c r="B524" s="390"/>
      <c r="C524" s="390"/>
      <c r="D524" s="390"/>
      <c r="E524" s="390"/>
      <c r="F524" s="390"/>
      <c r="G524" s="390"/>
      <c r="H524" s="390"/>
      <c r="I524" s="390"/>
      <c r="J524" s="390"/>
      <c r="K524" s="390"/>
      <c r="L524" s="390"/>
    </row>
    <row r="525" spans="1:12" ht="32.25">
      <c r="A525" s="390"/>
      <c r="B525" s="1256" t="s">
        <v>117</v>
      </c>
      <c r="C525" s="1257"/>
      <c r="D525" s="1257"/>
      <c r="E525" s="1257"/>
      <c r="F525" s="1257"/>
      <c r="G525" s="1257"/>
      <c r="H525" s="1257"/>
      <c r="I525" s="1257"/>
      <c r="J525" s="1257"/>
      <c r="K525" s="1257"/>
      <c r="L525" s="1258"/>
    </row>
    <row r="526" spans="1:12" ht="23.25">
      <c r="A526" s="390"/>
      <c r="B526" s="1237" t="s">
        <v>118</v>
      </c>
      <c r="C526" s="1238"/>
      <c r="D526" s="1238"/>
      <c r="E526" s="1238"/>
      <c r="F526" s="1238"/>
      <c r="G526" s="1238"/>
      <c r="H526" s="1238"/>
      <c r="I526" s="1238"/>
      <c r="J526" s="1238"/>
      <c r="K526" s="1238"/>
      <c r="L526" s="1239"/>
    </row>
    <row r="527" spans="1:12" ht="16.5" thickBot="1">
      <c r="A527" s="390"/>
      <c r="B527" s="1240" t="s">
        <v>119</v>
      </c>
      <c r="C527" s="1241"/>
      <c r="D527" s="1241"/>
      <c r="E527" s="1241"/>
      <c r="F527" s="1241"/>
      <c r="G527" s="1241"/>
      <c r="H527" s="1241"/>
      <c r="I527" s="1241"/>
      <c r="J527" s="1241"/>
      <c r="K527" s="1241"/>
      <c r="L527" s="1242"/>
    </row>
    <row r="528" spans="1:12" ht="22.5" customHeight="1">
      <c r="A528" s="390"/>
      <c r="B528" s="1243" t="s">
        <v>120</v>
      </c>
      <c r="C528" s="1244"/>
      <c r="D528" s="1244"/>
      <c r="E528" s="1244"/>
      <c r="F528" s="1244"/>
      <c r="G528" s="300"/>
      <c r="H528" s="1247" t="s">
        <v>121</v>
      </c>
      <c r="I528" s="1247"/>
      <c r="J528" s="1247"/>
      <c r="K528" s="1247"/>
      <c r="L528" s="1248"/>
    </row>
    <row r="529" spans="1:12" ht="22.5" customHeight="1" thickBot="1">
      <c r="A529" s="390"/>
      <c r="B529" s="1245"/>
      <c r="C529" s="1246"/>
      <c r="D529" s="1246"/>
      <c r="E529" s="1246"/>
      <c r="F529" s="1246"/>
      <c r="G529" s="300"/>
      <c r="H529" s="1249"/>
      <c r="I529" s="1249"/>
      <c r="J529" s="1249"/>
      <c r="K529" s="1249"/>
      <c r="L529" s="1250"/>
    </row>
    <row r="530" spans="1:12" ht="22.5" customHeight="1">
      <c r="A530" s="390"/>
      <c r="B530" s="79"/>
      <c r="C530" s="80"/>
      <c r="D530" s="80"/>
      <c r="E530" s="80"/>
      <c r="F530" s="81"/>
      <c r="G530" s="300"/>
      <c r="H530" s="79"/>
      <c r="I530" s="80"/>
      <c r="J530" s="80"/>
      <c r="K530" s="80"/>
      <c r="L530" s="81"/>
    </row>
    <row r="531" spans="1:12" ht="22.5" customHeight="1">
      <c r="A531" s="390"/>
      <c r="B531" s="82" t="s">
        <v>425</v>
      </c>
      <c r="C531" s="300"/>
      <c r="D531" s="300"/>
      <c r="E531" s="300"/>
      <c r="F531" s="16"/>
      <c r="G531" s="300"/>
      <c r="H531" s="82" t="s">
        <v>425</v>
      </c>
      <c r="I531" s="300"/>
      <c r="J531" s="300"/>
      <c r="K531" s="300"/>
      <c r="L531" s="16"/>
    </row>
    <row r="532" spans="1:12" ht="22.5" customHeight="1">
      <c r="A532" s="390"/>
      <c r="B532" s="15"/>
      <c r="C532" s="300"/>
      <c r="D532" s="300"/>
      <c r="E532" s="300"/>
      <c r="F532" s="16"/>
      <c r="G532" s="300"/>
      <c r="H532" s="15"/>
      <c r="I532" s="300"/>
      <c r="J532" s="300"/>
      <c r="K532" s="300"/>
      <c r="L532" s="16"/>
    </row>
    <row r="533" spans="1:12" ht="22.5" customHeight="1">
      <c r="A533" s="390"/>
      <c r="B533" s="82" t="s">
        <v>426</v>
      </c>
      <c r="C533" s="300"/>
      <c r="D533" s="300"/>
      <c r="E533" s="300"/>
      <c r="F533" s="16"/>
      <c r="G533" s="300"/>
      <c r="H533" s="82" t="s">
        <v>426</v>
      </c>
      <c r="I533" s="300"/>
      <c r="J533" s="300"/>
      <c r="K533" s="300"/>
      <c r="L533" s="16"/>
    </row>
    <row r="534" spans="1:12" ht="22.5" customHeight="1" thickBot="1">
      <c r="A534" s="390"/>
      <c r="B534" s="27"/>
      <c r="C534" s="25"/>
      <c r="D534" s="25"/>
      <c r="E534" s="25"/>
      <c r="F534" s="26"/>
      <c r="G534" s="300"/>
      <c r="H534" s="27"/>
      <c r="I534" s="25"/>
      <c r="J534" s="25"/>
      <c r="K534" s="25"/>
      <c r="L534" s="26"/>
    </row>
    <row r="535" spans="1:12" ht="22.5" customHeight="1">
      <c r="A535" s="390"/>
      <c r="B535" s="15"/>
      <c r="C535" s="300"/>
      <c r="D535" s="300"/>
      <c r="E535" s="300"/>
      <c r="F535" s="300"/>
      <c r="G535" s="300"/>
      <c r="H535" s="300"/>
      <c r="I535" s="300"/>
      <c r="J535" s="300" t="s">
        <v>122</v>
      </c>
      <c r="K535" s="300"/>
      <c r="L535" s="16"/>
    </row>
    <row r="536" spans="1:12" ht="22.5" customHeight="1">
      <c r="A536" s="390"/>
      <c r="B536" s="1212" t="s">
        <v>123</v>
      </c>
      <c r="C536" s="1213"/>
      <c r="D536" s="1213"/>
      <c r="E536" s="1213"/>
      <c r="F536" s="1213"/>
      <c r="G536" s="300"/>
      <c r="H536" s="1213" t="s">
        <v>4</v>
      </c>
      <c r="I536" s="1213"/>
      <c r="J536" s="1213"/>
      <c r="K536" s="1213"/>
      <c r="L536" s="1251"/>
    </row>
    <row r="537" spans="1:12" ht="22.5" customHeight="1" thickBot="1">
      <c r="A537" s="390"/>
      <c r="B537" s="15"/>
      <c r="C537" s="300"/>
      <c r="D537" s="300"/>
      <c r="E537" s="300"/>
      <c r="F537" s="300"/>
      <c r="G537" s="300"/>
      <c r="H537" s="300"/>
      <c r="I537" s="300"/>
      <c r="J537" s="300"/>
      <c r="K537" s="300"/>
      <c r="L537" s="16"/>
    </row>
    <row r="538" spans="1:12" ht="22.5" customHeight="1">
      <c r="A538" s="390"/>
      <c r="B538" s="79"/>
      <c r="C538" s="80"/>
      <c r="D538" s="80"/>
      <c r="E538" s="80"/>
      <c r="F538" s="81"/>
      <c r="G538" s="300"/>
      <c r="H538" s="83"/>
      <c r="I538" s="84"/>
      <c r="J538" s="84"/>
      <c r="K538" s="84"/>
      <c r="L538" s="85"/>
    </row>
    <row r="539" spans="1:12" ht="22.5" customHeight="1">
      <c r="A539" s="390"/>
      <c r="B539" s="15"/>
      <c r="C539" s="300"/>
      <c r="D539" s="300"/>
      <c r="E539" s="300"/>
      <c r="F539" s="16"/>
      <c r="G539" s="300"/>
      <c r="H539" s="82" t="s">
        <v>821</v>
      </c>
      <c r="I539" s="301"/>
      <c r="J539" s="301"/>
      <c r="K539" s="301"/>
      <c r="L539" s="86"/>
    </row>
    <row r="540" spans="1:12" ht="22.5" customHeight="1">
      <c r="A540" s="390"/>
      <c r="B540" s="82" t="s">
        <v>819</v>
      </c>
      <c r="C540" s="300"/>
      <c r="D540" s="300"/>
      <c r="E540" s="300"/>
      <c r="F540" s="16"/>
      <c r="G540" s="300"/>
      <c r="H540" s="82"/>
      <c r="I540" s="301"/>
      <c r="J540" s="301"/>
      <c r="K540" s="301"/>
      <c r="L540" s="86"/>
    </row>
    <row r="541" spans="1:12" ht="22.5" customHeight="1">
      <c r="A541" s="390"/>
      <c r="B541" s="15"/>
      <c r="C541" s="300"/>
      <c r="D541" s="300"/>
      <c r="E541" s="300"/>
      <c r="F541" s="16"/>
      <c r="G541" s="300"/>
      <c r="H541" s="82" t="s">
        <v>427</v>
      </c>
      <c r="I541" s="301"/>
      <c r="J541" s="301"/>
      <c r="K541" s="301"/>
      <c r="L541" s="86"/>
    </row>
    <row r="542" spans="1:12" ht="22.5" customHeight="1" thickBot="1">
      <c r="A542" s="390"/>
      <c r="B542" s="27"/>
      <c r="C542" s="25"/>
      <c r="D542" s="25"/>
      <c r="E542" s="25"/>
      <c r="F542" s="26"/>
      <c r="G542" s="300"/>
      <c r="H542" s="82"/>
      <c r="I542" s="301"/>
      <c r="J542" s="301"/>
      <c r="K542" s="301"/>
      <c r="L542" s="86"/>
    </row>
    <row r="543" spans="1:12" ht="30" customHeight="1">
      <c r="A543" s="390"/>
      <c r="B543" s="1221" t="s">
        <v>124</v>
      </c>
      <c r="C543" s="1222"/>
      <c r="D543" s="1222"/>
      <c r="E543" s="1222"/>
      <c r="F543" s="1222"/>
      <c r="G543" s="1252"/>
      <c r="H543" s="1230" t="str">
        <f>'04-22-Master'!B27</f>
        <v>Bharath Pal</v>
      </c>
      <c r="I543" s="1223"/>
      <c r="J543" s="1223"/>
      <c r="K543" s="1223"/>
      <c r="L543" s="1223"/>
    </row>
    <row r="544" spans="1:12" ht="30" customHeight="1">
      <c r="A544" s="390"/>
      <c r="B544" s="1253"/>
      <c r="C544" s="1254"/>
      <c r="D544" s="1254"/>
      <c r="E544" s="1254"/>
      <c r="F544" s="1254"/>
      <c r="G544" s="1254"/>
      <c r="H544" s="1255" t="str">
        <f>'04-22-Master'!G27</f>
        <v>village - Bagpur, post. office. - Mohna, Teh &amp; Distt. Palwal, (Haryana) pin code - 121004</v>
      </c>
      <c r="I544" s="1255"/>
      <c r="J544" s="1255"/>
      <c r="K544" s="1255"/>
      <c r="L544" s="1255"/>
    </row>
    <row r="545" spans="1:12" ht="30" customHeight="1">
      <c r="A545" s="390"/>
      <c r="B545" s="1225" t="s">
        <v>125</v>
      </c>
      <c r="C545" s="1226"/>
      <c r="D545" s="1226"/>
      <c r="E545" s="1226"/>
      <c r="F545" s="1226"/>
      <c r="G545" s="1226"/>
      <c r="H545" s="1227">
        <v>94</v>
      </c>
      <c r="I545" s="1228"/>
      <c r="J545" s="1228"/>
      <c r="K545" s="1228"/>
      <c r="L545" s="1229"/>
    </row>
    <row r="546" spans="1:12" ht="30" customHeight="1">
      <c r="A546" s="390"/>
      <c r="B546" s="1221" t="s">
        <v>126</v>
      </c>
      <c r="C546" s="1222"/>
      <c r="D546" s="1222"/>
      <c r="E546" s="1222"/>
      <c r="F546" s="1222"/>
      <c r="G546" s="1222"/>
      <c r="H546" s="1230" t="str">
        <f>'04-22-Master'!F27</f>
        <v>SAP Basis Consultant</v>
      </c>
      <c r="I546" s="1223"/>
      <c r="J546" s="1223"/>
      <c r="K546" s="1223"/>
      <c r="L546" s="1224"/>
    </row>
    <row r="547" spans="1:12" ht="30" customHeight="1">
      <c r="A547" s="390"/>
      <c r="B547" s="1221" t="s">
        <v>127</v>
      </c>
      <c r="C547" s="1222"/>
      <c r="D547" s="1222"/>
      <c r="E547" s="1222"/>
      <c r="F547" s="1222"/>
      <c r="G547" s="1222"/>
      <c r="H547" s="1231">
        <f>'04-22-Master'!I27</f>
        <v>44615</v>
      </c>
      <c r="I547" s="1231"/>
      <c r="J547" s="1231"/>
      <c r="K547" s="1231"/>
      <c r="L547" s="1232"/>
    </row>
    <row r="548" spans="1:12" ht="30" customHeight="1">
      <c r="A548" s="390"/>
      <c r="B548" s="378" t="s">
        <v>128</v>
      </c>
      <c r="C548" s="302"/>
      <c r="D548" s="302"/>
      <c r="E548" s="302"/>
      <c r="F548" s="302"/>
      <c r="G548" s="302"/>
      <c r="H548" s="514"/>
      <c r="I548" s="304"/>
      <c r="J548" s="298">
        <f>'04-22-Master'!O599</f>
        <v>0</v>
      </c>
      <c r="K548" s="830"/>
      <c r="L548" s="832"/>
    </row>
    <row r="549" spans="1:12" ht="30" customHeight="1">
      <c r="A549" s="390"/>
      <c r="B549" s="378" t="s">
        <v>129</v>
      </c>
      <c r="C549" s="302"/>
      <c r="D549" s="302"/>
      <c r="E549" s="302"/>
      <c r="F549" s="302"/>
      <c r="G549" s="376"/>
      <c r="H549" s="96"/>
      <c r="I549" s="97"/>
      <c r="J549" s="298" t="str">
        <f>'04-22-Master'!N27</f>
        <v>101711677279</v>
      </c>
      <c r="K549" s="97"/>
      <c r="L549" s="98"/>
    </row>
    <row r="550" spans="1:12" ht="30" customHeight="1">
      <c r="A550" s="390"/>
      <c r="B550" s="1233" t="s">
        <v>130</v>
      </c>
      <c r="C550" s="1234"/>
      <c r="D550" s="1234"/>
      <c r="E550" s="1234"/>
      <c r="F550" s="1234"/>
      <c r="G550" s="1234"/>
      <c r="H550" s="1227">
        <f>'04-22-Master'!S27</f>
        <v>24636</v>
      </c>
      <c r="I550" s="1227"/>
      <c r="J550" s="1227"/>
      <c r="K550" s="1227"/>
      <c r="L550" s="1235"/>
    </row>
    <row r="551" spans="1:12" ht="30" customHeight="1">
      <c r="A551" s="390"/>
      <c r="B551" s="1221" t="s">
        <v>131</v>
      </c>
      <c r="C551" s="1222"/>
      <c r="D551" s="1222"/>
      <c r="E551" s="1222"/>
      <c r="F551" s="1222"/>
      <c r="G551" s="1222"/>
      <c r="H551" s="1236">
        <f>'04-22-Master'!D10</f>
        <v>44652</v>
      </c>
      <c r="I551" s="1223"/>
      <c r="J551" s="1223"/>
      <c r="K551" s="1223"/>
      <c r="L551" s="1224"/>
    </row>
    <row r="552" spans="1:12" ht="30" customHeight="1">
      <c r="A552" s="390"/>
      <c r="B552" s="1221" t="s">
        <v>132</v>
      </c>
      <c r="C552" s="1222"/>
      <c r="D552" s="1222"/>
      <c r="E552" s="1222"/>
      <c r="F552" s="1222"/>
      <c r="G552" s="1222"/>
      <c r="H552" s="1223" t="s">
        <v>133</v>
      </c>
      <c r="I552" s="1223"/>
      <c r="J552" s="1223"/>
      <c r="K552" s="1223"/>
      <c r="L552" s="1224"/>
    </row>
    <row r="553" spans="1:12" ht="30" customHeight="1">
      <c r="A553" s="390"/>
      <c r="B553" s="378" t="s">
        <v>134</v>
      </c>
      <c r="C553" s="302"/>
      <c r="D553" s="302"/>
      <c r="E553" s="302"/>
      <c r="F553" s="302"/>
      <c r="G553" s="376"/>
      <c r="H553" s="514"/>
      <c r="I553" s="830"/>
      <c r="J553" s="305">
        <f>'04-22-Master'!Q27</f>
        <v>30</v>
      </c>
      <c r="K553" s="830"/>
      <c r="L553" s="832"/>
    </row>
    <row r="554" spans="1:12" ht="30" customHeight="1">
      <c r="A554" s="390"/>
      <c r="B554" s="378" t="s">
        <v>135</v>
      </c>
      <c r="C554" s="302"/>
      <c r="D554" s="302"/>
      <c r="E554" s="302"/>
      <c r="F554" s="302"/>
      <c r="G554" s="376"/>
      <c r="H554" s="514"/>
      <c r="I554" s="830"/>
      <c r="J554" s="830" t="s">
        <v>37</v>
      </c>
      <c r="K554" s="830"/>
      <c r="L554" s="832"/>
    </row>
    <row r="555" spans="1:12" ht="30" customHeight="1">
      <c r="A555" s="390"/>
      <c r="B555" s="378" t="s">
        <v>136</v>
      </c>
      <c r="C555" s="302"/>
      <c r="D555" s="302"/>
      <c r="E555" s="302"/>
      <c r="F555" s="302"/>
      <c r="G555" s="376"/>
      <c r="H555" s="514"/>
      <c r="I555" s="830"/>
      <c r="J555" s="305">
        <v>0</v>
      </c>
      <c r="K555" s="830"/>
      <c r="L555" s="832"/>
    </row>
    <row r="556" spans="1:12" ht="30" customHeight="1">
      <c r="A556" s="390"/>
      <c r="B556" s="378" t="s">
        <v>137</v>
      </c>
      <c r="C556" s="302"/>
      <c r="D556" s="302"/>
      <c r="E556" s="302"/>
      <c r="F556" s="302"/>
      <c r="G556" s="376"/>
      <c r="H556" s="514"/>
      <c r="I556" s="830"/>
      <c r="J556" s="830">
        <v>0</v>
      </c>
      <c r="K556" s="830"/>
      <c r="L556" s="832"/>
    </row>
    <row r="557" spans="1:12" ht="30" customHeight="1">
      <c r="A557" s="390"/>
      <c r="B557" s="378" t="s">
        <v>138</v>
      </c>
      <c r="C557" s="302"/>
      <c r="D557" s="302"/>
      <c r="E557" s="302"/>
      <c r="F557" s="302"/>
      <c r="G557" s="376"/>
      <c r="H557" s="514"/>
      <c r="I557" s="830"/>
      <c r="J557" s="305">
        <f>'04-22-Master'!AG27</f>
        <v>28246.40396</v>
      </c>
      <c r="K557" s="830"/>
      <c r="L557" s="832" t="s">
        <v>35</v>
      </c>
    </row>
    <row r="558" spans="1:12" ht="30" customHeight="1">
      <c r="A558" s="390"/>
      <c r="B558" s="378" t="s">
        <v>139</v>
      </c>
      <c r="C558" s="302"/>
      <c r="D558" s="828" t="s">
        <v>32</v>
      </c>
      <c r="E558" s="829">
        <f>'04-22-Master'!AI27</f>
        <v>1774</v>
      </c>
      <c r="F558" s="828" t="s">
        <v>31</v>
      </c>
      <c r="G558" s="829">
        <f>'04-22-Master'!AH1560</f>
        <v>0</v>
      </c>
      <c r="H558" s="828" t="s">
        <v>33</v>
      </c>
      <c r="I558" s="829">
        <f>'04-22-Master'!AJ27</f>
        <v>200</v>
      </c>
      <c r="J558" s="828" t="s">
        <v>34</v>
      </c>
      <c r="K558" s="829">
        <f>'04-22-Master'!AK27</f>
        <v>0</v>
      </c>
      <c r="L558" s="111">
        <f>'04-22-Master'!AL27</f>
        <v>283</v>
      </c>
    </row>
    <row r="559" spans="1:12" ht="30" customHeight="1">
      <c r="A559" s="390"/>
      <c r="B559" s="378" t="s">
        <v>140</v>
      </c>
      <c r="C559" s="302"/>
      <c r="D559" s="302"/>
      <c r="E559" s="302"/>
      <c r="F559" s="302"/>
      <c r="G559" s="376"/>
      <c r="H559" s="514"/>
      <c r="I559" s="830"/>
      <c r="J559" s="305">
        <f>J557-(E558+G558+I558+K558+L558)</f>
        <v>25989.40396</v>
      </c>
      <c r="K559" s="830"/>
      <c r="L559" s="832"/>
    </row>
    <row r="560" spans="1:12" ht="22.5" customHeight="1">
      <c r="A560" s="390"/>
      <c r="B560" s="379" t="s">
        <v>141</v>
      </c>
      <c r="C560" s="102"/>
      <c r="D560" s="102"/>
      <c r="E560" s="102"/>
      <c r="F560" s="102"/>
      <c r="G560" s="103"/>
      <c r="H560" s="104"/>
      <c r="I560" s="105"/>
      <c r="J560" s="105"/>
      <c r="K560" s="105"/>
      <c r="L560" s="106"/>
    </row>
    <row r="561" spans="1:12" ht="22.5" customHeight="1">
      <c r="A561" s="390"/>
      <c r="B561" s="380" t="s">
        <v>142</v>
      </c>
      <c r="C561" s="107"/>
      <c r="D561" s="107"/>
      <c r="E561" s="107"/>
      <c r="F561" s="107"/>
      <c r="G561" s="108"/>
      <c r="H561" s="73"/>
      <c r="I561" s="19"/>
      <c r="J561" s="19"/>
      <c r="K561" s="19"/>
      <c r="L561" s="109"/>
    </row>
    <row r="562" spans="1:12" ht="22.5" customHeight="1">
      <c r="A562" s="390"/>
      <c r="B562" s="15"/>
      <c r="C562" s="300"/>
      <c r="D562" s="300"/>
      <c r="E562" s="300"/>
      <c r="F562" s="300"/>
      <c r="G562" s="300"/>
      <c r="H562" s="300"/>
      <c r="I562" s="300"/>
      <c r="J562" s="300"/>
      <c r="K562" s="300"/>
      <c r="L562" s="16"/>
    </row>
    <row r="563" spans="1:12" s="855" customFormat="1" ht="22.5" customHeight="1">
      <c r="B563" s="15"/>
      <c r="C563" s="300"/>
      <c r="D563" s="300"/>
      <c r="E563" s="300"/>
      <c r="F563" s="300"/>
      <c r="G563" s="300"/>
      <c r="H563" s="300"/>
      <c r="I563" s="300"/>
      <c r="J563" s="300"/>
      <c r="K563" s="300"/>
      <c r="L563" s="16"/>
    </row>
    <row r="564" spans="1:12" s="855" customFormat="1" ht="22.5" customHeight="1">
      <c r="B564" s="15"/>
      <c r="C564" s="300"/>
      <c r="D564" s="300"/>
      <c r="E564" s="300"/>
      <c r="F564" s="300"/>
      <c r="G564" s="300"/>
      <c r="H564" s="300"/>
      <c r="I564" s="300"/>
      <c r="J564" s="300"/>
      <c r="K564" s="300"/>
      <c r="L564" s="16"/>
    </row>
    <row r="565" spans="1:12" s="855" customFormat="1" ht="22.5" customHeight="1">
      <c r="B565" s="15"/>
      <c r="C565" s="300"/>
      <c r="D565" s="300"/>
      <c r="E565" s="300"/>
      <c r="F565" s="300"/>
      <c r="G565" s="300"/>
      <c r="H565" s="300"/>
      <c r="I565" s="300"/>
      <c r="J565" s="300"/>
      <c r="K565" s="300"/>
      <c r="L565" s="16"/>
    </row>
    <row r="566" spans="1:12" s="855" customFormat="1" ht="22.5" customHeight="1">
      <c r="B566" s="15"/>
      <c r="C566" s="300"/>
      <c r="D566" s="300"/>
      <c r="E566" s="300"/>
      <c r="F566" s="300"/>
      <c r="G566" s="300"/>
      <c r="H566" s="300"/>
      <c r="I566" s="300"/>
      <c r="J566" s="300"/>
      <c r="K566" s="300"/>
      <c r="L566" s="16"/>
    </row>
    <row r="567" spans="1:12" s="855" customFormat="1" ht="22.5" customHeight="1" thickBot="1">
      <c r="B567" s="15"/>
      <c r="C567" s="300"/>
      <c r="D567" s="300"/>
      <c r="E567" s="300"/>
      <c r="F567" s="300"/>
      <c r="G567" s="300"/>
      <c r="H567" s="300"/>
      <c r="I567" s="300"/>
      <c r="J567" s="300"/>
      <c r="K567" s="300"/>
      <c r="L567" s="16"/>
    </row>
    <row r="568" spans="1:12" ht="32.25">
      <c r="A568" s="390"/>
      <c r="B568" s="1256" t="s">
        <v>117</v>
      </c>
      <c r="C568" s="1257"/>
      <c r="D568" s="1257"/>
      <c r="E568" s="1257"/>
      <c r="F568" s="1257"/>
      <c r="G568" s="1257"/>
      <c r="H568" s="1257"/>
      <c r="I568" s="1257"/>
      <c r="J568" s="1257"/>
      <c r="K568" s="1257"/>
      <c r="L568" s="1258"/>
    </row>
    <row r="569" spans="1:12" ht="23.25">
      <c r="A569" s="390"/>
      <c r="B569" s="1237" t="s">
        <v>118</v>
      </c>
      <c r="C569" s="1238"/>
      <c r="D569" s="1238"/>
      <c r="E569" s="1238"/>
      <c r="F569" s="1238"/>
      <c r="G569" s="1238"/>
      <c r="H569" s="1238"/>
      <c r="I569" s="1238"/>
      <c r="J569" s="1238"/>
      <c r="K569" s="1238"/>
      <c r="L569" s="1239"/>
    </row>
    <row r="570" spans="1:12" ht="16.5" thickBot="1">
      <c r="A570" s="390"/>
      <c r="B570" s="1240" t="s">
        <v>119</v>
      </c>
      <c r="C570" s="1241"/>
      <c r="D570" s="1241"/>
      <c r="E570" s="1241"/>
      <c r="F570" s="1241"/>
      <c r="G570" s="1241"/>
      <c r="H570" s="1241"/>
      <c r="I570" s="1241"/>
      <c r="J570" s="1241"/>
      <c r="K570" s="1241"/>
      <c r="L570" s="1242"/>
    </row>
    <row r="571" spans="1:12" ht="21.75" customHeight="1">
      <c r="A571" s="390"/>
      <c r="B571" s="1243" t="s">
        <v>120</v>
      </c>
      <c r="C571" s="1244"/>
      <c r="D571" s="1244"/>
      <c r="E571" s="1244"/>
      <c r="F571" s="1244"/>
      <c r="G571" s="300"/>
      <c r="H571" s="1247" t="s">
        <v>121</v>
      </c>
      <c r="I571" s="1247"/>
      <c r="J571" s="1247"/>
      <c r="K571" s="1247"/>
      <c r="L571" s="1248"/>
    </row>
    <row r="572" spans="1:12" ht="21.75" customHeight="1" thickBot="1">
      <c r="A572" s="390"/>
      <c r="B572" s="1245"/>
      <c r="C572" s="1246"/>
      <c r="D572" s="1246"/>
      <c r="E572" s="1246"/>
      <c r="F572" s="1246"/>
      <c r="G572" s="300"/>
      <c r="H572" s="1249"/>
      <c r="I572" s="1249"/>
      <c r="J572" s="1249"/>
      <c r="K572" s="1249"/>
      <c r="L572" s="1250"/>
    </row>
    <row r="573" spans="1:12" ht="21.75" customHeight="1">
      <c r="A573" s="390"/>
      <c r="B573" s="79"/>
      <c r="C573" s="80"/>
      <c r="D573" s="80"/>
      <c r="E573" s="80"/>
      <c r="F573" s="81"/>
      <c r="G573" s="300"/>
      <c r="H573" s="79"/>
      <c r="I573" s="80"/>
      <c r="J573" s="80"/>
      <c r="K573" s="80"/>
      <c r="L573" s="81"/>
    </row>
    <row r="574" spans="1:12" ht="21.75" customHeight="1">
      <c r="A574" s="390"/>
      <c r="B574" s="82" t="s">
        <v>425</v>
      </c>
      <c r="C574" s="300"/>
      <c r="D574" s="300"/>
      <c r="E574" s="300"/>
      <c r="F574" s="16"/>
      <c r="G574" s="300"/>
      <c r="H574" s="82" t="s">
        <v>425</v>
      </c>
      <c r="I574" s="300"/>
      <c r="J574" s="300"/>
      <c r="K574" s="300"/>
      <c r="L574" s="16"/>
    </row>
    <row r="575" spans="1:12" ht="21.75" customHeight="1">
      <c r="A575" s="390"/>
      <c r="B575" s="15"/>
      <c r="C575" s="300"/>
      <c r="D575" s="300"/>
      <c r="E575" s="300"/>
      <c r="F575" s="16"/>
      <c r="G575" s="300"/>
      <c r="H575" s="15"/>
      <c r="I575" s="300"/>
      <c r="J575" s="300"/>
      <c r="K575" s="300"/>
      <c r="L575" s="16"/>
    </row>
    <row r="576" spans="1:12" ht="21.75" customHeight="1">
      <c r="A576" s="390"/>
      <c r="B576" s="82" t="s">
        <v>426</v>
      </c>
      <c r="C576" s="300"/>
      <c r="D576" s="300"/>
      <c r="E576" s="300"/>
      <c r="F576" s="16"/>
      <c r="G576" s="300"/>
      <c r="H576" s="82" t="s">
        <v>426</v>
      </c>
      <c r="I576" s="300"/>
      <c r="J576" s="300"/>
      <c r="K576" s="300"/>
      <c r="L576" s="16"/>
    </row>
    <row r="577" spans="1:12" ht="21.75" customHeight="1" thickBot="1">
      <c r="A577" s="390"/>
      <c r="B577" s="27"/>
      <c r="C577" s="25"/>
      <c r="D577" s="25"/>
      <c r="E577" s="25"/>
      <c r="F577" s="26"/>
      <c r="G577" s="300"/>
      <c r="H577" s="27"/>
      <c r="I577" s="25"/>
      <c r="J577" s="25"/>
      <c r="K577" s="25"/>
      <c r="L577" s="26"/>
    </row>
    <row r="578" spans="1:12" ht="21.75" customHeight="1">
      <c r="A578" s="390"/>
      <c r="B578" s="15"/>
      <c r="C578" s="300"/>
      <c r="D578" s="300"/>
      <c r="E578" s="300"/>
      <c r="F578" s="300"/>
      <c r="G578" s="300"/>
      <c r="H578" s="300"/>
      <c r="I578" s="300"/>
      <c r="J578" s="300" t="s">
        <v>122</v>
      </c>
      <c r="K578" s="300"/>
      <c r="L578" s="16"/>
    </row>
    <row r="579" spans="1:12" ht="21.75" customHeight="1">
      <c r="A579" s="390"/>
      <c r="B579" s="1212" t="s">
        <v>123</v>
      </c>
      <c r="C579" s="1213"/>
      <c r="D579" s="1213"/>
      <c r="E579" s="1213"/>
      <c r="F579" s="1213"/>
      <c r="G579" s="300"/>
      <c r="H579" s="1213" t="s">
        <v>4</v>
      </c>
      <c r="I579" s="1213"/>
      <c r="J579" s="1213"/>
      <c r="K579" s="1213"/>
      <c r="L579" s="1251"/>
    </row>
    <row r="580" spans="1:12" ht="21.75" customHeight="1" thickBot="1">
      <c r="A580" s="390"/>
      <c r="B580" s="15"/>
      <c r="C580" s="300"/>
      <c r="D580" s="300"/>
      <c r="E580" s="300"/>
      <c r="F580" s="300"/>
      <c r="G580" s="300"/>
      <c r="H580" s="300"/>
      <c r="I580" s="300"/>
      <c r="J580" s="300"/>
      <c r="K580" s="300"/>
      <c r="L580" s="16"/>
    </row>
    <row r="581" spans="1:12" ht="21.75" customHeight="1">
      <c r="A581" s="390"/>
      <c r="B581" s="79"/>
      <c r="C581" s="80"/>
      <c r="D581" s="80"/>
      <c r="E581" s="80"/>
      <c r="F581" s="81"/>
      <c r="G581" s="300"/>
      <c r="H581" s="83"/>
      <c r="I581" s="84"/>
      <c r="J581" s="84"/>
      <c r="K581" s="84"/>
      <c r="L581" s="85"/>
    </row>
    <row r="582" spans="1:12" ht="21.75" customHeight="1">
      <c r="A582" s="390"/>
      <c r="B582" s="15"/>
      <c r="C582" s="300"/>
      <c r="D582" s="300"/>
      <c r="E582" s="300"/>
      <c r="F582" s="16"/>
      <c r="G582" s="300"/>
      <c r="H582" s="82" t="s">
        <v>821</v>
      </c>
      <c r="I582" s="301"/>
      <c r="J582" s="301"/>
      <c r="K582" s="301"/>
      <c r="L582" s="86"/>
    </row>
    <row r="583" spans="1:12" ht="21.75" customHeight="1">
      <c r="A583" s="390"/>
      <c r="B583" s="82" t="s">
        <v>819</v>
      </c>
      <c r="C583" s="300"/>
      <c r="D583" s="300"/>
      <c r="E583" s="300"/>
      <c r="F583" s="16"/>
      <c r="G583" s="300"/>
      <c r="H583" s="82"/>
      <c r="I583" s="301"/>
      <c r="J583" s="301"/>
      <c r="K583" s="301"/>
      <c r="L583" s="86"/>
    </row>
    <row r="584" spans="1:12" ht="21.75" customHeight="1">
      <c r="A584" s="390"/>
      <c r="B584" s="15"/>
      <c r="C584" s="300"/>
      <c r="D584" s="300"/>
      <c r="E584" s="300"/>
      <c r="F584" s="16"/>
      <c r="G584" s="300"/>
      <c r="H584" s="82" t="s">
        <v>427</v>
      </c>
      <c r="I584" s="301"/>
      <c r="J584" s="301"/>
      <c r="K584" s="301"/>
      <c r="L584" s="86"/>
    </row>
    <row r="585" spans="1:12" ht="21.75" customHeight="1" thickBot="1">
      <c r="A585" s="390"/>
      <c r="B585" s="27"/>
      <c r="C585" s="25"/>
      <c r="D585" s="25"/>
      <c r="E585" s="25"/>
      <c r="F585" s="26"/>
      <c r="G585" s="300"/>
      <c r="H585" s="82"/>
      <c r="I585" s="301"/>
      <c r="J585" s="301"/>
      <c r="K585" s="301"/>
      <c r="L585" s="86"/>
    </row>
    <row r="586" spans="1:12" ht="21.75" customHeight="1">
      <c r="A586" s="390"/>
      <c r="B586" s="1221" t="s">
        <v>124</v>
      </c>
      <c r="C586" s="1222"/>
      <c r="D586" s="1222"/>
      <c r="E586" s="1222"/>
      <c r="F586" s="1222"/>
      <c r="G586" s="1252"/>
      <c r="H586" s="1230" t="str">
        <f>'04-22-Master'!B28</f>
        <v>NEERUDU SAI KUMAR</v>
      </c>
      <c r="I586" s="1223"/>
      <c r="J586" s="1223"/>
      <c r="K586" s="1223"/>
      <c r="L586" s="1223"/>
    </row>
    <row r="587" spans="1:12" ht="21.75" customHeight="1">
      <c r="A587" s="390"/>
      <c r="B587" s="1253"/>
      <c r="C587" s="1254"/>
      <c r="D587" s="1254"/>
      <c r="E587" s="1254"/>
      <c r="F587" s="1254"/>
      <c r="G587" s="1254"/>
      <c r="H587" s="1255" t="str">
        <f>'04-22-Master'!G28</f>
        <v>H NO 5-4-46, Seetharam Street, Maripeda bangla, Maripeda, Mahabubabad 506315</v>
      </c>
      <c r="I587" s="1255"/>
      <c r="J587" s="1255"/>
      <c r="K587" s="1255"/>
      <c r="L587" s="1255"/>
    </row>
    <row r="588" spans="1:12" ht="21.75" customHeight="1">
      <c r="A588" s="390"/>
      <c r="B588" s="1225" t="s">
        <v>125</v>
      </c>
      <c r="C588" s="1226"/>
      <c r="D588" s="1226"/>
      <c r="E588" s="1226"/>
      <c r="F588" s="1226"/>
      <c r="G588" s="1226"/>
      <c r="H588" s="1227">
        <v>95</v>
      </c>
      <c r="I588" s="1228"/>
      <c r="J588" s="1228"/>
      <c r="K588" s="1228"/>
      <c r="L588" s="1229"/>
    </row>
    <row r="589" spans="1:12" ht="21.75" customHeight="1">
      <c r="A589" s="390"/>
      <c r="B589" s="1221" t="s">
        <v>126</v>
      </c>
      <c r="C589" s="1222"/>
      <c r="D589" s="1222"/>
      <c r="E589" s="1222"/>
      <c r="F589" s="1222"/>
      <c r="G589" s="1222"/>
      <c r="H589" s="1230" t="str">
        <f>'04-22-Master'!F28</f>
        <v>SAP Basis Consultant</v>
      </c>
      <c r="I589" s="1223"/>
      <c r="J589" s="1223"/>
      <c r="K589" s="1223"/>
      <c r="L589" s="1224"/>
    </row>
    <row r="590" spans="1:12" ht="21.75" customHeight="1">
      <c r="A590" s="390"/>
      <c r="B590" s="1221" t="s">
        <v>127</v>
      </c>
      <c r="C590" s="1222"/>
      <c r="D590" s="1222"/>
      <c r="E590" s="1222"/>
      <c r="F590" s="1222"/>
      <c r="G590" s="1222"/>
      <c r="H590" s="1231">
        <f>'04-22-Master'!I28</f>
        <v>44615</v>
      </c>
      <c r="I590" s="1231"/>
      <c r="J590" s="1231"/>
      <c r="K590" s="1231"/>
      <c r="L590" s="1232"/>
    </row>
    <row r="591" spans="1:12" ht="21.75" customHeight="1">
      <c r="A591" s="390"/>
      <c r="B591" s="378" t="s">
        <v>128</v>
      </c>
      <c r="C591" s="302"/>
      <c r="D591" s="302"/>
      <c r="E591" s="302"/>
      <c r="F591" s="302"/>
      <c r="G591" s="302"/>
      <c r="H591" s="514"/>
      <c r="I591" s="304"/>
      <c r="J591" s="298">
        <f>'04-22-Master'!O656</f>
        <v>0</v>
      </c>
      <c r="K591" s="830"/>
      <c r="L591" s="832"/>
    </row>
    <row r="592" spans="1:12" ht="21.75" customHeight="1">
      <c r="A592" s="390"/>
      <c r="B592" s="378" t="s">
        <v>129</v>
      </c>
      <c r="C592" s="302"/>
      <c r="D592" s="302"/>
      <c r="E592" s="302"/>
      <c r="F592" s="302"/>
      <c r="G592" s="376"/>
      <c r="H592" s="96"/>
      <c r="I592" s="97"/>
      <c r="J592" s="298" t="str">
        <f>'04-22-Master'!N28</f>
        <v>101792969242</v>
      </c>
      <c r="K592" s="97"/>
      <c r="L592" s="98"/>
    </row>
    <row r="593" spans="1:12" ht="21.75" customHeight="1">
      <c r="A593" s="390"/>
      <c r="B593" s="1233" t="s">
        <v>130</v>
      </c>
      <c r="C593" s="1234"/>
      <c r="D593" s="1234"/>
      <c r="E593" s="1234"/>
      <c r="F593" s="1234"/>
      <c r="G593" s="1234"/>
      <c r="H593" s="1227">
        <f>'04-22-Master'!S28</f>
        <v>38567</v>
      </c>
      <c r="I593" s="1227"/>
      <c r="J593" s="1227"/>
      <c r="K593" s="1227"/>
      <c r="L593" s="1235"/>
    </row>
    <row r="594" spans="1:12" ht="21.75" customHeight="1">
      <c r="A594" s="390"/>
      <c r="B594" s="1221" t="s">
        <v>131</v>
      </c>
      <c r="C594" s="1222"/>
      <c r="D594" s="1222"/>
      <c r="E594" s="1222"/>
      <c r="F594" s="1222"/>
      <c r="G594" s="1222"/>
      <c r="H594" s="1236">
        <f>'04-22-Master'!D10</f>
        <v>44652</v>
      </c>
      <c r="I594" s="1223"/>
      <c r="J594" s="1223"/>
      <c r="K594" s="1223"/>
      <c r="L594" s="1224"/>
    </row>
    <row r="595" spans="1:12" ht="21.75" customHeight="1">
      <c r="A595" s="390"/>
      <c r="B595" s="1221" t="s">
        <v>132</v>
      </c>
      <c r="C595" s="1222"/>
      <c r="D595" s="1222"/>
      <c r="E595" s="1222"/>
      <c r="F595" s="1222"/>
      <c r="G595" s="1222"/>
      <c r="H595" s="1223" t="s">
        <v>133</v>
      </c>
      <c r="I595" s="1223"/>
      <c r="J595" s="1223"/>
      <c r="K595" s="1223"/>
      <c r="L595" s="1224"/>
    </row>
    <row r="596" spans="1:12" ht="21.75" customHeight="1">
      <c r="A596" s="390"/>
      <c r="B596" s="378" t="s">
        <v>134</v>
      </c>
      <c r="C596" s="302"/>
      <c r="D596" s="302"/>
      <c r="E596" s="302"/>
      <c r="F596" s="302"/>
      <c r="G596" s="376"/>
      <c r="H596" s="514"/>
      <c r="I596" s="830"/>
      <c r="J596" s="305">
        <f>'04-22-Master'!Q28</f>
        <v>30</v>
      </c>
      <c r="K596" s="830"/>
      <c r="L596" s="832"/>
    </row>
    <row r="597" spans="1:12" ht="21.75" customHeight="1">
      <c r="A597" s="390"/>
      <c r="B597" s="378" t="s">
        <v>135</v>
      </c>
      <c r="C597" s="302"/>
      <c r="D597" s="302"/>
      <c r="E597" s="302"/>
      <c r="F597" s="302"/>
      <c r="G597" s="376"/>
      <c r="H597" s="514"/>
      <c r="I597" s="830"/>
      <c r="J597" s="830" t="s">
        <v>37</v>
      </c>
      <c r="K597" s="830"/>
      <c r="L597" s="832"/>
    </row>
    <row r="598" spans="1:12" ht="21.75" customHeight="1">
      <c r="A598" s="390"/>
      <c r="B598" s="378" t="s">
        <v>136</v>
      </c>
      <c r="C598" s="302"/>
      <c r="D598" s="302"/>
      <c r="E598" s="302"/>
      <c r="F598" s="302"/>
      <c r="G598" s="376"/>
      <c r="H598" s="514"/>
      <c r="I598" s="830"/>
      <c r="J598" s="305">
        <v>0</v>
      </c>
      <c r="K598" s="830"/>
      <c r="L598" s="832"/>
    </row>
    <row r="599" spans="1:12" ht="21.75" customHeight="1">
      <c r="A599" s="390"/>
      <c r="B599" s="378" t="s">
        <v>137</v>
      </c>
      <c r="C599" s="302"/>
      <c r="D599" s="302"/>
      <c r="E599" s="302"/>
      <c r="F599" s="302"/>
      <c r="G599" s="376"/>
      <c r="H599" s="514"/>
      <c r="I599" s="830"/>
      <c r="J599" s="830">
        <v>0</v>
      </c>
      <c r="K599" s="830"/>
      <c r="L599" s="832"/>
    </row>
    <row r="600" spans="1:12" ht="21.75" customHeight="1">
      <c r="A600" s="390"/>
      <c r="B600" s="378" t="s">
        <v>138</v>
      </c>
      <c r="C600" s="302"/>
      <c r="D600" s="302"/>
      <c r="E600" s="302"/>
      <c r="F600" s="302"/>
      <c r="G600" s="376"/>
      <c r="H600" s="514"/>
      <c r="I600" s="830"/>
      <c r="J600" s="305">
        <f>'04-22-Master'!AG28</f>
        <v>43276.002619999992</v>
      </c>
      <c r="K600" s="830"/>
      <c r="L600" s="832" t="s">
        <v>35</v>
      </c>
    </row>
    <row r="601" spans="1:12" ht="21.75" customHeight="1">
      <c r="A601" s="390"/>
      <c r="B601" s="378" t="s">
        <v>139</v>
      </c>
      <c r="C601" s="302"/>
      <c r="D601" s="828" t="s">
        <v>32</v>
      </c>
      <c r="E601" s="829">
        <f>'04-22-Master'!AI28</f>
        <v>1800</v>
      </c>
      <c r="F601" s="828" t="s">
        <v>31</v>
      </c>
      <c r="G601" s="829">
        <f>'04-22-Master'!AH1617</f>
        <v>0</v>
      </c>
      <c r="H601" s="828" t="s">
        <v>33</v>
      </c>
      <c r="I601" s="829">
        <f>'04-22-Master'!AJ28</f>
        <v>200</v>
      </c>
      <c r="J601" s="828" t="s">
        <v>34</v>
      </c>
      <c r="K601" s="829">
        <f>'04-22-Master'!AK28</f>
        <v>0</v>
      </c>
      <c r="L601" s="111">
        <f>'04-22-Master'!AL28</f>
        <v>283</v>
      </c>
    </row>
    <row r="602" spans="1:12" ht="21.75" customHeight="1">
      <c r="A602" s="390"/>
      <c r="B602" s="378" t="s">
        <v>140</v>
      </c>
      <c r="C602" s="302"/>
      <c r="D602" s="302"/>
      <c r="E602" s="302"/>
      <c r="F602" s="302"/>
      <c r="G602" s="376"/>
      <c r="H602" s="514"/>
      <c r="I602" s="830"/>
      <c r="J602" s="305">
        <f>J600-(E601+G601+I601+K601+L601)</f>
        <v>40993.002619999992</v>
      </c>
      <c r="K602" s="830"/>
      <c r="L602" s="832"/>
    </row>
    <row r="603" spans="1:12" ht="21.75" customHeight="1">
      <c r="A603" s="390"/>
      <c r="B603" s="379" t="s">
        <v>141</v>
      </c>
      <c r="C603" s="102"/>
      <c r="D603" s="102"/>
      <c r="E603" s="102"/>
      <c r="F603" s="102"/>
      <c r="G603" s="103"/>
      <c r="H603" s="104"/>
      <c r="I603" s="105"/>
      <c r="J603" s="105"/>
      <c r="K603" s="105"/>
      <c r="L603" s="106"/>
    </row>
    <row r="604" spans="1:12" ht="21.75" customHeight="1">
      <c r="A604" s="390"/>
      <c r="B604" s="380" t="s">
        <v>142</v>
      </c>
      <c r="C604" s="107"/>
      <c r="D604" s="107"/>
      <c r="E604" s="107"/>
      <c r="F604" s="107"/>
      <c r="G604" s="108"/>
      <c r="H604" s="73"/>
      <c r="I604" s="19"/>
      <c r="J604" s="19"/>
      <c r="K604" s="19"/>
      <c r="L604" s="109"/>
    </row>
    <row r="605" spans="1:12" ht="21.75" customHeight="1">
      <c r="A605" s="390"/>
      <c r="B605" s="15"/>
      <c r="C605" s="300"/>
      <c r="D605" s="300"/>
      <c r="E605" s="300"/>
      <c r="F605" s="300"/>
      <c r="G605" s="300"/>
      <c r="H605" s="300"/>
      <c r="I605" s="300"/>
      <c r="J605" s="300"/>
      <c r="K605" s="300"/>
      <c r="L605" s="16"/>
    </row>
    <row r="606" spans="1:12" ht="21.75" customHeight="1" thickBot="1">
      <c r="A606" s="390"/>
      <c r="B606" s="27"/>
      <c r="C606" s="25"/>
      <c r="D606" s="25"/>
      <c r="E606" s="25"/>
      <c r="F606" s="25"/>
      <c r="G606" s="25"/>
      <c r="H606" s="25"/>
      <c r="I606" s="25"/>
      <c r="J606" s="25"/>
      <c r="K606" s="25"/>
      <c r="L606" s="26"/>
    </row>
    <row r="607" spans="1:12">
      <c r="A607" s="390"/>
      <c r="B607" s="390"/>
      <c r="C607" s="390"/>
      <c r="D607" s="390"/>
      <c r="E607" s="390"/>
      <c r="F607" s="390"/>
      <c r="G607" s="390"/>
      <c r="H607" s="390"/>
      <c r="I607" s="390"/>
      <c r="J607" s="390"/>
      <c r="K607" s="390"/>
      <c r="L607" s="390"/>
    </row>
    <row r="608" spans="1:12">
      <c r="A608" s="390"/>
      <c r="B608" s="390"/>
      <c r="C608" s="390"/>
      <c r="D608" s="390"/>
      <c r="E608" s="390"/>
      <c r="F608" s="390"/>
      <c r="G608" s="390"/>
      <c r="H608" s="390"/>
      <c r="I608" s="390"/>
      <c r="J608" s="390"/>
      <c r="K608" s="390"/>
      <c r="L608" s="390"/>
    </row>
    <row r="609" spans="1:12">
      <c r="A609" s="390"/>
      <c r="B609" s="390"/>
      <c r="C609" s="390"/>
      <c r="D609" s="390"/>
      <c r="E609" s="390"/>
      <c r="F609" s="390"/>
      <c r="G609" s="390"/>
      <c r="H609" s="390"/>
      <c r="I609" s="390"/>
      <c r="J609" s="390"/>
      <c r="K609" s="390"/>
      <c r="L609" s="390"/>
    </row>
    <row r="610" spans="1:12">
      <c r="A610" s="390"/>
      <c r="B610" s="390"/>
      <c r="C610" s="390"/>
      <c r="D610" s="390"/>
      <c r="E610" s="390"/>
      <c r="F610" s="390"/>
      <c r="G610" s="390"/>
      <c r="H610" s="390"/>
      <c r="I610" s="390"/>
      <c r="J610" s="390"/>
      <c r="K610" s="390"/>
      <c r="L610" s="390"/>
    </row>
    <row r="611" spans="1:12">
      <c r="A611" s="390"/>
      <c r="B611" s="390"/>
      <c r="C611" s="390"/>
      <c r="D611" s="390"/>
      <c r="E611" s="390"/>
      <c r="F611" s="390"/>
      <c r="G611" s="390"/>
      <c r="H611" s="390"/>
      <c r="I611" s="390"/>
      <c r="J611" s="390"/>
      <c r="K611" s="390"/>
      <c r="L611" s="390"/>
    </row>
    <row r="612" spans="1:12" ht="15.75" thickBot="1">
      <c r="A612" s="390"/>
      <c r="B612" s="390"/>
      <c r="C612" s="390"/>
      <c r="D612" s="390"/>
      <c r="E612" s="390"/>
      <c r="F612" s="390"/>
      <c r="G612" s="390"/>
      <c r="H612" s="390"/>
      <c r="I612" s="390"/>
      <c r="J612" s="390"/>
      <c r="K612" s="390"/>
      <c r="L612" s="390"/>
    </row>
    <row r="613" spans="1:12" ht="32.25">
      <c r="A613" s="390"/>
      <c r="B613" s="1256" t="s">
        <v>117</v>
      </c>
      <c r="C613" s="1257"/>
      <c r="D613" s="1257"/>
      <c r="E613" s="1257"/>
      <c r="F613" s="1257"/>
      <c r="G613" s="1257"/>
      <c r="H613" s="1257"/>
      <c r="I613" s="1257"/>
      <c r="J613" s="1257"/>
      <c r="K613" s="1257"/>
      <c r="L613" s="1258"/>
    </row>
    <row r="614" spans="1:12" ht="23.25">
      <c r="A614" s="390"/>
      <c r="B614" s="1237" t="s">
        <v>118</v>
      </c>
      <c r="C614" s="1238"/>
      <c r="D614" s="1238"/>
      <c r="E614" s="1238"/>
      <c r="F614" s="1238"/>
      <c r="G614" s="1238"/>
      <c r="H614" s="1238"/>
      <c r="I614" s="1238"/>
      <c r="J614" s="1238"/>
      <c r="K614" s="1238"/>
      <c r="L614" s="1239"/>
    </row>
    <row r="615" spans="1:12" ht="16.5" thickBot="1">
      <c r="A615" s="390"/>
      <c r="B615" s="1240" t="s">
        <v>119</v>
      </c>
      <c r="C615" s="1241"/>
      <c r="D615" s="1241"/>
      <c r="E615" s="1241"/>
      <c r="F615" s="1241"/>
      <c r="G615" s="1241"/>
      <c r="H615" s="1241"/>
      <c r="I615" s="1241"/>
      <c r="J615" s="1241"/>
      <c r="K615" s="1241"/>
      <c r="L615" s="1242"/>
    </row>
    <row r="616" spans="1:12">
      <c r="A616" s="390"/>
      <c r="B616" s="1243" t="s">
        <v>120</v>
      </c>
      <c r="C616" s="1244"/>
      <c r="D616" s="1244"/>
      <c r="E616" s="1244"/>
      <c r="F616" s="1244"/>
      <c r="G616" s="300"/>
      <c r="H616" s="1247" t="s">
        <v>121</v>
      </c>
      <c r="I616" s="1247"/>
      <c r="J616" s="1247"/>
      <c r="K616" s="1247"/>
      <c r="L616" s="1248"/>
    </row>
    <row r="617" spans="1:12" ht="22.5" customHeight="1" thickBot="1">
      <c r="A617" s="390"/>
      <c r="B617" s="1245"/>
      <c r="C617" s="1246"/>
      <c r="D617" s="1246"/>
      <c r="E617" s="1246"/>
      <c r="F617" s="1246"/>
      <c r="G617" s="300"/>
      <c r="H617" s="1249"/>
      <c r="I617" s="1249"/>
      <c r="J617" s="1249"/>
      <c r="K617" s="1249"/>
      <c r="L617" s="1250"/>
    </row>
    <row r="618" spans="1:12" ht="22.5" customHeight="1">
      <c r="A618" s="390"/>
      <c r="B618" s="79"/>
      <c r="C618" s="80"/>
      <c r="D618" s="80"/>
      <c r="E618" s="80"/>
      <c r="F618" s="81"/>
      <c r="G618" s="300"/>
      <c r="H618" s="79"/>
      <c r="I618" s="80"/>
      <c r="J618" s="80"/>
      <c r="K618" s="80"/>
      <c r="L618" s="81"/>
    </row>
    <row r="619" spans="1:12" ht="22.5" customHeight="1">
      <c r="A619" s="390"/>
      <c r="B619" s="82" t="s">
        <v>425</v>
      </c>
      <c r="C619" s="300"/>
      <c r="D619" s="300"/>
      <c r="E619" s="300"/>
      <c r="F619" s="16"/>
      <c r="G619" s="300"/>
      <c r="H619" s="82" t="s">
        <v>425</v>
      </c>
      <c r="I619" s="300"/>
      <c r="J619" s="300"/>
      <c r="K619" s="300"/>
      <c r="L619" s="16"/>
    </row>
    <row r="620" spans="1:12" ht="22.5" customHeight="1">
      <c r="A620" s="390"/>
      <c r="B620" s="15"/>
      <c r="C620" s="300"/>
      <c r="D620" s="300"/>
      <c r="E620" s="300"/>
      <c r="F620" s="16"/>
      <c r="G620" s="300"/>
      <c r="H620" s="15"/>
      <c r="I620" s="300"/>
      <c r="J620" s="300"/>
      <c r="K620" s="300"/>
      <c r="L620" s="16"/>
    </row>
    <row r="621" spans="1:12" ht="22.5" customHeight="1">
      <c r="A621" s="390"/>
      <c r="B621" s="82" t="s">
        <v>426</v>
      </c>
      <c r="C621" s="300"/>
      <c r="D621" s="300"/>
      <c r="E621" s="300"/>
      <c r="F621" s="16"/>
      <c r="G621" s="300"/>
      <c r="H621" s="82" t="s">
        <v>426</v>
      </c>
      <c r="I621" s="300"/>
      <c r="J621" s="300"/>
      <c r="K621" s="300"/>
      <c r="L621" s="16"/>
    </row>
    <row r="622" spans="1:12" ht="22.5" customHeight="1" thickBot="1">
      <c r="A622" s="390"/>
      <c r="B622" s="27"/>
      <c r="C622" s="25"/>
      <c r="D622" s="25"/>
      <c r="E622" s="25"/>
      <c r="F622" s="26"/>
      <c r="G622" s="300"/>
      <c r="H622" s="27"/>
      <c r="I622" s="25"/>
      <c r="J622" s="25"/>
      <c r="K622" s="25"/>
      <c r="L622" s="26"/>
    </row>
    <row r="623" spans="1:12" ht="22.5" customHeight="1">
      <c r="A623" s="390"/>
      <c r="B623" s="15"/>
      <c r="C623" s="300"/>
      <c r="D623" s="300"/>
      <c r="E623" s="300"/>
      <c r="F623" s="300"/>
      <c r="G623" s="300"/>
      <c r="H623" s="300"/>
      <c r="I623" s="300"/>
      <c r="J623" s="300" t="s">
        <v>122</v>
      </c>
      <c r="K623" s="300"/>
      <c r="L623" s="16"/>
    </row>
    <row r="624" spans="1:12" ht="22.5" customHeight="1">
      <c r="A624" s="390"/>
      <c r="B624" s="1212" t="s">
        <v>123</v>
      </c>
      <c r="C624" s="1213"/>
      <c r="D624" s="1213"/>
      <c r="E624" s="1213"/>
      <c r="F624" s="1213"/>
      <c r="G624" s="300"/>
      <c r="H624" s="1213" t="s">
        <v>4</v>
      </c>
      <c r="I624" s="1213"/>
      <c r="J624" s="1213"/>
      <c r="K624" s="1213"/>
      <c r="L624" s="1251"/>
    </row>
    <row r="625" spans="1:12" ht="22.5" customHeight="1" thickBot="1">
      <c r="A625" s="390"/>
      <c r="B625" s="15"/>
      <c r="C625" s="300"/>
      <c r="D625" s="300"/>
      <c r="E625" s="300"/>
      <c r="F625" s="300"/>
      <c r="G625" s="300"/>
      <c r="H625" s="300"/>
      <c r="I625" s="300"/>
      <c r="J625" s="300"/>
      <c r="K625" s="300"/>
      <c r="L625" s="16"/>
    </row>
    <row r="626" spans="1:12" ht="22.5" customHeight="1">
      <c r="A626" s="390"/>
      <c r="B626" s="79"/>
      <c r="C626" s="80"/>
      <c r="D626" s="80"/>
      <c r="E626" s="80"/>
      <c r="F626" s="81"/>
      <c r="G626" s="300"/>
      <c r="H626" s="83"/>
      <c r="I626" s="84"/>
      <c r="J626" s="84"/>
      <c r="K626" s="84"/>
      <c r="L626" s="85"/>
    </row>
    <row r="627" spans="1:12" ht="22.5" customHeight="1">
      <c r="A627" s="390"/>
      <c r="B627" s="15"/>
      <c r="C627" s="300"/>
      <c r="D627" s="300"/>
      <c r="E627" s="300"/>
      <c r="F627" s="16"/>
      <c r="G627" s="300"/>
      <c r="H627" s="82" t="s">
        <v>821</v>
      </c>
      <c r="I627" s="301"/>
      <c r="J627" s="301"/>
      <c r="K627" s="301"/>
      <c r="L627" s="86"/>
    </row>
    <row r="628" spans="1:12" ht="22.5" customHeight="1">
      <c r="A628" s="390"/>
      <c r="B628" s="82" t="s">
        <v>819</v>
      </c>
      <c r="C628" s="300"/>
      <c r="D628" s="300"/>
      <c r="E628" s="300"/>
      <c r="F628" s="16"/>
      <c r="G628" s="300"/>
      <c r="H628" s="82"/>
      <c r="I628" s="301"/>
      <c r="J628" s="301"/>
      <c r="K628" s="301"/>
      <c r="L628" s="86"/>
    </row>
    <row r="629" spans="1:12" ht="22.5" customHeight="1">
      <c r="A629" s="390"/>
      <c r="B629" s="15"/>
      <c r="C629" s="300"/>
      <c r="D629" s="300"/>
      <c r="E629" s="300"/>
      <c r="F629" s="16"/>
      <c r="G629" s="300"/>
      <c r="H629" s="82" t="s">
        <v>427</v>
      </c>
      <c r="I629" s="301"/>
      <c r="J629" s="301"/>
      <c r="K629" s="301"/>
      <c r="L629" s="86"/>
    </row>
    <row r="630" spans="1:12" ht="22.5" customHeight="1" thickBot="1">
      <c r="A630" s="390"/>
      <c r="B630" s="27"/>
      <c r="C630" s="25"/>
      <c r="D630" s="25"/>
      <c r="E630" s="25"/>
      <c r="F630" s="26"/>
      <c r="G630" s="300"/>
      <c r="H630" s="82"/>
      <c r="I630" s="301"/>
      <c r="J630" s="301"/>
      <c r="K630" s="301"/>
      <c r="L630" s="86"/>
    </row>
    <row r="631" spans="1:12" ht="30" customHeight="1">
      <c r="A631" s="390"/>
      <c r="B631" s="1221" t="s">
        <v>124</v>
      </c>
      <c r="C631" s="1222"/>
      <c r="D631" s="1222"/>
      <c r="E631" s="1222"/>
      <c r="F631" s="1222"/>
      <c r="G631" s="1252"/>
      <c r="H631" s="1230" t="str">
        <f>'04-22-Master'!B29</f>
        <v>Ramineni Abhilash</v>
      </c>
      <c r="I631" s="1223"/>
      <c r="J631" s="1223"/>
      <c r="K631" s="1223"/>
      <c r="L631" s="1223"/>
    </row>
    <row r="632" spans="1:12" ht="30" customHeight="1">
      <c r="A632" s="390"/>
      <c r="B632" s="1253"/>
      <c r="C632" s="1254"/>
      <c r="D632" s="1254"/>
      <c r="E632" s="1254"/>
      <c r="F632" s="1254"/>
      <c r="G632" s="1254"/>
      <c r="H632" s="1255" t="str">
        <f>'04-22-Master'!G29</f>
        <v>H No 18-626, Flat no 206, Raghavendra Towers, Ashok Nagar, Miryalaguda,</v>
      </c>
      <c r="I632" s="1255"/>
      <c r="J632" s="1255"/>
      <c r="K632" s="1255"/>
      <c r="L632" s="1255"/>
    </row>
    <row r="633" spans="1:12" ht="30" customHeight="1">
      <c r="A633" s="390"/>
      <c r="B633" s="1225" t="s">
        <v>125</v>
      </c>
      <c r="C633" s="1226"/>
      <c r="D633" s="1226"/>
      <c r="E633" s="1226"/>
      <c r="F633" s="1226"/>
      <c r="G633" s="1226"/>
      <c r="H633" s="1227">
        <v>96</v>
      </c>
      <c r="I633" s="1228"/>
      <c r="J633" s="1228"/>
      <c r="K633" s="1228"/>
      <c r="L633" s="1229"/>
    </row>
    <row r="634" spans="1:12" ht="30" customHeight="1">
      <c r="A634" s="390"/>
      <c r="B634" s="1221" t="s">
        <v>126</v>
      </c>
      <c r="C634" s="1222"/>
      <c r="D634" s="1222"/>
      <c r="E634" s="1222"/>
      <c r="F634" s="1222"/>
      <c r="G634" s="1222"/>
      <c r="H634" s="1230" t="str">
        <f>'04-22-Master'!F29</f>
        <v>SAP Basis Consultant</v>
      </c>
      <c r="I634" s="1223"/>
      <c r="J634" s="1223"/>
      <c r="K634" s="1223"/>
      <c r="L634" s="1224"/>
    </row>
    <row r="635" spans="1:12" ht="30" customHeight="1">
      <c r="A635" s="390"/>
      <c r="B635" s="1221" t="s">
        <v>127</v>
      </c>
      <c r="C635" s="1222"/>
      <c r="D635" s="1222"/>
      <c r="E635" s="1222"/>
      <c r="F635" s="1222"/>
      <c r="G635" s="1222"/>
      <c r="H635" s="1231">
        <f>'04-22-Master'!I29</f>
        <v>44615</v>
      </c>
      <c r="I635" s="1231"/>
      <c r="J635" s="1231"/>
      <c r="K635" s="1231"/>
      <c r="L635" s="1232"/>
    </row>
    <row r="636" spans="1:12" ht="30" customHeight="1">
      <c r="A636" s="390"/>
      <c r="B636" s="378" t="s">
        <v>128</v>
      </c>
      <c r="C636" s="302"/>
      <c r="D636" s="302"/>
      <c r="E636" s="302"/>
      <c r="F636" s="302"/>
      <c r="G636" s="302"/>
      <c r="H636" s="514"/>
      <c r="I636" s="304"/>
      <c r="J636" s="298">
        <f>'04-22-Master'!O714</f>
        <v>0</v>
      </c>
      <c r="K636" s="830"/>
      <c r="L636" s="832"/>
    </row>
    <row r="637" spans="1:12" ht="30" customHeight="1">
      <c r="A637" s="390"/>
      <c r="B637" s="378" t="s">
        <v>129</v>
      </c>
      <c r="C637" s="302"/>
      <c r="D637" s="302"/>
      <c r="E637" s="302"/>
      <c r="F637" s="302"/>
      <c r="G637" s="376"/>
      <c r="H637" s="96"/>
      <c r="I637" s="97"/>
      <c r="J637" s="298" t="str">
        <f>'04-22-Master'!N29</f>
        <v>101793033177</v>
      </c>
      <c r="K637" s="97"/>
      <c r="L637" s="98"/>
    </row>
    <row r="638" spans="1:12" ht="30" customHeight="1">
      <c r="A638" s="390"/>
      <c r="B638" s="1233" t="s">
        <v>130</v>
      </c>
      <c r="C638" s="1234"/>
      <c r="D638" s="1234"/>
      <c r="E638" s="1234"/>
      <c r="F638" s="1234"/>
      <c r="G638" s="1234"/>
      <c r="H638" s="1227">
        <f>'04-22-Master'!S29</f>
        <v>38567</v>
      </c>
      <c r="I638" s="1227"/>
      <c r="J638" s="1227"/>
      <c r="K638" s="1227"/>
      <c r="L638" s="1235"/>
    </row>
    <row r="639" spans="1:12" ht="30" customHeight="1">
      <c r="A639" s="390"/>
      <c r="B639" s="1221" t="s">
        <v>131</v>
      </c>
      <c r="C639" s="1222"/>
      <c r="D639" s="1222"/>
      <c r="E639" s="1222"/>
      <c r="F639" s="1222"/>
      <c r="G639" s="1222"/>
      <c r="H639" s="1236">
        <f>'04-22-Master'!D10</f>
        <v>44652</v>
      </c>
      <c r="I639" s="1223"/>
      <c r="J639" s="1223"/>
      <c r="K639" s="1223"/>
      <c r="L639" s="1224"/>
    </row>
    <row r="640" spans="1:12" ht="30" customHeight="1">
      <c r="A640" s="390"/>
      <c r="B640" s="1221" t="s">
        <v>132</v>
      </c>
      <c r="C640" s="1222"/>
      <c r="D640" s="1222"/>
      <c r="E640" s="1222"/>
      <c r="F640" s="1222"/>
      <c r="G640" s="1222"/>
      <c r="H640" s="1223" t="s">
        <v>133</v>
      </c>
      <c r="I640" s="1223"/>
      <c r="J640" s="1223"/>
      <c r="K640" s="1223"/>
      <c r="L640" s="1224"/>
    </row>
    <row r="641" spans="1:12" ht="30" customHeight="1">
      <c r="A641" s="390"/>
      <c r="B641" s="378" t="s">
        <v>134</v>
      </c>
      <c r="C641" s="302"/>
      <c r="D641" s="302"/>
      <c r="E641" s="302"/>
      <c r="F641" s="302"/>
      <c r="G641" s="376"/>
      <c r="H641" s="514"/>
      <c r="I641" s="830"/>
      <c r="J641" s="305">
        <f>'04-22-Master'!Q29</f>
        <v>30</v>
      </c>
      <c r="K641" s="830"/>
      <c r="L641" s="832"/>
    </row>
    <row r="642" spans="1:12" ht="30" customHeight="1">
      <c r="A642" s="390"/>
      <c r="B642" s="378" t="s">
        <v>135</v>
      </c>
      <c r="C642" s="302"/>
      <c r="D642" s="302"/>
      <c r="E642" s="302"/>
      <c r="F642" s="302"/>
      <c r="G642" s="376"/>
      <c r="H642" s="514"/>
      <c r="I642" s="830"/>
      <c r="J642" s="830" t="s">
        <v>37</v>
      </c>
      <c r="K642" s="830"/>
      <c r="L642" s="832"/>
    </row>
    <row r="643" spans="1:12" ht="30" customHeight="1">
      <c r="A643" s="390"/>
      <c r="B643" s="378" t="s">
        <v>136</v>
      </c>
      <c r="C643" s="302"/>
      <c r="D643" s="302"/>
      <c r="E643" s="302"/>
      <c r="F643" s="302"/>
      <c r="G643" s="376"/>
      <c r="H643" s="514"/>
      <c r="I643" s="830"/>
      <c r="J643" s="305">
        <v>0</v>
      </c>
      <c r="K643" s="830"/>
      <c r="L643" s="832"/>
    </row>
    <row r="644" spans="1:12" ht="30" customHeight="1">
      <c r="A644" s="390"/>
      <c r="B644" s="378" t="s">
        <v>137</v>
      </c>
      <c r="C644" s="302"/>
      <c r="D644" s="302"/>
      <c r="E644" s="302"/>
      <c r="F644" s="302"/>
      <c r="G644" s="376"/>
      <c r="H644" s="514"/>
      <c r="I644" s="830"/>
      <c r="J644" s="830">
        <v>0</v>
      </c>
      <c r="K644" s="830"/>
      <c r="L644" s="832"/>
    </row>
    <row r="645" spans="1:12" ht="30" customHeight="1">
      <c r="A645" s="390"/>
      <c r="B645" s="378" t="s">
        <v>138</v>
      </c>
      <c r="C645" s="302"/>
      <c r="D645" s="302"/>
      <c r="E645" s="302"/>
      <c r="F645" s="302"/>
      <c r="G645" s="376"/>
      <c r="H645" s="514"/>
      <c r="I645" s="830"/>
      <c r="J645" s="305">
        <f>'04-22-Master'!AG29</f>
        <v>43276.002619999992</v>
      </c>
      <c r="K645" s="830"/>
      <c r="L645" s="832" t="s">
        <v>35</v>
      </c>
    </row>
    <row r="646" spans="1:12" ht="30" customHeight="1">
      <c r="A646" s="390"/>
      <c r="B646" s="378" t="s">
        <v>139</v>
      </c>
      <c r="C646" s="302"/>
      <c r="D646" s="828" t="s">
        <v>32</v>
      </c>
      <c r="E646" s="829">
        <f>'04-22-Master'!AI29</f>
        <v>1800</v>
      </c>
      <c r="F646" s="828" t="s">
        <v>31</v>
      </c>
      <c r="G646" s="829">
        <f>'04-22-Master'!AH1675</f>
        <v>0</v>
      </c>
      <c r="H646" s="828" t="s">
        <v>33</v>
      </c>
      <c r="I646" s="829">
        <f>'04-22-Master'!AJ29</f>
        <v>200</v>
      </c>
      <c r="J646" s="828" t="s">
        <v>34</v>
      </c>
      <c r="K646" s="829">
        <f>'04-22-Master'!AK29</f>
        <v>0</v>
      </c>
      <c r="L646" s="111">
        <f>'04-22-Master'!AL29</f>
        <v>283</v>
      </c>
    </row>
    <row r="647" spans="1:12" ht="30" customHeight="1">
      <c r="A647" s="390"/>
      <c r="B647" s="378" t="s">
        <v>140</v>
      </c>
      <c r="C647" s="302"/>
      <c r="D647" s="302"/>
      <c r="E647" s="302"/>
      <c r="F647" s="302"/>
      <c r="G647" s="376"/>
      <c r="H647" s="514"/>
      <c r="I647" s="830"/>
      <c r="J647" s="305">
        <f>J645-(E646+G646+I646+K646+L646)</f>
        <v>40993.002619999992</v>
      </c>
      <c r="K647" s="830"/>
      <c r="L647" s="832"/>
    </row>
    <row r="648" spans="1:12" ht="22.5" customHeight="1">
      <c r="A648" s="390"/>
      <c r="B648" s="379" t="s">
        <v>141</v>
      </c>
      <c r="C648" s="102"/>
      <c r="D648" s="102"/>
      <c r="E648" s="102"/>
      <c r="F648" s="102"/>
      <c r="G648" s="103"/>
      <c r="H648" s="104"/>
      <c r="I648" s="105"/>
      <c r="J648" s="105"/>
      <c r="K648" s="105"/>
      <c r="L648" s="106"/>
    </row>
    <row r="649" spans="1:12" ht="22.5" customHeight="1">
      <c r="A649" s="390"/>
      <c r="B649" s="380" t="s">
        <v>142</v>
      </c>
      <c r="C649" s="107"/>
      <c r="D649" s="107"/>
      <c r="E649" s="107"/>
      <c r="F649" s="107"/>
      <c r="G649" s="108"/>
      <c r="H649" s="73"/>
      <c r="I649" s="19"/>
      <c r="J649" s="19"/>
      <c r="K649" s="19"/>
      <c r="L649" s="109"/>
    </row>
    <row r="650" spans="1:12" ht="22.5" customHeight="1">
      <c r="A650" s="390"/>
      <c r="B650" s="15"/>
      <c r="C650" s="300"/>
      <c r="D650" s="300"/>
      <c r="E650" s="300"/>
      <c r="F650" s="300"/>
      <c r="G650" s="300"/>
      <c r="H650" s="300"/>
      <c r="I650" s="300"/>
      <c r="J650" s="300"/>
      <c r="K650" s="300"/>
      <c r="L650" s="16"/>
    </row>
    <row r="651" spans="1:12" ht="22.5" customHeight="1" thickBot="1">
      <c r="A651" s="390"/>
      <c r="B651" s="27"/>
      <c r="C651" s="25"/>
      <c r="D651" s="25"/>
      <c r="E651" s="25"/>
      <c r="F651" s="25"/>
      <c r="G651" s="25"/>
      <c r="H651" s="25"/>
      <c r="I651" s="25"/>
      <c r="J651" s="25"/>
      <c r="K651" s="25"/>
      <c r="L651" s="26"/>
    </row>
    <row r="652" spans="1:12">
      <c r="A652" s="390"/>
      <c r="B652" s="390"/>
      <c r="C652" s="390"/>
      <c r="D652" s="390"/>
      <c r="E652" s="390"/>
      <c r="F652" s="390"/>
      <c r="G652" s="390"/>
      <c r="H652" s="390"/>
      <c r="I652" s="390"/>
      <c r="J652" s="390"/>
      <c r="K652" s="390"/>
      <c r="L652" s="390"/>
    </row>
    <row r="653" spans="1:12">
      <c r="A653" s="390"/>
      <c r="B653" s="390"/>
      <c r="C653" s="390"/>
      <c r="D653" s="390"/>
      <c r="E653" s="390"/>
      <c r="F653" s="390"/>
      <c r="G653" s="390"/>
      <c r="H653" s="390"/>
      <c r="I653" s="390"/>
      <c r="J653" s="390"/>
      <c r="K653" s="390"/>
      <c r="L653" s="390"/>
    </row>
    <row r="654" spans="1:12">
      <c r="A654" s="390"/>
      <c r="B654" s="390"/>
      <c r="C654" s="390"/>
      <c r="D654" s="390"/>
      <c r="E654" s="390"/>
      <c r="F654" s="390"/>
      <c r="G654" s="390"/>
      <c r="H654" s="390"/>
      <c r="I654" s="390"/>
      <c r="J654" s="390"/>
      <c r="K654" s="390"/>
      <c r="L654" s="390"/>
    </row>
    <row r="655" spans="1:12">
      <c r="A655" s="390"/>
      <c r="B655" s="390"/>
      <c r="C655" s="390"/>
      <c r="D655" s="390"/>
      <c r="E655" s="390"/>
      <c r="F655" s="390"/>
      <c r="G655" s="390"/>
      <c r="H655" s="390"/>
      <c r="I655" s="390"/>
      <c r="J655" s="390"/>
      <c r="K655" s="390"/>
      <c r="L655" s="390"/>
    </row>
    <row r="656" spans="1:12">
      <c r="A656" s="390"/>
      <c r="B656" s="390"/>
      <c r="C656" s="390"/>
      <c r="D656" s="390"/>
      <c r="E656" s="390"/>
      <c r="F656" s="390"/>
      <c r="G656" s="390"/>
      <c r="H656" s="390"/>
      <c r="I656" s="390"/>
      <c r="J656" s="390"/>
      <c r="K656" s="390"/>
      <c r="L656" s="390"/>
    </row>
    <row r="657" spans="1:12">
      <c r="A657" s="390"/>
      <c r="B657" s="390"/>
      <c r="C657" s="390"/>
      <c r="D657" s="390"/>
      <c r="E657" s="390"/>
      <c r="F657" s="390"/>
      <c r="G657" s="390"/>
      <c r="H657" s="390"/>
      <c r="I657" s="390"/>
      <c r="J657" s="390"/>
      <c r="K657" s="390"/>
      <c r="L657" s="390"/>
    </row>
    <row r="658" spans="1:12">
      <c r="A658" s="390"/>
      <c r="B658" s="390"/>
      <c r="C658" s="390"/>
      <c r="D658" s="390"/>
      <c r="E658" s="390"/>
      <c r="F658" s="390"/>
      <c r="G658" s="390"/>
      <c r="H658" s="390"/>
      <c r="I658" s="390"/>
      <c r="J658" s="390"/>
      <c r="K658" s="390"/>
      <c r="L658" s="390"/>
    </row>
    <row r="659" spans="1:12" s="1093" customFormat="1">
      <c r="B659" s="1094"/>
      <c r="C659" s="1095"/>
      <c r="D659" s="1095"/>
      <c r="E659" s="1095"/>
      <c r="F659" s="1095"/>
      <c r="G659" s="1095"/>
      <c r="H659" s="1095"/>
      <c r="I659" s="1095"/>
      <c r="J659" s="1095"/>
      <c r="K659" s="1095"/>
      <c r="L659" s="1096"/>
    </row>
    <row r="660" spans="1:12" s="1093" customFormat="1">
      <c r="B660" s="1094"/>
      <c r="C660" s="1095"/>
      <c r="D660" s="1095"/>
      <c r="E660" s="1095"/>
      <c r="F660" s="1095"/>
      <c r="G660" s="1095"/>
      <c r="H660" s="1095"/>
      <c r="I660" s="1095"/>
      <c r="J660" s="1095"/>
      <c r="K660" s="1095"/>
      <c r="L660" s="1096"/>
    </row>
    <row r="661" spans="1:12" s="1093" customFormat="1" ht="15.75" thickBot="1">
      <c r="B661" s="1094"/>
      <c r="C661" s="1095"/>
      <c r="D661" s="1095"/>
      <c r="E661" s="1095"/>
      <c r="F661" s="1095"/>
      <c r="G661" s="1095"/>
      <c r="H661" s="1095"/>
      <c r="I661" s="1095"/>
      <c r="J661" s="1095"/>
      <c r="K661" s="1095"/>
      <c r="L661" s="1096"/>
    </row>
    <row r="662" spans="1:12" ht="32.25">
      <c r="A662" s="855"/>
      <c r="B662" s="1256" t="s">
        <v>117</v>
      </c>
      <c r="C662" s="1257"/>
      <c r="D662" s="1257"/>
      <c r="E662" s="1257"/>
      <c r="F662" s="1257"/>
      <c r="G662" s="1257"/>
      <c r="H662" s="1257"/>
      <c r="I662" s="1257"/>
      <c r="J662" s="1257"/>
      <c r="K662" s="1257"/>
      <c r="L662" s="1258"/>
    </row>
    <row r="663" spans="1:12" ht="23.25">
      <c r="A663" s="855"/>
      <c r="B663" s="1237" t="s">
        <v>118</v>
      </c>
      <c r="C663" s="1238"/>
      <c r="D663" s="1238"/>
      <c r="E663" s="1238"/>
      <c r="F663" s="1238"/>
      <c r="G663" s="1238"/>
      <c r="H663" s="1238"/>
      <c r="I663" s="1238"/>
      <c r="J663" s="1238"/>
      <c r="K663" s="1238"/>
      <c r="L663" s="1239"/>
    </row>
    <row r="664" spans="1:12" ht="16.5" thickBot="1">
      <c r="A664" s="855"/>
      <c r="B664" s="1240" t="s">
        <v>119</v>
      </c>
      <c r="C664" s="1241"/>
      <c r="D664" s="1241"/>
      <c r="E664" s="1241"/>
      <c r="F664" s="1241"/>
      <c r="G664" s="1241"/>
      <c r="H664" s="1241"/>
      <c r="I664" s="1241"/>
      <c r="J664" s="1241"/>
      <c r="K664" s="1241"/>
      <c r="L664" s="1242"/>
    </row>
    <row r="665" spans="1:12">
      <c r="A665" s="855"/>
      <c r="B665" s="1243" t="s">
        <v>120</v>
      </c>
      <c r="C665" s="1244"/>
      <c r="D665" s="1244"/>
      <c r="E665" s="1244"/>
      <c r="F665" s="1244"/>
      <c r="G665" s="300"/>
      <c r="H665" s="1247" t="s">
        <v>121</v>
      </c>
      <c r="I665" s="1247"/>
      <c r="J665" s="1247"/>
      <c r="K665" s="1247"/>
      <c r="L665" s="1248"/>
    </row>
    <row r="666" spans="1:12" ht="15.75" thickBot="1">
      <c r="A666" s="855"/>
      <c r="B666" s="1245"/>
      <c r="C666" s="1246"/>
      <c r="D666" s="1246"/>
      <c r="E666" s="1246"/>
      <c r="F666" s="1246"/>
      <c r="G666" s="300"/>
      <c r="H666" s="1249"/>
      <c r="I666" s="1249"/>
      <c r="J666" s="1249"/>
      <c r="K666" s="1249"/>
      <c r="L666" s="1250"/>
    </row>
    <row r="667" spans="1:12" ht="27.6" customHeight="1">
      <c r="A667" s="855"/>
      <c r="B667" s="79"/>
      <c r="C667" s="80"/>
      <c r="D667" s="80"/>
      <c r="E667" s="80"/>
      <c r="F667" s="81"/>
      <c r="G667" s="300"/>
      <c r="H667" s="79"/>
      <c r="I667" s="80"/>
      <c r="J667" s="80"/>
      <c r="K667" s="80"/>
      <c r="L667" s="81"/>
    </row>
    <row r="668" spans="1:12" ht="27.6" customHeight="1">
      <c r="A668" s="855"/>
      <c r="B668" s="82" t="s">
        <v>425</v>
      </c>
      <c r="C668" s="300"/>
      <c r="D668" s="300"/>
      <c r="E668" s="300"/>
      <c r="F668" s="16"/>
      <c r="G668" s="300"/>
      <c r="H668" s="82" t="s">
        <v>425</v>
      </c>
      <c r="I668" s="300"/>
      <c r="J668" s="300"/>
      <c r="K668" s="300"/>
      <c r="L668" s="16"/>
    </row>
    <row r="669" spans="1:12" ht="27.6" customHeight="1">
      <c r="A669" s="855"/>
      <c r="B669" s="15"/>
      <c r="C669" s="300"/>
      <c r="D669" s="300"/>
      <c r="E669" s="300"/>
      <c r="F669" s="16"/>
      <c r="G669" s="300"/>
      <c r="H669" s="15"/>
      <c r="I669" s="300"/>
      <c r="J669" s="300"/>
      <c r="K669" s="300"/>
      <c r="L669" s="16"/>
    </row>
    <row r="670" spans="1:12" ht="27.6" customHeight="1">
      <c r="A670" s="855"/>
      <c r="B670" s="82" t="s">
        <v>426</v>
      </c>
      <c r="C670" s="300"/>
      <c r="D670" s="300"/>
      <c r="E670" s="300"/>
      <c r="F670" s="16"/>
      <c r="G670" s="300"/>
      <c r="H670" s="82" t="s">
        <v>426</v>
      </c>
      <c r="I670" s="300"/>
      <c r="J670" s="300"/>
      <c r="K670" s="300"/>
      <c r="L670" s="16"/>
    </row>
    <row r="671" spans="1:12" ht="27.6" customHeight="1" thickBot="1">
      <c r="A671" s="855"/>
      <c r="B671" s="27"/>
      <c r="C671" s="25"/>
      <c r="D671" s="25"/>
      <c r="E671" s="25"/>
      <c r="F671" s="26"/>
      <c r="G671" s="300"/>
      <c r="H671" s="27"/>
      <c r="I671" s="25"/>
      <c r="J671" s="25"/>
      <c r="K671" s="25"/>
      <c r="L671" s="26"/>
    </row>
    <row r="672" spans="1:12" ht="27.6" customHeight="1">
      <c r="A672" s="855"/>
      <c r="B672" s="15"/>
      <c r="C672" s="300"/>
      <c r="D672" s="300"/>
      <c r="E672" s="300"/>
      <c r="F672" s="300"/>
      <c r="G672" s="300"/>
      <c r="H672" s="300"/>
      <c r="I672" s="300"/>
      <c r="J672" s="300" t="s">
        <v>122</v>
      </c>
      <c r="K672" s="300"/>
      <c r="L672" s="16"/>
    </row>
    <row r="673" spans="1:12" ht="27.6" customHeight="1">
      <c r="A673" s="855"/>
      <c r="B673" s="1212" t="s">
        <v>123</v>
      </c>
      <c r="C673" s="1213"/>
      <c r="D673" s="1213"/>
      <c r="E673" s="1213"/>
      <c r="F673" s="1213"/>
      <c r="G673" s="300"/>
      <c r="H673" s="1213" t="s">
        <v>4</v>
      </c>
      <c r="I673" s="1213"/>
      <c r="J673" s="1213"/>
      <c r="K673" s="1213"/>
      <c r="L673" s="1251"/>
    </row>
    <row r="674" spans="1:12" ht="27.6" customHeight="1" thickBot="1">
      <c r="A674" s="855"/>
      <c r="B674" s="15"/>
      <c r="C674" s="300"/>
      <c r="D674" s="300"/>
      <c r="E674" s="300"/>
      <c r="F674" s="300"/>
      <c r="G674" s="300"/>
      <c r="H674" s="300"/>
      <c r="I674" s="300"/>
      <c r="J674" s="300"/>
      <c r="K674" s="300"/>
      <c r="L674" s="16"/>
    </row>
    <row r="675" spans="1:12" ht="27.6" customHeight="1">
      <c r="A675" s="855"/>
      <c r="B675" s="79"/>
      <c r="C675" s="80"/>
      <c r="D675" s="80"/>
      <c r="E675" s="80"/>
      <c r="F675" s="81"/>
      <c r="G675" s="300"/>
      <c r="H675" s="83"/>
      <c r="I675" s="84"/>
      <c r="J675" s="84"/>
      <c r="K675" s="84"/>
      <c r="L675" s="85"/>
    </row>
    <row r="676" spans="1:12" ht="27.6" customHeight="1">
      <c r="A676" s="855"/>
      <c r="B676" s="15"/>
      <c r="C676" s="300"/>
      <c r="D676" s="300"/>
      <c r="E676" s="300"/>
      <c r="F676" s="16"/>
      <c r="G676" s="300"/>
      <c r="H676" s="82" t="s">
        <v>821</v>
      </c>
      <c r="I676" s="301"/>
      <c r="J676" s="301"/>
      <c r="K676" s="301"/>
      <c r="L676" s="86"/>
    </row>
    <row r="677" spans="1:12" ht="27.6" customHeight="1">
      <c r="A677" s="855"/>
      <c r="B677" s="82" t="s">
        <v>819</v>
      </c>
      <c r="C677" s="300"/>
      <c r="D677" s="300"/>
      <c r="E677" s="300"/>
      <c r="F677" s="16"/>
      <c r="G677" s="300"/>
      <c r="H677" s="82"/>
      <c r="I677" s="301"/>
      <c r="J677" s="301"/>
      <c r="K677" s="301"/>
      <c r="L677" s="86"/>
    </row>
    <row r="678" spans="1:12" ht="27.6" customHeight="1">
      <c r="A678" s="855"/>
      <c r="B678" s="15"/>
      <c r="C678" s="300"/>
      <c r="D678" s="300"/>
      <c r="E678" s="300"/>
      <c r="F678" s="16"/>
      <c r="G678" s="300"/>
      <c r="H678" s="82" t="s">
        <v>427</v>
      </c>
      <c r="I678" s="301"/>
      <c r="J678" s="301"/>
      <c r="K678" s="301"/>
      <c r="L678" s="86"/>
    </row>
    <row r="679" spans="1:12" ht="27.6" customHeight="1" thickBot="1">
      <c r="A679" s="855"/>
      <c r="B679" s="27"/>
      <c r="C679" s="25"/>
      <c r="D679" s="25"/>
      <c r="E679" s="25"/>
      <c r="F679" s="26"/>
      <c r="G679" s="300"/>
      <c r="H679" s="82"/>
      <c r="I679" s="301"/>
      <c r="J679" s="301"/>
      <c r="K679" s="301"/>
      <c r="L679" s="86"/>
    </row>
    <row r="680" spans="1:12" ht="27.6" customHeight="1">
      <c r="A680" s="855"/>
      <c r="B680" s="1221" t="s">
        <v>124</v>
      </c>
      <c r="C680" s="1222"/>
      <c r="D680" s="1222"/>
      <c r="E680" s="1222"/>
      <c r="F680" s="1222"/>
      <c r="G680" s="1252"/>
      <c r="H680" s="1230" t="str">
        <f>'04-22-Master'!B30</f>
        <v>B SRILATHA</v>
      </c>
      <c r="I680" s="1223"/>
      <c r="J680" s="1223"/>
      <c r="K680" s="1223"/>
      <c r="L680" s="1223"/>
    </row>
    <row r="681" spans="1:12" ht="27.6" customHeight="1">
      <c r="A681" s="855"/>
      <c r="B681" s="1253"/>
      <c r="C681" s="1254"/>
      <c r="D681" s="1254"/>
      <c r="E681" s="1254"/>
      <c r="F681" s="1254"/>
      <c r="G681" s="1254"/>
      <c r="H681" s="1255" t="str">
        <f>'04-22-Master'!G30</f>
        <v>2-177,Main road,Ramavaram post,Nuzendla mandal,Guntur 522660</v>
      </c>
      <c r="I681" s="1255"/>
      <c r="J681" s="1255"/>
      <c r="K681" s="1255"/>
      <c r="L681" s="1255"/>
    </row>
    <row r="682" spans="1:12" ht="27.6" customHeight="1">
      <c r="A682" s="855"/>
      <c r="B682" s="1225" t="s">
        <v>125</v>
      </c>
      <c r="C682" s="1226"/>
      <c r="D682" s="1226"/>
      <c r="E682" s="1226"/>
      <c r="F682" s="1226"/>
      <c r="G682" s="1226"/>
      <c r="H682" s="1227">
        <v>97</v>
      </c>
      <c r="I682" s="1228"/>
      <c r="J682" s="1228"/>
      <c r="K682" s="1228"/>
      <c r="L682" s="1229"/>
    </row>
    <row r="683" spans="1:12" ht="27.6" customHeight="1">
      <c r="A683" s="855"/>
      <c r="B683" s="1221" t="s">
        <v>126</v>
      </c>
      <c r="C683" s="1222"/>
      <c r="D683" s="1222"/>
      <c r="E683" s="1222"/>
      <c r="F683" s="1222"/>
      <c r="G683" s="1222"/>
      <c r="H683" s="1230" t="str">
        <f>'04-22-Master'!F30</f>
        <v>Data Engineer</v>
      </c>
      <c r="I683" s="1223"/>
      <c r="J683" s="1223"/>
      <c r="K683" s="1223"/>
      <c r="L683" s="1224"/>
    </row>
    <row r="684" spans="1:12" ht="27.6" customHeight="1">
      <c r="A684" s="855"/>
      <c r="B684" s="1221" t="s">
        <v>127</v>
      </c>
      <c r="C684" s="1222"/>
      <c r="D684" s="1222"/>
      <c r="E684" s="1222"/>
      <c r="F684" s="1222"/>
      <c r="G684" s="1222"/>
      <c r="H684" s="1231">
        <f>'04-22-Master'!I119</f>
        <v>0</v>
      </c>
      <c r="I684" s="1231"/>
      <c r="J684" s="1231"/>
      <c r="K684" s="1231"/>
      <c r="L684" s="1232"/>
    </row>
    <row r="685" spans="1:12" ht="27.6" customHeight="1">
      <c r="A685" s="855"/>
      <c r="B685" s="378" t="s">
        <v>128</v>
      </c>
      <c r="C685" s="302"/>
      <c r="D685" s="302"/>
      <c r="E685" s="302"/>
      <c r="F685" s="302"/>
      <c r="G685" s="302"/>
      <c r="H685" s="514"/>
      <c r="I685" s="304"/>
      <c r="J685" s="858">
        <f>'04-22-Master'!O750</f>
        <v>0</v>
      </c>
      <c r="K685" s="914"/>
      <c r="L685" s="916"/>
    </row>
    <row r="686" spans="1:12" ht="27.6" customHeight="1">
      <c r="A686" s="855"/>
      <c r="B686" s="378" t="s">
        <v>129</v>
      </c>
      <c r="C686" s="302"/>
      <c r="D686" s="302"/>
      <c r="E686" s="302"/>
      <c r="F686" s="302"/>
      <c r="G686" s="376"/>
      <c r="H686" s="96"/>
      <c r="I686" s="97"/>
      <c r="J686" s="858" t="str">
        <f>'04-22-Master'!N30</f>
        <v>101194018795</v>
      </c>
      <c r="K686" s="97"/>
      <c r="L686" s="98"/>
    </row>
    <row r="687" spans="1:12" ht="27.6" customHeight="1">
      <c r="A687" s="855"/>
      <c r="B687" s="1233" t="s">
        <v>130</v>
      </c>
      <c r="C687" s="1234"/>
      <c r="D687" s="1234"/>
      <c r="E687" s="1234"/>
      <c r="F687" s="1234"/>
      <c r="G687" s="1234"/>
      <c r="H687" s="1227">
        <f>'04-22-Master'!S30</f>
        <v>103450</v>
      </c>
      <c r="I687" s="1227"/>
      <c r="J687" s="1227"/>
      <c r="K687" s="1227"/>
      <c r="L687" s="1235"/>
    </row>
    <row r="688" spans="1:12" ht="27.6" customHeight="1">
      <c r="A688" s="855"/>
      <c r="B688" s="1221" t="s">
        <v>131</v>
      </c>
      <c r="C688" s="1222"/>
      <c r="D688" s="1222"/>
      <c r="E688" s="1222"/>
      <c r="F688" s="1222"/>
      <c r="G688" s="1222"/>
      <c r="H688" s="1236">
        <f>'04-22-Master'!D10</f>
        <v>44652</v>
      </c>
      <c r="I688" s="1223"/>
      <c r="J688" s="1223"/>
      <c r="K688" s="1223"/>
      <c r="L688" s="1224"/>
    </row>
    <row r="689" spans="1:12" ht="27.6" customHeight="1">
      <c r="A689" s="855"/>
      <c r="B689" s="1221" t="s">
        <v>132</v>
      </c>
      <c r="C689" s="1222"/>
      <c r="D689" s="1222"/>
      <c r="E689" s="1222"/>
      <c r="F689" s="1222"/>
      <c r="G689" s="1222"/>
      <c r="H689" s="1223" t="s">
        <v>133</v>
      </c>
      <c r="I689" s="1223"/>
      <c r="J689" s="1223"/>
      <c r="K689" s="1223"/>
      <c r="L689" s="1224"/>
    </row>
    <row r="690" spans="1:12" ht="27.6" customHeight="1">
      <c r="A690" s="855"/>
      <c r="B690" s="378" t="s">
        <v>134</v>
      </c>
      <c r="C690" s="302"/>
      <c r="D690" s="302"/>
      <c r="E690" s="302"/>
      <c r="F690" s="302"/>
      <c r="G690" s="376"/>
      <c r="H690" s="514"/>
      <c r="I690" s="914"/>
      <c r="J690" s="305">
        <f>'04-22-Master'!Q30</f>
        <v>30</v>
      </c>
      <c r="K690" s="914"/>
      <c r="L690" s="916"/>
    </row>
    <row r="691" spans="1:12" ht="27.6" customHeight="1">
      <c r="A691" s="855"/>
      <c r="B691" s="378" t="s">
        <v>135</v>
      </c>
      <c r="C691" s="302"/>
      <c r="D691" s="302"/>
      <c r="E691" s="302"/>
      <c r="F691" s="302"/>
      <c r="G691" s="376"/>
      <c r="H691" s="514"/>
      <c r="I691" s="914"/>
      <c r="J691" s="914" t="s">
        <v>37</v>
      </c>
      <c r="K691" s="914"/>
      <c r="L691" s="916"/>
    </row>
    <row r="692" spans="1:12" ht="27.6" customHeight="1">
      <c r="A692" s="855"/>
      <c r="B692" s="378" t="s">
        <v>136</v>
      </c>
      <c r="C692" s="302"/>
      <c r="D692" s="302"/>
      <c r="E692" s="302"/>
      <c r="F692" s="302"/>
      <c r="G692" s="376"/>
      <c r="H692" s="514"/>
      <c r="I692" s="914"/>
      <c r="J692" s="305">
        <v>0</v>
      </c>
      <c r="K692" s="914"/>
      <c r="L692" s="916"/>
    </row>
    <row r="693" spans="1:12" ht="27.6" customHeight="1">
      <c r="A693" s="855"/>
      <c r="B693" s="378" t="s">
        <v>137</v>
      </c>
      <c r="C693" s="302"/>
      <c r="D693" s="302"/>
      <c r="E693" s="302"/>
      <c r="F693" s="302"/>
      <c r="G693" s="376"/>
      <c r="H693" s="514"/>
      <c r="I693" s="914"/>
      <c r="J693" s="914">
        <v>0</v>
      </c>
      <c r="K693" s="914"/>
      <c r="L693" s="916"/>
    </row>
    <row r="694" spans="1:12" ht="27.6" customHeight="1">
      <c r="A694" s="855"/>
      <c r="B694" s="378" t="s">
        <v>138</v>
      </c>
      <c r="C694" s="302"/>
      <c r="D694" s="302"/>
      <c r="E694" s="302"/>
      <c r="F694" s="302"/>
      <c r="G694" s="376"/>
      <c r="H694" s="514"/>
      <c r="I694" s="914"/>
      <c r="J694" s="305">
        <f>'04-22-Master'!AG30</f>
        <v>113275.67599999999</v>
      </c>
      <c r="K694" s="914"/>
      <c r="L694" s="916" t="s">
        <v>35</v>
      </c>
    </row>
    <row r="695" spans="1:12" ht="27.6" customHeight="1">
      <c r="A695" s="855"/>
      <c r="B695" s="378" t="s">
        <v>139</v>
      </c>
      <c r="C695" s="302"/>
      <c r="D695" s="913" t="s">
        <v>32</v>
      </c>
      <c r="E695" s="912">
        <f>'04-22-Master'!AI30</f>
        <v>1800</v>
      </c>
      <c r="F695" s="913" t="s">
        <v>31</v>
      </c>
      <c r="G695" s="912">
        <f>'04-22-Master'!AH1711</f>
        <v>0</v>
      </c>
      <c r="H695" s="913" t="s">
        <v>33</v>
      </c>
      <c r="I695" s="912">
        <f>'04-22-Master'!AJ30</f>
        <v>200</v>
      </c>
      <c r="J695" s="913" t="s">
        <v>34</v>
      </c>
      <c r="K695" s="912">
        <f>'04-22-Master'!AK30</f>
        <v>0</v>
      </c>
      <c r="L695" s="111">
        <f>'04-22-Master'!AL30</f>
        <v>283</v>
      </c>
    </row>
    <row r="696" spans="1:12" ht="27.6" customHeight="1">
      <c r="A696" s="855"/>
      <c r="B696" s="378" t="s">
        <v>140</v>
      </c>
      <c r="C696" s="302"/>
      <c r="D696" s="302"/>
      <c r="E696" s="302"/>
      <c r="F696" s="302"/>
      <c r="G696" s="376"/>
      <c r="H696" s="514"/>
      <c r="I696" s="914"/>
      <c r="J696" s="305">
        <f>J694-(E695+G695+I695+K695+L695)</f>
        <v>110992.67599999999</v>
      </c>
      <c r="K696" s="914"/>
      <c r="L696" s="916"/>
    </row>
    <row r="697" spans="1:12" ht="27.6" customHeight="1">
      <c r="A697" s="855"/>
      <c r="B697" s="379" t="s">
        <v>141</v>
      </c>
      <c r="C697" s="102"/>
      <c r="D697" s="102"/>
      <c r="E697" s="102"/>
      <c r="F697" s="102"/>
      <c r="G697" s="103"/>
      <c r="H697" s="104"/>
      <c r="I697" s="105"/>
      <c r="J697" s="105"/>
      <c r="K697" s="105"/>
      <c r="L697" s="106"/>
    </row>
    <row r="698" spans="1:12" ht="27.6" customHeight="1">
      <c r="A698" s="855"/>
      <c r="B698" s="380" t="s">
        <v>142</v>
      </c>
      <c r="C698" s="107"/>
      <c r="D698" s="107"/>
      <c r="E698" s="107"/>
      <c r="F698" s="107"/>
      <c r="G698" s="108"/>
      <c r="H698" s="73"/>
      <c r="I698" s="19"/>
      <c r="J698" s="19"/>
      <c r="K698" s="19"/>
      <c r="L698" s="109"/>
    </row>
    <row r="699" spans="1:12">
      <c r="A699" s="855"/>
      <c r="B699" s="15"/>
      <c r="C699" s="300"/>
      <c r="D699" s="300"/>
      <c r="E699" s="300"/>
      <c r="F699" s="300"/>
      <c r="G699" s="300"/>
      <c r="H699" s="300"/>
      <c r="I699" s="300"/>
      <c r="J699" s="300"/>
      <c r="K699" s="300"/>
      <c r="L699" s="16"/>
    </row>
    <row r="700" spans="1:12" ht="15.75" thickBot="1">
      <c r="A700" s="855"/>
      <c r="B700" s="27"/>
      <c r="C700" s="25"/>
      <c r="D700" s="25"/>
      <c r="E700" s="25"/>
      <c r="F700" s="25"/>
      <c r="G700" s="25"/>
      <c r="H700" s="25"/>
      <c r="I700" s="25"/>
      <c r="J700" s="25"/>
      <c r="K700" s="25"/>
      <c r="L700" s="26"/>
    </row>
    <row r="701" spans="1:12">
      <c r="A701" s="855"/>
      <c r="B701" s="855"/>
      <c r="C701" s="855"/>
      <c r="D701" s="855"/>
      <c r="E701" s="855"/>
      <c r="F701" s="855"/>
      <c r="G701" s="855"/>
      <c r="H701" s="855"/>
      <c r="I701" s="855"/>
      <c r="J701" s="855"/>
      <c r="K701" s="855"/>
      <c r="L701" s="855"/>
    </row>
    <row r="702" spans="1:12">
      <c r="A702" s="855"/>
      <c r="B702" s="855"/>
      <c r="C702" s="855"/>
      <c r="D702" s="855"/>
      <c r="E702" s="855"/>
      <c r="F702" s="855"/>
      <c r="G702" s="855"/>
      <c r="H702" s="855"/>
      <c r="I702" s="855"/>
      <c r="J702" s="855"/>
      <c r="K702" s="855"/>
      <c r="L702" s="855"/>
    </row>
    <row r="703" spans="1:12">
      <c r="A703" s="855"/>
      <c r="B703" s="855"/>
      <c r="C703" s="855"/>
      <c r="D703" s="855"/>
      <c r="E703" s="855"/>
      <c r="F703" s="855"/>
      <c r="G703" s="855"/>
      <c r="H703" s="855"/>
      <c r="I703" s="855"/>
      <c r="J703" s="855"/>
      <c r="K703" s="855"/>
      <c r="L703" s="855"/>
    </row>
    <row r="704" spans="1:12">
      <c r="A704" s="855"/>
      <c r="B704" s="855"/>
      <c r="C704" s="855"/>
      <c r="D704" s="855"/>
      <c r="E704" s="855"/>
      <c r="F704" s="855"/>
      <c r="G704" s="855"/>
      <c r="H704" s="855"/>
      <c r="I704" s="855"/>
      <c r="J704" s="855"/>
      <c r="K704" s="855"/>
      <c r="L704" s="855"/>
    </row>
    <row r="705" spans="1:12">
      <c r="A705" s="855"/>
      <c r="B705" s="855"/>
      <c r="C705" s="855"/>
      <c r="D705" s="855"/>
      <c r="E705" s="855"/>
      <c r="F705" s="855"/>
      <c r="G705" s="855"/>
      <c r="H705" s="855"/>
      <c r="I705" s="855"/>
      <c r="J705" s="855"/>
      <c r="K705" s="855"/>
      <c r="L705" s="855"/>
    </row>
    <row r="706" spans="1:12" s="855" customFormat="1"/>
    <row r="707" spans="1:12" s="855" customFormat="1"/>
    <row r="708" spans="1:12" s="855" customFormat="1"/>
    <row r="709" spans="1:12" ht="15.75" thickBot="1">
      <c r="A709" s="855"/>
      <c r="B709" s="855"/>
      <c r="C709" s="855"/>
      <c r="D709" s="855"/>
      <c r="E709" s="855"/>
      <c r="F709" s="855"/>
      <c r="G709" s="855"/>
      <c r="H709" s="855"/>
      <c r="I709" s="855"/>
      <c r="J709" s="855"/>
      <c r="K709" s="855"/>
      <c r="L709" s="855"/>
    </row>
    <row r="710" spans="1:12" ht="32.25">
      <c r="A710" s="855"/>
      <c r="B710" s="1256" t="s">
        <v>117</v>
      </c>
      <c r="C710" s="1257"/>
      <c r="D710" s="1257"/>
      <c r="E710" s="1257"/>
      <c r="F710" s="1257"/>
      <c r="G710" s="1257"/>
      <c r="H710" s="1257"/>
      <c r="I710" s="1257"/>
      <c r="J710" s="1257"/>
      <c r="K710" s="1257"/>
      <c r="L710" s="1258"/>
    </row>
    <row r="711" spans="1:12" ht="23.25">
      <c r="A711" s="855"/>
      <c r="B711" s="1237" t="s">
        <v>118</v>
      </c>
      <c r="C711" s="1238"/>
      <c r="D711" s="1238"/>
      <c r="E711" s="1238"/>
      <c r="F711" s="1238"/>
      <c r="G711" s="1238"/>
      <c r="H711" s="1238"/>
      <c r="I711" s="1238"/>
      <c r="J711" s="1238"/>
      <c r="K711" s="1238"/>
      <c r="L711" s="1239"/>
    </row>
    <row r="712" spans="1:12" ht="16.5" thickBot="1">
      <c r="A712" s="855"/>
      <c r="B712" s="1240" t="s">
        <v>119</v>
      </c>
      <c r="C712" s="1241"/>
      <c r="D712" s="1241"/>
      <c r="E712" s="1241"/>
      <c r="F712" s="1241"/>
      <c r="G712" s="1241"/>
      <c r="H712" s="1241"/>
      <c r="I712" s="1241"/>
      <c r="J712" s="1241"/>
      <c r="K712" s="1241"/>
      <c r="L712" s="1242"/>
    </row>
    <row r="713" spans="1:12">
      <c r="A713" s="855"/>
      <c r="B713" s="1243" t="s">
        <v>120</v>
      </c>
      <c r="C713" s="1244"/>
      <c r="D713" s="1244"/>
      <c r="E713" s="1244"/>
      <c r="F713" s="1244"/>
      <c r="G713" s="300"/>
      <c r="H713" s="1247" t="s">
        <v>121</v>
      </c>
      <c r="I713" s="1247"/>
      <c r="J713" s="1247"/>
      <c r="K713" s="1247"/>
      <c r="L713" s="1248"/>
    </row>
    <row r="714" spans="1:12" ht="27" customHeight="1" thickBot="1">
      <c r="A714" s="855"/>
      <c r="B714" s="1245"/>
      <c r="C714" s="1246"/>
      <c r="D714" s="1246"/>
      <c r="E714" s="1246"/>
      <c r="F714" s="1246"/>
      <c r="G714" s="300"/>
      <c r="H714" s="1249"/>
      <c r="I714" s="1249"/>
      <c r="J714" s="1249"/>
      <c r="K714" s="1249"/>
      <c r="L714" s="1250"/>
    </row>
    <row r="715" spans="1:12" ht="27" customHeight="1">
      <c r="A715" s="855"/>
      <c r="B715" s="79"/>
      <c r="C715" s="80"/>
      <c r="D715" s="80"/>
      <c r="E715" s="80"/>
      <c r="F715" s="81"/>
      <c r="G715" s="300"/>
      <c r="H715" s="79"/>
      <c r="I715" s="80"/>
      <c r="J715" s="80"/>
      <c r="K715" s="80"/>
      <c r="L715" s="81"/>
    </row>
    <row r="716" spans="1:12" ht="27" customHeight="1">
      <c r="A716" s="855"/>
      <c r="B716" s="82" t="s">
        <v>425</v>
      </c>
      <c r="C716" s="300"/>
      <c r="D716" s="300"/>
      <c r="E716" s="300"/>
      <c r="F716" s="16"/>
      <c r="G716" s="300"/>
      <c r="H716" s="82" t="s">
        <v>425</v>
      </c>
      <c r="I716" s="300"/>
      <c r="J716" s="300"/>
      <c r="K716" s="300"/>
      <c r="L716" s="16"/>
    </row>
    <row r="717" spans="1:12" ht="27" customHeight="1">
      <c r="A717" s="855"/>
      <c r="B717" s="15"/>
      <c r="C717" s="300"/>
      <c r="D717" s="300"/>
      <c r="E717" s="300"/>
      <c r="F717" s="16"/>
      <c r="G717" s="300"/>
      <c r="H717" s="15"/>
      <c r="I717" s="300"/>
      <c r="J717" s="300"/>
      <c r="K717" s="300"/>
      <c r="L717" s="16"/>
    </row>
    <row r="718" spans="1:12" ht="27" customHeight="1">
      <c r="A718" s="855"/>
      <c r="B718" s="82" t="s">
        <v>426</v>
      </c>
      <c r="C718" s="300"/>
      <c r="D718" s="300"/>
      <c r="E718" s="300"/>
      <c r="F718" s="16"/>
      <c r="G718" s="300"/>
      <c r="H718" s="82" t="s">
        <v>426</v>
      </c>
      <c r="I718" s="300"/>
      <c r="J718" s="300"/>
      <c r="K718" s="300"/>
      <c r="L718" s="16"/>
    </row>
    <row r="719" spans="1:12" ht="27" customHeight="1" thickBot="1">
      <c r="A719" s="855"/>
      <c r="B719" s="27"/>
      <c r="C719" s="25"/>
      <c r="D719" s="25"/>
      <c r="E719" s="25"/>
      <c r="F719" s="26"/>
      <c r="G719" s="300"/>
      <c r="H719" s="27"/>
      <c r="I719" s="25"/>
      <c r="J719" s="25"/>
      <c r="K719" s="25"/>
      <c r="L719" s="26"/>
    </row>
    <row r="720" spans="1:12" ht="27" customHeight="1">
      <c r="A720" s="855"/>
      <c r="B720" s="15"/>
      <c r="C720" s="300"/>
      <c r="D720" s="300"/>
      <c r="E720" s="300"/>
      <c r="F720" s="300"/>
      <c r="G720" s="300"/>
      <c r="H720" s="300"/>
      <c r="I720" s="300"/>
      <c r="J720" s="300" t="s">
        <v>122</v>
      </c>
      <c r="K720" s="300"/>
      <c r="L720" s="16"/>
    </row>
    <row r="721" spans="1:12" ht="27" customHeight="1">
      <c r="A721" s="855"/>
      <c r="B721" s="1212" t="s">
        <v>123</v>
      </c>
      <c r="C721" s="1213"/>
      <c r="D721" s="1213"/>
      <c r="E721" s="1213"/>
      <c r="F721" s="1213"/>
      <c r="G721" s="300"/>
      <c r="H721" s="1213" t="s">
        <v>4</v>
      </c>
      <c r="I721" s="1213"/>
      <c r="J721" s="1213"/>
      <c r="K721" s="1213"/>
      <c r="L721" s="1251"/>
    </row>
    <row r="722" spans="1:12" ht="27" customHeight="1" thickBot="1">
      <c r="A722" s="855"/>
      <c r="B722" s="15"/>
      <c r="C722" s="300"/>
      <c r="D722" s="300"/>
      <c r="E722" s="300"/>
      <c r="F722" s="300"/>
      <c r="G722" s="300"/>
      <c r="H722" s="300"/>
      <c r="I722" s="300"/>
      <c r="J722" s="300"/>
      <c r="K722" s="300"/>
      <c r="L722" s="16"/>
    </row>
    <row r="723" spans="1:12" ht="27" customHeight="1">
      <c r="A723" s="855"/>
      <c r="B723" s="79"/>
      <c r="C723" s="80"/>
      <c r="D723" s="80"/>
      <c r="E723" s="80"/>
      <c r="F723" s="81"/>
      <c r="G723" s="300"/>
      <c r="H723" s="83"/>
      <c r="I723" s="84"/>
      <c r="J723" s="84"/>
      <c r="K723" s="84"/>
      <c r="L723" s="85"/>
    </row>
    <row r="724" spans="1:12" ht="27" customHeight="1">
      <c r="A724" s="855"/>
      <c r="B724" s="15"/>
      <c r="C724" s="300"/>
      <c r="D724" s="300"/>
      <c r="E724" s="300"/>
      <c r="F724" s="16"/>
      <c r="G724" s="300"/>
      <c r="H724" s="82" t="s">
        <v>821</v>
      </c>
      <c r="I724" s="301"/>
      <c r="J724" s="301"/>
      <c r="K724" s="301"/>
      <c r="L724" s="86"/>
    </row>
    <row r="725" spans="1:12" ht="27" customHeight="1">
      <c r="A725" s="855"/>
      <c r="B725" s="82" t="s">
        <v>819</v>
      </c>
      <c r="C725" s="300"/>
      <c r="D725" s="300"/>
      <c r="E725" s="300"/>
      <c r="F725" s="16"/>
      <c r="G725" s="300"/>
      <c r="H725" s="82"/>
      <c r="I725" s="301"/>
      <c r="J725" s="301"/>
      <c r="K725" s="301"/>
      <c r="L725" s="86"/>
    </row>
    <row r="726" spans="1:12" ht="27" customHeight="1">
      <c r="A726" s="855"/>
      <c r="B726" s="15"/>
      <c r="C726" s="300"/>
      <c r="D726" s="300"/>
      <c r="E726" s="300"/>
      <c r="F726" s="16"/>
      <c r="G726" s="300"/>
      <c r="H726" s="82" t="s">
        <v>427</v>
      </c>
      <c r="I726" s="301"/>
      <c r="J726" s="301"/>
      <c r="K726" s="301"/>
      <c r="L726" s="86"/>
    </row>
    <row r="727" spans="1:12" ht="27" customHeight="1" thickBot="1">
      <c r="A727" s="855"/>
      <c r="B727" s="27"/>
      <c r="C727" s="25"/>
      <c r="D727" s="25"/>
      <c r="E727" s="25"/>
      <c r="F727" s="26"/>
      <c r="G727" s="300"/>
      <c r="H727" s="82"/>
      <c r="I727" s="301"/>
      <c r="J727" s="301"/>
      <c r="K727" s="301"/>
      <c r="L727" s="86"/>
    </row>
    <row r="728" spans="1:12" ht="27" customHeight="1">
      <c r="A728" s="855"/>
      <c r="B728" s="1221" t="s">
        <v>124</v>
      </c>
      <c r="C728" s="1222"/>
      <c r="D728" s="1222"/>
      <c r="E728" s="1222"/>
      <c r="F728" s="1222"/>
      <c r="G728" s="1252"/>
      <c r="H728" s="1230" t="str">
        <f>'04-22-Master'!B31</f>
        <v> SURESH Kumar KOLA</v>
      </c>
      <c r="I728" s="1223"/>
      <c r="J728" s="1223"/>
      <c r="K728" s="1223"/>
      <c r="L728" s="1223"/>
    </row>
    <row r="729" spans="1:12" ht="27" customHeight="1">
      <c r="A729" s="855"/>
      <c r="B729" s="1253"/>
      <c r="C729" s="1254"/>
      <c r="D729" s="1254"/>
      <c r="E729" s="1254"/>
      <c r="F729" s="1254"/>
      <c r="G729" s="1254"/>
      <c r="H729" s="1255" t="str">
        <f>'04-22-Master'!G31</f>
        <v>H No 2-4-123/1/5/F/3,Street No1,seven hills colony,Uppal,Hyderabad 500039</v>
      </c>
      <c r="I729" s="1255"/>
      <c r="J729" s="1255"/>
      <c r="K729" s="1255"/>
      <c r="L729" s="1255"/>
    </row>
    <row r="730" spans="1:12" ht="27" customHeight="1">
      <c r="A730" s="855"/>
      <c r="B730" s="1225" t="s">
        <v>125</v>
      </c>
      <c r="C730" s="1226"/>
      <c r="D730" s="1226"/>
      <c r="E730" s="1226"/>
      <c r="F730" s="1226"/>
      <c r="G730" s="1226"/>
      <c r="H730" s="1227">
        <v>98</v>
      </c>
      <c r="I730" s="1228"/>
      <c r="J730" s="1228"/>
      <c r="K730" s="1228"/>
      <c r="L730" s="1229"/>
    </row>
    <row r="731" spans="1:12" ht="27" customHeight="1">
      <c r="A731" s="855"/>
      <c r="B731" s="1221" t="s">
        <v>126</v>
      </c>
      <c r="C731" s="1222"/>
      <c r="D731" s="1222"/>
      <c r="E731" s="1222"/>
      <c r="F731" s="1222"/>
      <c r="G731" s="1222"/>
      <c r="H731" s="1230" t="str">
        <f>'04-22-Master'!F31</f>
        <v>SOFTWARE ENGINEER</v>
      </c>
      <c r="I731" s="1223"/>
      <c r="J731" s="1223"/>
      <c r="K731" s="1223"/>
      <c r="L731" s="1224"/>
    </row>
    <row r="732" spans="1:12" ht="27" customHeight="1">
      <c r="A732" s="855"/>
      <c r="B732" s="1221" t="s">
        <v>127</v>
      </c>
      <c r="C732" s="1222"/>
      <c r="D732" s="1222"/>
      <c r="E732" s="1222"/>
      <c r="F732" s="1222"/>
      <c r="G732" s="1222"/>
      <c r="H732" s="1231">
        <f>'04-22-Master'!I31</f>
        <v>44637</v>
      </c>
      <c r="I732" s="1231"/>
      <c r="J732" s="1231"/>
      <c r="K732" s="1231"/>
      <c r="L732" s="1232"/>
    </row>
    <row r="733" spans="1:12" ht="27" customHeight="1">
      <c r="A733" s="855"/>
      <c r="B733" s="378" t="s">
        <v>128</v>
      </c>
      <c r="C733" s="302"/>
      <c r="D733" s="302"/>
      <c r="E733" s="302"/>
      <c r="F733" s="302"/>
      <c r="G733" s="302"/>
      <c r="H733" s="514"/>
      <c r="I733" s="304"/>
      <c r="J733" s="858">
        <f>'04-22-Master'!O808</f>
        <v>0</v>
      </c>
      <c r="K733" s="914"/>
      <c r="L733" s="916"/>
    </row>
    <row r="734" spans="1:12" ht="27" customHeight="1">
      <c r="A734" s="855"/>
      <c r="B734" s="378" t="s">
        <v>129</v>
      </c>
      <c r="C734" s="302"/>
      <c r="D734" s="302"/>
      <c r="E734" s="302"/>
      <c r="F734" s="302"/>
      <c r="G734" s="376"/>
      <c r="H734" s="96"/>
      <c r="I734" s="97"/>
      <c r="J734" s="858" t="str">
        <f>'04-22-Master'!N31</f>
        <v>101739029576</v>
      </c>
      <c r="K734" s="97"/>
      <c r="L734" s="98"/>
    </row>
    <row r="735" spans="1:12" ht="27" customHeight="1">
      <c r="A735" s="855"/>
      <c r="B735" s="1233" t="s">
        <v>130</v>
      </c>
      <c r="C735" s="1234"/>
      <c r="D735" s="1234"/>
      <c r="E735" s="1234"/>
      <c r="F735" s="1234"/>
      <c r="G735" s="1234"/>
      <c r="H735" s="1227">
        <f>'04-22-Master'!S31</f>
        <v>80278</v>
      </c>
      <c r="I735" s="1227"/>
      <c r="J735" s="1227"/>
      <c r="K735" s="1227"/>
      <c r="L735" s="1235"/>
    </row>
    <row r="736" spans="1:12" ht="27" customHeight="1">
      <c r="A736" s="855"/>
      <c r="B736" s="1221" t="s">
        <v>131</v>
      </c>
      <c r="C736" s="1222"/>
      <c r="D736" s="1222"/>
      <c r="E736" s="1222"/>
      <c r="F736" s="1222"/>
      <c r="G736" s="1222"/>
      <c r="H736" s="1236">
        <f>'04-22-Master'!D10</f>
        <v>44652</v>
      </c>
      <c r="I736" s="1223"/>
      <c r="J736" s="1223"/>
      <c r="K736" s="1223"/>
      <c r="L736" s="1224"/>
    </row>
    <row r="737" spans="1:12" ht="27" customHeight="1">
      <c r="A737" s="855"/>
      <c r="B737" s="1221" t="s">
        <v>132</v>
      </c>
      <c r="C737" s="1222"/>
      <c r="D737" s="1222"/>
      <c r="E737" s="1222"/>
      <c r="F737" s="1222"/>
      <c r="G737" s="1222"/>
      <c r="H737" s="1223" t="s">
        <v>133</v>
      </c>
      <c r="I737" s="1223"/>
      <c r="J737" s="1223"/>
      <c r="K737" s="1223"/>
      <c r="L737" s="1224"/>
    </row>
    <row r="738" spans="1:12" ht="27" customHeight="1">
      <c r="A738" s="855"/>
      <c r="B738" s="378" t="s">
        <v>134</v>
      </c>
      <c r="C738" s="302"/>
      <c r="D738" s="302"/>
      <c r="E738" s="302"/>
      <c r="F738" s="302"/>
      <c r="G738" s="376"/>
      <c r="H738" s="514"/>
      <c r="I738" s="914"/>
      <c r="J738" s="305">
        <f>'04-22-Master'!Q31</f>
        <v>30</v>
      </c>
      <c r="K738" s="914"/>
      <c r="L738" s="916"/>
    </row>
    <row r="739" spans="1:12" ht="27" customHeight="1">
      <c r="A739" s="855"/>
      <c r="B739" s="378" t="s">
        <v>135</v>
      </c>
      <c r="C739" s="302"/>
      <c r="D739" s="302"/>
      <c r="E739" s="302"/>
      <c r="F739" s="302"/>
      <c r="G739" s="376"/>
      <c r="H739" s="514"/>
      <c r="I739" s="914"/>
      <c r="J739" s="914" t="s">
        <v>37</v>
      </c>
      <c r="K739" s="914"/>
      <c r="L739" s="916"/>
    </row>
    <row r="740" spans="1:12" ht="27" customHeight="1">
      <c r="A740" s="855"/>
      <c r="B740" s="378" t="s">
        <v>136</v>
      </c>
      <c r="C740" s="302"/>
      <c r="D740" s="302"/>
      <c r="E740" s="302"/>
      <c r="F740" s="302"/>
      <c r="G740" s="376"/>
      <c r="H740" s="514"/>
      <c r="I740" s="914"/>
      <c r="J740" s="305">
        <v>0</v>
      </c>
      <c r="K740" s="914"/>
      <c r="L740" s="916"/>
    </row>
    <row r="741" spans="1:12" ht="27" customHeight="1">
      <c r="A741" s="855"/>
      <c r="B741" s="378" t="s">
        <v>137</v>
      </c>
      <c r="C741" s="302"/>
      <c r="D741" s="302"/>
      <c r="E741" s="302"/>
      <c r="F741" s="302"/>
      <c r="G741" s="376"/>
      <c r="H741" s="514"/>
      <c r="I741" s="914"/>
      <c r="J741" s="914">
        <v>0</v>
      </c>
      <c r="K741" s="914"/>
      <c r="L741" s="916"/>
    </row>
    <row r="742" spans="1:12" ht="27" customHeight="1">
      <c r="A742" s="855"/>
      <c r="B742" s="378" t="s">
        <v>138</v>
      </c>
      <c r="C742" s="302"/>
      <c r="D742" s="302"/>
      <c r="E742" s="302"/>
      <c r="F742" s="302"/>
      <c r="G742" s="376"/>
      <c r="H742" s="514"/>
      <c r="I742" s="914"/>
      <c r="J742" s="305">
        <f>'04-22-Master'!AG31</f>
        <v>88276.332079999993</v>
      </c>
      <c r="K742" s="914"/>
      <c r="L742" s="916" t="s">
        <v>35</v>
      </c>
    </row>
    <row r="743" spans="1:12" ht="27" customHeight="1">
      <c r="A743" s="855"/>
      <c r="B743" s="378" t="s">
        <v>139</v>
      </c>
      <c r="C743" s="302"/>
      <c r="D743" s="913" t="s">
        <v>32</v>
      </c>
      <c r="E743" s="912">
        <f>'04-22-Master'!AI31</f>
        <v>1800</v>
      </c>
      <c r="F743" s="913" t="s">
        <v>31</v>
      </c>
      <c r="G743" s="912">
        <f>'04-22-Master'!AH1769</f>
        <v>0</v>
      </c>
      <c r="H743" s="913" t="s">
        <v>33</v>
      </c>
      <c r="I743" s="912">
        <f>'04-22-Master'!AJ31</f>
        <v>200</v>
      </c>
      <c r="J743" s="913" t="s">
        <v>34</v>
      </c>
      <c r="K743" s="912">
        <f>'04-22-Master'!AK31</f>
        <v>0</v>
      </c>
      <c r="L743" s="111">
        <f>'04-22-Master'!AL31</f>
        <v>283</v>
      </c>
    </row>
    <row r="744" spans="1:12" ht="27" customHeight="1">
      <c r="A744" s="855"/>
      <c r="B744" s="378" t="s">
        <v>140</v>
      </c>
      <c r="C744" s="302"/>
      <c r="D744" s="302"/>
      <c r="E744" s="302"/>
      <c r="F744" s="302"/>
      <c r="G744" s="376"/>
      <c r="H744" s="514"/>
      <c r="I744" s="914"/>
      <c r="J744" s="305">
        <f>J742-(E743+G743+I743+K743+L743)</f>
        <v>85993.332079999993</v>
      </c>
      <c r="K744" s="914"/>
      <c r="L744" s="916"/>
    </row>
    <row r="745" spans="1:12" ht="27" customHeight="1">
      <c r="A745" s="855"/>
      <c r="B745" s="379" t="s">
        <v>141</v>
      </c>
      <c r="C745" s="102"/>
      <c r="D745" s="102"/>
      <c r="E745" s="102"/>
      <c r="F745" s="102"/>
      <c r="G745" s="103"/>
      <c r="H745" s="104"/>
      <c r="I745" s="105"/>
      <c r="J745" s="105"/>
      <c r="K745" s="105"/>
      <c r="L745" s="106"/>
    </row>
    <row r="746" spans="1:12" ht="27" customHeight="1">
      <c r="A746" s="855"/>
      <c r="B746" s="380" t="s">
        <v>142</v>
      </c>
      <c r="C746" s="107"/>
      <c r="D746" s="107"/>
      <c r="E746" s="107"/>
      <c r="F746" s="107"/>
      <c r="G746" s="108"/>
      <c r="H746" s="73"/>
      <c r="I746" s="19"/>
      <c r="J746" s="19"/>
      <c r="K746" s="19"/>
      <c r="L746" s="109"/>
    </row>
    <row r="747" spans="1:12">
      <c r="A747" s="855"/>
      <c r="B747" s="15"/>
      <c r="C747" s="300"/>
      <c r="D747" s="300"/>
      <c r="E747" s="300"/>
      <c r="F747" s="300"/>
      <c r="G747" s="300"/>
      <c r="H747" s="300"/>
      <c r="I747" s="300"/>
      <c r="J747" s="300"/>
      <c r="K747" s="300"/>
      <c r="L747" s="16"/>
    </row>
    <row r="748" spans="1:12" ht="15.75" thickBot="1">
      <c r="A748" s="855"/>
      <c r="B748" s="27"/>
      <c r="C748" s="25"/>
      <c r="D748" s="25"/>
      <c r="E748" s="25"/>
      <c r="F748" s="25"/>
      <c r="G748" s="25"/>
      <c r="H748" s="25"/>
      <c r="I748" s="25"/>
      <c r="J748" s="25"/>
      <c r="K748" s="25"/>
      <c r="L748" s="26"/>
    </row>
    <row r="749" spans="1:12">
      <c r="A749" s="855"/>
      <c r="B749" s="855"/>
      <c r="C749" s="855"/>
      <c r="D749" s="855"/>
      <c r="E749" s="855"/>
      <c r="F749" s="855"/>
      <c r="G749" s="855"/>
      <c r="H749" s="855"/>
      <c r="I749" s="855"/>
      <c r="J749" s="855"/>
      <c r="K749" s="855"/>
      <c r="L749" s="855"/>
    </row>
    <row r="750" spans="1:12">
      <c r="A750" s="855"/>
      <c r="B750" s="855"/>
      <c r="C750" s="855"/>
      <c r="D750" s="855"/>
      <c r="E750" s="855"/>
      <c r="F750" s="855"/>
      <c r="G750" s="855"/>
      <c r="H750" s="855"/>
      <c r="I750" s="855"/>
      <c r="J750" s="855"/>
      <c r="K750" s="855"/>
      <c r="L750" s="855"/>
    </row>
    <row r="751" spans="1:12">
      <c r="A751" s="855"/>
      <c r="B751" s="855"/>
      <c r="C751" s="855"/>
      <c r="D751" s="855"/>
      <c r="E751" s="855"/>
      <c r="F751" s="855"/>
      <c r="G751" s="855"/>
      <c r="H751" s="855"/>
      <c r="I751" s="855"/>
      <c r="J751" s="855"/>
      <c r="K751" s="855"/>
      <c r="L751" s="855"/>
    </row>
    <row r="752" spans="1:12">
      <c r="A752" s="855"/>
      <c r="B752" s="855"/>
      <c r="C752" s="855"/>
      <c r="D752" s="855"/>
      <c r="E752" s="855"/>
      <c r="F752" s="855"/>
      <c r="G752" s="855"/>
      <c r="H752" s="855"/>
      <c r="I752" s="855"/>
      <c r="J752" s="855"/>
      <c r="K752" s="855"/>
      <c r="L752" s="855"/>
    </row>
    <row r="753" spans="1:12">
      <c r="A753" s="855"/>
      <c r="B753" s="855"/>
      <c r="C753" s="855"/>
      <c r="D753" s="855"/>
      <c r="E753" s="855"/>
      <c r="F753" s="855"/>
      <c r="G753" s="855"/>
      <c r="H753" s="855"/>
      <c r="I753" s="855"/>
      <c r="J753" s="855"/>
      <c r="K753" s="855"/>
      <c r="L753" s="855"/>
    </row>
    <row r="754" spans="1:12">
      <c r="A754" s="855"/>
      <c r="B754" s="855"/>
      <c r="C754" s="855"/>
      <c r="D754" s="855"/>
      <c r="E754" s="855"/>
      <c r="F754" s="855"/>
      <c r="G754" s="855"/>
      <c r="H754" s="855"/>
      <c r="I754" s="855"/>
      <c r="J754" s="855"/>
      <c r="K754" s="855"/>
      <c r="L754" s="855"/>
    </row>
    <row r="755" spans="1:12">
      <c r="A755" s="855"/>
      <c r="B755" s="855"/>
      <c r="C755" s="855"/>
      <c r="D755" s="855"/>
      <c r="E755" s="855"/>
      <c r="F755" s="855"/>
      <c r="G755" s="855"/>
      <c r="H755" s="855"/>
      <c r="I755" s="855"/>
      <c r="J755" s="855"/>
      <c r="K755" s="855"/>
      <c r="L755" s="855"/>
    </row>
    <row r="756" spans="1:12">
      <c r="A756" s="855"/>
      <c r="B756" s="15"/>
      <c r="C756" s="300"/>
      <c r="D756" s="300"/>
      <c r="E756" s="300"/>
      <c r="F756" s="300"/>
      <c r="G756" s="300"/>
      <c r="H756" s="300"/>
      <c r="I756" s="300"/>
      <c r="J756" s="300"/>
      <c r="K756" s="300"/>
      <c r="L756" s="16"/>
    </row>
    <row r="757" spans="1:12">
      <c r="A757" s="855"/>
      <c r="B757" s="15"/>
      <c r="C757" s="300"/>
      <c r="D757" s="300"/>
      <c r="E757" s="300"/>
      <c r="F757" s="300"/>
      <c r="G757" s="300"/>
      <c r="H757" s="300"/>
      <c r="I757" s="300"/>
      <c r="J757" s="300"/>
      <c r="K757" s="300"/>
      <c r="L757" s="16"/>
    </row>
    <row r="758" spans="1:12" ht="15.75" thickBot="1">
      <c r="A758" s="855"/>
      <c r="B758" s="15"/>
      <c r="C758" s="300"/>
      <c r="D758" s="300"/>
      <c r="E758" s="300"/>
      <c r="F758" s="300"/>
      <c r="G758" s="300"/>
      <c r="H758" s="300"/>
      <c r="I758" s="300"/>
      <c r="J758" s="300"/>
      <c r="K758" s="300"/>
      <c r="L758" s="16"/>
    </row>
    <row r="759" spans="1:12" ht="32.25">
      <c r="A759" s="855"/>
      <c r="B759" s="1256" t="s">
        <v>117</v>
      </c>
      <c r="C759" s="1257"/>
      <c r="D759" s="1257"/>
      <c r="E759" s="1257"/>
      <c r="F759" s="1257"/>
      <c r="G759" s="1257"/>
      <c r="H759" s="1257"/>
      <c r="I759" s="1257"/>
      <c r="J759" s="1257"/>
      <c r="K759" s="1257"/>
      <c r="L759" s="1258"/>
    </row>
    <row r="760" spans="1:12" ht="23.25">
      <c r="A760" s="855"/>
      <c r="B760" s="1237" t="s">
        <v>118</v>
      </c>
      <c r="C760" s="1238"/>
      <c r="D760" s="1238"/>
      <c r="E760" s="1238"/>
      <c r="F760" s="1238"/>
      <c r="G760" s="1238"/>
      <c r="H760" s="1238"/>
      <c r="I760" s="1238"/>
      <c r="J760" s="1238"/>
      <c r="K760" s="1238"/>
      <c r="L760" s="1239"/>
    </row>
    <row r="761" spans="1:12" ht="16.5" thickBot="1">
      <c r="A761" s="855"/>
      <c r="B761" s="1240" t="s">
        <v>119</v>
      </c>
      <c r="C761" s="1241"/>
      <c r="D761" s="1241"/>
      <c r="E761" s="1241"/>
      <c r="F761" s="1241"/>
      <c r="G761" s="1241"/>
      <c r="H761" s="1241"/>
      <c r="I761" s="1241"/>
      <c r="J761" s="1241"/>
      <c r="K761" s="1241"/>
      <c r="L761" s="1242"/>
    </row>
    <row r="762" spans="1:12">
      <c r="A762" s="855"/>
      <c r="B762" s="1243" t="s">
        <v>120</v>
      </c>
      <c r="C762" s="1244"/>
      <c r="D762" s="1244"/>
      <c r="E762" s="1244"/>
      <c r="F762" s="1244"/>
      <c r="G762" s="300"/>
      <c r="H762" s="1247" t="s">
        <v>121</v>
      </c>
      <c r="I762" s="1247"/>
      <c r="J762" s="1247"/>
      <c r="K762" s="1247"/>
      <c r="L762" s="1248"/>
    </row>
    <row r="763" spans="1:12" ht="15.75" thickBot="1">
      <c r="A763" s="855"/>
      <c r="B763" s="1245"/>
      <c r="C763" s="1246"/>
      <c r="D763" s="1246"/>
      <c r="E763" s="1246"/>
      <c r="F763" s="1246"/>
      <c r="G763" s="300"/>
      <c r="H763" s="1249"/>
      <c r="I763" s="1249"/>
      <c r="J763" s="1249"/>
      <c r="K763" s="1249"/>
      <c r="L763" s="1250"/>
    </row>
    <row r="764" spans="1:12">
      <c r="A764" s="855"/>
      <c r="B764" s="79"/>
      <c r="C764" s="80"/>
      <c r="D764" s="80"/>
      <c r="E764" s="80"/>
      <c r="F764" s="81"/>
      <c r="G764" s="300"/>
      <c r="H764" s="79"/>
      <c r="I764" s="80"/>
      <c r="J764" s="80"/>
      <c r="K764" s="80"/>
      <c r="L764" s="81"/>
    </row>
    <row r="765" spans="1:12">
      <c r="A765" s="855"/>
      <c r="B765" s="82" t="s">
        <v>425</v>
      </c>
      <c r="C765" s="300"/>
      <c r="D765" s="300"/>
      <c r="E765" s="300"/>
      <c r="F765" s="16"/>
      <c r="G765" s="300"/>
      <c r="H765" s="82" t="s">
        <v>425</v>
      </c>
      <c r="I765" s="300"/>
      <c r="J765" s="300"/>
      <c r="K765" s="300"/>
      <c r="L765" s="16"/>
    </row>
    <row r="766" spans="1:12">
      <c r="A766" s="855"/>
      <c r="B766" s="15"/>
      <c r="C766" s="300"/>
      <c r="D766" s="300"/>
      <c r="E766" s="300"/>
      <c r="F766" s="16"/>
      <c r="G766" s="300"/>
      <c r="H766" s="15"/>
      <c r="I766" s="300"/>
      <c r="J766" s="300"/>
      <c r="K766" s="300"/>
      <c r="L766" s="16"/>
    </row>
    <row r="767" spans="1:12">
      <c r="A767" s="855"/>
      <c r="B767" s="82" t="s">
        <v>426</v>
      </c>
      <c r="C767" s="300"/>
      <c r="D767" s="300"/>
      <c r="E767" s="300"/>
      <c r="F767" s="16"/>
      <c r="G767" s="300"/>
      <c r="H767" s="82" t="s">
        <v>426</v>
      </c>
      <c r="I767" s="300"/>
      <c r="J767" s="300"/>
      <c r="K767" s="300"/>
      <c r="L767" s="16"/>
    </row>
    <row r="768" spans="1:12" ht="31.9" customHeight="1" thickBot="1">
      <c r="A768" s="855"/>
      <c r="B768" s="27"/>
      <c r="C768" s="25"/>
      <c r="D768" s="25"/>
      <c r="E768" s="25"/>
      <c r="F768" s="26"/>
      <c r="G768" s="300"/>
      <c r="H768" s="27"/>
      <c r="I768" s="25"/>
      <c r="J768" s="25"/>
      <c r="K768" s="25"/>
      <c r="L768" s="26"/>
    </row>
    <row r="769" spans="1:12" ht="31.9" customHeight="1">
      <c r="A769" s="855"/>
      <c r="B769" s="15"/>
      <c r="C769" s="300"/>
      <c r="D769" s="300"/>
      <c r="E769" s="300"/>
      <c r="F769" s="300"/>
      <c r="G769" s="300"/>
      <c r="H769" s="300"/>
      <c r="I769" s="300"/>
      <c r="J769" s="300" t="s">
        <v>122</v>
      </c>
      <c r="K769" s="300"/>
      <c r="L769" s="16"/>
    </row>
    <row r="770" spans="1:12" ht="31.9" customHeight="1">
      <c r="A770" s="855"/>
      <c r="B770" s="1212" t="s">
        <v>123</v>
      </c>
      <c r="C770" s="1213"/>
      <c r="D770" s="1213"/>
      <c r="E770" s="1213"/>
      <c r="F770" s="1213"/>
      <c r="G770" s="300"/>
      <c r="H770" s="1213" t="s">
        <v>4</v>
      </c>
      <c r="I770" s="1213"/>
      <c r="J770" s="1213"/>
      <c r="K770" s="1213"/>
      <c r="L770" s="1251"/>
    </row>
    <row r="771" spans="1:12" ht="31.9" customHeight="1" thickBot="1">
      <c r="A771" s="855"/>
      <c r="B771" s="15"/>
      <c r="C771" s="300"/>
      <c r="D771" s="300"/>
      <c r="E771" s="300"/>
      <c r="F771" s="300"/>
      <c r="G771" s="300"/>
      <c r="H771" s="300"/>
      <c r="I771" s="300"/>
      <c r="J771" s="300"/>
      <c r="K771" s="300"/>
      <c r="L771" s="16"/>
    </row>
    <row r="772" spans="1:12" ht="31.9" customHeight="1">
      <c r="A772" s="855"/>
      <c r="B772" s="79"/>
      <c r="C772" s="80"/>
      <c r="D772" s="80"/>
      <c r="E772" s="80"/>
      <c r="F772" s="81"/>
      <c r="G772" s="300"/>
      <c r="H772" s="83"/>
      <c r="I772" s="84"/>
      <c r="J772" s="84"/>
      <c r="K772" s="84"/>
      <c r="L772" s="85"/>
    </row>
    <row r="773" spans="1:12" ht="31.9" customHeight="1">
      <c r="A773" s="855"/>
      <c r="B773" s="15"/>
      <c r="C773" s="300"/>
      <c r="D773" s="300"/>
      <c r="E773" s="300"/>
      <c r="F773" s="16"/>
      <c r="G773" s="300"/>
      <c r="H773" s="82" t="s">
        <v>821</v>
      </c>
      <c r="I773" s="301"/>
      <c r="J773" s="301"/>
      <c r="K773" s="301"/>
      <c r="L773" s="86"/>
    </row>
    <row r="774" spans="1:12" ht="31.9" customHeight="1">
      <c r="A774" s="855"/>
      <c r="B774" s="82" t="s">
        <v>819</v>
      </c>
      <c r="C774" s="300"/>
      <c r="D774" s="300"/>
      <c r="E774" s="300"/>
      <c r="F774" s="16"/>
      <c r="G774" s="300"/>
      <c r="H774" s="82"/>
      <c r="I774" s="301"/>
      <c r="J774" s="301"/>
      <c r="K774" s="301"/>
      <c r="L774" s="86"/>
    </row>
    <row r="775" spans="1:12" ht="31.9" customHeight="1">
      <c r="A775" s="855"/>
      <c r="B775" s="15"/>
      <c r="C775" s="300"/>
      <c r="D775" s="300"/>
      <c r="E775" s="300"/>
      <c r="F775" s="16"/>
      <c r="G775" s="300"/>
      <c r="H775" s="82" t="s">
        <v>427</v>
      </c>
      <c r="I775" s="301"/>
      <c r="J775" s="301"/>
      <c r="K775" s="301"/>
      <c r="L775" s="86"/>
    </row>
    <row r="776" spans="1:12" ht="31.9" customHeight="1" thickBot="1">
      <c r="A776" s="855"/>
      <c r="B776" s="27"/>
      <c r="C776" s="25"/>
      <c r="D776" s="25"/>
      <c r="E776" s="25"/>
      <c r="F776" s="26"/>
      <c r="G776" s="300"/>
      <c r="H776" s="82"/>
      <c r="I776" s="301"/>
      <c r="J776" s="301"/>
      <c r="K776" s="301"/>
      <c r="L776" s="86"/>
    </row>
    <row r="777" spans="1:12" ht="31.9" customHeight="1">
      <c r="A777" s="855"/>
      <c r="B777" s="1221" t="s">
        <v>124</v>
      </c>
      <c r="C777" s="1222"/>
      <c r="D777" s="1222"/>
      <c r="E777" s="1222"/>
      <c r="F777" s="1222"/>
      <c r="G777" s="1252"/>
      <c r="H777" s="1230" t="str">
        <f>'04-22-Master'!B32</f>
        <v xml:space="preserve"> MUMMANA ANILKUMAR</v>
      </c>
      <c r="I777" s="1223"/>
      <c r="J777" s="1223"/>
      <c r="K777" s="1223"/>
      <c r="L777" s="1223"/>
    </row>
    <row r="778" spans="1:12" ht="31.9" customHeight="1">
      <c r="A778" s="855"/>
      <c r="B778" s="1253"/>
      <c r="C778" s="1254"/>
      <c r="D778" s="1254"/>
      <c r="E778" s="1254"/>
      <c r="F778" s="1254"/>
      <c r="G778" s="1254"/>
      <c r="H778" s="1255" t="str">
        <f>'04-22-Master'!G32</f>
        <v>G2,subhashini manson,road no 20, alkapur township,manikonda,Hyderabad 500089</v>
      </c>
      <c r="I778" s="1255"/>
      <c r="J778" s="1255"/>
      <c r="K778" s="1255"/>
      <c r="L778" s="1255"/>
    </row>
    <row r="779" spans="1:12" ht="31.9" customHeight="1">
      <c r="A779" s="855"/>
      <c r="B779" s="1225" t="s">
        <v>125</v>
      </c>
      <c r="C779" s="1226"/>
      <c r="D779" s="1226"/>
      <c r="E779" s="1226"/>
      <c r="F779" s="1226"/>
      <c r="G779" s="1226"/>
      <c r="H779" s="1227">
        <v>99</v>
      </c>
      <c r="I779" s="1228"/>
      <c r="J779" s="1228"/>
      <c r="K779" s="1228"/>
      <c r="L779" s="1229"/>
    </row>
    <row r="780" spans="1:12" ht="31.9" customHeight="1">
      <c r="A780" s="855"/>
      <c r="B780" s="1221" t="s">
        <v>126</v>
      </c>
      <c r="C780" s="1222"/>
      <c r="D780" s="1222"/>
      <c r="E780" s="1222"/>
      <c r="F780" s="1222"/>
      <c r="G780" s="1222"/>
      <c r="H780" s="1230" t="str">
        <f>'04-22-Master'!F32</f>
        <v>Sr Developer technical lead</v>
      </c>
      <c r="I780" s="1223"/>
      <c r="J780" s="1223"/>
      <c r="K780" s="1223"/>
      <c r="L780" s="1224"/>
    </row>
    <row r="781" spans="1:12" ht="31.9" customHeight="1">
      <c r="A781" s="855"/>
      <c r="B781" s="1221" t="s">
        <v>127</v>
      </c>
      <c r="C781" s="1222"/>
      <c r="D781" s="1222"/>
      <c r="E781" s="1222"/>
      <c r="F781" s="1222"/>
      <c r="G781" s="1222"/>
      <c r="H781" s="1231">
        <f>'04-22-Master'!I32</f>
        <v>44648</v>
      </c>
      <c r="I781" s="1231"/>
      <c r="J781" s="1231"/>
      <c r="K781" s="1231"/>
      <c r="L781" s="1232"/>
    </row>
    <row r="782" spans="1:12" ht="31.9" customHeight="1">
      <c r="A782" s="855"/>
      <c r="B782" s="378" t="s">
        <v>128</v>
      </c>
      <c r="C782" s="302"/>
      <c r="D782" s="302"/>
      <c r="E782" s="302"/>
      <c r="F782" s="302"/>
      <c r="G782" s="302"/>
      <c r="H782" s="514"/>
      <c r="I782" s="304"/>
      <c r="J782" s="858">
        <f>'04-22-Master'!O847</f>
        <v>0</v>
      </c>
      <c r="K782" s="914"/>
      <c r="L782" s="916"/>
    </row>
    <row r="783" spans="1:12" ht="31.9" customHeight="1">
      <c r="A783" s="855"/>
      <c r="B783" s="378" t="s">
        <v>129</v>
      </c>
      <c r="C783" s="302"/>
      <c r="D783" s="302"/>
      <c r="E783" s="302"/>
      <c r="F783" s="302"/>
      <c r="G783" s="376"/>
      <c r="H783" s="96"/>
      <c r="I783" s="97"/>
      <c r="J783" s="858" t="str">
        <f>'04-22-Master'!N32</f>
        <v>100084289127</v>
      </c>
      <c r="K783" s="97"/>
      <c r="L783" s="98"/>
    </row>
    <row r="784" spans="1:12" ht="31.9" customHeight="1">
      <c r="A784" s="855"/>
      <c r="B784" s="1233" t="s">
        <v>130</v>
      </c>
      <c r="C784" s="1234"/>
      <c r="D784" s="1234"/>
      <c r="E784" s="1234"/>
      <c r="F784" s="1234"/>
      <c r="G784" s="1234"/>
      <c r="H784" s="1227">
        <f>'04-22-Master'!S32</f>
        <v>131257</v>
      </c>
      <c r="I784" s="1227"/>
      <c r="J784" s="1227"/>
      <c r="K784" s="1227"/>
      <c r="L784" s="1235"/>
    </row>
    <row r="785" spans="1:12" ht="31.9" customHeight="1">
      <c r="A785" s="855"/>
      <c r="B785" s="1221" t="s">
        <v>131</v>
      </c>
      <c r="C785" s="1222"/>
      <c r="D785" s="1222"/>
      <c r="E785" s="1222"/>
      <c r="F785" s="1222"/>
      <c r="G785" s="1222"/>
      <c r="H785" s="1236">
        <f>'04-22-Master'!D10</f>
        <v>44652</v>
      </c>
      <c r="I785" s="1223"/>
      <c r="J785" s="1223"/>
      <c r="K785" s="1223"/>
      <c r="L785" s="1224"/>
    </row>
    <row r="786" spans="1:12" ht="31.9" customHeight="1">
      <c r="A786" s="855"/>
      <c r="B786" s="1221" t="s">
        <v>132</v>
      </c>
      <c r="C786" s="1222"/>
      <c r="D786" s="1222"/>
      <c r="E786" s="1222"/>
      <c r="F786" s="1222"/>
      <c r="G786" s="1222"/>
      <c r="H786" s="1223" t="s">
        <v>133</v>
      </c>
      <c r="I786" s="1223"/>
      <c r="J786" s="1223"/>
      <c r="K786" s="1223"/>
      <c r="L786" s="1224"/>
    </row>
    <row r="787" spans="1:12" ht="31.9" customHeight="1">
      <c r="A787" s="855"/>
      <c r="B787" s="378" t="s">
        <v>134</v>
      </c>
      <c r="C787" s="302"/>
      <c r="D787" s="302"/>
      <c r="E787" s="302"/>
      <c r="F787" s="302"/>
      <c r="G787" s="376"/>
      <c r="H787" s="514"/>
      <c r="I787" s="914"/>
      <c r="J787" s="305">
        <f>'04-22-Master'!Q32</f>
        <v>30</v>
      </c>
      <c r="K787" s="914"/>
      <c r="L787" s="916"/>
    </row>
    <row r="788" spans="1:12" ht="31.9" customHeight="1">
      <c r="A788" s="855"/>
      <c r="B788" s="378" t="s">
        <v>135</v>
      </c>
      <c r="C788" s="302"/>
      <c r="D788" s="302"/>
      <c r="E788" s="302"/>
      <c r="F788" s="302"/>
      <c r="G788" s="376"/>
      <c r="H788" s="514"/>
      <c r="I788" s="914"/>
      <c r="J788" s="914" t="s">
        <v>37</v>
      </c>
      <c r="K788" s="914"/>
      <c r="L788" s="916"/>
    </row>
    <row r="789" spans="1:12" ht="31.9" customHeight="1">
      <c r="A789" s="855"/>
      <c r="B789" s="378" t="s">
        <v>136</v>
      </c>
      <c r="C789" s="302"/>
      <c r="D789" s="302"/>
      <c r="E789" s="302"/>
      <c r="F789" s="302"/>
      <c r="G789" s="376"/>
      <c r="H789" s="514"/>
      <c r="I789" s="914"/>
      <c r="J789" s="305">
        <v>0</v>
      </c>
      <c r="K789" s="914"/>
      <c r="L789" s="916"/>
    </row>
    <row r="790" spans="1:12" ht="31.9" customHeight="1">
      <c r="A790" s="855"/>
      <c r="B790" s="378" t="s">
        <v>137</v>
      </c>
      <c r="C790" s="302"/>
      <c r="D790" s="302"/>
      <c r="E790" s="302"/>
      <c r="F790" s="302"/>
      <c r="G790" s="376"/>
      <c r="H790" s="514"/>
      <c r="I790" s="914"/>
      <c r="J790" s="914">
        <v>0</v>
      </c>
      <c r="K790" s="914"/>
      <c r="L790" s="916"/>
    </row>
    <row r="791" spans="1:12" ht="31.9" customHeight="1">
      <c r="A791" s="855"/>
      <c r="B791" s="378" t="s">
        <v>138</v>
      </c>
      <c r="C791" s="302"/>
      <c r="D791" s="302"/>
      <c r="E791" s="302"/>
      <c r="F791" s="302"/>
      <c r="G791" s="376"/>
      <c r="H791" s="514"/>
      <c r="I791" s="914"/>
      <c r="J791" s="305">
        <f>'04-22-Master'!AG32</f>
        <v>143275.53602</v>
      </c>
      <c r="K791" s="914"/>
      <c r="L791" s="916" t="s">
        <v>35</v>
      </c>
    </row>
    <row r="792" spans="1:12" ht="31.9" customHeight="1">
      <c r="A792" s="855"/>
      <c r="B792" s="378" t="s">
        <v>139</v>
      </c>
      <c r="C792" s="302"/>
      <c r="D792" s="913" t="s">
        <v>32</v>
      </c>
      <c r="E792" s="912">
        <f>'04-22-Master'!AI32</f>
        <v>1800</v>
      </c>
      <c r="F792" s="913" t="s">
        <v>31</v>
      </c>
      <c r="G792" s="912">
        <f>'04-22-Master'!AH1808</f>
        <v>0</v>
      </c>
      <c r="H792" s="913" t="s">
        <v>33</v>
      </c>
      <c r="I792" s="912">
        <f>'04-22-Master'!AJ32</f>
        <v>200</v>
      </c>
      <c r="J792" s="913" t="s">
        <v>34</v>
      </c>
      <c r="K792" s="912">
        <f>'04-22-Master'!AK32</f>
        <v>0</v>
      </c>
      <c r="L792" s="111">
        <f>'04-22-Master'!AL32</f>
        <v>283</v>
      </c>
    </row>
    <row r="793" spans="1:12" ht="31.9" customHeight="1">
      <c r="A793" s="855"/>
      <c r="B793" s="378" t="s">
        <v>140</v>
      </c>
      <c r="C793" s="302"/>
      <c r="D793" s="302"/>
      <c r="E793" s="302"/>
      <c r="F793" s="302"/>
      <c r="G793" s="376"/>
      <c r="H793" s="514"/>
      <c r="I793" s="914"/>
      <c r="J793" s="305">
        <f>J791-(E792+G792+I792+K792+L792)</f>
        <v>140992.53602</v>
      </c>
      <c r="K793" s="914"/>
      <c r="L793" s="916"/>
    </row>
    <row r="794" spans="1:12" ht="31.9" customHeight="1">
      <c r="A794" s="855"/>
      <c r="B794" s="379" t="s">
        <v>141</v>
      </c>
      <c r="C794" s="102"/>
      <c r="D794" s="102"/>
      <c r="E794" s="102"/>
      <c r="F794" s="102"/>
      <c r="G794" s="103"/>
      <c r="H794" s="104"/>
      <c r="I794" s="105"/>
      <c r="J794" s="105"/>
      <c r="K794" s="105"/>
      <c r="L794" s="106"/>
    </row>
    <row r="795" spans="1:12" ht="31.9" customHeight="1">
      <c r="A795" s="855"/>
      <c r="B795" s="380" t="s">
        <v>142</v>
      </c>
      <c r="C795" s="107"/>
      <c r="D795" s="107"/>
      <c r="E795" s="107"/>
      <c r="F795" s="107"/>
      <c r="G795" s="108"/>
      <c r="H795" s="73"/>
      <c r="I795" s="19"/>
      <c r="J795" s="19"/>
      <c r="K795" s="19"/>
      <c r="L795" s="109"/>
    </row>
    <row r="796" spans="1:12" ht="31.9" customHeight="1">
      <c r="A796" s="855"/>
      <c r="B796" s="15"/>
      <c r="C796" s="300"/>
      <c r="D796" s="300"/>
      <c r="E796" s="300"/>
      <c r="F796" s="300"/>
      <c r="G796" s="300"/>
      <c r="H796" s="300"/>
      <c r="I796" s="300"/>
      <c r="J796" s="300"/>
      <c r="K796" s="300"/>
      <c r="L796" s="16"/>
    </row>
    <row r="797" spans="1:12" ht="15.75" thickBot="1">
      <c r="A797" s="855"/>
      <c r="B797" s="27"/>
      <c r="C797" s="25"/>
      <c r="D797" s="25"/>
      <c r="E797" s="25"/>
      <c r="F797" s="25"/>
      <c r="G797" s="25"/>
      <c r="H797" s="25"/>
      <c r="I797" s="25"/>
      <c r="J797" s="25"/>
      <c r="K797" s="25"/>
      <c r="L797" s="26"/>
    </row>
    <row r="798" spans="1:12" ht="23.25" customHeight="1">
      <c r="A798" s="855"/>
      <c r="B798" s="855"/>
      <c r="C798" s="855"/>
      <c r="D798" s="855"/>
      <c r="E798" s="855"/>
      <c r="F798" s="855"/>
      <c r="G798" s="855"/>
      <c r="H798" s="855"/>
      <c r="I798" s="855"/>
      <c r="J798" s="855"/>
      <c r="K798" s="855"/>
      <c r="L798" s="855"/>
    </row>
    <row r="799" spans="1:12" ht="23.25" customHeight="1">
      <c r="A799" s="855"/>
      <c r="B799" s="855"/>
      <c r="C799" s="855"/>
      <c r="D799" s="855"/>
      <c r="E799" s="855"/>
      <c r="F799" s="855"/>
      <c r="G799" s="855"/>
      <c r="H799" s="855"/>
      <c r="I799" s="855"/>
      <c r="J799" s="855"/>
      <c r="K799" s="855"/>
      <c r="L799" s="855"/>
    </row>
    <row r="800" spans="1:12" ht="23.25" customHeight="1">
      <c r="A800" s="855"/>
      <c r="B800" s="855"/>
      <c r="C800" s="855"/>
      <c r="D800" s="855"/>
      <c r="E800" s="855"/>
      <c r="F800" s="855"/>
      <c r="G800" s="855"/>
      <c r="H800" s="855"/>
      <c r="I800" s="855"/>
      <c r="J800" s="855"/>
      <c r="K800" s="855"/>
      <c r="L800" s="855"/>
    </row>
    <row r="801" spans="1:12" ht="23.25" customHeight="1">
      <c r="A801" s="855"/>
      <c r="B801" s="855"/>
      <c r="C801" s="855"/>
      <c r="D801" s="855"/>
      <c r="E801" s="855"/>
      <c r="F801" s="855"/>
      <c r="G801" s="855"/>
      <c r="H801" s="855"/>
      <c r="I801" s="855"/>
      <c r="J801" s="855"/>
      <c r="K801" s="855"/>
      <c r="L801" s="855"/>
    </row>
    <row r="802" spans="1:12" ht="23.25" customHeight="1">
      <c r="A802" s="855"/>
      <c r="B802" s="855"/>
      <c r="C802" s="855"/>
      <c r="D802" s="855"/>
      <c r="E802" s="855"/>
      <c r="F802" s="855"/>
      <c r="G802" s="855"/>
      <c r="H802" s="855"/>
      <c r="I802" s="855"/>
      <c r="J802" s="855"/>
      <c r="K802" s="855"/>
      <c r="L802" s="855"/>
    </row>
    <row r="803" spans="1:12" ht="15.75" thickBot="1">
      <c r="A803" s="855"/>
      <c r="B803" s="855"/>
      <c r="C803" s="855"/>
      <c r="D803" s="855"/>
      <c r="E803" s="855"/>
      <c r="F803" s="855"/>
      <c r="G803" s="855"/>
      <c r="H803" s="855"/>
      <c r="I803" s="855"/>
      <c r="J803" s="855"/>
      <c r="K803" s="855"/>
      <c r="L803" s="855"/>
    </row>
    <row r="804" spans="1:12" ht="32.25">
      <c r="A804" s="855"/>
      <c r="B804" s="1256" t="s">
        <v>117</v>
      </c>
      <c r="C804" s="1257"/>
      <c r="D804" s="1257"/>
      <c r="E804" s="1257"/>
      <c r="F804" s="1257"/>
      <c r="G804" s="1257"/>
      <c r="H804" s="1257"/>
      <c r="I804" s="1257"/>
      <c r="J804" s="1257"/>
      <c r="K804" s="1257"/>
      <c r="L804" s="1258"/>
    </row>
    <row r="805" spans="1:12" ht="23.25">
      <c r="A805" s="855"/>
      <c r="B805" s="1237" t="s">
        <v>118</v>
      </c>
      <c r="C805" s="1238"/>
      <c r="D805" s="1238"/>
      <c r="E805" s="1238"/>
      <c r="F805" s="1238"/>
      <c r="G805" s="1238"/>
      <c r="H805" s="1238"/>
      <c r="I805" s="1238"/>
      <c r="J805" s="1238"/>
      <c r="K805" s="1238"/>
      <c r="L805" s="1239"/>
    </row>
    <row r="806" spans="1:12" ht="16.5" thickBot="1">
      <c r="A806" s="855"/>
      <c r="B806" s="1240" t="s">
        <v>119</v>
      </c>
      <c r="C806" s="1241"/>
      <c r="D806" s="1241"/>
      <c r="E806" s="1241"/>
      <c r="F806" s="1241"/>
      <c r="G806" s="1241"/>
      <c r="H806" s="1241"/>
      <c r="I806" s="1241"/>
      <c r="J806" s="1241"/>
      <c r="K806" s="1241"/>
      <c r="L806" s="1242"/>
    </row>
    <row r="807" spans="1:12">
      <c r="A807" s="855"/>
      <c r="B807" s="1243" t="s">
        <v>120</v>
      </c>
      <c r="C807" s="1244"/>
      <c r="D807" s="1244"/>
      <c r="E807" s="1244"/>
      <c r="F807" s="1244"/>
      <c r="G807" s="300"/>
      <c r="H807" s="1247" t="s">
        <v>121</v>
      </c>
      <c r="I807" s="1247"/>
      <c r="J807" s="1247"/>
      <c r="K807" s="1247"/>
      <c r="L807" s="1248"/>
    </row>
    <row r="808" spans="1:12" ht="15.75" thickBot="1">
      <c r="A808" s="855"/>
      <c r="B808" s="1245"/>
      <c r="C808" s="1246"/>
      <c r="D808" s="1246"/>
      <c r="E808" s="1246"/>
      <c r="F808" s="1246"/>
      <c r="G808" s="300"/>
      <c r="H808" s="1249"/>
      <c r="I808" s="1249"/>
      <c r="J808" s="1249"/>
      <c r="K808" s="1249"/>
      <c r="L808" s="1250"/>
    </row>
    <row r="809" spans="1:12" ht="27" customHeight="1">
      <c r="A809" s="855"/>
      <c r="B809" s="79"/>
      <c r="C809" s="80"/>
      <c r="D809" s="80"/>
      <c r="E809" s="80"/>
      <c r="F809" s="81"/>
      <c r="G809" s="300"/>
      <c r="H809" s="79"/>
      <c r="I809" s="80"/>
      <c r="J809" s="80"/>
      <c r="K809" s="80"/>
      <c r="L809" s="81"/>
    </row>
    <row r="810" spans="1:12" ht="27" customHeight="1">
      <c r="A810" s="855"/>
      <c r="B810" s="82" t="s">
        <v>425</v>
      </c>
      <c r="C810" s="300"/>
      <c r="D810" s="300"/>
      <c r="E810" s="300"/>
      <c r="F810" s="16"/>
      <c r="G810" s="300"/>
      <c r="H810" s="82" t="s">
        <v>425</v>
      </c>
      <c r="I810" s="300"/>
      <c r="J810" s="300"/>
      <c r="K810" s="300"/>
      <c r="L810" s="16"/>
    </row>
    <row r="811" spans="1:12" ht="27" customHeight="1">
      <c r="A811" s="855"/>
      <c r="B811" s="15"/>
      <c r="C811" s="300"/>
      <c r="D811" s="300"/>
      <c r="E811" s="300"/>
      <c r="F811" s="16"/>
      <c r="G811" s="300"/>
      <c r="H811" s="15"/>
      <c r="I811" s="300"/>
      <c r="J811" s="300"/>
      <c r="K811" s="300"/>
      <c r="L811" s="16"/>
    </row>
    <row r="812" spans="1:12" ht="27" customHeight="1">
      <c r="A812" s="855"/>
      <c r="B812" s="82" t="s">
        <v>426</v>
      </c>
      <c r="C812" s="300"/>
      <c r="D812" s="300"/>
      <c r="E812" s="300"/>
      <c r="F812" s="16"/>
      <c r="G812" s="300"/>
      <c r="H812" s="82" t="s">
        <v>426</v>
      </c>
      <c r="I812" s="300"/>
      <c r="J812" s="300"/>
      <c r="K812" s="300"/>
      <c r="L812" s="16"/>
    </row>
    <row r="813" spans="1:12" ht="27" customHeight="1" thickBot="1">
      <c r="A813" s="855"/>
      <c r="B813" s="27"/>
      <c r="C813" s="25"/>
      <c r="D813" s="25"/>
      <c r="E813" s="25"/>
      <c r="F813" s="26"/>
      <c r="G813" s="300"/>
      <c r="H813" s="27"/>
      <c r="I813" s="25"/>
      <c r="J813" s="25"/>
      <c r="K813" s="25"/>
      <c r="L813" s="26"/>
    </row>
    <row r="814" spans="1:12" ht="27" customHeight="1">
      <c r="A814" s="855"/>
      <c r="B814" s="15"/>
      <c r="C814" s="300"/>
      <c r="D814" s="300"/>
      <c r="E814" s="300"/>
      <c r="F814" s="300"/>
      <c r="G814" s="300"/>
      <c r="H814" s="300"/>
      <c r="I814" s="300"/>
      <c r="J814" s="300" t="s">
        <v>122</v>
      </c>
      <c r="K814" s="300"/>
      <c r="L814" s="16"/>
    </row>
    <row r="815" spans="1:12" ht="27" customHeight="1">
      <c r="A815" s="855"/>
      <c r="B815" s="1212" t="s">
        <v>123</v>
      </c>
      <c r="C815" s="1213"/>
      <c r="D815" s="1213"/>
      <c r="E815" s="1213"/>
      <c r="F815" s="1213"/>
      <c r="G815" s="300"/>
      <c r="H815" s="1213" t="s">
        <v>4</v>
      </c>
      <c r="I815" s="1213"/>
      <c r="J815" s="1213"/>
      <c r="K815" s="1213"/>
      <c r="L815" s="1251"/>
    </row>
    <row r="816" spans="1:12" ht="27" customHeight="1" thickBot="1">
      <c r="A816" s="855"/>
      <c r="B816" s="15"/>
      <c r="C816" s="300"/>
      <c r="D816" s="300"/>
      <c r="E816" s="300"/>
      <c r="F816" s="300"/>
      <c r="G816" s="300"/>
      <c r="H816" s="300"/>
      <c r="I816" s="300"/>
      <c r="J816" s="300"/>
      <c r="K816" s="300"/>
      <c r="L816" s="16"/>
    </row>
    <row r="817" spans="1:12" ht="27" customHeight="1">
      <c r="A817" s="855"/>
      <c r="B817" s="79"/>
      <c r="C817" s="80"/>
      <c r="D817" s="80"/>
      <c r="E817" s="80"/>
      <c r="F817" s="81"/>
      <c r="G817" s="300"/>
      <c r="H817" s="83"/>
      <c r="I817" s="84"/>
      <c r="J817" s="84"/>
      <c r="K817" s="84"/>
      <c r="L817" s="85"/>
    </row>
    <row r="818" spans="1:12" ht="27" customHeight="1">
      <c r="A818" s="855"/>
      <c r="B818" s="15"/>
      <c r="C818" s="300"/>
      <c r="D818" s="300"/>
      <c r="E818" s="300"/>
      <c r="F818" s="16"/>
      <c r="G818" s="300"/>
      <c r="H818" s="82" t="s">
        <v>821</v>
      </c>
      <c r="I818" s="301"/>
      <c r="J818" s="301"/>
      <c r="K818" s="301"/>
      <c r="L818" s="86"/>
    </row>
    <row r="819" spans="1:12" ht="27" customHeight="1">
      <c r="A819" s="855"/>
      <c r="B819" s="82" t="s">
        <v>819</v>
      </c>
      <c r="C819" s="300"/>
      <c r="D819" s="300"/>
      <c r="E819" s="300"/>
      <c r="F819" s="16"/>
      <c r="G819" s="300"/>
      <c r="H819" s="82"/>
      <c r="I819" s="301"/>
      <c r="J819" s="301"/>
      <c r="K819" s="301"/>
      <c r="L819" s="86"/>
    </row>
    <row r="820" spans="1:12" ht="27" customHeight="1">
      <c r="A820" s="855"/>
      <c r="B820" s="15"/>
      <c r="C820" s="300"/>
      <c r="D820" s="300"/>
      <c r="E820" s="300"/>
      <c r="F820" s="16"/>
      <c r="G820" s="300"/>
      <c r="H820" s="82" t="s">
        <v>427</v>
      </c>
      <c r="I820" s="301"/>
      <c r="J820" s="301"/>
      <c r="K820" s="301"/>
      <c r="L820" s="86"/>
    </row>
    <row r="821" spans="1:12" ht="27" customHeight="1" thickBot="1">
      <c r="A821" s="855"/>
      <c r="B821" s="27"/>
      <c r="C821" s="25"/>
      <c r="D821" s="25"/>
      <c r="E821" s="25"/>
      <c r="F821" s="26"/>
      <c r="G821" s="300"/>
      <c r="H821" s="82"/>
      <c r="I821" s="301"/>
      <c r="J821" s="301"/>
      <c r="K821" s="301"/>
      <c r="L821" s="86"/>
    </row>
    <row r="822" spans="1:12" ht="27" customHeight="1">
      <c r="A822" s="855"/>
      <c r="B822" s="1221" t="s">
        <v>124</v>
      </c>
      <c r="C822" s="1222"/>
      <c r="D822" s="1222"/>
      <c r="E822" s="1222"/>
      <c r="F822" s="1222"/>
      <c r="G822" s="1252"/>
      <c r="H822" s="1230" t="str">
        <f>'04-22-Master'!B33</f>
        <v xml:space="preserve">Ravi Gande </v>
      </c>
      <c r="I822" s="1223"/>
      <c r="J822" s="1223"/>
      <c r="K822" s="1223"/>
      <c r="L822" s="1223"/>
    </row>
    <row r="823" spans="1:12" ht="27" customHeight="1">
      <c r="A823" s="855"/>
      <c r="B823" s="1253"/>
      <c r="C823" s="1254"/>
      <c r="D823" s="1254"/>
      <c r="E823" s="1254"/>
      <c r="F823" s="1254"/>
      <c r="G823" s="1254"/>
      <c r="H823" s="1255" t="str">
        <f>'04-22-Master'!G33</f>
        <v>14-1-90/434,60ft road,Gayatri nagar,Telangana,Hyderabad 500018</v>
      </c>
      <c r="I823" s="1255"/>
      <c r="J823" s="1255"/>
      <c r="K823" s="1255"/>
      <c r="L823" s="1255"/>
    </row>
    <row r="824" spans="1:12" ht="27" customHeight="1">
      <c r="A824" s="855"/>
      <c r="B824" s="1225" t="s">
        <v>125</v>
      </c>
      <c r="C824" s="1226"/>
      <c r="D824" s="1226"/>
      <c r="E824" s="1226"/>
      <c r="F824" s="1226"/>
      <c r="G824" s="1226"/>
      <c r="H824" s="1227">
        <v>100</v>
      </c>
      <c r="I824" s="1228"/>
      <c r="J824" s="1228"/>
      <c r="K824" s="1228"/>
      <c r="L824" s="1229"/>
    </row>
    <row r="825" spans="1:12" ht="27" customHeight="1">
      <c r="A825" s="855"/>
      <c r="B825" s="1221" t="s">
        <v>126</v>
      </c>
      <c r="C825" s="1222"/>
      <c r="D825" s="1222"/>
      <c r="E825" s="1222"/>
      <c r="F825" s="1222"/>
      <c r="G825" s="1222"/>
      <c r="H825" s="1230" t="str">
        <f>'04-22-Master'!F33</f>
        <v>JAVA DEVELOPER</v>
      </c>
      <c r="I825" s="1223"/>
      <c r="J825" s="1223"/>
      <c r="K825" s="1223"/>
      <c r="L825" s="1224"/>
    </row>
    <row r="826" spans="1:12" ht="27" customHeight="1">
      <c r="A826" s="855"/>
      <c r="B826" s="1221" t="s">
        <v>127</v>
      </c>
      <c r="C826" s="1222"/>
      <c r="D826" s="1222"/>
      <c r="E826" s="1222"/>
      <c r="F826" s="1222"/>
      <c r="G826" s="1222"/>
      <c r="H826" s="1231">
        <f>'04-22-Master'!I33</f>
        <v>44648</v>
      </c>
      <c r="I826" s="1231"/>
      <c r="J826" s="1231"/>
      <c r="K826" s="1231"/>
      <c r="L826" s="1232"/>
    </row>
    <row r="827" spans="1:12" ht="27" customHeight="1">
      <c r="A827" s="855"/>
      <c r="B827" s="378" t="s">
        <v>128</v>
      </c>
      <c r="C827" s="302"/>
      <c r="D827" s="302"/>
      <c r="E827" s="302"/>
      <c r="F827" s="302"/>
      <c r="G827" s="302"/>
      <c r="H827" s="514"/>
      <c r="I827" s="304"/>
      <c r="J827" s="858">
        <f>'04-22-Master'!O905</f>
        <v>0</v>
      </c>
      <c r="K827" s="914"/>
      <c r="L827" s="916"/>
    </row>
    <row r="828" spans="1:12" ht="27" customHeight="1">
      <c r="A828" s="855"/>
      <c r="B828" s="378" t="s">
        <v>129</v>
      </c>
      <c r="C828" s="302"/>
      <c r="D828" s="302"/>
      <c r="E828" s="302"/>
      <c r="F828" s="302"/>
      <c r="G828" s="376"/>
      <c r="H828" s="96"/>
      <c r="I828" s="97"/>
      <c r="J828" s="858" t="str">
        <f>'04-22-Master'!N33</f>
        <v>100310765422</v>
      </c>
      <c r="K828" s="97"/>
      <c r="L828" s="98"/>
    </row>
    <row r="829" spans="1:12" ht="27" customHeight="1">
      <c r="A829" s="855"/>
      <c r="B829" s="1233" t="s">
        <v>130</v>
      </c>
      <c r="C829" s="1234"/>
      <c r="D829" s="1234"/>
      <c r="E829" s="1234"/>
      <c r="F829" s="1234"/>
      <c r="G829" s="1234"/>
      <c r="H829" s="1227">
        <f>'04-22-Master'!S33</f>
        <v>68182</v>
      </c>
      <c r="I829" s="1227"/>
      <c r="J829" s="1227"/>
      <c r="K829" s="1227"/>
      <c r="L829" s="1235"/>
    </row>
    <row r="830" spans="1:12" ht="27" customHeight="1">
      <c r="A830" s="855"/>
      <c r="B830" s="1221" t="s">
        <v>131</v>
      </c>
      <c r="C830" s="1222"/>
      <c r="D830" s="1222"/>
      <c r="E830" s="1222"/>
      <c r="F830" s="1222"/>
      <c r="G830" s="1222"/>
      <c r="H830" s="1236">
        <f>'04-22-Master'!D10</f>
        <v>44652</v>
      </c>
      <c r="I830" s="1223"/>
      <c r="J830" s="1223"/>
      <c r="K830" s="1223"/>
      <c r="L830" s="1224"/>
    </row>
    <row r="831" spans="1:12" ht="27" customHeight="1">
      <c r="A831" s="855"/>
      <c r="B831" s="1221" t="s">
        <v>132</v>
      </c>
      <c r="C831" s="1222"/>
      <c r="D831" s="1222"/>
      <c r="E831" s="1222"/>
      <c r="F831" s="1222"/>
      <c r="G831" s="1222"/>
      <c r="H831" s="1223" t="s">
        <v>133</v>
      </c>
      <c r="I831" s="1223"/>
      <c r="J831" s="1223"/>
      <c r="K831" s="1223"/>
      <c r="L831" s="1224"/>
    </row>
    <row r="832" spans="1:12" ht="27" customHeight="1">
      <c r="A832" s="855"/>
      <c r="B832" s="378" t="s">
        <v>134</v>
      </c>
      <c r="C832" s="302"/>
      <c r="D832" s="302"/>
      <c r="E832" s="302"/>
      <c r="F832" s="302"/>
      <c r="G832" s="376"/>
      <c r="H832" s="514"/>
      <c r="I832" s="914"/>
      <c r="J832" s="305">
        <f>'04-22-Master'!Q33</f>
        <v>30</v>
      </c>
      <c r="K832" s="914"/>
      <c r="L832" s="916"/>
    </row>
    <row r="833" spans="1:12" ht="27" customHeight="1">
      <c r="A833" s="855"/>
      <c r="B833" s="378" t="s">
        <v>135</v>
      </c>
      <c r="C833" s="302"/>
      <c r="D833" s="302"/>
      <c r="E833" s="302"/>
      <c r="F833" s="302"/>
      <c r="G833" s="376"/>
      <c r="H833" s="514"/>
      <c r="I833" s="914"/>
      <c r="J833" s="914" t="s">
        <v>37</v>
      </c>
      <c r="K833" s="914"/>
      <c r="L833" s="916"/>
    </row>
    <row r="834" spans="1:12" ht="27" customHeight="1">
      <c r="A834" s="855"/>
      <c r="B834" s="378" t="s">
        <v>136</v>
      </c>
      <c r="C834" s="302"/>
      <c r="D834" s="302"/>
      <c r="E834" s="302"/>
      <c r="F834" s="302"/>
      <c r="G834" s="376"/>
      <c r="H834" s="514"/>
      <c r="I834" s="914"/>
      <c r="J834" s="305">
        <v>0</v>
      </c>
      <c r="K834" s="914"/>
      <c r="L834" s="916"/>
    </row>
    <row r="835" spans="1:12" ht="27" customHeight="1">
      <c r="A835" s="855"/>
      <c r="B835" s="378" t="s">
        <v>137</v>
      </c>
      <c r="C835" s="302"/>
      <c r="D835" s="302"/>
      <c r="E835" s="302"/>
      <c r="F835" s="302"/>
      <c r="G835" s="376"/>
      <c r="H835" s="514"/>
      <c r="I835" s="914"/>
      <c r="J835" s="914">
        <v>0</v>
      </c>
      <c r="K835" s="914"/>
      <c r="L835" s="916"/>
    </row>
    <row r="836" spans="1:12" ht="27" customHeight="1">
      <c r="A836" s="855"/>
      <c r="B836" s="378" t="s">
        <v>138</v>
      </c>
      <c r="C836" s="302"/>
      <c r="D836" s="302"/>
      <c r="E836" s="302"/>
      <c r="F836" s="302"/>
      <c r="G836" s="376"/>
      <c r="H836" s="514"/>
      <c r="I836" s="914"/>
      <c r="J836" s="305">
        <f>'04-22-Master'!AG33</f>
        <v>75113.441520000008</v>
      </c>
      <c r="K836" s="914"/>
      <c r="L836" s="916" t="s">
        <v>35</v>
      </c>
    </row>
    <row r="837" spans="1:12" ht="27" customHeight="1">
      <c r="A837" s="855"/>
      <c r="B837" s="378" t="s">
        <v>139</v>
      </c>
      <c r="C837" s="302"/>
      <c r="D837" s="913" t="s">
        <v>32</v>
      </c>
      <c r="E837" s="912">
        <f>'04-22-Master'!AI33</f>
        <v>0</v>
      </c>
      <c r="F837" s="913" t="s">
        <v>31</v>
      </c>
      <c r="G837" s="912">
        <f>'04-22-Master'!AH1866</f>
        <v>0</v>
      </c>
      <c r="H837" s="913" t="s">
        <v>33</v>
      </c>
      <c r="I837" s="912">
        <f>'04-22-Master'!AJ33</f>
        <v>200</v>
      </c>
      <c r="J837" s="913" t="s">
        <v>34</v>
      </c>
      <c r="K837" s="912">
        <f>'04-22-Master'!AK33</f>
        <v>0</v>
      </c>
      <c r="L837" s="111">
        <f>'04-22-Master'!AL33</f>
        <v>0</v>
      </c>
    </row>
    <row r="838" spans="1:12" ht="27" customHeight="1">
      <c r="A838" s="855"/>
      <c r="B838" s="378" t="s">
        <v>140</v>
      </c>
      <c r="C838" s="302"/>
      <c r="D838" s="302"/>
      <c r="E838" s="302"/>
      <c r="F838" s="302"/>
      <c r="G838" s="376"/>
      <c r="H838" s="514"/>
      <c r="I838" s="914"/>
      <c r="J838" s="305">
        <f>J836-(E837+G837+I837+K837+L837)</f>
        <v>74913.441520000008</v>
      </c>
      <c r="K838" s="914"/>
      <c r="L838" s="916"/>
    </row>
    <row r="839" spans="1:12">
      <c r="A839" s="855"/>
      <c r="B839" s="379" t="s">
        <v>141</v>
      </c>
      <c r="C839" s="102"/>
      <c r="D839" s="102"/>
      <c r="E839" s="102"/>
      <c r="F839" s="102"/>
      <c r="G839" s="103"/>
      <c r="H839" s="104"/>
      <c r="I839" s="105"/>
      <c r="J839" s="105"/>
      <c r="K839" s="105"/>
      <c r="L839" s="106"/>
    </row>
    <row r="840" spans="1:12">
      <c r="A840" s="855"/>
      <c r="B840" s="380" t="s">
        <v>142</v>
      </c>
      <c r="C840" s="107"/>
      <c r="D840" s="107"/>
      <c r="E840" s="107"/>
      <c r="F840" s="107"/>
      <c r="G840" s="108"/>
      <c r="H840" s="73"/>
      <c r="I840" s="19"/>
      <c r="J840" s="19"/>
      <c r="K840" s="19"/>
      <c r="L840" s="109"/>
    </row>
    <row r="841" spans="1:12">
      <c r="A841" s="855"/>
      <c r="B841" s="15"/>
      <c r="C841" s="300"/>
      <c r="D841" s="300"/>
      <c r="E841" s="300"/>
      <c r="F841" s="300"/>
      <c r="G841" s="300"/>
      <c r="H841" s="300"/>
      <c r="I841" s="300"/>
      <c r="J841" s="300"/>
      <c r="K841" s="300"/>
      <c r="L841" s="16"/>
    </row>
    <row r="842" spans="1:12" ht="15.75" thickBot="1">
      <c r="A842" s="855"/>
      <c r="B842" s="27"/>
      <c r="C842" s="25"/>
      <c r="D842" s="25"/>
      <c r="E842" s="25"/>
      <c r="F842" s="25"/>
      <c r="G842" s="25"/>
      <c r="H842" s="25"/>
      <c r="I842" s="25"/>
      <c r="J842" s="25"/>
      <c r="K842" s="25"/>
      <c r="L842" s="26"/>
    </row>
    <row r="843" spans="1:12">
      <c r="A843" s="855"/>
      <c r="B843" s="855"/>
      <c r="C843" s="855"/>
      <c r="D843" s="855"/>
      <c r="E843" s="855"/>
      <c r="F843" s="855"/>
      <c r="G843" s="855"/>
      <c r="H843" s="855"/>
      <c r="I843" s="855"/>
      <c r="J843" s="855"/>
      <c r="K843" s="855"/>
      <c r="L843" s="855"/>
    </row>
    <row r="844" spans="1:12">
      <c r="A844" s="855"/>
      <c r="B844" s="855"/>
      <c r="C844" s="855"/>
      <c r="D844" s="855"/>
      <c r="E844" s="855"/>
      <c r="F844" s="855"/>
      <c r="G844" s="855"/>
      <c r="H844" s="855"/>
      <c r="I844" s="855"/>
      <c r="J844" s="855"/>
      <c r="K844" s="855"/>
      <c r="L844" s="855"/>
    </row>
    <row r="845" spans="1:12">
      <c r="A845" s="855"/>
      <c r="B845" s="855"/>
      <c r="C845" s="855"/>
      <c r="D845" s="855"/>
      <c r="E845" s="855"/>
      <c r="F845" s="855"/>
      <c r="G845" s="855"/>
      <c r="H845" s="855"/>
      <c r="I845" s="855"/>
      <c r="J845" s="855"/>
      <c r="K845" s="855"/>
      <c r="L845" s="855"/>
    </row>
    <row r="846" spans="1:12">
      <c r="A846" s="855"/>
      <c r="B846" s="855"/>
      <c r="C846" s="855"/>
      <c r="D846" s="855"/>
      <c r="E846" s="855"/>
      <c r="F846" s="855"/>
      <c r="G846" s="855"/>
      <c r="H846" s="855"/>
      <c r="I846" s="855"/>
      <c r="J846" s="855"/>
      <c r="K846" s="855"/>
      <c r="L846" s="855"/>
    </row>
    <row r="847" spans="1:12">
      <c r="A847" s="855"/>
      <c r="B847" s="855"/>
      <c r="C847" s="855"/>
      <c r="D847" s="855"/>
      <c r="E847" s="855"/>
      <c r="F847" s="855"/>
      <c r="G847" s="855"/>
      <c r="H847" s="855"/>
      <c r="I847" s="855"/>
      <c r="J847" s="855"/>
      <c r="K847" s="855"/>
      <c r="L847" s="855"/>
    </row>
    <row r="848" spans="1:12">
      <c r="A848" s="855"/>
      <c r="B848" s="855"/>
      <c r="C848" s="855"/>
      <c r="D848" s="855"/>
      <c r="E848" s="855"/>
      <c r="F848" s="855"/>
      <c r="G848" s="855"/>
      <c r="H848" s="855"/>
      <c r="I848" s="855"/>
      <c r="J848" s="855"/>
      <c r="K848" s="855"/>
      <c r="L848" s="855"/>
    </row>
    <row r="849" spans="1:12" ht="15.75" thickBot="1">
      <c r="A849" s="855"/>
      <c r="B849" s="855"/>
      <c r="C849" s="855"/>
      <c r="D849" s="855"/>
      <c r="E849" s="855"/>
      <c r="F849" s="855"/>
      <c r="G849" s="855"/>
      <c r="H849" s="855"/>
      <c r="I849" s="855"/>
      <c r="J849" s="855"/>
      <c r="K849" s="855"/>
      <c r="L849" s="855"/>
    </row>
    <row r="850" spans="1:12" ht="32.25">
      <c r="A850" s="855"/>
      <c r="B850" s="1256" t="s">
        <v>117</v>
      </c>
      <c r="C850" s="1257"/>
      <c r="D850" s="1257"/>
      <c r="E850" s="1257"/>
      <c r="F850" s="1257"/>
      <c r="G850" s="1257"/>
      <c r="H850" s="1257"/>
      <c r="I850" s="1257"/>
      <c r="J850" s="1257"/>
      <c r="K850" s="1257"/>
      <c r="L850" s="1258"/>
    </row>
    <row r="851" spans="1:12" ht="23.25">
      <c r="A851" s="855"/>
      <c r="B851" s="1237" t="s">
        <v>118</v>
      </c>
      <c r="C851" s="1238"/>
      <c r="D851" s="1238"/>
      <c r="E851" s="1238"/>
      <c r="F851" s="1238"/>
      <c r="G851" s="1238"/>
      <c r="H851" s="1238"/>
      <c r="I851" s="1238"/>
      <c r="J851" s="1238"/>
      <c r="K851" s="1238"/>
      <c r="L851" s="1239"/>
    </row>
    <row r="852" spans="1:12" ht="16.5" thickBot="1">
      <c r="A852" s="855"/>
      <c r="B852" s="1240" t="s">
        <v>119</v>
      </c>
      <c r="C852" s="1241"/>
      <c r="D852" s="1241"/>
      <c r="E852" s="1241"/>
      <c r="F852" s="1241"/>
      <c r="G852" s="1241"/>
      <c r="H852" s="1241"/>
      <c r="I852" s="1241"/>
      <c r="J852" s="1241"/>
      <c r="K852" s="1241"/>
      <c r="L852" s="1242"/>
    </row>
    <row r="853" spans="1:12">
      <c r="A853" s="855"/>
      <c r="B853" s="1243" t="s">
        <v>120</v>
      </c>
      <c r="C853" s="1244"/>
      <c r="D853" s="1244"/>
      <c r="E853" s="1244"/>
      <c r="F853" s="1244"/>
      <c r="G853" s="300"/>
      <c r="H853" s="1247" t="s">
        <v>121</v>
      </c>
      <c r="I853" s="1247"/>
      <c r="J853" s="1247"/>
      <c r="K853" s="1247"/>
      <c r="L853" s="1248"/>
    </row>
    <row r="854" spans="1:12" ht="15.75" thickBot="1">
      <c r="A854" s="855"/>
      <c r="B854" s="1245"/>
      <c r="C854" s="1246"/>
      <c r="D854" s="1246"/>
      <c r="E854" s="1246"/>
      <c r="F854" s="1246"/>
      <c r="G854" s="300"/>
      <c r="H854" s="1249"/>
      <c r="I854" s="1249"/>
      <c r="J854" s="1249"/>
      <c r="K854" s="1249"/>
      <c r="L854" s="1250"/>
    </row>
    <row r="855" spans="1:12" ht="29.25" customHeight="1">
      <c r="A855" s="855"/>
      <c r="B855" s="79"/>
      <c r="C855" s="80"/>
      <c r="D855" s="80"/>
      <c r="E855" s="80"/>
      <c r="F855" s="81"/>
      <c r="G855" s="300"/>
      <c r="H855" s="79"/>
      <c r="I855" s="80"/>
      <c r="J855" s="80"/>
      <c r="K855" s="80"/>
      <c r="L855" s="81"/>
    </row>
    <row r="856" spans="1:12" ht="29.25" customHeight="1">
      <c r="A856" s="855"/>
      <c r="B856" s="82" t="s">
        <v>425</v>
      </c>
      <c r="C856" s="300"/>
      <c r="D856" s="300"/>
      <c r="E856" s="300"/>
      <c r="F856" s="16"/>
      <c r="G856" s="300"/>
      <c r="H856" s="82" t="s">
        <v>425</v>
      </c>
      <c r="I856" s="300"/>
      <c r="J856" s="300"/>
      <c r="K856" s="300"/>
      <c r="L856" s="16"/>
    </row>
    <row r="857" spans="1:12" ht="29.25" customHeight="1">
      <c r="A857" s="855"/>
      <c r="B857" s="15"/>
      <c r="C857" s="300"/>
      <c r="D857" s="300"/>
      <c r="E857" s="300"/>
      <c r="F857" s="16"/>
      <c r="G857" s="300"/>
      <c r="H857" s="15"/>
      <c r="I857" s="300"/>
      <c r="J857" s="300"/>
      <c r="K857" s="300"/>
      <c r="L857" s="16"/>
    </row>
    <row r="858" spans="1:12" ht="29.25" customHeight="1">
      <c r="A858" s="855"/>
      <c r="B858" s="82" t="s">
        <v>426</v>
      </c>
      <c r="C858" s="300"/>
      <c r="D858" s="300"/>
      <c r="E858" s="300"/>
      <c r="F858" s="16"/>
      <c r="G858" s="300"/>
      <c r="H858" s="82" t="s">
        <v>426</v>
      </c>
      <c r="I858" s="300"/>
      <c r="J858" s="300"/>
      <c r="K858" s="300"/>
      <c r="L858" s="16"/>
    </row>
    <row r="859" spans="1:12" ht="29.25" customHeight="1" thickBot="1">
      <c r="A859" s="855"/>
      <c r="B859" s="27"/>
      <c r="C859" s="25"/>
      <c r="D859" s="25"/>
      <c r="E859" s="25"/>
      <c r="F859" s="26"/>
      <c r="G859" s="300"/>
      <c r="H859" s="27"/>
      <c r="I859" s="25"/>
      <c r="J859" s="25"/>
      <c r="K859" s="25"/>
      <c r="L859" s="26"/>
    </row>
    <row r="860" spans="1:12" ht="29.25" customHeight="1">
      <c r="A860" s="855"/>
      <c r="B860" s="15"/>
      <c r="C860" s="300"/>
      <c r="D860" s="300"/>
      <c r="E860" s="300"/>
      <c r="F860" s="300"/>
      <c r="G860" s="300"/>
      <c r="H860" s="300"/>
      <c r="I860" s="300"/>
      <c r="J860" s="300" t="s">
        <v>122</v>
      </c>
      <c r="K860" s="300"/>
      <c r="L860" s="16"/>
    </row>
    <row r="861" spans="1:12" ht="29.25" customHeight="1">
      <c r="A861" s="855"/>
      <c r="B861" s="1212" t="s">
        <v>123</v>
      </c>
      <c r="C861" s="1213"/>
      <c r="D861" s="1213"/>
      <c r="E861" s="1213"/>
      <c r="F861" s="1213"/>
      <c r="G861" s="300"/>
      <c r="H861" s="1213" t="s">
        <v>4</v>
      </c>
      <c r="I861" s="1213"/>
      <c r="J861" s="1213"/>
      <c r="K861" s="1213"/>
      <c r="L861" s="1251"/>
    </row>
    <row r="862" spans="1:12" ht="29.25" customHeight="1" thickBot="1">
      <c r="A862" s="855"/>
      <c r="B862" s="15"/>
      <c r="C862" s="300"/>
      <c r="D862" s="300"/>
      <c r="E862" s="300"/>
      <c r="F862" s="300"/>
      <c r="G862" s="300"/>
      <c r="H862" s="300"/>
      <c r="I862" s="300"/>
      <c r="J862" s="300"/>
      <c r="K862" s="300"/>
      <c r="L862" s="16"/>
    </row>
    <row r="863" spans="1:12" ht="29.25" customHeight="1">
      <c r="A863" s="855"/>
      <c r="B863" s="79"/>
      <c r="C863" s="80"/>
      <c r="D863" s="80"/>
      <c r="E863" s="80"/>
      <c r="F863" s="81"/>
      <c r="G863" s="300"/>
      <c r="H863" s="83"/>
      <c r="I863" s="84"/>
      <c r="J863" s="84"/>
      <c r="K863" s="84"/>
      <c r="L863" s="85"/>
    </row>
    <row r="864" spans="1:12" ht="29.25" customHeight="1">
      <c r="A864" s="855"/>
      <c r="B864" s="15"/>
      <c r="C864" s="300"/>
      <c r="D864" s="300"/>
      <c r="E864" s="300"/>
      <c r="F864" s="16"/>
      <c r="G864" s="300"/>
      <c r="H864" s="82" t="s">
        <v>821</v>
      </c>
      <c r="I864" s="301"/>
      <c r="J864" s="301"/>
      <c r="K864" s="301"/>
      <c r="L864" s="86"/>
    </row>
    <row r="865" spans="1:12" ht="29.25" customHeight="1">
      <c r="A865" s="855"/>
      <c r="B865" s="82" t="s">
        <v>819</v>
      </c>
      <c r="C865" s="300"/>
      <c r="D865" s="300"/>
      <c r="E865" s="300"/>
      <c r="F865" s="16"/>
      <c r="G865" s="300"/>
      <c r="H865" s="82"/>
      <c r="I865" s="301"/>
      <c r="J865" s="301"/>
      <c r="K865" s="301"/>
      <c r="L865" s="86"/>
    </row>
    <row r="866" spans="1:12" ht="29.25" customHeight="1">
      <c r="A866" s="855"/>
      <c r="B866" s="15"/>
      <c r="C866" s="300"/>
      <c r="D866" s="300"/>
      <c r="E866" s="300"/>
      <c r="F866" s="16"/>
      <c r="G866" s="300"/>
      <c r="H866" s="82" t="s">
        <v>427</v>
      </c>
      <c r="I866" s="301"/>
      <c r="J866" s="301"/>
      <c r="K866" s="301"/>
      <c r="L866" s="86"/>
    </row>
    <row r="867" spans="1:12" ht="29.25" customHeight="1" thickBot="1">
      <c r="A867" s="855"/>
      <c r="B867" s="27"/>
      <c r="C867" s="25"/>
      <c r="D867" s="25"/>
      <c r="E867" s="25"/>
      <c r="F867" s="26"/>
      <c r="G867" s="300"/>
      <c r="H867" s="82"/>
      <c r="I867" s="301"/>
      <c r="J867" s="301"/>
      <c r="K867" s="301"/>
      <c r="L867" s="86"/>
    </row>
    <row r="868" spans="1:12" ht="29.25" customHeight="1">
      <c r="A868" s="855"/>
      <c r="B868" s="1221" t="s">
        <v>124</v>
      </c>
      <c r="C868" s="1222"/>
      <c r="D868" s="1222"/>
      <c r="E868" s="1222"/>
      <c r="F868" s="1222"/>
      <c r="G868" s="1252"/>
      <c r="H868" s="1230" t="str">
        <f>'04-22-Master'!B34</f>
        <v xml:space="preserve">NarsiReddy Venna </v>
      </c>
      <c r="I868" s="1223"/>
      <c r="J868" s="1223"/>
      <c r="K868" s="1223"/>
      <c r="L868" s="1223"/>
    </row>
    <row r="869" spans="1:12" ht="29.25" customHeight="1">
      <c r="A869" s="855"/>
      <c r="B869" s="1253"/>
      <c r="C869" s="1254"/>
      <c r="D869" s="1254"/>
      <c r="E869" s="1254"/>
      <c r="F869" s="1254"/>
      <c r="G869" s="1254"/>
      <c r="H869" s="1255" t="str">
        <f>'04-22-Master'!G34</f>
        <v>Flat No 26B,Street No.1,HUDA colony,Saroor nagar,Near Kothapet signal,Hyderabda TS</v>
      </c>
      <c r="I869" s="1255"/>
      <c r="J869" s="1255"/>
      <c r="K869" s="1255"/>
      <c r="L869" s="1255"/>
    </row>
    <row r="870" spans="1:12" ht="29.25" customHeight="1">
      <c r="A870" s="855"/>
      <c r="B870" s="1225" t="s">
        <v>125</v>
      </c>
      <c r="C870" s="1226"/>
      <c r="D870" s="1226"/>
      <c r="E870" s="1226"/>
      <c r="F870" s="1226"/>
      <c r="G870" s="1226"/>
      <c r="H870" s="1227">
        <v>101</v>
      </c>
      <c r="I870" s="1228"/>
      <c r="J870" s="1228"/>
      <c r="K870" s="1228"/>
      <c r="L870" s="1229"/>
    </row>
    <row r="871" spans="1:12" ht="29.25" customHeight="1">
      <c r="A871" s="855"/>
      <c r="B871" s="1221" t="s">
        <v>126</v>
      </c>
      <c r="C871" s="1222"/>
      <c r="D871" s="1222"/>
      <c r="E871" s="1222"/>
      <c r="F871" s="1222"/>
      <c r="G871" s="1222"/>
      <c r="H871" s="1230" t="str">
        <f>'04-22-Master'!F34</f>
        <v>Senior Administrator</v>
      </c>
      <c r="I871" s="1223"/>
      <c r="J871" s="1223"/>
      <c r="K871" s="1223"/>
      <c r="L871" s="1224"/>
    </row>
    <row r="872" spans="1:12" ht="29.25" customHeight="1">
      <c r="A872" s="855"/>
      <c r="B872" s="1221" t="s">
        <v>127</v>
      </c>
      <c r="C872" s="1222"/>
      <c r="D872" s="1222"/>
      <c r="E872" s="1222"/>
      <c r="F872" s="1222"/>
      <c r="G872" s="1222"/>
      <c r="H872" s="1231">
        <f>'04-22-Master'!I34</f>
        <v>44655</v>
      </c>
      <c r="I872" s="1231"/>
      <c r="J872" s="1231"/>
      <c r="K872" s="1231"/>
      <c r="L872" s="1232"/>
    </row>
    <row r="873" spans="1:12" ht="29.25" customHeight="1">
      <c r="A873" s="855"/>
      <c r="B873" s="378" t="s">
        <v>128</v>
      </c>
      <c r="C873" s="302"/>
      <c r="D873" s="302"/>
      <c r="E873" s="302"/>
      <c r="F873" s="302"/>
      <c r="G873" s="302"/>
      <c r="H873" s="514"/>
      <c r="I873" s="304"/>
      <c r="J873" s="858">
        <f>'04-22-Master'!O941</f>
        <v>0</v>
      </c>
      <c r="K873" s="914"/>
      <c r="L873" s="916"/>
    </row>
    <row r="874" spans="1:12" ht="29.25" customHeight="1">
      <c r="A874" s="855"/>
      <c r="B874" s="378" t="s">
        <v>129</v>
      </c>
      <c r="C874" s="302"/>
      <c r="D874" s="302"/>
      <c r="E874" s="302"/>
      <c r="F874" s="302"/>
      <c r="G874" s="376"/>
      <c r="H874" s="96"/>
      <c r="I874" s="97"/>
      <c r="J874" s="858" t="str">
        <f>'04-22-Master'!N34</f>
        <v>101322850601</v>
      </c>
      <c r="K874" s="97"/>
      <c r="L874" s="98"/>
    </row>
    <row r="875" spans="1:12" ht="29.25" customHeight="1">
      <c r="A875" s="855"/>
      <c r="B875" s="1233" t="s">
        <v>130</v>
      </c>
      <c r="C875" s="1234"/>
      <c r="D875" s="1234"/>
      <c r="E875" s="1234"/>
      <c r="F875" s="1234"/>
      <c r="G875" s="1234"/>
      <c r="H875" s="1227">
        <f>'04-22-Master'!S34</f>
        <v>112719</v>
      </c>
      <c r="I875" s="1227"/>
      <c r="J875" s="1227"/>
      <c r="K875" s="1227"/>
      <c r="L875" s="1235"/>
    </row>
    <row r="876" spans="1:12" ht="29.25" customHeight="1">
      <c r="A876" s="855"/>
      <c r="B876" s="1221" t="s">
        <v>131</v>
      </c>
      <c r="C876" s="1222"/>
      <c r="D876" s="1222"/>
      <c r="E876" s="1222"/>
      <c r="F876" s="1222"/>
      <c r="G876" s="1222"/>
      <c r="H876" s="1236">
        <f>'04-22-Master'!D10</f>
        <v>44652</v>
      </c>
      <c r="I876" s="1223"/>
      <c r="J876" s="1223"/>
      <c r="K876" s="1223"/>
      <c r="L876" s="1224"/>
    </row>
    <row r="877" spans="1:12" ht="29.25" customHeight="1">
      <c r="A877" s="855"/>
      <c r="B877" s="1221" t="s">
        <v>132</v>
      </c>
      <c r="C877" s="1222"/>
      <c r="D877" s="1222"/>
      <c r="E877" s="1222"/>
      <c r="F877" s="1222"/>
      <c r="G877" s="1222"/>
      <c r="H877" s="1223" t="s">
        <v>133</v>
      </c>
      <c r="I877" s="1223"/>
      <c r="J877" s="1223"/>
      <c r="K877" s="1223"/>
      <c r="L877" s="1224"/>
    </row>
    <row r="878" spans="1:12" ht="29.25" customHeight="1">
      <c r="A878" s="855"/>
      <c r="B878" s="378" t="s">
        <v>134</v>
      </c>
      <c r="C878" s="302"/>
      <c r="D878" s="302"/>
      <c r="E878" s="302"/>
      <c r="F878" s="302"/>
      <c r="G878" s="376"/>
      <c r="H878" s="514"/>
      <c r="I878" s="914"/>
      <c r="J878" s="305">
        <f>'04-22-Master'!Q34</f>
        <v>27</v>
      </c>
      <c r="K878" s="914"/>
      <c r="L878" s="916"/>
    </row>
    <row r="879" spans="1:12" ht="29.25" customHeight="1">
      <c r="A879" s="855"/>
      <c r="B879" s="378" t="s">
        <v>135</v>
      </c>
      <c r="C879" s="302"/>
      <c r="D879" s="302"/>
      <c r="E879" s="302"/>
      <c r="F879" s="302"/>
      <c r="G879" s="376"/>
      <c r="H879" s="514"/>
      <c r="I879" s="914"/>
      <c r="J879" s="914" t="s">
        <v>37</v>
      </c>
      <c r="K879" s="914"/>
      <c r="L879" s="916"/>
    </row>
    <row r="880" spans="1:12" ht="29.25" customHeight="1">
      <c r="A880" s="855"/>
      <c r="B880" s="378" t="s">
        <v>136</v>
      </c>
      <c r="C880" s="302"/>
      <c r="D880" s="302"/>
      <c r="E880" s="302"/>
      <c r="F880" s="302"/>
      <c r="G880" s="376"/>
      <c r="H880" s="514"/>
      <c r="I880" s="914"/>
      <c r="J880" s="305">
        <v>0</v>
      </c>
      <c r="K880" s="914"/>
      <c r="L880" s="916"/>
    </row>
    <row r="881" spans="1:12" ht="29.25" customHeight="1">
      <c r="A881" s="855"/>
      <c r="B881" s="378" t="s">
        <v>137</v>
      </c>
      <c r="C881" s="302"/>
      <c r="D881" s="302"/>
      <c r="E881" s="302"/>
      <c r="F881" s="302"/>
      <c r="G881" s="376"/>
      <c r="H881" s="514"/>
      <c r="I881" s="914"/>
      <c r="J881" s="914">
        <v>0</v>
      </c>
      <c r="K881" s="914"/>
      <c r="L881" s="916"/>
    </row>
    <row r="882" spans="1:12" ht="29.25" customHeight="1">
      <c r="A882" s="855"/>
      <c r="B882" s="378" t="s">
        <v>138</v>
      </c>
      <c r="C882" s="302"/>
      <c r="D882" s="302"/>
      <c r="E882" s="302"/>
      <c r="F882" s="302"/>
      <c r="G882" s="376"/>
      <c r="H882" s="514"/>
      <c r="I882" s="914"/>
      <c r="J882" s="305">
        <f>'04-22-Master'!AG34</f>
        <v>111114.82730599999</v>
      </c>
      <c r="K882" s="914"/>
      <c r="L882" s="916" t="s">
        <v>35</v>
      </c>
    </row>
    <row r="883" spans="1:12" ht="29.25" customHeight="1">
      <c r="A883" s="855"/>
      <c r="B883" s="378" t="s">
        <v>139</v>
      </c>
      <c r="C883" s="302"/>
      <c r="D883" s="913" t="s">
        <v>32</v>
      </c>
      <c r="E883" s="912">
        <f>'04-22-Master'!AI34</f>
        <v>1800</v>
      </c>
      <c r="F883" s="913" t="s">
        <v>31</v>
      </c>
      <c r="G883" s="912">
        <f>'04-22-Master'!AH1902</f>
        <v>0</v>
      </c>
      <c r="H883" s="913" t="s">
        <v>33</v>
      </c>
      <c r="I883" s="912">
        <f>'04-22-Master'!AJ34</f>
        <v>200</v>
      </c>
      <c r="J883" s="913" t="s">
        <v>34</v>
      </c>
      <c r="K883" s="912">
        <f>'04-22-Master'!AK34</f>
        <v>0</v>
      </c>
      <c r="L883" s="111">
        <f>'04-22-Master'!AL34</f>
        <v>0</v>
      </c>
    </row>
    <row r="884" spans="1:12" ht="29.25" customHeight="1">
      <c r="A884" s="855"/>
      <c r="B884" s="378" t="s">
        <v>140</v>
      </c>
      <c r="C884" s="302"/>
      <c r="D884" s="302"/>
      <c r="E884" s="302"/>
      <c r="F884" s="302"/>
      <c r="G884" s="376"/>
      <c r="H884" s="514"/>
      <c r="I884" s="914"/>
      <c r="J884" s="305">
        <f>J882-(E883+G883+I883+K883+L883)</f>
        <v>109114.82730599999</v>
      </c>
      <c r="K884" s="914"/>
      <c r="L884" s="916"/>
    </row>
    <row r="885" spans="1:12" ht="29.25" customHeight="1">
      <c r="A885" s="855"/>
      <c r="B885" s="379" t="s">
        <v>141</v>
      </c>
      <c r="C885" s="102"/>
      <c r="D885" s="102"/>
      <c r="E885" s="102"/>
      <c r="F885" s="102"/>
      <c r="G885" s="103"/>
      <c r="H885" s="104"/>
      <c r="I885" s="105"/>
      <c r="J885" s="105"/>
      <c r="K885" s="105"/>
      <c r="L885" s="106"/>
    </row>
    <row r="886" spans="1:12" ht="29.25" customHeight="1">
      <c r="A886" s="855"/>
      <c r="B886" s="380" t="s">
        <v>142</v>
      </c>
      <c r="C886" s="107"/>
      <c r="D886" s="107"/>
      <c r="E886" s="107"/>
      <c r="F886" s="107"/>
      <c r="G886" s="108"/>
      <c r="H886" s="73"/>
      <c r="I886" s="19"/>
      <c r="J886" s="19"/>
      <c r="K886" s="19"/>
      <c r="L886" s="109"/>
    </row>
    <row r="887" spans="1:12">
      <c r="A887" s="855"/>
      <c r="B887" s="15"/>
      <c r="C887" s="300"/>
      <c r="D887" s="300"/>
      <c r="E887" s="300"/>
      <c r="F887" s="300"/>
      <c r="G887" s="300"/>
      <c r="H887" s="300"/>
      <c r="I887" s="300"/>
      <c r="J887" s="300"/>
      <c r="K887" s="300"/>
      <c r="L887" s="16"/>
    </row>
    <row r="888" spans="1:12" ht="15.75" thickBot="1">
      <c r="A888" s="855"/>
      <c r="B888" s="27"/>
      <c r="C888" s="25"/>
      <c r="D888" s="25"/>
      <c r="E888" s="25"/>
      <c r="F888" s="25"/>
      <c r="G888" s="25"/>
      <c r="H888" s="25"/>
      <c r="I888" s="25"/>
      <c r="J888" s="25"/>
      <c r="K888" s="25"/>
      <c r="L888" s="26"/>
    </row>
    <row r="889" spans="1:12">
      <c r="A889" s="855"/>
      <c r="B889" s="855"/>
      <c r="C889" s="855"/>
      <c r="D889" s="855"/>
      <c r="E889" s="855"/>
      <c r="F889" s="855"/>
      <c r="G889" s="855"/>
      <c r="H889" s="855"/>
      <c r="I889" s="855"/>
      <c r="J889" s="855"/>
      <c r="K889" s="855"/>
      <c r="L889" s="855"/>
    </row>
    <row r="890" spans="1:12">
      <c r="A890" s="855"/>
      <c r="B890" s="855"/>
      <c r="C890" s="855"/>
      <c r="D890" s="855"/>
      <c r="E890" s="855"/>
      <c r="F890" s="855"/>
      <c r="G890" s="855"/>
      <c r="H890" s="855"/>
      <c r="I890" s="855"/>
      <c r="J890" s="855"/>
      <c r="K890" s="855"/>
      <c r="L890" s="855"/>
    </row>
    <row r="891" spans="1:12">
      <c r="A891" s="855"/>
      <c r="B891" s="855"/>
      <c r="C891" s="855"/>
      <c r="D891" s="855"/>
      <c r="E891" s="855"/>
      <c r="F891" s="855"/>
      <c r="G891" s="855"/>
      <c r="H891" s="855"/>
      <c r="I891" s="855"/>
      <c r="J891" s="855"/>
      <c r="K891" s="855"/>
      <c r="L891" s="855"/>
    </row>
    <row r="892" spans="1:12">
      <c r="A892" s="855"/>
      <c r="B892" s="855"/>
      <c r="C892" s="855"/>
      <c r="D892" s="855"/>
      <c r="E892" s="855"/>
      <c r="F892" s="855"/>
      <c r="G892" s="855"/>
      <c r="H892" s="855"/>
      <c r="I892" s="855"/>
      <c r="J892" s="855"/>
      <c r="K892" s="855"/>
      <c r="L892" s="855"/>
    </row>
    <row r="893" spans="1:12">
      <c r="A893" s="855"/>
      <c r="B893" s="855"/>
      <c r="C893" s="855"/>
      <c r="D893" s="855"/>
      <c r="E893" s="855"/>
      <c r="F893" s="855"/>
      <c r="G893" s="855"/>
      <c r="H893" s="855"/>
      <c r="I893" s="855"/>
      <c r="J893" s="855"/>
      <c r="K893" s="855"/>
      <c r="L893" s="855"/>
    </row>
    <row r="894" spans="1:12">
      <c r="A894" s="855"/>
      <c r="B894" s="855"/>
      <c r="C894" s="855"/>
      <c r="D894" s="855"/>
      <c r="E894" s="855"/>
      <c r="F894" s="855"/>
      <c r="G894" s="855"/>
      <c r="H894" s="855"/>
      <c r="I894" s="855"/>
      <c r="J894" s="855"/>
      <c r="K894" s="855"/>
      <c r="L894" s="855"/>
    </row>
    <row r="895" spans="1:12">
      <c r="A895" s="855"/>
      <c r="B895" s="855"/>
      <c r="C895" s="855"/>
      <c r="D895" s="855"/>
      <c r="E895" s="855"/>
      <c r="F895" s="855"/>
      <c r="G895" s="855"/>
      <c r="H895" s="855"/>
      <c r="I895" s="855"/>
      <c r="J895" s="855"/>
      <c r="K895" s="855"/>
      <c r="L895" s="855"/>
    </row>
    <row r="896" spans="1:12">
      <c r="A896" s="855"/>
      <c r="B896" s="855"/>
      <c r="C896" s="855"/>
      <c r="D896" s="855"/>
      <c r="E896" s="855"/>
      <c r="F896" s="855"/>
      <c r="G896" s="855"/>
      <c r="H896" s="855"/>
      <c r="I896" s="855"/>
      <c r="J896" s="855"/>
      <c r="K896" s="855"/>
      <c r="L896" s="855"/>
    </row>
    <row r="897" spans="1:12" ht="15.75" thickBot="1">
      <c r="A897" s="855"/>
      <c r="B897" s="855"/>
      <c r="C897" s="855"/>
      <c r="D897" s="855"/>
      <c r="E897" s="855"/>
      <c r="F897" s="855"/>
      <c r="G897" s="855"/>
      <c r="H897" s="855"/>
      <c r="I897" s="855"/>
      <c r="J897" s="855"/>
      <c r="K897" s="855"/>
      <c r="L897" s="855"/>
    </row>
    <row r="898" spans="1:12" ht="32.25">
      <c r="A898" s="855"/>
      <c r="B898" s="1256" t="s">
        <v>117</v>
      </c>
      <c r="C898" s="1257"/>
      <c r="D898" s="1257"/>
      <c r="E898" s="1257"/>
      <c r="F898" s="1257"/>
      <c r="G898" s="1257"/>
      <c r="H898" s="1257"/>
      <c r="I898" s="1257"/>
      <c r="J898" s="1257"/>
      <c r="K898" s="1257"/>
      <c r="L898" s="1258"/>
    </row>
    <row r="899" spans="1:12" ht="23.25">
      <c r="A899" s="855"/>
      <c r="B899" s="1237" t="s">
        <v>118</v>
      </c>
      <c r="C899" s="1238"/>
      <c r="D899" s="1238"/>
      <c r="E899" s="1238"/>
      <c r="F899" s="1238"/>
      <c r="G899" s="1238"/>
      <c r="H899" s="1238"/>
      <c r="I899" s="1238"/>
      <c r="J899" s="1238"/>
      <c r="K899" s="1238"/>
      <c r="L899" s="1239"/>
    </row>
    <row r="900" spans="1:12" ht="16.5" thickBot="1">
      <c r="A900" s="855"/>
      <c r="B900" s="1240" t="s">
        <v>119</v>
      </c>
      <c r="C900" s="1241"/>
      <c r="D900" s="1241"/>
      <c r="E900" s="1241"/>
      <c r="F900" s="1241"/>
      <c r="G900" s="1241"/>
      <c r="H900" s="1241"/>
      <c r="I900" s="1241"/>
      <c r="J900" s="1241"/>
      <c r="K900" s="1241"/>
      <c r="L900" s="1242"/>
    </row>
    <row r="901" spans="1:12">
      <c r="A901" s="855"/>
      <c r="B901" s="1243" t="s">
        <v>120</v>
      </c>
      <c r="C901" s="1244"/>
      <c r="D901" s="1244"/>
      <c r="E901" s="1244"/>
      <c r="F901" s="1244"/>
      <c r="G901" s="300"/>
      <c r="H901" s="1247" t="s">
        <v>121</v>
      </c>
      <c r="I901" s="1247"/>
      <c r="J901" s="1247"/>
      <c r="K901" s="1247"/>
      <c r="L901" s="1248"/>
    </row>
    <row r="902" spans="1:12" ht="15.75" thickBot="1">
      <c r="A902" s="855"/>
      <c r="B902" s="1245"/>
      <c r="C902" s="1246"/>
      <c r="D902" s="1246"/>
      <c r="E902" s="1246"/>
      <c r="F902" s="1246"/>
      <c r="G902" s="300"/>
      <c r="H902" s="1249"/>
      <c r="I902" s="1249"/>
      <c r="J902" s="1249"/>
      <c r="K902" s="1249"/>
      <c r="L902" s="1250"/>
    </row>
    <row r="903" spans="1:12">
      <c r="A903" s="855"/>
      <c r="B903" s="79"/>
      <c r="C903" s="80"/>
      <c r="D903" s="80"/>
      <c r="E903" s="80"/>
      <c r="F903" s="81"/>
      <c r="G903" s="300"/>
      <c r="H903" s="79"/>
      <c r="I903" s="80"/>
      <c r="J903" s="80"/>
      <c r="K903" s="80"/>
      <c r="L903" s="81"/>
    </row>
    <row r="904" spans="1:12">
      <c r="A904" s="855"/>
      <c r="B904" s="82" t="s">
        <v>425</v>
      </c>
      <c r="C904" s="300"/>
      <c r="D904" s="300"/>
      <c r="E904" s="300"/>
      <c r="F904" s="16"/>
      <c r="G904" s="300"/>
      <c r="H904" s="82" t="s">
        <v>425</v>
      </c>
      <c r="I904" s="300"/>
      <c r="J904" s="300"/>
      <c r="K904" s="300"/>
      <c r="L904" s="16"/>
    </row>
    <row r="905" spans="1:12" ht="28.5" customHeight="1">
      <c r="A905" s="855"/>
      <c r="B905" s="15"/>
      <c r="C905" s="300"/>
      <c r="D905" s="300"/>
      <c r="E905" s="300"/>
      <c r="F905" s="16"/>
      <c r="G905" s="300"/>
      <c r="H905" s="15"/>
      <c r="I905" s="300"/>
      <c r="J905" s="300"/>
      <c r="K905" s="300"/>
      <c r="L905" s="16"/>
    </row>
    <row r="906" spans="1:12" ht="28.5" customHeight="1">
      <c r="A906" s="855"/>
      <c r="B906" s="82" t="s">
        <v>426</v>
      </c>
      <c r="C906" s="300"/>
      <c r="D906" s="300"/>
      <c r="E906" s="300"/>
      <c r="F906" s="16"/>
      <c r="G906" s="300"/>
      <c r="H906" s="82" t="s">
        <v>426</v>
      </c>
      <c r="I906" s="300"/>
      <c r="J906" s="300"/>
      <c r="K906" s="300"/>
      <c r="L906" s="16"/>
    </row>
    <row r="907" spans="1:12" ht="28.5" customHeight="1" thickBot="1">
      <c r="A907" s="855"/>
      <c r="B907" s="27"/>
      <c r="C907" s="25"/>
      <c r="D907" s="25"/>
      <c r="E907" s="25"/>
      <c r="F907" s="26"/>
      <c r="G907" s="300"/>
      <c r="H907" s="27"/>
      <c r="I907" s="25"/>
      <c r="J907" s="25"/>
      <c r="K907" s="25"/>
      <c r="L907" s="26"/>
    </row>
    <row r="908" spans="1:12" ht="28.5" customHeight="1">
      <c r="A908" s="855"/>
      <c r="B908" s="15"/>
      <c r="C908" s="300"/>
      <c r="D908" s="300"/>
      <c r="E908" s="300"/>
      <c r="F908" s="300"/>
      <c r="G908" s="300"/>
      <c r="H908" s="300"/>
      <c r="I908" s="300"/>
      <c r="J908" s="300" t="s">
        <v>122</v>
      </c>
      <c r="K908" s="300"/>
      <c r="L908" s="16"/>
    </row>
    <row r="909" spans="1:12" ht="28.5" customHeight="1">
      <c r="A909" s="855"/>
      <c r="B909" s="1212" t="s">
        <v>123</v>
      </c>
      <c r="C909" s="1213"/>
      <c r="D909" s="1213"/>
      <c r="E909" s="1213"/>
      <c r="F909" s="1213"/>
      <c r="G909" s="300"/>
      <c r="H909" s="1213" t="s">
        <v>4</v>
      </c>
      <c r="I909" s="1213"/>
      <c r="J909" s="1213"/>
      <c r="K909" s="1213"/>
      <c r="L909" s="1251"/>
    </row>
    <row r="910" spans="1:12" ht="28.5" customHeight="1" thickBot="1">
      <c r="A910" s="855"/>
      <c r="B910" s="15"/>
      <c r="C910" s="300"/>
      <c r="D910" s="300"/>
      <c r="E910" s="300"/>
      <c r="F910" s="300"/>
      <c r="G910" s="300"/>
      <c r="H910" s="300"/>
      <c r="I910" s="300"/>
      <c r="J910" s="300"/>
      <c r="K910" s="300"/>
      <c r="L910" s="16"/>
    </row>
    <row r="911" spans="1:12" ht="28.5" customHeight="1">
      <c r="A911" s="855"/>
      <c r="B911" s="79"/>
      <c r="C911" s="80"/>
      <c r="D911" s="80"/>
      <c r="E911" s="80"/>
      <c r="F911" s="81"/>
      <c r="G911" s="300"/>
      <c r="H911" s="83"/>
      <c r="I911" s="84"/>
      <c r="J911" s="84"/>
      <c r="K911" s="84"/>
      <c r="L911" s="85"/>
    </row>
    <row r="912" spans="1:12" ht="28.5" customHeight="1">
      <c r="A912" s="855"/>
      <c r="B912" s="15"/>
      <c r="C912" s="300"/>
      <c r="D912" s="300"/>
      <c r="E912" s="300"/>
      <c r="F912" s="16"/>
      <c r="G912" s="300"/>
      <c r="H912" s="82" t="s">
        <v>821</v>
      </c>
      <c r="I912" s="301"/>
      <c r="J912" s="301"/>
      <c r="K912" s="301"/>
      <c r="L912" s="86"/>
    </row>
    <row r="913" spans="1:12" ht="28.5" customHeight="1">
      <c r="A913" s="855"/>
      <c r="B913" s="82" t="s">
        <v>819</v>
      </c>
      <c r="C913" s="300"/>
      <c r="D913" s="300"/>
      <c r="E913" s="300"/>
      <c r="F913" s="16"/>
      <c r="G913" s="300"/>
      <c r="H913" s="82"/>
      <c r="I913" s="301"/>
      <c r="J913" s="301"/>
      <c r="K913" s="301"/>
      <c r="L913" s="86"/>
    </row>
    <row r="914" spans="1:12" ht="28.5" customHeight="1">
      <c r="A914" s="855"/>
      <c r="B914" s="15"/>
      <c r="C914" s="300"/>
      <c r="D914" s="300"/>
      <c r="E914" s="300"/>
      <c r="F914" s="16"/>
      <c r="G914" s="300"/>
      <c r="H914" s="82" t="s">
        <v>427</v>
      </c>
      <c r="I914" s="301"/>
      <c r="J914" s="301"/>
      <c r="K914" s="301"/>
      <c r="L914" s="86"/>
    </row>
    <row r="915" spans="1:12" ht="28.5" customHeight="1" thickBot="1">
      <c r="A915" s="855"/>
      <c r="B915" s="27"/>
      <c r="C915" s="25"/>
      <c r="D915" s="25"/>
      <c r="E915" s="25"/>
      <c r="F915" s="26"/>
      <c r="G915" s="300"/>
      <c r="H915" s="82"/>
      <c r="I915" s="301"/>
      <c r="J915" s="301"/>
      <c r="K915" s="301"/>
      <c r="L915" s="86"/>
    </row>
    <row r="916" spans="1:12" ht="28.5" customHeight="1">
      <c r="A916" s="855"/>
      <c r="B916" s="1221" t="s">
        <v>124</v>
      </c>
      <c r="C916" s="1222"/>
      <c r="D916" s="1222"/>
      <c r="E916" s="1222"/>
      <c r="F916" s="1222"/>
      <c r="G916" s="1252"/>
      <c r="H916" s="1230" t="str">
        <f>'04-22-Master'!B35</f>
        <v xml:space="preserve">AbdulSaleem Sunkesula </v>
      </c>
      <c r="I916" s="1223"/>
      <c r="J916" s="1223"/>
      <c r="K916" s="1223"/>
      <c r="L916" s="1223"/>
    </row>
    <row r="917" spans="1:12" ht="28.5" customHeight="1">
      <c r="A917" s="855"/>
      <c r="B917" s="1253"/>
      <c r="C917" s="1254"/>
      <c r="D917" s="1254"/>
      <c r="E917" s="1254"/>
      <c r="F917" s="1254"/>
      <c r="G917" s="1254"/>
      <c r="H917" s="1255" t="str">
        <f>'04-22-Master'!G35</f>
        <v>19/76,Papireddygari palle,Ramapuram,Hasanapuram,Kadapa,AP 516504</v>
      </c>
      <c r="I917" s="1255"/>
      <c r="J917" s="1255"/>
      <c r="K917" s="1255"/>
      <c r="L917" s="1255"/>
    </row>
    <row r="918" spans="1:12" ht="28.5" customHeight="1">
      <c r="A918" s="855"/>
      <c r="B918" s="1225" t="s">
        <v>125</v>
      </c>
      <c r="C918" s="1226"/>
      <c r="D918" s="1226"/>
      <c r="E918" s="1226"/>
      <c r="F918" s="1226"/>
      <c r="G918" s="1226"/>
      <c r="H918" s="1227">
        <v>102</v>
      </c>
      <c r="I918" s="1228"/>
      <c r="J918" s="1228"/>
      <c r="K918" s="1228"/>
      <c r="L918" s="1229"/>
    </row>
    <row r="919" spans="1:12" ht="28.5" customHeight="1">
      <c r="A919" s="855"/>
      <c r="B919" s="1221" t="s">
        <v>126</v>
      </c>
      <c r="C919" s="1222"/>
      <c r="D919" s="1222"/>
      <c r="E919" s="1222"/>
      <c r="F919" s="1222"/>
      <c r="G919" s="1222"/>
      <c r="H919" s="1230" t="str">
        <f>'04-22-Master'!F35</f>
        <v>Technical Consultant</v>
      </c>
      <c r="I919" s="1223"/>
      <c r="J919" s="1223"/>
      <c r="K919" s="1223"/>
      <c r="L919" s="1224"/>
    </row>
    <row r="920" spans="1:12" ht="28.5" customHeight="1">
      <c r="A920" s="855"/>
      <c r="B920" s="1221" t="s">
        <v>127</v>
      </c>
      <c r="C920" s="1222"/>
      <c r="D920" s="1222"/>
      <c r="E920" s="1222"/>
      <c r="F920" s="1222"/>
      <c r="G920" s="1222"/>
      <c r="H920" s="1231">
        <f>'04-22-Master'!I35</f>
        <v>44671</v>
      </c>
      <c r="I920" s="1231"/>
      <c r="J920" s="1231"/>
      <c r="K920" s="1231"/>
      <c r="L920" s="1232"/>
    </row>
    <row r="921" spans="1:12" ht="28.5" customHeight="1">
      <c r="A921" s="855"/>
      <c r="B921" s="378" t="s">
        <v>128</v>
      </c>
      <c r="C921" s="302"/>
      <c r="D921" s="302"/>
      <c r="E921" s="302"/>
      <c r="F921" s="302"/>
      <c r="G921" s="302"/>
      <c r="H921" s="514"/>
      <c r="I921" s="304"/>
      <c r="J921" s="858">
        <f>'04-22-Master'!O999</f>
        <v>0</v>
      </c>
      <c r="K921" s="914"/>
      <c r="L921" s="916"/>
    </row>
    <row r="922" spans="1:12" ht="28.5" customHeight="1">
      <c r="A922" s="855"/>
      <c r="B922" s="378" t="s">
        <v>129</v>
      </c>
      <c r="C922" s="302"/>
      <c r="D922" s="302"/>
      <c r="E922" s="302"/>
      <c r="F922" s="302"/>
      <c r="G922" s="376"/>
      <c r="H922" s="96"/>
      <c r="I922" s="97"/>
      <c r="J922" s="858" t="str">
        <f>'04-22-Master'!N35</f>
        <v>101814583013</v>
      </c>
      <c r="K922" s="97"/>
      <c r="L922" s="98"/>
    </row>
    <row r="923" spans="1:12" ht="28.5" customHeight="1">
      <c r="A923" s="855"/>
      <c r="B923" s="1233" t="s">
        <v>130</v>
      </c>
      <c r="C923" s="1234"/>
      <c r="D923" s="1234"/>
      <c r="E923" s="1234"/>
      <c r="F923" s="1234"/>
      <c r="G923" s="1234"/>
      <c r="H923" s="1227">
        <f>'04-22-Master'!S35</f>
        <v>75643</v>
      </c>
      <c r="I923" s="1227"/>
      <c r="J923" s="1227"/>
      <c r="K923" s="1227"/>
      <c r="L923" s="1235"/>
    </row>
    <row r="924" spans="1:12" ht="28.5" customHeight="1">
      <c r="A924" s="855"/>
      <c r="B924" s="1221" t="s">
        <v>131</v>
      </c>
      <c r="C924" s="1222"/>
      <c r="D924" s="1222"/>
      <c r="E924" s="1222"/>
      <c r="F924" s="1222"/>
      <c r="G924" s="1222"/>
      <c r="H924" s="1236">
        <f>'04-22-Master'!D10</f>
        <v>44652</v>
      </c>
      <c r="I924" s="1223"/>
      <c r="J924" s="1223"/>
      <c r="K924" s="1223"/>
      <c r="L924" s="1224"/>
    </row>
    <row r="925" spans="1:12" ht="28.5" customHeight="1">
      <c r="A925" s="855"/>
      <c r="B925" s="1221" t="s">
        <v>132</v>
      </c>
      <c r="C925" s="1222"/>
      <c r="D925" s="1222"/>
      <c r="E925" s="1222"/>
      <c r="F925" s="1222"/>
      <c r="G925" s="1222"/>
      <c r="H925" s="1223" t="s">
        <v>133</v>
      </c>
      <c r="I925" s="1223"/>
      <c r="J925" s="1223"/>
      <c r="K925" s="1223"/>
      <c r="L925" s="1224"/>
    </row>
    <row r="926" spans="1:12" ht="28.5" customHeight="1">
      <c r="A926" s="855"/>
      <c r="B926" s="378" t="s">
        <v>134</v>
      </c>
      <c r="C926" s="302"/>
      <c r="D926" s="302"/>
      <c r="E926" s="302"/>
      <c r="F926" s="302"/>
      <c r="G926" s="376"/>
      <c r="H926" s="514"/>
      <c r="I926" s="914"/>
      <c r="J926" s="305">
        <f>'04-22-Master'!Q35</f>
        <v>11</v>
      </c>
      <c r="K926" s="914"/>
      <c r="L926" s="916"/>
    </row>
    <row r="927" spans="1:12" ht="28.5" customHeight="1">
      <c r="A927" s="855"/>
      <c r="B927" s="378" t="s">
        <v>135</v>
      </c>
      <c r="C927" s="302"/>
      <c r="D927" s="302"/>
      <c r="E927" s="302"/>
      <c r="F927" s="302"/>
      <c r="G927" s="376"/>
      <c r="H927" s="514"/>
      <c r="I927" s="914"/>
      <c r="J927" s="914" t="s">
        <v>37</v>
      </c>
      <c r="K927" s="914"/>
      <c r="L927" s="916"/>
    </row>
    <row r="928" spans="1:12" ht="28.5" customHeight="1">
      <c r="A928" s="855"/>
      <c r="B928" s="378" t="s">
        <v>136</v>
      </c>
      <c r="C928" s="302"/>
      <c r="D928" s="302"/>
      <c r="E928" s="302"/>
      <c r="F928" s="302"/>
      <c r="G928" s="376"/>
      <c r="H928" s="514"/>
      <c r="I928" s="914"/>
      <c r="J928" s="305">
        <v>0</v>
      </c>
      <c r="K928" s="914"/>
      <c r="L928" s="916"/>
    </row>
    <row r="929" spans="1:12" ht="28.5" customHeight="1">
      <c r="A929" s="855"/>
      <c r="B929" s="378" t="s">
        <v>137</v>
      </c>
      <c r="C929" s="302"/>
      <c r="D929" s="302"/>
      <c r="E929" s="302"/>
      <c r="F929" s="302"/>
      <c r="G929" s="376"/>
      <c r="H929" s="514"/>
      <c r="I929" s="914"/>
      <c r="J929" s="914">
        <v>0</v>
      </c>
      <c r="K929" s="914"/>
      <c r="L929" s="916"/>
    </row>
    <row r="930" spans="1:12" ht="28.5" customHeight="1">
      <c r="A930" s="855"/>
      <c r="B930" s="378" t="s">
        <v>138</v>
      </c>
      <c r="C930" s="302"/>
      <c r="D930" s="302"/>
      <c r="E930" s="302"/>
      <c r="F930" s="302"/>
      <c r="G930" s="376"/>
      <c r="H930" s="514"/>
      <c r="I930" s="914"/>
      <c r="J930" s="305">
        <f>'04-22-Master'!AG35</f>
        <v>31590.618226000002</v>
      </c>
      <c r="K930" s="914"/>
      <c r="L930" s="916" t="s">
        <v>35</v>
      </c>
    </row>
    <row r="931" spans="1:12" ht="28.5" customHeight="1">
      <c r="A931" s="855"/>
      <c r="B931" s="378" t="s">
        <v>139</v>
      </c>
      <c r="C931" s="302"/>
      <c r="D931" s="913" t="s">
        <v>32</v>
      </c>
      <c r="E931" s="912">
        <f>'04-22-Master'!AI35</f>
        <v>1800</v>
      </c>
      <c r="F931" s="913" t="s">
        <v>31</v>
      </c>
      <c r="G931" s="912">
        <f>'04-22-Master'!AH1960</f>
        <v>0</v>
      </c>
      <c r="H931" s="913" t="s">
        <v>33</v>
      </c>
      <c r="I931" s="912">
        <f>'04-22-Master'!AJ35</f>
        <v>200</v>
      </c>
      <c r="J931" s="913" t="s">
        <v>34</v>
      </c>
      <c r="K931" s="912">
        <f>'04-22-Master'!AK35</f>
        <v>0</v>
      </c>
      <c r="L931" s="111">
        <f>'04-22-Master'!AL35</f>
        <v>0</v>
      </c>
    </row>
    <row r="932" spans="1:12" ht="28.5" customHeight="1">
      <c r="A932" s="855"/>
      <c r="B932" s="378" t="s">
        <v>140</v>
      </c>
      <c r="C932" s="302"/>
      <c r="D932" s="302"/>
      <c r="E932" s="302"/>
      <c r="F932" s="302"/>
      <c r="G932" s="376"/>
      <c r="H932" s="514"/>
      <c r="I932" s="914"/>
      <c r="J932" s="305">
        <f>J930-(E931+G931+I931+K931+L931)</f>
        <v>29590.618226000002</v>
      </c>
      <c r="K932" s="914"/>
      <c r="L932" s="916"/>
    </row>
    <row r="933" spans="1:12" ht="28.5" customHeight="1">
      <c r="A933" s="855"/>
      <c r="B933" s="379" t="s">
        <v>141</v>
      </c>
      <c r="C933" s="102"/>
      <c r="D933" s="102"/>
      <c r="E933" s="102"/>
      <c r="F933" s="102"/>
      <c r="G933" s="103"/>
      <c r="H933" s="104"/>
      <c r="I933" s="105"/>
      <c r="J933" s="105"/>
      <c r="K933" s="105"/>
      <c r="L933" s="106"/>
    </row>
    <row r="934" spans="1:12" ht="28.5" customHeight="1">
      <c r="A934" s="855"/>
      <c r="B934" s="380" t="s">
        <v>142</v>
      </c>
      <c r="C934" s="107"/>
      <c r="D934" s="107"/>
      <c r="E934" s="107"/>
      <c r="F934" s="107"/>
      <c r="G934" s="108"/>
      <c r="H934" s="73"/>
      <c r="I934" s="19"/>
      <c r="J934" s="19"/>
      <c r="K934" s="19"/>
      <c r="L934" s="109"/>
    </row>
    <row r="935" spans="1:12">
      <c r="A935" s="855"/>
      <c r="B935" s="15"/>
      <c r="C935" s="300"/>
      <c r="D935" s="300"/>
      <c r="E935" s="300"/>
      <c r="F935" s="300"/>
      <c r="G935" s="300"/>
      <c r="H935" s="300"/>
      <c r="I935" s="300"/>
      <c r="J935" s="300"/>
      <c r="K935" s="300"/>
      <c r="L935" s="16"/>
    </row>
    <row r="936" spans="1:12" ht="15.75" thickBot="1">
      <c r="A936" s="855"/>
      <c r="B936" s="27"/>
      <c r="C936" s="25"/>
      <c r="D936" s="25"/>
      <c r="E936" s="25"/>
      <c r="F936" s="25"/>
      <c r="G936" s="25"/>
      <c r="H936" s="25"/>
      <c r="I936" s="25"/>
      <c r="J936" s="25"/>
      <c r="K936" s="25"/>
      <c r="L936" s="26"/>
    </row>
    <row r="937" spans="1:12">
      <c r="A937" s="855"/>
      <c r="B937" s="855"/>
      <c r="C937" s="855"/>
      <c r="D937" s="855"/>
      <c r="E937" s="855"/>
      <c r="F937" s="855"/>
      <c r="G937" s="855"/>
      <c r="H937" s="855"/>
      <c r="I937" s="855"/>
      <c r="J937" s="855"/>
      <c r="K937" s="855"/>
      <c r="L937" s="855"/>
    </row>
    <row r="938" spans="1:12">
      <c r="A938" s="855"/>
      <c r="B938" s="855"/>
      <c r="C938" s="855"/>
      <c r="D938" s="855"/>
      <c r="E938" s="855"/>
      <c r="F938" s="855"/>
      <c r="G938" s="855"/>
      <c r="H938" s="855"/>
      <c r="I938" s="855"/>
      <c r="J938" s="855"/>
      <c r="K938" s="855"/>
      <c r="L938" s="855"/>
    </row>
    <row r="939" spans="1:12">
      <c r="A939" s="855"/>
      <c r="B939" s="855"/>
      <c r="C939" s="855"/>
      <c r="D939" s="855"/>
      <c r="E939" s="855"/>
      <c r="F939" s="855"/>
      <c r="G939" s="855"/>
      <c r="H939" s="855"/>
      <c r="I939" s="855"/>
      <c r="J939" s="855"/>
      <c r="K939" s="855"/>
      <c r="L939" s="855"/>
    </row>
    <row r="940" spans="1:12">
      <c r="A940" s="855"/>
      <c r="B940" s="855"/>
      <c r="C940" s="855"/>
      <c r="D940" s="855"/>
      <c r="E940" s="855"/>
      <c r="F940" s="855"/>
      <c r="G940" s="855"/>
      <c r="H940" s="855"/>
      <c r="I940" s="855"/>
      <c r="J940" s="855"/>
      <c r="K940" s="855"/>
      <c r="L940" s="855"/>
    </row>
    <row r="941" spans="1:12">
      <c r="A941" s="855"/>
      <c r="B941" s="855"/>
      <c r="C941" s="855"/>
      <c r="D941" s="855"/>
      <c r="E941" s="855"/>
      <c r="F941" s="855"/>
      <c r="G941" s="855"/>
      <c r="H941" s="855"/>
      <c r="I941" s="855"/>
      <c r="J941" s="855"/>
      <c r="K941" s="855"/>
      <c r="L941" s="855"/>
    </row>
    <row r="942" spans="1:12">
      <c r="A942" s="855"/>
      <c r="B942" s="855"/>
      <c r="C942" s="855"/>
      <c r="D942" s="855"/>
      <c r="E942" s="855"/>
      <c r="F942" s="855"/>
      <c r="G942" s="855"/>
      <c r="H942" s="855"/>
      <c r="I942" s="855"/>
      <c r="J942" s="855"/>
      <c r="K942" s="855"/>
      <c r="L942" s="855"/>
    </row>
    <row r="943" spans="1:12">
      <c r="A943" s="855"/>
      <c r="B943" s="855"/>
      <c r="C943" s="855"/>
      <c r="D943" s="855"/>
      <c r="E943" s="855"/>
      <c r="F943" s="855"/>
      <c r="G943" s="855"/>
      <c r="H943" s="855"/>
      <c r="I943" s="855"/>
      <c r="J943" s="855"/>
      <c r="K943" s="855"/>
      <c r="L943" s="855"/>
    </row>
    <row r="948" spans="1:12" s="300" customFormat="1"/>
    <row r="949" spans="1:12" s="300" customFormat="1"/>
    <row r="950" spans="1:12" s="300" customFormat="1" ht="15.75" thickBot="1"/>
    <row r="951" spans="1:12" ht="33" thickBot="1">
      <c r="A951" s="855"/>
      <c r="B951" s="1262" t="s">
        <v>117</v>
      </c>
      <c r="C951" s="1263"/>
      <c r="D951" s="1263"/>
      <c r="E951" s="1263"/>
      <c r="F951" s="1263"/>
      <c r="G951" s="1263"/>
      <c r="H951" s="1263"/>
      <c r="I951" s="1263"/>
      <c r="J951" s="1263"/>
      <c r="K951" s="1263"/>
      <c r="L951" s="1264"/>
    </row>
    <row r="952" spans="1:12" ht="23.25">
      <c r="A952" s="855"/>
      <c r="B952" s="1237" t="s">
        <v>118</v>
      </c>
      <c r="C952" s="1238"/>
      <c r="D952" s="1238"/>
      <c r="E952" s="1238"/>
      <c r="F952" s="1238"/>
      <c r="G952" s="1238"/>
      <c r="H952" s="1238"/>
      <c r="I952" s="1238"/>
      <c r="J952" s="1238"/>
      <c r="K952" s="1238"/>
      <c r="L952" s="1239"/>
    </row>
    <row r="953" spans="1:12" ht="16.5" thickBot="1">
      <c r="A953" s="855"/>
      <c r="B953" s="1240" t="s">
        <v>119</v>
      </c>
      <c r="C953" s="1241"/>
      <c r="D953" s="1241"/>
      <c r="E953" s="1241"/>
      <c r="F953" s="1241"/>
      <c r="G953" s="1241"/>
      <c r="H953" s="1241"/>
      <c r="I953" s="1241"/>
      <c r="J953" s="1241"/>
      <c r="K953" s="1241"/>
      <c r="L953" s="1242"/>
    </row>
    <row r="954" spans="1:12" ht="27.75" customHeight="1">
      <c r="A954" s="855"/>
      <c r="B954" s="1243" t="s">
        <v>120</v>
      </c>
      <c r="C954" s="1244"/>
      <c r="D954" s="1244"/>
      <c r="E954" s="1244"/>
      <c r="F954" s="1244"/>
      <c r="G954" s="300"/>
      <c r="H954" s="1247" t="s">
        <v>121</v>
      </c>
      <c r="I954" s="1247"/>
      <c r="J954" s="1247"/>
      <c r="K954" s="1247"/>
      <c r="L954" s="1248"/>
    </row>
    <row r="955" spans="1:12" ht="27.75" customHeight="1" thickBot="1">
      <c r="A955" s="855"/>
      <c r="B955" s="1245"/>
      <c r="C955" s="1246"/>
      <c r="D955" s="1246"/>
      <c r="E955" s="1246"/>
      <c r="F955" s="1246"/>
      <c r="G955" s="300"/>
      <c r="H955" s="1249"/>
      <c r="I955" s="1249"/>
      <c r="J955" s="1249"/>
      <c r="K955" s="1249"/>
      <c r="L955" s="1250"/>
    </row>
    <row r="956" spans="1:12" ht="27.75" customHeight="1">
      <c r="A956" s="855"/>
      <c r="B956" s="79"/>
      <c r="C956" s="80"/>
      <c r="D956" s="80"/>
      <c r="E956" s="80"/>
      <c r="F956" s="81"/>
      <c r="G956" s="300"/>
      <c r="H956" s="79"/>
      <c r="I956" s="80"/>
      <c r="J956" s="80"/>
      <c r="K956" s="80"/>
      <c r="L956" s="81"/>
    </row>
    <row r="957" spans="1:12" ht="27.75" customHeight="1">
      <c r="A957" s="855"/>
      <c r="B957" s="82" t="s">
        <v>425</v>
      </c>
      <c r="C957" s="300"/>
      <c r="D957" s="300"/>
      <c r="E957" s="300"/>
      <c r="F957" s="16"/>
      <c r="G957" s="300"/>
      <c r="H957" s="82" t="s">
        <v>425</v>
      </c>
      <c r="I957" s="300"/>
      <c r="J957" s="300"/>
      <c r="K957" s="300"/>
      <c r="L957" s="16"/>
    </row>
    <row r="958" spans="1:12" ht="27.75" customHeight="1">
      <c r="A958" s="855"/>
      <c r="B958" s="15"/>
      <c r="C958" s="300"/>
      <c r="D958" s="300"/>
      <c r="E958" s="300"/>
      <c r="F958" s="16"/>
      <c r="G958" s="300"/>
      <c r="H958" s="15"/>
      <c r="I958" s="300"/>
      <c r="J958" s="300"/>
      <c r="K958" s="300"/>
      <c r="L958" s="16"/>
    </row>
    <row r="959" spans="1:12" ht="27.75" customHeight="1">
      <c r="A959" s="855"/>
      <c r="B959" s="82" t="s">
        <v>426</v>
      </c>
      <c r="C959" s="300"/>
      <c r="D959" s="300"/>
      <c r="E959" s="300"/>
      <c r="F959" s="16"/>
      <c r="G959" s="300"/>
      <c r="H959" s="82" t="s">
        <v>426</v>
      </c>
      <c r="I959" s="300"/>
      <c r="J959" s="300"/>
      <c r="K959" s="300"/>
      <c r="L959" s="16"/>
    </row>
    <row r="960" spans="1:12" ht="27.75" customHeight="1" thickBot="1">
      <c r="A960" s="855"/>
      <c r="B960" s="27"/>
      <c r="C960" s="25"/>
      <c r="D960" s="25"/>
      <c r="E960" s="25"/>
      <c r="F960" s="26"/>
      <c r="G960" s="300"/>
      <c r="H960" s="27"/>
      <c r="I960" s="25"/>
      <c r="J960" s="25"/>
      <c r="K960" s="25"/>
      <c r="L960" s="26"/>
    </row>
    <row r="961" spans="1:12" ht="27.75" customHeight="1">
      <c r="A961" s="855"/>
      <c r="B961" s="15"/>
      <c r="C961" s="300"/>
      <c r="D961" s="300"/>
      <c r="E961" s="300"/>
      <c r="F961" s="300"/>
      <c r="G961" s="300"/>
      <c r="H961" s="300"/>
      <c r="I961" s="300"/>
      <c r="J961" s="300" t="s">
        <v>122</v>
      </c>
      <c r="K961" s="300"/>
      <c r="L961" s="16"/>
    </row>
    <row r="962" spans="1:12" ht="27.75" customHeight="1">
      <c r="A962" s="855"/>
      <c r="B962" s="1212" t="s">
        <v>123</v>
      </c>
      <c r="C962" s="1213"/>
      <c r="D962" s="1213"/>
      <c r="E962" s="1213"/>
      <c r="F962" s="1213"/>
      <c r="G962" s="300"/>
      <c r="H962" s="1213" t="s">
        <v>4</v>
      </c>
      <c r="I962" s="1213"/>
      <c r="J962" s="1213"/>
      <c r="K962" s="1213"/>
      <c r="L962" s="1251"/>
    </row>
    <row r="963" spans="1:12" ht="27.75" customHeight="1" thickBot="1">
      <c r="A963" s="855"/>
      <c r="B963" s="15"/>
      <c r="C963" s="300"/>
      <c r="D963" s="300"/>
      <c r="E963" s="300"/>
      <c r="F963" s="300"/>
      <c r="G963" s="300"/>
      <c r="H963" s="300"/>
      <c r="I963" s="300"/>
      <c r="J963" s="300"/>
      <c r="K963" s="300"/>
      <c r="L963" s="16"/>
    </row>
    <row r="964" spans="1:12" ht="27.75" customHeight="1">
      <c r="A964" s="855"/>
      <c r="B964" s="79"/>
      <c r="C964" s="80"/>
      <c r="D964" s="80"/>
      <c r="E964" s="80"/>
      <c r="F964" s="81"/>
      <c r="G964" s="300"/>
      <c r="H964" s="83"/>
      <c r="I964" s="84"/>
      <c r="J964" s="84"/>
      <c r="K964" s="84"/>
      <c r="L964" s="85"/>
    </row>
    <row r="965" spans="1:12" ht="27.75" customHeight="1">
      <c r="A965" s="855"/>
      <c r="B965" s="15"/>
      <c r="C965" s="300"/>
      <c r="D965" s="300"/>
      <c r="E965" s="300"/>
      <c r="F965" s="16"/>
      <c r="G965" s="300"/>
      <c r="H965" s="82" t="s">
        <v>821</v>
      </c>
      <c r="I965" s="301"/>
      <c r="J965" s="301"/>
      <c r="K965" s="301"/>
      <c r="L965" s="86"/>
    </row>
    <row r="966" spans="1:12" ht="27.75" customHeight="1">
      <c r="A966" s="855"/>
      <c r="B966" s="82" t="s">
        <v>819</v>
      </c>
      <c r="C966" s="300"/>
      <c r="D966" s="300"/>
      <c r="E966" s="300"/>
      <c r="F966" s="16"/>
      <c r="G966" s="300"/>
      <c r="H966" s="82"/>
      <c r="I966" s="301"/>
      <c r="J966" s="301"/>
      <c r="K966" s="301"/>
      <c r="L966" s="86"/>
    </row>
    <row r="967" spans="1:12" ht="27.75" customHeight="1">
      <c r="A967" s="855"/>
      <c r="B967" s="15"/>
      <c r="C967" s="300"/>
      <c r="D967" s="300"/>
      <c r="E967" s="300"/>
      <c r="F967" s="16"/>
      <c r="G967" s="300"/>
      <c r="H967" s="82" t="s">
        <v>427</v>
      </c>
      <c r="I967" s="301"/>
      <c r="J967" s="301"/>
      <c r="K967" s="301"/>
      <c r="L967" s="86"/>
    </row>
    <row r="968" spans="1:12" ht="27.75" customHeight="1" thickBot="1">
      <c r="A968" s="855"/>
      <c r="B968" s="27"/>
      <c r="C968" s="25"/>
      <c r="D968" s="25"/>
      <c r="E968" s="25"/>
      <c r="F968" s="26"/>
      <c r="G968" s="300"/>
      <c r="H968" s="82"/>
      <c r="I968" s="301"/>
      <c r="J968" s="301"/>
      <c r="K968" s="301"/>
      <c r="L968" s="86"/>
    </row>
    <row r="969" spans="1:12" ht="27.75" customHeight="1">
      <c r="A969" s="855"/>
      <c r="B969" s="1221" t="s">
        <v>124</v>
      </c>
      <c r="C969" s="1222"/>
      <c r="D969" s="1222"/>
      <c r="E969" s="1222"/>
      <c r="F969" s="1222"/>
      <c r="G969" s="1252"/>
      <c r="H969" s="1230" t="str">
        <f>'04-22-Master'!B36</f>
        <v xml:space="preserve">SADHAM HUSSAIN </v>
      </c>
      <c r="I969" s="1223"/>
      <c r="J969" s="1223"/>
      <c r="K969" s="1223"/>
      <c r="L969" s="1223"/>
    </row>
    <row r="970" spans="1:12" ht="27.75" customHeight="1">
      <c r="A970" s="855"/>
      <c r="B970" s="1253"/>
      <c r="C970" s="1254"/>
      <c r="D970" s="1254"/>
      <c r="E970" s="1254"/>
      <c r="F970" s="1254"/>
      <c r="G970" s="1254"/>
      <c r="H970" s="1255" t="str">
        <f>'04-22-Master'!G36</f>
        <v>10/8,Amman pagoda lane,7 Hills,Chennai,Tamilnadu 600001</v>
      </c>
      <c r="I970" s="1255"/>
      <c r="J970" s="1255"/>
      <c r="K970" s="1255"/>
      <c r="L970" s="1255"/>
    </row>
    <row r="971" spans="1:12" ht="27.75" customHeight="1">
      <c r="A971" s="855"/>
      <c r="B971" s="1225" t="s">
        <v>125</v>
      </c>
      <c r="C971" s="1226"/>
      <c r="D971" s="1226"/>
      <c r="E971" s="1226"/>
      <c r="F971" s="1226"/>
      <c r="G971" s="1226"/>
      <c r="H971" s="1227">
        <v>103</v>
      </c>
      <c r="I971" s="1228"/>
      <c r="J971" s="1228"/>
      <c r="K971" s="1228"/>
      <c r="L971" s="1229"/>
    </row>
    <row r="972" spans="1:12" ht="27.75" customHeight="1">
      <c r="A972" s="855"/>
      <c r="B972" s="1221" t="s">
        <v>126</v>
      </c>
      <c r="C972" s="1222"/>
      <c r="D972" s="1222"/>
      <c r="E972" s="1222"/>
      <c r="F972" s="1222"/>
      <c r="G972" s="1222"/>
      <c r="H972" s="1230" t="str">
        <f>'04-22-Master'!F36</f>
        <v>Security Administrator</v>
      </c>
      <c r="I972" s="1223"/>
      <c r="J972" s="1223"/>
      <c r="K972" s="1223"/>
      <c r="L972" s="1224"/>
    </row>
    <row r="973" spans="1:12" ht="27.75" customHeight="1">
      <c r="A973" s="855"/>
      <c r="B973" s="1221" t="s">
        <v>127</v>
      </c>
      <c r="C973" s="1222"/>
      <c r="D973" s="1222"/>
      <c r="E973" s="1222"/>
      <c r="F973" s="1222"/>
      <c r="G973" s="1222"/>
      <c r="H973" s="1231">
        <f>'04-22-Master'!I36</f>
        <v>44676</v>
      </c>
      <c r="I973" s="1231"/>
      <c r="J973" s="1231"/>
      <c r="K973" s="1231"/>
      <c r="L973" s="1232"/>
    </row>
    <row r="974" spans="1:12" ht="27.75" customHeight="1">
      <c r="A974" s="855"/>
      <c r="B974" s="378" t="s">
        <v>128</v>
      </c>
      <c r="C974" s="302"/>
      <c r="D974" s="302"/>
      <c r="E974" s="302"/>
      <c r="F974" s="302"/>
      <c r="G974" s="302"/>
      <c r="H974" s="514"/>
      <c r="I974" s="304"/>
      <c r="J974" s="858">
        <f>'04-22-Master'!O1042</f>
        <v>0</v>
      </c>
      <c r="K974" s="914"/>
      <c r="L974" s="916"/>
    </row>
    <row r="975" spans="1:12" ht="27.75" customHeight="1">
      <c r="A975" s="855"/>
      <c r="B975" s="378" t="s">
        <v>129</v>
      </c>
      <c r="C975" s="302"/>
      <c r="D975" s="302"/>
      <c r="E975" s="302"/>
      <c r="F975" s="302"/>
      <c r="G975" s="376"/>
      <c r="H975" s="96"/>
      <c r="I975" s="97"/>
      <c r="J975" s="858" t="str">
        <f>'04-22-Master'!N36</f>
        <v>100554328630</v>
      </c>
      <c r="K975" s="97"/>
      <c r="L975" s="98"/>
    </row>
    <row r="976" spans="1:12" ht="27.75" customHeight="1">
      <c r="A976" s="855"/>
      <c r="B976" s="1233" t="s">
        <v>130</v>
      </c>
      <c r="C976" s="1234"/>
      <c r="D976" s="1234"/>
      <c r="E976" s="1234"/>
      <c r="F976" s="1234"/>
      <c r="G976" s="1234"/>
      <c r="H976" s="1227">
        <f>'04-22-Master'!S36</f>
        <v>135892</v>
      </c>
      <c r="I976" s="1227"/>
      <c r="J976" s="1227"/>
      <c r="K976" s="1227"/>
      <c r="L976" s="1235"/>
    </row>
    <row r="977" spans="1:12" ht="27.75" customHeight="1">
      <c r="A977" s="855"/>
      <c r="B977" s="1221" t="s">
        <v>131</v>
      </c>
      <c r="C977" s="1222"/>
      <c r="D977" s="1222"/>
      <c r="E977" s="1222"/>
      <c r="F977" s="1222"/>
      <c r="G977" s="1222"/>
      <c r="H977" s="1236">
        <f>'04-22-Master'!D10</f>
        <v>44652</v>
      </c>
      <c r="I977" s="1223"/>
      <c r="J977" s="1223"/>
      <c r="K977" s="1223"/>
      <c r="L977" s="1224"/>
    </row>
    <row r="978" spans="1:12" ht="27.75" customHeight="1">
      <c r="A978" s="855"/>
      <c r="B978" s="1221" t="s">
        <v>132</v>
      </c>
      <c r="C978" s="1222"/>
      <c r="D978" s="1222"/>
      <c r="E978" s="1222"/>
      <c r="F978" s="1222"/>
      <c r="G978" s="1222"/>
      <c r="H978" s="1223" t="s">
        <v>133</v>
      </c>
      <c r="I978" s="1223"/>
      <c r="J978" s="1223"/>
      <c r="K978" s="1223"/>
      <c r="L978" s="1224"/>
    </row>
    <row r="979" spans="1:12" ht="27.75" customHeight="1">
      <c r="A979" s="855"/>
      <c r="B979" s="378" t="s">
        <v>134</v>
      </c>
      <c r="C979" s="302"/>
      <c r="D979" s="302"/>
      <c r="E979" s="302"/>
      <c r="F979" s="302"/>
      <c r="G979" s="376"/>
      <c r="H979" s="514"/>
      <c r="I979" s="914"/>
      <c r="J979" s="305">
        <f>'04-22-Master'!Q36</f>
        <v>6</v>
      </c>
      <c r="K979" s="914"/>
      <c r="L979" s="916"/>
    </row>
    <row r="980" spans="1:12" ht="27.75" customHeight="1">
      <c r="A980" s="855"/>
      <c r="B980" s="378" t="s">
        <v>135</v>
      </c>
      <c r="C980" s="302"/>
      <c r="D980" s="302"/>
      <c r="E980" s="302"/>
      <c r="F980" s="302"/>
      <c r="G980" s="376"/>
      <c r="H980" s="514"/>
      <c r="I980" s="914"/>
      <c r="J980" s="914" t="s">
        <v>37</v>
      </c>
      <c r="K980" s="914"/>
      <c r="L980" s="916"/>
    </row>
    <row r="981" spans="1:12" ht="27.75" customHeight="1">
      <c r="A981" s="855"/>
      <c r="B981" s="378" t="s">
        <v>136</v>
      </c>
      <c r="C981" s="302"/>
      <c r="D981" s="302"/>
      <c r="E981" s="302"/>
      <c r="F981" s="302"/>
      <c r="G981" s="376"/>
      <c r="H981" s="514"/>
      <c r="I981" s="914"/>
      <c r="J981" s="305">
        <v>0</v>
      </c>
      <c r="K981" s="914"/>
      <c r="L981" s="916"/>
    </row>
    <row r="982" spans="1:12" ht="27.75" customHeight="1">
      <c r="A982" s="855"/>
      <c r="B982" s="378" t="s">
        <v>137</v>
      </c>
      <c r="C982" s="302"/>
      <c r="D982" s="302"/>
      <c r="E982" s="302"/>
      <c r="F982" s="302"/>
      <c r="G982" s="376"/>
      <c r="H982" s="514"/>
      <c r="I982" s="914"/>
      <c r="J982" s="914">
        <v>0</v>
      </c>
      <c r="K982" s="914"/>
      <c r="L982" s="916"/>
    </row>
    <row r="983" spans="1:12" ht="27.75" customHeight="1">
      <c r="A983" s="855"/>
      <c r="B983" s="378" t="s">
        <v>138</v>
      </c>
      <c r="C983" s="302"/>
      <c r="D983" s="302"/>
      <c r="E983" s="302"/>
      <c r="F983" s="302"/>
      <c r="G983" s="376"/>
      <c r="H983" s="514"/>
      <c r="I983" s="914"/>
      <c r="J983" s="305">
        <f>'04-22-Master'!AG36</f>
        <v>30989.297623999999</v>
      </c>
      <c r="K983" s="914"/>
      <c r="L983" s="916" t="s">
        <v>35</v>
      </c>
    </row>
    <row r="984" spans="1:12" ht="27.75" customHeight="1">
      <c r="A984" s="855"/>
      <c r="B984" s="378" t="s">
        <v>139</v>
      </c>
      <c r="C984" s="302"/>
      <c r="D984" s="913" t="s">
        <v>32</v>
      </c>
      <c r="E984" s="912">
        <f>'04-22-Master'!AI36</f>
        <v>1800</v>
      </c>
      <c r="F984" s="913" t="s">
        <v>31</v>
      </c>
      <c r="G984" s="912">
        <f>'04-22-Master'!AH2003</f>
        <v>0</v>
      </c>
      <c r="H984" s="913" t="s">
        <v>33</v>
      </c>
      <c r="I984" s="912">
        <f>'04-22-Master'!AJ36</f>
        <v>200</v>
      </c>
      <c r="J984" s="913" t="s">
        <v>34</v>
      </c>
      <c r="K984" s="912">
        <f>'04-22-Master'!AK36</f>
        <v>0</v>
      </c>
      <c r="L984" s="111">
        <f>'04-22-Master'!AL36</f>
        <v>0</v>
      </c>
    </row>
    <row r="985" spans="1:12" ht="27.75" customHeight="1">
      <c r="A985" s="855"/>
      <c r="B985" s="378" t="s">
        <v>140</v>
      </c>
      <c r="C985" s="302"/>
      <c r="D985" s="302"/>
      <c r="E985" s="302"/>
      <c r="F985" s="302"/>
      <c r="G985" s="376"/>
      <c r="H985" s="514"/>
      <c r="I985" s="914"/>
      <c r="J985" s="305">
        <f>J983-(E984+G984+I984+K984+L984)</f>
        <v>28989.297623999999</v>
      </c>
      <c r="K985" s="914"/>
      <c r="L985" s="916"/>
    </row>
    <row r="986" spans="1:12" ht="27.75" customHeight="1">
      <c r="A986" s="855"/>
      <c r="B986" s="379" t="s">
        <v>141</v>
      </c>
      <c r="C986" s="102"/>
      <c r="D986" s="102"/>
      <c r="E986" s="102"/>
      <c r="F986" s="102"/>
      <c r="G986" s="103"/>
      <c r="H986" s="104"/>
      <c r="I986" s="105"/>
      <c r="J986" s="105"/>
      <c r="K986" s="105"/>
      <c r="L986" s="106"/>
    </row>
    <row r="987" spans="1:12" ht="27.75" customHeight="1">
      <c r="A987" s="855"/>
      <c r="B987" s="380" t="s">
        <v>142</v>
      </c>
      <c r="C987" s="107"/>
      <c r="D987" s="107"/>
      <c r="E987" s="107"/>
      <c r="F987" s="107"/>
      <c r="G987" s="108"/>
      <c r="H987" s="73"/>
      <c r="I987" s="19"/>
      <c r="J987" s="19"/>
      <c r="K987" s="19"/>
      <c r="L987" s="109"/>
    </row>
    <row r="988" spans="1:12">
      <c r="A988" s="855"/>
      <c r="B988" s="15"/>
      <c r="C988" s="300"/>
      <c r="D988" s="300"/>
      <c r="E988" s="300"/>
      <c r="F988" s="300"/>
      <c r="G988" s="300"/>
      <c r="H988" s="300"/>
      <c r="I988" s="300"/>
      <c r="J988" s="300"/>
      <c r="K988" s="300"/>
      <c r="L988" s="16"/>
    </row>
    <row r="989" spans="1:12" ht="15.75" thickBot="1">
      <c r="A989" s="855"/>
      <c r="B989" s="27"/>
      <c r="C989" s="25"/>
      <c r="D989" s="25"/>
      <c r="E989" s="25"/>
      <c r="F989" s="25"/>
      <c r="G989" s="25"/>
      <c r="H989" s="25"/>
      <c r="I989" s="25"/>
      <c r="J989" s="25"/>
      <c r="K989" s="25"/>
      <c r="L989" s="26"/>
    </row>
    <row r="990" spans="1:12">
      <c r="A990" s="855"/>
      <c r="B990" s="855"/>
      <c r="C990" s="855"/>
      <c r="D990" s="855"/>
      <c r="E990" s="855"/>
      <c r="F990" s="855"/>
      <c r="G990" s="855"/>
      <c r="H990" s="855"/>
      <c r="I990" s="855"/>
      <c r="J990" s="855"/>
      <c r="K990" s="855"/>
      <c r="L990" s="855"/>
    </row>
    <row r="991" spans="1:12">
      <c r="A991" s="855"/>
      <c r="B991" s="855"/>
      <c r="C991" s="855"/>
      <c r="D991" s="855"/>
      <c r="E991" s="855"/>
      <c r="F991" s="855"/>
      <c r="G991" s="855"/>
      <c r="H991" s="855"/>
      <c r="I991" s="855"/>
      <c r="J991" s="855"/>
      <c r="K991" s="855"/>
      <c r="L991" s="855"/>
    </row>
    <row r="992" spans="1:12">
      <c r="A992" s="855"/>
      <c r="B992" s="855"/>
      <c r="C992" s="855"/>
      <c r="D992" s="855"/>
      <c r="E992" s="855"/>
      <c r="F992" s="855"/>
      <c r="G992" s="855"/>
      <c r="H992" s="855"/>
      <c r="I992" s="855"/>
      <c r="J992" s="855"/>
      <c r="K992" s="855"/>
      <c r="L992" s="855"/>
    </row>
    <row r="993" spans="1:12">
      <c r="A993" s="855"/>
      <c r="B993" s="855"/>
      <c r="C993" s="855"/>
      <c r="D993" s="855"/>
      <c r="E993" s="855"/>
      <c r="F993" s="855"/>
      <c r="G993" s="855"/>
      <c r="H993" s="855"/>
      <c r="I993" s="855"/>
      <c r="J993" s="855"/>
      <c r="K993" s="855"/>
      <c r="L993" s="855"/>
    </row>
    <row r="994" spans="1:12">
      <c r="A994" s="855"/>
      <c r="B994" s="855"/>
      <c r="C994" s="855"/>
      <c r="D994" s="855"/>
      <c r="E994" s="855"/>
      <c r="F994" s="855"/>
      <c r="G994" s="855"/>
      <c r="H994" s="855"/>
      <c r="I994" s="855"/>
      <c r="J994" s="855"/>
      <c r="K994" s="855"/>
      <c r="L994" s="855"/>
    </row>
    <row r="995" spans="1:12" ht="15.75" thickBot="1">
      <c r="A995" s="855"/>
      <c r="B995" s="855"/>
      <c r="C995" s="855"/>
      <c r="D995" s="855"/>
      <c r="E995" s="855"/>
      <c r="F995" s="855"/>
      <c r="G995" s="855"/>
      <c r="H995" s="855"/>
      <c r="I995" s="855"/>
      <c r="J995" s="855"/>
      <c r="K995" s="855"/>
      <c r="L995" s="855"/>
    </row>
    <row r="996" spans="1:12" ht="32.25">
      <c r="A996" s="855"/>
      <c r="B996" s="1256" t="s">
        <v>117</v>
      </c>
      <c r="C996" s="1257"/>
      <c r="D996" s="1257"/>
      <c r="E996" s="1257"/>
      <c r="F996" s="1257"/>
      <c r="G996" s="1257"/>
      <c r="H996" s="1257"/>
      <c r="I996" s="1257"/>
      <c r="J996" s="1257"/>
      <c r="K996" s="1257"/>
      <c r="L996" s="1258"/>
    </row>
    <row r="997" spans="1:12" ht="23.25">
      <c r="A997" s="855"/>
      <c r="B997" s="1237" t="s">
        <v>118</v>
      </c>
      <c r="C997" s="1238"/>
      <c r="D997" s="1238"/>
      <c r="E997" s="1238"/>
      <c r="F997" s="1238"/>
      <c r="G997" s="1238"/>
      <c r="H997" s="1238"/>
      <c r="I997" s="1238"/>
      <c r="J997" s="1238"/>
      <c r="K997" s="1238"/>
      <c r="L997" s="1239"/>
    </row>
    <row r="998" spans="1:12" ht="16.5" thickBot="1">
      <c r="A998" s="855"/>
      <c r="B998" s="1240" t="s">
        <v>119</v>
      </c>
      <c r="C998" s="1241"/>
      <c r="D998" s="1241"/>
      <c r="E998" s="1241"/>
      <c r="F998" s="1241"/>
      <c r="G998" s="1241"/>
      <c r="H998" s="1241"/>
      <c r="I998" s="1241"/>
      <c r="J998" s="1241"/>
      <c r="K998" s="1241"/>
      <c r="L998" s="1242"/>
    </row>
    <row r="999" spans="1:12">
      <c r="A999" s="855"/>
      <c r="B999" s="1243" t="s">
        <v>120</v>
      </c>
      <c r="C999" s="1244"/>
      <c r="D999" s="1244"/>
      <c r="E999" s="1244"/>
      <c r="F999" s="1244"/>
      <c r="G999" s="300"/>
      <c r="H999" s="1247" t="s">
        <v>121</v>
      </c>
      <c r="I999" s="1247"/>
      <c r="J999" s="1247"/>
      <c r="K999" s="1247"/>
      <c r="L999" s="1248"/>
    </row>
    <row r="1000" spans="1:12" ht="15.75" thickBot="1">
      <c r="A1000" s="855"/>
      <c r="B1000" s="1245"/>
      <c r="C1000" s="1246"/>
      <c r="D1000" s="1246"/>
      <c r="E1000" s="1246"/>
      <c r="F1000" s="1246"/>
      <c r="G1000" s="300"/>
      <c r="H1000" s="1249"/>
      <c r="I1000" s="1249"/>
      <c r="J1000" s="1249"/>
      <c r="K1000" s="1249"/>
      <c r="L1000" s="1250"/>
    </row>
    <row r="1001" spans="1:12">
      <c r="A1001" s="855"/>
      <c r="B1001" s="79"/>
      <c r="C1001" s="80"/>
      <c r="D1001" s="80"/>
      <c r="E1001" s="80"/>
      <c r="F1001" s="81"/>
      <c r="G1001" s="300"/>
      <c r="H1001" s="79"/>
      <c r="I1001" s="80"/>
      <c r="J1001" s="80"/>
      <c r="K1001" s="80"/>
      <c r="L1001" s="81"/>
    </row>
    <row r="1002" spans="1:12">
      <c r="A1002" s="855"/>
      <c r="B1002" s="82" t="s">
        <v>425</v>
      </c>
      <c r="C1002" s="300"/>
      <c r="D1002" s="300"/>
      <c r="E1002" s="300"/>
      <c r="F1002" s="16"/>
      <c r="G1002" s="300"/>
      <c r="H1002" s="82" t="s">
        <v>425</v>
      </c>
      <c r="I1002" s="300"/>
      <c r="J1002" s="300"/>
      <c r="K1002" s="300"/>
      <c r="L1002" s="16"/>
    </row>
    <row r="1003" spans="1:12">
      <c r="A1003" s="855"/>
      <c r="B1003" s="15"/>
      <c r="C1003" s="300"/>
      <c r="D1003" s="300"/>
      <c r="E1003" s="300"/>
      <c r="F1003" s="16"/>
      <c r="G1003" s="300"/>
      <c r="H1003" s="15"/>
      <c r="I1003" s="300"/>
      <c r="J1003" s="300"/>
      <c r="K1003" s="300"/>
      <c r="L1003" s="16"/>
    </row>
    <row r="1004" spans="1:12">
      <c r="A1004" s="855"/>
      <c r="B1004" s="82" t="s">
        <v>426</v>
      </c>
      <c r="C1004" s="300"/>
      <c r="D1004" s="300"/>
      <c r="E1004" s="300"/>
      <c r="F1004" s="16"/>
      <c r="G1004" s="300"/>
      <c r="H1004" s="82" t="s">
        <v>426</v>
      </c>
      <c r="I1004" s="300"/>
      <c r="J1004" s="300"/>
      <c r="K1004" s="300"/>
      <c r="L1004" s="16"/>
    </row>
    <row r="1005" spans="1:12" ht="15.75" thickBot="1">
      <c r="A1005" s="855"/>
      <c r="B1005" s="27"/>
      <c r="C1005" s="25"/>
      <c r="D1005" s="25"/>
      <c r="E1005" s="25"/>
      <c r="F1005" s="26"/>
      <c r="G1005" s="300"/>
      <c r="H1005" s="27"/>
      <c r="I1005" s="25"/>
      <c r="J1005" s="25"/>
      <c r="K1005" s="25"/>
      <c r="L1005" s="26"/>
    </row>
    <row r="1006" spans="1:12">
      <c r="A1006" s="855"/>
      <c r="B1006" s="15"/>
      <c r="C1006" s="300"/>
      <c r="D1006" s="300"/>
      <c r="E1006" s="300"/>
      <c r="F1006" s="300"/>
      <c r="G1006" s="300"/>
      <c r="H1006" s="300"/>
      <c r="I1006" s="300"/>
      <c r="J1006" s="300" t="s">
        <v>122</v>
      </c>
      <c r="K1006" s="300"/>
      <c r="L1006" s="16"/>
    </row>
    <row r="1007" spans="1:12">
      <c r="A1007" s="855"/>
      <c r="B1007" s="1212" t="s">
        <v>123</v>
      </c>
      <c r="C1007" s="1213"/>
      <c r="D1007" s="1213"/>
      <c r="E1007" s="1213"/>
      <c r="F1007" s="1213"/>
      <c r="G1007" s="300"/>
      <c r="H1007" s="1213" t="s">
        <v>4</v>
      </c>
      <c r="I1007" s="1213"/>
      <c r="J1007" s="1213"/>
      <c r="K1007" s="1213"/>
      <c r="L1007" s="1251"/>
    </row>
    <row r="1008" spans="1:12" ht="15.75" thickBot="1">
      <c r="A1008" s="855"/>
      <c r="B1008" s="15"/>
      <c r="C1008" s="300"/>
      <c r="D1008" s="300"/>
      <c r="E1008" s="300"/>
      <c r="F1008" s="300"/>
      <c r="G1008" s="300"/>
      <c r="H1008" s="300"/>
      <c r="I1008" s="300"/>
      <c r="J1008" s="300"/>
      <c r="K1008" s="300"/>
      <c r="L1008" s="16"/>
    </row>
    <row r="1009" spans="1:12">
      <c r="A1009" s="855"/>
      <c r="B1009" s="79"/>
      <c r="C1009" s="80"/>
      <c r="D1009" s="80"/>
      <c r="E1009" s="80"/>
      <c r="F1009" s="81"/>
      <c r="G1009" s="300"/>
      <c r="H1009" s="83"/>
      <c r="I1009" s="84"/>
      <c r="J1009" s="84"/>
      <c r="K1009" s="84"/>
      <c r="L1009" s="85"/>
    </row>
    <row r="1010" spans="1:12">
      <c r="A1010" s="855"/>
      <c r="B1010" s="15"/>
      <c r="C1010" s="300"/>
      <c r="D1010" s="300"/>
      <c r="E1010" s="300"/>
      <c r="F1010" s="16"/>
      <c r="G1010" s="300"/>
      <c r="H1010" s="82" t="s">
        <v>821</v>
      </c>
      <c r="I1010" s="301"/>
      <c r="J1010" s="301"/>
      <c r="K1010" s="301"/>
      <c r="L1010" s="86"/>
    </row>
    <row r="1011" spans="1:12">
      <c r="A1011" s="855"/>
      <c r="B1011" s="82" t="s">
        <v>819</v>
      </c>
      <c r="C1011" s="300"/>
      <c r="D1011" s="300"/>
      <c r="E1011" s="300"/>
      <c r="F1011" s="16"/>
      <c r="G1011" s="300"/>
      <c r="H1011" s="82"/>
      <c r="I1011" s="301"/>
      <c r="J1011" s="301"/>
      <c r="K1011" s="301"/>
      <c r="L1011" s="86"/>
    </row>
    <row r="1012" spans="1:12">
      <c r="A1012" s="855"/>
      <c r="B1012" s="15"/>
      <c r="C1012" s="300"/>
      <c r="D1012" s="300"/>
      <c r="E1012" s="300"/>
      <c r="F1012" s="16"/>
      <c r="G1012" s="300"/>
      <c r="H1012" s="82" t="s">
        <v>427</v>
      </c>
      <c r="I1012" s="301"/>
      <c r="J1012" s="301"/>
      <c r="K1012" s="301"/>
      <c r="L1012" s="86"/>
    </row>
    <row r="1013" spans="1:12" ht="15.75" thickBot="1">
      <c r="A1013" s="855"/>
      <c r="B1013" s="27"/>
      <c r="C1013" s="25"/>
      <c r="D1013" s="25"/>
      <c r="E1013" s="25"/>
      <c r="F1013" s="26"/>
      <c r="G1013" s="300"/>
      <c r="H1013" s="82"/>
      <c r="I1013" s="301"/>
      <c r="J1013" s="301"/>
      <c r="K1013" s="301"/>
      <c r="L1013" s="86"/>
    </row>
    <row r="1014" spans="1:12">
      <c r="A1014" s="855"/>
      <c r="B1014" s="1221" t="s">
        <v>124</v>
      </c>
      <c r="C1014" s="1222"/>
      <c r="D1014" s="1222"/>
      <c r="E1014" s="1222"/>
      <c r="F1014" s="1222"/>
      <c r="G1014" s="1252"/>
      <c r="H1014" s="1230">
        <f>'04-22-Master'!B412</f>
        <v>0</v>
      </c>
      <c r="I1014" s="1223"/>
      <c r="J1014" s="1223"/>
      <c r="K1014" s="1223"/>
      <c r="L1014" s="1223"/>
    </row>
    <row r="1015" spans="1:12">
      <c r="A1015" s="855"/>
      <c r="B1015" s="1253"/>
      <c r="C1015" s="1254"/>
      <c r="D1015" s="1254"/>
      <c r="E1015" s="1254"/>
      <c r="F1015" s="1254"/>
      <c r="G1015" s="1254"/>
      <c r="H1015" s="1255">
        <f>'04-22-Master'!G412</f>
        <v>0</v>
      </c>
      <c r="I1015" s="1255"/>
      <c r="J1015" s="1255"/>
      <c r="K1015" s="1255"/>
      <c r="L1015" s="1255"/>
    </row>
    <row r="1016" spans="1:12">
      <c r="A1016" s="855"/>
      <c r="B1016" s="1225" t="s">
        <v>125</v>
      </c>
      <c r="C1016" s="1226"/>
      <c r="D1016" s="1226"/>
      <c r="E1016" s="1226"/>
      <c r="F1016" s="1226"/>
      <c r="G1016" s="1226"/>
      <c r="H1016" s="1227">
        <v>96</v>
      </c>
      <c r="I1016" s="1228"/>
      <c r="J1016" s="1228"/>
      <c r="K1016" s="1228"/>
      <c r="L1016" s="1229"/>
    </row>
    <row r="1017" spans="1:12">
      <c r="A1017" s="855"/>
      <c r="B1017" s="1221" t="s">
        <v>126</v>
      </c>
      <c r="C1017" s="1222"/>
      <c r="D1017" s="1222"/>
      <c r="E1017" s="1222"/>
      <c r="F1017" s="1222"/>
      <c r="G1017" s="1222"/>
      <c r="H1017" s="1230">
        <f>'04-22-Master'!F412</f>
        <v>0</v>
      </c>
      <c r="I1017" s="1223"/>
      <c r="J1017" s="1223"/>
      <c r="K1017" s="1223"/>
      <c r="L1017" s="1224"/>
    </row>
    <row r="1018" spans="1:12">
      <c r="A1018" s="855"/>
      <c r="B1018" s="1221" t="s">
        <v>127</v>
      </c>
      <c r="C1018" s="1222"/>
      <c r="D1018" s="1222"/>
      <c r="E1018" s="1222"/>
      <c r="F1018" s="1222"/>
      <c r="G1018" s="1222"/>
      <c r="H1018" s="1231">
        <f>'04-22-Master'!I412</f>
        <v>0</v>
      </c>
      <c r="I1018" s="1231"/>
      <c r="J1018" s="1231"/>
      <c r="K1018" s="1231"/>
      <c r="L1018" s="1232"/>
    </row>
    <row r="1019" spans="1:12">
      <c r="A1019" s="855"/>
      <c r="B1019" s="378" t="s">
        <v>128</v>
      </c>
      <c r="C1019" s="302"/>
      <c r="D1019" s="302"/>
      <c r="E1019" s="302"/>
      <c r="F1019" s="302"/>
      <c r="G1019" s="302"/>
      <c r="H1019" s="514"/>
      <c r="I1019" s="304"/>
      <c r="J1019" s="858">
        <f>'04-22-Master'!O1100</f>
        <v>0</v>
      </c>
      <c r="K1019" s="914"/>
      <c r="L1019" s="916"/>
    </row>
    <row r="1020" spans="1:12">
      <c r="A1020" s="855"/>
      <c r="B1020" s="378" t="s">
        <v>129</v>
      </c>
      <c r="C1020" s="302"/>
      <c r="D1020" s="302"/>
      <c r="E1020" s="302"/>
      <c r="F1020" s="302"/>
      <c r="G1020" s="376"/>
      <c r="H1020" s="96"/>
      <c r="I1020" s="97"/>
      <c r="J1020" s="858">
        <f>'04-22-Master'!N412</f>
        <v>0</v>
      </c>
      <c r="K1020" s="97"/>
      <c r="L1020" s="98"/>
    </row>
    <row r="1021" spans="1:12">
      <c r="A1021" s="855"/>
      <c r="B1021" s="1233" t="s">
        <v>130</v>
      </c>
      <c r="C1021" s="1234"/>
      <c r="D1021" s="1234"/>
      <c r="E1021" s="1234"/>
      <c r="F1021" s="1234"/>
      <c r="G1021" s="1234"/>
      <c r="H1021" s="1227">
        <f>'04-22-Master'!S412</f>
        <v>0</v>
      </c>
      <c r="I1021" s="1227"/>
      <c r="J1021" s="1227"/>
      <c r="K1021" s="1227"/>
      <c r="L1021" s="1235"/>
    </row>
    <row r="1022" spans="1:12">
      <c r="A1022" s="855"/>
      <c r="B1022" s="1221" t="s">
        <v>131</v>
      </c>
      <c r="C1022" s="1222"/>
      <c r="D1022" s="1222"/>
      <c r="E1022" s="1222"/>
      <c r="F1022" s="1222"/>
      <c r="G1022" s="1222"/>
      <c r="H1022" s="1236">
        <f>'04-22-Master'!D391</f>
        <v>0</v>
      </c>
      <c r="I1022" s="1223"/>
      <c r="J1022" s="1223"/>
      <c r="K1022" s="1223"/>
      <c r="L1022" s="1224"/>
    </row>
    <row r="1023" spans="1:12">
      <c r="A1023" s="855"/>
      <c r="B1023" s="1221" t="s">
        <v>132</v>
      </c>
      <c r="C1023" s="1222"/>
      <c r="D1023" s="1222"/>
      <c r="E1023" s="1222"/>
      <c r="F1023" s="1222"/>
      <c r="G1023" s="1222"/>
      <c r="H1023" s="1223" t="s">
        <v>133</v>
      </c>
      <c r="I1023" s="1223"/>
      <c r="J1023" s="1223"/>
      <c r="K1023" s="1223"/>
      <c r="L1023" s="1224"/>
    </row>
    <row r="1024" spans="1:12">
      <c r="A1024" s="855"/>
      <c r="B1024" s="378" t="s">
        <v>134</v>
      </c>
      <c r="C1024" s="302"/>
      <c r="D1024" s="302"/>
      <c r="E1024" s="302"/>
      <c r="F1024" s="302"/>
      <c r="G1024" s="376"/>
      <c r="H1024" s="514"/>
      <c r="I1024" s="914"/>
      <c r="J1024" s="305">
        <f>'04-22-Master'!Q412</f>
        <v>0</v>
      </c>
      <c r="K1024" s="914"/>
      <c r="L1024" s="916"/>
    </row>
    <row r="1025" spans="1:12">
      <c r="A1025" s="855"/>
      <c r="B1025" s="378" t="s">
        <v>135</v>
      </c>
      <c r="C1025" s="302"/>
      <c r="D1025" s="302"/>
      <c r="E1025" s="302"/>
      <c r="F1025" s="302"/>
      <c r="G1025" s="376"/>
      <c r="H1025" s="514"/>
      <c r="I1025" s="914"/>
      <c r="J1025" s="914" t="s">
        <v>37</v>
      </c>
      <c r="K1025" s="914"/>
      <c r="L1025" s="916"/>
    </row>
    <row r="1026" spans="1:12">
      <c r="A1026" s="855"/>
      <c r="B1026" s="378" t="s">
        <v>136</v>
      </c>
      <c r="C1026" s="302"/>
      <c r="D1026" s="302"/>
      <c r="E1026" s="302"/>
      <c r="F1026" s="302"/>
      <c r="G1026" s="376"/>
      <c r="H1026" s="514"/>
      <c r="I1026" s="914"/>
      <c r="J1026" s="305">
        <v>0</v>
      </c>
      <c r="K1026" s="914"/>
      <c r="L1026" s="916"/>
    </row>
    <row r="1027" spans="1:12">
      <c r="A1027" s="855"/>
      <c r="B1027" s="378" t="s">
        <v>137</v>
      </c>
      <c r="C1027" s="302"/>
      <c r="D1027" s="302"/>
      <c r="E1027" s="302"/>
      <c r="F1027" s="302"/>
      <c r="G1027" s="376"/>
      <c r="H1027" s="514"/>
      <c r="I1027" s="914"/>
      <c r="J1027" s="914">
        <v>0</v>
      </c>
      <c r="K1027" s="914"/>
      <c r="L1027" s="916"/>
    </row>
    <row r="1028" spans="1:12">
      <c r="A1028" s="855"/>
      <c r="B1028" s="378" t="s">
        <v>138</v>
      </c>
      <c r="C1028" s="302"/>
      <c r="D1028" s="302"/>
      <c r="E1028" s="302"/>
      <c r="F1028" s="302"/>
      <c r="G1028" s="376"/>
      <c r="H1028" s="514"/>
      <c r="I1028" s="914"/>
      <c r="J1028" s="305">
        <f>'04-22-Master'!AG412</f>
        <v>0</v>
      </c>
      <c r="K1028" s="914"/>
      <c r="L1028" s="916" t="s">
        <v>35</v>
      </c>
    </row>
    <row r="1029" spans="1:12">
      <c r="A1029" s="855"/>
      <c r="B1029" s="378" t="s">
        <v>139</v>
      </c>
      <c r="C1029" s="302"/>
      <c r="D1029" s="913" t="s">
        <v>32</v>
      </c>
      <c r="E1029" s="912">
        <f>'04-22-Master'!AI412</f>
        <v>0</v>
      </c>
      <c r="F1029" s="913" t="s">
        <v>31</v>
      </c>
      <c r="G1029" s="912">
        <f>'04-22-Master'!AH2061</f>
        <v>0</v>
      </c>
      <c r="H1029" s="913" t="s">
        <v>33</v>
      </c>
      <c r="I1029" s="912">
        <f>'04-22-Master'!AJ412</f>
        <v>0</v>
      </c>
      <c r="J1029" s="913" t="s">
        <v>34</v>
      </c>
      <c r="K1029" s="912">
        <f>'04-22-Master'!AK412</f>
        <v>0</v>
      </c>
      <c r="L1029" s="111">
        <f>'04-22-Master'!AL412</f>
        <v>0</v>
      </c>
    </row>
    <row r="1030" spans="1:12">
      <c r="A1030" s="855"/>
      <c r="B1030" s="378" t="s">
        <v>140</v>
      </c>
      <c r="C1030" s="302"/>
      <c r="D1030" s="302"/>
      <c r="E1030" s="302"/>
      <c r="F1030" s="302"/>
      <c r="G1030" s="376"/>
      <c r="H1030" s="514"/>
      <c r="I1030" s="914"/>
      <c r="J1030" s="305">
        <f>J1028-(E1029+G1029+I1029+K1029+L1029)</f>
        <v>0</v>
      </c>
      <c r="K1030" s="914"/>
      <c r="L1030" s="916"/>
    </row>
    <row r="1031" spans="1:12">
      <c r="A1031" s="855"/>
      <c r="B1031" s="379" t="s">
        <v>141</v>
      </c>
      <c r="C1031" s="102"/>
      <c r="D1031" s="102"/>
      <c r="E1031" s="102"/>
      <c r="F1031" s="102"/>
      <c r="G1031" s="103"/>
      <c r="H1031" s="104"/>
      <c r="I1031" s="105"/>
      <c r="J1031" s="105"/>
      <c r="K1031" s="105"/>
      <c r="L1031" s="106"/>
    </row>
    <row r="1032" spans="1:12">
      <c r="A1032" s="855"/>
      <c r="B1032" s="380" t="s">
        <v>142</v>
      </c>
      <c r="C1032" s="107"/>
      <c r="D1032" s="107"/>
      <c r="E1032" s="107"/>
      <c r="F1032" s="107"/>
      <c r="G1032" s="108"/>
      <c r="H1032" s="73"/>
      <c r="I1032" s="19"/>
      <c r="J1032" s="19"/>
      <c r="K1032" s="19"/>
      <c r="L1032" s="109"/>
    </row>
    <row r="1033" spans="1:12">
      <c r="A1033" s="855"/>
      <c r="B1033" s="15"/>
      <c r="C1033" s="300"/>
      <c r="D1033" s="300"/>
      <c r="E1033" s="300"/>
      <c r="F1033" s="300"/>
      <c r="G1033" s="300"/>
      <c r="H1033" s="300"/>
      <c r="I1033" s="300"/>
      <c r="J1033" s="300"/>
      <c r="K1033" s="300"/>
      <c r="L1033" s="16"/>
    </row>
    <row r="1034" spans="1:12" ht="15.75" thickBot="1">
      <c r="A1034" s="855"/>
      <c r="B1034" s="27"/>
      <c r="C1034" s="25"/>
      <c r="D1034" s="25"/>
      <c r="E1034" s="25"/>
      <c r="F1034" s="25"/>
      <c r="G1034" s="25"/>
      <c r="H1034" s="25"/>
      <c r="I1034" s="25"/>
      <c r="J1034" s="25"/>
      <c r="K1034" s="25"/>
      <c r="L1034" s="26"/>
    </row>
    <row r="1035" spans="1:12">
      <c r="A1035" s="855"/>
      <c r="B1035" s="855"/>
      <c r="C1035" s="855"/>
      <c r="D1035" s="855"/>
      <c r="E1035" s="855"/>
      <c r="F1035" s="855"/>
      <c r="G1035" s="855"/>
      <c r="H1035" s="855"/>
      <c r="I1035" s="855"/>
      <c r="J1035" s="855"/>
      <c r="K1035" s="855"/>
      <c r="L1035" s="855"/>
    </row>
    <row r="1036" spans="1:12">
      <c r="A1036" s="855"/>
      <c r="B1036" s="855"/>
      <c r="C1036" s="855"/>
      <c r="D1036" s="855"/>
      <c r="E1036" s="855"/>
      <c r="F1036" s="855"/>
      <c r="G1036" s="855"/>
      <c r="H1036" s="855"/>
      <c r="I1036" s="855"/>
      <c r="J1036" s="855"/>
      <c r="K1036" s="855"/>
      <c r="L1036" s="855"/>
    </row>
    <row r="1037" spans="1:12">
      <c r="A1037" s="855"/>
      <c r="B1037" s="855"/>
      <c r="C1037" s="855"/>
      <c r="D1037" s="855"/>
      <c r="E1037" s="855"/>
      <c r="F1037" s="855"/>
      <c r="G1037" s="855"/>
      <c r="H1037" s="855"/>
      <c r="I1037" s="855"/>
      <c r="J1037" s="855"/>
      <c r="K1037" s="855"/>
      <c r="L1037" s="855"/>
    </row>
    <row r="1038" spans="1:12">
      <c r="A1038" s="855"/>
      <c r="B1038" s="855"/>
      <c r="C1038" s="855"/>
      <c r="D1038" s="855"/>
      <c r="E1038" s="855"/>
      <c r="F1038" s="855"/>
      <c r="G1038" s="855"/>
      <c r="H1038" s="855"/>
      <c r="I1038" s="855"/>
      <c r="J1038" s="855"/>
      <c r="K1038" s="855"/>
      <c r="L1038" s="855"/>
    </row>
    <row r="1039" spans="1:12">
      <c r="A1039" s="855"/>
      <c r="B1039" s="855"/>
      <c r="C1039" s="855"/>
      <c r="D1039" s="855"/>
      <c r="E1039" s="855"/>
      <c r="F1039" s="855"/>
      <c r="G1039" s="855"/>
      <c r="H1039" s="855"/>
      <c r="I1039" s="855"/>
      <c r="J1039" s="855"/>
      <c r="K1039" s="855"/>
      <c r="L1039" s="855"/>
    </row>
    <row r="1040" spans="1:12">
      <c r="A1040" s="855"/>
      <c r="B1040" s="855"/>
      <c r="C1040" s="855"/>
      <c r="D1040" s="855"/>
      <c r="E1040" s="855"/>
      <c r="F1040" s="855"/>
      <c r="G1040" s="855"/>
      <c r="H1040" s="855"/>
      <c r="I1040" s="855"/>
      <c r="J1040" s="855"/>
      <c r="K1040" s="855"/>
      <c r="L1040" s="855"/>
    </row>
    <row r="1041" spans="1:12">
      <c r="A1041" s="855"/>
      <c r="B1041" s="855"/>
      <c r="C1041" s="855"/>
      <c r="D1041" s="855"/>
      <c r="E1041" s="855"/>
      <c r="F1041" s="855"/>
      <c r="G1041" s="855"/>
      <c r="H1041" s="855"/>
      <c r="I1041" s="855"/>
      <c r="J1041" s="855"/>
      <c r="K1041" s="855"/>
      <c r="L1041" s="855"/>
    </row>
    <row r="1042" spans="1:12">
      <c r="A1042" s="855"/>
      <c r="B1042" s="15"/>
      <c r="C1042" s="300"/>
      <c r="D1042" s="300"/>
      <c r="E1042" s="300"/>
      <c r="F1042" s="300"/>
      <c r="G1042" s="300"/>
      <c r="H1042" s="300"/>
      <c r="I1042" s="300"/>
      <c r="J1042" s="300"/>
      <c r="K1042" s="300"/>
      <c r="L1042" s="16"/>
    </row>
    <row r="1043" spans="1:12">
      <c r="A1043" s="855"/>
      <c r="B1043" s="15"/>
      <c r="C1043" s="300"/>
      <c r="D1043" s="300"/>
      <c r="E1043" s="300"/>
      <c r="F1043" s="300"/>
      <c r="G1043" s="300"/>
      <c r="H1043" s="300"/>
      <c r="I1043" s="300"/>
      <c r="J1043" s="300"/>
      <c r="K1043" s="300"/>
      <c r="L1043" s="16"/>
    </row>
    <row r="1044" spans="1:12" ht="15.75" thickBot="1">
      <c r="A1044" s="855"/>
      <c r="B1044" s="15"/>
      <c r="C1044" s="300"/>
      <c r="D1044" s="300"/>
      <c r="E1044" s="300"/>
      <c r="F1044" s="300"/>
      <c r="G1044" s="300"/>
      <c r="H1044" s="300"/>
      <c r="I1044" s="300"/>
      <c r="J1044" s="300"/>
      <c r="K1044" s="300"/>
      <c r="L1044" s="16"/>
    </row>
    <row r="1045" spans="1:12" ht="32.25">
      <c r="A1045" s="855"/>
      <c r="B1045" s="1256" t="s">
        <v>117</v>
      </c>
      <c r="C1045" s="1257"/>
      <c r="D1045" s="1257"/>
      <c r="E1045" s="1257"/>
      <c r="F1045" s="1257"/>
      <c r="G1045" s="1257"/>
      <c r="H1045" s="1257"/>
      <c r="I1045" s="1257"/>
      <c r="J1045" s="1257"/>
      <c r="K1045" s="1257"/>
      <c r="L1045" s="1258"/>
    </row>
    <row r="1046" spans="1:12" ht="23.25">
      <c r="A1046" s="855"/>
      <c r="B1046" s="1237" t="s">
        <v>118</v>
      </c>
      <c r="C1046" s="1238"/>
      <c r="D1046" s="1238"/>
      <c r="E1046" s="1238"/>
      <c r="F1046" s="1238"/>
      <c r="G1046" s="1238"/>
      <c r="H1046" s="1238"/>
      <c r="I1046" s="1238"/>
      <c r="J1046" s="1238"/>
      <c r="K1046" s="1238"/>
      <c r="L1046" s="1239"/>
    </row>
    <row r="1047" spans="1:12" ht="16.5" thickBot="1">
      <c r="A1047" s="855"/>
      <c r="B1047" s="1240" t="s">
        <v>119</v>
      </c>
      <c r="C1047" s="1241"/>
      <c r="D1047" s="1241"/>
      <c r="E1047" s="1241"/>
      <c r="F1047" s="1241"/>
      <c r="G1047" s="1241"/>
      <c r="H1047" s="1241"/>
      <c r="I1047" s="1241"/>
      <c r="J1047" s="1241"/>
      <c r="K1047" s="1241"/>
      <c r="L1047" s="1242"/>
    </row>
    <row r="1048" spans="1:12">
      <c r="A1048" s="855"/>
      <c r="B1048" s="1243" t="s">
        <v>120</v>
      </c>
      <c r="C1048" s="1244"/>
      <c r="D1048" s="1244"/>
      <c r="E1048" s="1244"/>
      <c r="F1048" s="1244"/>
      <c r="G1048" s="300"/>
      <c r="H1048" s="1247" t="s">
        <v>121</v>
      </c>
      <c r="I1048" s="1247"/>
      <c r="J1048" s="1247"/>
      <c r="K1048" s="1247"/>
      <c r="L1048" s="1248"/>
    </row>
    <row r="1049" spans="1:12" ht="15.75" thickBot="1">
      <c r="A1049" s="855"/>
      <c r="B1049" s="1245"/>
      <c r="C1049" s="1246"/>
      <c r="D1049" s="1246"/>
      <c r="E1049" s="1246"/>
      <c r="F1049" s="1246"/>
      <c r="G1049" s="300"/>
      <c r="H1049" s="1249"/>
      <c r="I1049" s="1249"/>
      <c r="J1049" s="1249"/>
      <c r="K1049" s="1249"/>
      <c r="L1049" s="1250"/>
    </row>
    <row r="1050" spans="1:12">
      <c r="A1050" s="855"/>
      <c r="B1050" s="79"/>
      <c r="C1050" s="80"/>
      <c r="D1050" s="80"/>
      <c r="E1050" s="80"/>
      <c r="F1050" s="81"/>
      <c r="G1050" s="300"/>
      <c r="H1050" s="79"/>
      <c r="I1050" s="80"/>
      <c r="J1050" s="80"/>
      <c r="K1050" s="80"/>
      <c r="L1050" s="81"/>
    </row>
    <row r="1051" spans="1:12">
      <c r="A1051" s="855"/>
      <c r="B1051" s="82" t="s">
        <v>425</v>
      </c>
      <c r="C1051" s="300"/>
      <c r="D1051" s="300"/>
      <c r="E1051" s="300"/>
      <c r="F1051" s="16"/>
      <c r="G1051" s="300"/>
      <c r="H1051" s="82" t="s">
        <v>425</v>
      </c>
      <c r="I1051" s="300"/>
      <c r="J1051" s="300"/>
      <c r="K1051" s="300"/>
      <c r="L1051" s="16"/>
    </row>
    <row r="1052" spans="1:12">
      <c r="A1052" s="855"/>
      <c r="B1052" s="15"/>
      <c r="C1052" s="300"/>
      <c r="D1052" s="300"/>
      <c r="E1052" s="300"/>
      <c r="F1052" s="16"/>
      <c r="G1052" s="300"/>
      <c r="H1052" s="15"/>
      <c r="I1052" s="300"/>
      <c r="J1052" s="300"/>
      <c r="K1052" s="300"/>
      <c r="L1052" s="16"/>
    </row>
    <row r="1053" spans="1:12">
      <c r="A1053" s="855"/>
      <c r="B1053" s="82" t="s">
        <v>426</v>
      </c>
      <c r="C1053" s="300"/>
      <c r="D1053" s="300"/>
      <c r="E1053" s="300"/>
      <c r="F1053" s="16"/>
      <c r="G1053" s="300"/>
      <c r="H1053" s="82" t="s">
        <v>426</v>
      </c>
      <c r="I1053" s="300"/>
      <c r="J1053" s="300"/>
      <c r="K1053" s="300"/>
      <c r="L1053" s="16"/>
    </row>
    <row r="1054" spans="1:12" ht="15.75" thickBot="1">
      <c r="A1054" s="855"/>
      <c r="B1054" s="27"/>
      <c r="C1054" s="25"/>
      <c r="D1054" s="25"/>
      <c r="E1054" s="25"/>
      <c r="F1054" s="26"/>
      <c r="G1054" s="300"/>
      <c r="H1054" s="27"/>
      <c r="I1054" s="25"/>
      <c r="J1054" s="25"/>
      <c r="K1054" s="25"/>
      <c r="L1054" s="26"/>
    </row>
    <row r="1055" spans="1:12">
      <c r="A1055" s="855"/>
      <c r="B1055" s="15"/>
      <c r="C1055" s="300"/>
      <c r="D1055" s="300"/>
      <c r="E1055" s="300"/>
      <c r="F1055" s="300"/>
      <c r="G1055" s="300"/>
      <c r="H1055" s="300"/>
      <c r="I1055" s="300"/>
      <c r="J1055" s="300" t="s">
        <v>122</v>
      </c>
      <c r="K1055" s="300"/>
      <c r="L1055" s="16"/>
    </row>
    <row r="1056" spans="1:12">
      <c r="A1056" s="855"/>
      <c r="B1056" s="1212" t="s">
        <v>123</v>
      </c>
      <c r="C1056" s="1213"/>
      <c r="D1056" s="1213"/>
      <c r="E1056" s="1213"/>
      <c r="F1056" s="1213"/>
      <c r="G1056" s="300"/>
      <c r="H1056" s="1213" t="s">
        <v>4</v>
      </c>
      <c r="I1056" s="1213"/>
      <c r="J1056" s="1213"/>
      <c r="K1056" s="1213"/>
      <c r="L1056" s="1251"/>
    </row>
    <row r="1057" spans="1:12" ht="15.75" thickBot="1">
      <c r="A1057" s="855"/>
      <c r="B1057" s="15"/>
      <c r="C1057" s="300"/>
      <c r="D1057" s="300"/>
      <c r="E1057" s="300"/>
      <c r="F1057" s="300"/>
      <c r="G1057" s="300"/>
      <c r="H1057" s="300"/>
      <c r="I1057" s="300"/>
      <c r="J1057" s="300"/>
      <c r="K1057" s="300"/>
      <c r="L1057" s="16"/>
    </row>
    <row r="1058" spans="1:12">
      <c r="A1058" s="855"/>
      <c r="B1058" s="79"/>
      <c r="C1058" s="80"/>
      <c r="D1058" s="80"/>
      <c r="E1058" s="80"/>
      <c r="F1058" s="81"/>
      <c r="G1058" s="300"/>
      <c r="H1058" s="83"/>
      <c r="I1058" s="84"/>
      <c r="J1058" s="84"/>
      <c r="K1058" s="84"/>
      <c r="L1058" s="85"/>
    </row>
    <row r="1059" spans="1:12">
      <c r="A1059" s="855"/>
      <c r="B1059" s="15"/>
      <c r="C1059" s="300"/>
      <c r="D1059" s="300"/>
      <c r="E1059" s="300"/>
      <c r="F1059" s="16"/>
      <c r="G1059" s="300"/>
      <c r="H1059" s="82" t="s">
        <v>821</v>
      </c>
      <c r="I1059" s="301"/>
      <c r="J1059" s="301"/>
      <c r="K1059" s="301"/>
      <c r="L1059" s="86"/>
    </row>
    <row r="1060" spans="1:12">
      <c r="A1060" s="855"/>
      <c r="B1060" s="82" t="s">
        <v>819</v>
      </c>
      <c r="C1060" s="300"/>
      <c r="D1060" s="300"/>
      <c r="E1060" s="300"/>
      <c r="F1060" s="16"/>
      <c r="G1060" s="300"/>
      <c r="H1060" s="82"/>
      <c r="I1060" s="301"/>
      <c r="J1060" s="301"/>
      <c r="K1060" s="301"/>
      <c r="L1060" s="86"/>
    </row>
    <row r="1061" spans="1:12">
      <c r="A1061" s="855"/>
      <c r="B1061" s="15"/>
      <c r="C1061" s="300"/>
      <c r="D1061" s="300"/>
      <c r="E1061" s="300"/>
      <c r="F1061" s="16"/>
      <c r="G1061" s="300"/>
      <c r="H1061" s="82" t="s">
        <v>427</v>
      </c>
      <c r="I1061" s="301"/>
      <c r="J1061" s="301"/>
      <c r="K1061" s="301"/>
      <c r="L1061" s="86"/>
    </row>
    <row r="1062" spans="1:12" ht="15.75" thickBot="1">
      <c r="A1062" s="855"/>
      <c r="B1062" s="27"/>
      <c r="C1062" s="25"/>
      <c r="D1062" s="25"/>
      <c r="E1062" s="25"/>
      <c r="F1062" s="26"/>
      <c r="G1062" s="300"/>
      <c r="H1062" s="82"/>
      <c r="I1062" s="301"/>
      <c r="J1062" s="301"/>
      <c r="K1062" s="301"/>
      <c r="L1062" s="86"/>
    </row>
    <row r="1063" spans="1:12">
      <c r="A1063" s="855"/>
      <c r="B1063" s="1221" t="s">
        <v>124</v>
      </c>
      <c r="C1063" s="1222"/>
      <c r="D1063" s="1222"/>
      <c r="E1063" s="1222"/>
      <c r="F1063" s="1222"/>
      <c r="G1063" s="1252"/>
      <c r="H1063" s="1230">
        <f>'04-22-Master'!B505</f>
        <v>0</v>
      </c>
      <c r="I1063" s="1223"/>
      <c r="J1063" s="1223"/>
      <c r="K1063" s="1223"/>
      <c r="L1063" s="1223"/>
    </row>
    <row r="1064" spans="1:12">
      <c r="A1064" s="855"/>
      <c r="B1064" s="1253"/>
      <c r="C1064" s="1254"/>
      <c r="D1064" s="1254"/>
      <c r="E1064" s="1254"/>
      <c r="F1064" s="1254"/>
      <c r="G1064" s="1254"/>
      <c r="H1064" s="1255">
        <f>'04-22-Master'!G505</f>
        <v>0</v>
      </c>
      <c r="I1064" s="1255"/>
      <c r="J1064" s="1255"/>
      <c r="K1064" s="1255"/>
      <c r="L1064" s="1255"/>
    </row>
    <row r="1065" spans="1:12">
      <c r="A1065" s="855"/>
      <c r="B1065" s="1225" t="s">
        <v>125</v>
      </c>
      <c r="C1065" s="1226"/>
      <c r="D1065" s="1226"/>
      <c r="E1065" s="1226"/>
      <c r="F1065" s="1226"/>
      <c r="G1065" s="1226"/>
      <c r="H1065" s="1227">
        <v>95</v>
      </c>
      <c r="I1065" s="1228"/>
      <c r="J1065" s="1228"/>
      <c r="K1065" s="1228"/>
      <c r="L1065" s="1229"/>
    </row>
    <row r="1066" spans="1:12">
      <c r="A1066" s="855"/>
      <c r="B1066" s="1221" t="s">
        <v>126</v>
      </c>
      <c r="C1066" s="1222"/>
      <c r="D1066" s="1222"/>
      <c r="E1066" s="1222"/>
      <c r="F1066" s="1222"/>
      <c r="G1066" s="1222"/>
      <c r="H1066" s="1230">
        <f>'04-22-Master'!F505</f>
        <v>0</v>
      </c>
      <c r="I1066" s="1223"/>
      <c r="J1066" s="1223"/>
      <c r="K1066" s="1223"/>
      <c r="L1066" s="1224"/>
    </row>
    <row r="1067" spans="1:12">
      <c r="A1067" s="855"/>
      <c r="B1067" s="1221" t="s">
        <v>127</v>
      </c>
      <c r="C1067" s="1222"/>
      <c r="D1067" s="1222"/>
      <c r="E1067" s="1222"/>
      <c r="F1067" s="1222"/>
      <c r="G1067" s="1222"/>
      <c r="H1067" s="1231">
        <f>'04-22-Master'!I505</f>
        <v>0</v>
      </c>
      <c r="I1067" s="1231"/>
      <c r="J1067" s="1231"/>
      <c r="K1067" s="1231"/>
      <c r="L1067" s="1232"/>
    </row>
    <row r="1068" spans="1:12">
      <c r="A1068" s="855"/>
      <c r="B1068" s="378" t="s">
        <v>128</v>
      </c>
      <c r="C1068" s="302"/>
      <c r="D1068" s="302"/>
      <c r="E1068" s="302"/>
      <c r="F1068" s="302"/>
      <c r="G1068" s="302"/>
      <c r="H1068" s="514"/>
      <c r="I1068" s="304"/>
      <c r="J1068" s="858">
        <f>'04-22-Master'!O1136</f>
        <v>0</v>
      </c>
      <c r="K1068" s="914"/>
      <c r="L1068" s="916"/>
    </row>
    <row r="1069" spans="1:12">
      <c r="A1069" s="855"/>
      <c r="B1069" s="378" t="s">
        <v>129</v>
      </c>
      <c r="C1069" s="302"/>
      <c r="D1069" s="302"/>
      <c r="E1069" s="302"/>
      <c r="F1069" s="302"/>
      <c r="G1069" s="376"/>
      <c r="H1069" s="96"/>
      <c r="I1069" s="97"/>
      <c r="J1069" s="858">
        <f>'04-22-Master'!N505</f>
        <v>0</v>
      </c>
      <c r="K1069" s="97"/>
      <c r="L1069" s="98"/>
    </row>
    <row r="1070" spans="1:12">
      <c r="A1070" s="855"/>
      <c r="B1070" s="1233" t="s">
        <v>130</v>
      </c>
      <c r="C1070" s="1234"/>
      <c r="D1070" s="1234"/>
      <c r="E1070" s="1234"/>
      <c r="F1070" s="1234"/>
      <c r="G1070" s="1234"/>
      <c r="H1070" s="1227">
        <f>'04-22-Master'!S505</f>
        <v>0</v>
      </c>
      <c r="I1070" s="1227"/>
      <c r="J1070" s="1227"/>
      <c r="K1070" s="1227"/>
      <c r="L1070" s="1235"/>
    </row>
    <row r="1071" spans="1:12">
      <c r="A1071" s="855"/>
      <c r="B1071" s="1221" t="s">
        <v>131</v>
      </c>
      <c r="C1071" s="1222"/>
      <c r="D1071" s="1222"/>
      <c r="E1071" s="1222"/>
      <c r="F1071" s="1222"/>
      <c r="G1071" s="1222"/>
      <c r="H1071" s="1236">
        <f>'04-22-Master'!D485</f>
        <v>0</v>
      </c>
      <c r="I1071" s="1223"/>
      <c r="J1071" s="1223"/>
      <c r="K1071" s="1223"/>
      <c r="L1071" s="1224"/>
    </row>
    <row r="1072" spans="1:12">
      <c r="A1072" s="855"/>
      <c r="B1072" s="1221" t="s">
        <v>132</v>
      </c>
      <c r="C1072" s="1222"/>
      <c r="D1072" s="1222"/>
      <c r="E1072" s="1222"/>
      <c r="F1072" s="1222"/>
      <c r="G1072" s="1222"/>
      <c r="H1072" s="1223" t="s">
        <v>133</v>
      </c>
      <c r="I1072" s="1223"/>
      <c r="J1072" s="1223"/>
      <c r="K1072" s="1223"/>
      <c r="L1072" s="1224"/>
    </row>
    <row r="1073" spans="1:12">
      <c r="A1073" s="855"/>
      <c r="B1073" s="378" t="s">
        <v>134</v>
      </c>
      <c r="C1073" s="302"/>
      <c r="D1073" s="302"/>
      <c r="E1073" s="302"/>
      <c r="F1073" s="302"/>
      <c r="G1073" s="376"/>
      <c r="H1073" s="514"/>
      <c r="I1073" s="914"/>
      <c r="J1073" s="305">
        <f>'04-22-Master'!Q505</f>
        <v>0</v>
      </c>
      <c r="K1073" s="914"/>
      <c r="L1073" s="916"/>
    </row>
    <row r="1074" spans="1:12">
      <c r="A1074" s="855"/>
      <c r="B1074" s="378" t="s">
        <v>135</v>
      </c>
      <c r="C1074" s="302"/>
      <c r="D1074" s="302"/>
      <c r="E1074" s="302"/>
      <c r="F1074" s="302"/>
      <c r="G1074" s="376"/>
      <c r="H1074" s="514"/>
      <c r="I1074" s="914"/>
      <c r="J1074" s="914" t="s">
        <v>37</v>
      </c>
      <c r="K1074" s="914"/>
      <c r="L1074" s="916"/>
    </row>
    <row r="1075" spans="1:12">
      <c r="A1075" s="855"/>
      <c r="B1075" s="378" t="s">
        <v>136</v>
      </c>
      <c r="C1075" s="302"/>
      <c r="D1075" s="302"/>
      <c r="E1075" s="302"/>
      <c r="F1075" s="302"/>
      <c r="G1075" s="376"/>
      <c r="H1075" s="514"/>
      <c r="I1075" s="914"/>
      <c r="J1075" s="305">
        <v>0</v>
      </c>
      <c r="K1075" s="914"/>
      <c r="L1075" s="916"/>
    </row>
    <row r="1076" spans="1:12">
      <c r="A1076" s="855"/>
      <c r="B1076" s="378" t="s">
        <v>137</v>
      </c>
      <c r="C1076" s="302"/>
      <c r="D1076" s="302"/>
      <c r="E1076" s="302"/>
      <c r="F1076" s="302"/>
      <c r="G1076" s="376"/>
      <c r="H1076" s="514"/>
      <c r="I1076" s="914"/>
      <c r="J1076" s="914">
        <v>0</v>
      </c>
      <c r="K1076" s="914"/>
      <c r="L1076" s="916"/>
    </row>
    <row r="1077" spans="1:12">
      <c r="A1077" s="855"/>
      <c r="B1077" s="378" t="s">
        <v>138</v>
      </c>
      <c r="C1077" s="302"/>
      <c r="D1077" s="302"/>
      <c r="E1077" s="302"/>
      <c r="F1077" s="302"/>
      <c r="G1077" s="376"/>
      <c r="H1077" s="514"/>
      <c r="I1077" s="914"/>
      <c r="J1077" s="305">
        <f>'04-22-Master'!AG505</f>
        <v>0</v>
      </c>
      <c r="K1077" s="914"/>
      <c r="L1077" s="916" t="s">
        <v>35</v>
      </c>
    </row>
    <row r="1078" spans="1:12">
      <c r="A1078" s="855"/>
      <c r="B1078" s="378" t="s">
        <v>139</v>
      </c>
      <c r="C1078" s="302"/>
      <c r="D1078" s="913" t="s">
        <v>32</v>
      </c>
      <c r="E1078" s="912">
        <f>'04-22-Master'!AI505</f>
        <v>0</v>
      </c>
      <c r="F1078" s="913" t="s">
        <v>31</v>
      </c>
      <c r="G1078" s="912">
        <f>'04-22-Master'!AH2097</f>
        <v>0</v>
      </c>
      <c r="H1078" s="913" t="s">
        <v>33</v>
      </c>
      <c r="I1078" s="912">
        <f>'04-22-Master'!AJ505</f>
        <v>0</v>
      </c>
      <c r="J1078" s="913" t="s">
        <v>34</v>
      </c>
      <c r="K1078" s="912">
        <f>'04-22-Master'!AK505</f>
        <v>0</v>
      </c>
      <c r="L1078" s="111">
        <f>'04-22-Master'!AL505</f>
        <v>0</v>
      </c>
    </row>
    <row r="1079" spans="1:12">
      <c r="A1079" s="855"/>
      <c r="B1079" s="378" t="s">
        <v>140</v>
      </c>
      <c r="C1079" s="302"/>
      <c r="D1079" s="302"/>
      <c r="E1079" s="302"/>
      <c r="F1079" s="302"/>
      <c r="G1079" s="376"/>
      <c r="H1079" s="514"/>
      <c r="I1079" s="914"/>
      <c r="J1079" s="305">
        <f>J1077-(E1078+G1078+I1078+K1078+L1078)</f>
        <v>0</v>
      </c>
      <c r="K1079" s="914"/>
      <c r="L1079" s="916"/>
    </row>
    <row r="1080" spans="1:12">
      <c r="A1080" s="855"/>
      <c r="B1080" s="379" t="s">
        <v>141</v>
      </c>
      <c r="C1080" s="102"/>
      <c r="D1080" s="102"/>
      <c r="E1080" s="102"/>
      <c r="F1080" s="102"/>
      <c r="G1080" s="103"/>
      <c r="H1080" s="104"/>
      <c r="I1080" s="105"/>
      <c r="J1080" s="105"/>
      <c r="K1080" s="105"/>
      <c r="L1080" s="106"/>
    </row>
    <row r="1081" spans="1:12">
      <c r="A1081" s="855"/>
      <c r="B1081" s="380" t="s">
        <v>142</v>
      </c>
      <c r="C1081" s="107"/>
      <c r="D1081" s="107"/>
      <c r="E1081" s="107"/>
      <c r="F1081" s="107"/>
      <c r="G1081" s="108"/>
      <c r="H1081" s="73"/>
      <c r="I1081" s="19"/>
      <c r="J1081" s="19"/>
      <c r="K1081" s="19"/>
      <c r="L1081" s="109"/>
    </row>
    <row r="1082" spans="1:12">
      <c r="A1082" s="855"/>
      <c r="B1082" s="15"/>
      <c r="C1082" s="300"/>
      <c r="D1082" s="300"/>
      <c r="E1082" s="300"/>
      <c r="F1082" s="300"/>
      <c r="G1082" s="300"/>
      <c r="H1082" s="300"/>
      <c r="I1082" s="300"/>
      <c r="J1082" s="300"/>
      <c r="K1082" s="300"/>
      <c r="L1082" s="16"/>
    </row>
    <row r="1083" spans="1:12" ht="15.75" thickBot="1">
      <c r="A1083" s="855"/>
      <c r="B1083" s="27"/>
      <c r="C1083" s="25"/>
      <c r="D1083" s="25"/>
      <c r="E1083" s="25"/>
      <c r="F1083" s="25"/>
      <c r="G1083" s="25"/>
      <c r="H1083" s="25"/>
      <c r="I1083" s="25"/>
      <c r="J1083" s="25"/>
      <c r="K1083" s="25"/>
      <c r="L1083" s="26"/>
    </row>
    <row r="1084" spans="1:12">
      <c r="A1084" s="855"/>
      <c r="B1084" s="855"/>
      <c r="C1084" s="855"/>
      <c r="D1084" s="855"/>
      <c r="E1084" s="855"/>
      <c r="F1084" s="855"/>
      <c r="G1084" s="855"/>
      <c r="H1084" s="855"/>
      <c r="I1084" s="855"/>
      <c r="J1084" s="855"/>
      <c r="K1084" s="855"/>
      <c r="L1084" s="855"/>
    </row>
    <row r="1085" spans="1:12">
      <c r="A1085" s="855"/>
      <c r="B1085" s="855"/>
      <c r="C1085" s="855"/>
      <c r="D1085" s="855"/>
      <c r="E1085" s="855"/>
      <c r="F1085" s="855"/>
      <c r="G1085" s="855"/>
      <c r="H1085" s="855"/>
      <c r="I1085" s="855"/>
      <c r="J1085" s="855"/>
      <c r="K1085" s="855"/>
      <c r="L1085" s="855"/>
    </row>
    <row r="1086" spans="1:12">
      <c r="A1086" s="855"/>
      <c r="B1086" s="855"/>
      <c r="C1086" s="855"/>
      <c r="D1086" s="855"/>
      <c r="E1086" s="855"/>
      <c r="F1086" s="855"/>
      <c r="G1086" s="855"/>
      <c r="H1086" s="855"/>
      <c r="I1086" s="855"/>
      <c r="J1086" s="855"/>
      <c r="K1086" s="855"/>
      <c r="L1086" s="855"/>
    </row>
    <row r="1087" spans="1:12">
      <c r="A1087" s="855"/>
      <c r="B1087" s="855"/>
      <c r="C1087" s="855"/>
      <c r="D1087" s="855"/>
      <c r="E1087" s="855"/>
      <c r="F1087" s="855"/>
      <c r="G1087" s="855"/>
      <c r="H1087" s="855"/>
      <c r="I1087" s="855"/>
      <c r="J1087" s="855"/>
      <c r="K1087" s="855"/>
      <c r="L1087" s="855"/>
    </row>
    <row r="1088" spans="1:12">
      <c r="A1088" s="855"/>
      <c r="B1088" s="855"/>
      <c r="C1088" s="855"/>
      <c r="D1088" s="855"/>
      <c r="E1088" s="855"/>
      <c r="F1088" s="855"/>
      <c r="G1088" s="855"/>
      <c r="H1088" s="855"/>
      <c r="I1088" s="855"/>
      <c r="J1088" s="855"/>
      <c r="K1088" s="855"/>
      <c r="L1088" s="855"/>
    </row>
    <row r="1089" spans="1:12">
      <c r="A1089" s="855"/>
      <c r="B1089" s="855"/>
      <c r="C1089" s="855"/>
      <c r="D1089" s="855"/>
      <c r="E1089" s="855"/>
      <c r="F1089" s="855"/>
      <c r="G1089" s="855"/>
      <c r="H1089" s="855"/>
      <c r="I1089" s="855"/>
      <c r="J1089" s="855"/>
      <c r="K1089" s="855"/>
      <c r="L1089" s="855"/>
    </row>
    <row r="1090" spans="1:12">
      <c r="A1090" s="855"/>
      <c r="B1090" s="855"/>
      <c r="C1090" s="855"/>
      <c r="D1090" s="855"/>
      <c r="E1090" s="855"/>
      <c r="F1090" s="855"/>
      <c r="G1090" s="855"/>
      <c r="H1090" s="855"/>
      <c r="I1090" s="855"/>
      <c r="J1090" s="855"/>
      <c r="K1090" s="855"/>
      <c r="L1090" s="855"/>
    </row>
    <row r="1091" spans="1:12">
      <c r="A1091" s="855"/>
      <c r="B1091" s="855"/>
      <c r="C1091" s="855"/>
      <c r="D1091" s="855"/>
      <c r="E1091" s="855"/>
      <c r="F1091" s="855"/>
      <c r="G1091" s="855"/>
      <c r="H1091" s="855"/>
      <c r="I1091" s="855"/>
      <c r="J1091" s="855"/>
      <c r="K1091" s="855"/>
      <c r="L1091" s="855"/>
    </row>
    <row r="1092" spans="1:12" ht="15.75" thickBot="1">
      <c r="A1092" s="855"/>
      <c r="B1092" s="855"/>
      <c r="C1092" s="855"/>
      <c r="D1092" s="855"/>
      <c r="E1092" s="855"/>
      <c r="F1092" s="855"/>
      <c r="G1092" s="855"/>
      <c r="H1092" s="855"/>
      <c r="I1092" s="855"/>
      <c r="J1092" s="855"/>
      <c r="K1092" s="855"/>
      <c r="L1092" s="855"/>
    </row>
    <row r="1093" spans="1:12" ht="32.25">
      <c r="A1093" s="855"/>
      <c r="B1093" s="1256" t="s">
        <v>117</v>
      </c>
      <c r="C1093" s="1257"/>
      <c r="D1093" s="1257"/>
      <c r="E1093" s="1257"/>
      <c r="F1093" s="1257"/>
      <c r="G1093" s="1257"/>
      <c r="H1093" s="1257"/>
      <c r="I1093" s="1257"/>
      <c r="J1093" s="1257"/>
      <c r="K1093" s="1257"/>
      <c r="L1093" s="1258"/>
    </row>
    <row r="1094" spans="1:12" ht="23.25">
      <c r="A1094" s="855"/>
      <c r="B1094" s="1237" t="s">
        <v>118</v>
      </c>
      <c r="C1094" s="1238"/>
      <c r="D1094" s="1238"/>
      <c r="E1094" s="1238"/>
      <c r="F1094" s="1238"/>
      <c r="G1094" s="1238"/>
      <c r="H1094" s="1238"/>
      <c r="I1094" s="1238"/>
      <c r="J1094" s="1238"/>
      <c r="K1094" s="1238"/>
      <c r="L1094" s="1239"/>
    </row>
    <row r="1095" spans="1:12" ht="16.5" thickBot="1">
      <c r="A1095" s="855"/>
      <c r="B1095" s="1240" t="s">
        <v>119</v>
      </c>
      <c r="C1095" s="1241"/>
      <c r="D1095" s="1241"/>
      <c r="E1095" s="1241"/>
      <c r="F1095" s="1241"/>
      <c r="G1095" s="1241"/>
      <c r="H1095" s="1241"/>
      <c r="I1095" s="1241"/>
      <c r="J1095" s="1241"/>
      <c r="K1095" s="1241"/>
      <c r="L1095" s="1242"/>
    </row>
    <row r="1096" spans="1:12">
      <c r="A1096" s="855"/>
      <c r="B1096" s="1243" t="s">
        <v>120</v>
      </c>
      <c r="C1096" s="1244"/>
      <c r="D1096" s="1244"/>
      <c r="E1096" s="1244"/>
      <c r="F1096" s="1244"/>
      <c r="G1096" s="300"/>
      <c r="H1096" s="1247" t="s">
        <v>121</v>
      </c>
      <c r="I1096" s="1247"/>
      <c r="J1096" s="1247"/>
      <c r="K1096" s="1247"/>
      <c r="L1096" s="1248"/>
    </row>
    <row r="1097" spans="1:12" ht="15.75" thickBot="1">
      <c r="A1097" s="855"/>
      <c r="B1097" s="1245"/>
      <c r="C1097" s="1246"/>
      <c r="D1097" s="1246"/>
      <c r="E1097" s="1246"/>
      <c r="F1097" s="1246"/>
      <c r="G1097" s="300"/>
      <c r="H1097" s="1249"/>
      <c r="I1097" s="1249"/>
      <c r="J1097" s="1249"/>
      <c r="K1097" s="1249"/>
      <c r="L1097" s="1250"/>
    </row>
    <row r="1098" spans="1:12">
      <c r="A1098" s="855"/>
      <c r="B1098" s="79"/>
      <c r="C1098" s="80"/>
      <c r="D1098" s="80"/>
      <c r="E1098" s="80"/>
      <c r="F1098" s="81"/>
      <c r="G1098" s="300"/>
      <c r="H1098" s="79"/>
      <c r="I1098" s="80"/>
      <c r="J1098" s="80"/>
      <c r="K1098" s="80"/>
      <c r="L1098" s="81"/>
    </row>
    <row r="1099" spans="1:12">
      <c r="A1099" s="855"/>
      <c r="B1099" s="82" t="s">
        <v>425</v>
      </c>
      <c r="C1099" s="300"/>
      <c r="D1099" s="300"/>
      <c r="E1099" s="300"/>
      <c r="F1099" s="16"/>
      <c r="G1099" s="300"/>
      <c r="H1099" s="82" t="s">
        <v>425</v>
      </c>
      <c r="I1099" s="300"/>
      <c r="J1099" s="300"/>
      <c r="K1099" s="300"/>
      <c r="L1099" s="16"/>
    </row>
    <row r="1100" spans="1:12">
      <c r="A1100" s="855"/>
      <c r="B1100" s="15"/>
      <c r="C1100" s="300"/>
      <c r="D1100" s="300"/>
      <c r="E1100" s="300"/>
      <c r="F1100" s="16"/>
      <c r="G1100" s="300"/>
      <c r="H1100" s="15"/>
      <c r="I1100" s="300"/>
      <c r="J1100" s="300"/>
      <c r="K1100" s="300"/>
      <c r="L1100" s="16"/>
    </row>
    <row r="1101" spans="1:12">
      <c r="A1101" s="855"/>
      <c r="B1101" s="82" t="s">
        <v>426</v>
      </c>
      <c r="C1101" s="300"/>
      <c r="D1101" s="300"/>
      <c r="E1101" s="300"/>
      <c r="F1101" s="16"/>
      <c r="G1101" s="300"/>
      <c r="H1101" s="82" t="s">
        <v>426</v>
      </c>
      <c r="I1101" s="300"/>
      <c r="J1101" s="300"/>
      <c r="K1101" s="300"/>
      <c r="L1101" s="16"/>
    </row>
    <row r="1102" spans="1:12" ht="15.75" thickBot="1">
      <c r="A1102" s="855"/>
      <c r="B1102" s="27"/>
      <c r="C1102" s="25"/>
      <c r="D1102" s="25"/>
      <c r="E1102" s="25"/>
      <c r="F1102" s="26"/>
      <c r="G1102" s="300"/>
      <c r="H1102" s="27"/>
      <c r="I1102" s="25"/>
      <c r="J1102" s="25"/>
      <c r="K1102" s="25"/>
      <c r="L1102" s="26"/>
    </row>
    <row r="1103" spans="1:12">
      <c r="A1103" s="855"/>
      <c r="B1103" s="15"/>
      <c r="C1103" s="300"/>
      <c r="D1103" s="300"/>
      <c r="E1103" s="300"/>
      <c r="F1103" s="300"/>
      <c r="G1103" s="300"/>
      <c r="H1103" s="300"/>
      <c r="I1103" s="300"/>
      <c r="J1103" s="300" t="s">
        <v>122</v>
      </c>
      <c r="K1103" s="300"/>
      <c r="L1103" s="16"/>
    </row>
    <row r="1104" spans="1:12">
      <c r="A1104" s="855"/>
      <c r="B1104" s="1212" t="s">
        <v>123</v>
      </c>
      <c r="C1104" s="1213"/>
      <c r="D1104" s="1213"/>
      <c r="E1104" s="1213"/>
      <c r="F1104" s="1213"/>
      <c r="G1104" s="300"/>
      <c r="H1104" s="1213" t="s">
        <v>4</v>
      </c>
      <c r="I1104" s="1213"/>
      <c r="J1104" s="1213"/>
      <c r="K1104" s="1213"/>
      <c r="L1104" s="1251"/>
    </row>
    <row r="1105" spans="1:12" ht="15.75" thickBot="1">
      <c r="A1105" s="855"/>
      <c r="B1105" s="15"/>
      <c r="C1105" s="300"/>
      <c r="D1105" s="300"/>
      <c r="E1105" s="300"/>
      <c r="F1105" s="300"/>
      <c r="G1105" s="300"/>
      <c r="H1105" s="300"/>
      <c r="I1105" s="300"/>
      <c r="J1105" s="300"/>
      <c r="K1105" s="300"/>
      <c r="L1105" s="16"/>
    </row>
    <row r="1106" spans="1:12">
      <c r="A1106" s="855"/>
      <c r="B1106" s="79"/>
      <c r="C1106" s="80"/>
      <c r="D1106" s="80"/>
      <c r="E1106" s="80"/>
      <c r="F1106" s="81"/>
      <c r="G1106" s="300"/>
      <c r="H1106" s="83"/>
      <c r="I1106" s="84"/>
      <c r="J1106" s="84"/>
      <c r="K1106" s="84"/>
      <c r="L1106" s="85"/>
    </row>
    <row r="1107" spans="1:12">
      <c r="A1107" s="855"/>
      <c r="B1107" s="15"/>
      <c r="C1107" s="300"/>
      <c r="D1107" s="300"/>
      <c r="E1107" s="300"/>
      <c r="F1107" s="16"/>
      <c r="G1107" s="300"/>
      <c r="H1107" s="82" t="s">
        <v>821</v>
      </c>
      <c r="I1107" s="301"/>
      <c r="J1107" s="301"/>
      <c r="K1107" s="301"/>
      <c r="L1107" s="86"/>
    </row>
    <row r="1108" spans="1:12">
      <c r="A1108" s="855"/>
      <c r="B1108" s="82" t="s">
        <v>819</v>
      </c>
      <c r="C1108" s="300"/>
      <c r="D1108" s="300"/>
      <c r="E1108" s="300"/>
      <c r="F1108" s="16"/>
      <c r="G1108" s="300"/>
      <c r="H1108" s="82"/>
      <c r="I1108" s="301"/>
      <c r="J1108" s="301"/>
      <c r="K1108" s="301"/>
      <c r="L1108" s="86"/>
    </row>
    <row r="1109" spans="1:12">
      <c r="A1109" s="855"/>
      <c r="B1109" s="15"/>
      <c r="C1109" s="300"/>
      <c r="D1109" s="300"/>
      <c r="E1109" s="300"/>
      <c r="F1109" s="16"/>
      <c r="G1109" s="300"/>
      <c r="H1109" s="82" t="s">
        <v>427</v>
      </c>
      <c r="I1109" s="301"/>
      <c r="J1109" s="301"/>
      <c r="K1109" s="301"/>
      <c r="L1109" s="86"/>
    </row>
    <row r="1110" spans="1:12" ht="15.75" thickBot="1">
      <c r="A1110" s="855"/>
      <c r="B1110" s="27"/>
      <c r="C1110" s="25"/>
      <c r="D1110" s="25"/>
      <c r="E1110" s="25"/>
      <c r="F1110" s="26"/>
      <c r="G1110" s="300"/>
      <c r="H1110" s="82"/>
      <c r="I1110" s="301"/>
      <c r="J1110" s="301"/>
      <c r="K1110" s="301"/>
      <c r="L1110" s="86"/>
    </row>
    <row r="1111" spans="1:12">
      <c r="A1111" s="855"/>
      <c r="B1111" s="1221" t="s">
        <v>124</v>
      </c>
      <c r="C1111" s="1222"/>
      <c r="D1111" s="1222"/>
      <c r="E1111" s="1222"/>
      <c r="F1111" s="1222"/>
      <c r="G1111" s="1252"/>
      <c r="H1111" s="1230">
        <f>'04-22-Master'!B506</f>
        <v>0</v>
      </c>
      <c r="I1111" s="1223"/>
      <c r="J1111" s="1223"/>
      <c r="K1111" s="1223"/>
      <c r="L1111" s="1223"/>
    </row>
    <row r="1112" spans="1:12">
      <c r="A1112" s="855"/>
      <c r="B1112" s="1253"/>
      <c r="C1112" s="1254"/>
      <c r="D1112" s="1254"/>
      <c r="E1112" s="1254"/>
      <c r="F1112" s="1254"/>
      <c r="G1112" s="1254"/>
      <c r="H1112" s="1255">
        <f>'04-22-Master'!G506</f>
        <v>0</v>
      </c>
      <c r="I1112" s="1255"/>
      <c r="J1112" s="1255"/>
      <c r="K1112" s="1255"/>
      <c r="L1112" s="1255"/>
    </row>
    <row r="1113" spans="1:12">
      <c r="A1113" s="855"/>
      <c r="B1113" s="1225" t="s">
        <v>125</v>
      </c>
      <c r="C1113" s="1226"/>
      <c r="D1113" s="1226"/>
      <c r="E1113" s="1226"/>
      <c r="F1113" s="1226"/>
      <c r="G1113" s="1226"/>
      <c r="H1113" s="1227">
        <v>96</v>
      </c>
      <c r="I1113" s="1228"/>
      <c r="J1113" s="1228"/>
      <c r="K1113" s="1228"/>
      <c r="L1113" s="1229"/>
    </row>
    <row r="1114" spans="1:12">
      <c r="A1114" s="855"/>
      <c r="B1114" s="1221" t="s">
        <v>126</v>
      </c>
      <c r="C1114" s="1222"/>
      <c r="D1114" s="1222"/>
      <c r="E1114" s="1222"/>
      <c r="F1114" s="1222"/>
      <c r="G1114" s="1222"/>
      <c r="H1114" s="1230">
        <f>'04-22-Master'!F506</f>
        <v>0</v>
      </c>
      <c r="I1114" s="1223"/>
      <c r="J1114" s="1223"/>
      <c r="K1114" s="1223"/>
      <c r="L1114" s="1224"/>
    </row>
    <row r="1115" spans="1:12">
      <c r="A1115" s="855"/>
      <c r="B1115" s="1221" t="s">
        <v>127</v>
      </c>
      <c r="C1115" s="1222"/>
      <c r="D1115" s="1222"/>
      <c r="E1115" s="1222"/>
      <c r="F1115" s="1222"/>
      <c r="G1115" s="1222"/>
      <c r="H1115" s="1231">
        <f>'04-22-Master'!I506</f>
        <v>0</v>
      </c>
      <c r="I1115" s="1231"/>
      <c r="J1115" s="1231"/>
      <c r="K1115" s="1231"/>
      <c r="L1115" s="1232"/>
    </row>
    <row r="1116" spans="1:12">
      <c r="A1116" s="855"/>
      <c r="B1116" s="378" t="s">
        <v>128</v>
      </c>
      <c r="C1116" s="302"/>
      <c r="D1116" s="302"/>
      <c r="E1116" s="302"/>
      <c r="F1116" s="302"/>
      <c r="G1116" s="302"/>
      <c r="H1116" s="514"/>
      <c r="I1116" s="304"/>
      <c r="J1116" s="858">
        <f>'04-22-Master'!O1194</f>
        <v>0</v>
      </c>
      <c r="K1116" s="914"/>
      <c r="L1116" s="916"/>
    </row>
    <row r="1117" spans="1:12">
      <c r="A1117" s="855"/>
      <c r="B1117" s="378" t="s">
        <v>129</v>
      </c>
      <c r="C1117" s="302"/>
      <c r="D1117" s="302"/>
      <c r="E1117" s="302"/>
      <c r="F1117" s="302"/>
      <c r="G1117" s="376"/>
      <c r="H1117" s="96"/>
      <c r="I1117" s="97"/>
      <c r="J1117" s="858">
        <f>'04-22-Master'!N506</f>
        <v>0</v>
      </c>
      <c r="K1117" s="97"/>
      <c r="L1117" s="98"/>
    </row>
    <row r="1118" spans="1:12">
      <c r="A1118" s="855"/>
      <c r="B1118" s="1233" t="s">
        <v>130</v>
      </c>
      <c r="C1118" s="1234"/>
      <c r="D1118" s="1234"/>
      <c r="E1118" s="1234"/>
      <c r="F1118" s="1234"/>
      <c r="G1118" s="1234"/>
      <c r="H1118" s="1227">
        <f>'04-22-Master'!S506</f>
        <v>0</v>
      </c>
      <c r="I1118" s="1227"/>
      <c r="J1118" s="1227"/>
      <c r="K1118" s="1227"/>
      <c r="L1118" s="1235"/>
    </row>
    <row r="1119" spans="1:12">
      <c r="A1119" s="855"/>
      <c r="B1119" s="1221" t="s">
        <v>131</v>
      </c>
      <c r="C1119" s="1222"/>
      <c r="D1119" s="1222"/>
      <c r="E1119" s="1222"/>
      <c r="F1119" s="1222"/>
      <c r="G1119" s="1222"/>
      <c r="H1119" s="1236">
        <f>'04-22-Master'!D485</f>
        <v>0</v>
      </c>
      <c r="I1119" s="1223"/>
      <c r="J1119" s="1223"/>
      <c r="K1119" s="1223"/>
      <c r="L1119" s="1224"/>
    </row>
    <row r="1120" spans="1:12">
      <c r="A1120" s="855"/>
      <c r="B1120" s="1221" t="s">
        <v>132</v>
      </c>
      <c r="C1120" s="1222"/>
      <c r="D1120" s="1222"/>
      <c r="E1120" s="1222"/>
      <c r="F1120" s="1222"/>
      <c r="G1120" s="1222"/>
      <c r="H1120" s="1223" t="s">
        <v>133</v>
      </c>
      <c r="I1120" s="1223"/>
      <c r="J1120" s="1223"/>
      <c r="K1120" s="1223"/>
      <c r="L1120" s="1224"/>
    </row>
    <row r="1121" spans="1:12">
      <c r="A1121" s="855"/>
      <c r="B1121" s="378" t="s">
        <v>134</v>
      </c>
      <c r="C1121" s="302"/>
      <c r="D1121" s="302"/>
      <c r="E1121" s="302"/>
      <c r="F1121" s="302"/>
      <c r="G1121" s="376"/>
      <c r="H1121" s="514"/>
      <c r="I1121" s="914"/>
      <c r="J1121" s="305">
        <f>'04-22-Master'!Q506</f>
        <v>0</v>
      </c>
      <c r="K1121" s="914"/>
      <c r="L1121" s="916"/>
    </row>
    <row r="1122" spans="1:12">
      <c r="A1122" s="855"/>
      <c r="B1122" s="378" t="s">
        <v>135</v>
      </c>
      <c r="C1122" s="302"/>
      <c r="D1122" s="302"/>
      <c r="E1122" s="302"/>
      <c r="F1122" s="302"/>
      <c r="G1122" s="376"/>
      <c r="H1122" s="514"/>
      <c r="I1122" s="914"/>
      <c r="J1122" s="914" t="s">
        <v>37</v>
      </c>
      <c r="K1122" s="914"/>
      <c r="L1122" s="916"/>
    </row>
    <row r="1123" spans="1:12">
      <c r="A1123" s="855"/>
      <c r="B1123" s="378" t="s">
        <v>136</v>
      </c>
      <c r="C1123" s="302"/>
      <c r="D1123" s="302"/>
      <c r="E1123" s="302"/>
      <c r="F1123" s="302"/>
      <c r="G1123" s="376"/>
      <c r="H1123" s="514"/>
      <c r="I1123" s="914"/>
      <c r="J1123" s="305">
        <v>0</v>
      </c>
      <c r="K1123" s="914"/>
      <c r="L1123" s="916"/>
    </row>
    <row r="1124" spans="1:12">
      <c r="A1124" s="855"/>
      <c r="B1124" s="378" t="s">
        <v>137</v>
      </c>
      <c r="C1124" s="302"/>
      <c r="D1124" s="302"/>
      <c r="E1124" s="302"/>
      <c r="F1124" s="302"/>
      <c r="G1124" s="376"/>
      <c r="H1124" s="514"/>
      <c r="I1124" s="914"/>
      <c r="J1124" s="914">
        <v>0</v>
      </c>
      <c r="K1124" s="914"/>
      <c r="L1124" s="916"/>
    </row>
    <row r="1125" spans="1:12">
      <c r="A1125" s="855"/>
      <c r="B1125" s="378" t="s">
        <v>138</v>
      </c>
      <c r="C1125" s="302"/>
      <c r="D1125" s="302"/>
      <c r="E1125" s="302"/>
      <c r="F1125" s="302"/>
      <c r="G1125" s="376"/>
      <c r="H1125" s="514"/>
      <c r="I1125" s="914"/>
      <c r="J1125" s="305">
        <f>'04-22-Master'!AG506</f>
        <v>0</v>
      </c>
      <c r="K1125" s="914"/>
      <c r="L1125" s="916" t="s">
        <v>35</v>
      </c>
    </row>
    <row r="1126" spans="1:12">
      <c r="A1126" s="855"/>
      <c r="B1126" s="378" t="s">
        <v>139</v>
      </c>
      <c r="C1126" s="302"/>
      <c r="D1126" s="913" t="s">
        <v>32</v>
      </c>
      <c r="E1126" s="912">
        <f>'04-22-Master'!AI506</f>
        <v>0</v>
      </c>
      <c r="F1126" s="913" t="s">
        <v>31</v>
      </c>
      <c r="G1126" s="912">
        <f>'04-22-Master'!AH2155</f>
        <v>0</v>
      </c>
      <c r="H1126" s="913" t="s">
        <v>33</v>
      </c>
      <c r="I1126" s="912">
        <f>'04-22-Master'!AJ506</f>
        <v>0</v>
      </c>
      <c r="J1126" s="913" t="s">
        <v>34</v>
      </c>
      <c r="K1126" s="912">
        <f>'04-22-Master'!AK506</f>
        <v>0</v>
      </c>
      <c r="L1126" s="111">
        <f>'04-22-Master'!AL506</f>
        <v>0</v>
      </c>
    </row>
    <row r="1127" spans="1:12">
      <c r="A1127" s="855"/>
      <c r="B1127" s="378" t="s">
        <v>140</v>
      </c>
      <c r="C1127" s="302"/>
      <c r="D1127" s="302"/>
      <c r="E1127" s="302"/>
      <c r="F1127" s="302"/>
      <c r="G1127" s="376"/>
      <c r="H1127" s="514"/>
      <c r="I1127" s="914"/>
      <c r="J1127" s="305">
        <f>J1125-(E1126+G1126+I1126+K1126+L1126)</f>
        <v>0</v>
      </c>
      <c r="K1127" s="914"/>
      <c r="L1127" s="916"/>
    </row>
    <row r="1128" spans="1:12">
      <c r="A1128" s="855"/>
      <c r="B1128" s="379" t="s">
        <v>141</v>
      </c>
      <c r="C1128" s="102"/>
      <c r="D1128" s="102"/>
      <c r="E1128" s="102"/>
      <c r="F1128" s="102"/>
      <c r="G1128" s="103"/>
      <c r="H1128" s="104"/>
      <c r="I1128" s="105"/>
      <c r="J1128" s="105"/>
      <c r="K1128" s="105"/>
      <c r="L1128" s="106"/>
    </row>
    <row r="1129" spans="1:12">
      <c r="A1129" s="855"/>
      <c r="B1129" s="380" t="s">
        <v>142</v>
      </c>
      <c r="C1129" s="107"/>
      <c r="D1129" s="107"/>
      <c r="E1129" s="107"/>
      <c r="F1129" s="107"/>
      <c r="G1129" s="108"/>
      <c r="H1129" s="73"/>
      <c r="I1129" s="19"/>
      <c r="J1129" s="19"/>
      <c r="K1129" s="19"/>
      <c r="L1129" s="109"/>
    </row>
    <row r="1130" spans="1:12">
      <c r="A1130" s="855"/>
      <c r="B1130" s="15"/>
      <c r="C1130" s="300"/>
      <c r="D1130" s="300"/>
      <c r="E1130" s="300"/>
      <c r="F1130" s="300"/>
      <c r="G1130" s="300"/>
      <c r="H1130" s="300"/>
      <c r="I1130" s="300"/>
      <c r="J1130" s="300"/>
      <c r="K1130" s="300"/>
      <c r="L1130" s="16"/>
    </row>
    <row r="1131" spans="1:12" ht="15.75" thickBot="1">
      <c r="A1131" s="855"/>
      <c r="B1131" s="27"/>
      <c r="C1131" s="25"/>
      <c r="D1131" s="25"/>
      <c r="E1131" s="25"/>
      <c r="F1131" s="25"/>
      <c r="G1131" s="25"/>
      <c r="H1131" s="25"/>
      <c r="I1131" s="25"/>
      <c r="J1131" s="25"/>
      <c r="K1131" s="25"/>
      <c r="L1131" s="26"/>
    </row>
    <row r="1132" spans="1:12">
      <c r="A1132" s="855"/>
      <c r="B1132" s="855"/>
      <c r="C1132" s="855"/>
      <c r="D1132" s="855"/>
      <c r="E1132" s="855"/>
      <c r="F1132" s="855"/>
      <c r="G1132" s="855"/>
      <c r="H1132" s="855"/>
      <c r="I1132" s="855"/>
      <c r="J1132" s="855"/>
      <c r="K1132" s="855"/>
      <c r="L1132" s="855"/>
    </row>
    <row r="1133" spans="1:12">
      <c r="A1133" s="855"/>
      <c r="B1133" s="855"/>
      <c r="C1133" s="855"/>
      <c r="D1133" s="855"/>
      <c r="E1133" s="855"/>
      <c r="F1133" s="855"/>
      <c r="G1133" s="855"/>
      <c r="H1133" s="855"/>
      <c r="I1133" s="855"/>
      <c r="J1133" s="855"/>
      <c r="K1133" s="855"/>
      <c r="L1133" s="855"/>
    </row>
    <row r="1134" spans="1:12">
      <c r="A1134" s="855"/>
      <c r="B1134" s="855"/>
      <c r="C1134" s="855"/>
      <c r="D1134" s="855"/>
      <c r="E1134" s="855"/>
      <c r="F1134" s="855"/>
      <c r="G1134" s="855"/>
      <c r="H1134" s="855"/>
      <c r="I1134" s="855"/>
      <c r="J1134" s="855"/>
      <c r="K1134" s="855"/>
      <c r="L1134" s="855"/>
    </row>
    <row r="1135" spans="1:12">
      <c r="A1135" s="855"/>
      <c r="B1135" s="855"/>
      <c r="C1135" s="855"/>
      <c r="D1135" s="855"/>
      <c r="E1135" s="855"/>
      <c r="F1135" s="855"/>
      <c r="G1135" s="855"/>
      <c r="H1135" s="855"/>
      <c r="I1135" s="855"/>
      <c r="J1135" s="855"/>
      <c r="K1135" s="855"/>
      <c r="L1135" s="855"/>
    </row>
    <row r="1136" spans="1:12">
      <c r="A1136" s="855"/>
      <c r="B1136" s="855"/>
      <c r="C1136" s="855"/>
      <c r="D1136" s="855"/>
      <c r="E1136" s="855"/>
      <c r="F1136" s="855"/>
      <c r="G1136" s="855"/>
      <c r="H1136" s="855"/>
      <c r="I1136" s="855"/>
      <c r="J1136" s="855"/>
      <c r="K1136" s="855"/>
      <c r="L1136" s="855"/>
    </row>
    <row r="1137" spans="1:12">
      <c r="A1137" s="855"/>
      <c r="B1137" s="855"/>
      <c r="C1137" s="855"/>
      <c r="D1137" s="855"/>
      <c r="E1137" s="855"/>
      <c r="F1137" s="855"/>
      <c r="G1137" s="855"/>
      <c r="H1137" s="855"/>
      <c r="I1137" s="855"/>
      <c r="J1137" s="855"/>
      <c r="K1137" s="855"/>
      <c r="L1137" s="855"/>
    </row>
    <row r="1138" spans="1:12">
      <c r="A1138" s="855"/>
      <c r="B1138" s="855"/>
      <c r="C1138" s="855"/>
      <c r="D1138" s="855"/>
      <c r="E1138" s="855"/>
      <c r="F1138" s="855"/>
      <c r="G1138" s="855"/>
      <c r="H1138" s="855"/>
      <c r="I1138" s="855"/>
      <c r="J1138" s="855"/>
      <c r="K1138" s="855"/>
      <c r="L1138" s="855"/>
    </row>
  </sheetData>
  <mergeCells count="551">
    <mergeCell ref="B1114:G1114"/>
    <mergeCell ref="H1114:L1114"/>
    <mergeCell ref="B1115:G1115"/>
    <mergeCell ref="H1115:L1115"/>
    <mergeCell ref="B1118:G1118"/>
    <mergeCell ref="H1118:L1118"/>
    <mergeCell ref="B1119:G1119"/>
    <mergeCell ref="H1119:L1119"/>
    <mergeCell ref="B1120:G1120"/>
    <mergeCell ref="H1120:L1120"/>
    <mergeCell ref="B1096:F1097"/>
    <mergeCell ref="H1096:L1097"/>
    <mergeCell ref="B1104:F1104"/>
    <mergeCell ref="H1104:L1104"/>
    <mergeCell ref="B1111:G1111"/>
    <mergeCell ref="H1111:L1111"/>
    <mergeCell ref="B1112:G1112"/>
    <mergeCell ref="H1112:L1112"/>
    <mergeCell ref="B1113:G1113"/>
    <mergeCell ref="H1113:L1113"/>
    <mergeCell ref="B1070:G1070"/>
    <mergeCell ref="H1070:L1070"/>
    <mergeCell ref="B1071:G1071"/>
    <mergeCell ref="H1071:L1071"/>
    <mergeCell ref="B1072:G1072"/>
    <mergeCell ref="H1072:L1072"/>
    <mergeCell ref="B1093:L1093"/>
    <mergeCell ref="B1094:L1094"/>
    <mergeCell ref="B1095:L1095"/>
    <mergeCell ref="B1063:G1063"/>
    <mergeCell ref="H1063:L1063"/>
    <mergeCell ref="B1064:G1064"/>
    <mergeCell ref="H1064:L1064"/>
    <mergeCell ref="B1065:G1065"/>
    <mergeCell ref="H1065:L1065"/>
    <mergeCell ref="B1066:G1066"/>
    <mergeCell ref="H1066:L1066"/>
    <mergeCell ref="B1067:G1067"/>
    <mergeCell ref="H1067:L1067"/>
    <mergeCell ref="B1023:G1023"/>
    <mergeCell ref="H1023:L1023"/>
    <mergeCell ref="B1045:L1045"/>
    <mergeCell ref="B1046:L1046"/>
    <mergeCell ref="B1047:L1047"/>
    <mergeCell ref="B1048:F1049"/>
    <mergeCell ref="H1048:L1049"/>
    <mergeCell ref="B1056:F1056"/>
    <mergeCell ref="H1056:L1056"/>
    <mergeCell ref="B1016:G1016"/>
    <mergeCell ref="H1016:L1016"/>
    <mergeCell ref="B1017:G1017"/>
    <mergeCell ref="H1017:L1017"/>
    <mergeCell ref="B1018:G1018"/>
    <mergeCell ref="H1018:L1018"/>
    <mergeCell ref="B1021:G1021"/>
    <mergeCell ref="H1021:L1021"/>
    <mergeCell ref="B1022:G1022"/>
    <mergeCell ref="H1022:L1022"/>
    <mergeCell ref="B997:L997"/>
    <mergeCell ref="B998:L998"/>
    <mergeCell ref="B999:F1000"/>
    <mergeCell ref="H999:L1000"/>
    <mergeCell ref="B1007:F1007"/>
    <mergeCell ref="H1007:L1007"/>
    <mergeCell ref="B1014:G1014"/>
    <mergeCell ref="H1014:L1014"/>
    <mergeCell ref="B1015:G1015"/>
    <mergeCell ref="H1015:L1015"/>
    <mergeCell ref="B973:G973"/>
    <mergeCell ref="H973:L973"/>
    <mergeCell ref="B976:G976"/>
    <mergeCell ref="H976:L976"/>
    <mergeCell ref="B977:G977"/>
    <mergeCell ref="H977:L977"/>
    <mergeCell ref="B978:G978"/>
    <mergeCell ref="H978:L978"/>
    <mergeCell ref="B996:L996"/>
    <mergeCell ref="B962:F962"/>
    <mergeCell ref="H962:L962"/>
    <mergeCell ref="B969:G969"/>
    <mergeCell ref="H969:L969"/>
    <mergeCell ref="B970:G970"/>
    <mergeCell ref="H970:L970"/>
    <mergeCell ref="B971:G971"/>
    <mergeCell ref="H971:L971"/>
    <mergeCell ref="B972:G972"/>
    <mergeCell ref="H972:L972"/>
    <mergeCell ref="B924:G924"/>
    <mergeCell ref="H924:L924"/>
    <mergeCell ref="B925:G925"/>
    <mergeCell ref="H925:L925"/>
    <mergeCell ref="B951:L951"/>
    <mergeCell ref="B952:L952"/>
    <mergeCell ref="B953:L953"/>
    <mergeCell ref="B954:F955"/>
    <mergeCell ref="H954:L955"/>
    <mergeCell ref="B917:G917"/>
    <mergeCell ref="H917:L917"/>
    <mergeCell ref="B918:G918"/>
    <mergeCell ref="H918:L918"/>
    <mergeCell ref="B919:G919"/>
    <mergeCell ref="H919:L919"/>
    <mergeCell ref="B920:G920"/>
    <mergeCell ref="H920:L920"/>
    <mergeCell ref="B923:G923"/>
    <mergeCell ref="H923:L923"/>
    <mergeCell ref="B898:L898"/>
    <mergeCell ref="B899:L899"/>
    <mergeCell ref="B900:L900"/>
    <mergeCell ref="B901:F902"/>
    <mergeCell ref="H901:L902"/>
    <mergeCell ref="B909:F909"/>
    <mergeCell ref="H909:L909"/>
    <mergeCell ref="B916:G916"/>
    <mergeCell ref="H916:L916"/>
    <mergeCell ref="B871:G871"/>
    <mergeCell ref="H871:L871"/>
    <mergeCell ref="B872:G872"/>
    <mergeCell ref="H872:L872"/>
    <mergeCell ref="B875:G875"/>
    <mergeCell ref="H875:L875"/>
    <mergeCell ref="B876:G876"/>
    <mergeCell ref="H876:L876"/>
    <mergeCell ref="B877:G877"/>
    <mergeCell ref="H877:L877"/>
    <mergeCell ref="B853:F854"/>
    <mergeCell ref="H853:L854"/>
    <mergeCell ref="B861:F861"/>
    <mergeCell ref="H861:L861"/>
    <mergeCell ref="B868:G868"/>
    <mergeCell ref="H868:L868"/>
    <mergeCell ref="B869:G869"/>
    <mergeCell ref="H869:L869"/>
    <mergeCell ref="B870:G870"/>
    <mergeCell ref="H870:L870"/>
    <mergeCell ref="B829:G829"/>
    <mergeCell ref="H829:L829"/>
    <mergeCell ref="B830:G830"/>
    <mergeCell ref="H830:L830"/>
    <mergeCell ref="B831:G831"/>
    <mergeCell ref="H831:L831"/>
    <mergeCell ref="B850:L850"/>
    <mergeCell ref="B851:L851"/>
    <mergeCell ref="B852:L852"/>
    <mergeCell ref="B822:G822"/>
    <mergeCell ref="H822:L822"/>
    <mergeCell ref="B823:G823"/>
    <mergeCell ref="H823:L823"/>
    <mergeCell ref="B824:G824"/>
    <mergeCell ref="H824:L824"/>
    <mergeCell ref="B825:G825"/>
    <mergeCell ref="H825:L825"/>
    <mergeCell ref="B826:G826"/>
    <mergeCell ref="H826:L826"/>
    <mergeCell ref="B786:G786"/>
    <mergeCell ref="H786:L786"/>
    <mergeCell ref="B804:L804"/>
    <mergeCell ref="B805:L805"/>
    <mergeCell ref="B806:L806"/>
    <mergeCell ref="B807:F808"/>
    <mergeCell ref="H807:L808"/>
    <mergeCell ref="B815:F815"/>
    <mergeCell ref="H815:L815"/>
    <mergeCell ref="B779:G779"/>
    <mergeCell ref="H779:L779"/>
    <mergeCell ref="B780:G780"/>
    <mergeCell ref="H780:L780"/>
    <mergeCell ref="B781:G781"/>
    <mergeCell ref="H781:L781"/>
    <mergeCell ref="B784:G784"/>
    <mergeCell ref="H784:L784"/>
    <mergeCell ref="B785:G785"/>
    <mergeCell ref="H785:L785"/>
    <mergeCell ref="B760:L760"/>
    <mergeCell ref="B761:L761"/>
    <mergeCell ref="B762:F763"/>
    <mergeCell ref="H762:L763"/>
    <mergeCell ref="B770:F770"/>
    <mergeCell ref="H770:L770"/>
    <mergeCell ref="B777:G777"/>
    <mergeCell ref="H777:L777"/>
    <mergeCell ref="B778:G778"/>
    <mergeCell ref="H778:L778"/>
    <mergeCell ref="B732:G732"/>
    <mergeCell ref="H732:L732"/>
    <mergeCell ref="B735:G735"/>
    <mergeCell ref="H735:L735"/>
    <mergeCell ref="B736:G736"/>
    <mergeCell ref="H736:L736"/>
    <mergeCell ref="B737:G737"/>
    <mergeCell ref="H737:L737"/>
    <mergeCell ref="B759:L759"/>
    <mergeCell ref="B721:F721"/>
    <mergeCell ref="H721:L721"/>
    <mergeCell ref="B728:G728"/>
    <mergeCell ref="H728:L728"/>
    <mergeCell ref="B729:G729"/>
    <mergeCell ref="H729:L729"/>
    <mergeCell ref="B730:G730"/>
    <mergeCell ref="H730:L730"/>
    <mergeCell ref="B731:G731"/>
    <mergeCell ref="H731:L731"/>
    <mergeCell ref="B688:G688"/>
    <mergeCell ref="H688:L688"/>
    <mergeCell ref="B689:G689"/>
    <mergeCell ref="H689:L689"/>
    <mergeCell ref="B710:L710"/>
    <mergeCell ref="B711:L711"/>
    <mergeCell ref="B712:L712"/>
    <mergeCell ref="B713:F714"/>
    <mergeCell ref="H713:L714"/>
    <mergeCell ref="B681:G681"/>
    <mergeCell ref="H681:L681"/>
    <mergeCell ref="B682:G682"/>
    <mergeCell ref="H682:L682"/>
    <mergeCell ref="B683:G683"/>
    <mergeCell ref="H683:L683"/>
    <mergeCell ref="B684:G684"/>
    <mergeCell ref="H684:L684"/>
    <mergeCell ref="B687:G687"/>
    <mergeCell ref="H687:L687"/>
    <mergeCell ref="B662:L662"/>
    <mergeCell ref="B663:L663"/>
    <mergeCell ref="B664:L664"/>
    <mergeCell ref="B665:F666"/>
    <mergeCell ref="H665:L666"/>
    <mergeCell ref="B673:F673"/>
    <mergeCell ref="H673:L673"/>
    <mergeCell ref="B680:G680"/>
    <mergeCell ref="H680:L680"/>
    <mergeCell ref="B634:G634"/>
    <mergeCell ref="H634:L634"/>
    <mergeCell ref="B635:G635"/>
    <mergeCell ref="H635:L635"/>
    <mergeCell ref="B638:G638"/>
    <mergeCell ref="H638:L638"/>
    <mergeCell ref="B639:G639"/>
    <mergeCell ref="H639:L639"/>
    <mergeCell ref="B640:G640"/>
    <mergeCell ref="H640:L640"/>
    <mergeCell ref="B616:F617"/>
    <mergeCell ref="H616:L617"/>
    <mergeCell ref="B624:F624"/>
    <mergeCell ref="H624:L624"/>
    <mergeCell ref="B631:G631"/>
    <mergeCell ref="H631:L631"/>
    <mergeCell ref="B632:G632"/>
    <mergeCell ref="H632:L632"/>
    <mergeCell ref="B633:G633"/>
    <mergeCell ref="H633:L633"/>
    <mergeCell ref="B593:G593"/>
    <mergeCell ref="H593:L593"/>
    <mergeCell ref="B594:G594"/>
    <mergeCell ref="H594:L594"/>
    <mergeCell ref="B595:G595"/>
    <mergeCell ref="H595:L595"/>
    <mergeCell ref="B613:L613"/>
    <mergeCell ref="B614:L614"/>
    <mergeCell ref="B615:L615"/>
    <mergeCell ref="B586:G586"/>
    <mergeCell ref="H586:L586"/>
    <mergeCell ref="B587:G587"/>
    <mergeCell ref="H587:L587"/>
    <mergeCell ref="B588:G588"/>
    <mergeCell ref="H588:L588"/>
    <mergeCell ref="B589:G589"/>
    <mergeCell ref="H589:L589"/>
    <mergeCell ref="B590:G590"/>
    <mergeCell ref="H590:L590"/>
    <mergeCell ref="B552:G552"/>
    <mergeCell ref="H552:L552"/>
    <mergeCell ref="B568:L568"/>
    <mergeCell ref="B569:L569"/>
    <mergeCell ref="B570:L570"/>
    <mergeCell ref="B571:F572"/>
    <mergeCell ref="H571:L572"/>
    <mergeCell ref="B579:F579"/>
    <mergeCell ref="H579:L579"/>
    <mergeCell ref="B545:G545"/>
    <mergeCell ref="H545:L545"/>
    <mergeCell ref="B546:G546"/>
    <mergeCell ref="H546:L546"/>
    <mergeCell ref="B547:G547"/>
    <mergeCell ref="H547:L547"/>
    <mergeCell ref="B550:G550"/>
    <mergeCell ref="H550:L550"/>
    <mergeCell ref="B551:G551"/>
    <mergeCell ref="H551:L551"/>
    <mergeCell ref="B526:L526"/>
    <mergeCell ref="B527:L527"/>
    <mergeCell ref="B528:F529"/>
    <mergeCell ref="H528:L529"/>
    <mergeCell ref="B536:F536"/>
    <mergeCell ref="H536:L536"/>
    <mergeCell ref="B543:G543"/>
    <mergeCell ref="H543:L543"/>
    <mergeCell ref="B544:G544"/>
    <mergeCell ref="H544:L544"/>
    <mergeCell ref="B497:G497"/>
    <mergeCell ref="H501:L501"/>
    <mergeCell ref="B500:G500"/>
    <mergeCell ref="H500:L500"/>
    <mergeCell ref="B501:G501"/>
    <mergeCell ref="B502:G502"/>
    <mergeCell ref="H502:L502"/>
    <mergeCell ref="B525:L525"/>
    <mergeCell ref="B486:F486"/>
    <mergeCell ref="H486:L486"/>
    <mergeCell ref="B493:G493"/>
    <mergeCell ref="H493:L493"/>
    <mergeCell ref="B494:G494"/>
    <mergeCell ref="H494:L494"/>
    <mergeCell ref="B495:G495"/>
    <mergeCell ref="H495:L495"/>
    <mergeCell ref="B496:G496"/>
    <mergeCell ref="H496:L496"/>
    <mergeCell ref="B456:G456"/>
    <mergeCell ref="H456:L456"/>
    <mergeCell ref="B457:G457"/>
    <mergeCell ref="H457:L457"/>
    <mergeCell ref="B475:L475"/>
    <mergeCell ref="B476:L476"/>
    <mergeCell ref="B477:L477"/>
    <mergeCell ref="B478:F479"/>
    <mergeCell ref="H478:L479"/>
    <mergeCell ref="B449:G449"/>
    <mergeCell ref="H449:L449"/>
    <mergeCell ref="B450:G450"/>
    <mergeCell ref="H450:L450"/>
    <mergeCell ref="B451:G451"/>
    <mergeCell ref="H451:L451"/>
    <mergeCell ref="B452:G452"/>
    <mergeCell ref="H452:L452"/>
    <mergeCell ref="B455:G455"/>
    <mergeCell ref="H455:L455"/>
    <mergeCell ref="B430:L430"/>
    <mergeCell ref="B431:L431"/>
    <mergeCell ref="B432:L432"/>
    <mergeCell ref="B433:F434"/>
    <mergeCell ref="H433:L434"/>
    <mergeCell ref="B441:F441"/>
    <mergeCell ref="H441:L441"/>
    <mergeCell ref="B448:G448"/>
    <mergeCell ref="H448:L448"/>
    <mergeCell ref="B154:F155"/>
    <mergeCell ref="H154:L155"/>
    <mergeCell ref="B173:G173"/>
    <mergeCell ref="H173:L173"/>
    <mergeCell ref="B176:G176"/>
    <mergeCell ref="H176:L176"/>
    <mergeCell ref="B177:G177"/>
    <mergeCell ref="H177:L177"/>
    <mergeCell ref="B178:G178"/>
    <mergeCell ref="H178:L178"/>
    <mergeCell ref="B162:F162"/>
    <mergeCell ref="H162:L162"/>
    <mergeCell ref="B169:G169"/>
    <mergeCell ref="H169:L169"/>
    <mergeCell ref="B170:G170"/>
    <mergeCell ref="H170:L170"/>
    <mergeCell ref="B171:G171"/>
    <mergeCell ref="H171:L171"/>
    <mergeCell ref="B172:G172"/>
    <mergeCell ref="H172:L172"/>
    <mergeCell ref="B151:L151"/>
    <mergeCell ref="B152:L152"/>
    <mergeCell ref="B153:L153"/>
    <mergeCell ref="B121:G121"/>
    <mergeCell ref="H121:L121"/>
    <mergeCell ref="B124:G124"/>
    <mergeCell ref="H124:L124"/>
    <mergeCell ref="B125:G125"/>
    <mergeCell ref="H125:L125"/>
    <mergeCell ref="B126:G126"/>
    <mergeCell ref="H126:L126"/>
    <mergeCell ref="B110:F110"/>
    <mergeCell ref="H110:L110"/>
    <mergeCell ref="B117:G117"/>
    <mergeCell ref="H117:L117"/>
    <mergeCell ref="B118:G118"/>
    <mergeCell ref="H118:L118"/>
    <mergeCell ref="B119:G119"/>
    <mergeCell ref="H119:L119"/>
    <mergeCell ref="B120:G120"/>
    <mergeCell ref="H120:L120"/>
    <mergeCell ref="B99:L99"/>
    <mergeCell ref="B100:L100"/>
    <mergeCell ref="B101:L101"/>
    <mergeCell ref="B102:F103"/>
    <mergeCell ref="H102:L103"/>
    <mergeCell ref="B72:G72"/>
    <mergeCell ref="H72:L72"/>
    <mergeCell ref="B73:G73"/>
    <mergeCell ref="H73:L73"/>
    <mergeCell ref="B46:L46"/>
    <mergeCell ref="B47:L47"/>
    <mergeCell ref="B48:L48"/>
    <mergeCell ref="B49:F50"/>
    <mergeCell ref="H49:L50"/>
    <mergeCell ref="B57:F57"/>
    <mergeCell ref="H57:L57"/>
    <mergeCell ref="B71:G71"/>
    <mergeCell ref="H71:L71"/>
    <mergeCell ref="B64:G64"/>
    <mergeCell ref="H64:L64"/>
    <mergeCell ref="B65:G65"/>
    <mergeCell ref="H65:L65"/>
    <mergeCell ref="B66:G66"/>
    <mergeCell ref="H66:L66"/>
    <mergeCell ref="B67:G67"/>
    <mergeCell ref="H67:L67"/>
    <mergeCell ref="B68:G68"/>
    <mergeCell ref="H68:L68"/>
    <mergeCell ref="B12:F12"/>
    <mergeCell ref="H12:L12"/>
    <mergeCell ref="B19:G19"/>
    <mergeCell ref="H19:L19"/>
    <mergeCell ref="B20:G20"/>
    <mergeCell ref="H20:L20"/>
    <mergeCell ref="B1:L1"/>
    <mergeCell ref="B2:L2"/>
    <mergeCell ref="B3:L3"/>
    <mergeCell ref="B4:F5"/>
    <mergeCell ref="H4:L5"/>
    <mergeCell ref="B26:G26"/>
    <mergeCell ref="H26:L26"/>
    <mergeCell ref="B27:G27"/>
    <mergeCell ref="H27:L27"/>
    <mergeCell ref="B28:G28"/>
    <mergeCell ref="H28:L28"/>
    <mergeCell ref="B21:G21"/>
    <mergeCell ref="H21:L21"/>
    <mergeCell ref="B22:G22"/>
    <mergeCell ref="H22:L22"/>
    <mergeCell ref="B23:G23"/>
    <mergeCell ref="H23:L23"/>
    <mergeCell ref="B197:L197"/>
    <mergeCell ref="B198:L198"/>
    <mergeCell ref="B199:L199"/>
    <mergeCell ref="B200:F201"/>
    <mergeCell ref="H200:L201"/>
    <mergeCell ref="B208:F208"/>
    <mergeCell ref="H208:L208"/>
    <mergeCell ref="B215:G215"/>
    <mergeCell ref="H215:L215"/>
    <mergeCell ref="B244:L244"/>
    <mergeCell ref="B223:G223"/>
    <mergeCell ref="H223:L223"/>
    <mergeCell ref="B224:G224"/>
    <mergeCell ref="H224:L224"/>
    <mergeCell ref="B216:G216"/>
    <mergeCell ref="H216:L216"/>
    <mergeCell ref="B217:G217"/>
    <mergeCell ref="H217:L217"/>
    <mergeCell ref="B218:G218"/>
    <mergeCell ref="H218:L218"/>
    <mergeCell ref="B219:G219"/>
    <mergeCell ref="H219:L219"/>
    <mergeCell ref="B222:G222"/>
    <mergeCell ref="H222:L222"/>
    <mergeCell ref="B245:L245"/>
    <mergeCell ref="B246:L246"/>
    <mergeCell ref="B247:F248"/>
    <mergeCell ref="H247:L248"/>
    <mergeCell ref="B255:F255"/>
    <mergeCell ref="H255:L255"/>
    <mergeCell ref="B262:G262"/>
    <mergeCell ref="H262:L262"/>
    <mergeCell ref="B263:G263"/>
    <mergeCell ref="H263:L263"/>
    <mergeCell ref="B271:G271"/>
    <mergeCell ref="H271:L271"/>
    <mergeCell ref="B264:G264"/>
    <mergeCell ref="H264:L264"/>
    <mergeCell ref="B265:G265"/>
    <mergeCell ref="H265:L265"/>
    <mergeCell ref="B266:G266"/>
    <mergeCell ref="H266:L266"/>
    <mergeCell ref="B269:G269"/>
    <mergeCell ref="H269:L269"/>
    <mergeCell ref="B270:G270"/>
    <mergeCell ref="H270:L270"/>
    <mergeCell ref="B292:L292"/>
    <mergeCell ref="B293:L293"/>
    <mergeCell ref="B294:L294"/>
    <mergeCell ref="B295:F296"/>
    <mergeCell ref="H295:L296"/>
    <mergeCell ref="B303:F303"/>
    <mergeCell ref="H303:L303"/>
    <mergeCell ref="B310:G310"/>
    <mergeCell ref="H310:L310"/>
    <mergeCell ref="B311:G311"/>
    <mergeCell ref="H311:L311"/>
    <mergeCell ref="B312:G312"/>
    <mergeCell ref="H312:L312"/>
    <mergeCell ref="B313:G313"/>
    <mergeCell ref="H313:L313"/>
    <mergeCell ref="B314:G314"/>
    <mergeCell ref="H314:L314"/>
    <mergeCell ref="B317:G317"/>
    <mergeCell ref="H317:L317"/>
    <mergeCell ref="B318:G318"/>
    <mergeCell ref="H318:L318"/>
    <mergeCell ref="B319:G319"/>
    <mergeCell ref="H319:L319"/>
    <mergeCell ref="B339:L339"/>
    <mergeCell ref="B340:L340"/>
    <mergeCell ref="B341:L341"/>
    <mergeCell ref="B342:F343"/>
    <mergeCell ref="H342:L343"/>
    <mergeCell ref="B350:F350"/>
    <mergeCell ref="H350:L350"/>
    <mergeCell ref="B357:G357"/>
    <mergeCell ref="H357:L357"/>
    <mergeCell ref="B358:G358"/>
    <mergeCell ref="H358:L358"/>
    <mergeCell ref="B359:G359"/>
    <mergeCell ref="H359:L359"/>
    <mergeCell ref="B360:G360"/>
    <mergeCell ref="H360:L360"/>
    <mergeCell ref="B361:G361"/>
    <mergeCell ref="H361:L361"/>
    <mergeCell ref="B364:G364"/>
    <mergeCell ref="H364:L364"/>
    <mergeCell ref="B365:G365"/>
    <mergeCell ref="H365:L365"/>
    <mergeCell ref="B366:G366"/>
    <mergeCell ref="H366:L366"/>
    <mergeCell ref="B382:L382"/>
    <mergeCell ref="B383:L383"/>
    <mergeCell ref="B384:L384"/>
    <mergeCell ref="B385:F386"/>
    <mergeCell ref="H385:L386"/>
    <mergeCell ref="B393:F393"/>
    <mergeCell ref="H393:L393"/>
    <mergeCell ref="B400:G400"/>
    <mergeCell ref="H400:L400"/>
    <mergeCell ref="B401:G401"/>
    <mergeCell ref="H401:L401"/>
    <mergeCell ref="B409:G409"/>
    <mergeCell ref="H409:L409"/>
    <mergeCell ref="B402:G402"/>
    <mergeCell ref="H402:L402"/>
    <mergeCell ref="B403:G403"/>
    <mergeCell ref="H403:L403"/>
    <mergeCell ref="B404:G404"/>
    <mergeCell ref="H404:L404"/>
    <mergeCell ref="B407:G407"/>
    <mergeCell ref="H407:L407"/>
    <mergeCell ref="B408:G408"/>
    <mergeCell ref="H408:L408"/>
  </mergeCells>
  <pageMargins left="0.86614173228346458" right="0.51181102362204722" top="0.74803149606299213" bottom="0.74803149606299213" header="0.31496062992125984" footer="0.31496062992125984"/>
  <pageSetup paperSize="9" scale="65" orientation="portrait" horizontalDpi="300" verticalDpi="300" r:id="rId1"/>
  <rowBreaks count="13" manualBreakCount="13">
    <brk id="45" max="16383" man="1"/>
    <brk id="98" max="16383" man="1"/>
    <brk id="150" max="16383" man="1"/>
    <brk id="196" max="16383" man="1"/>
    <brk id="243" max="16383" man="1"/>
    <brk id="291" max="16383" man="1"/>
    <brk id="338" max="16383" man="1"/>
    <brk id="381" max="16383" man="1"/>
    <brk id="429" max="16383" man="1"/>
    <brk id="474" max="16383" man="1"/>
    <brk id="524" max="11" man="1"/>
    <brk id="567" max="11" man="1"/>
    <brk id="612" max="11"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889"/>
  <sheetViews>
    <sheetView view="pageBreakPreview" topLeftCell="A793" zoomScale="90" zoomScaleNormal="100" zoomScaleSheetLayoutView="90" workbookViewId="0">
      <selection activeCell="H710" sqref="H710"/>
    </sheetView>
  </sheetViews>
  <sheetFormatPr defaultRowHeight="15"/>
  <cols>
    <col min="1" max="1" width="3.85546875" customWidth="1"/>
    <col min="2" max="2" width="21.7109375" customWidth="1"/>
    <col min="9" max="9" width="11.85546875" customWidth="1"/>
    <col min="10" max="10" width="8.140625" customWidth="1"/>
    <col min="19" max="19" width="12.5703125" customWidth="1"/>
    <col min="20" max="20" width="9.140625" customWidth="1"/>
    <col min="21" max="22" width="9.140625" hidden="1" customWidth="1"/>
  </cols>
  <sheetData>
    <row r="1" spans="1:19" ht="26.25">
      <c r="A1" s="1280" t="s">
        <v>53</v>
      </c>
      <c r="B1" s="1281"/>
      <c r="C1" s="1281"/>
      <c r="D1" s="1281"/>
      <c r="E1" s="1281"/>
      <c r="F1" s="1281"/>
      <c r="G1" s="1281"/>
      <c r="H1" s="1281"/>
      <c r="I1" s="1282"/>
      <c r="J1" s="339"/>
      <c r="K1" s="1280" t="s">
        <v>53</v>
      </c>
      <c r="L1" s="1281"/>
      <c r="M1" s="1281"/>
      <c r="N1" s="1281"/>
      <c r="O1" s="1281"/>
      <c r="P1" s="1281"/>
      <c r="Q1" s="1281"/>
      <c r="R1" s="1281"/>
      <c r="S1" s="1282"/>
    </row>
    <row r="2" spans="1:19">
      <c r="A2" s="1283" t="s">
        <v>54</v>
      </c>
      <c r="B2" s="1210"/>
      <c r="C2" s="1210"/>
      <c r="D2" s="1210"/>
      <c r="E2" s="1210"/>
      <c r="F2" s="1210"/>
      <c r="G2" s="1210"/>
      <c r="H2" s="1210"/>
      <c r="I2" s="1284"/>
      <c r="J2" s="339"/>
      <c r="K2" s="1283" t="s">
        <v>54</v>
      </c>
      <c r="L2" s="1210"/>
      <c r="M2" s="1210"/>
      <c r="N2" s="1210"/>
      <c r="O2" s="1210"/>
      <c r="P2" s="1210"/>
      <c r="Q2" s="1210"/>
      <c r="R2" s="1210"/>
      <c r="S2" s="1284"/>
    </row>
    <row r="3" spans="1:19">
      <c r="A3" s="72"/>
      <c r="B3" s="300"/>
      <c r="C3" s="300"/>
      <c r="D3" s="300"/>
      <c r="E3" s="300"/>
      <c r="F3" s="300"/>
      <c r="G3" s="300"/>
      <c r="H3" s="300"/>
      <c r="I3" s="63"/>
      <c r="J3" s="339"/>
      <c r="K3" s="72"/>
      <c r="L3" s="300"/>
      <c r="M3" s="300"/>
      <c r="N3" s="300"/>
      <c r="O3" s="300"/>
      <c r="P3" s="300"/>
      <c r="Q3" s="300"/>
      <c r="R3" s="300"/>
      <c r="S3" s="63"/>
    </row>
    <row r="4" spans="1:19">
      <c r="A4" s="505" t="s">
        <v>55</v>
      </c>
      <c r="B4" s="396"/>
      <c r="C4" s="396"/>
      <c r="D4" s="397" t="str">
        <f>'04-22-Master'!F5</f>
        <v>Burgeon IT Services Pvt.Ltd.</v>
      </c>
      <c r="E4" s="300"/>
      <c r="F4" s="300"/>
      <c r="G4" s="300"/>
      <c r="H4" s="300"/>
      <c r="I4" s="63"/>
      <c r="J4" s="339"/>
      <c r="K4" s="505" t="s">
        <v>55</v>
      </c>
      <c r="L4" s="396"/>
      <c r="M4" s="396"/>
      <c r="N4" s="397"/>
      <c r="O4" s="510" t="str">
        <f>D4</f>
        <v>Burgeon IT Services Pvt.Ltd.</v>
      </c>
      <c r="P4" s="300"/>
      <c r="Q4" s="300"/>
      <c r="R4" s="300"/>
      <c r="S4" s="63"/>
    </row>
    <row r="5" spans="1:19">
      <c r="A5" s="505"/>
      <c r="B5" s="396" t="str">
        <f>'04-22-Master'!F6</f>
        <v>Siri Mansion LIGB 436 Dr.A S Rao Nagar,Hyderabad</v>
      </c>
      <c r="C5" s="396"/>
      <c r="D5" s="396"/>
      <c r="E5" s="300"/>
      <c r="F5" s="300"/>
      <c r="G5" s="300"/>
      <c r="H5" s="300"/>
      <c r="I5" s="63"/>
      <c r="J5" s="339"/>
      <c r="K5" s="505"/>
      <c r="L5" s="396" t="str">
        <f>B5</f>
        <v>Siri Mansion LIGB 436 Dr.A S Rao Nagar,Hyderabad</v>
      </c>
      <c r="M5" s="396"/>
      <c r="N5" s="396"/>
      <c r="O5" s="300"/>
      <c r="P5" s="300"/>
      <c r="Q5" s="300"/>
      <c r="R5" s="300"/>
      <c r="S5" s="63"/>
    </row>
    <row r="6" spans="1:19">
      <c r="A6" s="505"/>
      <c r="B6" s="396">
        <f>'04-22-Master'!F1034</f>
        <v>0</v>
      </c>
      <c r="C6" s="396"/>
      <c r="D6" s="396"/>
      <c r="E6" s="396"/>
      <c r="F6" s="300"/>
      <c r="G6" s="300"/>
      <c r="H6" s="300"/>
      <c r="I6" s="63"/>
      <c r="J6" s="339"/>
      <c r="K6" s="505"/>
      <c r="L6" s="396">
        <f>B6</f>
        <v>0</v>
      </c>
      <c r="M6" s="396"/>
      <c r="N6" s="396"/>
      <c r="O6" s="396"/>
      <c r="P6" s="300"/>
      <c r="Q6" s="300"/>
      <c r="R6" s="300"/>
      <c r="S6" s="63"/>
    </row>
    <row r="7" spans="1:19" ht="14.45" customHeight="1">
      <c r="A7" s="1287" t="s">
        <v>56</v>
      </c>
      <c r="B7" s="1279"/>
      <c r="C7" s="1279"/>
      <c r="D7" s="1279"/>
      <c r="E7" s="396"/>
      <c r="F7" s="300"/>
      <c r="G7" s="300"/>
      <c r="H7" s="300"/>
      <c r="I7" s="63"/>
      <c r="J7" s="339"/>
      <c r="K7" s="1287" t="s">
        <v>56</v>
      </c>
      <c r="L7" s="1279"/>
      <c r="M7" s="1279"/>
      <c r="N7" s="1279"/>
      <c r="O7" s="396"/>
      <c r="P7" s="300"/>
      <c r="Q7" s="300"/>
      <c r="R7" s="300"/>
      <c r="S7" s="63"/>
    </row>
    <row r="8" spans="1:19">
      <c r="A8" s="1287"/>
      <c r="B8" s="1279"/>
      <c r="C8" s="1279"/>
      <c r="D8" s="1279"/>
      <c r="E8" s="18" t="str">
        <f>'04-22-Master'!B16</f>
        <v>kaja Venkat Ragavendra</v>
      </c>
      <c r="F8" s="19"/>
      <c r="G8" s="19"/>
      <c r="H8" s="19" t="str">
        <f>'04-22-Master'!E16</f>
        <v>Kaja Suresh Babu</v>
      </c>
      <c r="I8" s="63"/>
      <c r="J8" s="339"/>
      <c r="K8" s="1287"/>
      <c r="L8" s="1279"/>
      <c r="M8" s="1279"/>
      <c r="N8" s="1279"/>
      <c r="O8" s="18" t="str">
        <f>E8</f>
        <v>kaja Venkat Ragavendra</v>
      </c>
      <c r="P8" s="19"/>
      <c r="Q8" s="19"/>
      <c r="R8" s="19" t="str">
        <f>H8</f>
        <v>Kaja Suresh Babu</v>
      </c>
      <c r="S8" s="63"/>
    </row>
    <row r="9" spans="1:19">
      <c r="A9" s="505"/>
      <c r="B9" s="396"/>
      <c r="C9" s="396"/>
      <c r="D9" s="396"/>
      <c r="E9" s="396"/>
      <c r="F9" s="300"/>
      <c r="G9" s="300"/>
      <c r="H9" s="300"/>
      <c r="I9" s="63"/>
      <c r="J9" s="339"/>
      <c r="K9" s="505"/>
      <c r="L9" s="396"/>
      <c r="M9" s="396"/>
      <c r="N9" s="396"/>
      <c r="O9" s="396"/>
      <c r="P9" s="300"/>
      <c r="Q9" s="300"/>
      <c r="R9" s="300"/>
      <c r="S9" s="63"/>
    </row>
    <row r="10" spans="1:19">
      <c r="A10" s="1288" t="s">
        <v>57</v>
      </c>
      <c r="B10" s="1278"/>
      <c r="C10" s="1278"/>
      <c r="D10" s="1278"/>
      <c r="E10" s="18" t="str">
        <f>'04-22-Master'!F8</f>
        <v>IT SUPPORTIVE SERVICES &amp; HYDERABAD SEZ</v>
      </c>
      <c r="F10" s="19"/>
      <c r="G10" s="19"/>
      <c r="H10" s="19"/>
      <c r="I10" s="63"/>
      <c r="J10" s="339"/>
      <c r="K10" s="1288" t="s">
        <v>57</v>
      </c>
      <c r="L10" s="1278"/>
      <c r="M10" s="1278"/>
      <c r="N10" s="1278"/>
      <c r="O10" s="18" t="str">
        <f>E10</f>
        <v>IT SUPPORTIVE SERVICES &amp; HYDERABAD SEZ</v>
      </c>
      <c r="P10" s="19"/>
      <c r="Q10" s="19"/>
      <c r="R10" s="19"/>
      <c r="S10" s="63"/>
    </row>
    <row r="11" spans="1:19">
      <c r="A11" s="505"/>
      <c r="B11" s="396"/>
      <c r="C11" s="396"/>
      <c r="D11" s="396"/>
      <c r="E11" s="396"/>
      <c r="F11" s="300"/>
      <c r="G11" s="300"/>
      <c r="H11" s="300"/>
      <c r="I11" s="63"/>
      <c r="J11" s="339"/>
      <c r="K11" s="505"/>
      <c r="L11" s="396"/>
      <c r="M11" s="396"/>
      <c r="N11" s="396"/>
      <c r="O11" s="396"/>
      <c r="P11" s="300"/>
      <c r="Q11" s="300"/>
      <c r="R11" s="300"/>
      <c r="S11" s="63"/>
    </row>
    <row r="12" spans="1:19">
      <c r="A12" s="1288" t="s">
        <v>58</v>
      </c>
      <c r="B12" s="1278"/>
      <c r="C12" s="1278"/>
      <c r="D12" s="1278"/>
      <c r="E12" s="20">
        <f>'04-22-Master'!D10</f>
        <v>44652</v>
      </c>
      <c r="F12" s="19"/>
      <c r="G12" s="19"/>
      <c r="H12" s="19"/>
      <c r="I12" s="63"/>
      <c r="J12" s="339"/>
      <c r="K12" s="1288" t="s">
        <v>58</v>
      </c>
      <c r="L12" s="1278"/>
      <c r="M12" s="1278"/>
      <c r="N12" s="1278"/>
      <c r="O12" s="20">
        <f>E12</f>
        <v>44652</v>
      </c>
      <c r="P12" s="19"/>
      <c r="Q12" s="19"/>
      <c r="R12" s="19"/>
      <c r="S12" s="63"/>
    </row>
    <row r="13" spans="1:19">
      <c r="A13" s="505"/>
      <c r="B13" s="396"/>
      <c r="C13" s="396"/>
      <c r="D13" s="396"/>
      <c r="E13" s="396"/>
      <c r="F13" s="300"/>
      <c r="G13" s="300"/>
      <c r="H13" s="300"/>
      <c r="I13" s="63"/>
      <c r="J13" s="339"/>
      <c r="K13" s="505"/>
      <c r="L13" s="396"/>
      <c r="M13" s="396"/>
      <c r="N13" s="396"/>
      <c r="O13" s="396"/>
      <c r="P13" s="300"/>
      <c r="Q13" s="300"/>
      <c r="R13" s="300"/>
      <c r="S13" s="63"/>
    </row>
    <row r="14" spans="1:19">
      <c r="A14" s="506">
        <v>1</v>
      </c>
      <c r="B14" s="1278" t="s">
        <v>59</v>
      </c>
      <c r="C14" s="1278"/>
      <c r="D14" s="1278"/>
      <c r="E14" s="22">
        <f>'04-22-Master'!Q16</f>
        <v>30</v>
      </c>
      <c r="F14" s="19"/>
      <c r="G14" s="19"/>
      <c r="H14" s="19"/>
      <c r="I14" s="63"/>
      <c r="J14" s="339"/>
      <c r="K14" s="506">
        <v>1</v>
      </c>
      <c r="L14" s="1278" t="s">
        <v>59</v>
      </c>
      <c r="M14" s="1278"/>
      <c r="N14" s="1278"/>
      <c r="O14" s="22">
        <f>E14</f>
        <v>30</v>
      </c>
      <c r="P14" s="19"/>
      <c r="Q14" s="19"/>
      <c r="R14" s="19"/>
      <c r="S14" s="63"/>
    </row>
    <row r="15" spans="1:19">
      <c r="A15" s="506"/>
      <c r="B15" s="396"/>
      <c r="C15" s="396"/>
      <c r="D15" s="396"/>
      <c r="E15" s="396"/>
      <c r="F15" s="300"/>
      <c r="G15" s="300"/>
      <c r="H15" s="300"/>
      <c r="I15" s="63"/>
      <c r="J15" s="339"/>
      <c r="K15" s="506"/>
      <c r="L15" s="396"/>
      <c r="M15" s="396"/>
      <c r="N15" s="396"/>
      <c r="O15" s="396"/>
      <c r="P15" s="300"/>
      <c r="Q15" s="300"/>
      <c r="R15" s="300"/>
      <c r="S15" s="63"/>
    </row>
    <row r="16" spans="1:19" ht="14.45" customHeight="1">
      <c r="A16" s="506">
        <v>2</v>
      </c>
      <c r="B16" s="1279" t="s">
        <v>60</v>
      </c>
      <c r="C16" s="1279"/>
      <c r="D16" s="1279"/>
      <c r="E16" s="396"/>
      <c r="F16" s="300"/>
      <c r="G16" s="300"/>
      <c r="H16" s="300"/>
      <c r="I16" s="63"/>
      <c r="J16" s="339"/>
      <c r="K16" s="506">
        <v>2</v>
      </c>
      <c r="L16" s="1279" t="s">
        <v>60</v>
      </c>
      <c r="M16" s="1279"/>
      <c r="N16" s="1279"/>
      <c r="O16" s="396"/>
      <c r="P16" s="300"/>
      <c r="Q16" s="300"/>
      <c r="R16" s="300"/>
      <c r="S16" s="63"/>
    </row>
    <row r="17" spans="1:19">
      <c r="A17" s="506"/>
      <c r="B17" s="1279"/>
      <c r="C17" s="1279"/>
      <c r="D17" s="1279"/>
      <c r="E17" s="23" t="s">
        <v>37</v>
      </c>
      <c r="F17" s="19"/>
      <c r="G17" s="19"/>
      <c r="H17" s="19"/>
      <c r="I17" s="63"/>
      <c r="J17" s="339"/>
      <c r="K17" s="506"/>
      <c r="L17" s="1279"/>
      <c r="M17" s="1279"/>
      <c r="N17" s="1279"/>
      <c r="O17" s="23" t="s">
        <v>37</v>
      </c>
      <c r="P17" s="19"/>
      <c r="Q17" s="19"/>
      <c r="R17" s="19"/>
      <c r="S17" s="63"/>
    </row>
    <row r="18" spans="1:19">
      <c r="A18" s="506"/>
      <c r="B18" s="396"/>
      <c r="C18" s="396"/>
      <c r="D18" s="396"/>
      <c r="E18" s="396"/>
      <c r="F18" s="300"/>
      <c r="G18" s="300"/>
      <c r="H18" s="300"/>
      <c r="I18" s="63"/>
      <c r="J18" s="339"/>
      <c r="K18" s="506"/>
      <c r="L18" s="396"/>
      <c r="M18" s="396"/>
      <c r="N18" s="396"/>
      <c r="O18" s="396"/>
      <c r="P18" s="300"/>
      <c r="Q18" s="300"/>
      <c r="R18" s="300"/>
      <c r="S18" s="63"/>
    </row>
    <row r="19" spans="1:19">
      <c r="A19" s="506">
        <v>3</v>
      </c>
      <c r="B19" s="1278" t="s">
        <v>61</v>
      </c>
      <c r="C19" s="1278"/>
      <c r="D19" s="1278"/>
      <c r="E19" s="23" t="s">
        <v>37</v>
      </c>
      <c r="F19" s="19"/>
      <c r="G19" s="19"/>
      <c r="H19" s="19"/>
      <c r="I19" s="63"/>
      <c r="J19" s="339"/>
      <c r="K19" s="506">
        <v>3</v>
      </c>
      <c r="L19" s="1278" t="s">
        <v>61</v>
      </c>
      <c r="M19" s="1278"/>
      <c r="N19" s="1278"/>
      <c r="O19" s="18" t="str">
        <f>E19</f>
        <v>N/A</v>
      </c>
      <c r="P19" s="19"/>
      <c r="Q19" s="19"/>
      <c r="R19" s="19"/>
      <c r="S19" s="63"/>
    </row>
    <row r="20" spans="1:19">
      <c r="A20" s="506"/>
      <c r="B20" s="396"/>
      <c r="C20" s="396"/>
      <c r="D20" s="396"/>
      <c r="E20" s="396"/>
      <c r="F20" s="300"/>
      <c r="G20" s="300"/>
      <c r="H20" s="300"/>
      <c r="I20" s="63"/>
      <c r="J20" s="339"/>
      <c r="K20" s="506"/>
      <c r="L20" s="396"/>
      <c r="M20" s="396"/>
      <c r="N20" s="396"/>
      <c r="O20" s="396"/>
      <c r="P20" s="300"/>
      <c r="Q20" s="300"/>
      <c r="R20" s="300"/>
      <c r="S20" s="63"/>
    </row>
    <row r="21" spans="1:19">
      <c r="A21" s="506">
        <v>4</v>
      </c>
      <c r="B21" s="1278" t="s">
        <v>62</v>
      </c>
      <c r="C21" s="1278"/>
      <c r="D21" s="1278"/>
      <c r="E21" s="23" t="s">
        <v>63</v>
      </c>
      <c r="F21" s="19"/>
      <c r="G21" s="19"/>
      <c r="H21" s="19"/>
      <c r="I21" s="63"/>
      <c r="J21" s="339"/>
      <c r="K21" s="506">
        <v>4</v>
      </c>
      <c r="L21" s="1278" t="s">
        <v>62</v>
      </c>
      <c r="M21" s="1278"/>
      <c r="N21" s="1278"/>
      <c r="O21" s="23" t="s">
        <v>63</v>
      </c>
      <c r="P21" s="19"/>
      <c r="Q21" s="19"/>
      <c r="R21" s="19"/>
      <c r="S21" s="63"/>
    </row>
    <row r="22" spans="1:19">
      <c r="A22" s="506"/>
      <c r="B22" s="396"/>
      <c r="C22" s="396"/>
      <c r="D22" s="396"/>
      <c r="E22" s="396"/>
      <c r="F22" s="300"/>
      <c r="G22" s="300"/>
      <c r="H22" s="300"/>
      <c r="I22" s="63"/>
      <c r="J22" s="339"/>
      <c r="K22" s="506"/>
      <c r="L22" s="396"/>
      <c r="M22" s="396"/>
      <c r="N22" s="396"/>
      <c r="O22" s="396"/>
      <c r="P22" s="300"/>
      <c r="Q22" s="300"/>
      <c r="R22" s="300"/>
      <c r="S22" s="63"/>
    </row>
    <row r="23" spans="1:19">
      <c r="A23" s="506">
        <v>5</v>
      </c>
      <c r="B23" s="1278" t="s">
        <v>64</v>
      </c>
      <c r="C23" s="1278"/>
      <c r="D23" s="1278"/>
      <c r="E23" s="507">
        <f>'04-22-Master'!AG16</f>
        <v>93276.848179999986</v>
      </c>
      <c r="F23" s="300"/>
      <c r="G23" s="300"/>
      <c r="H23" s="300"/>
      <c r="I23" s="63"/>
      <c r="J23" s="339"/>
      <c r="K23" s="506">
        <v>5</v>
      </c>
      <c r="L23" s="1278" t="s">
        <v>64</v>
      </c>
      <c r="M23" s="1278"/>
      <c r="N23" s="1278"/>
      <c r="O23" s="507">
        <f>E23</f>
        <v>93276.848179999986</v>
      </c>
      <c r="P23" s="300"/>
      <c r="Q23" s="300"/>
      <c r="R23" s="300"/>
      <c r="S23" s="63"/>
    </row>
    <row r="24" spans="1:19">
      <c r="A24" s="506"/>
      <c r="B24" s="396"/>
      <c r="C24" s="396"/>
      <c r="D24" s="296" t="s">
        <v>65</v>
      </c>
      <c r="E24" s="296" t="s">
        <v>31</v>
      </c>
      <c r="F24" s="296" t="s">
        <v>33</v>
      </c>
      <c r="G24" s="296" t="s">
        <v>34</v>
      </c>
      <c r="H24" s="296" t="s">
        <v>399</v>
      </c>
      <c r="I24" s="294" t="s">
        <v>400</v>
      </c>
      <c r="J24" s="339"/>
      <c r="K24" s="506"/>
      <c r="L24" s="396"/>
      <c r="M24" s="396"/>
      <c r="N24" s="296" t="s">
        <v>65</v>
      </c>
      <c r="O24" s="296" t="s">
        <v>31</v>
      </c>
      <c r="P24" s="296" t="s">
        <v>33</v>
      </c>
      <c r="Q24" s="296" t="s">
        <v>34</v>
      </c>
      <c r="R24" s="296" t="s">
        <v>399</v>
      </c>
      <c r="S24" s="294" t="s">
        <v>400</v>
      </c>
    </row>
    <row r="25" spans="1:19">
      <c r="A25" s="506">
        <v>6</v>
      </c>
      <c r="B25" s="508" t="s">
        <v>66</v>
      </c>
      <c r="C25" s="508"/>
      <c r="D25" s="297">
        <f>'04-22-Master'!AI16</f>
        <v>1800</v>
      </c>
      <c r="E25" s="297">
        <f>'04-22-Master'!AH16</f>
        <v>0</v>
      </c>
      <c r="F25" s="298">
        <f>'04-22-Master'!AJ16</f>
        <v>200</v>
      </c>
      <c r="G25" s="297">
        <f>'04-22-Master'!AK16</f>
        <v>0</v>
      </c>
      <c r="H25" s="298">
        <f>'04-22-Master'!AL16</f>
        <v>391.787848</v>
      </c>
      <c r="I25" s="298">
        <f>D25+E25+F25+G25+H25</f>
        <v>2391.7878479999999</v>
      </c>
      <c r="J25" s="339"/>
      <c r="K25" s="506">
        <v>6</v>
      </c>
      <c r="L25" s="508" t="s">
        <v>66</v>
      </c>
      <c r="M25" s="508"/>
      <c r="N25" s="297">
        <f t="shared" ref="N25:S25" si="0">D25</f>
        <v>1800</v>
      </c>
      <c r="O25" s="297">
        <f t="shared" si="0"/>
        <v>0</v>
      </c>
      <c r="P25" s="298">
        <f t="shared" si="0"/>
        <v>200</v>
      </c>
      <c r="Q25" s="297">
        <f t="shared" si="0"/>
        <v>0</v>
      </c>
      <c r="R25" s="298">
        <f t="shared" si="0"/>
        <v>391.787848</v>
      </c>
      <c r="S25" s="298">
        <f t="shared" si="0"/>
        <v>2391.7878479999999</v>
      </c>
    </row>
    <row r="26" spans="1:19">
      <c r="A26" s="506"/>
      <c r="B26" s="396"/>
      <c r="C26" s="396"/>
      <c r="D26" s="396"/>
      <c r="E26" s="396"/>
      <c r="F26" s="300"/>
      <c r="G26" s="300"/>
      <c r="H26" s="300"/>
      <c r="I26" s="63"/>
      <c r="J26" s="339"/>
      <c r="K26" s="506"/>
      <c r="L26" s="396"/>
      <c r="M26" s="396"/>
      <c r="N26" s="396"/>
      <c r="O26" s="396"/>
      <c r="P26" s="300"/>
      <c r="Q26" s="300"/>
      <c r="R26" s="300"/>
      <c r="S26" s="63"/>
    </row>
    <row r="27" spans="1:19">
      <c r="A27" s="506">
        <v>7</v>
      </c>
      <c r="B27" s="1278" t="s">
        <v>67</v>
      </c>
      <c r="C27" s="1278"/>
      <c r="D27" s="1278"/>
      <c r="E27" s="24">
        <f>E23-I25</f>
        <v>90885.060331999994</v>
      </c>
      <c r="F27" s="19"/>
      <c r="G27" s="19"/>
      <c r="H27" s="19"/>
      <c r="I27" s="63"/>
      <c r="J27" s="339"/>
      <c r="K27" s="506">
        <v>7</v>
      </c>
      <c r="L27" s="1278" t="s">
        <v>67</v>
      </c>
      <c r="M27" s="1278"/>
      <c r="N27" s="1278"/>
      <c r="O27" s="24">
        <f>E27</f>
        <v>90885.060331999994</v>
      </c>
      <c r="P27" s="19"/>
      <c r="Q27" s="19"/>
      <c r="R27" s="19"/>
      <c r="S27" s="63"/>
    </row>
    <row r="28" spans="1:19">
      <c r="A28" s="72"/>
      <c r="B28" s="300"/>
      <c r="C28" s="300"/>
      <c r="D28" s="300"/>
      <c r="E28" s="300"/>
      <c r="F28" s="300"/>
      <c r="G28" s="300"/>
      <c r="H28" s="300"/>
      <c r="I28" s="63"/>
      <c r="J28" s="339"/>
      <c r="K28" s="72"/>
      <c r="L28" s="300"/>
      <c r="M28" s="300"/>
      <c r="N28" s="300"/>
      <c r="O28" s="300"/>
      <c r="P28" s="300"/>
      <c r="Q28" s="300"/>
      <c r="R28" s="300"/>
      <c r="S28" s="63"/>
    </row>
    <row r="29" spans="1:19">
      <c r="A29" s="72"/>
      <c r="B29" s="300"/>
      <c r="C29" s="300"/>
      <c r="D29" s="300"/>
      <c r="E29" s="300"/>
      <c r="F29" s="300"/>
      <c r="G29" s="300"/>
      <c r="H29" s="300"/>
      <c r="I29" s="63"/>
      <c r="J29" s="339"/>
      <c r="K29" s="72"/>
      <c r="L29" s="300"/>
      <c r="M29" s="300"/>
      <c r="N29" s="300"/>
      <c r="O29" s="300"/>
      <c r="P29" s="300"/>
      <c r="Q29" s="300"/>
      <c r="R29" s="300"/>
      <c r="S29" s="63"/>
    </row>
    <row r="30" spans="1:19" ht="15.75" thickBot="1">
      <c r="A30" s="72"/>
      <c r="B30" s="300"/>
      <c r="C30" s="300"/>
      <c r="D30" s="300"/>
      <c r="E30" s="300"/>
      <c r="F30" s="25"/>
      <c r="G30" s="25"/>
      <c r="H30" s="25"/>
      <c r="I30" s="509"/>
      <c r="J30" s="339"/>
      <c r="K30" s="72"/>
      <c r="L30" s="300"/>
      <c r="M30" s="300"/>
      <c r="N30" s="300"/>
      <c r="O30" s="300"/>
      <c r="P30" s="25"/>
      <c r="Q30" s="25"/>
      <c r="R30" s="25"/>
      <c r="S30" s="509"/>
    </row>
    <row r="31" spans="1:19">
      <c r="A31" s="73"/>
      <c r="B31" s="19"/>
      <c r="C31" s="19"/>
      <c r="D31" s="19"/>
      <c r="E31" s="19"/>
      <c r="F31" s="1285" t="s">
        <v>68</v>
      </c>
      <c r="G31" s="1285"/>
      <c r="H31" s="1285"/>
      <c r="I31" s="1286"/>
      <c r="J31" s="339"/>
      <c r="K31" s="73"/>
      <c r="L31" s="19"/>
      <c r="M31" s="19"/>
      <c r="N31" s="19"/>
      <c r="O31" s="19"/>
      <c r="P31" s="1285" t="s">
        <v>68</v>
      </c>
      <c r="Q31" s="1285"/>
      <c r="R31" s="1285"/>
      <c r="S31" s="1286"/>
    </row>
    <row r="48" ht="15.75" thickBot="1"/>
    <row r="49" spans="1:19" ht="26.25">
      <c r="A49" s="1270" t="s">
        <v>53</v>
      </c>
      <c r="B49" s="1271"/>
      <c r="C49" s="1271"/>
      <c r="D49" s="1271"/>
      <c r="E49" s="1271"/>
      <c r="F49" s="1271"/>
      <c r="G49" s="1271"/>
      <c r="H49" s="1271"/>
      <c r="I49" s="1272"/>
      <c r="J49" s="390"/>
      <c r="K49" s="1270" t="s">
        <v>53</v>
      </c>
      <c r="L49" s="1271"/>
      <c r="M49" s="1271"/>
      <c r="N49" s="1271"/>
      <c r="O49" s="1271"/>
      <c r="P49" s="1271"/>
      <c r="Q49" s="1271"/>
      <c r="R49" s="1271"/>
      <c r="S49" s="1272"/>
    </row>
    <row r="50" spans="1:19">
      <c r="A50" s="1273" t="s">
        <v>54</v>
      </c>
      <c r="B50" s="1274"/>
      <c r="C50" s="1274"/>
      <c r="D50" s="1274"/>
      <c r="E50" s="1274"/>
      <c r="F50" s="1274"/>
      <c r="G50" s="1274"/>
      <c r="H50" s="1274"/>
      <c r="I50" s="1211"/>
      <c r="J50" s="390"/>
      <c r="K50" s="1273" t="s">
        <v>54</v>
      </c>
      <c r="L50" s="1274"/>
      <c r="M50" s="1274"/>
      <c r="N50" s="1274"/>
      <c r="O50" s="1274"/>
      <c r="P50" s="1274"/>
      <c r="Q50" s="1274"/>
      <c r="R50" s="1274"/>
      <c r="S50" s="1211"/>
    </row>
    <row r="51" spans="1:19">
      <c r="A51" s="15"/>
      <c r="B51" s="390"/>
      <c r="C51" s="390"/>
      <c r="D51" s="390"/>
      <c r="E51" s="390"/>
      <c r="F51" s="390"/>
      <c r="G51" s="390"/>
      <c r="H51" s="390"/>
      <c r="I51" s="16"/>
      <c r="J51" s="390"/>
      <c r="K51" s="15"/>
      <c r="L51" s="390"/>
      <c r="M51" s="390"/>
      <c r="N51" s="390"/>
      <c r="O51" s="390"/>
      <c r="P51" s="390"/>
      <c r="Q51" s="390"/>
      <c r="R51" s="390"/>
      <c r="S51" s="16"/>
    </row>
    <row r="52" spans="1:19">
      <c r="A52" s="17" t="s">
        <v>55</v>
      </c>
      <c r="B52" s="4"/>
      <c r="C52" s="4"/>
      <c r="D52" s="8" t="str">
        <f>'04-22-Master'!F5</f>
        <v>Burgeon IT Services Pvt.Ltd.</v>
      </c>
      <c r="E52" s="390"/>
      <c r="F52" s="390"/>
      <c r="G52" s="390"/>
      <c r="H52" s="390"/>
      <c r="I52" s="16"/>
      <c r="J52" s="390"/>
      <c r="K52" s="17" t="s">
        <v>55</v>
      </c>
      <c r="L52" s="4"/>
      <c r="M52" s="4"/>
      <c r="N52" s="8"/>
      <c r="O52" s="381" t="str">
        <f>D52</f>
        <v>Burgeon IT Services Pvt.Ltd.</v>
      </c>
      <c r="P52" s="390"/>
      <c r="Q52" s="390"/>
      <c r="R52" s="390"/>
      <c r="S52" s="16"/>
    </row>
    <row r="53" spans="1:19">
      <c r="A53" s="17"/>
      <c r="B53" s="4" t="str">
        <f>'04-22-Master'!F6</f>
        <v>Siri Mansion LIGB 436 Dr.A S Rao Nagar,Hyderabad</v>
      </c>
      <c r="C53" s="4"/>
      <c r="D53" s="4"/>
      <c r="E53" s="390"/>
      <c r="F53" s="390"/>
      <c r="G53" s="390"/>
      <c r="H53" s="390"/>
      <c r="I53" s="16"/>
      <c r="J53" s="390"/>
      <c r="K53" s="17"/>
      <c r="L53" s="4" t="str">
        <f>B53</f>
        <v>Siri Mansion LIGB 436 Dr.A S Rao Nagar,Hyderabad</v>
      </c>
      <c r="M53" s="4"/>
      <c r="N53" s="4"/>
      <c r="O53" s="390"/>
      <c r="P53" s="390"/>
      <c r="Q53" s="390"/>
      <c r="R53" s="390"/>
      <c r="S53" s="16"/>
    </row>
    <row r="54" spans="1:19">
      <c r="A54" s="17"/>
      <c r="B54" s="4"/>
      <c r="C54" s="4"/>
      <c r="D54" s="4"/>
      <c r="E54" s="4"/>
      <c r="F54" s="390"/>
      <c r="G54" s="390"/>
      <c r="H54" s="390"/>
      <c r="I54" s="16"/>
      <c r="J54" s="390"/>
      <c r="K54" s="17"/>
      <c r="L54" s="4">
        <f>B54</f>
        <v>0</v>
      </c>
      <c r="M54" s="4"/>
      <c r="N54" s="4"/>
      <c r="O54" s="4"/>
      <c r="P54" s="390"/>
      <c r="Q54" s="390"/>
      <c r="R54" s="390"/>
      <c r="S54" s="16"/>
    </row>
    <row r="55" spans="1:19">
      <c r="A55" s="1275" t="s">
        <v>56</v>
      </c>
      <c r="B55" s="1269"/>
      <c r="C55" s="1269"/>
      <c r="D55" s="1269"/>
      <c r="E55" s="4"/>
      <c r="F55" s="390"/>
      <c r="G55" s="390"/>
      <c r="H55" s="390"/>
      <c r="I55" s="16"/>
      <c r="J55" s="390"/>
      <c r="K55" s="1275" t="s">
        <v>56</v>
      </c>
      <c r="L55" s="1269"/>
      <c r="M55" s="1269"/>
      <c r="N55" s="1269"/>
      <c r="O55" s="4"/>
      <c r="P55" s="390"/>
      <c r="Q55" s="390"/>
      <c r="R55" s="390"/>
      <c r="S55" s="16"/>
    </row>
    <row r="56" spans="1:19">
      <c r="A56" s="1275"/>
      <c r="B56" s="1269"/>
      <c r="C56" s="1269"/>
      <c r="D56" s="1269"/>
      <c r="E56" s="18" t="str">
        <f>'04-22-Master'!B17</f>
        <v>VeerendraBabu Galam</v>
      </c>
      <c r="F56" s="19"/>
      <c r="G56" s="19"/>
      <c r="H56" s="19" t="str">
        <f>'04-22-Master'!E17</f>
        <v>Gopal Rao</v>
      </c>
      <c r="I56" s="16"/>
      <c r="J56" s="390"/>
      <c r="K56" s="1275"/>
      <c r="L56" s="1269"/>
      <c r="M56" s="1269"/>
      <c r="N56" s="1269"/>
      <c r="O56" s="18" t="str">
        <f>E56</f>
        <v>VeerendraBabu Galam</v>
      </c>
      <c r="P56" s="19"/>
      <c r="Q56" s="19"/>
      <c r="R56" s="19" t="str">
        <f>H56</f>
        <v>Gopal Rao</v>
      </c>
      <c r="S56" s="16"/>
    </row>
    <row r="57" spans="1:19">
      <c r="A57" s="17"/>
      <c r="B57" s="4"/>
      <c r="C57" s="4"/>
      <c r="D57" s="4"/>
      <c r="E57" s="4"/>
      <c r="F57" s="390"/>
      <c r="G57" s="390"/>
      <c r="H57" s="390"/>
      <c r="I57" s="16"/>
      <c r="J57" s="390"/>
      <c r="K57" s="17"/>
      <c r="L57" s="4"/>
      <c r="M57" s="4"/>
      <c r="N57" s="4"/>
      <c r="O57" s="4"/>
      <c r="P57" s="390"/>
      <c r="Q57" s="390"/>
      <c r="R57" s="390"/>
      <c r="S57" s="16"/>
    </row>
    <row r="58" spans="1:19">
      <c r="A58" s="1268" t="s">
        <v>57</v>
      </c>
      <c r="B58" s="1265"/>
      <c r="C58" s="1265"/>
      <c r="D58" s="1265"/>
      <c r="E58" s="18" t="str">
        <f>'04-22-Master'!F8</f>
        <v>IT SUPPORTIVE SERVICES &amp; HYDERABAD SEZ</v>
      </c>
      <c r="F58" s="19"/>
      <c r="G58" s="19"/>
      <c r="H58" s="19"/>
      <c r="I58" s="16"/>
      <c r="J58" s="390"/>
      <c r="K58" s="1268" t="s">
        <v>57</v>
      </c>
      <c r="L58" s="1265"/>
      <c r="M58" s="1265"/>
      <c r="N58" s="1265"/>
      <c r="O58" s="18" t="str">
        <f>E58</f>
        <v>IT SUPPORTIVE SERVICES &amp; HYDERABAD SEZ</v>
      </c>
      <c r="P58" s="19"/>
      <c r="Q58" s="19"/>
      <c r="R58" s="19"/>
      <c r="S58" s="16"/>
    </row>
    <row r="59" spans="1:19">
      <c r="A59" s="17"/>
      <c r="B59" s="4"/>
      <c r="C59" s="4"/>
      <c r="D59" s="4"/>
      <c r="E59" s="4"/>
      <c r="F59" s="390"/>
      <c r="G59" s="390"/>
      <c r="H59" s="390"/>
      <c r="I59" s="16"/>
      <c r="J59" s="390"/>
      <c r="K59" s="17"/>
      <c r="L59" s="4"/>
      <c r="M59" s="4"/>
      <c r="N59" s="4"/>
      <c r="O59" s="4"/>
      <c r="P59" s="390"/>
      <c r="Q59" s="390"/>
      <c r="R59" s="390"/>
      <c r="S59" s="16"/>
    </row>
    <row r="60" spans="1:19">
      <c r="A60" s="1268" t="s">
        <v>58</v>
      </c>
      <c r="B60" s="1265"/>
      <c r="C60" s="1265"/>
      <c r="D60" s="1265"/>
      <c r="E60" s="20">
        <f>'04-22-Master'!D10</f>
        <v>44652</v>
      </c>
      <c r="F60" s="19"/>
      <c r="G60" s="19"/>
      <c r="H60" s="19"/>
      <c r="I60" s="16"/>
      <c r="J60" s="390"/>
      <c r="K60" s="1268" t="s">
        <v>58</v>
      </c>
      <c r="L60" s="1265"/>
      <c r="M60" s="1265"/>
      <c r="N60" s="1265"/>
      <c r="O60" s="20">
        <f>E60</f>
        <v>44652</v>
      </c>
      <c r="P60" s="19"/>
      <c r="Q60" s="19"/>
      <c r="R60" s="19"/>
      <c r="S60" s="16"/>
    </row>
    <row r="61" spans="1:19">
      <c r="A61" s="17"/>
      <c r="B61" s="4"/>
      <c r="C61" s="4"/>
      <c r="D61" s="4"/>
      <c r="E61" s="4"/>
      <c r="F61" s="390"/>
      <c r="G61" s="390"/>
      <c r="H61" s="390"/>
      <c r="I61" s="16"/>
      <c r="J61" s="390"/>
      <c r="K61" s="17"/>
      <c r="L61" s="4"/>
      <c r="M61" s="4"/>
      <c r="N61" s="4"/>
      <c r="O61" s="4"/>
      <c r="P61" s="390"/>
      <c r="Q61" s="390"/>
      <c r="R61" s="390"/>
      <c r="S61" s="16"/>
    </row>
    <row r="62" spans="1:19">
      <c r="A62" s="21">
        <v>1</v>
      </c>
      <c r="B62" s="1265" t="s">
        <v>59</v>
      </c>
      <c r="C62" s="1265"/>
      <c r="D62" s="1265"/>
      <c r="E62" s="22">
        <f>'04-22-Master'!Q143</f>
        <v>0</v>
      </c>
      <c r="F62" s="19"/>
      <c r="G62" s="19"/>
      <c r="H62" s="19"/>
      <c r="I62" s="16"/>
      <c r="J62" s="390"/>
      <c r="K62" s="21">
        <v>1</v>
      </c>
      <c r="L62" s="1265" t="s">
        <v>59</v>
      </c>
      <c r="M62" s="1265"/>
      <c r="N62" s="1265"/>
      <c r="O62" s="22">
        <f>E62</f>
        <v>0</v>
      </c>
      <c r="P62" s="19"/>
      <c r="Q62" s="19"/>
      <c r="R62" s="19"/>
      <c r="S62" s="16"/>
    </row>
    <row r="63" spans="1:19">
      <c r="A63" s="21"/>
      <c r="B63" s="4"/>
      <c r="C63" s="4"/>
      <c r="D63" s="4"/>
      <c r="E63" s="4"/>
      <c r="F63" s="390"/>
      <c r="G63" s="390"/>
      <c r="H63" s="390"/>
      <c r="I63" s="16"/>
      <c r="J63" s="390"/>
      <c r="K63" s="21"/>
      <c r="L63" s="4"/>
      <c r="M63" s="4"/>
      <c r="N63" s="4"/>
      <c r="O63" s="4"/>
      <c r="P63" s="390"/>
      <c r="Q63" s="390"/>
      <c r="R63" s="390"/>
      <c r="S63" s="16"/>
    </row>
    <row r="64" spans="1:19">
      <c r="A64" s="21">
        <v>2</v>
      </c>
      <c r="B64" s="1269" t="s">
        <v>60</v>
      </c>
      <c r="C64" s="1269"/>
      <c r="D64" s="1269"/>
      <c r="E64" s="4"/>
      <c r="F64" s="390"/>
      <c r="G64" s="390"/>
      <c r="H64" s="390"/>
      <c r="I64" s="16"/>
      <c r="J64" s="390"/>
      <c r="K64" s="21">
        <v>2</v>
      </c>
      <c r="L64" s="1269" t="s">
        <v>60</v>
      </c>
      <c r="M64" s="1269"/>
      <c r="N64" s="1269"/>
      <c r="O64" s="4"/>
      <c r="P64" s="390"/>
      <c r="Q64" s="390"/>
      <c r="R64" s="390"/>
      <c r="S64" s="16"/>
    </row>
    <row r="65" spans="1:19">
      <c r="A65" s="21"/>
      <c r="B65" s="1269"/>
      <c r="C65" s="1269"/>
      <c r="D65" s="1269"/>
      <c r="E65" s="23" t="s">
        <v>37</v>
      </c>
      <c r="F65" s="19"/>
      <c r="G65" s="19"/>
      <c r="H65" s="19"/>
      <c r="I65" s="16"/>
      <c r="J65" s="390"/>
      <c r="K65" s="21"/>
      <c r="L65" s="1269"/>
      <c r="M65" s="1269"/>
      <c r="N65" s="1269"/>
      <c r="O65" s="23" t="s">
        <v>37</v>
      </c>
      <c r="P65" s="19"/>
      <c r="Q65" s="19"/>
      <c r="R65" s="19"/>
      <c r="S65" s="16"/>
    </row>
    <row r="66" spans="1:19">
      <c r="A66" s="21"/>
      <c r="B66" s="4"/>
      <c r="C66" s="4"/>
      <c r="D66" s="4"/>
      <c r="E66" s="4"/>
      <c r="F66" s="390"/>
      <c r="G66" s="390"/>
      <c r="H66" s="390"/>
      <c r="I66" s="16"/>
      <c r="J66" s="390"/>
      <c r="K66" s="21"/>
      <c r="L66" s="4"/>
      <c r="M66" s="4"/>
      <c r="N66" s="4"/>
      <c r="O66" s="4"/>
      <c r="P66" s="390"/>
      <c r="Q66" s="390"/>
      <c r="R66" s="390"/>
      <c r="S66" s="16"/>
    </row>
    <row r="67" spans="1:19">
      <c r="A67" s="21">
        <v>3</v>
      </c>
      <c r="B67" s="1265" t="s">
        <v>61</v>
      </c>
      <c r="C67" s="1265"/>
      <c r="D67" s="1265"/>
      <c r="E67" s="23" t="s">
        <v>37</v>
      </c>
      <c r="F67" s="19"/>
      <c r="G67" s="19"/>
      <c r="H67" s="19"/>
      <c r="I67" s="16"/>
      <c r="J67" s="390"/>
      <c r="K67" s="21">
        <v>3</v>
      </c>
      <c r="L67" s="1265" t="s">
        <v>61</v>
      </c>
      <c r="M67" s="1265"/>
      <c r="N67" s="1265"/>
      <c r="O67" s="18" t="str">
        <f>E67</f>
        <v>N/A</v>
      </c>
      <c r="P67" s="19"/>
      <c r="Q67" s="19"/>
      <c r="R67" s="19"/>
      <c r="S67" s="16"/>
    </row>
    <row r="68" spans="1:19">
      <c r="A68" s="21"/>
      <c r="B68" s="4"/>
      <c r="C68" s="4"/>
      <c r="D68" s="4"/>
      <c r="E68" s="4"/>
      <c r="F68" s="390"/>
      <c r="G68" s="390"/>
      <c r="H68" s="390"/>
      <c r="I68" s="16"/>
      <c r="J68" s="390"/>
      <c r="K68" s="21"/>
      <c r="L68" s="4"/>
      <c r="M68" s="4"/>
      <c r="N68" s="4"/>
      <c r="O68" s="4"/>
      <c r="P68" s="390"/>
      <c r="Q68" s="390"/>
      <c r="R68" s="390"/>
      <c r="S68" s="16"/>
    </row>
    <row r="69" spans="1:19">
      <c r="A69" s="21">
        <v>4</v>
      </c>
      <c r="B69" s="1265" t="s">
        <v>62</v>
      </c>
      <c r="C69" s="1265"/>
      <c r="D69" s="1265"/>
      <c r="E69" s="23" t="s">
        <v>63</v>
      </c>
      <c r="F69" s="19"/>
      <c r="G69" s="19"/>
      <c r="H69" s="19"/>
      <c r="I69" s="16"/>
      <c r="J69" s="390"/>
      <c r="K69" s="21">
        <v>4</v>
      </c>
      <c r="L69" s="1265" t="s">
        <v>62</v>
      </c>
      <c r="M69" s="1265"/>
      <c r="N69" s="1265"/>
      <c r="O69" s="23" t="s">
        <v>63</v>
      </c>
      <c r="P69" s="19"/>
      <c r="Q69" s="19"/>
      <c r="R69" s="19"/>
      <c r="S69" s="16"/>
    </row>
    <row r="70" spans="1:19">
      <c r="A70" s="21"/>
      <c r="B70" s="4"/>
      <c r="C70" s="4"/>
      <c r="D70" s="4"/>
      <c r="E70" s="4"/>
      <c r="F70" s="390"/>
      <c r="G70" s="390"/>
      <c r="H70" s="390"/>
      <c r="I70" s="16"/>
      <c r="J70" s="390"/>
      <c r="K70" s="21"/>
      <c r="L70" s="4"/>
      <c r="M70" s="4"/>
      <c r="N70" s="4"/>
      <c r="O70" s="4"/>
      <c r="P70" s="390"/>
      <c r="Q70" s="390"/>
      <c r="R70" s="390"/>
      <c r="S70" s="16"/>
    </row>
    <row r="71" spans="1:19">
      <c r="A71" s="21">
        <v>5</v>
      </c>
      <c r="B71" s="1265" t="s">
        <v>64</v>
      </c>
      <c r="C71" s="1265"/>
      <c r="D71" s="1265"/>
      <c r="E71" s="295">
        <f>'04-22-Master'!AG17</f>
        <v>73275.862639999992</v>
      </c>
      <c r="F71" s="390"/>
      <c r="G71" s="390"/>
      <c r="H71" s="390"/>
      <c r="I71" s="16"/>
      <c r="J71" s="390"/>
      <c r="K71" s="21">
        <v>5</v>
      </c>
      <c r="L71" s="1265" t="s">
        <v>64</v>
      </c>
      <c r="M71" s="1265"/>
      <c r="N71" s="1265"/>
      <c r="O71" s="295">
        <f>E71</f>
        <v>73275.862639999992</v>
      </c>
      <c r="P71" s="390"/>
      <c r="Q71" s="390"/>
      <c r="R71" s="390"/>
      <c r="S71" s="16"/>
    </row>
    <row r="72" spans="1:19">
      <c r="A72" s="21"/>
      <c r="B72" s="4"/>
      <c r="C72" s="4"/>
      <c r="D72" s="296" t="s">
        <v>65</v>
      </c>
      <c r="E72" s="296" t="s">
        <v>31</v>
      </c>
      <c r="F72" s="296" t="s">
        <v>33</v>
      </c>
      <c r="G72" s="296" t="s">
        <v>34</v>
      </c>
      <c r="H72" s="296" t="s">
        <v>399</v>
      </c>
      <c r="I72" s="294" t="s">
        <v>400</v>
      </c>
      <c r="J72" s="390"/>
      <c r="K72" s="21"/>
      <c r="L72" s="4"/>
      <c r="M72" s="4"/>
      <c r="N72" s="296" t="s">
        <v>65</v>
      </c>
      <c r="O72" s="296" t="s">
        <v>31</v>
      </c>
      <c r="P72" s="296" t="s">
        <v>33</v>
      </c>
      <c r="Q72" s="296" t="s">
        <v>34</v>
      </c>
      <c r="R72" s="296" t="s">
        <v>399</v>
      </c>
      <c r="S72" s="294" t="s">
        <v>400</v>
      </c>
    </row>
    <row r="73" spans="1:19">
      <c r="A73" s="21">
        <v>6</v>
      </c>
      <c r="B73" s="441" t="s">
        <v>66</v>
      </c>
      <c r="C73" s="441"/>
      <c r="D73" s="297">
        <f>'04-22-Master'!AI17</f>
        <v>1800</v>
      </c>
      <c r="E73" s="297">
        <f>'04-22-Master'!AH143</f>
        <v>0</v>
      </c>
      <c r="F73" s="298">
        <f>'04-22-Master'!AJ17</f>
        <v>200</v>
      </c>
      <c r="G73" s="297">
        <f>'04-22-Master'!AK17</f>
        <v>0</v>
      </c>
      <c r="H73" s="298">
        <f>'04-22-Master'!AL17</f>
        <v>391.787848</v>
      </c>
      <c r="I73" s="298">
        <f>D73+E73+F73+G73+H73</f>
        <v>2391.7878479999999</v>
      </c>
      <c r="J73" s="390"/>
      <c r="K73" s="21">
        <v>6</v>
      </c>
      <c r="L73" s="441" t="s">
        <v>66</v>
      </c>
      <c r="M73" s="441"/>
      <c r="N73" s="297">
        <f t="shared" ref="N73:S73" si="1">D73</f>
        <v>1800</v>
      </c>
      <c r="O73" s="297">
        <f t="shared" si="1"/>
        <v>0</v>
      </c>
      <c r="P73" s="298">
        <f t="shared" si="1"/>
        <v>200</v>
      </c>
      <c r="Q73" s="297">
        <f t="shared" si="1"/>
        <v>0</v>
      </c>
      <c r="R73" s="298">
        <f t="shared" si="1"/>
        <v>391.787848</v>
      </c>
      <c r="S73" s="298">
        <f t="shared" si="1"/>
        <v>2391.7878479999999</v>
      </c>
    </row>
    <row r="74" spans="1:19">
      <c r="A74" s="21"/>
      <c r="B74" s="4"/>
      <c r="C74" s="4"/>
      <c r="D74" s="4"/>
      <c r="E74" s="4"/>
      <c r="F74" s="390"/>
      <c r="G74" s="390"/>
      <c r="H74" s="390"/>
      <c r="I74" s="16"/>
      <c r="J74" s="390"/>
      <c r="K74" s="21"/>
      <c r="L74" s="4"/>
      <c r="M74" s="4"/>
      <c r="N74" s="4"/>
      <c r="O74" s="4"/>
      <c r="P74" s="390"/>
      <c r="Q74" s="390"/>
      <c r="R74" s="390"/>
      <c r="S74" s="16"/>
    </row>
    <row r="75" spans="1:19">
      <c r="A75" s="21">
        <v>7</v>
      </c>
      <c r="B75" s="1265" t="s">
        <v>67</v>
      </c>
      <c r="C75" s="1265"/>
      <c r="D75" s="1265"/>
      <c r="E75" s="24">
        <f>E71-I73</f>
        <v>70884.074791999999</v>
      </c>
      <c r="F75" s="19"/>
      <c r="G75" s="19"/>
      <c r="H75" s="19"/>
      <c r="I75" s="16"/>
      <c r="J75" s="390"/>
      <c r="K75" s="21">
        <v>7</v>
      </c>
      <c r="L75" s="1265" t="s">
        <v>67</v>
      </c>
      <c r="M75" s="1265"/>
      <c r="N75" s="1265"/>
      <c r="O75" s="24">
        <f>E75</f>
        <v>70884.074791999999</v>
      </c>
      <c r="P75" s="19"/>
      <c r="Q75" s="19"/>
      <c r="R75" s="19"/>
      <c r="S75" s="16"/>
    </row>
    <row r="76" spans="1:19">
      <c r="A76" s="15"/>
      <c r="B76" s="390"/>
      <c r="C76" s="390"/>
      <c r="D76" s="390"/>
      <c r="E76" s="390"/>
      <c r="F76" s="390"/>
      <c r="G76" s="390"/>
      <c r="H76" s="390"/>
      <c r="I76" s="16"/>
      <c r="J76" s="390"/>
      <c r="K76" s="15"/>
      <c r="L76" s="390"/>
      <c r="M76" s="390"/>
      <c r="N76" s="390"/>
      <c r="O76" s="390"/>
      <c r="P76" s="390"/>
      <c r="Q76" s="390"/>
      <c r="R76" s="390"/>
      <c r="S76" s="16"/>
    </row>
    <row r="77" spans="1:19">
      <c r="A77" s="15"/>
      <c r="B77" s="390"/>
      <c r="C77" s="390"/>
      <c r="D77" s="390"/>
      <c r="E77" s="390"/>
      <c r="F77" s="390"/>
      <c r="G77" s="390"/>
      <c r="H77" s="390"/>
      <c r="I77" s="16"/>
      <c r="J77" s="390"/>
      <c r="K77" s="15"/>
      <c r="L77" s="390"/>
      <c r="M77" s="390"/>
      <c r="N77" s="390"/>
      <c r="O77" s="390"/>
      <c r="P77" s="390"/>
      <c r="Q77" s="390"/>
      <c r="R77" s="390"/>
      <c r="S77" s="16"/>
    </row>
    <row r="78" spans="1:19" ht="15.75" thickBot="1">
      <c r="A78" s="15"/>
      <c r="B78" s="390"/>
      <c r="C78" s="390"/>
      <c r="D78" s="390"/>
      <c r="E78" s="390"/>
      <c r="F78" s="25"/>
      <c r="G78" s="25"/>
      <c r="H78" s="25"/>
      <c r="I78" s="26"/>
      <c r="J78" s="390"/>
      <c r="K78" s="15"/>
      <c r="L78" s="390"/>
      <c r="M78" s="390"/>
      <c r="N78" s="390"/>
      <c r="O78" s="390"/>
      <c r="P78" s="25"/>
      <c r="Q78" s="25"/>
      <c r="R78" s="25"/>
      <c r="S78" s="26"/>
    </row>
    <row r="79" spans="1:19" ht="15.75" thickBot="1">
      <c r="A79" s="27"/>
      <c r="B79" s="25"/>
      <c r="C79" s="25"/>
      <c r="D79" s="25"/>
      <c r="E79" s="25"/>
      <c r="F79" s="1266" t="s">
        <v>68</v>
      </c>
      <c r="G79" s="1266"/>
      <c r="H79" s="1266"/>
      <c r="I79" s="1267"/>
      <c r="J79" s="390"/>
      <c r="K79" s="27"/>
      <c r="L79" s="25"/>
      <c r="M79" s="25"/>
      <c r="N79" s="25"/>
      <c r="O79" s="25"/>
      <c r="P79" s="1266" t="s">
        <v>68</v>
      </c>
      <c r="Q79" s="1266"/>
      <c r="R79" s="1266"/>
      <c r="S79" s="1267"/>
    </row>
    <row r="80" spans="1:19">
      <c r="A80" s="390"/>
      <c r="B80" s="390"/>
      <c r="C80" s="390"/>
      <c r="D80" s="390"/>
      <c r="E80" s="390"/>
      <c r="F80" s="390"/>
      <c r="G80" s="390"/>
      <c r="H80" s="390"/>
      <c r="I80" s="390"/>
      <c r="J80" s="390"/>
      <c r="K80" s="390"/>
      <c r="L80" s="390"/>
      <c r="M80" s="390"/>
      <c r="N80" s="390"/>
      <c r="O80" s="390"/>
      <c r="P80" s="390"/>
      <c r="Q80" s="390"/>
      <c r="R80" s="390"/>
      <c r="S80" s="390"/>
    </row>
    <row r="81" spans="1:19">
      <c r="A81" s="390"/>
      <c r="B81" s="390"/>
      <c r="C81" s="390"/>
      <c r="D81" s="390"/>
      <c r="E81" s="390"/>
      <c r="F81" s="390"/>
      <c r="G81" s="390"/>
      <c r="H81" s="390"/>
      <c r="I81" s="390"/>
      <c r="J81" s="390"/>
      <c r="K81" s="390"/>
      <c r="L81" s="390"/>
      <c r="M81" s="390"/>
      <c r="N81" s="390"/>
      <c r="O81" s="390"/>
      <c r="P81" s="390"/>
      <c r="Q81" s="390"/>
      <c r="R81" s="390"/>
      <c r="S81" s="390"/>
    </row>
    <row r="82" spans="1:19">
      <c r="A82" s="390"/>
      <c r="B82" s="390"/>
      <c r="C82" s="390"/>
      <c r="D82" s="390"/>
      <c r="E82" s="390"/>
      <c r="F82" s="390"/>
      <c r="G82" s="390"/>
      <c r="H82" s="390"/>
      <c r="I82" s="390"/>
      <c r="J82" s="390"/>
      <c r="K82" s="390"/>
      <c r="L82" s="390"/>
      <c r="M82" s="390"/>
      <c r="N82" s="390"/>
      <c r="O82" s="390"/>
      <c r="P82" s="390"/>
      <c r="Q82" s="390"/>
      <c r="R82" s="390"/>
      <c r="S82" s="390"/>
    </row>
    <row r="83" spans="1:19">
      <c r="A83" s="390"/>
      <c r="B83" s="390"/>
      <c r="C83" s="390"/>
      <c r="D83" s="390"/>
      <c r="E83" s="390"/>
      <c r="F83" s="390"/>
      <c r="G83" s="390"/>
      <c r="H83" s="390"/>
      <c r="I83" s="390"/>
      <c r="J83" s="390"/>
      <c r="K83" s="390"/>
      <c r="L83" s="390"/>
      <c r="M83" s="390"/>
      <c r="N83" s="390"/>
      <c r="O83" s="390"/>
      <c r="P83" s="390"/>
      <c r="Q83" s="390"/>
      <c r="R83" s="390"/>
      <c r="S83" s="390"/>
    </row>
    <row r="84" spans="1:19">
      <c r="A84" s="390"/>
      <c r="B84" s="390"/>
      <c r="C84" s="390"/>
      <c r="D84" s="390"/>
      <c r="E84" s="390"/>
      <c r="F84" s="390"/>
      <c r="G84" s="390"/>
      <c r="H84" s="390"/>
      <c r="I84" s="390"/>
      <c r="J84" s="390"/>
      <c r="K84" s="390"/>
      <c r="L84" s="390"/>
      <c r="M84" s="390"/>
      <c r="N84" s="390"/>
      <c r="O84" s="390"/>
      <c r="P84" s="390"/>
      <c r="Q84" s="390"/>
      <c r="R84" s="390"/>
      <c r="S84" s="390"/>
    </row>
    <row r="85" spans="1:19">
      <c r="A85" s="390"/>
      <c r="B85" s="390"/>
      <c r="C85" s="390"/>
      <c r="D85" s="390"/>
      <c r="E85" s="390"/>
      <c r="F85" s="390"/>
      <c r="G85" s="390"/>
      <c r="H85" s="390"/>
      <c r="I85" s="390"/>
      <c r="J85" s="390"/>
      <c r="K85" s="390"/>
      <c r="L85" s="390"/>
      <c r="M85" s="390"/>
      <c r="N85" s="390"/>
      <c r="O85" s="390"/>
      <c r="P85" s="390"/>
      <c r="Q85" s="390"/>
      <c r="R85" s="390"/>
      <c r="S85" s="390"/>
    </row>
    <row r="86" spans="1:19">
      <c r="A86" s="390"/>
      <c r="B86" s="390"/>
      <c r="C86" s="390"/>
      <c r="D86" s="390"/>
      <c r="E86" s="390"/>
      <c r="F86" s="390"/>
      <c r="G86" s="390"/>
      <c r="H86" s="390"/>
      <c r="I86" s="390"/>
      <c r="J86" s="390"/>
      <c r="K86" s="390"/>
      <c r="L86" s="390"/>
      <c r="M86" s="390"/>
      <c r="N86" s="390"/>
      <c r="O86" s="390"/>
      <c r="P86" s="390"/>
      <c r="Q86" s="390"/>
      <c r="R86" s="390"/>
      <c r="S86" s="390"/>
    </row>
    <row r="88" spans="1:19" s="390" customFormat="1"/>
    <row r="89" spans="1:19" s="390" customFormat="1"/>
    <row r="90" spans="1:19" s="390" customFormat="1"/>
    <row r="91" spans="1:19" s="390" customFormat="1"/>
    <row r="96" spans="1:19" s="390" customFormat="1" ht="15.75" thickBot="1"/>
    <row r="97" spans="1:19" ht="26.25">
      <c r="A97" s="1270" t="s">
        <v>53</v>
      </c>
      <c r="B97" s="1271"/>
      <c r="C97" s="1271"/>
      <c r="D97" s="1271"/>
      <c r="E97" s="1271"/>
      <c r="F97" s="1271"/>
      <c r="G97" s="1271"/>
      <c r="H97" s="1271"/>
      <c r="I97" s="1272"/>
      <c r="J97" s="390"/>
      <c r="K97" s="1270" t="s">
        <v>53</v>
      </c>
      <c r="L97" s="1271"/>
      <c r="M97" s="1271"/>
      <c r="N97" s="1271"/>
      <c r="O97" s="1271"/>
      <c r="P97" s="1271"/>
      <c r="Q97" s="1271"/>
      <c r="R97" s="1271"/>
      <c r="S97" s="1272"/>
    </row>
    <row r="98" spans="1:19">
      <c r="A98" s="1273" t="s">
        <v>54</v>
      </c>
      <c r="B98" s="1274"/>
      <c r="C98" s="1274"/>
      <c r="D98" s="1274"/>
      <c r="E98" s="1274"/>
      <c r="F98" s="1274"/>
      <c r="G98" s="1274"/>
      <c r="H98" s="1274"/>
      <c r="I98" s="1211"/>
      <c r="J98" s="390"/>
      <c r="K98" s="1273" t="s">
        <v>54</v>
      </c>
      <c r="L98" s="1274"/>
      <c r="M98" s="1274"/>
      <c r="N98" s="1274"/>
      <c r="O98" s="1274"/>
      <c r="P98" s="1274"/>
      <c r="Q98" s="1274"/>
      <c r="R98" s="1274"/>
      <c r="S98" s="1211"/>
    </row>
    <row r="99" spans="1:19">
      <c r="A99" s="15"/>
      <c r="B99" s="390"/>
      <c r="C99" s="390"/>
      <c r="D99" s="390"/>
      <c r="E99" s="390"/>
      <c r="F99" s="390"/>
      <c r="G99" s="390"/>
      <c r="H99" s="390"/>
      <c r="I99" s="16"/>
      <c r="J99" s="390"/>
      <c r="K99" s="15"/>
      <c r="L99" s="390"/>
      <c r="M99" s="390"/>
      <c r="N99" s="390"/>
      <c r="O99" s="390"/>
      <c r="P99" s="390"/>
      <c r="Q99" s="390"/>
      <c r="R99" s="390"/>
      <c r="S99" s="16"/>
    </row>
    <row r="100" spans="1:19">
      <c r="A100" s="17" t="s">
        <v>55</v>
      </c>
      <c r="B100" s="4"/>
      <c r="C100" s="4"/>
      <c r="D100" s="8" t="str">
        <f>'04-22-Master'!F5</f>
        <v>Burgeon IT Services Pvt.Ltd.</v>
      </c>
      <c r="E100" s="390"/>
      <c r="F100" s="390"/>
      <c r="G100" s="390"/>
      <c r="H100" s="390"/>
      <c r="I100" s="16"/>
      <c r="J100" s="390"/>
      <c r="K100" s="17" t="s">
        <v>55</v>
      </c>
      <c r="L100" s="4"/>
      <c r="M100" s="4"/>
      <c r="N100" s="8"/>
      <c r="O100" s="381" t="str">
        <f>D100</f>
        <v>Burgeon IT Services Pvt.Ltd.</v>
      </c>
      <c r="P100" s="390"/>
      <c r="Q100" s="390"/>
      <c r="R100" s="390"/>
      <c r="S100" s="16"/>
    </row>
    <row r="101" spans="1:19">
      <c r="A101" s="17"/>
      <c r="B101" s="4" t="str">
        <f>'04-22-Master'!F6</f>
        <v>Siri Mansion LIGB 436 Dr.A S Rao Nagar,Hyderabad</v>
      </c>
      <c r="C101" s="4"/>
      <c r="D101" s="4"/>
      <c r="E101" s="390"/>
      <c r="F101" s="390"/>
      <c r="G101" s="390"/>
      <c r="H101" s="390"/>
      <c r="I101" s="16"/>
      <c r="J101" s="390"/>
      <c r="K101" s="17"/>
      <c r="L101" s="4" t="str">
        <f>B101</f>
        <v>Siri Mansion LIGB 436 Dr.A S Rao Nagar,Hyderabad</v>
      </c>
      <c r="M101" s="4"/>
      <c r="N101" s="4"/>
      <c r="O101" s="390"/>
      <c r="P101" s="390"/>
      <c r="Q101" s="390"/>
      <c r="R101" s="390"/>
      <c r="S101" s="16"/>
    </row>
    <row r="102" spans="1:19">
      <c r="A102" s="17"/>
      <c r="B102" s="4"/>
      <c r="C102" s="4"/>
      <c r="D102" s="4"/>
      <c r="E102" s="4"/>
      <c r="F102" s="390"/>
      <c r="G102" s="390"/>
      <c r="H102" s="390"/>
      <c r="I102" s="16"/>
      <c r="J102" s="390"/>
      <c r="K102" s="17"/>
      <c r="L102" s="4">
        <f>B102</f>
        <v>0</v>
      </c>
      <c r="M102" s="4"/>
      <c r="N102" s="4"/>
      <c r="O102" s="4"/>
      <c r="P102" s="390"/>
      <c r="Q102" s="390"/>
      <c r="R102" s="390"/>
      <c r="S102" s="16"/>
    </row>
    <row r="103" spans="1:19">
      <c r="A103" s="1275" t="s">
        <v>56</v>
      </c>
      <c r="B103" s="1269"/>
      <c r="C103" s="1269"/>
      <c r="D103" s="1269"/>
      <c r="E103" s="4"/>
      <c r="F103" s="390"/>
      <c r="G103" s="390"/>
      <c r="H103" s="390"/>
      <c r="I103" s="16"/>
      <c r="J103" s="390"/>
      <c r="K103" s="1275" t="s">
        <v>56</v>
      </c>
      <c r="L103" s="1269"/>
      <c r="M103" s="1269"/>
      <c r="N103" s="1269"/>
      <c r="O103" s="4"/>
      <c r="P103" s="390"/>
      <c r="Q103" s="390"/>
      <c r="R103" s="390"/>
      <c r="S103" s="16"/>
    </row>
    <row r="104" spans="1:19">
      <c r="A104" s="1275"/>
      <c r="B104" s="1269"/>
      <c r="C104" s="1269"/>
      <c r="D104" s="1269"/>
      <c r="E104" s="18" t="str">
        <f>'04-22-Master'!B18</f>
        <v>RUKNUDEEN S</v>
      </c>
      <c r="F104" s="19"/>
      <c r="G104" s="19"/>
      <c r="H104" s="19" t="str">
        <f>'04-22-Master'!E18</f>
        <v>SIRBUDIN.T</v>
      </c>
      <c r="I104" s="16"/>
      <c r="J104" s="390"/>
      <c r="K104" s="1275"/>
      <c r="L104" s="1269"/>
      <c r="M104" s="1269"/>
      <c r="N104" s="1269"/>
      <c r="O104" s="18" t="str">
        <f>E104</f>
        <v>RUKNUDEEN S</v>
      </c>
      <c r="P104" s="19"/>
      <c r="Q104" s="19"/>
      <c r="R104" s="19" t="str">
        <f>H104</f>
        <v>SIRBUDIN.T</v>
      </c>
      <c r="S104" s="16"/>
    </row>
    <row r="105" spans="1:19">
      <c r="A105" s="17"/>
      <c r="B105" s="4"/>
      <c r="C105" s="4"/>
      <c r="D105" s="4"/>
      <c r="E105" s="4"/>
      <c r="F105" s="390"/>
      <c r="G105" s="390"/>
      <c r="H105" s="390"/>
      <c r="I105" s="16"/>
      <c r="J105" s="390"/>
      <c r="K105" s="17"/>
      <c r="L105" s="4"/>
      <c r="M105" s="4"/>
      <c r="N105" s="4"/>
      <c r="O105" s="4"/>
      <c r="P105" s="390"/>
      <c r="Q105" s="390"/>
      <c r="R105" s="390"/>
      <c r="S105" s="16"/>
    </row>
    <row r="106" spans="1:19">
      <c r="A106" s="1268" t="s">
        <v>57</v>
      </c>
      <c r="B106" s="1265"/>
      <c r="C106" s="1265"/>
      <c r="D106" s="1265"/>
      <c r="E106" s="495" t="str">
        <f>'04-22-Master'!F8</f>
        <v>IT SUPPORTIVE SERVICES &amp; HYDERABAD SEZ</v>
      </c>
      <c r="F106" s="19"/>
      <c r="G106" s="19"/>
      <c r="H106" s="19"/>
      <c r="I106" s="16"/>
      <c r="J106" s="390"/>
      <c r="K106" s="1268" t="s">
        <v>57</v>
      </c>
      <c r="L106" s="1265"/>
      <c r="M106" s="1265"/>
      <c r="N106" s="1265"/>
      <c r="O106" s="18" t="str">
        <f>E106</f>
        <v>IT SUPPORTIVE SERVICES &amp; HYDERABAD SEZ</v>
      </c>
      <c r="P106" s="19"/>
      <c r="Q106" s="19"/>
      <c r="R106" s="19"/>
      <c r="S106" s="16"/>
    </row>
    <row r="107" spans="1:19">
      <c r="A107" s="17"/>
      <c r="B107" s="4"/>
      <c r="C107" s="4"/>
      <c r="D107" s="4"/>
      <c r="E107" s="4"/>
      <c r="F107" s="390"/>
      <c r="G107" s="390"/>
      <c r="H107" s="390"/>
      <c r="I107" s="16"/>
      <c r="J107" s="390"/>
      <c r="K107" s="17"/>
      <c r="L107" s="4"/>
      <c r="M107" s="4"/>
      <c r="N107" s="4"/>
      <c r="O107" s="4"/>
      <c r="P107" s="390"/>
      <c r="Q107" s="390"/>
      <c r="R107" s="390"/>
      <c r="S107" s="16"/>
    </row>
    <row r="108" spans="1:19">
      <c r="A108" s="1268" t="s">
        <v>58</v>
      </c>
      <c r="B108" s="1265"/>
      <c r="C108" s="1265"/>
      <c r="D108" s="1265"/>
      <c r="E108" s="20">
        <f>'04-22-Master'!D10</f>
        <v>44652</v>
      </c>
      <c r="F108" s="19"/>
      <c r="G108" s="19"/>
      <c r="H108" s="19"/>
      <c r="I108" s="16"/>
      <c r="J108" s="390"/>
      <c r="K108" s="1268" t="s">
        <v>58</v>
      </c>
      <c r="L108" s="1265"/>
      <c r="M108" s="1265"/>
      <c r="N108" s="1265"/>
      <c r="O108" s="20">
        <f>E108</f>
        <v>44652</v>
      </c>
      <c r="P108" s="19"/>
      <c r="Q108" s="19"/>
      <c r="R108" s="19"/>
      <c r="S108" s="16"/>
    </row>
    <row r="109" spans="1:19">
      <c r="A109" s="17"/>
      <c r="B109" s="4"/>
      <c r="C109" s="4"/>
      <c r="D109" s="4"/>
      <c r="E109" s="4"/>
      <c r="F109" s="390"/>
      <c r="G109" s="390"/>
      <c r="H109" s="390"/>
      <c r="I109" s="16"/>
      <c r="J109" s="390"/>
      <c r="K109" s="17"/>
      <c r="L109" s="4"/>
      <c r="M109" s="4"/>
      <c r="N109" s="4"/>
      <c r="O109" s="4"/>
      <c r="P109" s="390"/>
      <c r="Q109" s="390"/>
      <c r="R109" s="390"/>
      <c r="S109" s="16"/>
    </row>
    <row r="110" spans="1:19">
      <c r="A110" s="21">
        <v>1</v>
      </c>
      <c r="B110" s="1265" t="s">
        <v>59</v>
      </c>
      <c r="C110" s="1265"/>
      <c r="D110" s="1265"/>
      <c r="E110" s="22">
        <f>'04-22-Master'!Q18</f>
        <v>30</v>
      </c>
      <c r="F110" s="19"/>
      <c r="G110" s="19"/>
      <c r="H110" s="19"/>
      <c r="I110" s="16"/>
      <c r="J110" s="390"/>
      <c r="K110" s="21">
        <v>1</v>
      </c>
      <c r="L110" s="1265" t="s">
        <v>59</v>
      </c>
      <c r="M110" s="1265"/>
      <c r="N110" s="1265"/>
      <c r="O110" s="22">
        <f>E110</f>
        <v>30</v>
      </c>
      <c r="P110" s="19"/>
      <c r="Q110" s="19"/>
      <c r="R110" s="19"/>
      <c r="S110" s="16"/>
    </row>
    <row r="111" spans="1:19">
      <c r="A111" s="21"/>
      <c r="B111" s="4"/>
      <c r="C111" s="4"/>
      <c r="D111" s="4"/>
      <c r="E111" s="4"/>
      <c r="F111" s="390"/>
      <c r="G111" s="390"/>
      <c r="H111" s="390"/>
      <c r="I111" s="16"/>
      <c r="J111" s="390"/>
      <c r="K111" s="21"/>
      <c r="L111" s="4"/>
      <c r="M111" s="4"/>
      <c r="N111" s="4"/>
      <c r="O111" s="4"/>
      <c r="P111" s="390"/>
      <c r="Q111" s="390"/>
      <c r="R111" s="390"/>
      <c r="S111" s="16"/>
    </row>
    <row r="112" spans="1:19">
      <c r="A112" s="21">
        <v>2</v>
      </c>
      <c r="B112" s="1269" t="s">
        <v>60</v>
      </c>
      <c r="C112" s="1269"/>
      <c r="D112" s="1269"/>
      <c r="E112" s="4"/>
      <c r="F112" s="390"/>
      <c r="G112" s="390"/>
      <c r="H112" s="390"/>
      <c r="I112" s="16"/>
      <c r="J112" s="390"/>
      <c r="K112" s="21">
        <v>2</v>
      </c>
      <c r="L112" s="1269" t="s">
        <v>60</v>
      </c>
      <c r="M112" s="1269"/>
      <c r="N112" s="1269"/>
      <c r="O112" s="4"/>
      <c r="P112" s="390"/>
      <c r="Q112" s="390"/>
      <c r="R112" s="390"/>
      <c r="S112" s="16"/>
    </row>
    <row r="113" spans="1:19">
      <c r="A113" s="21"/>
      <c r="B113" s="1269"/>
      <c r="C113" s="1269"/>
      <c r="D113" s="1269"/>
      <c r="E113" s="23" t="s">
        <v>37</v>
      </c>
      <c r="F113" s="19"/>
      <c r="G113" s="19"/>
      <c r="H113" s="19"/>
      <c r="I113" s="16"/>
      <c r="J113" s="390"/>
      <c r="K113" s="21"/>
      <c r="L113" s="1269"/>
      <c r="M113" s="1269"/>
      <c r="N113" s="1269"/>
      <c r="O113" s="23" t="s">
        <v>37</v>
      </c>
      <c r="P113" s="19"/>
      <c r="Q113" s="19"/>
      <c r="R113" s="19"/>
      <c r="S113" s="16"/>
    </row>
    <row r="114" spans="1:19">
      <c r="A114" s="21"/>
      <c r="B114" s="4"/>
      <c r="C114" s="4"/>
      <c r="D114" s="4"/>
      <c r="E114" s="4"/>
      <c r="F114" s="390"/>
      <c r="G114" s="390"/>
      <c r="H114" s="390"/>
      <c r="I114" s="16"/>
      <c r="J114" s="390"/>
      <c r="K114" s="21"/>
      <c r="L114" s="4"/>
      <c r="M114" s="4"/>
      <c r="N114" s="4"/>
      <c r="O114" s="4"/>
      <c r="P114" s="390"/>
      <c r="Q114" s="390"/>
      <c r="R114" s="390"/>
      <c r="S114" s="16"/>
    </row>
    <row r="115" spans="1:19">
      <c r="A115" s="21">
        <v>3</v>
      </c>
      <c r="B115" s="1265" t="s">
        <v>61</v>
      </c>
      <c r="C115" s="1265"/>
      <c r="D115" s="1265"/>
      <c r="E115" s="23" t="s">
        <v>37</v>
      </c>
      <c r="F115" s="19"/>
      <c r="G115" s="19"/>
      <c r="H115" s="19"/>
      <c r="I115" s="16"/>
      <c r="J115" s="390"/>
      <c r="K115" s="21">
        <v>3</v>
      </c>
      <c r="L115" s="1265" t="s">
        <v>61</v>
      </c>
      <c r="M115" s="1265"/>
      <c r="N115" s="1265"/>
      <c r="O115" s="18" t="str">
        <f>E115</f>
        <v>N/A</v>
      </c>
      <c r="P115" s="19"/>
      <c r="Q115" s="19"/>
      <c r="R115" s="19"/>
      <c r="S115" s="16"/>
    </row>
    <row r="116" spans="1:19">
      <c r="A116" s="21"/>
      <c r="B116" s="4"/>
      <c r="C116" s="4"/>
      <c r="D116" s="4"/>
      <c r="E116" s="4"/>
      <c r="F116" s="390"/>
      <c r="G116" s="390"/>
      <c r="H116" s="390"/>
      <c r="I116" s="16"/>
      <c r="J116" s="390"/>
      <c r="K116" s="21"/>
      <c r="L116" s="4"/>
      <c r="M116" s="4"/>
      <c r="N116" s="4"/>
      <c r="O116" s="4"/>
      <c r="P116" s="390"/>
      <c r="Q116" s="390"/>
      <c r="R116" s="390"/>
      <c r="S116" s="16"/>
    </row>
    <row r="117" spans="1:19">
      <c r="A117" s="21">
        <v>4</v>
      </c>
      <c r="B117" s="1265" t="s">
        <v>62</v>
      </c>
      <c r="C117" s="1265"/>
      <c r="D117" s="1265"/>
      <c r="E117" s="23" t="s">
        <v>63</v>
      </c>
      <c r="F117" s="19"/>
      <c r="G117" s="19"/>
      <c r="H117" s="19"/>
      <c r="I117" s="16"/>
      <c r="J117" s="390"/>
      <c r="K117" s="21">
        <v>4</v>
      </c>
      <c r="L117" s="1265" t="s">
        <v>62</v>
      </c>
      <c r="M117" s="1265"/>
      <c r="N117" s="1265"/>
      <c r="O117" s="23" t="s">
        <v>63</v>
      </c>
      <c r="P117" s="19"/>
      <c r="Q117" s="19"/>
      <c r="R117" s="19"/>
      <c r="S117" s="16"/>
    </row>
    <row r="118" spans="1:19">
      <c r="A118" s="21"/>
      <c r="B118" s="4"/>
      <c r="C118" s="4"/>
      <c r="D118" s="4"/>
      <c r="E118" s="4"/>
      <c r="F118" s="390"/>
      <c r="G118" s="390"/>
      <c r="H118" s="390"/>
      <c r="I118" s="16"/>
      <c r="J118" s="390"/>
      <c r="K118" s="21"/>
      <c r="L118" s="4"/>
      <c r="M118" s="4"/>
      <c r="N118" s="4"/>
      <c r="O118" s="4"/>
      <c r="P118" s="390"/>
      <c r="Q118" s="390"/>
      <c r="R118" s="390"/>
      <c r="S118" s="16"/>
    </row>
    <row r="119" spans="1:19">
      <c r="A119" s="21">
        <v>5</v>
      </c>
      <c r="B119" s="1265" t="s">
        <v>64</v>
      </c>
      <c r="C119" s="1265"/>
      <c r="D119" s="1265"/>
      <c r="E119" s="295">
        <f>'04-22-Master'!AG18</f>
        <v>98276.28542</v>
      </c>
      <c r="F119" s="390"/>
      <c r="G119" s="390"/>
      <c r="H119" s="390"/>
      <c r="I119" s="16"/>
      <c r="J119" s="390"/>
      <c r="K119" s="21">
        <v>5</v>
      </c>
      <c r="L119" s="1265" t="s">
        <v>64</v>
      </c>
      <c r="M119" s="1265"/>
      <c r="N119" s="1265"/>
      <c r="O119" s="295">
        <f>E119</f>
        <v>98276.28542</v>
      </c>
      <c r="P119" s="390"/>
      <c r="Q119" s="390"/>
      <c r="R119" s="390"/>
      <c r="S119" s="16"/>
    </row>
    <row r="120" spans="1:19">
      <c r="A120" s="21"/>
      <c r="B120" s="4"/>
      <c r="C120" s="4"/>
      <c r="D120" s="296" t="s">
        <v>65</v>
      </c>
      <c r="E120" s="296" t="s">
        <v>31</v>
      </c>
      <c r="F120" s="296" t="s">
        <v>33</v>
      </c>
      <c r="G120" s="296" t="s">
        <v>34</v>
      </c>
      <c r="H120" s="296" t="s">
        <v>399</v>
      </c>
      <c r="I120" s="294" t="s">
        <v>400</v>
      </c>
      <c r="J120" s="390"/>
      <c r="K120" s="21"/>
      <c r="L120" s="4"/>
      <c r="M120" s="4"/>
      <c r="N120" s="296" t="s">
        <v>65</v>
      </c>
      <c r="O120" s="296" t="s">
        <v>31</v>
      </c>
      <c r="P120" s="296" t="s">
        <v>33</v>
      </c>
      <c r="Q120" s="296" t="s">
        <v>34</v>
      </c>
      <c r="R120" s="296" t="s">
        <v>399</v>
      </c>
      <c r="S120" s="294" t="s">
        <v>400</v>
      </c>
    </row>
    <row r="121" spans="1:19">
      <c r="A121" s="21">
        <v>6</v>
      </c>
      <c r="B121" s="489" t="s">
        <v>66</v>
      </c>
      <c r="C121" s="489"/>
      <c r="D121" s="297">
        <v>1800</v>
      </c>
      <c r="E121" s="297">
        <f>'04-22-Master'!AH385</f>
        <v>0</v>
      </c>
      <c r="F121" s="298">
        <v>200</v>
      </c>
      <c r="G121" s="297">
        <f>'04-22-Master'!AK18</f>
        <v>0</v>
      </c>
      <c r="H121" s="298">
        <f>'04-22-Master'!AL18</f>
        <v>391.787848</v>
      </c>
      <c r="I121" s="298">
        <f>D121+E121+F121+G121+H121</f>
        <v>2391.7878479999999</v>
      </c>
      <c r="J121" s="390"/>
      <c r="K121" s="21">
        <v>6</v>
      </c>
      <c r="L121" s="489" t="s">
        <v>66</v>
      </c>
      <c r="M121" s="489"/>
      <c r="N121" s="297">
        <f t="shared" ref="N121" si="2">D121</f>
        <v>1800</v>
      </c>
      <c r="O121" s="297">
        <f t="shared" ref="O121" si="3">E121</f>
        <v>0</v>
      </c>
      <c r="P121" s="298">
        <f t="shared" ref="P121" si="4">F121</f>
        <v>200</v>
      </c>
      <c r="Q121" s="297">
        <f t="shared" ref="Q121" si="5">G121</f>
        <v>0</v>
      </c>
      <c r="R121" s="298">
        <f t="shared" ref="R121" si="6">H121</f>
        <v>391.787848</v>
      </c>
      <c r="S121" s="298">
        <f t="shared" ref="S121" si="7">I121</f>
        <v>2391.7878479999999</v>
      </c>
    </row>
    <row r="122" spans="1:19">
      <c r="A122" s="21"/>
      <c r="B122" s="4"/>
      <c r="C122" s="4"/>
      <c r="D122" s="4"/>
      <c r="E122" s="4"/>
      <c r="F122" s="390"/>
      <c r="G122" s="390"/>
      <c r="H122" s="390"/>
      <c r="I122" s="16"/>
      <c r="J122" s="390"/>
      <c r="K122" s="21"/>
      <c r="L122" s="4"/>
      <c r="M122" s="4"/>
      <c r="N122" s="4"/>
      <c r="O122" s="4"/>
      <c r="P122" s="390"/>
      <c r="Q122" s="390"/>
      <c r="R122" s="390"/>
      <c r="S122" s="16"/>
    </row>
    <row r="123" spans="1:19">
      <c r="A123" s="21">
        <v>7</v>
      </c>
      <c r="B123" s="1265" t="s">
        <v>67</v>
      </c>
      <c r="C123" s="1265"/>
      <c r="D123" s="1265"/>
      <c r="E123" s="24">
        <f>E119-I121</f>
        <v>95884.497571999993</v>
      </c>
      <c r="F123" s="19"/>
      <c r="G123" s="19"/>
      <c r="H123" s="19"/>
      <c r="I123" s="16"/>
      <c r="J123" s="390"/>
      <c r="K123" s="21">
        <v>7</v>
      </c>
      <c r="L123" s="1265" t="s">
        <v>67</v>
      </c>
      <c r="M123" s="1265"/>
      <c r="N123" s="1265"/>
      <c r="O123" s="24">
        <f>E123</f>
        <v>95884.497571999993</v>
      </c>
      <c r="P123" s="19"/>
      <c r="Q123" s="19"/>
      <c r="R123" s="19"/>
      <c r="S123" s="16"/>
    </row>
    <row r="124" spans="1:19">
      <c r="A124" s="15"/>
      <c r="B124" s="390"/>
      <c r="C124" s="390"/>
      <c r="D124" s="390"/>
      <c r="E124" s="390"/>
      <c r="F124" s="390"/>
      <c r="G124" s="390"/>
      <c r="H124" s="390"/>
      <c r="I124" s="16"/>
      <c r="J124" s="390"/>
      <c r="K124" s="15"/>
      <c r="L124" s="390"/>
      <c r="M124" s="390"/>
      <c r="N124" s="390"/>
      <c r="O124" s="390"/>
      <c r="P124" s="390"/>
      <c r="Q124" s="390"/>
      <c r="R124" s="390"/>
      <c r="S124" s="16"/>
    </row>
    <row r="125" spans="1:19">
      <c r="A125" s="15"/>
      <c r="B125" s="390"/>
      <c r="C125" s="390"/>
      <c r="D125" s="390"/>
      <c r="E125" s="390"/>
      <c r="F125" s="390"/>
      <c r="G125" s="390"/>
      <c r="H125" s="390"/>
      <c r="I125" s="16"/>
      <c r="J125" s="390"/>
      <c r="K125" s="15"/>
      <c r="L125" s="390"/>
      <c r="M125" s="390"/>
      <c r="N125" s="390"/>
      <c r="O125" s="390"/>
      <c r="P125" s="390"/>
      <c r="Q125" s="390"/>
      <c r="R125" s="390"/>
      <c r="S125" s="16"/>
    </row>
    <row r="126" spans="1:19" ht="15.75" thickBot="1">
      <c r="A126" s="15"/>
      <c r="B126" s="390"/>
      <c r="C126" s="390"/>
      <c r="D126" s="390"/>
      <c r="E126" s="390"/>
      <c r="F126" s="25"/>
      <c r="G126" s="25"/>
      <c r="H126" s="25"/>
      <c r="I126" s="26"/>
      <c r="J126" s="390"/>
      <c r="K126" s="15"/>
      <c r="L126" s="390"/>
      <c r="M126" s="390"/>
      <c r="N126" s="390"/>
      <c r="O126" s="390"/>
      <c r="P126" s="25"/>
      <c r="Q126" s="25"/>
      <c r="R126" s="25"/>
      <c r="S126" s="26"/>
    </row>
    <row r="127" spans="1:19" ht="15.75" thickBot="1">
      <c r="A127" s="27"/>
      <c r="B127" s="25"/>
      <c r="C127" s="25"/>
      <c r="D127" s="25"/>
      <c r="E127" s="25"/>
      <c r="F127" s="1266" t="s">
        <v>68</v>
      </c>
      <c r="G127" s="1266"/>
      <c r="H127" s="1266"/>
      <c r="I127" s="1267"/>
      <c r="J127" s="390"/>
      <c r="K127" s="27"/>
      <c r="L127" s="25"/>
      <c r="M127" s="25"/>
      <c r="N127" s="25"/>
      <c r="O127" s="25"/>
      <c r="P127" s="1266" t="s">
        <v>68</v>
      </c>
      <c r="Q127" s="1266"/>
      <c r="R127" s="1266"/>
      <c r="S127" s="1267"/>
    </row>
    <row r="128" spans="1:19">
      <c r="A128" s="390"/>
      <c r="B128" s="390"/>
      <c r="C128" s="390"/>
      <c r="D128" s="390"/>
      <c r="E128" s="390"/>
      <c r="F128" s="390"/>
      <c r="G128" s="390"/>
      <c r="H128" s="390"/>
      <c r="I128" s="390"/>
      <c r="J128" s="390"/>
      <c r="K128" s="390"/>
      <c r="L128" s="390"/>
      <c r="M128" s="390"/>
      <c r="N128" s="390"/>
      <c r="O128" s="390"/>
      <c r="P128" s="390"/>
      <c r="Q128" s="390"/>
      <c r="R128" s="390"/>
      <c r="S128" s="390"/>
    </row>
    <row r="129" spans="1:19">
      <c r="A129" s="390"/>
      <c r="B129" s="390"/>
      <c r="C129" s="390"/>
      <c r="D129" s="390"/>
      <c r="E129" s="390"/>
      <c r="F129" s="390"/>
      <c r="G129" s="390"/>
      <c r="H129" s="390"/>
      <c r="I129" s="390"/>
      <c r="J129" s="390"/>
      <c r="K129" s="390"/>
      <c r="L129" s="390"/>
      <c r="M129" s="390"/>
      <c r="N129" s="390"/>
      <c r="O129" s="390"/>
      <c r="P129" s="390"/>
      <c r="Q129" s="390"/>
      <c r="R129" s="390"/>
      <c r="S129" s="390"/>
    </row>
    <row r="130" spans="1:19">
      <c r="A130" s="390"/>
      <c r="B130" s="390"/>
      <c r="C130" s="390"/>
      <c r="D130" s="390"/>
      <c r="E130" s="390"/>
      <c r="F130" s="390"/>
      <c r="G130" s="390"/>
      <c r="H130" s="390"/>
      <c r="I130" s="390"/>
      <c r="J130" s="390"/>
      <c r="K130" s="390"/>
      <c r="L130" s="390"/>
      <c r="M130" s="390"/>
      <c r="N130" s="390"/>
      <c r="O130" s="390"/>
      <c r="P130" s="390"/>
      <c r="Q130" s="390"/>
      <c r="R130" s="390"/>
      <c r="S130" s="390"/>
    </row>
    <row r="131" spans="1:19">
      <c r="A131" s="390"/>
      <c r="B131" s="390"/>
      <c r="C131" s="390"/>
      <c r="D131" s="390"/>
      <c r="E131" s="390"/>
      <c r="F131" s="390"/>
      <c r="G131" s="390"/>
      <c r="H131" s="390"/>
      <c r="I131" s="390"/>
      <c r="J131" s="390"/>
      <c r="K131" s="390"/>
      <c r="L131" s="390"/>
      <c r="M131" s="390"/>
      <c r="N131" s="390"/>
      <c r="O131" s="390"/>
      <c r="P131" s="390"/>
      <c r="Q131" s="390"/>
      <c r="R131" s="390"/>
      <c r="S131" s="390"/>
    </row>
    <row r="132" spans="1:19">
      <c r="A132" s="390"/>
      <c r="B132" s="390"/>
      <c r="C132" s="390"/>
      <c r="D132" s="390"/>
      <c r="E132" s="390"/>
      <c r="F132" s="390"/>
      <c r="G132" s="390"/>
      <c r="H132" s="390"/>
      <c r="I132" s="390"/>
      <c r="J132" s="390"/>
      <c r="K132" s="390"/>
      <c r="L132" s="390"/>
      <c r="M132" s="390"/>
      <c r="N132" s="390"/>
      <c r="O132" s="390"/>
      <c r="P132" s="390"/>
      <c r="Q132" s="390"/>
      <c r="R132" s="390"/>
      <c r="S132" s="390"/>
    </row>
    <row r="133" spans="1:19">
      <c r="A133" s="390"/>
      <c r="B133" s="390"/>
      <c r="C133" s="390"/>
      <c r="D133" s="390"/>
      <c r="E133" s="390"/>
      <c r="F133" s="390"/>
      <c r="G133" s="390"/>
      <c r="H133" s="390"/>
      <c r="I133" s="390"/>
      <c r="J133" s="390"/>
      <c r="K133" s="390"/>
      <c r="L133" s="390"/>
      <c r="M133" s="390"/>
      <c r="N133" s="390"/>
      <c r="O133" s="390"/>
      <c r="P133" s="390"/>
      <c r="Q133" s="390"/>
      <c r="R133" s="390"/>
      <c r="S133" s="390"/>
    </row>
    <row r="134" spans="1:19">
      <c r="A134" s="390"/>
      <c r="B134" s="390"/>
      <c r="C134" s="390"/>
      <c r="D134" s="390"/>
      <c r="E134" s="390"/>
      <c r="F134" s="390"/>
      <c r="G134" s="390"/>
      <c r="H134" s="390"/>
      <c r="I134" s="390"/>
      <c r="J134" s="390"/>
      <c r="K134" s="390"/>
      <c r="L134" s="390"/>
      <c r="M134" s="390"/>
      <c r="N134" s="390"/>
      <c r="O134" s="390"/>
      <c r="P134" s="390"/>
      <c r="Q134" s="390"/>
      <c r="R134" s="390"/>
      <c r="S134" s="390"/>
    </row>
    <row r="135" spans="1:19" s="390" customFormat="1"/>
    <row r="136" spans="1:19" s="390" customFormat="1"/>
    <row r="137" spans="1:19" s="390" customFormat="1"/>
    <row r="138" spans="1:19" s="390" customFormat="1"/>
    <row r="139" spans="1:19" s="390" customFormat="1"/>
    <row r="140" spans="1:19" s="390" customFormat="1"/>
    <row r="141" spans="1:19" s="390" customFormat="1"/>
    <row r="142" spans="1:19" s="390" customFormat="1"/>
    <row r="143" spans="1:19">
      <c r="A143" s="390"/>
      <c r="B143" s="390"/>
      <c r="C143" s="390"/>
      <c r="D143" s="390"/>
      <c r="E143" s="390"/>
      <c r="F143" s="390"/>
      <c r="G143" s="390"/>
      <c r="H143" s="390"/>
      <c r="I143" s="390"/>
      <c r="J143" s="390"/>
      <c r="K143" s="390"/>
      <c r="L143" s="390"/>
      <c r="M143" s="390"/>
      <c r="N143" s="390"/>
      <c r="O143" s="390"/>
      <c r="P143" s="390"/>
      <c r="Q143" s="390"/>
      <c r="R143" s="390"/>
      <c r="S143" s="390"/>
    </row>
    <row r="144" spans="1:19" s="390" customFormat="1" ht="15.75" thickBot="1"/>
    <row r="145" spans="1:19" ht="26.25">
      <c r="A145" s="1270" t="s">
        <v>53</v>
      </c>
      <c r="B145" s="1271"/>
      <c r="C145" s="1271"/>
      <c r="D145" s="1271"/>
      <c r="E145" s="1271"/>
      <c r="F145" s="1271"/>
      <c r="G145" s="1271"/>
      <c r="H145" s="1271"/>
      <c r="I145" s="1272"/>
      <c r="J145" s="390"/>
      <c r="K145" s="1270" t="s">
        <v>53</v>
      </c>
      <c r="L145" s="1271"/>
      <c r="M145" s="1271"/>
      <c r="N145" s="1271"/>
      <c r="O145" s="1271"/>
      <c r="P145" s="1271"/>
      <c r="Q145" s="1271"/>
      <c r="R145" s="1271"/>
      <c r="S145" s="1272"/>
    </row>
    <row r="146" spans="1:19">
      <c r="A146" s="1273" t="s">
        <v>54</v>
      </c>
      <c r="B146" s="1274"/>
      <c r="C146" s="1274"/>
      <c r="D146" s="1274"/>
      <c r="E146" s="1274"/>
      <c r="F146" s="1274"/>
      <c r="G146" s="1274"/>
      <c r="H146" s="1274"/>
      <c r="I146" s="1211"/>
      <c r="J146" s="390"/>
      <c r="K146" s="1273" t="s">
        <v>54</v>
      </c>
      <c r="L146" s="1274"/>
      <c r="M146" s="1274"/>
      <c r="N146" s="1274"/>
      <c r="O146" s="1274"/>
      <c r="P146" s="1274"/>
      <c r="Q146" s="1274"/>
      <c r="R146" s="1274"/>
      <c r="S146" s="1211"/>
    </row>
    <row r="147" spans="1:19">
      <c r="A147" s="15"/>
      <c r="B147" s="390"/>
      <c r="C147" s="390"/>
      <c r="D147" s="390"/>
      <c r="E147" s="390"/>
      <c r="F147" s="390"/>
      <c r="G147" s="390"/>
      <c r="H147" s="390"/>
      <c r="I147" s="16"/>
      <c r="J147" s="390"/>
      <c r="K147" s="15"/>
      <c r="L147" s="390"/>
      <c r="M147" s="390"/>
      <c r="N147" s="390"/>
      <c r="O147" s="390"/>
      <c r="P147" s="390"/>
      <c r="Q147" s="390"/>
      <c r="R147" s="390"/>
      <c r="S147" s="16"/>
    </row>
    <row r="148" spans="1:19">
      <c r="A148" s="17" t="s">
        <v>55</v>
      </c>
      <c r="B148" s="4"/>
      <c r="C148" s="4"/>
      <c r="D148" s="8" t="str">
        <f>'04-22-Master'!F5</f>
        <v>Burgeon IT Services Pvt.Ltd.</v>
      </c>
      <c r="E148" s="390"/>
      <c r="F148" s="390"/>
      <c r="G148" s="390"/>
      <c r="H148" s="390"/>
      <c r="I148" s="16"/>
      <c r="J148" s="390"/>
      <c r="K148" s="17" t="s">
        <v>55</v>
      </c>
      <c r="L148" s="4"/>
      <c r="M148" s="4"/>
      <c r="N148" s="8"/>
      <c r="O148" s="381" t="str">
        <f>D148</f>
        <v>Burgeon IT Services Pvt.Ltd.</v>
      </c>
      <c r="P148" s="390"/>
      <c r="Q148" s="390"/>
      <c r="R148" s="390"/>
      <c r="S148" s="16"/>
    </row>
    <row r="149" spans="1:19">
      <c r="A149" s="17"/>
      <c r="B149" s="4" t="str">
        <f>'04-22-Master'!F6</f>
        <v>Siri Mansion LIGB 436 Dr.A S Rao Nagar,Hyderabad</v>
      </c>
      <c r="C149" s="4"/>
      <c r="D149" s="4"/>
      <c r="E149" s="390"/>
      <c r="F149" s="390"/>
      <c r="G149" s="390"/>
      <c r="H149" s="390"/>
      <c r="I149" s="16"/>
      <c r="J149" s="390"/>
      <c r="K149" s="17"/>
      <c r="L149" s="4" t="str">
        <f>B149</f>
        <v>Siri Mansion LIGB 436 Dr.A S Rao Nagar,Hyderabad</v>
      </c>
      <c r="M149" s="4"/>
      <c r="N149" s="4"/>
      <c r="O149" s="390"/>
      <c r="P149" s="390"/>
      <c r="Q149" s="390"/>
      <c r="R149" s="390"/>
      <c r="S149" s="16"/>
    </row>
    <row r="150" spans="1:19">
      <c r="A150" s="17"/>
      <c r="B150" s="4"/>
      <c r="C150" s="4"/>
      <c r="D150" s="4"/>
      <c r="E150" s="4"/>
      <c r="F150" s="390"/>
      <c r="G150" s="390"/>
      <c r="H150" s="390"/>
      <c r="I150" s="16"/>
      <c r="J150" s="390"/>
      <c r="K150" s="17"/>
      <c r="L150" s="4">
        <f>B150</f>
        <v>0</v>
      </c>
      <c r="M150" s="4"/>
      <c r="N150" s="4"/>
      <c r="O150" s="4"/>
      <c r="P150" s="390"/>
      <c r="Q150" s="390"/>
      <c r="R150" s="390"/>
      <c r="S150" s="16"/>
    </row>
    <row r="151" spans="1:19">
      <c r="A151" s="1275" t="s">
        <v>56</v>
      </c>
      <c r="B151" s="1269"/>
      <c r="C151" s="1269"/>
      <c r="D151" s="1269"/>
      <c r="E151" s="4"/>
      <c r="F151" s="390"/>
      <c r="G151" s="390"/>
      <c r="H151" s="390"/>
      <c r="I151" s="16"/>
      <c r="J151" s="390"/>
      <c r="K151" s="1275" t="s">
        <v>56</v>
      </c>
      <c r="L151" s="1269"/>
      <c r="M151" s="1269"/>
      <c r="N151" s="1269"/>
      <c r="O151" s="4"/>
      <c r="P151" s="390"/>
      <c r="Q151" s="390"/>
      <c r="R151" s="390"/>
      <c r="S151" s="16"/>
    </row>
    <row r="152" spans="1:19">
      <c r="A152" s="1275"/>
      <c r="B152" s="1269"/>
      <c r="C152" s="1269"/>
      <c r="D152" s="1269"/>
      <c r="E152" s="18" t="str">
        <f>'04-22-Master'!B19</f>
        <v xml:space="preserve">Srikanth Thota   </v>
      </c>
      <c r="F152" s="19"/>
      <c r="G152" s="19"/>
      <c r="H152" s="19" t="str">
        <f>'04-22-Master'!E19</f>
        <v>Vasudha thota</v>
      </c>
      <c r="I152" s="16"/>
      <c r="J152" s="390"/>
      <c r="K152" s="1275"/>
      <c r="L152" s="1269"/>
      <c r="M152" s="1269"/>
      <c r="N152" s="1269"/>
      <c r="O152" s="18" t="str">
        <f>E152</f>
        <v xml:space="preserve">Srikanth Thota   </v>
      </c>
      <c r="P152" s="19"/>
      <c r="Q152" s="19" t="str">
        <f>H152</f>
        <v>Vasudha thota</v>
      </c>
      <c r="R152" s="19"/>
      <c r="S152" s="16"/>
    </row>
    <row r="153" spans="1:19">
      <c r="A153" s="17"/>
      <c r="B153" s="4"/>
      <c r="C153" s="4"/>
      <c r="D153" s="4"/>
      <c r="E153" s="4"/>
      <c r="F153" s="390"/>
      <c r="G153" s="390"/>
      <c r="H153" s="390"/>
      <c r="I153" s="16"/>
      <c r="J153" s="390"/>
      <c r="K153" s="17"/>
      <c r="L153" s="4"/>
      <c r="M153" s="4"/>
      <c r="N153" s="4"/>
      <c r="O153" s="4"/>
      <c r="P153" s="390"/>
      <c r="Q153" s="390"/>
      <c r="R153" s="390"/>
      <c r="S153" s="16"/>
    </row>
    <row r="154" spans="1:19">
      <c r="A154" s="1268" t="s">
        <v>57</v>
      </c>
      <c r="B154" s="1265"/>
      <c r="C154" s="1265"/>
      <c r="D154" s="1265"/>
      <c r="E154" s="18" t="str">
        <f>'04-22-Master'!F8</f>
        <v>IT SUPPORTIVE SERVICES &amp; HYDERABAD SEZ</v>
      </c>
      <c r="F154" s="19"/>
      <c r="G154" s="19"/>
      <c r="H154" s="19"/>
      <c r="I154" s="16"/>
      <c r="J154" s="390"/>
      <c r="K154" s="1268" t="s">
        <v>57</v>
      </c>
      <c r="L154" s="1265"/>
      <c r="M154" s="1265"/>
      <c r="N154" s="1265"/>
      <c r="O154" s="18" t="str">
        <f>E154</f>
        <v>IT SUPPORTIVE SERVICES &amp; HYDERABAD SEZ</v>
      </c>
      <c r="P154" s="19"/>
      <c r="Q154" s="19"/>
      <c r="R154" s="19"/>
      <c r="S154" s="16"/>
    </row>
    <row r="155" spans="1:19">
      <c r="A155" s="17"/>
      <c r="B155" s="4"/>
      <c r="C155" s="4"/>
      <c r="D155" s="4"/>
      <c r="E155" s="4"/>
      <c r="F155" s="390"/>
      <c r="G155" s="390"/>
      <c r="H155" s="390"/>
      <c r="I155" s="16"/>
      <c r="J155" s="390"/>
      <c r="K155" s="17"/>
      <c r="L155" s="4"/>
      <c r="M155" s="4"/>
      <c r="N155" s="4"/>
      <c r="O155" s="4"/>
      <c r="P155" s="390"/>
      <c r="Q155" s="390"/>
      <c r="R155" s="390"/>
      <c r="S155" s="16"/>
    </row>
    <row r="156" spans="1:19">
      <c r="A156" s="1268" t="s">
        <v>58</v>
      </c>
      <c r="B156" s="1265"/>
      <c r="C156" s="1265"/>
      <c r="D156" s="1265"/>
      <c r="E156" s="20">
        <f>'04-22-Master'!D10</f>
        <v>44652</v>
      </c>
      <c r="F156" s="19"/>
      <c r="G156" s="19"/>
      <c r="H156" s="19"/>
      <c r="I156" s="16"/>
      <c r="J156" s="390"/>
      <c r="K156" s="1268" t="s">
        <v>58</v>
      </c>
      <c r="L156" s="1265"/>
      <c r="M156" s="1265"/>
      <c r="N156" s="1265"/>
      <c r="O156" s="20">
        <f>E156</f>
        <v>44652</v>
      </c>
      <c r="P156" s="19"/>
      <c r="Q156" s="19"/>
      <c r="R156" s="19"/>
      <c r="S156" s="16"/>
    </row>
    <row r="157" spans="1:19">
      <c r="A157" s="17"/>
      <c r="B157" s="4"/>
      <c r="C157" s="4"/>
      <c r="D157" s="4"/>
      <c r="E157" s="4"/>
      <c r="F157" s="390"/>
      <c r="G157" s="390"/>
      <c r="H157" s="390"/>
      <c r="I157" s="16"/>
      <c r="J157" s="390"/>
      <c r="K157" s="17"/>
      <c r="L157" s="4"/>
      <c r="M157" s="4"/>
      <c r="N157" s="4"/>
      <c r="O157" s="4"/>
      <c r="P157" s="390"/>
      <c r="Q157" s="390"/>
      <c r="R157" s="390"/>
      <c r="S157" s="16"/>
    </row>
    <row r="158" spans="1:19">
      <c r="A158" s="21">
        <v>1</v>
      </c>
      <c r="B158" s="1265" t="s">
        <v>59</v>
      </c>
      <c r="C158" s="1265"/>
      <c r="D158" s="1265"/>
      <c r="E158" s="22">
        <f>'04-22-Master'!Q19</f>
        <v>30</v>
      </c>
      <c r="F158" s="19"/>
      <c r="G158" s="19"/>
      <c r="H158" s="19"/>
      <c r="I158" s="16"/>
      <c r="J158" s="390"/>
      <c r="K158" s="21">
        <v>1</v>
      </c>
      <c r="L158" s="1265" t="s">
        <v>59</v>
      </c>
      <c r="M158" s="1265"/>
      <c r="N158" s="1265"/>
      <c r="O158" s="22">
        <f>E158</f>
        <v>30</v>
      </c>
      <c r="P158" s="19"/>
      <c r="Q158" s="19"/>
      <c r="R158" s="19"/>
      <c r="S158" s="16"/>
    </row>
    <row r="159" spans="1:19">
      <c r="A159" s="21"/>
      <c r="B159" s="4"/>
      <c r="C159" s="4"/>
      <c r="D159" s="4"/>
      <c r="E159" s="4"/>
      <c r="F159" s="390"/>
      <c r="G159" s="390"/>
      <c r="H159" s="390"/>
      <c r="I159" s="16"/>
      <c r="J159" s="390"/>
      <c r="K159" s="21"/>
      <c r="L159" s="4"/>
      <c r="M159" s="4"/>
      <c r="N159" s="4"/>
      <c r="O159" s="4"/>
      <c r="P159" s="390"/>
      <c r="Q159" s="390"/>
      <c r="R159" s="390"/>
      <c r="S159" s="16"/>
    </row>
    <row r="160" spans="1:19">
      <c r="A160" s="21">
        <v>2</v>
      </c>
      <c r="B160" s="1269" t="s">
        <v>60</v>
      </c>
      <c r="C160" s="1269"/>
      <c r="D160" s="1269"/>
      <c r="E160" s="4"/>
      <c r="F160" s="390"/>
      <c r="G160" s="390"/>
      <c r="H160" s="390"/>
      <c r="I160" s="16"/>
      <c r="J160" s="390"/>
      <c r="K160" s="21">
        <v>2</v>
      </c>
      <c r="L160" s="1269" t="s">
        <v>60</v>
      </c>
      <c r="M160" s="1269"/>
      <c r="N160" s="1269"/>
      <c r="O160" s="4"/>
      <c r="P160" s="390"/>
      <c r="Q160" s="390"/>
      <c r="R160" s="390"/>
      <c r="S160" s="16"/>
    </row>
    <row r="161" spans="1:19">
      <c r="A161" s="21"/>
      <c r="B161" s="1269"/>
      <c r="C161" s="1269"/>
      <c r="D161" s="1269"/>
      <c r="E161" s="23" t="s">
        <v>37</v>
      </c>
      <c r="F161" s="19"/>
      <c r="G161" s="19"/>
      <c r="H161" s="19"/>
      <c r="I161" s="16"/>
      <c r="J161" s="390"/>
      <c r="K161" s="21"/>
      <c r="L161" s="1269"/>
      <c r="M161" s="1269"/>
      <c r="N161" s="1269"/>
      <c r="O161" s="23" t="s">
        <v>37</v>
      </c>
      <c r="P161" s="19"/>
      <c r="Q161" s="19"/>
      <c r="R161" s="19"/>
      <c r="S161" s="16"/>
    </row>
    <row r="162" spans="1:19">
      <c r="A162" s="21"/>
      <c r="B162" s="4"/>
      <c r="C162" s="4"/>
      <c r="D162" s="4"/>
      <c r="E162" s="4"/>
      <c r="F162" s="390"/>
      <c r="G162" s="390"/>
      <c r="H162" s="390"/>
      <c r="I162" s="16"/>
      <c r="J162" s="390"/>
      <c r="K162" s="21"/>
      <c r="L162" s="4"/>
      <c r="M162" s="4"/>
      <c r="N162" s="4"/>
      <c r="O162" s="4"/>
      <c r="P162" s="390"/>
      <c r="Q162" s="390"/>
      <c r="R162" s="390"/>
      <c r="S162" s="16"/>
    </row>
    <row r="163" spans="1:19">
      <c r="A163" s="21">
        <v>3</v>
      </c>
      <c r="B163" s="1265" t="s">
        <v>61</v>
      </c>
      <c r="C163" s="1265"/>
      <c r="D163" s="1265"/>
      <c r="E163" s="23" t="s">
        <v>37</v>
      </c>
      <c r="F163" s="19"/>
      <c r="G163" s="19"/>
      <c r="H163" s="19"/>
      <c r="I163" s="16"/>
      <c r="J163" s="390"/>
      <c r="K163" s="21">
        <v>3</v>
      </c>
      <c r="L163" s="1265" t="s">
        <v>61</v>
      </c>
      <c r="M163" s="1265"/>
      <c r="N163" s="1265"/>
      <c r="O163" s="18" t="str">
        <f>E163</f>
        <v>N/A</v>
      </c>
      <c r="P163" s="19"/>
      <c r="Q163" s="19"/>
      <c r="R163" s="19"/>
      <c r="S163" s="16"/>
    </row>
    <row r="164" spans="1:19">
      <c r="A164" s="21"/>
      <c r="B164" s="4"/>
      <c r="C164" s="4"/>
      <c r="D164" s="4"/>
      <c r="E164" s="4"/>
      <c r="F164" s="390"/>
      <c r="G164" s="390"/>
      <c r="H164" s="390"/>
      <c r="I164" s="16"/>
      <c r="J164" s="390"/>
      <c r="K164" s="21"/>
      <c r="L164" s="4"/>
      <c r="M164" s="4"/>
      <c r="N164" s="4"/>
      <c r="O164" s="4"/>
      <c r="P164" s="390"/>
      <c r="Q164" s="390"/>
      <c r="R164" s="390"/>
      <c r="S164" s="16"/>
    </row>
    <row r="165" spans="1:19">
      <c r="A165" s="21">
        <v>4</v>
      </c>
      <c r="B165" s="1265" t="s">
        <v>62</v>
      </c>
      <c r="C165" s="1265"/>
      <c r="D165" s="1265"/>
      <c r="E165" s="23" t="s">
        <v>63</v>
      </c>
      <c r="F165" s="19"/>
      <c r="G165" s="19"/>
      <c r="H165" s="19"/>
      <c r="I165" s="16"/>
      <c r="J165" s="390"/>
      <c r="K165" s="21">
        <v>4</v>
      </c>
      <c r="L165" s="1265" t="s">
        <v>62</v>
      </c>
      <c r="M165" s="1265"/>
      <c r="N165" s="1265"/>
      <c r="O165" s="23" t="s">
        <v>63</v>
      </c>
      <c r="P165" s="19"/>
      <c r="Q165" s="19"/>
      <c r="R165" s="19"/>
      <c r="S165" s="16"/>
    </row>
    <row r="166" spans="1:19">
      <c r="A166" s="21"/>
      <c r="B166" s="4"/>
      <c r="C166" s="4"/>
      <c r="D166" s="4"/>
      <c r="E166" s="4"/>
      <c r="F166" s="390"/>
      <c r="G166" s="390"/>
      <c r="H166" s="390"/>
      <c r="I166" s="16"/>
      <c r="J166" s="390"/>
      <c r="K166" s="21"/>
      <c r="L166" s="4"/>
      <c r="M166" s="4"/>
      <c r="N166" s="4"/>
      <c r="O166" s="4"/>
      <c r="P166" s="390"/>
      <c r="Q166" s="390"/>
      <c r="R166" s="390"/>
      <c r="S166" s="16"/>
    </row>
    <row r="167" spans="1:19">
      <c r="A167" s="21">
        <v>5</v>
      </c>
      <c r="B167" s="1265" t="s">
        <v>64</v>
      </c>
      <c r="C167" s="1265"/>
      <c r="D167" s="1265"/>
      <c r="E167" s="295">
        <f>'04-22-Master'!AG19</f>
        <v>113276.75486</v>
      </c>
      <c r="F167" s="390"/>
      <c r="G167" s="390"/>
      <c r="H167" s="390"/>
      <c r="I167" s="16"/>
      <c r="J167" s="390"/>
      <c r="K167" s="21">
        <v>5</v>
      </c>
      <c r="L167" s="1265" t="s">
        <v>64</v>
      </c>
      <c r="M167" s="1265"/>
      <c r="N167" s="1265"/>
      <c r="O167" s="295">
        <f>E167</f>
        <v>113276.75486</v>
      </c>
      <c r="P167" s="390"/>
      <c r="Q167" s="390"/>
      <c r="R167" s="390"/>
      <c r="S167" s="16"/>
    </row>
    <row r="168" spans="1:19">
      <c r="A168" s="21"/>
      <c r="B168" s="4"/>
      <c r="C168" s="4"/>
      <c r="D168" s="296" t="s">
        <v>65</v>
      </c>
      <c r="E168" s="296" t="s">
        <v>31</v>
      </c>
      <c r="F168" s="296" t="s">
        <v>33</v>
      </c>
      <c r="G168" s="296" t="s">
        <v>34</v>
      </c>
      <c r="H168" s="296" t="s">
        <v>399</v>
      </c>
      <c r="I168" s="294" t="s">
        <v>400</v>
      </c>
      <c r="J168" s="390"/>
      <c r="K168" s="21"/>
      <c r="L168" s="4"/>
      <c r="M168" s="4"/>
      <c r="N168" s="296" t="s">
        <v>65</v>
      </c>
      <c r="O168" s="296" t="s">
        <v>31</v>
      </c>
      <c r="P168" s="296" t="s">
        <v>33</v>
      </c>
      <c r="Q168" s="296" t="s">
        <v>34</v>
      </c>
      <c r="R168" s="296" t="s">
        <v>399</v>
      </c>
      <c r="S168" s="294" t="s">
        <v>400</v>
      </c>
    </row>
    <row r="169" spans="1:19">
      <c r="A169" s="21">
        <v>6</v>
      </c>
      <c r="B169" s="526" t="s">
        <v>66</v>
      </c>
      <c r="C169" s="526"/>
      <c r="D169" s="297">
        <f>'04-22-Master'!AI19</f>
        <v>1800</v>
      </c>
      <c r="E169" s="297">
        <f>'04-22-Master'!AH32</f>
        <v>0</v>
      </c>
      <c r="F169" s="298">
        <f>'04-22-Master'!AJ19</f>
        <v>200</v>
      </c>
      <c r="G169" s="297">
        <f>'04-22-Master'!AK19</f>
        <v>0</v>
      </c>
      <c r="H169" s="298">
        <f>'04-22-Master'!AL19</f>
        <v>377</v>
      </c>
      <c r="I169" s="298">
        <f>D169+E169+F169+G169+H169</f>
        <v>2377</v>
      </c>
      <c r="J169" s="390"/>
      <c r="K169" s="21">
        <v>6</v>
      </c>
      <c r="L169" s="526" t="s">
        <v>66</v>
      </c>
      <c r="M169" s="526"/>
      <c r="N169" s="297">
        <f t="shared" ref="N169" si="8">D169</f>
        <v>1800</v>
      </c>
      <c r="O169" s="297">
        <f t="shared" ref="O169" si="9">E169</f>
        <v>0</v>
      </c>
      <c r="P169" s="298">
        <f t="shared" ref="P169" si="10">F169</f>
        <v>200</v>
      </c>
      <c r="Q169" s="297">
        <f t="shared" ref="Q169" si="11">G169</f>
        <v>0</v>
      </c>
      <c r="R169" s="298">
        <f t="shared" ref="R169" si="12">H169</f>
        <v>377</v>
      </c>
      <c r="S169" s="298">
        <f t="shared" ref="S169" si="13">I169</f>
        <v>2377</v>
      </c>
    </row>
    <row r="170" spans="1:19">
      <c r="A170" s="21"/>
      <c r="B170" s="4"/>
      <c r="C170" s="4"/>
      <c r="D170" s="4"/>
      <c r="E170" s="4"/>
      <c r="F170" s="390"/>
      <c r="G170" s="390"/>
      <c r="H170" s="390"/>
      <c r="I170" s="16"/>
      <c r="J170" s="390"/>
      <c r="K170" s="21"/>
      <c r="L170" s="4"/>
      <c r="M170" s="4"/>
      <c r="N170" s="4"/>
      <c r="O170" s="4"/>
      <c r="P170" s="390"/>
      <c r="Q170" s="390"/>
      <c r="R170" s="390"/>
      <c r="S170" s="16"/>
    </row>
    <row r="171" spans="1:19">
      <c r="A171" s="21">
        <v>7</v>
      </c>
      <c r="B171" s="1265" t="s">
        <v>67</v>
      </c>
      <c r="C171" s="1265"/>
      <c r="D171" s="1265"/>
      <c r="E171" s="24">
        <f>E167-I169</f>
        <v>110899.75486</v>
      </c>
      <c r="F171" s="19"/>
      <c r="G171" s="19"/>
      <c r="H171" s="19"/>
      <c r="I171" s="16"/>
      <c r="J171" s="390"/>
      <c r="K171" s="21">
        <v>7</v>
      </c>
      <c r="L171" s="1265" t="s">
        <v>67</v>
      </c>
      <c r="M171" s="1265"/>
      <c r="N171" s="1265"/>
      <c r="O171" s="24">
        <f>E171</f>
        <v>110899.75486</v>
      </c>
      <c r="P171" s="19"/>
      <c r="Q171" s="19"/>
      <c r="R171" s="19"/>
      <c r="S171" s="16"/>
    </row>
    <row r="172" spans="1:19">
      <c r="A172" s="15"/>
      <c r="B172" s="390"/>
      <c r="C172" s="390"/>
      <c r="D172" s="390"/>
      <c r="E172" s="390"/>
      <c r="F172" s="390"/>
      <c r="G172" s="390"/>
      <c r="H172" s="390"/>
      <c r="I172" s="16"/>
      <c r="J172" s="390"/>
      <c r="K172" s="15"/>
      <c r="L172" s="390"/>
      <c r="M172" s="390"/>
      <c r="N172" s="390"/>
      <c r="O172" s="390"/>
      <c r="P172" s="390"/>
      <c r="Q172" s="390"/>
      <c r="R172" s="390"/>
      <c r="S172" s="16"/>
    </row>
    <row r="173" spans="1:19">
      <c r="A173" s="15"/>
      <c r="B173" s="390"/>
      <c r="C173" s="390"/>
      <c r="D173" s="390"/>
      <c r="E173" s="390"/>
      <c r="F173" s="390"/>
      <c r="G173" s="390"/>
      <c r="H173" s="390"/>
      <c r="I173" s="16"/>
      <c r="J173" s="390"/>
      <c r="K173" s="15"/>
      <c r="L173" s="390"/>
      <c r="M173" s="390"/>
      <c r="N173" s="390"/>
      <c r="O173" s="390"/>
      <c r="P173" s="390"/>
      <c r="Q173" s="390"/>
      <c r="R173" s="390"/>
      <c r="S173" s="16"/>
    </row>
    <row r="174" spans="1:19" s="11" customFormat="1" ht="15.75" thickBot="1">
      <c r="A174" s="539"/>
      <c r="F174" s="540"/>
      <c r="G174" s="540"/>
      <c r="H174" s="540"/>
      <c r="I174" s="541"/>
      <c r="K174" s="539"/>
      <c r="P174" s="540"/>
      <c r="Q174" s="540"/>
      <c r="R174" s="540"/>
      <c r="S174" s="541"/>
    </row>
    <row r="175" spans="1:19" s="11" customFormat="1" ht="15.75" thickBot="1">
      <c r="A175" s="542"/>
      <c r="B175" s="540"/>
      <c r="C175" s="540"/>
      <c r="D175" s="540"/>
      <c r="E175" s="540"/>
      <c r="F175" s="1289" t="s">
        <v>68</v>
      </c>
      <c r="G175" s="1289"/>
      <c r="H175" s="1289"/>
      <c r="I175" s="1290"/>
      <c r="K175" s="542"/>
      <c r="L175" s="540"/>
      <c r="M175" s="540"/>
      <c r="N175" s="540"/>
      <c r="O175" s="540"/>
      <c r="P175" s="1289" t="s">
        <v>68</v>
      </c>
      <c r="Q175" s="1289"/>
      <c r="R175" s="1289"/>
      <c r="S175" s="1290"/>
    </row>
    <row r="176" spans="1:19">
      <c r="A176" s="390"/>
      <c r="B176" s="390"/>
      <c r="C176" s="390"/>
      <c r="D176" s="390"/>
      <c r="E176" s="390"/>
      <c r="F176" s="390"/>
      <c r="G176" s="390"/>
      <c r="H176" s="390"/>
      <c r="I176" s="390"/>
      <c r="J176" s="390"/>
      <c r="K176" s="390"/>
      <c r="L176" s="390"/>
      <c r="M176" s="390"/>
      <c r="N176" s="390"/>
      <c r="O176" s="390"/>
      <c r="P176" s="390"/>
      <c r="Q176" s="390"/>
      <c r="R176" s="390"/>
      <c r="S176" s="390"/>
    </row>
    <row r="177" spans="1:19">
      <c r="A177" s="390"/>
      <c r="B177" s="390"/>
      <c r="C177" s="390"/>
      <c r="D177" s="390"/>
      <c r="E177" s="390"/>
      <c r="F177" s="390"/>
      <c r="G177" s="390"/>
      <c r="H177" s="390"/>
      <c r="I177" s="390"/>
      <c r="J177" s="390"/>
      <c r="K177" s="390"/>
      <c r="L177" s="390"/>
      <c r="M177" s="390"/>
      <c r="N177" s="390"/>
      <c r="O177" s="390"/>
      <c r="P177" s="390"/>
      <c r="Q177" s="390"/>
      <c r="R177" s="390"/>
      <c r="S177" s="390"/>
    </row>
    <row r="178" spans="1:19">
      <c r="A178" s="390"/>
      <c r="B178" s="390"/>
      <c r="C178" s="390"/>
      <c r="D178" s="390"/>
      <c r="E178" s="390"/>
      <c r="F178" s="390"/>
      <c r="G178" s="390"/>
      <c r="H178" s="390"/>
      <c r="I178" s="390"/>
      <c r="J178" s="390"/>
      <c r="K178" s="390"/>
      <c r="L178" s="390"/>
      <c r="M178" s="390"/>
      <c r="N178" s="390"/>
      <c r="O178" s="390"/>
      <c r="P178" s="390"/>
      <c r="Q178" s="390"/>
      <c r="R178" s="390"/>
      <c r="S178" s="390"/>
    </row>
    <row r="179" spans="1:19">
      <c r="A179" s="390"/>
      <c r="B179" s="390"/>
      <c r="C179" s="390"/>
      <c r="D179" s="390"/>
      <c r="E179" s="390"/>
      <c r="F179" s="390"/>
      <c r="G179" s="390"/>
      <c r="H179" s="390"/>
      <c r="I179" s="390"/>
      <c r="J179" s="390"/>
      <c r="K179" s="390"/>
      <c r="L179" s="390"/>
      <c r="M179" s="390"/>
      <c r="N179" s="390"/>
      <c r="O179" s="390"/>
      <c r="P179" s="390"/>
      <c r="Q179" s="390"/>
      <c r="R179" s="390"/>
      <c r="S179" s="390"/>
    </row>
    <row r="180" spans="1:19">
      <c r="A180" s="390"/>
      <c r="B180" s="390"/>
      <c r="C180" s="390"/>
      <c r="D180" s="390"/>
      <c r="E180" s="390"/>
      <c r="F180" s="390"/>
      <c r="G180" s="390"/>
      <c r="H180" s="390"/>
      <c r="I180" s="390"/>
      <c r="J180" s="390"/>
      <c r="K180" s="390"/>
      <c r="L180" s="390"/>
      <c r="M180" s="390"/>
      <c r="N180" s="390"/>
      <c r="O180" s="390"/>
      <c r="P180" s="390"/>
      <c r="Q180" s="390"/>
      <c r="R180" s="390"/>
      <c r="S180" s="390"/>
    </row>
    <row r="185" spans="1:19" ht="15.75" thickBot="1"/>
    <row r="186" spans="1:19" ht="26.25">
      <c r="A186" s="1270" t="s">
        <v>53</v>
      </c>
      <c r="B186" s="1271"/>
      <c r="C186" s="1271"/>
      <c r="D186" s="1271"/>
      <c r="E186" s="1271"/>
      <c r="F186" s="1271"/>
      <c r="G186" s="1271"/>
      <c r="H186" s="1271"/>
      <c r="I186" s="1272"/>
      <c r="J186" s="390"/>
      <c r="K186" s="1270" t="s">
        <v>53</v>
      </c>
      <c r="L186" s="1271"/>
      <c r="M186" s="1271"/>
      <c r="N186" s="1271"/>
      <c r="O186" s="1271"/>
      <c r="P186" s="1271"/>
      <c r="Q186" s="1271"/>
      <c r="R186" s="1271"/>
      <c r="S186" s="1272"/>
    </row>
    <row r="187" spans="1:19">
      <c r="A187" s="1273" t="s">
        <v>54</v>
      </c>
      <c r="B187" s="1274"/>
      <c r="C187" s="1274"/>
      <c r="D187" s="1274"/>
      <c r="E187" s="1274"/>
      <c r="F187" s="1274"/>
      <c r="G187" s="1274"/>
      <c r="H187" s="1274"/>
      <c r="I187" s="1211"/>
      <c r="J187" s="390"/>
      <c r="K187" s="1273" t="s">
        <v>54</v>
      </c>
      <c r="L187" s="1274"/>
      <c r="M187" s="1274"/>
      <c r="N187" s="1274"/>
      <c r="O187" s="1274"/>
      <c r="P187" s="1274"/>
      <c r="Q187" s="1274"/>
      <c r="R187" s="1274"/>
      <c r="S187" s="1211"/>
    </row>
    <row r="188" spans="1:19">
      <c r="A188" s="15"/>
      <c r="B188" s="390"/>
      <c r="C188" s="390"/>
      <c r="D188" s="390"/>
      <c r="E188" s="390"/>
      <c r="F188" s="390"/>
      <c r="G188" s="390"/>
      <c r="H188" s="390"/>
      <c r="I188" s="16"/>
      <c r="J188" s="390"/>
      <c r="K188" s="15"/>
      <c r="L188" s="390"/>
      <c r="M188" s="390"/>
      <c r="N188" s="390"/>
      <c r="O188" s="390"/>
      <c r="P188" s="390"/>
      <c r="Q188" s="390"/>
      <c r="R188" s="390"/>
      <c r="S188" s="16"/>
    </row>
    <row r="189" spans="1:19">
      <c r="A189" s="17" t="s">
        <v>55</v>
      </c>
      <c r="B189" s="4"/>
      <c r="C189" s="4"/>
      <c r="D189" s="8" t="str">
        <f>'04-22-Master'!F5</f>
        <v>Burgeon IT Services Pvt.Ltd.</v>
      </c>
      <c r="E189" s="390"/>
      <c r="F189" s="390"/>
      <c r="G189" s="390"/>
      <c r="H189" s="390"/>
      <c r="I189" s="16"/>
      <c r="J189" s="390"/>
      <c r="K189" s="17" t="s">
        <v>55</v>
      </c>
      <c r="L189" s="4"/>
      <c r="M189" s="4"/>
      <c r="N189" s="8"/>
      <c r="O189" s="381" t="str">
        <f>D189</f>
        <v>Burgeon IT Services Pvt.Ltd.</v>
      </c>
      <c r="P189" s="390"/>
      <c r="Q189" s="390"/>
      <c r="R189" s="390"/>
      <c r="S189" s="16"/>
    </row>
    <row r="190" spans="1:19">
      <c r="A190" s="17"/>
      <c r="B190" s="4" t="str">
        <f>'04-22-Master'!F6</f>
        <v>Siri Mansion LIGB 436 Dr.A S Rao Nagar,Hyderabad</v>
      </c>
      <c r="C190" s="4"/>
      <c r="D190" s="4"/>
      <c r="E190" s="390"/>
      <c r="F190" s="390"/>
      <c r="G190" s="390"/>
      <c r="H190" s="390"/>
      <c r="I190" s="16"/>
      <c r="J190" s="390"/>
      <c r="K190" s="17"/>
      <c r="L190" s="4" t="str">
        <f>B190</f>
        <v>Siri Mansion LIGB 436 Dr.A S Rao Nagar,Hyderabad</v>
      </c>
      <c r="M190" s="4"/>
      <c r="N190" s="4"/>
      <c r="O190" s="390"/>
      <c r="P190" s="390"/>
      <c r="Q190" s="390"/>
      <c r="R190" s="390"/>
      <c r="S190" s="16"/>
    </row>
    <row r="191" spans="1:19">
      <c r="A191" s="17"/>
      <c r="B191" s="4"/>
      <c r="C191" s="4"/>
      <c r="D191" s="4"/>
      <c r="E191" s="4"/>
      <c r="F191" s="390"/>
      <c r="G191" s="390"/>
      <c r="H191" s="390"/>
      <c r="I191" s="16"/>
      <c r="J191" s="390"/>
      <c r="K191" s="17"/>
      <c r="L191" s="4">
        <f>B191</f>
        <v>0</v>
      </c>
      <c r="M191" s="4"/>
      <c r="N191" s="4"/>
      <c r="O191" s="4"/>
      <c r="P191" s="390"/>
      <c r="Q191" s="390"/>
      <c r="R191" s="390"/>
      <c r="S191" s="16"/>
    </row>
    <row r="192" spans="1:19">
      <c r="A192" s="1275" t="s">
        <v>56</v>
      </c>
      <c r="B192" s="1269"/>
      <c r="C192" s="1269"/>
      <c r="D192" s="1269"/>
      <c r="E192" s="4"/>
      <c r="F192" s="390"/>
      <c r="G192" s="390"/>
      <c r="H192" s="390"/>
      <c r="I192" s="16"/>
      <c r="J192" s="390"/>
      <c r="K192" s="1275" t="s">
        <v>56</v>
      </c>
      <c r="L192" s="1269"/>
      <c r="M192" s="1269"/>
      <c r="N192" s="1269"/>
      <c r="O192" s="4"/>
      <c r="P192" s="390"/>
      <c r="Q192" s="390"/>
      <c r="R192" s="390"/>
      <c r="S192" s="16"/>
    </row>
    <row r="193" spans="1:19">
      <c r="A193" s="1275"/>
      <c r="B193" s="1269"/>
      <c r="C193" s="1269"/>
      <c r="D193" s="1269"/>
      <c r="E193" s="18" t="str">
        <f>'04-22-Master'!B20</f>
        <v xml:space="preserve">Shekhar Panchal  </v>
      </c>
      <c r="F193" s="19"/>
      <c r="G193" s="19"/>
      <c r="H193" s="19" t="str">
        <f>'04-22-Master'!E20</f>
        <v>Naresh Kumar Panchal</v>
      </c>
      <c r="I193" s="16"/>
      <c r="J193" s="390"/>
      <c r="K193" s="1275"/>
      <c r="L193" s="1269"/>
      <c r="M193" s="1269"/>
      <c r="N193" s="1269"/>
      <c r="O193" s="18" t="str">
        <f>E193</f>
        <v xml:space="preserve">Shekhar Panchal  </v>
      </c>
      <c r="P193" s="19"/>
      <c r="Q193" s="19" t="str">
        <f>H193</f>
        <v>Naresh Kumar Panchal</v>
      </c>
      <c r="R193" s="19"/>
      <c r="S193" s="16"/>
    </row>
    <row r="194" spans="1:19">
      <c r="A194" s="17"/>
      <c r="B194" s="4"/>
      <c r="C194" s="4"/>
      <c r="D194" s="4"/>
      <c r="E194" s="4"/>
      <c r="F194" s="390"/>
      <c r="G194" s="390"/>
      <c r="H194" s="390"/>
      <c r="I194" s="16"/>
      <c r="J194" s="390"/>
      <c r="K194" s="17"/>
      <c r="L194" s="4"/>
      <c r="M194" s="4"/>
      <c r="N194" s="4"/>
      <c r="O194" s="4"/>
      <c r="P194" s="390"/>
      <c r="Q194" s="390"/>
      <c r="R194" s="390"/>
      <c r="S194" s="16"/>
    </row>
    <row r="195" spans="1:19">
      <c r="A195" s="1268" t="s">
        <v>57</v>
      </c>
      <c r="B195" s="1265"/>
      <c r="C195" s="1265"/>
      <c r="D195" s="1265"/>
      <c r="E195" s="18" t="str">
        <f>'04-22-Master'!F8</f>
        <v>IT SUPPORTIVE SERVICES &amp; HYDERABAD SEZ</v>
      </c>
      <c r="F195" s="19"/>
      <c r="G195" s="19"/>
      <c r="H195" s="19"/>
      <c r="I195" s="16"/>
      <c r="J195" s="390"/>
      <c r="K195" s="1268" t="s">
        <v>57</v>
      </c>
      <c r="L195" s="1265"/>
      <c r="M195" s="1265"/>
      <c r="N195" s="1265"/>
      <c r="O195" s="18" t="str">
        <f>E195</f>
        <v>IT SUPPORTIVE SERVICES &amp; HYDERABAD SEZ</v>
      </c>
      <c r="P195" s="19"/>
      <c r="Q195" s="19"/>
      <c r="R195" s="19"/>
      <c r="S195" s="16"/>
    </row>
    <row r="196" spans="1:19">
      <c r="A196" s="17"/>
      <c r="B196" s="4"/>
      <c r="C196" s="4"/>
      <c r="D196" s="4"/>
      <c r="E196" s="4"/>
      <c r="F196" s="390"/>
      <c r="G196" s="390"/>
      <c r="H196" s="390"/>
      <c r="I196" s="16"/>
      <c r="J196" s="390"/>
      <c r="K196" s="17"/>
      <c r="L196" s="4"/>
      <c r="M196" s="4"/>
      <c r="N196" s="4"/>
      <c r="O196" s="4"/>
      <c r="P196" s="390"/>
      <c r="Q196" s="390"/>
      <c r="R196" s="390"/>
      <c r="S196" s="16"/>
    </row>
    <row r="197" spans="1:19">
      <c r="A197" s="1268" t="s">
        <v>58</v>
      </c>
      <c r="B197" s="1265"/>
      <c r="C197" s="1265"/>
      <c r="D197" s="1265"/>
      <c r="E197" s="20">
        <f>'04-22-Master'!D10</f>
        <v>44652</v>
      </c>
      <c r="F197" s="19"/>
      <c r="G197" s="19"/>
      <c r="H197" s="19"/>
      <c r="I197" s="16"/>
      <c r="J197" s="390"/>
      <c r="K197" s="1268" t="s">
        <v>58</v>
      </c>
      <c r="L197" s="1265"/>
      <c r="M197" s="1265"/>
      <c r="N197" s="1265"/>
      <c r="O197" s="20">
        <f>E197</f>
        <v>44652</v>
      </c>
      <c r="P197" s="19"/>
      <c r="Q197" s="19"/>
      <c r="R197" s="19"/>
      <c r="S197" s="16"/>
    </row>
    <row r="198" spans="1:19">
      <c r="A198" s="17"/>
      <c r="B198" s="4"/>
      <c r="C198" s="4"/>
      <c r="D198" s="4"/>
      <c r="E198" s="4"/>
      <c r="F198" s="390"/>
      <c r="G198" s="390"/>
      <c r="H198" s="390"/>
      <c r="I198" s="16"/>
      <c r="J198" s="390"/>
      <c r="K198" s="17"/>
      <c r="L198" s="4"/>
      <c r="M198" s="4"/>
      <c r="N198" s="4"/>
      <c r="O198" s="4"/>
      <c r="P198" s="390"/>
      <c r="Q198" s="390"/>
      <c r="R198" s="390"/>
      <c r="S198" s="16"/>
    </row>
    <row r="199" spans="1:19">
      <c r="A199" s="21">
        <v>1</v>
      </c>
      <c r="B199" s="1265" t="s">
        <v>59</v>
      </c>
      <c r="C199" s="1265"/>
      <c r="D199" s="1265"/>
      <c r="E199" s="295">
        <f>'04-22-Master'!Q20</f>
        <v>30</v>
      </c>
      <c r="F199" s="19"/>
      <c r="G199" s="19"/>
      <c r="H199" s="19"/>
      <c r="I199" s="16"/>
      <c r="J199" s="390"/>
      <c r="K199" s="21">
        <v>1</v>
      </c>
      <c r="L199" s="1265" t="s">
        <v>59</v>
      </c>
      <c r="M199" s="1265"/>
      <c r="N199" s="1265"/>
      <c r="O199" s="22">
        <f>E199</f>
        <v>30</v>
      </c>
      <c r="P199" s="19"/>
      <c r="Q199" s="19"/>
      <c r="R199" s="19"/>
      <c r="S199" s="16"/>
    </row>
    <row r="200" spans="1:19">
      <c r="A200" s="21"/>
      <c r="B200" s="4"/>
      <c r="C200" s="4"/>
      <c r="D200" s="4"/>
      <c r="E200" s="4"/>
      <c r="F200" s="390"/>
      <c r="G200" s="390"/>
      <c r="H200" s="390"/>
      <c r="I200" s="16"/>
      <c r="J200" s="390"/>
      <c r="K200" s="21"/>
      <c r="L200" s="4"/>
      <c r="M200" s="4"/>
      <c r="N200" s="4"/>
      <c r="O200" s="4"/>
      <c r="P200" s="390"/>
      <c r="Q200" s="390"/>
      <c r="R200" s="390"/>
      <c r="S200" s="16"/>
    </row>
    <row r="201" spans="1:19">
      <c r="A201" s="21">
        <v>2</v>
      </c>
      <c r="B201" s="1269" t="s">
        <v>60</v>
      </c>
      <c r="C201" s="1269"/>
      <c r="D201" s="1269"/>
      <c r="E201" s="4"/>
      <c r="F201" s="390"/>
      <c r="G201" s="390"/>
      <c r="H201" s="390"/>
      <c r="I201" s="16"/>
      <c r="J201" s="390"/>
      <c r="K201" s="21">
        <v>2</v>
      </c>
      <c r="L201" s="1269" t="s">
        <v>60</v>
      </c>
      <c r="M201" s="1269"/>
      <c r="N201" s="1269"/>
      <c r="O201" s="4"/>
      <c r="P201" s="390"/>
      <c r="Q201" s="390"/>
      <c r="R201" s="390"/>
      <c r="S201" s="16"/>
    </row>
    <row r="202" spans="1:19">
      <c r="A202" s="21"/>
      <c r="B202" s="1269"/>
      <c r="C202" s="1269"/>
      <c r="D202" s="1269"/>
      <c r="E202" s="23" t="s">
        <v>37</v>
      </c>
      <c r="F202" s="19"/>
      <c r="G202" s="19"/>
      <c r="H202" s="19"/>
      <c r="I202" s="16"/>
      <c r="J202" s="390"/>
      <c r="K202" s="21"/>
      <c r="L202" s="1269"/>
      <c r="M202" s="1269"/>
      <c r="N202" s="1269"/>
      <c r="O202" s="23" t="s">
        <v>37</v>
      </c>
      <c r="P202" s="19"/>
      <c r="Q202" s="19"/>
      <c r="R202" s="19"/>
      <c r="S202" s="16"/>
    </row>
    <row r="203" spans="1:19">
      <c r="A203" s="21"/>
      <c r="B203" s="4"/>
      <c r="C203" s="4"/>
      <c r="D203" s="4"/>
      <c r="E203" s="4"/>
      <c r="F203" s="390"/>
      <c r="G203" s="390"/>
      <c r="H203" s="390"/>
      <c r="I203" s="16"/>
      <c r="J203" s="390"/>
      <c r="K203" s="21"/>
      <c r="L203" s="4"/>
      <c r="M203" s="4"/>
      <c r="N203" s="4"/>
      <c r="O203" s="4"/>
      <c r="P203" s="390"/>
      <c r="Q203" s="390"/>
      <c r="R203" s="390"/>
      <c r="S203" s="16"/>
    </row>
    <row r="204" spans="1:19">
      <c r="A204" s="21">
        <v>3</v>
      </c>
      <c r="B204" s="1265" t="s">
        <v>61</v>
      </c>
      <c r="C204" s="1265"/>
      <c r="D204" s="1265"/>
      <c r="E204" s="23" t="s">
        <v>37</v>
      </c>
      <c r="F204" s="19"/>
      <c r="G204" s="19"/>
      <c r="H204" s="19"/>
      <c r="I204" s="16"/>
      <c r="J204" s="390"/>
      <c r="K204" s="21">
        <v>3</v>
      </c>
      <c r="L204" s="1265" t="s">
        <v>61</v>
      </c>
      <c r="M204" s="1265"/>
      <c r="N204" s="1265"/>
      <c r="O204" s="18" t="str">
        <f>E204</f>
        <v>N/A</v>
      </c>
      <c r="P204" s="19"/>
      <c r="Q204" s="19"/>
      <c r="R204" s="19"/>
      <c r="S204" s="16"/>
    </row>
    <row r="205" spans="1:19">
      <c r="A205" s="21"/>
      <c r="B205" s="4"/>
      <c r="C205" s="4"/>
      <c r="D205" s="4"/>
      <c r="E205" s="4"/>
      <c r="F205" s="390"/>
      <c r="G205" s="390"/>
      <c r="H205" s="390"/>
      <c r="I205" s="16"/>
      <c r="J205" s="390"/>
      <c r="K205" s="21"/>
      <c r="L205" s="4"/>
      <c r="M205" s="4"/>
      <c r="N205" s="4"/>
      <c r="O205" s="4"/>
      <c r="P205" s="390"/>
      <c r="Q205" s="390"/>
      <c r="R205" s="390"/>
      <c r="S205" s="16"/>
    </row>
    <row r="206" spans="1:19">
      <c r="A206" s="21">
        <v>4</v>
      </c>
      <c r="B206" s="1265" t="s">
        <v>62</v>
      </c>
      <c r="C206" s="1265"/>
      <c r="D206" s="1265"/>
      <c r="E206" s="23" t="s">
        <v>63</v>
      </c>
      <c r="F206" s="19"/>
      <c r="G206" s="19"/>
      <c r="H206" s="19"/>
      <c r="I206" s="16"/>
      <c r="J206" s="390"/>
      <c r="K206" s="21">
        <v>4</v>
      </c>
      <c r="L206" s="1265" t="s">
        <v>62</v>
      </c>
      <c r="M206" s="1265"/>
      <c r="N206" s="1265"/>
      <c r="O206" s="23" t="s">
        <v>63</v>
      </c>
      <c r="P206" s="19"/>
      <c r="Q206" s="19"/>
      <c r="R206" s="19"/>
      <c r="S206" s="16"/>
    </row>
    <row r="207" spans="1:19">
      <c r="A207" s="21"/>
      <c r="B207" s="4"/>
      <c r="C207" s="4"/>
      <c r="D207" s="4"/>
      <c r="E207" s="4"/>
      <c r="F207" s="390"/>
      <c r="G207" s="390"/>
      <c r="H207" s="390"/>
      <c r="I207" s="16"/>
      <c r="J207" s="390"/>
      <c r="K207" s="21"/>
      <c r="L207" s="4"/>
      <c r="M207" s="4"/>
      <c r="N207" s="4"/>
      <c r="O207" s="4"/>
      <c r="P207" s="390"/>
      <c r="Q207" s="390"/>
      <c r="R207" s="390"/>
      <c r="S207" s="16"/>
    </row>
    <row r="208" spans="1:19">
      <c r="A208" s="21">
        <v>5</v>
      </c>
      <c r="B208" s="1265" t="s">
        <v>64</v>
      </c>
      <c r="C208" s="1265"/>
      <c r="D208" s="1265"/>
      <c r="E208" s="295">
        <f>'04-22-Master'!AG20</f>
        <v>73275.862639999992</v>
      </c>
      <c r="F208" s="390"/>
      <c r="G208" s="390"/>
      <c r="H208" s="390"/>
      <c r="I208" s="16"/>
      <c r="J208" s="390"/>
      <c r="K208" s="21">
        <v>5</v>
      </c>
      <c r="L208" s="1265" t="s">
        <v>64</v>
      </c>
      <c r="M208" s="1265"/>
      <c r="N208" s="1265"/>
      <c r="O208" s="295">
        <f>E208</f>
        <v>73275.862639999992</v>
      </c>
      <c r="P208" s="390"/>
      <c r="Q208" s="390"/>
      <c r="R208" s="390"/>
      <c r="S208" s="16"/>
    </row>
    <row r="209" spans="1:19">
      <c r="A209" s="21"/>
      <c r="B209" s="4"/>
      <c r="C209" s="4"/>
      <c r="D209" s="296" t="s">
        <v>65</v>
      </c>
      <c r="E209" s="296" t="s">
        <v>31</v>
      </c>
      <c r="F209" s="296" t="s">
        <v>33</v>
      </c>
      <c r="G209" s="296" t="s">
        <v>34</v>
      </c>
      <c r="H209" s="296" t="s">
        <v>399</v>
      </c>
      <c r="I209" s="294" t="s">
        <v>400</v>
      </c>
      <c r="J209" s="390"/>
      <c r="K209" s="21"/>
      <c r="L209" s="4"/>
      <c r="M209" s="4"/>
      <c r="N209" s="296" t="s">
        <v>65</v>
      </c>
      <c r="O209" s="296" t="s">
        <v>31</v>
      </c>
      <c r="P209" s="296" t="s">
        <v>33</v>
      </c>
      <c r="Q209" s="296" t="s">
        <v>34</v>
      </c>
      <c r="R209" s="296" t="s">
        <v>399</v>
      </c>
      <c r="S209" s="294" t="s">
        <v>400</v>
      </c>
    </row>
    <row r="210" spans="1:19">
      <c r="A210" s="21">
        <v>6</v>
      </c>
      <c r="B210" s="526" t="s">
        <v>66</v>
      </c>
      <c r="C210" s="526"/>
      <c r="D210" s="297">
        <v>1800</v>
      </c>
      <c r="E210" s="297">
        <f>'04-22-Master'!AH66</f>
        <v>0</v>
      </c>
      <c r="F210" s="298">
        <v>200</v>
      </c>
      <c r="G210" s="297">
        <f>'04-22-Master'!AK20</f>
        <v>0</v>
      </c>
      <c r="H210" s="298">
        <f>'04-22-Master'!AL20</f>
        <v>336</v>
      </c>
      <c r="I210" s="298">
        <f>D210+E210+F210+G210+H210</f>
        <v>2336</v>
      </c>
      <c r="J210" s="390"/>
      <c r="K210" s="21">
        <v>6</v>
      </c>
      <c r="L210" s="526" t="s">
        <v>66</v>
      </c>
      <c r="M210" s="526"/>
      <c r="N210" s="297">
        <f t="shared" ref="N210" si="14">D210</f>
        <v>1800</v>
      </c>
      <c r="O210" s="297">
        <f t="shared" ref="O210" si="15">E210</f>
        <v>0</v>
      </c>
      <c r="P210" s="298">
        <f t="shared" ref="P210" si="16">F210</f>
        <v>200</v>
      </c>
      <c r="Q210" s="297">
        <f t="shared" ref="Q210" si="17">G210</f>
        <v>0</v>
      </c>
      <c r="R210" s="298">
        <f t="shared" ref="R210" si="18">H210</f>
        <v>336</v>
      </c>
      <c r="S210" s="298">
        <f t="shared" ref="S210" si="19">I210</f>
        <v>2336</v>
      </c>
    </row>
    <row r="211" spans="1:19">
      <c r="A211" s="21"/>
      <c r="B211" s="4"/>
      <c r="C211" s="4"/>
      <c r="D211" s="4"/>
      <c r="E211" s="4"/>
      <c r="F211" s="390"/>
      <c r="G211" s="390"/>
      <c r="H211" s="390"/>
      <c r="I211" s="16"/>
      <c r="J211" s="390"/>
      <c r="K211" s="21"/>
      <c r="L211" s="4"/>
      <c r="M211" s="4"/>
      <c r="N211" s="4"/>
      <c r="O211" s="4"/>
      <c r="P211" s="390"/>
      <c r="Q211" s="390"/>
      <c r="R211" s="390"/>
      <c r="S211" s="16"/>
    </row>
    <row r="212" spans="1:19">
      <c r="A212" s="21">
        <v>7</v>
      </c>
      <c r="B212" s="1265" t="s">
        <v>67</v>
      </c>
      <c r="C212" s="1265"/>
      <c r="D212" s="1265"/>
      <c r="E212" s="24">
        <f>E208-I210</f>
        <v>70939.862639999992</v>
      </c>
      <c r="F212" s="19"/>
      <c r="G212" s="19"/>
      <c r="H212" s="19"/>
      <c r="I212" s="16"/>
      <c r="J212" s="390"/>
      <c r="K212" s="21">
        <v>7</v>
      </c>
      <c r="L212" s="1265" t="s">
        <v>67</v>
      </c>
      <c r="M212" s="1265"/>
      <c r="N212" s="1265"/>
      <c r="O212" s="24">
        <f>E212</f>
        <v>70939.862639999992</v>
      </c>
      <c r="P212" s="19"/>
      <c r="Q212" s="19"/>
      <c r="R212" s="19"/>
      <c r="S212" s="16"/>
    </row>
    <row r="213" spans="1:19">
      <c r="A213" s="15"/>
      <c r="B213" s="390"/>
      <c r="C213" s="390"/>
      <c r="D213" s="390"/>
      <c r="E213" s="390"/>
      <c r="F213" s="390"/>
      <c r="G213" s="390"/>
      <c r="H213" s="390"/>
      <c r="I213" s="16"/>
      <c r="J213" s="390"/>
      <c r="K213" s="15"/>
      <c r="L213" s="390"/>
      <c r="M213" s="390"/>
      <c r="N213" s="390"/>
      <c r="O213" s="390"/>
      <c r="P213" s="390"/>
      <c r="Q213" s="390"/>
      <c r="R213" s="390"/>
      <c r="S213" s="16"/>
    </row>
    <row r="214" spans="1:19">
      <c r="A214" s="15"/>
      <c r="B214" s="390"/>
      <c r="C214" s="390"/>
      <c r="D214" s="390"/>
      <c r="E214" s="390"/>
      <c r="F214" s="390"/>
      <c r="G214" s="390"/>
      <c r="H214" s="390"/>
      <c r="I214" s="16"/>
      <c r="J214" s="390"/>
      <c r="K214" s="15"/>
      <c r="L214" s="390"/>
      <c r="M214" s="390"/>
      <c r="N214" s="390"/>
      <c r="O214" s="390"/>
      <c r="P214" s="390"/>
      <c r="Q214" s="390"/>
      <c r="R214" s="390"/>
      <c r="S214" s="16"/>
    </row>
    <row r="215" spans="1:19" ht="15.75" thickBot="1">
      <c r="A215" s="15"/>
      <c r="B215" s="390"/>
      <c r="C215" s="390"/>
      <c r="D215" s="390"/>
      <c r="E215" s="390"/>
      <c r="F215" s="25"/>
      <c r="G215" s="25"/>
      <c r="H215" s="25"/>
      <c r="I215" s="26"/>
      <c r="J215" s="390"/>
      <c r="K215" s="15"/>
      <c r="L215" s="390"/>
      <c r="M215" s="390"/>
      <c r="N215" s="390"/>
      <c r="O215" s="390"/>
      <c r="P215" s="25"/>
      <c r="Q215" s="25"/>
      <c r="R215" s="25"/>
      <c r="S215" s="26"/>
    </row>
    <row r="216" spans="1:19" ht="15.75" thickBot="1">
      <c r="A216" s="27"/>
      <c r="B216" s="25"/>
      <c r="C216" s="25"/>
      <c r="D216" s="25"/>
      <c r="E216" s="25"/>
      <c r="F216" s="1266" t="s">
        <v>68</v>
      </c>
      <c r="G216" s="1266"/>
      <c r="H216" s="1266"/>
      <c r="I216" s="1267"/>
      <c r="J216" s="390"/>
      <c r="K216" s="27"/>
      <c r="L216" s="25"/>
      <c r="M216" s="25"/>
      <c r="N216" s="25"/>
      <c r="O216" s="25"/>
      <c r="P216" s="1266" t="s">
        <v>68</v>
      </c>
      <c r="Q216" s="1266"/>
      <c r="R216" s="1266"/>
      <c r="S216" s="1267"/>
    </row>
    <row r="217" spans="1:19">
      <c r="A217" s="390"/>
      <c r="B217" s="390"/>
      <c r="C217" s="390"/>
      <c r="D217" s="390"/>
      <c r="E217" s="390"/>
      <c r="F217" s="390"/>
      <c r="G217" s="390"/>
      <c r="H217" s="390"/>
      <c r="I217" s="390"/>
      <c r="J217" s="390"/>
      <c r="K217" s="390"/>
      <c r="L217" s="390"/>
      <c r="M217" s="390"/>
      <c r="N217" s="390"/>
      <c r="O217" s="390"/>
      <c r="P217" s="390"/>
      <c r="Q217" s="390"/>
      <c r="R217" s="390"/>
      <c r="S217" s="390"/>
    </row>
    <row r="218" spans="1:19">
      <c r="A218" s="390"/>
      <c r="B218" s="390"/>
      <c r="C218" s="390"/>
      <c r="D218" s="390"/>
      <c r="E218" s="390"/>
      <c r="F218" s="390"/>
      <c r="G218" s="390"/>
      <c r="H218" s="390"/>
      <c r="I218" s="390"/>
      <c r="J218" s="390"/>
      <c r="K218" s="390"/>
      <c r="L218" s="390"/>
      <c r="M218" s="390"/>
      <c r="N218" s="390"/>
      <c r="O218" s="390"/>
      <c r="P218" s="390"/>
      <c r="Q218" s="390"/>
      <c r="R218" s="390"/>
      <c r="S218" s="390"/>
    </row>
    <row r="219" spans="1:19">
      <c r="A219" s="390"/>
      <c r="B219" s="390"/>
      <c r="C219" s="390"/>
      <c r="D219" s="390"/>
      <c r="E219" s="390"/>
      <c r="F219" s="390"/>
      <c r="G219" s="390"/>
      <c r="H219" s="390"/>
      <c r="I219" s="390"/>
      <c r="J219" s="390"/>
      <c r="K219" s="390"/>
      <c r="L219" s="390"/>
      <c r="M219" s="390"/>
      <c r="N219" s="390"/>
      <c r="O219" s="390"/>
      <c r="P219" s="390"/>
      <c r="Q219" s="390"/>
      <c r="R219" s="390"/>
      <c r="S219" s="390"/>
    </row>
    <row r="220" spans="1:19">
      <c r="A220" s="390"/>
      <c r="B220" s="390"/>
      <c r="C220" s="390"/>
      <c r="D220" s="390"/>
      <c r="E220" s="390"/>
      <c r="F220" s="390"/>
      <c r="G220" s="390"/>
      <c r="H220" s="390"/>
      <c r="I220" s="390"/>
      <c r="J220" s="390"/>
      <c r="K220" s="390"/>
      <c r="L220" s="390"/>
      <c r="M220" s="390"/>
      <c r="N220" s="390"/>
      <c r="O220" s="390"/>
      <c r="P220" s="390"/>
      <c r="Q220" s="390"/>
      <c r="R220" s="390"/>
      <c r="S220" s="390"/>
    </row>
    <row r="221" spans="1:19">
      <c r="A221" s="390"/>
      <c r="B221" s="390"/>
      <c r="C221" s="390"/>
      <c r="D221" s="390"/>
      <c r="E221" s="390"/>
      <c r="F221" s="390"/>
      <c r="G221" s="390"/>
      <c r="H221" s="390"/>
      <c r="I221" s="390"/>
      <c r="J221" s="390"/>
      <c r="K221" s="390"/>
      <c r="L221" s="390"/>
      <c r="M221" s="390"/>
      <c r="N221" s="390"/>
      <c r="O221" s="390"/>
      <c r="P221" s="390"/>
      <c r="Q221" s="390"/>
      <c r="R221" s="390"/>
      <c r="S221" s="390"/>
    </row>
    <row r="226" spans="1:19" ht="15.75" thickBot="1"/>
    <row r="227" spans="1:19" ht="26.25">
      <c r="A227" s="1270" t="s">
        <v>53</v>
      </c>
      <c r="B227" s="1271"/>
      <c r="C227" s="1271"/>
      <c r="D227" s="1271"/>
      <c r="E227" s="1271"/>
      <c r="F227" s="1271"/>
      <c r="G227" s="1271"/>
      <c r="H227" s="1271"/>
      <c r="I227" s="1272"/>
      <c r="J227" s="390"/>
      <c r="K227" s="1270" t="s">
        <v>53</v>
      </c>
      <c r="L227" s="1271"/>
      <c r="M227" s="1271"/>
      <c r="N227" s="1271"/>
      <c r="O227" s="1271"/>
      <c r="P227" s="1271"/>
      <c r="Q227" s="1271"/>
      <c r="R227" s="1271"/>
      <c r="S227" s="1272"/>
    </row>
    <row r="228" spans="1:19">
      <c r="A228" s="1273" t="s">
        <v>54</v>
      </c>
      <c r="B228" s="1210"/>
      <c r="C228" s="1210"/>
      <c r="D228" s="1210"/>
      <c r="E228" s="1210"/>
      <c r="F228" s="1210"/>
      <c r="G228" s="1210"/>
      <c r="H228" s="1210"/>
      <c r="I228" s="1211"/>
      <c r="J228" s="390"/>
      <c r="K228" s="1273" t="s">
        <v>54</v>
      </c>
      <c r="L228" s="1210"/>
      <c r="M228" s="1210"/>
      <c r="N228" s="1210"/>
      <c r="O228" s="1210"/>
      <c r="P228" s="1210"/>
      <c r="Q228" s="1210"/>
      <c r="R228" s="1210"/>
      <c r="S228" s="1211"/>
    </row>
    <row r="229" spans="1:19">
      <c r="A229" s="15"/>
      <c r="B229" s="390"/>
      <c r="C229" s="390"/>
      <c r="D229" s="390"/>
      <c r="E229" s="390"/>
      <c r="F229" s="390"/>
      <c r="G229" s="390"/>
      <c r="H229" s="390"/>
      <c r="I229" s="16"/>
      <c r="J229" s="390"/>
      <c r="K229" s="15"/>
      <c r="L229" s="390"/>
      <c r="M229" s="390"/>
      <c r="N229" s="390"/>
      <c r="O229" s="390"/>
      <c r="P229" s="390"/>
      <c r="Q229" s="390"/>
      <c r="R229" s="390"/>
      <c r="S229" s="16"/>
    </row>
    <row r="230" spans="1:19">
      <c r="A230" s="17" t="s">
        <v>55</v>
      </c>
      <c r="B230" s="4"/>
      <c r="C230" s="4"/>
      <c r="D230" s="317" t="s">
        <v>425</v>
      </c>
      <c r="E230" s="390"/>
      <c r="F230" s="390"/>
      <c r="G230" s="390"/>
      <c r="H230" s="390"/>
      <c r="I230" s="16"/>
      <c r="J230" s="390"/>
      <c r="K230" s="17" t="s">
        <v>55</v>
      </c>
      <c r="L230" s="4"/>
      <c r="M230" s="4"/>
      <c r="N230" s="8"/>
      <c r="O230" s="381" t="str">
        <f>D230</f>
        <v>Burgeon IT Services Pvt.Ltd.</v>
      </c>
      <c r="P230" s="390"/>
      <c r="Q230" s="390"/>
      <c r="R230" s="390"/>
      <c r="S230" s="16"/>
    </row>
    <row r="231" spans="1:19">
      <c r="A231" s="17"/>
      <c r="B231" s="150" t="s">
        <v>426</v>
      </c>
      <c r="C231" s="4"/>
      <c r="E231" s="390"/>
      <c r="F231" s="390"/>
      <c r="G231" s="390"/>
      <c r="H231" s="390"/>
      <c r="I231" s="16"/>
      <c r="J231" s="390"/>
      <c r="K231" s="17"/>
      <c r="L231" s="4"/>
      <c r="M231" s="4"/>
      <c r="N231" s="4"/>
      <c r="O231" s="390"/>
      <c r="P231" s="390"/>
      <c r="Q231" s="390"/>
      <c r="R231" s="390"/>
      <c r="S231" s="16"/>
    </row>
    <row r="232" spans="1:19">
      <c r="A232" s="17"/>
      <c r="B232" s="4"/>
      <c r="C232" s="4"/>
      <c r="D232" s="4"/>
      <c r="E232" s="4"/>
      <c r="F232" s="390"/>
      <c r="G232" s="390"/>
      <c r="H232" s="390"/>
      <c r="I232" s="16"/>
      <c r="J232" s="390"/>
      <c r="K232" s="17"/>
      <c r="L232" s="4" t="str">
        <f>B231</f>
        <v>Siri Mansion LIGB 436 Dr.A S Rao Nagar,Hyderabad</v>
      </c>
      <c r="M232" s="4"/>
      <c r="N232" s="4"/>
      <c r="O232" s="4"/>
      <c r="P232" s="390"/>
      <c r="Q232" s="390"/>
      <c r="R232" s="390"/>
      <c r="S232" s="16"/>
    </row>
    <row r="233" spans="1:19">
      <c r="A233" s="1275" t="s">
        <v>56</v>
      </c>
      <c r="B233" s="1279"/>
      <c r="C233" s="1279"/>
      <c r="D233" s="1279"/>
      <c r="E233" s="4"/>
      <c r="F233" s="390"/>
      <c r="G233" s="390"/>
      <c r="H233" s="390"/>
      <c r="I233" s="16"/>
      <c r="J233" s="390"/>
      <c r="K233" s="1275" t="s">
        <v>56</v>
      </c>
      <c r="L233" s="1279"/>
      <c r="M233" s="1279"/>
      <c r="N233" s="1279"/>
      <c r="O233" s="4"/>
      <c r="P233" s="390"/>
      <c r="Q233" s="390"/>
      <c r="R233" s="390"/>
      <c r="S233" s="16"/>
    </row>
    <row r="234" spans="1:19">
      <c r="A234" s="1275"/>
      <c r="B234" s="1279"/>
      <c r="C234" s="1279"/>
      <c r="D234" s="1279"/>
      <c r="E234" s="18" t="str">
        <f>'04-22-Master'!B21</f>
        <v>Gangadhar Yarabham</v>
      </c>
      <c r="F234" s="19"/>
      <c r="G234" s="19"/>
      <c r="H234" s="19" t="str">
        <f>'04-22-Master'!E21</f>
        <v>Yarabham Savaraiah</v>
      </c>
      <c r="I234" s="16"/>
      <c r="J234" s="390"/>
      <c r="K234" s="1275"/>
      <c r="L234" s="1279"/>
      <c r="M234" s="1279"/>
      <c r="N234" s="1279"/>
      <c r="O234" s="18" t="str">
        <f>E234</f>
        <v>Gangadhar Yarabham</v>
      </c>
      <c r="P234" s="19"/>
      <c r="Q234" s="19"/>
      <c r="R234" s="19" t="str">
        <f>H234</f>
        <v>Yarabham Savaraiah</v>
      </c>
      <c r="S234" s="16"/>
    </row>
    <row r="235" spans="1:19">
      <c r="A235" s="17"/>
      <c r="B235" s="4"/>
      <c r="C235" s="4"/>
      <c r="D235" s="4"/>
      <c r="E235" s="4"/>
      <c r="F235" s="390"/>
      <c r="G235" s="390"/>
      <c r="H235" s="390"/>
      <c r="I235" s="16"/>
      <c r="J235" s="390"/>
      <c r="K235" s="17"/>
      <c r="L235" s="4"/>
      <c r="M235" s="4"/>
      <c r="N235" s="4"/>
      <c r="O235" s="4"/>
      <c r="P235" s="390"/>
      <c r="Q235" s="390"/>
      <c r="R235" s="390"/>
      <c r="S235" s="16"/>
    </row>
    <row r="236" spans="1:19">
      <c r="A236" s="1268" t="s">
        <v>57</v>
      </c>
      <c r="B236" s="1278"/>
      <c r="C236" s="1278"/>
      <c r="D236" s="1278"/>
      <c r="E236" s="18" t="s">
        <v>819</v>
      </c>
      <c r="F236" s="19"/>
      <c r="G236" s="19"/>
      <c r="H236" s="19"/>
      <c r="I236" s="16"/>
      <c r="J236" s="390"/>
      <c r="K236" s="1268" t="s">
        <v>57</v>
      </c>
      <c r="L236" s="1278"/>
      <c r="M236" s="1278"/>
      <c r="N236" s="1278"/>
      <c r="O236" s="18" t="str">
        <f>E236</f>
        <v>IT SUPPORTIVE SERVICES &amp; HYDERABAD SEZ</v>
      </c>
      <c r="P236" s="19"/>
      <c r="Q236" s="19"/>
      <c r="R236" s="19"/>
      <c r="S236" s="16"/>
    </row>
    <row r="237" spans="1:19">
      <c r="A237" s="17"/>
      <c r="B237" s="4"/>
      <c r="C237" s="4"/>
      <c r="D237" s="4"/>
      <c r="E237" s="4"/>
      <c r="F237" s="390"/>
      <c r="G237" s="390"/>
      <c r="H237" s="390"/>
      <c r="I237" s="16"/>
      <c r="J237" s="390"/>
      <c r="K237" s="17"/>
      <c r="L237" s="4"/>
      <c r="M237" s="4"/>
      <c r="N237" s="4"/>
      <c r="O237" s="4"/>
      <c r="P237" s="390"/>
      <c r="Q237" s="390"/>
      <c r="R237" s="390"/>
      <c r="S237" s="16"/>
    </row>
    <row r="238" spans="1:19">
      <c r="A238" s="1268" t="s">
        <v>58</v>
      </c>
      <c r="B238" s="1278"/>
      <c r="C238" s="1278"/>
      <c r="D238" s="1278"/>
      <c r="E238" s="20">
        <f>'04-22-Master'!D10</f>
        <v>44652</v>
      </c>
      <c r="F238" s="19"/>
      <c r="G238" s="19"/>
      <c r="H238" s="19"/>
      <c r="I238" s="16"/>
      <c r="J238" s="390"/>
      <c r="K238" s="1268" t="s">
        <v>58</v>
      </c>
      <c r="L238" s="1278"/>
      <c r="M238" s="1278"/>
      <c r="N238" s="1278"/>
      <c r="O238" s="20">
        <f>E238</f>
        <v>44652</v>
      </c>
      <c r="P238" s="19"/>
      <c r="Q238" s="19"/>
      <c r="R238" s="19"/>
      <c r="S238" s="16"/>
    </row>
    <row r="239" spans="1:19">
      <c r="A239" s="17"/>
      <c r="B239" s="4"/>
      <c r="C239" s="4"/>
      <c r="D239" s="4"/>
      <c r="E239" s="4"/>
      <c r="F239" s="390"/>
      <c r="G239" s="390"/>
      <c r="H239" s="390"/>
      <c r="I239" s="16"/>
      <c r="J239" s="390"/>
      <c r="K239" s="17"/>
      <c r="L239" s="4"/>
      <c r="M239" s="4"/>
      <c r="N239" s="4"/>
      <c r="O239" s="4"/>
      <c r="P239" s="390"/>
      <c r="Q239" s="390"/>
      <c r="R239" s="390"/>
      <c r="S239" s="16"/>
    </row>
    <row r="240" spans="1:19">
      <c r="A240" s="21">
        <v>1</v>
      </c>
      <c r="B240" s="1265" t="s">
        <v>59</v>
      </c>
      <c r="C240" s="1265"/>
      <c r="D240" s="1265"/>
      <c r="E240" s="22">
        <f>'04-22-Master'!Q21</f>
        <v>30</v>
      </c>
      <c r="F240" s="19"/>
      <c r="G240" s="19"/>
      <c r="H240" s="19"/>
      <c r="I240" s="16"/>
      <c r="J240" s="390"/>
      <c r="K240" s="21">
        <v>1</v>
      </c>
      <c r="L240" s="1265" t="s">
        <v>59</v>
      </c>
      <c r="M240" s="1265"/>
      <c r="N240" s="1265"/>
      <c r="O240" s="22">
        <f>E240</f>
        <v>30</v>
      </c>
      <c r="P240" s="19"/>
      <c r="Q240" s="19"/>
      <c r="R240" s="19"/>
      <c r="S240" s="16"/>
    </row>
    <row r="241" spans="1:19">
      <c r="A241" s="21"/>
      <c r="B241" s="4"/>
      <c r="C241" s="4"/>
      <c r="D241" s="4"/>
      <c r="E241" s="4"/>
      <c r="F241" s="390"/>
      <c r="G241" s="390"/>
      <c r="H241" s="390"/>
      <c r="I241" s="16"/>
      <c r="J241" s="390"/>
      <c r="K241" s="21"/>
      <c r="L241" s="4"/>
      <c r="M241" s="4"/>
      <c r="N241" s="4"/>
      <c r="O241" s="4"/>
      <c r="P241" s="390"/>
      <c r="Q241" s="390"/>
      <c r="R241" s="390"/>
      <c r="S241" s="16"/>
    </row>
    <row r="242" spans="1:19">
      <c r="A242" s="21">
        <v>2</v>
      </c>
      <c r="B242" s="1269" t="s">
        <v>60</v>
      </c>
      <c r="C242" s="1269"/>
      <c r="D242" s="1269"/>
      <c r="E242" s="4"/>
      <c r="F242" s="390"/>
      <c r="G242" s="390"/>
      <c r="H242" s="390"/>
      <c r="I242" s="16"/>
      <c r="J242" s="390"/>
      <c r="K242" s="21">
        <v>2</v>
      </c>
      <c r="L242" s="1269" t="s">
        <v>60</v>
      </c>
      <c r="M242" s="1269"/>
      <c r="N242" s="1269"/>
      <c r="O242" s="4"/>
      <c r="P242" s="390"/>
      <c r="Q242" s="390"/>
      <c r="R242" s="390"/>
      <c r="S242" s="16"/>
    </row>
    <row r="243" spans="1:19">
      <c r="A243" s="21"/>
      <c r="B243" s="1269"/>
      <c r="C243" s="1269"/>
      <c r="D243" s="1269"/>
      <c r="E243" s="23" t="s">
        <v>37</v>
      </c>
      <c r="F243" s="19"/>
      <c r="G243" s="19"/>
      <c r="H243" s="19"/>
      <c r="I243" s="16"/>
      <c r="J243" s="390"/>
      <c r="K243" s="21"/>
      <c r="L243" s="1269"/>
      <c r="M243" s="1269"/>
      <c r="N243" s="1269"/>
      <c r="O243" s="23" t="s">
        <v>37</v>
      </c>
      <c r="P243" s="19"/>
      <c r="Q243" s="19"/>
      <c r="R243" s="19"/>
      <c r="S243" s="16"/>
    </row>
    <row r="244" spans="1:19">
      <c r="A244" s="21"/>
      <c r="B244" s="4"/>
      <c r="C244" s="4"/>
      <c r="D244" s="4"/>
      <c r="E244" s="4"/>
      <c r="F244" s="390"/>
      <c r="G244" s="390"/>
      <c r="H244" s="390"/>
      <c r="I244" s="16"/>
      <c r="J244" s="390"/>
      <c r="K244" s="21"/>
      <c r="L244" s="4"/>
      <c r="M244" s="4"/>
      <c r="N244" s="4"/>
      <c r="O244" s="4"/>
      <c r="P244" s="390"/>
      <c r="Q244" s="390"/>
      <c r="R244" s="390"/>
      <c r="S244" s="16"/>
    </row>
    <row r="245" spans="1:19">
      <c r="A245" s="21">
        <v>3</v>
      </c>
      <c r="B245" s="1265" t="s">
        <v>61</v>
      </c>
      <c r="C245" s="1265"/>
      <c r="D245" s="1265"/>
      <c r="E245" s="23" t="s">
        <v>37</v>
      </c>
      <c r="F245" s="19"/>
      <c r="G245" s="19"/>
      <c r="H245" s="19"/>
      <c r="I245" s="16"/>
      <c r="J245" s="390"/>
      <c r="K245" s="21">
        <v>3</v>
      </c>
      <c r="L245" s="1265" t="s">
        <v>61</v>
      </c>
      <c r="M245" s="1265"/>
      <c r="N245" s="1265"/>
      <c r="O245" s="18" t="str">
        <f>E245</f>
        <v>N/A</v>
      </c>
      <c r="P245" s="19"/>
      <c r="Q245" s="19"/>
      <c r="R245" s="19"/>
      <c r="S245" s="16"/>
    </row>
    <row r="246" spans="1:19">
      <c r="A246" s="21"/>
      <c r="B246" s="4"/>
      <c r="C246" s="4"/>
      <c r="D246" s="4"/>
      <c r="E246" s="4"/>
      <c r="F246" s="390"/>
      <c r="G246" s="390"/>
      <c r="H246" s="390"/>
      <c r="I246" s="16"/>
      <c r="J246" s="390"/>
      <c r="K246" s="21"/>
      <c r="L246" s="4"/>
      <c r="M246" s="4"/>
      <c r="N246" s="4"/>
      <c r="O246" s="4"/>
      <c r="P246" s="390"/>
      <c r="Q246" s="390"/>
      <c r="R246" s="390"/>
      <c r="S246" s="16"/>
    </row>
    <row r="247" spans="1:19">
      <c r="A247" s="21">
        <v>4</v>
      </c>
      <c r="B247" s="1265" t="s">
        <v>62</v>
      </c>
      <c r="C247" s="1265"/>
      <c r="D247" s="1265"/>
      <c r="E247" s="23" t="s">
        <v>63</v>
      </c>
      <c r="F247" s="19"/>
      <c r="G247" s="19"/>
      <c r="H247" s="19"/>
      <c r="I247" s="16"/>
      <c r="J247" s="390"/>
      <c r="K247" s="21">
        <v>4</v>
      </c>
      <c r="L247" s="1265" t="s">
        <v>62</v>
      </c>
      <c r="M247" s="1265"/>
      <c r="N247" s="1265"/>
      <c r="O247" s="23" t="s">
        <v>63</v>
      </c>
      <c r="P247" s="19"/>
      <c r="Q247" s="19"/>
      <c r="R247" s="19"/>
      <c r="S247" s="16"/>
    </row>
    <row r="248" spans="1:19">
      <c r="A248" s="21"/>
      <c r="B248" s="4"/>
      <c r="C248" s="4"/>
      <c r="D248" s="4"/>
      <c r="E248" s="4"/>
      <c r="F248" s="390"/>
      <c r="G248" s="390"/>
      <c r="H248" s="390"/>
      <c r="I248" s="16"/>
      <c r="J248" s="390"/>
      <c r="K248" s="21"/>
      <c r="L248" s="4"/>
      <c r="M248" s="4"/>
      <c r="N248" s="4"/>
      <c r="O248" s="4"/>
      <c r="P248" s="390"/>
      <c r="Q248" s="390"/>
      <c r="R248" s="390"/>
      <c r="S248" s="16"/>
    </row>
    <row r="249" spans="1:19">
      <c r="A249" s="21">
        <v>5</v>
      </c>
      <c r="B249" s="1265" t="s">
        <v>64</v>
      </c>
      <c r="C249" s="1265"/>
      <c r="D249" s="1265"/>
      <c r="E249" s="295">
        <f>'04-22-Master'!AG21</f>
        <v>93275.769320000007</v>
      </c>
      <c r="F249" s="390"/>
      <c r="G249" s="390"/>
      <c r="H249" s="390"/>
      <c r="I249" s="16"/>
      <c r="J249" s="390"/>
      <c r="K249" s="21">
        <v>5</v>
      </c>
      <c r="L249" s="1265" t="s">
        <v>64</v>
      </c>
      <c r="M249" s="1265"/>
      <c r="N249" s="1265"/>
      <c r="O249" s="295">
        <f>E249</f>
        <v>93275.769320000007</v>
      </c>
      <c r="P249" s="390"/>
      <c r="Q249" s="390"/>
      <c r="R249" s="390"/>
      <c r="S249" s="16"/>
    </row>
    <row r="250" spans="1:19">
      <c r="A250" s="21"/>
      <c r="B250" s="4"/>
      <c r="C250" s="4"/>
      <c r="D250" s="296" t="s">
        <v>65</v>
      </c>
      <c r="E250" s="296" t="s">
        <v>31</v>
      </c>
      <c r="F250" s="296" t="s">
        <v>33</v>
      </c>
      <c r="G250" s="296" t="s">
        <v>34</v>
      </c>
      <c r="H250" s="296" t="s">
        <v>399</v>
      </c>
      <c r="I250" s="294" t="s">
        <v>400</v>
      </c>
      <c r="J250" s="390"/>
      <c r="K250" s="21"/>
      <c r="L250" s="4"/>
      <c r="M250" s="4"/>
      <c r="N250" s="296" t="s">
        <v>65</v>
      </c>
      <c r="O250" s="296" t="s">
        <v>31</v>
      </c>
      <c r="P250" s="296" t="s">
        <v>33</v>
      </c>
      <c r="Q250" s="296" t="s">
        <v>34</v>
      </c>
      <c r="R250" s="296" t="s">
        <v>399</v>
      </c>
      <c r="S250" s="294" t="s">
        <v>400</v>
      </c>
    </row>
    <row r="251" spans="1:19">
      <c r="A251" s="21">
        <v>6</v>
      </c>
      <c r="B251" s="526" t="s">
        <v>66</v>
      </c>
      <c r="C251" s="526"/>
      <c r="D251" s="297">
        <f>'04-22-Master'!AI21</f>
        <v>1800</v>
      </c>
      <c r="E251" s="297">
        <f>'04-22-Master'!AH148</f>
        <v>0</v>
      </c>
      <c r="F251" s="298">
        <f>'04-22-Master'!AJ21</f>
        <v>200</v>
      </c>
      <c r="G251" s="297">
        <f>'04-22-Master'!AK21</f>
        <v>0</v>
      </c>
      <c r="H251" s="298">
        <f>'04-22-Master'!AL21</f>
        <v>377</v>
      </c>
      <c r="I251" s="298">
        <f>D251+E251+F251+G251+H251</f>
        <v>2377</v>
      </c>
      <c r="J251" s="390"/>
      <c r="K251" s="21">
        <v>6</v>
      </c>
      <c r="L251" s="526" t="s">
        <v>66</v>
      </c>
      <c r="M251" s="526"/>
      <c r="N251" s="297">
        <f t="shared" ref="N251" si="20">D251</f>
        <v>1800</v>
      </c>
      <c r="O251" s="297">
        <f t="shared" ref="O251" si="21">E251</f>
        <v>0</v>
      </c>
      <c r="P251" s="298">
        <f t="shared" ref="P251" si="22">F251</f>
        <v>200</v>
      </c>
      <c r="Q251" s="297">
        <f t="shared" ref="Q251" si="23">G251</f>
        <v>0</v>
      </c>
      <c r="R251" s="298">
        <f t="shared" ref="R251" si="24">H251</f>
        <v>377</v>
      </c>
      <c r="S251" s="298">
        <f t="shared" ref="S251" si="25">I251</f>
        <v>2377</v>
      </c>
    </row>
    <row r="252" spans="1:19">
      <c r="A252" s="21"/>
      <c r="B252" s="4"/>
      <c r="C252" s="4"/>
      <c r="D252" s="4"/>
      <c r="E252" s="4"/>
      <c r="F252" s="390"/>
      <c r="G252" s="390"/>
      <c r="H252" s="390"/>
      <c r="I252" s="16"/>
      <c r="J252" s="390"/>
      <c r="K252" s="21"/>
      <c r="L252" s="4"/>
      <c r="M252" s="4"/>
      <c r="N252" s="4"/>
      <c r="O252" s="4"/>
      <c r="P252" s="390"/>
      <c r="Q252" s="390"/>
      <c r="R252" s="390"/>
      <c r="S252" s="16"/>
    </row>
    <row r="253" spans="1:19">
      <c r="A253" s="21">
        <v>7</v>
      </c>
      <c r="B253" s="1265" t="s">
        <v>67</v>
      </c>
      <c r="C253" s="1265"/>
      <c r="D253" s="1265"/>
      <c r="E253" s="24">
        <f>E249-I251</f>
        <v>90898.769320000007</v>
      </c>
      <c r="F253" s="19"/>
      <c r="G253" s="19"/>
      <c r="H253" s="19"/>
      <c r="I253" s="16"/>
      <c r="J253" s="390"/>
      <c r="K253" s="21">
        <v>7</v>
      </c>
      <c r="L253" s="1265" t="s">
        <v>67</v>
      </c>
      <c r="M253" s="1265"/>
      <c r="N253" s="1265"/>
      <c r="O253" s="24">
        <f>E253</f>
        <v>90898.769320000007</v>
      </c>
      <c r="P253" s="19"/>
      <c r="Q253" s="19"/>
      <c r="R253" s="19"/>
      <c r="S253" s="16"/>
    </row>
    <row r="254" spans="1:19">
      <c r="A254" s="15"/>
      <c r="B254" s="390"/>
      <c r="C254" s="390"/>
      <c r="D254" s="390"/>
      <c r="E254" s="390"/>
      <c r="F254" s="390"/>
      <c r="G254" s="390"/>
      <c r="H254" s="390"/>
      <c r="I254" s="16"/>
      <c r="J254" s="390"/>
      <c r="K254" s="15"/>
      <c r="L254" s="390"/>
      <c r="M254" s="390"/>
      <c r="N254" s="390"/>
      <c r="O254" s="390"/>
      <c r="P254" s="390"/>
      <c r="Q254" s="390"/>
      <c r="R254" s="390"/>
      <c r="S254" s="16"/>
    </row>
    <row r="255" spans="1:19">
      <c r="A255" s="15"/>
      <c r="B255" s="390"/>
      <c r="C255" s="390"/>
      <c r="D255" s="390"/>
      <c r="E255" s="390"/>
      <c r="F255" s="390"/>
      <c r="G255" s="390"/>
      <c r="H255" s="390"/>
      <c r="I255" s="16"/>
      <c r="J255" s="390"/>
      <c r="K255" s="15"/>
      <c r="L255" s="390"/>
      <c r="M255" s="390"/>
      <c r="N255" s="390"/>
      <c r="O255" s="390"/>
      <c r="P255" s="390"/>
      <c r="Q255" s="390"/>
      <c r="R255" s="390"/>
      <c r="S255" s="16"/>
    </row>
    <row r="256" spans="1:19" ht="15.75" thickBot="1">
      <c r="A256" s="15"/>
      <c r="B256" s="390"/>
      <c r="C256" s="390"/>
      <c r="D256" s="390"/>
      <c r="E256" s="390"/>
      <c r="F256" s="25"/>
      <c r="G256" s="25"/>
      <c r="H256" s="25"/>
      <c r="I256" s="26"/>
      <c r="J256" s="390"/>
      <c r="K256" s="15"/>
      <c r="L256" s="390"/>
      <c r="M256" s="390"/>
      <c r="N256" s="390"/>
      <c r="O256" s="390"/>
      <c r="P256" s="25"/>
      <c r="Q256" s="25"/>
      <c r="R256" s="25"/>
      <c r="S256" s="26"/>
    </row>
    <row r="257" spans="1:19" ht="15.75" thickBot="1">
      <c r="A257" s="27"/>
      <c r="B257" s="25"/>
      <c r="C257" s="25"/>
      <c r="D257" s="25"/>
      <c r="E257" s="25"/>
      <c r="F257" s="1276" t="s">
        <v>68</v>
      </c>
      <c r="G257" s="1276"/>
      <c r="H257" s="1276"/>
      <c r="I257" s="1277"/>
      <c r="J257" s="390"/>
      <c r="K257" s="27"/>
      <c r="L257" s="25"/>
      <c r="M257" s="25"/>
      <c r="N257" s="25"/>
      <c r="O257" s="25"/>
      <c r="P257" s="1276" t="s">
        <v>68</v>
      </c>
      <c r="Q257" s="1276"/>
      <c r="R257" s="1276"/>
      <c r="S257" s="1277"/>
    </row>
    <row r="258" spans="1:19">
      <c r="A258" s="390"/>
      <c r="B258" s="390"/>
      <c r="C258" s="390"/>
      <c r="D258" s="390"/>
      <c r="E258" s="390"/>
      <c r="F258" s="390"/>
      <c r="G258" s="390"/>
      <c r="H258" s="390"/>
      <c r="I258" s="390"/>
      <c r="J258" s="390"/>
      <c r="K258" s="390"/>
      <c r="L258" s="390"/>
      <c r="M258" s="390"/>
      <c r="N258" s="390"/>
      <c r="O258" s="390"/>
      <c r="P258" s="390"/>
      <c r="Q258" s="390"/>
      <c r="R258" s="390"/>
      <c r="S258" s="390"/>
    </row>
    <row r="259" spans="1:19">
      <c r="A259" s="390"/>
      <c r="B259" s="390"/>
      <c r="C259" s="390"/>
      <c r="D259" s="390"/>
      <c r="E259" s="390"/>
      <c r="F259" s="390"/>
      <c r="G259" s="390"/>
      <c r="H259" s="390"/>
      <c r="I259" s="390"/>
      <c r="J259" s="390"/>
      <c r="K259" s="390"/>
      <c r="L259" s="390"/>
      <c r="M259" s="390"/>
      <c r="N259" s="390"/>
      <c r="O259" s="390"/>
      <c r="P259" s="390"/>
      <c r="Q259" s="390"/>
      <c r="R259" s="390"/>
      <c r="S259" s="390"/>
    </row>
    <row r="260" spans="1:19">
      <c r="A260" s="390"/>
      <c r="B260" s="390"/>
      <c r="C260" s="390"/>
      <c r="D260" s="390"/>
      <c r="E260" s="390"/>
      <c r="F260" s="390"/>
      <c r="G260" s="390"/>
      <c r="H260" s="390"/>
      <c r="I260" s="390"/>
      <c r="J260" s="390"/>
      <c r="K260" s="390"/>
      <c r="L260" s="390"/>
      <c r="M260" s="390"/>
      <c r="N260" s="390"/>
      <c r="O260" s="390"/>
      <c r="P260" s="390"/>
      <c r="Q260" s="390"/>
      <c r="R260" s="390"/>
      <c r="S260" s="390"/>
    </row>
    <row r="261" spans="1:19">
      <c r="A261" s="390"/>
      <c r="B261" s="390"/>
      <c r="C261" s="390"/>
      <c r="D261" s="390"/>
      <c r="E261" s="390"/>
      <c r="F261" s="390"/>
      <c r="G261" s="390"/>
      <c r="H261" s="390"/>
      <c r="I261" s="390"/>
      <c r="J261" s="390"/>
      <c r="K261" s="390"/>
      <c r="L261" s="390"/>
      <c r="M261" s="390"/>
      <c r="N261" s="390"/>
      <c r="O261" s="390"/>
      <c r="P261" s="390"/>
      <c r="Q261" s="390"/>
      <c r="R261" s="390"/>
      <c r="S261" s="390"/>
    </row>
    <row r="262" spans="1:19" s="390" customFormat="1"/>
    <row r="263" spans="1:19" s="390" customFormat="1"/>
    <row r="264" spans="1:19" s="390" customFormat="1"/>
    <row r="265" spans="1:19" s="390" customFormat="1"/>
    <row r="266" spans="1:19" s="390" customFormat="1"/>
    <row r="267" spans="1:19" s="390" customFormat="1"/>
    <row r="268" spans="1:19" s="390" customFormat="1"/>
    <row r="269" spans="1:19" s="390" customFormat="1"/>
    <row r="270" spans="1:19" s="390" customFormat="1"/>
    <row r="271" spans="1:19" s="390" customFormat="1"/>
    <row r="272" spans="1:19" s="390" customFormat="1"/>
    <row r="273" s="390" customFormat="1"/>
    <row r="274" s="390" customFormat="1"/>
    <row r="275" s="390" customFormat="1"/>
    <row r="276" s="390" customFormat="1"/>
    <row r="277" s="390" customFormat="1"/>
    <row r="278" s="390" customFormat="1"/>
    <row r="279" s="390" customFormat="1"/>
    <row r="280" s="390" customFormat="1"/>
    <row r="281" s="390" customFormat="1"/>
    <row r="282" s="390" customFormat="1"/>
    <row r="283" s="390" customFormat="1"/>
    <row r="284" s="390" customFormat="1"/>
    <row r="285" s="390" customFormat="1"/>
    <row r="286" s="390" customFormat="1"/>
    <row r="287" s="390" customFormat="1"/>
    <row r="288" s="390" customFormat="1"/>
    <row r="289" spans="1:19" s="390" customFormat="1"/>
    <row r="290" spans="1:19" s="390" customFormat="1"/>
    <row r="291" spans="1:19" s="390" customFormat="1"/>
    <row r="292" spans="1:19" s="390" customFormat="1"/>
    <row r="293" spans="1:19" s="390" customFormat="1"/>
    <row r="294" spans="1:19" s="390" customFormat="1"/>
    <row r="295" spans="1:19" s="390" customFormat="1"/>
    <row r="296" spans="1:19">
      <c r="A296" s="390"/>
      <c r="B296" s="390"/>
      <c r="C296" s="390"/>
      <c r="D296" s="390"/>
      <c r="E296" s="390"/>
      <c r="F296" s="390"/>
      <c r="G296" s="390"/>
      <c r="H296" s="390"/>
      <c r="I296" s="390"/>
      <c r="J296" s="390"/>
      <c r="K296" s="390"/>
      <c r="L296" s="390"/>
      <c r="M296" s="390"/>
      <c r="N296" s="390"/>
      <c r="O296" s="390"/>
      <c r="P296" s="390"/>
      <c r="Q296" s="390"/>
      <c r="R296" s="390"/>
      <c r="S296" s="390"/>
    </row>
    <row r="297" spans="1:19" ht="15.75" thickBot="1"/>
    <row r="298" spans="1:19" ht="26.25">
      <c r="A298" s="1270" t="s">
        <v>53</v>
      </c>
      <c r="B298" s="1271"/>
      <c r="C298" s="1271"/>
      <c r="D298" s="1271"/>
      <c r="E298" s="1271"/>
      <c r="F298" s="1271"/>
      <c r="G298" s="1271"/>
      <c r="H298" s="1271"/>
      <c r="I298" s="1272"/>
      <c r="J298" s="390"/>
      <c r="K298" s="1270" t="s">
        <v>53</v>
      </c>
      <c r="L298" s="1271"/>
      <c r="M298" s="1271"/>
      <c r="N298" s="1271"/>
      <c r="O298" s="1271"/>
      <c r="P298" s="1271"/>
      <c r="Q298" s="1271"/>
      <c r="R298" s="1271"/>
      <c r="S298" s="1272"/>
    </row>
    <row r="299" spans="1:19">
      <c r="A299" s="1273" t="s">
        <v>54</v>
      </c>
      <c r="B299" s="1274"/>
      <c r="C299" s="1274"/>
      <c r="D299" s="1274"/>
      <c r="E299" s="1274"/>
      <c r="F299" s="1274"/>
      <c r="G299" s="1274"/>
      <c r="H299" s="1274"/>
      <c r="I299" s="1211"/>
      <c r="J299" s="390"/>
      <c r="K299" s="1273" t="s">
        <v>54</v>
      </c>
      <c r="L299" s="1274"/>
      <c r="M299" s="1274"/>
      <c r="N299" s="1274"/>
      <c r="O299" s="1274"/>
      <c r="P299" s="1274"/>
      <c r="Q299" s="1274"/>
      <c r="R299" s="1274"/>
      <c r="S299" s="1211"/>
    </row>
    <row r="300" spans="1:19">
      <c r="A300" s="15"/>
      <c r="B300" s="390"/>
      <c r="C300" s="390"/>
      <c r="D300" s="390"/>
      <c r="E300" s="390"/>
      <c r="F300" s="390"/>
      <c r="G300" s="390"/>
      <c r="H300" s="390"/>
      <c r="I300" s="16"/>
      <c r="J300" s="390"/>
      <c r="K300" s="15"/>
      <c r="L300" s="390"/>
      <c r="M300" s="390"/>
      <c r="N300" s="390"/>
      <c r="O300" s="390"/>
      <c r="P300" s="390"/>
      <c r="Q300" s="390"/>
      <c r="R300" s="390"/>
      <c r="S300" s="16"/>
    </row>
    <row r="301" spans="1:19">
      <c r="A301" s="17" t="s">
        <v>55</v>
      </c>
      <c r="B301" s="4"/>
      <c r="C301" s="4"/>
      <c r="D301" s="317" t="s">
        <v>425</v>
      </c>
      <c r="E301" s="390"/>
      <c r="F301" s="390"/>
      <c r="G301" s="390"/>
      <c r="H301" s="390"/>
      <c r="I301" s="16"/>
      <c r="J301" s="390"/>
      <c r="K301" s="17" t="s">
        <v>55</v>
      </c>
      <c r="L301" s="4"/>
      <c r="M301" s="4"/>
      <c r="N301" s="8"/>
      <c r="O301" s="381" t="str">
        <f>D301</f>
        <v>Burgeon IT Services Pvt.Ltd.</v>
      </c>
      <c r="P301" s="390"/>
      <c r="Q301" s="390"/>
      <c r="R301" s="390"/>
      <c r="S301" s="16"/>
    </row>
    <row r="302" spans="1:19">
      <c r="A302" s="17"/>
      <c r="B302" s="150" t="s">
        <v>426</v>
      </c>
      <c r="C302" s="4"/>
      <c r="D302" s="390"/>
      <c r="E302" s="390"/>
      <c r="F302" s="390"/>
      <c r="G302" s="390"/>
      <c r="H302" s="390"/>
      <c r="I302" s="16"/>
      <c r="J302" s="390"/>
      <c r="K302" s="17"/>
      <c r="L302" s="4"/>
      <c r="M302" s="4"/>
      <c r="N302" s="4"/>
      <c r="O302" s="390"/>
      <c r="P302" s="390"/>
      <c r="Q302" s="390"/>
      <c r="R302" s="390"/>
      <c r="S302" s="16"/>
    </row>
    <row r="303" spans="1:19">
      <c r="A303" s="17"/>
      <c r="B303" s="4"/>
      <c r="C303" s="4"/>
      <c r="D303" s="4"/>
      <c r="E303" s="4"/>
      <c r="F303" s="390"/>
      <c r="G303" s="390"/>
      <c r="H303" s="390"/>
      <c r="I303" s="16"/>
      <c r="J303" s="390"/>
      <c r="K303" s="17"/>
      <c r="L303" s="4" t="str">
        <f>B302</f>
        <v>Siri Mansion LIGB 436 Dr.A S Rao Nagar,Hyderabad</v>
      </c>
      <c r="M303" s="4"/>
      <c r="N303" s="4"/>
      <c r="O303" s="4"/>
      <c r="P303" s="390"/>
      <c r="Q303" s="390"/>
      <c r="R303" s="390"/>
      <c r="S303" s="16"/>
    </row>
    <row r="304" spans="1:19">
      <c r="A304" s="1275" t="s">
        <v>56</v>
      </c>
      <c r="B304" s="1269"/>
      <c r="C304" s="1269"/>
      <c r="D304" s="1269"/>
      <c r="E304" s="4"/>
      <c r="F304" s="390"/>
      <c r="G304" s="390"/>
      <c r="H304" s="390"/>
      <c r="I304" s="16"/>
      <c r="J304" s="390"/>
      <c r="K304" s="1275" t="s">
        <v>56</v>
      </c>
      <c r="L304" s="1269"/>
      <c r="M304" s="1269"/>
      <c r="N304" s="1269"/>
      <c r="O304" s="4"/>
      <c r="P304" s="390"/>
      <c r="Q304" s="390"/>
      <c r="R304" s="390"/>
      <c r="S304" s="16"/>
    </row>
    <row r="305" spans="1:19">
      <c r="A305" s="1275"/>
      <c r="B305" s="1269"/>
      <c r="C305" s="1269"/>
      <c r="D305" s="1269"/>
      <c r="E305" s="18" t="str">
        <f>'04-22-Master'!B22</f>
        <v xml:space="preserve">Nikhila Kaveri </v>
      </c>
      <c r="F305" s="19"/>
      <c r="G305" s="19"/>
      <c r="H305" s="19" t="str">
        <f>'04-22-Master'!E22</f>
        <v>Sreehari</v>
      </c>
      <c r="I305" s="16"/>
      <c r="J305" s="390"/>
      <c r="K305" s="1275"/>
      <c r="L305" s="1269"/>
      <c r="M305" s="1269"/>
      <c r="N305" s="1269"/>
      <c r="O305" s="18" t="str">
        <f>E305</f>
        <v xml:space="preserve">Nikhila Kaveri </v>
      </c>
      <c r="P305" s="19"/>
      <c r="Q305" s="19"/>
      <c r="R305" s="19" t="str">
        <f>H305</f>
        <v>Sreehari</v>
      </c>
      <c r="S305" s="16"/>
    </row>
    <row r="306" spans="1:19">
      <c r="A306" s="17"/>
      <c r="B306" s="4"/>
      <c r="C306" s="4"/>
      <c r="D306" s="4"/>
      <c r="E306" s="4"/>
      <c r="F306" s="390"/>
      <c r="G306" s="390"/>
      <c r="H306" s="390"/>
      <c r="I306" s="16"/>
      <c r="J306" s="390"/>
      <c r="K306" s="17"/>
      <c r="L306" s="4"/>
      <c r="M306" s="4"/>
      <c r="N306" s="4"/>
      <c r="O306" s="4"/>
      <c r="P306" s="390"/>
      <c r="Q306" s="390"/>
      <c r="R306" s="390"/>
      <c r="S306" s="16"/>
    </row>
    <row r="307" spans="1:19">
      <c r="A307" s="1268" t="s">
        <v>57</v>
      </c>
      <c r="B307" s="1265"/>
      <c r="C307" s="1265"/>
      <c r="D307" s="1265"/>
      <c r="E307" s="18" t="s">
        <v>819</v>
      </c>
      <c r="F307" s="19"/>
      <c r="G307" s="19"/>
      <c r="H307" s="19"/>
      <c r="I307" s="16"/>
      <c r="J307" s="390"/>
      <c r="K307" s="1268" t="s">
        <v>57</v>
      </c>
      <c r="L307" s="1265"/>
      <c r="M307" s="1265"/>
      <c r="N307" s="1265"/>
      <c r="O307" s="18" t="str">
        <f>E307</f>
        <v>IT SUPPORTIVE SERVICES &amp; HYDERABAD SEZ</v>
      </c>
      <c r="P307" s="19"/>
      <c r="Q307" s="19"/>
      <c r="R307" s="19"/>
      <c r="S307" s="16"/>
    </row>
    <row r="308" spans="1:19">
      <c r="A308" s="17"/>
      <c r="B308" s="4"/>
      <c r="C308" s="4"/>
      <c r="D308" s="4"/>
      <c r="E308" s="4"/>
      <c r="F308" s="390"/>
      <c r="G308" s="390"/>
      <c r="H308" s="390"/>
      <c r="I308" s="16"/>
      <c r="J308" s="390"/>
      <c r="K308" s="17"/>
      <c r="L308" s="4"/>
      <c r="M308" s="4"/>
      <c r="N308" s="4"/>
      <c r="O308" s="4"/>
      <c r="P308" s="390"/>
      <c r="Q308" s="390"/>
      <c r="R308" s="390"/>
      <c r="S308" s="16"/>
    </row>
    <row r="309" spans="1:19">
      <c r="A309" s="1268" t="s">
        <v>58</v>
      </c>
      <c r="B309" s="1265"/>
      <c r="C309" s="1265"/>
      <c r="D309" s="1265"/>
      <c r="E309" s="20">
        <f>'04-22-Master'!D10</f>
        <v>44652</v>
      </c>
      <c r="F309" s="19"/>
      <c r="G309" s="19"/>
      <c r="H309" s="19"/>
      <c r="I309" s="16"/>
      <c r="J309" s="390"/>
      <c r="K309" s="1268" t="s">
        <v>58</v>
      </c>
      <c r="L309" s="1265"/>
      <c r="M309" s="1265"/>
      <c r="N309" s="1265"/>
      <c r="O309" s="20">
        <f>E309</f>
        <v>44652</v>
      </c>
      <c r="P309" s="19"/>
      <c r="Q309" s="19"/>
      <c r="R309" s="19"/>
      <c r="S309" s="16"/>
    </row>
    <row r="310" spans="1:19">
      <c r="A310" s="17"/>
      <c r="B310" s="4"/>
      <c r="C310" s="4"/>
      <c r="D310" s="4"/>
      <c r="E310" s="4"/>
      <c r="F310" s="390"/>
      <c r="G310" s="390"/>
      <c r="H310" s="390"/>
      <c r="I310" s="16"/>
      <c r="J310" s="390"/>
      <c r="K310" s="17"/>
      <c r="L310" s="4"/>
      <c r="M310" s="4"/>
      <c r="N310" s="4"/>
      <c r="O310" s="4"/>
      <c r="P310" s="390"/>
      <c r="Q310" s="390"/>
      <c r="R310" s="390"/>
      <c r="S310" s="16"/>
    </row>
    <row r="311" spans="1:19">
      <c r="A311" s="21">
        <v>1</v>
      </c>
      <c r="B311" s="1265" t="s">
        <v>59</v>
      </c>
      <c r="C311" s="1265"/>
      <c r="D311" s="1265"/>
      <c r="E311" s="22">
        <f>'04-22-Master'!Q22</f>
        <v>30</v>
      </c>
      <c r="F311" s="19"/>
      <c r="G311" s="19"/>
      <c r="H311" s="19"/>
      <c r="I311" s="16"/>
      <c r="J311" s="390"/>
      <c r="K311" s="21">
        <v>1</v>
      </c>
      <c r="L311" s="1265" t="s">
        <v>59</v>
      </c>
      <c r="M311" s="1265"/>
      <c r="N311" s="1265"/>
      <c r="O311" s="22">
        <f>E311</f>
        <v>30</v>
      </c>
      <c r="P311" s="19"/>
      <c r="Q311" s="19"/>
      <c r="R311" s="19"/>
      <c r="S311" s="16"/>
    </row>
    <row r="312" spans="1:19">
      <c r="A312" s="21"/>
      <c r="B312" s="4"/>
      <c r="C312" s="4"/>
      <c r="D312" s="4"/>
      <c r="E312" s="4"/>
      <c r="F312" s="390"/>
      <c r="G312" s="390"/>
      <c r="H312" s="390"/>
      <c r="I312" s="16"/>
      <c r="J312" s="390"/>
      <c r="K312" s="21"/>
      <c r="L312" s="4"/>
      <c r="M312" s="4"/>
      <c r="N312" s="4"/>
      <c r="O312" s="4"/>
      <c r="P312" s="390"/>
      <c r="Q312" s="390"/>
      <c r="R312" s="390"/>
      <c r="S312" s="16"/>
    </row>
    <row r="313" spans="1:19">
      <c r="A313" s="21">
        <v>2</v>
      </c>
      <c r="B313" s="1269" t="s">
        <v>60</v>
      </c>
      <c r="C313" s="1269"/>
      <c r="D313" s="1269"/>
      <c r="E313" s="4"/>
      <c r="F313" s="390"/>
      <c r="G313" s="390"/>
      <c r="H313" s="390"/>
      <c r="I313" s="16"/>
      <c r="J313" s="390"/>
      <c r="K313" s="21">
        <v>2</v>
      </c>
      <c r="L313" s="1269" t="s">
        <v>60</v>
      </c>
      <c r="M313" s="1269"/>
      <c r="N313" s="1269"/>
      <c r="O313" s="4"/>
      <c r="P313" s="390"/>
      <c r="Q313" s="390"/>
      <c r="R313" s="390"/>
      <c r="S313" s="16"/>
    </row>
    <row r="314" spans="1:19">
      <c r="A314" s="21"/>
      <c r="B314" s="1269"/>
      <c r="C314" s="1269"/>
      <c r="D314" s="1269"/>
      <c r="E314" s="23" t="s">
        <v>37</v>
      </c>
      <c r="F314" s="19"/>
      <c r="G314" s="19"/>
      <c r="H314" s="19"/>
      <c r="I314" s="16"/>
      <c r="J314" s="390"/>
      <c r="K314" s="21"/>
      <c r="L314" s="1269"/>
      <c r="M314" s="1269"/>
      <c r="N314" s="1269"/>
      <c r="O314" s="23" t="s">
        <v>37</v>
      </c>
      <c r="P314" s="19"/>
      <c r="Q314" s="19"/>
      <c r="R314" s="19"/>
      <c r="S314" s="16"/>
    </row>
    <row r="315" spans="1:19">
      <c r="A315" s="21"/>
      <c r="B315" s="4"/>
      <c r="C315" s="4"/>
      <c r="D315" s="4"/>
      <c r="E315" s="4"/>
      <c r="F315" s="390"/>
      <c r="G315" s="390"/>
      <c r="H315" s="390"/>
      <c r="I315" s="16"/>
      <c r="J315" s="390"/>
      <c r="K315" s="21"/>
      <c r="L315" s="4"/>
      <c r="M315" s="4"/>
      <c r="N315" s="4"/>
      <c r="O315" s="4"/>
      <c r="P315" s="390"/>
      <c r="Q315" s="390"/>
      <c r="R315" s="390"/>
      <c r="S315" s="16"/>
    </row>
    <row r="316" spans="1:19">
      <c r="A316" s="21">
        <v>3</v>
      </c>
      <c r="B316" s="1265" t="s">
        <v>61</v>
      </c>
      <c r="C316" s="1265"/>
      <c r="D316" s="1265"/>
      <c r="E316" s="23" t="s">
        <v>37</v>
      </c>
      <c r="F316" s="19"/>
      <c r="G316" s="19"/>
      <c r="H316" s="19"/>
      <c r="I316" s="16"/>
      <c r="J316" s="390"/>
      <c r="K316" s="21">
        <v>3</v>
      </c>
      <c r="L316" s="1265" t="s">
        <v>61</v>
      </c>
      <c r="M316" s="1265"/>
      <c r="N316" s="1265"/>
      <c r="O316" s="18" t="str">
        <f>E316</f>
        <v>N/A</v>
      </c>
      <c r="P316" s="19"/>
      <c r="Q316" s="19"/>
      <c r="R316" s="19"/>
      <c r="S316" s="16"/>
    </row>
    <row r="317" spans="1:19">
      <c r="A317" s="21"/>
      <c r="B317" s="4"/>
      <c r="C317" s="4"/>
      <c r="D317" s="4"/>
      <c r="E317" s="4"/>
      <c r="F317" s="390"/>
      <c r="G317" s="390"/>
      <c r="H317" s="390"/>
      <c r="I317" s="16"/>
      <c r="J317" s="390"/>
      <c r="K317" s="21"/>
      <c r="L317" s="4"/>
      <c r="M317" s="4"/>
      <c r="N317" s="4"/>
      <c r="O317" s="4"/>
      <c r="P317" s="390"/>
      <c r="Q317" s="390"/>
      <c r="R317" s="390"/>
      <c r="S317" s="16"/>
    </row>
    <row r="318" spans="1:19">
      <c r="A318" s="21">
        <v>4</v>
      </c>
      <c r="B318" s="1265" t="s">
        <v>62</v>
      </c>
      <c r="C318" s="1265"/>
      <c r="D318" s="1265"/>
      <c r="E318" s="23" t="s">
        <v>63</v>
      </c>
      <c r="F318" s="19"/>
      <c r="G318" s="19"/>
      <c r="H318" s="19"/>
      <c r="I318" s="16"/>
      <c r="J318" s="390"/>
      <c r="K318" s="21">
        <v>4</v>
      </c>
      <c r="L318" s="1265" t="s">
        <v>62</v>
      </c>
      <c r="M318" s="1265"/>
      <c r="N318" s="1265"/>
      <c r="O318" s="23" t="s">
        <v>63</v>
      </c>
      <c r="P318" s="19"/>
      <c r="Q318" s="19"/>
      <c r="R318" s="19"/>
      <c r="S318" s="16"/>
    </row>
    <row r="319" spans="1:19">
      <c r="A319" s="21"/>
      <c r="B319" s="4"/>
      <c r="C319" s="4"/>
      <c r="D319" s="4"/>
      <c r="E319" s="4"/>
      <c r="F319" s="390"/>
      <c r="G319" s="390"/>
      <c r="H319" s="390"/>
      <c r="I319" s="16"/>
      <c r="J319" s="390"/>
      <c r="K319" s="21"/>
      <c r="L319" s="4"/>
      <c r="M319" s="4"/>
      <c r="N319" s="4"/>
      <c r="O319" s="4"/>
      <c r="P319" s="390"/>
      <c r="Q319" s="390"/>
      <c r="R319" s="390"/>
      <c r="S319" s="16"/>
    </row>
    <row r="320" spans="1:19">
      <c r="A320" s="21">
        <v>5</v>
      </c>
      <c r="B320" s="1265" t="s">
        <v>64</v>
      </c>
      <c r="C320" s="1265"/>
      <c r="D320" s="1265"/>
      <c r="E320" s="295">
        <f>'04-22-Master'!AG22</f>
        <v>118276.1921</v>
      </c>
      <c r="F320" s="390"/>
      <c r="G320" s="390"/>
      <c r="H320" s="390"/>
      <c r="I320" s="16"/>
      <c r="J320" s="390"/>
      <c r="K320" s="21">
        <v>5</v>
      </c>
      <c r="L320" s="1265" t="s">
        <v>64</v>
      </c>
      <c r="M320" s="1265"/>
      <c r="N320" s="1265"/>
      <c r="O320" s="295">
        <f>E320</f>
        <v>118276.1921</v>
      </c>
      <c r="P320" s="390"/>
      <c r="Q320" s="390"/>
      <c r="R320" s="390"/>
      <c r="S320" s="16"/>
    </row>
    <row r="321" spans="1:19">
      <c r="A321" s="21"/>
      <c r="B321" s="4"/>
      <c r="C321" s="4"/>
      <c r="D321" s="296" t="s">
        <v>65</v>
      </c>
      <c r="E321" s="296" t="s">
        <v>31</v>
      </c>
      <c r="F321" s="296" t="s">
        <v>33</v>
      </c>
      <c r="G321" s="296" t="s">
        <v>34</v>
      </c>
      <c r="H321" s="296" t="s">
        <v>399</v>
      </c>
      <c r="I321" s="294" t="s">
        <v>400</v>
      </c>
      <c r="J321" s="390"/>
      <c r="K321" s="21"/>
      <c r="L321" s="4"/>
      <c r="M321" s="4"/>
      <c r="N321" s="296" t="s">
        <v>65</v>
      </c>
      <c r="O321" s="296" t="s">
        <v>31</v>
      </c>
      <c r="P321" s="296" t="s">
        <v>33</v>
      </c>
      <c r="Q321" s="296" t="s">
        <v>34</v>
      </c>
      <c r="R321" s="296" t="s">
        <v>399</v>
      </c>
      <c r="S321" s="294" t="s">
        <v>400</v>
      </c>
    </row>
    <row r="322" spans="1:19">
      <c r="A322" s="21">
        <v>6</v>
      </c>
      <c r="B322" s="632" t="s">
        <v>66</v>
      </c>
      <c r="C322" s="632"/>
      <c r="D322" s="297">
        <f>'04-22-Master'!AI22</f>
        <v>1800</v>
      </c>
      <c r="E322" s="297">
        <f>'04-22-Master'!AH365</f>
        <v>0</v>
      </c>
      <c r="F322" s="298">
        <f>'04-22-Master'!AJ22</f>
        <v>200</v>
      </c>
      <c r="G322" s="297">
        <f>'04-22-Master'!AK22</f>
        <v>0</v>
      </c>
      <c r="H322" s="298">
        <f>'04-22-Master'!AL22</f>
        <v>252</v>
      </c>
      <c r="I322" s="298">
        <f>D322+E322+F322+G322+H322</f>
        <v>2252</v>
      </c>
      <c r="J322" s="390"/>
      <c r="K322" s="21">
        <v>6</v>
      </c>
      <c r="L322" s="632" t="s">
        <v>66</v>
      </c>
      <c r="M322" s="632"/>
      <c r="N322" s="297">
        <f t="shared" ref="N322" si="26">D322</f>
        <v>1800</v>
      </c>
      <c r="O322" s="297">
        <f t="shared" ref="O322" si="27">E322</f>
        <v>0</v>
      </c>
      <c r="P322" s="298">
        <f t="shared" ref="P322" si="28">F322</f>
        <v>200</v>
      </c>
      <c r="Q322" s="297">
        <f t="shared" ref="Q322" si="29">G322</f>
        <v>0</v>
      </c>
      <c r="R322" s="298">
        <f t="shared" ref="R322" si="30">H322</f>
        <v>252</v>
      </c>
      <c r="S322" s="298">
        <f t="shared" ref="S322" si="31">I322</f>
        <v>2252</v>
      </c>
    </row>
    <row r="323" spans="1:19">
      <c r="A323" s="21"/>
      <c r="B323" s="4"/>
      <c r="C323" s="4"/>
      <c r="D323" s="4"/>
      <c r="E323" s="4"/>
      <c r="F323" s="390"/>
      <c r="G323" s="390"/>
      <c r="H323" s="390"/>
      <c r="I323" s="16"/>
      <c r="J323" s="390"/>
      <c r="K323" s="21"/>
      <c r="L323" s="4"/>
      <c r="M323" s="4"/>
      <c r="N323" s="4"/>
      <c r="O323" s="4"/>
      <c r="P323" s="390"/>
      <c r="Q323" s="390"/>
      <c r="R323" s="390"/>
      <c r="S323" s="16"/>
    </row>
    <row r="324" spans="1:19">
      <c r="A324" s="21">
        <v>7</v>
      </c>
      <c r="B324" s="1265" t="s">
        <v>67</v>
      </c>
      <c r="C324" s="1265"/>
      <c r="D324" s="1265"/>
      <c r="E324" s="24">
        <f>E320-I322</f>
        <v>116024.1921</v>
      </c>
      <c r="F324" s="19"/>
      <c r="G324" s="19"/>
      <c r="H324" s="19"/>
      <c r="I324" s="16"/>
      <c r="J324" s="390"/>
      <c r="K324" s="21">
        <v>7</v>
      </c>
      <c r="L324" s="1265" t="s">
        <v>67</v>
      </c>
      <c r="M324" s="1265"/>
      <c r="N324" s="1265"/>
      <c r="O324" s="24">
        <f>E324</f>
        <v>116024.1921</v>
      </c>
      <c r="P324" s="19"/>
      <c r="Q324" s="19"/>
      <c r="R324" s="19"/>
      <c r="S324" s="16"/>
    </row>
    <row r="325" spans="1:19">
      <c r="A325" s="15"/>
      <c r="B325" s="390"/>
      <c r="C325" s="390"/>
      <c r="D325" s="390"/>
      <c r="E325" s="390"/>
      <c r="F325" s="390"/>
      <c r="G325" s="390"/>
      <c r="H325" s="390"/>
      <c r="I325" s="16"/>
      <c r="J325" s="390"/>
      <c r="K325" s="15"/>
      <c r="L325" s="390"/>
      <c r="M325" s="390"/>
      <c r="N325" s="390"/>
      <c r="O325" s="390"/>
      <c r="P325" s="390"/>
      <c r="Q325" s="390"/>
      <c r="R325" s="390"/>
      <c r="S325" s="16"/>
    </row>
    <row r="326" spans="1:19">
      <c r="A326" s="15"/>
      <c r="B326" s="390"/>
      <c r="C326" s="390"/>
      <c r="D326" s="390"/>
      <c r="E326" s="390"/>
      <c r="F326" s="390"/>
      <c r="G326" s="390"/>
      <c r="H326" s="390"/>
      <c r="I326" s="16"/>
      <c r="J326" s="390"/>
      <c r="K326" s="15"/>
      <c r="L326" s="390"/>
      <c r="M326" s="390"/>
      <c r="N326" s="390"/>
      <c r="O326" s="390"/>
      <c r="P326" s="390"/>
      <c r="Q326" s="390"/>
      <c r="R326" s="390"/>
      <c r="S326" s="16"/>
    </row>
    <row r="327" spans="1:19" ht="15.75" thickBot="1">
      <c r="A327" s="15"/>
      <c r="B327" s="390"/>
      <c r="C327" s="390"/>
      <c r="D327" s="390"/>
      <c r="E327" s="390"/>
      <c r="F327" s="25"/>
      <c r="G327" s="25"/>
      <c r="H327" s="25"/>
      <c r="I327" s="26"/>
      <c r="J327" s="390"/>
      <c r="K327" s="15"/>
      <c r="L327" s="390"/>
      <c r="M327" s="390"/>
      <c r="N327" s="390"/>
      <c r="O327" s="390"/>
      <c r="P327" s="25"/>
      <c r="Q327" s="25"/>
      <c r="R327" s="25"/>
      <c r="S327" s="26"/>
    </row>
    <row r="328" spans="1:19" ht="15.75" thickBot="1">
      <c r="A328" s="27"/>
      <c r="B328" s="25"/>
      <c r="C328" s="25"/>
      <c r="D328" s="25"/>
      <c r="E328" s="25"/>
      <c r="F328" s="1266" t="s">
        <v>68</v>
      </c>
      <c r="G328" s="1266"/>
      <c r="H328" s="1266"/>
      <c r="I328" s="1267"/>
      <c r="J328" s="390"/>
      <c r="K328" s="27"/>
      <c r="L328" s="25"/>
      <c r="M328" s="25"/>
      <c r="N328" s="25"/>
      <c r="O328" s="25"/>
      <c r="P328" s="1266" t="s">
        <v>68</v>
      </c>
      <c r="Q328" s="1266"/>
      <c r="R328" s="1266"/>
      <c r="S328" s="1267"/>
    </row>
    <row r="333" spans="1:19" ht="15.75" thickBot="1"/>
    <row r="334" spans="1:19" ht="26.25">
      <c r="A334" s="1270" t="s">
        <v>53</v>
      </c>
      <c r="B334" s="1271"/>
      <c r="C334" s="1271"/>
      <c r="D334" s="1271"/>
      <c r="E334" s="1271"/>
      <c r="F334" s="1271"/>
      <c r="G334" s="1271"/>
      <c r="H334" s="1271"/>
      <c r="I334" s="1272"/>
      <c r="J334" s="390"/>
      <c r="K334" s="1270" t="s">
        <v>53</v>
      </c>
      <c r="L334" s="1271"/>
      <c r="M334" s="1271"/>
      <c r="N334" s="1271"/>
      <c r="O334" s="1271"/>
      <c r="P334" s="1271"/>
      <c r="Q334" s="1271"/>
      <c r="R334" s="1271"/>
      <c r="S334" s="1272"/>
    </row>
    <row r="335" spans="1:19">
      <c r="A335" s="1273" t="s">
        <v>54</v>
      </c>
      <c r="B335" s="1274"/>
      <c r="C335" s="1274"/>
      <c r="D335" s="1274"/>
      <c r="E335" s="1274"/>
      <c r="F335" s="1274"/>
      <c r="G335" s="1274"/>
      <c r="H335" s="1274"/>
      <c r="I335" s="1211"/>
      <c r="J335" s="390"/>
      <c r="K335" s="1273" t="s">
        <v>54</v>
      </c>
      <c r="L335" s="1274"/>
      <c r="M335" s="1274"/>
      <c r="N335" s="1274"/>
      <c r="O335" s="1274"/>
      <c r="P335" s="1274"/>
      <c r="Q335" s="1274"/>
      <c r="R335" s="1274"/>
      <c r="S335" s="1211"/>
    </row>
    <row r="336" spans="1:19">
      <c r="A336" s="15"/>
      <c r="B336" s="390"/>
      <c r="C336" s="390"/>
      <c r="D336" s="390"/>
      <c r="E336" s="390"/>
      <c r="F336" s="390"/>
      <c r="G336" s="390"/>
      <c r="H336" s="390"/>
      <c r="I336" s="16"/>
      <c r="J336" s="390"/>
      <c r="K336" s="15"/>
      <c r="L336" s="390"/>
      <c r="M336" s="390"/>
      <c r="N336" s="390"/>
      <c r="O336" s="390"/>
      <c r="P336" s="390"/>
      <c r="Q336" s="390"/>
      <c r="R336" s="390"/>
      <c r="S336" s="16"/>
    </row>
    <row r="337" spans="1:19">
      <c r="A337" s="17" t="s">
        <v>55</v>
      </c>
      <c r="B337" s="4"/>
      <c r="C337" s="4"/>
      <c r="D337" s="317" t="s">
        <v>425</v>
      </c>
      <c r="E337" s="390"/>
      <c r="F337" s="390"/>
      <c r="G337" s="390"/>
      <c r="H337" s="390"/>
      <c r="I337" s="16"/>
      <c r="J337" s="390"/>
      <c r="K337" s="17" t="s">
        <v>55</v>
      </c>
      <c r="L337" s="4"/>
      <c r="M337" s="4"/>
      <c r="N337" s="8"/>
      <c r="O337" s="381" t="str">
        <f>D337</f>
        <v>Burgeon IT Services Pvt.Ltd.</v>
      </c>
      <c r="P337" s="390"/>
      <c r="Q337" s="390"/>
      <c r="R337" s="390"/>
      <c r="S337" s="16"/>
    </row>
    <row r="338" spans="1:19">
      <c r="A338" s="17"/>
      <c r="B338" s="150" t="s">
        <v>426</v>
      </c>
      <c r="C338" s="4"/>
      <c r="D338" s="390"/>
      <c r="E338" s="390"/>
      <c r="F338" s="390"/>
      <c r="G338" s="390"/>
      <c r="H338" s="390"/>
      <c r="I338" s="16"/>
      <c r="J338" s="390"/>
      <c r="K338" s="17"/>
      <c r="L338" s="4"/>
      <c r="M338" s="4"/>
      <c r="N338" s="4"/>
      <c r="O338" s="390"/>
      <c r="P338" s="390"/>
      <c r="Q338" s="390"/>
      <c r="R338" s="390"/>
      <c r="S338" s="16"/>
    </row>
    <row r="339" spans="1:19">
      <c r="A339" s="17"/>
      <c r="B339" s="4"/>
      <c r="C339" s="4"/>
      <c r="D339" s="4"/>
      <c r="E339" s="4"/>
      <c r="F339" s="390"/>
      <c r="G339" s="390"/>
      <c r="H339" s="390"/>
      <c r="I339" s="16"/>
      <c r="J339" s="390"/>
      <c r="K339" s="17"/>
      <c r="L339" s="4" t="str">
        <f>B338</f>
        <v>Siri Mansion LIGB 436 Dr.A S Rao Nagar,Hyderabad</v>
      </c>
      <c r="M339" s="4"/>
      <c r="N339" s="4"/>
      <c r="O339" s="4"/>
      <c r="P339" s="390"/>
      <c r="Q339" s="390"/>
      <c r="R339" s="390"/>
      <c r="S339" s="16"/>
    </row>
    <row r="340" spans="1:19">
      <c r="A340" s="1275" t="s">
        <v>56</v>
      </c>
      <c r="B340" s="1269"/>
      <c r="C340" s="1269"/>
      <c r="D340" s="1269"/>
      <c r="E340" s="4"/>
      <c r="F340" s="390"/>
      <c r="G340" s="390"/>
      <c r="H340" s="390"/>
      <c r="I340" s="16"/>
      <c r="J340" s="390"/>
      <c r="K340" s="1275" t="s">
        <v>56</v>
      </c>
      <c r="L340" s="1269"/>
      <c r="M340" s="1269"/>
      <c r="N340" s="1269"/>
      <c r="O340" s="4"/>
      <c r="P340" s="390"/>
      <c r="Q340" s="390"/>
      <c r="R340" s="390"/>
      <c r="S340" s="16"/>
    </row>
    <row r="341" spans="1:19">
      <c r="A341" s="1275"/>
      <c r="B341" s="1269"/>
      <c r="C341" s="1269"/>
      <c r="D341" s="1269"/>
      <c r="E341" t="str">
        <f>'04-22-Master'!B23</f>
        <v>Thaposh Ghosh</v>
      </c>
      <c r="F341" s="19"/>
      <c r="G341" s="19"/>
      <c r="H341" s="19" t="str">
        <f>'04-22-Master'!E23</f>
        <v>CH Divya Vani</v>
      </c>
      <c r="I341" s="16"/>
      <c r="J341" s="390"/>
      <c r="K341" s="1275"/>
      <c r="L341" s="1269"/>
      <c r="M341" s="1269"/>
      <c r="N341" s="1269"/>
      <c r="O341" s="18" t="str">
        <f>E341</f>
        <v>Thaposh Ghosh</v>
      </c>
      <c r="P341" s="19"/>
      <c r="Q341" s="19" t="str">
        <f>H341</f>
        <v>CH Divya Vani</v>
      </c>
      <c r="R341" s="19"/>
      <c r="S341" s="16"/>
    </row>
    <row r="342" spans="1:19">
      <c r="A342" s="17"/>
      <c r="B342" s="4"/>
      <c r="C342" s="4"/>
      <c r="D342" s="4"/>
      <c r="E342" s="4"/>
      <c r="F342" s="390"/>
      <c r="G342" s="390"/>
      <c r="H342" s="390"/>
      <c r="I342" s="16"/>
      <c r="J342" s="390"/>
      <c r="K342" s="17"/>
      <c r="L342" s="4"/>
      <c r="M342" s="4"/>
      <c r="N342" s="4"/>
      <c r="O342" s="4"/>
      <c r="P342" s="390"/>
      <c r="Q342" s="390"/>
      <c r="R342" s="390"/>
      <c r="S342" s="16"/>
    </row>
    <row r="343" spans="1:19">
      <c r="A343" s="1268" t="s">
        <v>57</v>
      </c>
      <c r="B343" s="1265"/>
      <c r="C343" s="1265"/>
      <c r="D343" s="1265"/>
      <c r="E343" s="18" t="s">
        <v>819</v>
      </c>
      <c r="F343" s="19"/>
      <c r="G343" s="19"/>
      <c r="H343" s="19"/>
      <c r="I343" s="16"/>
      <c r="J343" s="390"/>
      <c r="K343" s="1268" t="s">
        <v>57</v>
      </c>
      <c r="L343" s="1265"/>
      <c r="M343" s="1265"/>
      <c r="N343" s="1265"/>
      <c r="O343" s="18" t="str">
        <f>E343</f>
        <v>IT SUPPORTIVE SERVICES &amp; HYDERABAD SEZ</v>
      </c>
      <c r="P343" s="19"/>
      <c r="Q343" s="19"/>
      <c r="R343" s="19"/>
      <c r="S343" s="16"/>
    </row>
    <row r="344" spans="1:19">
      <c r="A344" s="17"/>
      <c r="B344" s="4"/>
      <c r="C344" s="4"/>
      <c r="D344" s="4"/>
      <c r="E344" s="4"/>
      <c r="F344" s="390"/>
      <c r="G344" s="390"/>
      <c r="H344" s="390"/>
      <c r="I344" s="16"/>
      <c r="J344" s="390"/>
      <c r="K344" s="17"/>
      <c r="L344" s="4"/>
      <c r="M344" s="4"/>
      <c r="N344" s="4"/>
      <c r="O344" s="4"/>
      <c r="P344" s="390"/>
      <c r="Q344" s="390"/>
      <c r="R344" s="390"/>
      <c r="S344" s="16"/>
    </row>
    <row r="345" spans="1:19">
      <c r="A345" s="1268" t="s">
        <v>58</v>
      </c>
      <c r="B345" s="1265"/>
      <c r="C345" s="1265"/>
      <c r="D345" s="1265"/>
      <c r="E345" s="20">
        <f>'04-22-Master'!D10</f>
        <v>44652</v>
      </c>
      <c r="F345" s="19"/>
      <c r="G345" s="19"/>
      <c r="H345" s="19"/>
      <c r="I345" s="16"/>
      <c r="J345" s="390"/>
      <c r="K345" s="1268" t="s">
        <v>58</v>
      </c>
      <c r="L345" s="1265"/>
      <c r="M345" s="1265"/>
      <c r="N345" s="1265"/>
      <c r="O345" s="20">
        <f>E345</f>
        <v>44652</v>
      </c>
      <c r="P345" s="19"/>
      <c r="Q345" s="19"/>
      <c r="R345" s="19"/>
      <c r="S345" s="16"/>
    </row>
    <row r="346" spans="1:19">
      <c r="A346" s="17"/>
      <c r="B346" s="4"/>
      <c r="C346" s="4"/>
      <c r="D346" s="4"/>
      <c r="E346" s="4"/>
      <c r="F346" s="390"/>
      <c r="G346" s="390"/>
      <c r="H346" s="390"/>
      <c r="I346" s="16"/>
      <c r="J346" s="390"/>
      <c r="K346" s="17"/>
      <c r="L346" s="4"/>
      <c r="M346" s="4"/>
      <c r="N346" s="4"/>
      <c r="O346" s="4"/>
      <c r="P346" s="390"/>
      <c r="Q346" s="390"/>
      <c r="R346" s="390"/>
      <c r="S346" s="16"/>
    </row>
    <row r="347" spans="1:19">
      <c r="A347" s="21">
        <v>1</v>
      </c>
      <c r="B347" s="1265" t="s">
        <v>59</v>
      </c>
      <c r="C347" s="1265"/>
      <c r="D347" s="1265"/>
      <c r="E347" s="22">
        <f>'04-22-Master'!Q23</f>
        <v>30</v>
      </c>
      <c r="F347" s="19"/>
      <c r="G347" s="19"/>
      <c r="H347" s="19"/>
      <c r="I347" s="16"/>
      <c r="J347" s="390"/>
      <c r="K347" s="21">
        <v>1</v>
      </c>
      <c r="L347" s="1265" t="s">
        <v>59</v>
      </c>
      <c r="M347" s="1265"/>
      <c r="N347" s="1265"/>
      <c r="O347" s="22">
        <f>E347</f>
        <v>30</v>
      </c>
      <c r="P347" s="19"/>
      <c r="Q347" s="19"/>
      <c r="R347" s="19"/>
      <c r="S347" s="16"/>
    </row>
    <row r="348" spans="1:19">
      <c r="A348" s="21"/>
      <c r="B348" s="4"/>
      <c r="C348" s="4"/>
      <c r="D348" s="4"/>
      <c r="E348" s="4"/>
      <c r="F348" s="390"/>
      <c r="G348" s="390"/>
      <c r="H348" s="390"/>
      <c r="I348" s="16"/>
      <c r="J348" s="390"/>
      <c r="K348" s="21"/>
      <c r="L348" s="4"/>
      <c r="M348" s="4"/>
      <c r="N348" s="4"/>
      <c r="O348" s="4"/>
      <c r="P348" s="390"/>
      <c r="Q348" s="390"/>
      <c r="R348" s="390"/>
      <c r="S348" s="16"/>
    </row>
    <row r="349" spans="1:19">
      <c r="A349" s="21">
        <v>2</v>
      </c>
      <c r="B349" s="1269" t="s">
        <v>60</v>
      </c>
      <c r="C349" s="1269"/>
      <c r="D349" s="1269"/>
      <c r="E349" s="4"/>
      <c r="F349" s="390"/>
      <c r="G349" s="390"/>
      <c r="H349" s="390"/>
      <c r="I349" s="16"/>
      <c r="J349" s="390"/>
      <c r="K349" s="21">
        <v>2</v>
      </c>
      <c r="L349" s="1269" t="s">
        <v>60</v>
      </c>
      <c r="M349" s="1269"/>
      <c r="N349" s="1269"/>
      <c r="O349" s="4"/>
      <c r="P349" s="390"/>
      <c r="Q349" s="390"/>
      <c r="R349" s="390"/>
      <c r="S349" s="16"/>
    </row>
    <row r="350" spans="1:19">
      <c r="A350" s="21"/>
      <c r="B350" s="1269"/>
      <c r="C350" s="1269"/>
      <c r="D350" s="1269"/>
      <c r="E350" s="23" t="s">
        <v>37</v>
      </c>
      <c r="F350" s="19"/>
      <c r="G350" s="19"/>
      <c r="H350" s="19"/>
      <c r="I350" s="16"/>
      <c r="J350" s="390"/>
      <c r="K350" s="21"/>
      <c r="L350" s="1269"/>
      <c r="M350" s="1269"/>
      <c r="N350" s="1269"/>
      <c r="O350" s="23" t="s">
        <v>37</v>
      </c>
      <c r="P350" s="19"/>
      <c r="Q350" s="19"/>
      <c r="R350" s="19"/>
      <c r="S350" s="16"/>
    </row>
    <row r="351" spans="1:19">
      <c r="A351" s="21"/>
      <c r="B351" s="4"/>
      <c r="C351" s="4"/>
      <c r="D351" s="4"/>
      <c r="E351" s="4"/>
      <c r="F351" s="390"/>
      <c r="G351" s="390"/>
      <c r="H351" s="390"/>
      <c r="I351" s="16"/>
      <c r="J351" s="390"/>
      <c r="K351" s="21"/>
      <c r="L351" s="4"/>
      <c r="M351" s="4"/>
      <c r="N351" s="4"/>
      <c r="O351" s="4"/>
      <c r="P351" s="390"/>
      <c r="Q351" s="390"/>
      <c r="R351" s="390"/>
      <c r="S351" s="16"/>
    </row>
    <row r="352" spans="1:19">
      <c r="A352" s="21">
        <v>3</v>
      </c>
      <c r="B352" s="1265" t="s">
        <v>61</v>
      </c>
      <c r="C352" s="1265"/>
      <c r="D352" s="1265"/>
      <c r="E352" s="23" t="s">
        <v>37</v>
      </c>
      <c r="F352" s="19"/>
      <c r="G352" s="19"/>
      <c r="H352" s="19"/>
      <c r="I352" s="16"/>
      <c r="J352" s="390"/>
      <c r="K352" s="21">
        <v>3</v>
      </c>
      <c r="L352" s="1265" t="s">
        <v>61</v>
      </c>
      <c r="M352" s="1265"/>
      <c r="N352" s="1265"/>
      <c r="O352" s="18" t="str">
        <f>E352</f>
        <v>N/A</v>
      </c>
      <c r="P352" s="19"/>
      <c r="Q352" s="19"/>
      <c r="R352" s="19"/>
      <c r="S352" s="16"/>
    </row>
    <row r="353" spans="1:19">
      <c r="A353" s="21"/>
      <c r="B353" s="4"/>
      <c r="C353" s="4"/>
      <c r="D353" s="4"/>
      <c r="E353" s="4"/>
      <c r="F353" s="390"/>
      <c r="G353" s="390"/>
      <c r="H353" s="390"/>
      <c r="I353" s="16"/>
      <c r="J353" s="390"/>
      <c r="K353" s="21"/>
      <c r="L353" s="4"/>
      <c r="M353" s="4"/>
      <c r="N353" s="4"/>
      <c r="O353" s="4"/>
      <c r="P353" s="390"/>
      <c r="Q353" s="390"/>
      <c r="R353" s="390"/>
      <c r="S353" s="16"/>
    </row>
    <row r="354" spans="1:19">
      <c r="A354" s="21">
        <v>4</v>
      </c>
      <c r="B354" s="1265" t="s">
        <v>62</v>
      </c>
      <c r="C354" s="1265"/>
      <c r="D354" s="1265"/>
      <c r="E354" s="23" t="s">
        <v>63</v>
      </c>
      <c r="F354" s="19"/>
      <c r="G354" s="19"/>
      <c r="H354" s="19"/>
      <c r="I354" s="16"/>
      <c r="J354" s="390"/>
      <c r="K354" s="21">
        <v>4</v>
      </c>
      <c r="L354" s="1265" t="s">
        <v>62</v>
      </c>
      <c r="M354" s="1265"/>
      <c r="N354" s="1265"/>
      <c r="O354" s="23" t="s">
        <v>63</v>
      </c>
      <c r="P354" s="19"/>
      <c r="Q354" s="19"/>
      <c r="R354" s="19"/>
      <c r="S354" s="16"/>
    </row>
    <row r="355" spans="1:19">
      <c r="A355" s="21"/>
      <c r="B355" s="4"/>
      <c r="C355" s="4"/>
      <c r="D355" s="4"/>
      <c r="E355" s="4"/>
      <c r="F355" s="390"/>
      <c r="G355" s="390"/>
      <c r="H355" s="390"/>
      <c r="I355" s="16"/>
      <c r="J355" s="390"/>
      <c r="K355" s="21"/>
      <c r="L355" s="4"/>
      <c r="M355" s="4"/>
      <c r="N355" s="4"/>
      <c r="O355" s="4"/>
      <c r="P355" s="390"/>
      <c r="Q355" s="390"/>
      <c r="R355" s="390"/>
      <c r="S355" s="16"/>
    </row>
    <row r="356" spans="1:19">
      <c r="A356" s="21">
        <v>5</v>
      </c>
      <c r="B356" s="1265" t="s">
        <v>64</v>
      </c>
      <c r="C356" s="1265"/>
      <c r="D356" s="1265"/>
      <c r="E356" s="295">
        <f>'04-22-Master'!AG23</f>
        <v>153275.48935999998</v>
      </c>
      <c r="F356" s="390"/>
      <c r="G356" s="390"/>
      <c r="H356" s="390"/>
      <c r="I356" s="16"/>
      <c r="J356" s="390"/>
      <c r="K356" s="21">
        <v>5</v>
      </c>
      <c r="L356" s="1265" t="s">
        <v>64</v>
      </c>
      <c r="M356" s="1265"/>
      <c r="N356" s="1265"/>
      <c r="O356" s="295">
        <f>E356</f>
        <v>153275.48935999998</v>
      </c>
      <c r="P356" s="390"/>
      <c r="Q356" s="390"/>
      <c r="R356" s="390"/>
      <c r="S356" s="16"/>
    </row>
    <row r="357" spans="1:19">
      <c r="A357" s="21"/>
      <c r="B357" s="4"/>
      <c r="C357" s="4"/>
      <c r="D357" s="296" t="s">
        <v>65</v>
      </c>
      <c r="E357" s="296" t="s">
        <v>31</v>
      </c>
      <c r="F357" s="296" t="s">
        <v>33</v>
      </c>
      <c r="G357" s="296" t="s">
        <v>34</v>
      </c>
      <c r="H357" s="296" t="s">
        <v>399</v>
      </c>
      <c r="I357" s="294" t="s">
        <v>400</v>
      </c>
      <c r="J357" s="390"/>
      <c r="K357" s="21"/>
      <c r="L357" s="4"/>
      <c r="M357" s="4"/>
      <c r="N357" s="296" t="s">
        <v>65</v>
      </c>
      <c r="O357" s="296" t="s">
        <v>31</v>
      </c>
      <c r="P357" s="296" t="s">
        <v>33</v>
      </c>
      <c r="Q357" s="296" t="s">
        <v>34</v>
      </c>
      <c r="R357" s="296" t="s">
        <v>399</v>
      </c>
      <c r="S357" s="294" t="s">
        <v>400</v>
      </c>
    </row>
    <row r="358" spans="1:19">
      <c r="A358" s="21">
        <v>6</v>
      </c>
      <c r="B358" s="632" t="s">
        <v>66</v>
      </c>
      <c r="C358" s="632"/>
      <c r="D358" s="297">
        <f>'04-22-Master'!AI23</f>
        <v>1800</v>
      </c>
      <c r="E358" s="297">
        <f>'04-22-Master'!AH401</f>
        <v>0</v>
      </c>
      <c r="F358" s="298">
        <f>'04-22-Master'!AJ23</f>
        <v>200</v>
      </c>
      <c r="G358" s="297">
        <f>'04-22-Master'!AK23</f>
        <v>0</v>
      </c>
      <c r="H358" s="298">
        <f>'04-22-Master'!AL23</f>
        <v>283</v>
      </c>
      <c r="I358" s="298">
        <f>D358+E358+F358+G358+H358</f>
        <v>2283</v>
      </c>
      <c r="J358" s="390"/>
      <c r="K358" s="21">
        <v>6</v>
      </c>
      <c r="L358" s="632" t="s">
        <v>66</v>
      </c>
      <c r="M358" s="632"/>
      <c r="N358" s="297">
        <f t="shared" ref="N358" si="32">D358</f>
        <v>1800</v>
      </c>
      <c r="O358" s="297">
        <f t="shared" ref="O358" si="33">E358</f>
        <v>0</v>
      </c>
      <c r="P358" s="298">
        <f t="shared" ref="P358" si="34">F358</f>
        <v>200</v>
      </c>
      <c r="Q358" s="297">
        <f t="shared" ref="Q358" si="35">G358</f>
        <v>0</v>
      </c>
      <c r="R358" s="298">
        <f t="shared" ref="R358" si="36">H358</f>
        <v>283</v>
      </c>
      <c r="S358" s="298">
        <f t="shared" ref="S358" si="37">I358</f>
        <v>2283</v>
      </c>
    </row>
    <row r="359" spans="1:19">
      <c r="A359" s="21"/>
      <c r="B359" s="4"/>
      <c r="C359" s="4"/>
      <c r="D359" s="4"/>
      <c r="E359" s="4"/>
      <c r="F359" s="390"/>
      <c r="G359" s="390"/>
      <c r="H359" s="390"/>
      <c r="I359" s="16"/>
      <c r="J359" s="390"/>
      <c r="K359" s="21"/>
      <c r="L359" s="4"/>
      <c r="M359" s="4"/>
      <c r="N359" s="4"/>
      <c r="O359" s="4"/>
      <c r="P359" s="390"/>
      <c r="Q359" s="390"/>
      <c r="R359" s="390"/>
      <c r="S359" s="16"/>
    </row>
    <row r="360" spans="1:19">
      <c r="A360" s="21">
        <v>7</v>
      </c>
      <c r="B360" s="1265" t="s">
        <v>67</v>
      </c>
      <c r="C360" s="1265"/>
      <c r="D360" s="1265"/>
      <c r="E360" s="24">
        <f>E356-I358</f>
        <v>150992.48935999998</v>
      </c>
      <c r="F360" s="19"/>
      <c r="G360" s="19"/>
      <c r="H360" s="19"/>
      <c r="I360" s="16"/>
      <c r="J360" s="390"/>
      <c r="K360" s="21">
        <v>7</v>
      </c>
      <c r="L360" s="1265" t="s">
        <v>67</v>
      </c>
      <c r="M360" s="1265"/>
      <c r="N360" s="1265"/>
      <c r="O360" s="24">
        <f>E360</f>
        <v>150992.48935999998</v>
      </c>
      <c r="P360" s="19"/>
      <c r="Q360" s="19"/>
      <c r="R360" s="19"/>
      <c r="S360" s="16"/>
    </row>
    <row r="361" spans="1:19">
      <c r="A361" s="15"/>
      <c r="B361" s="390"/>
      <c r="C361" s="390"/>
      <c r="D361" s="390"/>
      <c r="E361" s="390"/>
      <c r="F361" s="390"/>
      <c r="G361" s="390"/>
      <c r="H361" s="390"/>
      <c r="I361" s="16"/>
      <c r="J361" s="390"/>
      <c r="K361" s="15"/>
      <c r="L361" s="390"/>
      <c r="M361" s="390"/>
      <c r="N361" s="390"/>
      <c r="O361" s="390"/>
      <c r="P361" s="390"/>
      <c r="Q361" s="390"/>
      <c r="R361" s="390"/>
      <c r="S361" s="16"/>
    </row>
    <row r="362" spans="1:19">
      <c r="A362" s="15"/>
      <c r="B362" s="390"/>
      <c r="C362" s="390"/>
      <c r="D362" s="390"/>
      <c r="E362" s="390"/>
      <c r="F362" s="390"/>
      <c r="G362" s="390"/>
      <c r="H362" s="390"/>
      <c r="I362" s="16"/>
      <c r="J362" s="390"/>
      <c r="K362" s="15"/>
      <c r="L362" s="390"/>
      <c r="M362" s="390"/>
      <c r="N362" s="390"/>
      <c r="O362" s="390"/>
      <c r="P362" s="390"/>
      <c r="Q362" s="390"/>
      <c r="R362" s="390"/>
      <c r="S362" s="16"/>
    </row>
    <row r="363" spans="1:19" ht="15.75" thickBot="1">
      <c r="A363" s="15"/>
      <c r="B363" s="390"/>
      <c r="C363" s="390"/>
      <c r="D363" s="390"/>
      <c r="E363" s="390"/>
      <c r="F363" s="25"/>
      <c r="G363" s="25"/>
      <c r="H363" s="25"/>
      <c r="I363" s="26"/>
      <c r="J363" s="390"/>
      <c r="K363" s="15"/>
      <c r="L363" s="390"/>
      <c r="M363" s="390"/>
      <c r="N363" s="390"/>
      <c r="O363" s="390"/>
      <c r="P363" s="25"/>
      <c r="Q363" s="25"/>
      <c r="R363" s="25"/>
      <c r="S363" s="26"/>
    </row>
    <row r="364" spans="1:19" ht="15.75" thickBot="1">
      <c r="A364" s="27"/>
      <c r="B364" s="25"/>
      <c r="C364" s="25"/>
      <c r="D364" s="25"/>
      <c r="E364" s="25"/>
      <c r="F364" s="1266" t="s">
        <v>68</v>
      </c>
      <c r="G364" s="1266"/>
      <c r="H364" s="1266"/>
      <c r="I364" s="1267"/>
      <c r="J364" s="390"/>
      <c r="K364" s="27"/>
      <c r="L364" s="25"/>
      <c r="M364" s="25"/>
      <c r="N364" s="25"/>
      <c r="O364" s="25"/>
      <c r="P364" s="1266" t="s">
        <v>68</v>
      </c>
      <c r="Q364" s="1266"/>
      <c r="R364" s="1266"/>
      <c r="S364" s="1267"/>
    </row>
    <row r="368" spans="1:19" ht="15.75" thickBot="1"/>
    <row r="369" spans="1:19" ht="26.25">
      <c r="A369" s="1270" t="s">
        <v>53</v>
      </c>
      <c r="B369" s="1271"/>
      <c r="C369" s="1271"/>
      <c r="D369" s="1271"/>
      <c r="E369" s="1271"/>
      <c r="F369" s="1271"/>
      <c r="G369" s="1271"/>
      <c r="H369" s="1271"/>
      <c r="I369" s="1272"/>
      <c r="J369" s="390"/>
      <c r="K369" s="1270" t="s">
        <v>53</v>
      </c>
      <c r="L369" s="1271"/>
      <c r="M369" s="1271"/>
      <c r="N369" s="1271"/>
      <c r="O369" s="1271"/>
      <c r="P369" s="1271"/>
      <c r="Q369" s="1271"/>
      <c r="R369" s="1271"/>
      <c r="S369" s="1272"/>
    </row>
    <row r="370" spans="1:19">
      <c r="A370" s="1273" t="s">
        <v>54</v>
      </c>
      <c r="B370" s="1274"/>
      <c r="C370" s="1274"/>
      <c r="D370" s="1274"/>
      <c r="E370" s="1274"/>
      <c r="F370" s="1274"/>
      <c r="G370" s="1274"/>
      <c r="H370" s="1274"/>
      <c r="I370" s="1211"/>
      <c r="J370" s="390"/>
      <c r="K370" s="1273" t="s">
        <v>54</v>
      </c>
      <c r="L370" s="1274"/>
      <c r="M370" s="1274"/>
      <c r="N370" s="1274"/>
      <c r="O370" s="1274"/>
      <c r="P370" s="1274"/>
      <c r="Q370" s="1274"/>
      <c r="R370" s="1274"/>
      <c r="S370" s="1211"/>
    </row>
    <row r="371" spans="1:19">
      <c r="A371" s="15"/>
      <c r="B371" s="390"/>
      <c r="C371" s="390"/>
      <c r="D371" s="390"/>
      <c r="E371" s="390"/>
      <c r="F371" s="390"/>
      <c r="G371" s="390"/>
      <c r="H371" s="390"/>
      <c r="I371" s="16"/>
      <c r="J371" s="390"/>
      <c r="K371" s="15"/>
      <c r="L371" s="390"/>
      <c r="M371" s="390"/>
      <c r="N371" s="390"/>
      <c r="O371" s="390"/>
      <c r="P371" s="390"/>
      <c r="Q371" s="390"/>
      <c r="R371" s="390"/>
      <c r="S371" s="16"/>
    </row>
    <row r="372" spans="1:19">
      <c r="A372" s="17" t="s">
        <v>55</v>
      </c>
      <c r="B372" s="4"/>
      <c r="C372" s="4"/>
      <c r="D372" s="317" t="s">
        <v>425</v>
      </c>
      <c r="E372" s="390"/>
      <c r="F372" s="390"/>
      <c r="G372" s="390"/>
      <c r="H372" s="390"/>
      <c r="I372" s="16"/>
      <c r="J372" s="390"/>
      <c r="K372" s="17" t="s">
        <v>55</v>
      </c>
      <c r="L372" s="4"/>
      <c r="M372" s="4"/>
      <c r="N372" s="8"/>
      <c r="O372" s="381" t="str">
        <f>D372</f>
        <v>Burgeon IT Services Pvt.Ltd.</v>
      </c>
      <c r="P372" s="390"/>
      <c r="Q372" s="390"/>
      <c r="R372" s="390"/>
      <c r="S372" s="16"/>
    </row>
    <row r="373" spans="1:19">
      <c r="A373" s="17"/>
      <c r="B373" s="150" t="s">
        <v>426</v>
      </c>
      <c r="C373" s="4"/>
      <c r="D373" s="390"/>
      <c r="E373" s="390"/>
      <c r="F373" s="390"/>
      <c r="G373" s="390"/>
      <c r="H373" s="390"/>
      <c r="I373" s="16"/>
      <c r="J373" s="390"/>
      <c r="K373" s="17"/>
      <c r="L373" s="4"/>
      <c r="M373" s="4"/>
      <c r="N373" s="4"/>
      <c r="O373" s="390"/>
      <c r="P373" s="390"/>
      <c r="Q373" s="390"/>
      <c r="R373" s="390"/>
      <c r="S373" s="16"/>
    </row>
    <row r="374" spans="1:19">
      <c r="A374" s="17"/>
      <c r="B374" s="4"/>
      <c r="C374" s="4"/>
      <c r="D374" s="4"/>
      <c r="E374" s="4"/>
      <c r="F374" s="390"/>
      <c r="G374" s="390"/>
      <c r="H374" s="390"/>
      <c r="I374" s="16"/>
      <c r="J374" s="390"/>
      <c r="K374" s="17"/>
      <c r="L374" s="4" t="str">
        <f>B373</f>
        <v>Siri Mansion LIGB 436 Dr.A S Rao Nagar,Hyderabad</v>
      </c>
      <c r="M374" s="4"/>
      <c r="N374" s="4"/>
      <c r="O374" s="4"/>
      <c r="P374" s="390"/>
      <c r="Q374" s="390"/>
      <c r="R374" s="390"/>
      <c r="S374" s="16"/>
    </row>
    <row r="375" spans="1:19">
      <c r="A375" s="1275" t="s">
        <v>56</v>
      </c>
      <c r="B375" s="1269"/>
      <c r="C375" s="1269"/>
      <c r="D375" s="1269"/>
      <c r="E375" s="4"/>
      <c r="F375" s="390"/>
      <c r="G375" s="390"/>
      <c r="H375" s="390"/>
      <c r="I375" s="16"/>
      <c r="J375" s="390"/>
      <c r="K375" s="1275" t="s">
        <v>56</v>
      </c>
      <c r="L375" s="1269"/>
      <c r="M375" s="1269"/>
      <c r="N375" s="1269"/>
      <c r="O375" s="4"/>
      <c r="P375" s="390"/>
      <c r="Q375" s="390"/>
      <c r="R375" s="390"/>
      <c r="S375" s="16"/>
    </row>
    <row r="376" spans="1:19">
      <c r="A376" s="1275"/>
      <c r="B376" s="1269"/>
      <c r="C376" s="1269"/>
      <c r="D376" s="1269"/>
      <c r="E376" t="str">
        <f>'04-22-Master'!B24</f>
        <v>Nagashree Narayan</v>
      </c>
      <c r="F376" s="19"/>
      <c r="G376" s="19"/>
      <c r="H376" s="19" t="str">
        <f>'04-22-Master'!E24</f>
        <v>KANTHA KAMBAIAH LAKSHMI</v>
      </c>
      <c r="I376" s="16"/>
      <c r="J376" s="390"/>
      <c r="K376" s="1275"/>
      <c r="L376" s="1269"/>
      <c r="M376" s="1269"/>
      <c r="N376" s="1269"/>
      <c r="O376" s="18" t="str">
        <f>E376</f>
        <v>Nagashree Narayan</v>
      </c>
      <c r="P376" s="19"/>
      <c r="Q376" s="19" t="str">
        <f>H376</f>
        <v>KANTHA KAMBAIAH LAKSHMI</v>
      </c>
      <c r="R376" s="19"/>
      <c r="S376" s="16"/>
    </row>
    <row r="377" spans="1:19">
      <c r="A377" s="17"/>
      <c r="B377" s="4"/>
      <c r="C377" s="4"/>
      <c r="D377" s="4"/>
      <c r="E377" s="4"/>
      <c r="F377" s="390"/>
      <c r="G377" s="390"/>
      <c r="H377" s="390"/>
      <c r="I377" s="16"/>
      <c r="J377" s="390"/>
      <c r="K377" s="17"/>
      <c r="L377" s="4"/>
      <c r="M377" s="4"/>
      <c r="N377" s="4"/>
      <c r="O377" s="4"/>
      <c r="P377" s="390"/>
      <c r="Q377" s="390"/>
      <c r="R377" s="390"/>
      <c r="S377" s="16"/>
    </row>
    <row r="378" spans="1:19">
      <c r="A378" s="1268" t="s">
        <v>57</v>
      </c>
      <c r="B378" s="1265"/>
      <c r="C378" s="1265"/>
      <c r="D378" s="1265"/>
      <c r="E378" s="18" t="s">
        <v>819</v>
      </c>
      <c r="F378" s="19"/>
      <c r="G378" s="19"/>
      <c r="H378" s="19"/>
      <c r="I378" s="16"/>
      <c r="J378" s="390"/>
      <c r="K378" s="1268" t="s">
        <v>57</v>
      </c>
      <c r="L378" s="1265"/>
      <c r="M378" s="1265"/>
      <c r="N378" s="1265"/>
      <c r="O378" s="18" t="str">
        <f>E378</f>
        <v>IT SUPPORTIVE SERVICES &amp; HYDERABAD SEZ</v>
      </c>
      <c r="P378" s="19"/>
      <c r="Q378" s="19"/>
      <c r="R378" s="19"/>
      <c r="S378" s="16"/>
    </row>
    <row r="379" spans="1:19">
      <c r="A379" s="17"/>
      <c r="B379" s="4"/>
      <c r="C379" s="4"/>
      <c r="D379" s="4"/>
      <c r="E379" s="4"/>
      <c r="F379" s="390"/>
      <c r="G379" s="390"/>
      <c r="H379" s="390"/>
      <c r="I379" s="16"/>
      <c r="J379" s="390"/>
      <c r="K379" s="17"/>
      <c r="L379" s="4"/>
      <c r="M379" s="4"/>
      <c r="N379" s="4"/>
      <c r="O379" s="4"/>
      <c r="P379" s="390"/>
      <c r="Q379" s="390"/>
      <c r="R379" s="390"/>
      <c r="S379" s="16"/>
    </row>
    <row r="380" spans="1:19">
      <c r="A380" s="1268" t="s">
        <v>58</v>
      </c>
      <c r="B380" s="1265"/>
      <c r="C380" s="1265"/>
      <c r="D380" s="1265"/>
      <c r="E380" s="20">
        <f>'04-22-Master'!D10</f>
        <v>44652</v>
      </c>
      <c r="F380" s="19"/>
      <c r="G380" s="19"/>
      <c r="H380" s="19"/>
      <c r="I380" s="16"/>
      <c r="J380" s="390"/>
      <c r="K380" s="1268" t="s">
        <v>58</v>
      </c>
      <c r="L380" s="1265"/>
      <c r="M380" s="1265"/>
      <c r="N380" s="1265"/>
      <c r="O380" s="20">
        <f>E380</f>
        <v>44652</v>
      </c>
      <c r="P380" s="19"/>
      <c r="Q380" s="19"/>
      <c r="R380" s="19"/>
      <c r="S380" s="16"/>
    </row>
    <row r="381" spans="1:19">
      <c r="A381" s="17"/>
      <c r="B381" s="4"/>
      <c r="C381" s="4"/>
      <c r="D381" s="4"/>
      <c r="E381" s="4"/>
      <c r="F381" s="390"/>
      <c r="G381" s="390"/>
      <c r="H381" s="390"/>
      <c r="I381" s="16"/>
      <c r="J381" s="390"/>
      <c r="K381" s="17"/>
      <c r="L381" s="4"/>
      <c r="M381" s="4"/>
      <c r="N381" s="4"/>
      <c r="O381" s="4"/>
      <c r="P381" s="390"/>
      <c r="Q381" s="390"/>
      <c r="R381" s="390"/>
      <c r="S381" s="16"/>
    </row>
    <row r="382" spans="1:19">
      <c r="A382" s="21">
        <v>1</v>
      </c>
      <c r="B382" s="1265" t="s">
        <v>59</v>
      </c>
      <c r="C382" s="1265"/>
      <c r="D382" s="1265"/>
      <c r="E382" s="22">
        <f>'04-22-Master'!Q24</f>
        <v>29</v>
      </c>
      <c r="F382" s="19"/>
      <c r="G382" s="19"/>
      <c r="H382" s="19"/>
      <c r="I382" s="16"/>
      <c r="J382" s="390"/>
      <c r="K382" s="21">
        <v>1</v>
      </c>
      <c r="L382" s="1265" t="s">
        <v>59</v>
      </c>
      <c r="M382" s="1265"/>
      <c r="N382" s="1265"/>
      <c r="O382" s="22">
        <f>E382</f>
        <v>29</v>
      </c>
      <c r="P382" s="19"/>
      <c r="Q382" s="19"/>
      <c r="R382" s="19"/>
      <c r="S382" s="16"/>
    </row>
    <row r="383" spans="1:19">
      <c r="A383" s="21"/>
      <c r="B383" s="4"/>
      <c r="C383" s="4"/>
      <c r="D383" s="4"/>
      <c r="E383" s="4"/>
      <c r="F383" s="390"/>
      <c r="G383" s="390"/>
      <c r="H383" s="390"/>
      <c r="I383" s="16"/>
      <c r="J383" s="390"/>
      <c r="K383" s="21"/>
      <c r="L383" s="4"/>
      <c r="M383" s="4"/>
      <c r="N383" s="4"/>
      <c r="O383" s="4"/>
      <c r="P383" s="390"/>
      <c r="Q383" s="390"/>
      <c r="R383" s="390"/>
      <c r="S383" s="16"/>
    </row>
    <row r="384" spans="1:19">
      <c r="A384" s="21">
        <v>2</v>
      </c>
      <c r="B384" s="1269" t="s">
        <v>60</v>
      </c>
      <c r="C384" s="1269"/>
      <c r="D384" s="1269"/>
      <c r="E384" s="4"/>
      <c r="F384" s="390"/>
      <c r="G384" s="390"/>
      <c r="H384" s="390"/>
      <c r="I384" s="16"/>
      <c r="J384" s="390"/>
      <c r="K384" s="21">
        <v>2</v>
      </c>
      <c r="L384" s="1269" t="s">
        <v>60</v>
      </c>
      <c r="M384" s="1269"/>
      <c r="N384" s="1269"/>
      <c r="O384" s="4"/>
      <c r="P384" s="390"/>
      <c r="Q384" s="390"/>
      <c r="R384" s="390"/>
      <c r="S384" s="16"/>
    </row>
    <row r="385" spans="1:19">
      <c r="A385" s="21"/>
      <c r="B385" s="1269"/>
      <c r="C385" s="1269"/>
      <c r="D385" s="1269"/>
      <c r="E385" s="23" t="s">
        <v>37</v>
      </c>
      <c r="F385" s="19"/>
      <c r="G385" s="19"/>
      <c r="H385" s="19"/>
      <c r="I385" s="16"/>
      <c r="J385" s="390"/>
      <c r="K385" s="21"/>
      <c r="L385" s="1269"/>
      <c r="M385" s="1269"/>
      <c r="N385" s="1269"/>
      <c r="O385" s="23" t="s">
        <v>37</v>
      </c>
      <c r="P385" s="19"/>
      <c r="Q385" s="19"/>
      <c r="R385" s="19"/>
      <c r="S385" s="16"/>
    </row>
    <row r="386" spans="1:19">
      <c r="A386" s="21"/>
      <c r="B386" s="4"/>
      <c r="C386" s="4"/>
      <c r="D386" s="4"/>
      <c r="E386" s="4"/>
      <c r="F386" s="390"/>
      <c r="G386" s="390"/>
      <c r="H386" s="390"/>
      <c r="I386" s="16"/>
      <c r="J386" s="390"/>
      <c r="K386" s="21"/>
      <c r="L386" s="4"/>
      <c r="M386" s="4"/>
      <c r="N386" s="4"/>
      <c r="O386" s="4"/>
      <c r="P386" s="390"/>
      <c r="Q386" s="390"/>
      <c r="R386" s="390"/>
      <c r="S386" s="16"/>
    </row>
    <row r="387" spans="1:19">
      <c r="A387" s="21">
        <v>3</v>
      </c>
      <c r="B387" s="1265" t="s">
        <v>61</v>
      </c>
      <c r="C387" s="1265"/>
      <c r="D387" s="1265"/>
      <c r="E387" s="23" t="s">
        <v>37</v>
      </c>
      <c r="F387" s="19"/>
      <c r="G387" s="19"/>
      <c r="H387" s="19"/>
      <c r="I387" s="16"/>
      <c r="J387" s="390"/>
      <c r="K387" s="21">
        <v>3</v>
      </c>
      <c r="L387" s="1265" t="s">
        <v>61</v>
      </c>
      <c r="M387" s="1265"/>
      <c r="N387" s="1265"/>
      <c r="O387" s="18" t="str">
        <f>E387</f>
        <v>N/A</v>
      </c>
      <c r="P387" s="19"/>
      <c r="Q387" s="19"/>
      <c r="R387" s="19"/>
      <c r="S387" s="16"/>
    </row>
    <row r="388" spans="1:19">
      <c r="A388" s="21"/>
      <c r="B388" s="4"/>
      <c r="C388" s="4"/>
      <c r="D388" s="4"/>
      <c r="E388" s="4"/>
      <c r="F388" s="390"/>
      <c r="G388" s="390"/>
      <c r="H388" s="390"/>
      <c r="I388" s="16"/>
      <c r="J388" s="390"/>
      <c r="K388" s="21"/>
      <c r="L388" s="4"/>
      <c r="M388" s="4"/>
      <c r="N388" s="4"/>
      <c r="O388" s="4"/>
      <c r="P388" s="390"/>
      <c r="Q388" s="390"/>
      <c r="R388" s="390"/>
      <c r="S388" s="16"/>
    </row>
    <row r="389" spans="1:19">
      <c r="A389" s="21">
        <v>4</v>
      </c>
      <c r="B389" s="1265" t="s">
        <v>62</v>
      </c>
      <c r="C389" s="1265"/>
      <c r="D389" s="1265"/>
      <c r="E389" s="23" t="s">
        <v>63</v>
      </c>
      <c r="F389" s="19"/>
      <c r="G389" s="19"/>
      <c r="H389" s="19"/>
      <c r="I389" s="16"/>
      <c r="J389" s="390"/>
      <c r="K389" s="21">
        <v>4</v>
      </c>
      <c r="L389" s="1265" t="s">
        <v>62</v>
      </c>
      <c r="M389" s="1265"/>
      <c r="N389" s="1265"/>
      <c r="O389" s="23" t="s">
        <v>63</v>
      </c>
      <c r="P389" s="19"/>
      <c r="Q389" s="19"/>
      <c r="R389" s="19"/>
      <c r="S389" s="16"/>
    </row>
    <row r="390" spans="1:19">
      <c r="A390" s="21"/>
      <c r="B390" s="4"/>
      <c r="C390" s="4"/>
      <c r="D390" s="4"/>
      <c r="E390" s="4"/>
      <c r="F390" s="390"/>
      <c r="G390" s="390"/>
      <c r="H390" s="390"/>
      <c r="I390" s="16"/>
      <c r="J390" s="390"/>
      <c r="K390" s="21"/>
      <c r="L390" s="4"/>
      <c r="M390" s="4"/>
      <c r="N390" s="4"/>
      <c r="O390" s="4"/>
      <c r="P390" s="390"/>
      <c r="Q390" s="390"/>
      <c r="R390" s="390"/>
      <c r="S390" s="16"/>
    </row>
    <row r="391" spans="1:19">
      <c r="A391" s="21">
        <v>5</v>
      </c>
      <c r="B391" s="1265" t="s">
        <v>64</v>
      </c>
      <c r="C391" s="1265"/>
      <c r="D391" s="1265"/>
      <c r="E391" s="295">
        <f>'04-22-Master'!AG24</f>
        <v>104722.617768</v>
      </c>
      <c r="F391" s="390"/>
      <c r="G391" s="390"/>
      <c r="H391" s="390"/>
      <c r="I391" s="16"/>
      <c r="J391" s="390"/>
      <c r="K391" s="21">
        <v>5</v>
      </c>
      <c r="L391" s="1265" t="s">
        <v>64</v>
      </c>
      <c r="M391" s="1265"/>
      <c r="N391" s="1265"/>
      <c r="O391" s="295">
        <f>E391</f>
        <v>104722.617768</v>
      </c>
      <c r="P391" s="390"/>
      <c r="Q391" s="390"/>
      <c r="R391" s="390"/>
      <c r="S391" s="16"/>
    </row>
    <row r="392" spans="1:19">
      <c r="A392" s="21"/>
      <c r="B392" s="4"/>
      <c r="C392" s="4"/>
      <c r="D392" s="296" t="s">
        <v>65</v>
      </c>
      <c r="E392" s="296" t="s">
        <v>31</v>
      </c>
      <c r="F392" s="296" t="s">
        <v>33</v>
      </c>
      <c r="G392" s="296" t="s">
        <v>34</v>
      </c>
      <c r="H392" s="296" t="s">
        <v>399</v>
      </c>
      <c r="I392" s="294" t="s">
        <v>400</v>
      </c>
      <c r="J392" s="390"/>
      <c r="K392" s="21"/>
      <c r="L392" s="4"/>
      <c r="M392" s="4"/>
      <c r="N392" s="296" t="s">
        <v>65</v>
      </c>
      <c r="O392" s="296" t="s">
        <v>31</v>
      </c>
      <c r="P392" s="296" t="s">
        <v>33</v>
      </c>
      <c r="Q392" s="296" t="s">
        <v>34</v>
      </c>
      <c r="R392" s="296" t="s">
        <v>399</v>
      </c>
      <c r="S392" s="294" t="s">
        <v>400</v>
      </c>
    </row>
    <row r="393" spans="1:19">
      <c r="A393" s="21">
        <v>6</v>
      </c>
      <c r="B393" s="632" t="s">
        <v>66</v>
      </c>
      <c r="C393" s="632"/>
      <c r="D393" s="297">
        <f>'04-22-Master'!AI24</f>
        <v>1800</v>
      </c>
      <c r="E393" s="297">
        <f>'04-22-Master'!AH437</f>
        <v>0</v>
      </c>
      <c r="F393" s="298">
        <f>'04-22-Master'!AJ24</f>
        <v>200</v>
      </c>
      <c r="G393" s="297">
        <f>'04-22-Master'!AK24</f>
        <v>0</v>
      </c>
      <c r="H393" s="298">
        <f>'04-22-Master'!AL24</f>
        <v>283</v>
      </c>
      <c r="I393" s="298">
        <f>D393+E393+F393+G393+H393</f>
        <v>2283</v>
      </c>
      <c r="J393" s="390"/>
      <c r="K393" s="21">
        <v>6</v>
      </c>
      <c r="L393" s="632" t="s">
        <v>66</v>
      </c>
      <c r="M393" s="632"/>
      <c r="N393" s="297">
        <f t="shared" ref="N393" si="38">D393</f>
        <v>1800</v>
      </c>
      <c r="O393" s="297">
        <f t="shared" ref="O393" si="39">E393</f>
        <v>0</v>
      </c>
      <c r="P393" s="298">
        <f t="shared" ref="P393" si="40">F393</f>
        <v>200</v>
      </c>
      <c r="Q393" s="297">
        <f t="shared" ref="Q393" si="41">G393</f>
        <v>0</v>
      </c>
      <c r="R393" s="298">
        <f t="shared" ref="R393" si="42">H393</f>
        <v>283</v>
      </c>
      <c r="S393" s="298">
        <f t="shared" ref="S393" si="43">I393</f>
        <v>2283</v>
      </c>
    </row>
    <row r="394" spans="1:19">
      <c r="A394" s="21"/>
      <c r="B394" s="4"/>
      <c r="C394" s="4"/>
      <c r="D394" s="4"/>
      <c r="E394" s="4"/>
      <c r="F394" s="390"/>
      <c r="G394" s="390"/>
      <c r="H394" s="390"/>
      <c r="I394" s="16"/>
      <c r="J394" s="390"/>
      <c r="K394" s="21"/>
      <c r="L394" s="4"/>
      <c r="M394" s="4"/>
      <c r="N394" s="4"/>
      <c r="O394" s="4"/>
      <c r="P394" s="390"/>
      <c r="Q394" s="390"/>
      <c r="R394" s="390"/>
      <c r="S394" s="16"/>
    </row>
    <row r="395" spans="1:19">
      <c r="A395" s="21">
        <v>7</v>
      </c>
      <c r="B395" s="1265" t="s">
        <v>67</v>
      </c>
      <c r="C395" s="1265"/>
      <c r="D395" s="1265"/>
      <c r="E395" s="24">
        <f>E391-I393</f>
        <v>102439.617768</v>
      </c>
      <c r="F395" s="19"/>
      <c r="G395" s="19"/>
      <c r="H395" s="19"/>
      <c r="I395" s="16"/>
      <c r="J395" s="390"/>
      <c r="K395" s="21">
        <v>7</v>
      </c>
      <c r="L395" s="1265" t="s">
        <v>67</v>
      </c>
      <c r="M395" s="1265"/>
      <c r="N395" s="1265"/>
      <c r="O395" s="24">
        <f>E395</f>
        <v>102439.617768</v>
      </c>
      <c r="P395" s="19"/>
      <c r="Q395" s="19"/>
      <c r="R395" s="19"/>
      <c r="S395" s="16"/>
    </row>
    <row r="396" spans="1:19">
      <c r="A396" s="15"/>
      <c r="B396" s="390"/>
      <c r="C396" s="390"/>
      <c r="D396" s="390"/>
      <c r="E396" s="390"/>
      <c r="F396" s="390"/>
      <c r="G396" s="390"/>
      <c r="H396" s="390"/>
      <c r="I396" s="16"/>
      <c r="J396" s="390"/>
      <c r="K396" s="15"/>
      <c r="L396" s="390"/>
      <c r="M396" s="390"/>
      <c r="N396" s="390"/>
      <c r="O396" s="390"/>
      <c r="P396" s="390"/>
      <c r="Q396" s="390"/>
      <c r="R396" s="390"/>
      <c r="S396" s="16"/>
    </row>
    <row r="397" spans="1:19">
      <c r="A397" s="15"/>
      <c r="B397" s="390"/>
      <c r="C397" s="390"/>
      <c r="D397" s="390"/>
      <c r="E397" s="390"/>
      <c r="F397" s="390"/>
      <c r="G397" s="390"/>
      <c r="H397" s="390"/>
      <c r="I397" s="16"/>
      <c r="J397" s="390"/>
      <c r="K397" s="15"/>
      <c r="L397" s="390"/>
      <c r="M397" s="390"/>
      <c r="N397" s="390"/>
      <c r="O397" s="390"/>
      <c r="P397" s="390"/>
      <c r="Q397" s="390"/>
      <c r="R397" s="390"/>
      <c r="S397" s="16"/>
    </row>
    <row r="398" spans="1:19" ht="15.75" thickBot="1">
      <c r="A398" s="15"/>
      <c r="B398" s="390"/>
      <c r="C398" s="390"/>
      <c r="D398" s="390"/>
      <c r="E398" s="390"/>
      <c r="F398" s="25"/>
      <c r="G398" s="25"/>
      <c r="H398" s="25"/>
      <c r="I398" s="26"/>
      <c r="J398" s="390"/>
      <c r="K398" s="15"/>
      <c r="L398" s="390"/>
      <c r="M398" s="390"/>
      <c r="N398" s="390"/>
      <c r="O398" s="390"/>
      <c r="P398" s="25"/>
      <c r="Q398" s="25"/>
      <c r="R398" s="25"/>
      <c r="S398" s="26"/>
    </row>
    <row r="399" spans="1:19" ht="15.75" thickBot="1">
      <c r="A399" s="27"/>
      <c r="B399" s="25"/>
      <c r="C399" s="25"/>
      <c r="D399" s="25"/>
      <c r="E399" s="25"/>
      <c r="F399" s="1266" t="s">
        <v>68</v>
      </c>
      <c r="G399" s="1266"/>
      <c r="H399" s="1266"/>
      <c r="I399" s="1267"/>
      <c r="J399" s="390"/>
      <c r="K399" s="27"/>
      <c r="L399" s="25"/>
      <c r="M399" s="25"/>
      <c r="N399" s="25"/>
      <c r="O399" s="25"/>
      <c r="P399" s="1266" t="s">
        <v>68</v>
      </c>
      <c r="Q399" s="1266"/>
      <c r="R399" s="1266"/>
      <c r="S399" s="1267"/>
    </row>
    <row r="400" spans="1:19">
      <c r="A400" s="390"/>
      <c r="B400" s="390"/>
      <c r="C400" s="390"/>
      <c r="D400" s="390"/>
      <c r="E400" s="390"/>
      <c r="F400" s="390"/>
      <c r="G400" s="390"/>
      <c r="H400" s="390"/>
      <c r="I400" s="390"/>
      <c r="J400" s="390"/>
      <c r="K400" s="390"/>
      <c r="L400" s="390"/>
      <c r="M400" s="390"/>
      <c r="N400" s="390"/>
      <c r="O400" s="390"/>
      <c r="P400" s="390"/>
      <c r="Q400" s="390"/>
      <c r="R400" s="390"/>
      <c r="S400" s="390"/>
    </row>
    <row r="401" spans="1:19">
      <c r="A401" s="390"/>
      <c r="B401" s="390"/>
      <c r="C401" s="390"/>
      <c r="D401" s="390"/>
      <c r="E401" s="390"/>
      <c r="F401" s="390"/>
      <c r="G401" s="390"/>
      <c r="H401" s="390"/>
      <c r="I401" s="390"/>
      <c r="J401" s="390"/>
      <c r="K401" s="390"/>
      <c r="L401" s="390"/>
      <c r="M401" s="390"/>
      <c r="N401" s="390"/>
      <c r="O401" s="390"/>
      <c r="P401" s="390"/>
      <c r="Q401" s="390"/>
      <c r="R401" s="390"/>
      <c r="S401" s="390"/>
    </row>
    <row r="402" spans="1:19">
      <c r="A402" s="390"/>
      <c r="B402" s="390"/>
      <c r="C402" s="390"/>
      <c r="D402" s="390"/>
      <c r="E402" s="390"/>
      <c r="F402" s="390"/>
      <c r="G402" s="390"/>
      <c r="H402" s="390"/>
      <c r="I402" s="390"/>
      <c r="J402" s="390"/>
      <c r="K402" s="390"/>
      <c r="L402" s="390"/>
      <c r="M402" s="390"/>
      <c r="N402" s="390"/>
      <c r="O402" s="390"/>
      <c r="P402" s="390"/>
      <c r="Q402" s="390"/>
      <c r="R402" s="390"/>
      <c r="S402" s="390"/>
    </row>
    <row r="403" spans="1:19" ht="15.75" thickBot="1">
      <c r="A403" s="390"/>
      <c r="B403" s="390"/>
      <c r="C403" s="390"/>
      <c r="D403" s="390"/>
      <c r="E403" s="390"/>
      <c r="F403" s="390"/>
      <c r="G403" s="390"/>
      <c r="H403" s="390"/>
      <c r="I403" s="390"/>
      <c r="J403" s="390"/>
      <c r="K403" s="390"/>
      <c r="L403" s="390"/>
      <c r="M403" s="390"/>
      <c r="N403" s="390"/>
      <c r="O403" s="390"/>
      <c r="P403" s="390"/>
      <c r="Q403" s="390"/>
      <c r="R403" s="390"/>
      <c r="S403" s="390"/>
    </row>
    <row r="404" spans="1:19" ht="26.25">
      <c r="A404" s="1270" t="s">
        <v>53</v>
      </c>
      <c r="B404" s="1271"/>
      <c r="C404" s="1271"/>
      <c r="D404" s="1271"/>
      <c r="E404" s="1271"/>
      <c r="F404" s="1271"/>
      <c r="G404" s="1271"/>
      <c r="H404" s="1271"/>
      <c r="I404" s="1272"/>
      <c r="J404" s="390"/>
      <c r="K404" s="1270" t="s">
        <v>53</v>
      </c>
      <c r="L404" s="1271"/>
      <c r="M404" s="1271"/>
      <c r="N404" s="1271"/>
      <c r="O404" s="1271"/>
      <c r="P404" s="1271"/>
      <c r="Q404" s="1271"/>
      <c r="R404" s="1271"/>
      <c r="S404" s="1272"/>
    </row>
    <row r="405" spans="1:19">
      <c r="A405" s="1273" t="s">
        <v>54</v>
      </c>
      <c r="B405" s="1274"/>
      <c r="C405" s="1274"/>
      <c r="D405" s="1274"/>
      <c r="E405" s="1274"/>
      <c r="F405" s="1274"/>
      <c r="G405" s="1274"/>
      <c r="H405" s="1274"/>
      <c r="I405" s="1211"/>
      <c r="J405" s="390"/>
      <c r="K405" s="1273" t="s">
        <v>54</v>
      </c>
      <c r="L405" s="1274"/>
      <c r="M405" s="1274"/>
      <c r="N405" s="1274"/>
      <c r="O405" s="1274"/>
      <c r="P405" s="1274"/>
      <c r="Q405" s="1274"/>
      <c r="R405" s="1274"/>
      <c r="S405" s="1211"/>
    </row>
    <row r="406" spans="1:19">
      <c r="A406" s="15"/>
      <c r="B406" s="390"/>
      <c r="C406" s="390"/>
      <c r="D406" s="390"/>
      <c r="E406" s="390"/>
      <c r="F406" s="390"/>
      <c r="G406" s="390"/>
      <c r="H406" s="390"/>
      <c r="I406" s="16"/>
      <c r="J406" s="390"/>
      <c r="K406" s="15"/>
      <c r="L406" s="390"/>
      <c r="M406" s="390"/>
      <c r="N406" s="390"/>
      <c r="O406" s="390"/>
      <c r="P406" s="390"/>
      <c r="Q406" s="390"/>
      <c r="R406" s="390"/>
      <c r="S406" s="16"/>
    </row>
    <row r="407" spans="1:19">
      <c r="A407" s="17" t="s">
        <v>55</v>
      </c>
      <c r="B407" s="4"/>
      <c r="C407" s="4"/>
      <c r="D407" s="317" t="s">
        <v>425</v>
      </c>
      <c r="E407" s="390"/>
      <c r="F407" s="390"/>
      <c r="G407" s="390"/>
      <c r="H407" s="390"/>
      <c r="I407" s="16"/>
      <c r="J407" s="390"/>
      <c r="K407" s="17" t="s">
        <v>55</v>
      </c>
      <c r="L407" s="4"/>
      <c r="M407" s="4"/>
      <c r="N407" s="8"/>
      <c r="O407" s="381" t="str">
        <f>D407</f>
        <v>Burgeon IT Services Pvt.Ltd.</v>
      </c>
      <c r="P407" s="390"/>
      <c r="Q407" s="390"/>
      <c r="R407" s="390"/>
      <c r="S407" s="16"/>
    </row>
    <row r="408" spans="1:19">
      <c r="A408" s="17"/>
      <c r="B408" s="150" t="s">
        <v>426</v>
      </c>
      <c r="C408" s="4"/>
      <c r="D408" s="390"/>
      <c r="E408" s="390"/>
      <c r="F408" s="390"/>
      <c r="G408" s="390"/>
      <c r="H408" s="390"/>
      <c r="I408" s="16"/>
      <c r="J408" s="390"/>
      <c r="K408" s="17"/>
      <c r="L408" s="4"/>
      <c r="M408" s="4"/>
      <c r="N408" s="4"/>
      <c r="O408" s="390"/>
      <c r="P408" s="390"/>
      <c r="Q408" s="390"/>
      <c r="R408" s="390"/>
      <c r="S408" s="16"/>
    </row>
    <row r="409" spans="1:19">
      <c r="A409" s="17"/>
      <c r="B409" s="4"/>
      <c r="C409" s="4"/>
      <c r="D409" s="4"/>
      <c r="E409" s="4"/>
      <c r="F409" s="390"/>
      <c r="G409" s="390"/>
      <c r="H409" s="390"/>
      <c r="I409" s="16"/>
      <c r="J409" s="390"/>
      <c r="K409" s="17"/>
      <c r="L409" s="4" t="str">
        <f>B408</f>
        <v>Siri Mansion LIGB 436 Dr.A S Rao Nagar,Hyderabad</v>
      </c>
      <c r="M409" s="4"/>
      <c r="N409" s="4"/>
      <c r="O409" s="4"/>
      <c r="P409" s="390"/>
      <c r="Q409" s="390"/>
      <c r="R409" s="390"/>
      <c r="S409" s="16"/>
    </row>
    <row r="410" spans="1:19">
      <c r="A410" s="1275" t="s">
        <v>56</v>
      </c>
      <c r="B410" s="1269"/>
      <c r="C410" s="1269"/>
      <c r="D410" s="1269"/>
      <c r="E410" s="4"/>
      <c r="F410" s="390"/>
      <c r="G410" s="390"/>
      <c r="H410" s="390"/>
      <c r="I410" s="16"/>
      <c r="J410" s="390"/>
      <c r="K410" s="1275" t="s">
        <v>56</v>
      </c>
      <c r="L410" s="1269"/>
      <c r="M410" s="1269"/>
      <c r="N410" s="1269"/>
      <c r="O410" s="4"/>
      <c r="P410" s="390"/>
      <c r="Q410" s="390"/>
      <c r="R410" s="390"/>
      <c r="S410" s="16"/>
    </row>
    <row r="411" spans="1:19">
      <c r="A411" s="1275"/>
      <c r="B411" s="1269"/>
      <c r="C411" s="1269"/>
      <c r="D411" s="1269"/>
      <c r="E411" s="390" t="str">
        <f>'04-22-Master'!B25</f>
        <v>ROOPINI CHIYYARAPU</v>
      </c>
      <c r="F411" s="19"/>
      <c r="G411" s="19"/>
      <c r="H411" s="19" t="str">
        <f>'04-22-Master'!E25</f>
        <v>C.ChandraReddy</v>
      </c>
      <c r="I411" s="16"/>
      <c r="J411" s="390"/>
      <c r="K411" s="1275"/>
      <c r="L411" s="1269"/>
      <c r="M411" s="1269"/>
      <c r="N411" s="1269"/>
      <c r="O411" s="18" t="str">
        <f>E411</f>
        <v>ROOPINI CHIYYARAPU</v>
      </c>
      <c r="P411" s="19"/>
      <c r="Q411" s="19"/>
      <c r="R411" s="19" t="str">
        <f>H411</f>
        <v>C.ChandraReddy</v>
      </c>
      <c r="S411" s="16"/>
    </row>
    <row r="412" spans="1:19">
      <c r="A412" s="17"/>
      <c r="B412" s="4"/>
      <c r="C412" s="4"/>
      <c r="D412" s="4"/>
      <c r="E412" s="4"/>
      <c r="F412" s="390"/>
      <c r="G412" s="390"/>
      <c r="H412" s="390"/>
      <c r="I412" s="16"/>
      <c r="J412" s="390"/>
      <c r="K412" s="17"/>
      <c r="L412" s="4"/>
      <c r="M412" s="4"/>
      <c r="N412" s="4"/>
      <c r="O412" s="4"/>
      <c r="P412" s="390"/>
      <c r="Q412" s="390"/>
      <c r="R412" s="390"/>
      <c r="S412" s="16"/>
    </row>
    <row r="413" spans="1:19">
      <c r="A413" s="1268" t="s">
        <v>57</v>
      </c>
      <c r="B413" s="1265"/>
      <c r="C413" s="1265"/>
      <c r="D413" s="1265"/>
      <c r="E413" s="18" t="s">
        <v>819</v>
      </c>
      <c r="F413" s="19"/>
      <c r="G413" s="19"/>
      <c r="H413" s="19"/>
      <c r="I413" s="16"/>
      <c r="J413" s="390"/>
      <c r="K413" s="1268" t="s">
        <v>57</v>
      </c>
      <c r="L413" s="1265"/>
      <c r="M413" s="1265"/>
      <c r="N413" s="1265"/>
      <c r="O413" s="18" t="str">
        <f>E413</f>
        <v>IT SUPPORTIVE SERVICES &amp; HYDERABAD SEZ</v>
      </c>
      <c r="P413" s="19"/>
      <c r="Q413" s="19"/>
      <c r="R413" s="19"/>
      <c r="S413" s="16"/>
    </row>
    <row r="414" spans="1:19">
      <c r="A414" s="17"/>
      <c r="B414" s="4"/>
      <c r="C414" s="4"/>
      <c r="D414" s="4"/>
      <c r="E414" s="4"/>
      <c r="F414" s="390"/>
      <c r="G414" s="390"/>
      <c r="H414" s="390"/>
      <c r="I414" s="16"/>
      <c r="J414" s="390"/>
      <c r="K414" s="17"/>
      <c r="L414" s="4"/>
      <c r="M414" s="4"/>
      <c r="N414" s="4"/>
      <c r="O414" s="4"/>
      <c r="P414" s="390"/>
      <c r="Q414" s="390"/>
      <c r="R414" s="390"/>
      <c r="S414" s="16"/>
    </row>
    <row r="415" spans="1:19">
      <c r="A415" s="1268" t="s">
        <v>58</v>
      </c>
      <c r="B415" s="1265"/>
      <c r="C415" s="1265"/>
      <c r="D415" s="1265"/>
      <c r="E415" s="20">
        <f>'04-22-Master'!D10</f>
        <v>44652</v>
      </c>
      <c r="F415" s="19"/>
      <c r="G415" s="19"/>
      <c r="H415" s="19"/>
      <c r="I415" s="16"/>
      <c r="J415" s="390"/>
      <c r="K415" s="1268" t="s">
        <v>58</v>
      </c>
      <c r="L415" s="1265"/>
      <c r="M415" s="1265"/>
      <c r="N415" s="1265"/>
      <c r="O415" s="20">
        <f>E415</f>
        <v>44652</v>
      </c>
      <c r="P415" s="19"/>
      <c r="Q415" s="19"/>
      <c r="R415" s="19"/>
      <c r="S415" s="16"/>
    </row>
    <row r="416" spans="1:19">
      <c r="A416" s="17"/>
      <c r="B416" s="4"/>
      <c r="C416" s="4"/>
      <c r="D416" s="4"/>
      <c r="E416" s="4"/>
      <c r="F416" s="390"/>
      <c r="G416" s="390"/>
      <c r="H416" s="390"/>
      <c r="I416" s="16"/>
      <c r="J416" s="390"/>
      <c r="K416" s="17"/>
      <c r="L416" s="4"/>
      <c r="M416" s="4"/>
      <c r="N416" s="4"/>
      <c r="O416" s="4"/>
      <c r="P416" s="390"/>
      <c r="Q416" s="390"/>
      <c r="R416" s="390"/>
      <c r="S416" s="16"/>
    </row>
    <row r="417" spans="1:19">
      <c r="A417" s="21">
        <v>1</v>
      </c>
      <c r="B417" s="1265" t="s">
        <v>59</v>
      </c>
      <c r="C417" s="1265"/>
      <c r="D417" s="1265"/>
      <c r="E417" s="22">
        <f>'04-22-Master'!Q25</f>
        <v>30</v>
      </c>
      <c r="F417" s="19"/>
      <c r="G417" s="19"/>
      <c r="H417" s="19"/>
      <c r="I417" s="16"/>
      <c r="J417" s="390"/>
      <c r="K417" s="21">
        <v>1</v>
      </c>
      <c r="L417" s="1265" t="s">
        <v>59</v>
      </c>
      <c r="M417" s="1265"/>
      <c r="N417" s="1265"/>
      <c r="O417" s="22">
        <f>E417</f>
        <v>30</v>
      </c>
      <c r="P417" s="19"/>
      <c r="Q417" s="19"/>
      <c r="R417" s="19"/>
      <c r="S417" s="16"/>
    </row>
    <row r="418" spans="1:19">
      <c r="A418" s="21"/>
      <c r="B418" s="4"/>
      <c r="C418" s="4"/>
      <c r="D418" s="4"/>
      <c r="E418" s="4"/>
      <c r="F418" s="390"/>
      <c r="G418" s="390"/>
      <c r="H418" s="390"/>
      <c r="I418" s="16"/>
      <c r="J418" s="390"/>
      <c r="K418" s="21"/>
      <c r="L418" s="4"/>
      <c r="M418" s="4"/>
      <c r="N418" s="4"/>
      <c r="O418" s="4"/>
      <c r="P418" s="390"/>
      <c r="Q418" s="390"/>
      <c r="R418" s="390"/>
      <c r="S418" s="16"/>
    </row>
    <row r="419" spans="1:19">
      <c r="A419" s="21">
        <v>2</v>
      </c>
      <c r="B419" s="1269" t="s">
        <v>60</v>
      </c>
      <c r="C419" s="1269"/>
      <c r="D419" s="1269"/>
      <c r="E419" s="4"/>
      <c r="F419" s="390"/>
      <c r="G419" s="390"/>
      <c r="H419" s="390"/>
      <c r="I419" s="16"/>
      <c r="J419" s="390"/>
      <c r="K419" s="21">
        <v>2</v>
      </c>
      <c r="L419" s="1269" t="s">
        <v>60</v>
      </c>
      <c r="M419" s="1269"/>
      <c r="N419" s="1269"/>
      <c r="O419" s="4"/>
      <c r="P419" s="390"/>
      <c r="Q419" s="390"/>
      <c r="R419" s="390"/>
      <c r="S419" s="16"/>
    </row>
    <row r="420" spans="1:19">
      <c r="A420" s="21"/>
      <c r="B420" s="1269"/>
      <c r="C420" s="1269"/>
      <c r="D420" s="1269"/>
      <c r="E420" s="23" t="s">
        <v>37</v>
      </c>
      <c r="F420" s="19"/>
      <c r="G420" s="19"/>
      <c r="H420" s="19"/>
      <c r="I420" s="16"/>
      <c r="J420" s="390"/>
      <c r="K420" s="21"/>
      <c r="L420" s="1269"/>
      <c r="M420" s="1269"/>
      <c r="N420" s="1269"/>
      <c r="O420" s="23" t="s">
        <v>37</v>
      </c>
      <c r="P420" s="19"/>
      <c r="Q420" s="19"/>
      <c r="R420" s="19"/>
      <c r="S420" s="16"/>
    </row>
    <row r="421" spans="1:19">
      <c r="A421" s="21"/>
      <c r="B421" s="4"/>
      <c r="C421" s="4"/>
      <c r="D421" s="4"/>
      <c r="E421" s="4"/>
      <c r="F421" s="390"/>
      <c r="G421" s="390"/>
      <c r="H421" s="390"/>
      <c r="I421" s="16"/>
      <c r="J421" s="390"/>
      <c r="K421" s="21"/>
      <c r="L421" s="4"/>
      <c r="M421" s="4"/>
      <c r="N421" s="4"/>
      <c r="O421" s="4"/>
      <c r="P421" s="390"/>
      <c r="Q421" s="390"/>
      <c r="R421" s="390"/>
      <c r="S421" s="16"/>
    </row>
    <row r="422" spans="1:19">
      <c r="A422" s="21">
        <v>3</v>
      </c>
      <c r="B422" s="1265" t="s">
        <v>61</v>
      </c>
      <c r="C422" s="1265"/>
      <c r="D422" s="1265"/>
      <c r="E422" s="23" t="s">
        <v>37</v>
      </c>
      <c r="F422" s="19"/>
      <c r="G422" s="19"/>
      <c r="H422" s="19"/>
      <c r="I422" s="16"/>
      <c r="J422" s="390"/>
      <c r="K422" s="21">
        <v>3</v>
      </c>
      <c r="L422" s="1265" t="s">
        <v>61</v>
      </c>
      <c r="M422" s="1265"/>
      <c r="N422" s="1265"/>
      <c r="O422" s="18" t="str">
        <f>E422</f>
        <v>N/A</v>
      </c>
      <c r="P422" s="19"/>
      <c r="Q422" s="19"/>
      <c r="R422" s="19"/>
      <c r="S422" s="16"/>
    </row>
    <row r="423" spans="1:19">
      <c r="A423" s="21"/>
      <c r="B423" s="4"/>
      <c r="C423" s="4"/>
      <c r="D423" s="4"/>
      <c r="E423" s="4"/>
      <c r="F423" s="390"/>
      <c r="G423" s="390"/>
      <c r="H423" s="390"/>
      <c r="I423" s="16"/>
      <c r="J423" s="390"/>
      <c r="K423" s="21"/>
      <c r="L423" s="4"/>
      <c r="M423" s="4"/>
      <c r="N423" s="4"/>
      <c r="O423" s="4"/>
      <c r="P423" s="390"/>
      <c r="Q423" s="390"/>
      <c r="R423" s="390"/>
      <c r="S423" s="16"/>
    </row>
    <row r="424" spans="1:19">
      <c r="A424" s="21">
        <v>4</v>
      </c>
      <c r="B424" s="1265" t="s">
        <v>62</v>
      </c>
      <c r="C424" s="1265"/>
      <c r="D424" s="1265"/>
      <c r="E424" s="23" t="s">
        <v>63</v>
      </c>
      <c r="F424" s="19"/>
      <c r="G424" s="19"/>
      <c r="H424" s="19"/>
      <c r="I424" s="16"/>
      <c r="J424" s="390"/>
      <c r="K424" s="21">
        <v>4</v>
      </c>
      <c r="L424" s="1265" t="s">
        <v>62</v>
      </c>
      <c r="M424" s="1265"/>
      <c r="N424" s="1265"/>
      <c r="O424" s="23" t="s">
        <v>63</v>
      </c>
      <c r="P424" s="19"/>
      <c r="Q424" s="19"/>
      <c r="R424" s="19"/>
      <c r="S424" s="16"/>
    </row>
    <row r="425" spans="1:19">
      <c r="A425" s="21"/>
      <c r="B425" s="4"/>
      <c r="C425" s="4"/>
      <c r="D425" s="4"/>
      <c r="E425" s="4"/>
      <c r="F425" s="390"/>
      <c r="G425" s="390"/>
      <c r="H425" s="390"/>
      <c r="I425" s="16"/>
      <c r="J425" s="390"/>
      <c r="K425" s="21"/>
      <c r="L425" s="4"/>
      <c r="M425" s="4"/>
      <c r="N425" s="4"/>
      <c r="O425" s="4"/>
      <c r="P425" s="390"/>
      <c r="Q425" s="390"/>
      <c r="R425" s="390"/>
      <c r="S425" s="16"/>
    </row>
    <row r="426" spans="1:19">
      <c r="A426" s="21">
        <v>5</v>
      </c>
      <c r="B426" s="1265" t="s">
        <v>64</v>
      </c>
      <c r="C426" s="1265"/>
      <c r="D426" s="1265"/>
      <c r="E426" s="295">
        <f>'04-22-Master'!AG25</f>
        <v>83275.815979999985</v>
      </c>
      <c r="F426" s="390"/>
      <c r="G426" s="390"/>
      <c r="H426" s="390"/>
      <c r="I426" s="16"/>
      <c r="J426" s="390"/>
      <c r="K426" s="21">
        <v>5</v>
      </c>
      <c r="L426" s="1265" t="s">
        <v>64</v>
      </c>
      <c r="M426" s="1265"/>
      <c r="N426" s="1265"/>
      <c r="O426" s="295">
        <f>E426</f>
        <v>83275.815979999985</v>
      </c>
      <c r="P426" s="390"/>
      <c r="Q426" s="390"/>
      <c r="R426" s="390"/>
      <c r="S426" s="16"/>
    </row>
    <row r="427" spans="1:19">
      <c r="A427" s="21"/>
      <c r="B427" s="4"/>
      <c r="C427" s="4"/>
      <c r="D427" s="296" t="s">
        <v>65</v>
      </c>
      <c r="E427" s="296" t="s">
        <v>31</v>
      </c>
      <c r="F427" s="296" t="s">
        <v>33</v>
      </c>
      <c r="G427" s="296" t="s">
        <v>34</v>
      </c>
      <c r="H427" s="296" t="s">
        <v>399</v>
      </c>
      <c r="I427" s="294" t="s">
        <v>400</v>
      </c>
      <c r="J427" s="390"/>
      <c r="K427" s="21"/>
      <c r="L427" s="4"/>
      <c r="M427" s="4"/>
      <c r="N427" s="296" t="s">
        <v>65</v>
      </c>
      <c r="O427" s="296" t="s">
        <v>31</v>
      </c>
      <c r="P427" s="296" t="s">
        <v>33</v>
      </c>
      <c r="Q427" s="296" t="s">
        <v>34</v>
      </c>
      <c r="R427" s="296" t="s">
        <v>399</v>
      </c>
      <c r="S427" s="294" t="s">
        <v>400</v>
      </c>
    </row>
    <row r="428" spans="1:19">
      <c r="A428" s="21">
        <v>6</v>
      </c>
      <c r="B428" s="831" t="s">
        <v>66</v>
      </c>
      <c r="C428" s="831"/>
      <c r="D428" s="297">
        <f>'04-22-Master'!AI25</f>
        <v>1800</v>
      </c>
      <c r="E428" s="297">
        <f>'04-22-Master'!AH472</f>
        <v>0</v>
      </c>
      <c r="F428" s="298">
        <f>'04-22-Master'!AJ25</f>
        <v>200</v>
      </c>
      <c r="G428" s="297">
        <f>'04-22-Master'!AK25</f>
        <v>0</v>
      </c>
      <c r="H428" s="298">
        <f>'04-22-Master'!AL25</f>
        <v>283</v>
      </c>
      <c r="I428" s="298">
        <f>D428+E428+F428+G428+H428</f>
        <v>2283</v>
      </c>
      <c r="J428" s="390"/>
      <c r="K428" s="21">
        <v>6</v>
      </c>
      <c r="L428" s="831" t="s">
        <v>66</v>
      </c>
      <c r="M428" s="831"/>
      <c r="N428" s="297">
        <f t="shared" ref="N428" si="44">D428</f>
        <v>1800</v>
      </c>
      <c r="O428" s="297">
        <f t="shared" ref="O428" si="45">E428</f>
        <v>0</v>
      </c>
      <c r="P428" s="298">
        <f t="shared" ref="P428" si="46">F428</f>
        <v>200</v>
      </c>
      <c r="Q428" s="297">
        <f t="shared" ref="Q428" si="47">G428</f>
        <v>0</v>
      </c>
      <c r="R428" s="298">
        <f t="shared" ref="R428" si="48">H428</f>
        <v>283</v>
      </c>
      <c r="S428" s="298">
        <f t="shared" ref="S428" si="49">I428</f>
        <v>2283</v>
      </c>
    </row>
    <row r="429" spans="1:19">
      <c r="A429" s="21"/>
      <c r="B429" s="4"/>
      <c r="C429" s="4"/>
      <c r="D429" s="4"/>
      <c r="E429" s="4"/>
      <c r="F429" s="390"/>
      <c r="G429" s="390"/>
      <c r="H429" s="390"/>
      <c r="I429" s="16"/>
      <c r="J429" s="390"/>
      <c r="K429" s="21"/>
      <c r="L429" s="4"/>
      <c r="M429" s="4"/>
      <c r="N429" s="4"/>
      <c r="O429" s="4"/>
      <c r="P429" s="390"/>
      <c r="Q429" s="390"/>
      <c r="R429" s="390"/>
      <c r="S429" s="16"/>
    </row>
    <row r="430" spans="1:19">
      <c r="A430" s="21">
        <v>7</v>
      </c>
      <c r="B430" s="1265" t="s">
        <v>67</v>
      </c>
      <c r="C430" s="1265"/>
      <c r="D430" s="1265"/>
      <c r="E430" s="24">
        <f>E426-I428</f>
        <v>80992.815979999985</v>
      </c>
      <c r="F430" s="19"/>
      <c r="G430" s="19"/>
      <c r="H430" s="19"/>
      <c r="I430" s="16"/>
      <c r="J430" s="390"/>
      <c r="K430" s="21">
        <v>7</v>
      </c>
      <c r="L430" s="1265" t="s">
        <v>67</v>
      </c>
      <c r="M430" s="1265"/>
      <c r="N430" s="1265"/>
      <c r="O430" s="24">
        <f>E430</f>
        <v>80992.815979999985</v>
      </c>
      <c r="P430" s="19"/>
      <c r="Q430" s="19"/>
      <c r="R430" s="19"/>
      <c r="S430" s="16"/>
    </row>
    <row r="431" spans="1:19">
      <c r="A431" s="15"/>
      <c r="B431" s="390"/>
      <c r="C431" s="390"/>
      <c r="D431" s="390"/>
      <c r="E431" s="390"/>
      <c r="F431" s="390"/>
      <c r="G431" s="390"/>
      <c r="H431" s="390"/>
      <c r="I431" s="16"/>
      <c r="J431" s="390"/>
      <c r="K431" s="15"/>
      <c r="L431" s="390"/>
      <c r="M431" s="390"/>
      <c r="N431" s="390"/>
      <c r="O431" s="390"/>
      <c r="P431" s="390"/>
      <c r="Q431" s="390"/>
      <c r="R431" s="390"/>
      <c r="S431" s="16"/>
    </row>
    <row r="432" spans="1:19">
      <c r="A432" s="15"/>
      <c r="B432" s="390"/>
      <c r="C432" s="390"/>
      <c r="D432" s="390"/>
      <c r="E432" s="390"/>
      <c r="F432" s="390"/>
      <c r="G432" s="390"/>
      <c r="H432" s="390"/>
      <c r="I432" s="16"/>
      <c r="J432" s="390"/>
      <c r="K432" s="15"/>
      <c r="L432" s="390"/>
      <c r="M432" s="390"/>
      <c r="N432" s="390"/>
      <c r="O432" s="390"/>
      <c r="P432" s="390"/>
      <c r="Q432" s="390"/>
      <c r="R432" s="390"/>
      <c r="S432" s="16"/>
    </row>
    <row r="433" spans="1:19" ht="15.75" thickBot="1">
      <c r="A433" s="15"/>
      <c r="B433" s="390"/>
      <c r="C433" s="390"/>
      <c r="D433" s="390"/>
      <c r="E433" s="390"/>
      <c r="F433" s="25"/>
      <c r="G433" s="25"/>
      <c r="H433" s="25"/>
      <c r="I433" s="26"/>
      <c r="J433" s="390"/>
      <c r="K433" s="15"/>
      <c r="L433" s="390"/>
      <c r="M433" s="390"/>
      <c r="N433" s="390"/>
      <c r="O433" s="390"/>
      <c r="P433" s="25"/>
      <c r="Q433" s="25"/>
      <c r="R433" s="25"/>
      <c r="S433" s="26"/>
    </row>
    <row r="434" spans="1:19" ht="15.75" thickBot="1">
      <c r="A434" s="27"/>
      <c r="B434" s="25"/>
      <c r="C434" s="25"/>
      <c r="D434" s="25"/>
      <c r="E434" s="25"/>
      <c r="F434" s="1266" t="s">
        <v>68</v>
      </c>
      <c r="G434" s="1266"/>
      <c r="H434" s="1266"/>
      <c r="I434" s="1267"/>
      <c r="J434" s="390"/>
      <c r="K434" s="27"/>
      <c r="L434" s="25"/>
      <c r="M434" s="25"/>
      <c r="N434" s="25"/>
      <c r="O434" s="25"/>
      <c r="P434" s="1266" t="s">
        <v>68</v>
      </c>
      <c r="Q434" s="1266"/>
      <c r="R434" s="1266"/>
      <c r="S434" s="1267"/>
    </row>
    <row r="435" spans="1:19">
      <c r="A435" s="390"/>
      <c r="B435" s="390"/>
      <c r="C435" s="390"/>
      <c r="D435" s="390"/>
      <c r="E435" s="390"/>
      <c r="F435" s="390"/>
      <c r="G435" s="390"/>
      <c r="H435" s="390"/>
      <c r="I435" s="390"/>
      <c r="J435" s="390"/>
      <c r="K435" s="390"/>
      <c r="L435" s="390"/>
      <c r="M435" s="390"/>
      <c r="N435" s="390"/>
      <c r="O435" s="390"/>
      <c r="P435" s="390"/>
      <c r="Q435" s="390"/>
      <c r="R435" s="390"/>
      <c r="S435" s="390"/>
    </row>
    <row r="436" spans="1:19">
      <c r="A436" s="390"/>
      <c r="B436" s="390"/>
      <c r="C436" s="390"/>
      <c r="D436" s="390"/>
      <c r="E436" s="390"/>
      <c r="F436" s="390"/>
      <c r="G436" s="390"/>
      <c r="H436" s="390"/>
      <c r="I436" s="390"/>
      <c r="J436" s="390"/>
      <c r="K436" s="390"/>
      <c r="L436" s="390"/>
      <c r="M436" s="390"/>
      <c r="N436" s="390"/>
      <c r="O436" s="390"/>
      <c r="P436" s="390"/>
      <c r="Q436" s="390"/>
      <c r="R436" s="390"/>
      <c r="S436" s="390"/>
    </row>
    <row r="437" spans="1:19">
      <c r="A437" s="390"/>
      <c r="B437" s="390"/>
      <c r="C437" s="390"/>
      <c r="D437" s="390"/>
      <c r="E437" s="390"/>
      <c r="F437" s="390"/>
      <c r="G437" s="390"/>
      <c r="H437" s="390"/>
      <c r="I437" s="390"/>
      <c r="J437" s="390"/>
      <c r="K437" s="390"/>
      <c r="L437" s="390"/>
      <c r="M437" s="390"/>
      <c r="N437" s="390"/>
      <c r="O437" s="390"/>
      <c r="P437" s="390"/>
      <c r="Q437" s="390"/>
      <c r="R437" s="390"/>
      <c r="S437" s="390"/>
    </row>
    <row r="438" spans="1:19" ht="15.75" thickBot="1">
      <c r="A438" s="390"/>
      <c r="B438" s="390"/>
      <c r="C438" s="390"/>
      <c r="D438" s="390"/>
      <c r="E438" s="390"/>
      <c r="F438" s="390"/>
      <c r="G438" s="390"/>
      <c r="H438" s="390"/>
      <c r="I438" s="390"/>
      <c r="J438" s="390"/>
      <c r="K438" s="390"/>
      <c r="L438" s="390"/>
      <c r="M438" s="390"/>
      <c r="N438" s="390"/>
      <c r="O438" s="390"/>
      <c r="P438" s="390"/>
      <c r="Q438" s="390"/>
      <c r="R438" s="390"/>
      <c r="S438" s="390"/>
    </row>
    <row r="439" spans="1:19" ht="26.25">
      <c r="A439" s="1270" t="s">
        <v>53</v>
      </c>
      <c r="B439" s="1271"/>
      <c r="C439" s="1271"/>
      <c r="D439" s="1271"/>
      <c r="E439" s="1271"/>
      <c r="F439" s="1271"/>
      <c r="G439" s="1271"/>
      <c r="H439" s="1271"/>
      <c r="I439" s="1272"/>
      <c r="J439" s="390"/>
      <c r="K439" s="1270" t="s">
        <v>53</v>
      </c>
      <c r="L439" s="1271"/>
      <c r="M439" s="1271"/>
      <c r="N439" s="1271"/>
      <c r="O439" s="1271"/>
      <c r="P439" s="1271"/>
      <c r="Q439" s="1271"/>
      <c r="R439" s="1271"/>
      <c r="S439" s="1272"/>
    </row>
    <row r="440" spans="1:19">
      <c r="A440" s="1273" t="s">
        <v>54</v>
      </c>
      <c r="B440" s="1274"/>
      <c r="C440" s="1274"/>
      <c r="D440" s="1274"/>
      <c r="E440" s="1274"/>
      <c r="F440" s="1274"/>
      <c r="G440" s="1274"/>
      <c r="H440" s="1274"/>
      <c r="I440" s="1211"/>
      <c r="J440" s="390"/>
      <c r="K440" s="1273" t="s">
        <v>54</v>
      </c>
      <c r="L440" s="1274"/>
      <c r="M440" s="1274"/>
      <c r="N440" s="1274"/>
      <c r="O440" s="1274"/>
      <c r="P440" s="1274"/>
      <c r="Q440" s="1274"/>
      <c r="R440" s="1274"/>
      <c r="S440" s="1211"/>
    </row>
    <row r="441" spans="1:19">
      <c r="A441" s="15"/>
      <c r="B441" s="390"/>
      <c r="C441" s="390"/>
      <c r="D441" s="390"/>
      <c r="E441" s="390"/>
      <c r="F441" s="390"/>
      <c r="G441" s="390"/>
      <c r="H441" s="390"/>
      <c r="I441" s="16"/>
      <c r="J441" s="390"/>
      <c r="K441" s="15"/>
      <c r="L441" s="390"/>
      <c r="M441" s="390"/>
      <c r="N441" s="390"/>
      <c r="O441" s="390"/>
      <c r="P441" s="390"/>
      <c r="Q441" s="390"/>
      <c r="R441" s="390"/>
      <c r="S441" s="16"/>
    </row>
    <row r="442" spans="1:19">
      <c r="A442" s="17" t="s">
        <v>55</v>
      </c>
      <c r="B442" s="4"/>
      <c r="C442" s="4"/>
      <c r="D442" s="317" t="s">
        <v>425</v>
      </c>
      <c r="E442" s="390"/>
      <c r="F442" s="390"/>
      <c r="G442" s="390"/>
      <c r="H442" s="390"/>
      <c r="I442" s="16"/>
      <c r="J442" s="390"/>
      <c r="K442" s="17" t="s">
        <v>55</v>
      </c>
      <c r="L442" s="4"/>
      <c r="M442" s="4"/>
      <c r="N442" s="8"/>
      <c r="O442" s="381" t="str">
        <f>D442</f>
        <v>Burgeon IT Services Pvt.Ltd.</v>
      </c>
      <c r="P442" s="390"/>
      <c r="Q442" s="390"/>
      <c r="R442" s="390"/>
      <c r="S442" s="16"/>
    </row>
    <row r="443" spans="1:19">
      <c r="A443" s="17"/>
      <c r="B443" s="150" t="s">
        <v>426</v>
      </c>
      <c r="C443" s="4"/>
      <c r="D443" s="390"/>
      <c r="E443" s="390"/>
      <c r="F443" s="390"/>
      <c r="G443" s="390"/>
      <c r="H443" s="390"/>
      <c r="I443" s="16"/>
      <c r="J443" s="390"/>
      <c r="K443" s="17"/>
      <c r="L443" s="4"/>
      <c r="M443" s="4"/>
      <c r="N443" s="4"/>
      <c r="O443" s="390"/>
      <c r="P443" s="390"/>
      <c r="Q443" s="390"/>
      <c r="R443" s="390"/>
      <c r="S443" s="16"/>
    </row>
    <row r="444" spans="1:19">
      <c r="A444" s="17"/>
      <c r="B444" s="4"/>
      <c r="C444" s="4"/>
      <c r="D444" s="4"/>
      <c r="E444" s="4"/>
      <c r="F444" s="390"/>
      <c r="G444" s="390"/>
      <c r="H444" s="390"/>
      <c r="I444" s="16"/>
      <c r="J444" s="390"/>
      <c r="K444" s="17"/>
      <c r="L444" s="4" t="str">
        <f>B443</f>
        <v>Siri Mansion LIGB 436 Dr.A S Rao Nagar,Hyderabad</v>
      </c>
      <c r="M444" s="4"/>
      <c r="N444" s="4"/>
      <c r="O444" s="4"/>
      <c r="P444" s="390"/>
      <c r="Q444" s="390"/>
      <c r="R444" s="390"/>
      <c r="S444" s="16"/>
    </row>
    <row r="445" spans="1:19">
      <c r="A445" s="1275" t="s">
        <v>56</v>
      </c>
      <c r="B445" s="1269"/>
      <c r="C445" s="1269"/>
      <c r="D445" s="1269"/>
      <c r="E445" s="4"/>
      <c r="F445" s="390"/>
      <c r="G445" s="390"/>
      <c r="H445" s="390"/>
      <c r="I445" s="16"/>
      <c r="J445" s="390"/>
      <c r="K445" s="1275" t="s">
        <v>56</v>
      </c>
      <c r="L445" s="1269"/>
      <c r="M445" s="1269"/>
      <c r="N445" s="1269"/>
      <c r="O445" s="4"/>
      <c r="P445" s="390"/>
      <c r="Q445" s="390"/>
      <c r="R445" s="390"/>
      <c r="S445" s="16"/>
    </row>
    <row r="446" spans="1:19">
      <c r="A446" s="1275"/>
      <c r="B446" s="1269"/>
      <c r="C446" s="1269"/>
      <c r="D446" s="1269"/>
      <c r="E446" s="390" t="str">
        <f>'04-22-Master'!B26</f>
        <v>D.Santhoshi</v>
      </c>
      <c r="F446" s="19"/>
      <c r="G446" s="19"/>
      <c r="H446" s="19" t="str">
        <f>'04-22-Master'!E26</f>
        <v>Srinivasu</v>
      </c>
      <c r="I446" s="16"/>
      <c r="J446" s="390"/>
      <c r="K446" s="1275"/>
      <c r="L446" s="1269"/>
      <c r="M446" s="1269"/>
      <c r="N446" s="1269"/>
      <c r="O446" s="18" t="str">
        <f>E446</f>
        <v>D.Santhoshi</v>
      </c>
      <c r="P446" s="19"/>
      <c r="Q446" s="19"/>
      <c r="R446" s="19" t="str">
        <f>H446</f>
        <v>Srinivasu</v>
      </c>
      <c r="S446" s="16"/>
    </row>
    <row r="447" spans="1:19">
      <c r="A447" s="17"/>
      <c r="B447" s="4"/>
      <c r="C447" s="4"/>
      <c r="D447" s="4"/>
      <c r="E447" s="4"/>
      <c r="F447" s="390"/>
      <c r="G447" s="390"/>
      <c r="H447" s="390"/>
      <c r="I447" s="16"/>
      <c r="J447" s="390"/>
      <c r="K447" s="17"/>
      <c r="L447" s="4"/>
      <c r="M447" s="4"/>
      <c r="N447" s="4"/>
      <c r="O447" s="4"/>
      <c r="P447" s="390"/>
      <c r="Q447" s="390"/>
      <c r="R447" s="390"/>
      <c r="S447" s="16"/>
    </row>
    <row r="448" spans="1:19">
      <c r="A448" s="1268" t="s">
        <v>57</v>
      </c>
      <c r="B448" s="1265"/>
      <c r="C448" s="1265"/>
      <c r="D448" s="1265"/>
      <c r="E448" s="18" t="s">
        <v>819</v>
      </c>
      <c r="F448" s="19"/>
      <c r="G448" s="19"/>
      <c r="H448" s="19"/>
      <c r="I448" s="16"/>
      <c r="J448" s="390"/>
      <c r="K448" s="1268" t="s">
        <v>57</v>
      </c>
      <c r="L448" s="1265"/>
      <c r="M448" s="1265"/>
      <c r="N448" s="1265"/>
      <c r="O448" s="18" t="str">
        <f>E448</f>
        <v>IT SUPPORTIVE SERVICES &amp; HYDERABAD SEZ</v>
      </c>
      <c r="P448" s="19"/>
      <c r="Q448" s="19"/>
      <c r="R448" s="19"/>
      <c r="S448" s="16"/>
    </row>
    <row r="449" spans="1:19">
      <c r="A449" s="17"/>
      <c r="B449" s="4"/>
      <c r="C449" s="4"/>
      <c r="D449" s="4"/>
      <c r="E449" s="4"/>
      <c r="F449" s="390"/>
      <c r="G449" s="390"/>
      <c r="H449" s="390"/>
      <c r="I449" s="16"/>
      <c r="J449" s="390"/>
      <c r="K449" s="17"/>
      <c r="L449" s="4"/>
      <c r="M449" s="4"/>
      <c r="N449" s="4"/>
      <c r="O449" s="4"/>
      <c r="P449" s="390"/>
      <c r="Q449" s="390"/>
      <c r="R449" s="390"/>
      <c r="S449" s="16"/>
    </row>
    <row r="450" spans="1:19">
      <c r="A450" s="1268" t="s">
        <v>58</v>
      </c>
      <c r="B450" s="1265"/>
      <c r="C450" s="1265"/>
      <c r="D450" s="1265"/>
      <c r="E450" s="20">
        <f>'04-22-Master'!D10</f>
        <v>44652</v>
      </c>
      <c r="F450" s="19"/>
      <c r="G450" s="19"/>
      <c r="H450" s="19"/>
      <c r="I450" s="16"/>
      <c r="J450" s="390"/>
      <c r="K450" s="1268" t="s">
        <v>58</v>
      </c>
      <c r="L450" s="1265"/>
      <c r="M450" s="1265"/>
      <c r="N450" s="1265"/>
      <c r="O450" s="20">
        <f>E450</f>
        <v>44652</v>
      </c>
      <c r="P450" s="19"/>
      <c r="Q450" s="19"/>
      <c r="R450" s="19"/>
      <c r="S450" s="16"/>
    </row>
    <row r="451" spans="1:19">
      <c r="A451" s="17"/>
      <c r="B451" s="4"/>
      <c r="C451" s="4"/>
      <c r="D451" s="4"/>
      <c r="E451" s="4"/>
      <c r="F451" s="390"/>
      <c r="G451" s="390"/>
      <c r="H451" s="390"/>
      <c r="I451" s="16"/>
      <c r="J451" s="390"/>
      <c r="K451" s="17"/>
      <c r="L451" s="4"/>
      <c r="M451" s="4"/>
      <c r="N451" s="4"/>
      <c r="O451" s="4"/>
      <c r="P451" s="390"/>
      <c r="Q451" s="390"/>
      <c r="R451" s="390"/>
      <c r="S451" s="16"/>
    </row>
    <row r="452" spans="1:19">
      <c r="A452" s="21">
        <v>1</v>
      </c>
      <c r="B452" s="1265" t="s">
        <v>59</v>
      </c>
      <c r="C452" s="1265"/>
      <c r="D452" s="1265"/>
      <c r="E452" s="22">
        <f>'04-22-Master'!Q26</f>
        <v>30</v>
      </c>
      <c r="F452" s="19"/>
      <c r="G452" s="19"/>
      <c r="H452" s="19"/>
      <c r="I452" s="16"/>
      <c r="J452" s="390"/>
      <c r="K452" s="21">
        <v>1</v>
      </c>
      <c r="L452" s="1265" t="s">
        <v>59</v>
      </c>
      <c r="M452" s="1265"/>
      <c r="N452" s="1265"/>
      <c r="O452" s="22">
        <f>E452</f>
        <v>30</v>
      </c>
      <c r="P452" s="19"/>
      <c r="Q452" s="19"/>
      <c r="R452" s="19"/>
      <c r="S452" s="16"/>
    </row>
    <row r="453" spans="1:19">
      <c r="A453" s="21"/>
      <c r="B453" s="4"/>
      <c r="C453" s="4"/>
      <c r="D453" s="4"/>
      <c r="E453" s="4"/>
      <c r="F453" s="390"/>
      <c r="G453" s="390"/>
      <c r="H453" s="390"/>
      <c r="I453" s="16"/>
      <c r="J453" s="390"/>
      <c r="K453" s="21"/>
      <c r="L453" s="4"/>
      <c r="M453" s="4"/>
      <c r="N453" s="4"/>
      <c r="O453" s="4"/>
      <c r="P453" s="390"/>
      <c r="Q453" s="390"/>
      <c r="R453" s="390"/>
      <c r="S453" s="16"/>
    </row>
    <row r="454" spans="1:19">
      <c r="A454" s="21">
        <v>2</v>
      </c>
      <c r="B454" s="1269" t="s">
        <v>60</v>
      </c>
      <c r="C454" s="1269"/>
      <c r="D454" s="1269"/>
      <c r="E454" s="4"/>
      <c r="F454" s="390"/>
      <c r="G454" s="390"/>
      <c r="H454" s="390"/>
      <c r="I454" s="16"/>
      <c r="J454" s="390"/>
      <c r="K454" s="21">
        <v>2</v>
      </c>
      <c r="L454" s="1269" t="s">
        <v>60</v>
      </c>
      <c r="M454" s="1269"/>
      <c r="N454" s="1269"/>
      <c r="O454" s="4"/>
      <c r="P454" s="390"/>
      <c r="Q454" s="390"/>
      <c r="R454" s="390"/>
      <c r="S454" s="16"/>
    </row>
    <row r="455" spans="1:19">
      <c r="A455" s="21"/>
      <c r="B455" s="1269"/>
      <c r="C455" s="1269"/>
      <c r="D455" s="1269"/>
      <c r="E455" s="23" t="s">
        <v>37</v>
      </c>
      <c r="F455" s="19"/>
      <c r="G455" s="19"/>
      <c r="H455" s="19"/>
      <c r="I455" s="16"/>
      <c r="J455" s="390"/>
      <c r="K455" s="21"/>
      <c r="L455" s="1269"/>
      <c r="M455" s="1269"/>
      <c r="N455" s="1269"/>
      <c r="O455" s="23" t="s">
        <v>37</v>
      </c>
      <c r="P455" s="19"/>
      <c r="Q455" s="19"/>
      <c r="R455" s="19"/>
      <c r="S455" s="16"/>
    </row>
    <row r="456" spans="1:19">
      <c r="A456" s="21"/>
      <c r="B456" s="4"/>
      <c r="C456" s="4"/>
      <c r="D456" s="4"/>
      <c r="E456" s="4"/>
      <c r="F456" s="390"/>
      <c r="G456" s="390"/>
      <c r="H456" s="390"/>
      <c r="I456" s="16"/>
      <c r="J456" s="390"/>
      <c r="K456" s="21"/>
      <c r="L456" s="4"/>
      <c r="M456" s="4"/>
      <c r="N456" s="4"/>
      <c r="O456" s="4"/>
      <c r="P456" s="390"/>
      <c r="Q456" s="390"/>
      <c r="R456" s="390"/>
      <c r="S456" s="16"/>
    </row>
    <row r="457" spans="1:19">
      <c r="A457" s="21">
        <v>3</v>
      </c>
      <c r="B457" s="1265" t="s">
        <v>61</v>
      </c>
      <c r="C457" s="1265"/>
      <c r="D457" s="1265"/>
      <c r="E457" s="23" t="s">
        <v>37</v>
      </c>
      <c r="F457" s="19"/>
      <c r="G457" s="19"/>
      <c r="H457" s="19"/>
      <c r="I457" s="16"/>
      <c r="J457" s="390"/>
      <c r="K457" s="21">
        <v>3</v>
      </c>
      <c r="L457" s="1265" t="s">
        <v>61</v>
      </c>
      <c r="M457" s="1265"/>
      <c r="N457" s="1265"/>
      <c r="O457" s="18" t="str">
        <f>E457</f>
        <v>N/A</v>
      </c>
      <c r="P457" s="19"/>
      <c r="Q457" s="19"/>
      <c r="R457" s="19"/>
      <c r="S457" s="16"/>
    </row>
    <row r="458" spans="1:19">
      <c r="A458" s="21"/>
      <c r="B458" s="4"/>
      <c r="C458" s="4"/>
      <c r="D458" s="4"/>
      <c r="E458" s="4"/>
      <c r="F458" s="390"/>
      <c r="G458" s="390"/>
      <c r="H458" s="390"/>
      <c r="I458" s="16"/>
      <c r="J458" s="390"/>
      <c r="K458" s="21"/>
      <c r="L458" s="4"/>
      <c r="M458" s="4"/>
      <c r="N458" s="4"/>
      <c r="O458" s="4"/>
      <c r="P458" s="390"/>
      <c r="Q458" s="390"/>
      <c r="R458" s="390"/>
      <c r="S458" s="16"/>
    </row>
    <row r="459" spans="1:19">
      <c r="A459" s="21">
        <v>4</v>
      </c>
      <c r="B459" s="1265" t="s">
        <v>62</v>
      </c>
      <c r="C459" s="1265"/>
      <c r="D459" s="1265"/>
      <c r="E459" s="23" t="s">
        <v>63</v>
      </c>
      <c r="F459" s="19"/>
      <c r="G459" s="19"/>
      <c r="H459" s="19"/>
      <c r="I459" s="16"/>
      <c r="J459" s="390"/>
      <c r="K459" s="21">
        <v>4</v>
      </c>
      <c r="L459" s="1265" t="s">
        <v>62</v>
      </c>
      <c r="M459" s="1265"/>
      <c r="N459" s="1265"/>
      <c r="O459" s="23" t="s">
        <v>63</v>
      </c>
      <c r="P459" s="19"/>
      <c r="Q459" s="19"/>
      <c r="R459" s="19"/>
      <c r="S459" s="16"/>
    </row>
    <row r="460" spans="1:19">
      <c r="A460" s="21"/>
      <c r="B460" s="4"/>
      <c r="C460" s="4"/>
      <c r="D460" s="4"/>
      <c r="E460" s="4"/>
      <c r="F460" s="390"/>
      <c r="G460" s="390"/>
      <c r="H460" s="390"/>
      <c r="I460" s="16"/>
      <c r="J460" s="390"/>
      <c r="K460" s="21"/>
      <c r="L460" s="4"/>
      <c r="M460" s="4"/>
      <c r="N460" s="4"/>
      <c r="O460" s="4"/>
      <c r="P460" s="390"/>
      <c r="Q460" s="390"/>
      <c r="R460" s="390"/>
      <c r="S460" s="16"/>
    </row>
    <row r="461" spans="1:19">
      <c r="A461" s="21">
        <v>5</v>
      </c>
      <c r="B461" s="1265" t="s">
        <v>64</v>
      </c>
      <c r="C461" s="1265"/>
      <c r="D461" s="1265"/>
      <c r="E461" s="295">
        <f>'04-22-Master'!AG26</f>
        <v>43276.002619999992</v>
      </c>
      <c r="F461" s="390"/>
      <c r="G461" s="390"/>
      <c r="H461" s="390"/>
      <c r="I461" s="16"/>
      <c r="J461" s="390"/>
      <c r="K461" s="21">
        <v>5</v>
      </c>
      <c r="L461" s="1265" t="s">
        <v>64</v>
      </c>
      <c r="M461" s="1265"/>
      <c r="N461" s="1265"/>
      <c r="O461" s="295">
        <f>E461</f>
        <v>43276.002619999992</v>
      </c>
      <c r="P461" s="390"/>
      <c r="Q461" s="390"/>
      <c r="R461" s="390"/>
      <c r="S461" s="16"/>
    </row>
    <row r="462" spans="1:19">
      <c r="A462" s="21"/>
      <c r="B462" s="4"/>
      <c r="C462" s="4"/>
      <c r="D462" s="296" t="s">
        <v>65</v>
      </c>
      <c r="E462" s="296" t="s">
        <v>31</v>
      </c>
      <c r="F462" s="296" t="s">
        <v>33</v>
      </c>
      <c r="G462" s="296" t="s">
        <v>34</v>
      </c>
      <c r="H462" s="296" t="s">
        <v>399</v>
      </c>
      <c r="I462" s="294" t="s">
        <v>400</v>
      </c>
      <c r="J462" s="390"/>
      <c r="K462" s="21"/>
      <c r="L462" s="4"/>
      <c r="M462" s="4"/>
      <c r="N462" s="296" t="s">
        <v>65</v>
      </c>
      <c r="O462" s="296" t="s">
        <v>31</v>
      </c>
      <c r="P462" s="296" t="s">
        <v>33</v>
      </c>
      <c r="Q462" s="296" t="s">
        <v>34</v>
      </c>
      <c r="R462" s="296" t="s">
        <v>399</v>
      </c>
      <c r="S462" s="294" t="s">
        <v>400</v>
      </c>
    </row>
    <row r="463" spans="1:19">
      <c r="A463" s="21">
        <v>6</v>
      </c>
      <c r="B463" s="831" t="s">
        <v>66</v>
      </c>
      <c r="C463" s="831"/>
      <c r="D463" s="297">
        <f>'04-22-Master'!AI26</f>
        <v>1800</v>
      </c>
      <c r="E463" s="297">
        <f>'04-22-Master'!AH507</f>
        <v>0</v>
      </c>
      <c r="F463" s="298">
        <f>'04-22-Master'!AJ26</f>
        <v>200</v>
      </c>
      <c r="G463" s="297">
        <f>'04-22-Master'!AK26</f>
        <v>0</v>
      </c>
      <c r="H463" s="298">
        <f>'04-22-Master'!AL26</f>
        <v>283</v>
      </c>
      <c r="I463" s="298">
        <f>D463+E463+F463+G463+H463</f>
        <v>2283</v>
      </c>
      <c r="J463" s="390"/>
      <c r="K463" s="21">
        <v>6</v>
      </c>
      <c r="L463" s="831" t="s">
        <v>66</v>
      </c>
      <c r="M463" s="831"/>
      <c r="N463" s="297">
        <f t="shared" ref="N463" si="50">D463</f>
        <v>1800</v>
      </c>
      <c r="O463" s="297">
        <f t="shared" ref="O463" si="51">E463</f>
        <v>0</v>
      </c>
      <c r="P463" s="298">
        <f t="shared" ref="P463" si="52">F463</f>
        <v>200</v>
      </c>
      <c r="Q463" s="297">
        <f t="shared" ref="Q463" si="53">G463</f>
        <v>0</v>
      </c>
      <c r="R463" s="298">
        <f t="shared" ref="R463" si="54">H463</f>
        <v>283</v>
      </c>
      <c r="S463" s="298">
        <f t="shared" ref="S463" si="55">I463</f>
        <v>2283</v>
      </c>
    </row>
    <row r="464" spans="1:19">
      <c r="A464" s="21"/>
      <c r="B464" s="4"/>
      <c r="C464" s="4"/>
      <c r="D464" s="4"/>
      <c r="E464" s="4"/>
      <c r="F464" s="390"/>
      <c r="G464" s="390"/>
      <c r="H464" s="390"/>
      <c r="I464" s="16"/>
      <c r="J464" s="390"/>
      <c r="K464" s="21"/>
      <c r="L464" s="4"/>
      <c r="M464" s="4"/>
      <c r="N464" s="4"/>
      <c r="O464" s="4"/>
      <c r="P464" s="390"/>
      <c r="Q464" s="390"/>
      <c r="R464" s="390"/>
      <c r="S464" s="16"/>
    </row>
    <row r="465" spans="1:19">
      <c r="A465" s="21">
        <v>7</v>
      </c>
      <c r="B465" s="1265" t="s">
        <v>67</v>
      </c>
      <c r="C465" s="1265"/>
      <c r="D465" s="1265"/>
      <c r="E465" s="24">
        <f>E461-I463</f>
        <v>40993.002619999992</v>
      </c>
      <c r="F465" s="19"/>
      <c r="G465" s="19"/>
      <c r="H465" s="19"/>
      <c r="I465" s="16"/>
      <c r="J465" s="390"/>
      <c r="K465" s="21">
        <v>7</v>
      </c>
      <c r="L465" s="1265" t="s">
        <v>67</v>
      </c>
      <c r="M465" s="1265"/>
      <c r="N465" s="1265"/>
      <c r="O465" s="24">
        <f>E465</f>
        <v>40993.002619999992</v>
      </c>
      <c r="P465" s="19"/>
      <c r="Q465" s="19"/>
      <c r="R465" s="19"/>
      <c r="S465" s="16"/>
    </row>
    <row r="466" spans="1:19">
      <c r="A466" s="15"/>
      <c r="B466" s="390"/>
      <c r="C466" s="390"/>
      <c r="D466" s="390"/>
      <c r="E466" s="390"/>
      <c r="F466" s="390"/>
      <c r="G466" s="390"/>
      <c r="H466" s="390"/>
      <c r="I466" s="16"/>
      <c r="J466" s="390"/>
      <c r="K466" s="15"/>
      <c r="L466" s="390"/>
      <c r="M466" s="390"/>
      <c r="N466" s="390"/>
      <c r="O466" s="390"/>
      <c r="P466" s="390"/>
      <c r="Q466" s="390"/>
      <c r="R466" s="390"/>
      <c r="S466" s="16"/>
    </row>
    <row r="467" spans="1:19">
      <c r="A467" s="15"/>
      <c r="B467" s="390"/>
      <c r="C467" s="390"/>
      <c r="D467" s="390"/>
      <c r="E467" s="390"/>
      <c r="F467" s="390"/>
      <c r="G467" s="390"/>
      <c r="H467" s="390"/>
      <c r="I467" s="16"/>
      <c r="J467" s="390"/>
      <c r="K467" s="15"/>
      <c r="L467" s="390"/>
      <c r="M467" s="390"/>
      <c r="N467" s="390"/>
      <c r="O467" s="390"/>
      <c r="P467" s="390"/>
      <c r="Q467" s="390"/>
      <c r="R467" s="390"/>
      <c r="S467" s="16"/>
    </row>
    <row r="468" spans="1:19" ht="15.75" thickBot="1">
      <c r="A468" s="15"/>
      <c r="B468" s="390"/>
      <c r="C468" s="390"/>
      <c r="D468" s="390"/>
      <c r="E468" s="390"/>
      <c r="F468" s="25"/>
      <c r="G468" s="25"/>
      <c r="H468" s="25"/>
      <c r="I468" s="26"/>
      <c r="J468" s="390"/>
      <c r="K468" s="15"/>
      <c r="L468" s="390"/>
      <c r="M468" s="390"/>
      <c r="N468" s="390"/>
      <c r="O468" s="390"/>
      <c r="P468" s="25"/>
      <c r="Q468" s="25"/>
      <c r="R468" s="25"/>
      <c r="S468" s="26"/>
    </row>
    <row r="469" spans="1:19" ht="15.75" thickBot="1">
      <c r="A469" s="27"/>
      <c r="B469" s="25"/>
      <c r="C469" s="25"/>
      <c r="D469" s="25"/>
      <c r="E469" s="25"/>
      <c r="F469" s="1266" t="s">
        <v>68</v>
      </c>
      <c r="G469" s="1266"/>
      <c r="H469" s="1266"/>
      <c r="I469" s="1267"/>
      <c r="J469" s="390"/>
      <c r="K469" s="27"/>
      <c r="L469" s="25"/>
      <c r="M469" s="25"/>
      <c r="N469" s="25"/>
      <c r="O469" s="25"/>
      <c r="P469" s="1266" t="s">
        <v>68</v>
      </c>
      <c r="Q469" s="1266"/>
      <c r="R469" s="1266"/>
      <c r="S469" s="1267"/>
    </row>
    <row r="470" spans="1:19">
      <c r="A470" s="390"/>
      <c r="B470" s="390"/>
      <c r="C470" s="390"/>
      <c r="D470" s="390"/>
      <c r="E470" s="390"/>
      <c r="F470" s="390"/>
      <c r="G470" s="390"/>
      <c r="H470" s="390"/>
      <c r="I470" s="390"/>
      <c r="J470" s="390"/>
      <c r="K470" s="390"/>
      <c r="L470" s="390"/>
      <c r="M470" s="390"/>
      <c r="N470" s="390"/>
      <c r="O470" s="390"/>
      <c r="P470" s="390"/>
      <c r="Q470" s="390"/>
      <c r="R470" s="390"/>
      <c r="S470" s="390"/>
    </row>
    <row r="471" spans="1:19">
      <c r="A471" s="390"/>
      <c r="B471" s="390"/>
      <c r="C471" s="390"/>
      <c r="D471" s="390"/>
      <c r="E471" s="390"/>
      <c r="F471" s="390"/>
      <c r="G471" s="390"/>
      <c r="H471" s="390"/>
      <c r="I471" s="390"/>
      <c r="J471" s="390"/>
      <c r="K471" s="390"/>
      <c r="L471" s="390"/>
      <c r="M471" s="390"/>
      <c r="N471" s="390"/>
      <c r="O471" s="390"/>
      <c r="P471" s="390"/>
      <c r="Q471" s="390"/>
      <c r="R471" s="390"/>
      <c r="S471" s="390"/>
    </row>
    <row r="472" spans="1:19">
      <c r="A472" s="390"/>
      <c r="B472" s="390"/>
      <c r="C472" s="390"/>
      <c r="D472" s="390"/>
      <c r="E472" s="390"/>
      <c r="F472" s="390"/>
      <c r="G472" s="390"/>
      <c r="H472" s="390"/>
      <c r="I472" s="390"/>
      <c r="J472" s="390"/>
      <c r="K472" s="390"/>
      <c r="L472" s="390"/>
      <c r="M472" s="390"/>
      <c r="N472" s="390"/>
      <c r="O472" s="390"/>
      <c r="P472" s="390"/>
      <c r="Q472" s="390"/>
      <c r="R472" s="390"/>
      <c r="S472" s="390"/>
    </row>
    <row r="473" spans="1:19" ht="15.75" thickBot="1">
      <c r="A473" s="390"/>
      <c r="B473" s="390"/>
      <c r="C473" s="390"/>
      <c r="D473" s="390"/>
      <c r="E473" s="390"/>
      <c r="F473" s="390"/>
      <c r="G473" s="390"/>
      <c r="H473" s="390"/>
      <c r="I473" s="390"/>
      <c r="J473" s="390"/>
      <c r="K473" s="390"/>
      <c r="L473" s="390"/>
      <c r="M473" s="390"/>
      <c r="N473" s="390"/>
      <c r="O473" s="390"/>
      <c r="P473" s="390"/>
      <c r="Q473" s="390"/>
      <c r="R473" s="390"/>
      <c r="S473" s="390"/>
    </row>
    <row r="474" spans="1:19" ht="26.25">
      <c r="A474" s="1270" t="s">
        <v>53</v>
      </c>
      <c r="B474" s="1271"/>
      <c r="C474" s="1271"/>
      <c r="D474" s="1271"/>
      <c r="E474" s="1271"/>
      <c r="F474" s="1271"/>
      <c r="G474" s="1271"/>
      <c r="H474" s="1271"/>
      <c r="I474" s="1272"/>
      <c r="J474" s="390"/>
      <c r="K474" s="1270" t="s">
        <v>53</v>
      </c>
      <c r="L474" s="1271"/>
      <c r="M474" s="1271"/>
      <c r="N474" s="1271"/>
      <c r="O474" s="1271"/>
      <c r="P474" s="1271"/>
      <c r="Q474" s="1271"/>
      <c r="R474" s="1271"/>
      <c r="S474" s="1272"/>
    </row>
    <row r="475" spans="1:19">
      <c r="A475" s="1273" t="s">
        <v>54</v>
      </c>
      <c r="B475" s="1274"/>
      <c r="C475" s="1274"/>
      <c r="D475" s="1274"/>
      <c r="E475" s="1274"/>
      <c r="F475" s="1274"/>
      <c r="G475" s="1274"/>
      <c r="H475" s="1274"/>
      <c r="I475" s="1211"/>
      <c r="J475" s="390"/>
      <c r="K475" s="1273" t="s">
        <v>54</v>
      </c>
      <c r="L475" s="1274"/>
      <c r="M475" s="1274"/>
      <c r="N475" s="1274"/>
      <c r="O475" s="1274"/>
      <c r="P475" s="1274"/>
      <c r="Q475" s="1274"/>
      <c r="R475" s="1274"/>
      <c r="S475" s="1211"/>
    </row>
    <row r="476" spans="1:19">
      <c r="A476" s="15"/>
      <c r="B476" s="390"/>
      <c r="C476" s="390"/>
      <c r="D476" s="390"/>
      <c r="E476" s="390"/>
      <c r="F476" s="390"/>
      <c r="G476" s="390"/>
      <c r="H476" s="390"/>
      <c r="I476" s="16"/>
      <c r="J476" s="390"/>
      <c r="K476" s="15"/>
      <c r="L476" s="390"/>
      <c r="M476" s="390"/>
      <c r="N476" s="390"/>
      <c r="O476" s="390"/>
      <c r="P476" s="390"/>
      <c r="Q476" s="390"/>
      <c r="R476" s="390"/>
      <c r="S476" s="16"/>
    </row>
    <row r="477" spans="1:19">
      <c r="A477" s="17" t="s">
        <v>55</v>
      </c>
      <c r="B477" s="4"/>
      <c r="C477" s="4"/>
      <c r="D477" s="317" t="s">
        <v>425</v>
      </c>
      <c r="E477" s="390"/>
      <c r="F477" s="390"/>
      <c r="G477" s="390"/>
      <c r="H477" s="390"/>
      <c r="I477" s="16"/>
      <c r="J477" s="390"/>
      <c r="K477" s="17" t="s">
        <v>55</v>
      </c>
      <c r="L477" s="4"/>
      <c r="M477" s="4"/>
      <c r="N477" s="8"/>
      <c r="O477" s="381" t="str">
        <f>D477</f>
        <v>Burgeon IT Services Pvt.Ltd.</v>
      </c>
      <c r="P477" s="390"/>
      <c r="Q477" s="390"/>
      <c r="R477" s="390"/>
      <c r="S477" s="16"/>
    </row>
    <row r="478" spans="1:19">
      <c r="A478" s="17"/>
      <c r="B478" s="150" t="s">
        <v>426</v>
      </c>
      <c r="C478" s="4"/>
      <c r="D478" s="390"/>
      <c r="E478" s="390"/>
      <c r="F478" s="390"/>
      <c r="G478" s="390"/>
      <c r="H478" s="390"/>
      <c r="I478" s="16"/>
      <c r="J478" s="390"/>
      <c r="K478" s="17"/>
      <c r="L478" s="4"/>
      <c r="M478" s="4"/>
      <c r="N478" s="4"/>
      <c r="O478" s="390"/>
      <c r="P478" s="390"/>
      <c r="Q478" s="390"/>
      <c r="R478" s="390"/>
      <c r="S478" s="16"/>
    </row>
    <row r="479" spans="1:19">
      <c r="A479" s="17"/>
      <c r="B479" s="4"/>
      <c r="C479" s="4"/>
      <c r="D479" s="4"/>
      <c r="E479" s="4"/>
      <c r="F479" s="390"/>
      <c r="G479" s="390"/>
      <c r="H479" s="390"/>
      <c r="I479" s="16"/>
      <c r="J479" s="390"/>
      <c r="K479" s="17"/>
      <c r="L479" s="4" t="str">
        <f>B478</f>
        <v>Siri Mansion LIGB 436 Dr.A S Rao Nagar,Hyderabad</v>
      </c>
      <c r="M479" s="4"/>
      <c r="N479" s="4"/>
      <c r="O479" s="4"/>
      <c r="P479" s="390"/>
      <c r="Q479" s="390"/>
      <c r="R479" s="390"/>
      <c r="S479" s="16"/>
    </row>
    <row r="480" spans="1:19">
      <c r="A480" s="1275" t="s">
        <v>56</v>
      </c>
      <c r="B480" s="1269"/>
      <c r="C480" s="1269"/>
      <c r="D480" s="1269"/>
      <c r="E480" s="4"/>
      <c r="F480" s="390"/>
      <c r="G480" s="390"/>
      <c r="H480" s="390"/>
      <c r="I480" s="16"/>
      <c r="J480" s="390"/>
      <c r="K480" s="1275" t="s">
        <v>56</v>
      </c>
      <c r="L480" s="1269"/>
      <c r="M480" s="1269"/>
      <c r="N480" s="1269"/>
      <c r="O480" s="4"/>
      <c r="P480" s="390"/>
      <c r="Q480" s="390"/>
      <c r="R480" s="390"/>
      <c r="S480" s="16"/>
    </row>
    <row r="481" spans="1:19">
      <c r="A481" s="1275"/>
      <c r="B481" s="1269"/>
      <c r="C481" s="1269"/>
      <c r="D481" s="1269"/>
      <c r="E481" s="390" t="str">
        <f>'04-22-Master'!B27</f>
        <v>Bharath Pal</v>
      </c>
      <c r="F481" s="19"/>
      <c r="G481" s="19"/>
      <c r="H481" s="19" t="str">
        <f>'04-22-Master'!E27</f>
        <v>Mani ram</v>
      </c>
      <c r="I481" s="16"/>
      <c r="J481" s="390"/>
      <c r="K481" s="1275"/>
      <c r="L481" s="1269"/>
      <c r="M481" s="1269"/>
      <c r="N481" s="1269"/>
      <c r="O481" s="18" t="str">
        <f>E481</f>
        <v>Bharath Pal</v>
      </c>
      <c r="P481" s="19"/>
      <c r="Q481" s="19"/>
      <c r="R481" s="19" t="str">
        <f>H481</f>
        <v>Mani ram</v>
      </c>
      <c r="S481" s="16"/>
    </row>
    <row r="482" spans="1:19">
      <c r="A482" s="17"/>
      <c r="B482" s="4"/>
      <c r="C482" s="4"/>
      <c r="D482" s="4"/>
      <c r="E482" s="4"/>
      <c r="F482" s="390"/>
      <c r="G482" s="390"/>
      <c r="H482" s="390"/>
      <c r="I482" s="16"/>
      <c r="J482" s="390"/>
      <c r="K482" s="17"/>
      <c r="L482" s="4"/>
      <c r="M482" s="4"/>
      <c r="N482" s="4"/>
      <c r="O482" s="4"/>
      <c r="P482" s="390"/>
      <c r="Q482" s="390"/>
      <c r="R482" s="390"/>
      <c r="S482" s="16"/>
    </row>
    <row r="483" spans="1:19">
      <c r="A483" s="1268" t="s">
        <v>57</v>
      </c>
      <c r="B483" s="1265"/>
      <c r="C483" s="1265"/>
      <c r="D483" s="1265"/>
      <c r="E483" s="18" t="s">
        <v>819</v>
      </c>
      <c r="F483" s="19"/>
      <c r="G483" s="19"/>
      <c r="H483" s="19"/>
      <c r="I483" s="16"/>
      <c r="J483" s="390"/>
      <c r="K483" s="1268" t="s">
        <v>57</v>
      </c>
      <c r="L483" s="1265"/>
      <c r="M483" s="1265"/>
      <c r="N483" s="1265"/>
      <c r="O483" s="18" t="str">
        <f>E483</f>
        <v>IT SUPPORTIVE SERVICES &amp; HYDERABAD SEZ</v>
      </c>
      <c r="P483" s="19"/>
      <c r="Q483" s="19"/>
      <c r="R483" s="19"/>
      <c r="S483" s="16"/>
    </row>
    <row r="484" spans="1:19">
      <c r="A484" s="17"/>
      <c r="B484" s="4"/>
      <c r="C484" s="4"/>
      <c r="D484" s="4"/>
      <c r="E484" s="4"/>
      <c r="F484" s="390"/>
      <c r="G484" s="390"/>
      <c r="H484" s="390"/>
      <c r="I484" s="16"/>
      <c r="J484" s="390"/>
      <c r="K484" s="17"/>
      <c r="L484" s="4"/>
      <c r="M484" s="4"/>
      <c r="N484" s="4"/>
      <c r="O484" s="4"/>
      <c r="P484" s="390"/>
      <c r="Q484" s="390"/>
      <c r="R484" s="390"/>
      <c r="S484" s="16"/>
    </row>
    <row r="485" spans="1:19">
      <c r="A485" s="1268" t="s">
        <v>58</v>
      </c>
      <c r="B485" s="1265"/>
      <c r="C485" s="1265"/>
      <c r="D485" s="1265"/>
      <c r="E485" s="20">
        <f>'04-22-Master'!D10</f>
        <v>44652</v>
      </c>
      <c r="F485" s="19"/>
      <c r="G485" s="19"/>
      <c r="H485" s="19"/>
      <c r="I485" s="16"/>
      <c r="J485" s="390"/>
      <c r="K485" s="1268" t="s">
        <v>58</v>
      </c>
      <c r="L485" s="1265"/>
      <c r="M485" s="1265"/>
      <c r="N485" s="1265"/>
      <c r="O485" s="20">
        <f>E485</f>
        <v>44652</v>
      </c>
      <c r="P485" s="19"/>
      <c r="Q485" s="19"/>
      <c r="R485" s="19"/>
      <c r="S485" s="16"/>
    </row>
    <row r="486" spans="1:19">
      <c r="A486" s="17"/>
      <c r="B486" s="4"/>
      <c r="C486" s="4"/>
      <c r="D486" s="4"/>
      <c r="E486" s="4"/>
      <c r="F486" s="390"/>
      <c r="G486" s="390"/>
      <c r="H486" s="390"/>
      <c r="I486" s="16"/>
      <c r="J486" s="390"/>
      <c r="K486" s="17"/>
      <c r="L486" s="4"/>
      <c r="M486" s="4"/>
      <c r="N486" s="4"/>
      <c r="O486" s="4"/>
      <c r="P486" s="390"/>
      <c r="Q486" s="390"/>
      <c r="R486" s="390"/>
      <c r="S486" s="16"/>
    </row>
    <row r="487" spans="1:19">
      <c r="A487" s="21">
        <v>1</v>
      </c>
      <c r="B487" s="1265" t="s">
        <v>59</v>
      </c>
      <c r="C487" s="1265"/>
      <c r="D487" s="1265"/>
      <c r="E487" s="22">
        <f>'04-22-Master'!Q27</f>
        <v>30</v>
      </c>
      <c r="F487" s="19"/>
      <c r="G487" s="19"/>
      <c r="H487" s="19"/>
      <c r="I487" s="16"/>
      <c r="J487" s="390"/>
      <c r="K487" s="21">
        <v>1</v>
      </c>
      <c r="L487" s="1265" t="s">
        <v>59</v>
      </c>
      <c r="M487" s="1265"/>
      <c r="N487" s="1265"/>
      <c r="O487" s="22">
        <f>E487</f>
        <v>30</v>
      </c>
      <c r="P487" s="19"/>
      <c r="Q487" s="19"/>
      <c r="R487" s="19"/>
      <c r="S487" s="16"/>
    </row>
    <row r="488" spans="1:19">
      <c r="A488" s="21"/>
      <c r="B488" s="4"/>
      <c r="C488" s="4"/>
      <c r="D488" s="4"/>
      <c r="E488" s="4"/>
      <c r="F488" s="390"/>
      <c r="G488" s="390"/>
      <c r="H488" s="390"/>
      <c r="I488" s="16"/>
      <c r="J488" s="390"/>
      <c r="K488" s="21"/>
      <c r="L488" s="4"/>
      <c r="M488" s="4"/>
      <c r="N488" s="4"/>
      <c r="O488" s="4"/>
      <c r="P488" s="390"/>
      <c r="Q488" s="390"/>
      <c r="R488" s="390"/>
      <c r="S488" s="16"/>
    </row>
    <row r="489" spans="1:19">
      <c r="A489" s="21">
        <v>2</v>
      </c>
      <c r="B489" s="1269" t="s">
        <v>60</v>
      </c>
      <c r="C489" s="1269"/>
      <c r="D489" s="1269"/>
      <c r="E489" s="4"/>
      <c r="F489" s="390"/>
      <c r="G489" s="390"/>
      <c r="H489" s="390"/>
      <c r="I489" s="16"/>
      <c r="J489" s="390"/>
      <c r="K489" s="21">
        <v>2</v>
      </c>
      <c r="L489" s="1269" t="s">
        <v>60</v>
      </c>
      <c r="M489" s="1269"/>
      <c r="N489" s="1269"/>
      <c r="O489" s="4"/>
      <c r="P489" s="390"/>
      <c r="Q489" s="390"/>
      <c r="R489" s="390"/>
      <c r="S489" s="16"/>
    </row>
    <row r="490" spans="1:19">
      <c r="A490" s="21"/>
      <c r="B490" s="1269"/>
      <c r="C490" s="1269"/>
      <c r="D490" s="1269"/>
      <c r="E490" s="23" t="s">
        <v>37</v>
      </c>
      <c r="F490" s="19"/>
      <c r="G490" s="19"/>
      <c r="H490" s="19"/>
      <c r="I490" s="16"/>
      <c r="J490" s="390"/>
      <c r="K490" s="21"/>
      <c r="L490" s="1269"/>
      <c r="M490" s="1269"/>
      <c r="N490" s="1269"/>
      <c r="O490" s="23" t="s">
        <v>37</v>
      </c>
      <c r="P490" s="19"/>
      <c r="Q490" s="19"/>
      <c r="R490" s="19"/>
      <c r="S490" s="16"/>
    </row>
    <row r="491" spans="1:19">
      <c r="A491" s="21"/>
      <c r="B491" s="4"/>
      <c r="C491" s="4"/>
      <c r="D491" s="4"/>
      <c r="E491" s="4"/>
      <c r="F491" s="390"/>
      <c r="G491" s="390"/>
      <c r="H491" s="390"/>
      <c r="I491" s="16"/>
      <c r="J491" s="390"/>
      <c r="K491" s="21"/>
      <c r="L491" s="4"/>
      <c r="M491" s="4"/>
      <c r="N491" s="4"/>
      <c r="O491" s="4"/>
      <c r="P491" s="390"/>
      <c r="Q491" s="390"/>
      <c r="R491" s="390"/>
      <c r="S491" s="16"/>
    </row>
    <row r="492" spans="1:19">
      <c r="A492" s="21">
        <v>3</v>
      </c>
      <c r="B492" s="1265" t="s">
        <v>61</v>
      </c>
      <c r="C492" s="1265"/>
      <c r="D492" s="1265"/>
      <c r="E492" s="23" t="s">
        <v>37</v>
      </c>
      <c r="F492" s="19"/>
      <c r="G492" s="19"/>
      <c r="H492" s="19"/>
      <c r="I492" s="16"/>
      <c r="J492" s="390"/>
      <c r="K492" s="21">
        <v>3</v>
      </c>
      <c r="L492" s="1265" t="s">
        <v>61</v>
      </c>
      <c r="M492" s="1265"/>
      <c r="N492" s="1265"/>
      <c r="O492" s="18" t="str">
        <f>E492</f>
        <v>N/A</v>
      </c>
      <c r="P492" s="19"/>
      <c r="Q492" s="19"/>
      <c r="R492" s="19"/>
      <c r="S492" s="16"/>
    </row>
    <row r="493" spans="1:19">
      <c r="A493" s="21"/>
      <c r="B493" s="4"/>
      <c r="C493" s="4"/>
      <c r="D493" s="4"/>
      <c r="E493" s="4"/>
      <c r="F493" s="390"/>
      <c r="G493" s="390"/>
      <c r="H493" s="390"/>
      <c r="I493" s="16"/>
      <c r="J493" s="390"/>
      <c r="K493" s="21"/>
      <c r="L493" s="4"/>
      <c r="M493" s="4"/>
      <c r="N493" s="4"/>
      <c r="O493" s="4"/>
      <c r="P493" s="390"/>
      <c r="Q493" s="390"/>
      <c r="R493" s="390"/>
      <c r="S493" s="16"/>
    </row>
    <row r="494" spans="1:19">
      <c r="A494" s="21">
        <v>4</v>
      </c>
      <c r="B494" s="1265" t="s">
        <v>62</v>
      </c>
      <c r="C494" s="1265"/>
      <c r="D494" s="1265"/>
      <c r="E494" s="23" t="s">
        <v>63</v>
      </c>
      <c r="F494" s="19"/>
      <c r="G494" s="19"/>
      <c r="H494" s="19"/>
      <c r="I494" s="16"/>
      <c r="J494" s="390"/>
      <c r="K494" s="21">
        <v>4</v>
      </c>
      <c r="L494" s="1265" t="s">
        <v>62</v>
      </c>
      <c r="M494" s="1265"/>
      <c r="N494" s="1265"/>
      <c r="O494" s="23" t="s">
        <v>63</v>
      </c>
      <c r="P494" s="19"/>
      <c r="Q494" s="19"/>
      <c r="R494" s="19"/>
      <c r="S494" s="16"/>
    </row>
    <row r="495" spans="1:19">
      <c r="A495" s="21"/>
      <c r="B495" s="4"/>
      <c r="C495" s="4"/>
      <c r="D495" s="4"/>
      <c r="E495" s="4"/>
      <c r="F495" s="390"/>
      <c r="G495" s="390"/>
      <c r="H495" s="390"/>
      <c r="I495" s="16"/>
      <c r="J495" s="390"/>
      <c r="K495" s="21"/>
      <c r="L495" s="4"/>
      <c r="M495" s="4"/>
      <c r="N495" s="4"/>
      <c r="O495" s="4"/>
      <c r="P495" s="390"/>
      <c r="Q495" s="390"/>
      <c r="R495" s="390"/>
      <c r="S495" s="16"/>
    </row>
    <row r="496" spans="1:19">
      <c r="A496" s="21">
        <v>5</v>
      </c>
      <c r="B496" s="1265" t="s">
        <v>64</v>
      </c>
      <c r="C496" s="1265"/>
      <c r="D496" s="1265"/>
      <c r="E496" s="295">
        <f>'04-22-Master'!AG27</f>
        <v>28246.40396</v>
      </c>
      <c r="F496" s="390"/>
      <c r="G496" s="390"/>
      <c r="H496" s="390"/>
      <c r="I496" s="16"/>
      <c r="J496" s="390"/>
      <c r="K496" s="21">
        <v>5</v>
      </c>
      <c r="L496" s="1265" t="s">
        <v>64</v>
      </c>
      <c r="M496" s="1265"/>
      <c r="N496" s="1265"/>
      <c r="O496" s="295">
        <f>E496</f>
        <v>28246.40396</v>
      </c>
      <c r="P496" s="390"/>
      <c r="Q496" s="390"/>
      <c r="R496" s="390"/>
      <c r="S496" s="16"/>
    </row>
    <row r="497" spans="1:19">
      <c r="A497" s="21"/>
      <c r="B497" s="4"/>
      <c r="C497" s="4"/>
      <c r="D497" s="296" t="s">
        <v>65</v>
      </c>
      <c r="E497" s="296" t="s">
        <v>31</v>
      </c>
      <c r="F497" s="296" t="s">
        <v>33</v>
      </c>
      <c r="G497" s="296" t="s">
        <v>34</v>
      </c>
      <c r="H497" s="296" t="s">
        <v>399</v>
      </c>
      <c r="I497" s="294" t="s">
        <v>400</v>
      </c>
      <c r="J497" s="390"/>
      <c r="K497" s="21"/>
      <c r="L497" s="4"/>
      <c r="M497" s="4"/>
      <c r="N497" s="296" t="s">
        <v>65</v>
      </c>
      <c r="O497" s="296" t="s">
        <v>31</v>
      </c>
      <c r="P497" s="296" t="s">
        <v>33</v>
      </c>
      <c r="Q497" s="296" t="s">
        <v>34</v>
      </c>
      <c r="R497" s="296" t="s">
        <v>399</v>
      </c>
      <c r="S497" s="294" t="s">
        <v>400</v>
      </c>
    </row>
    <row r="498" spans="1:19">
      <c r="A498" s="21">
        <v>6</v>
      </c>
      <c r="B498" s="831" t="s">
        <v>66</v>
      </c>
      <c r="C498" s="831"/>
      <c r="D498" s="297">
        <f>'04-22-Master'!AI27</f>
        <v>1774</v>
      </c>
      <c r="E498" s="297">
        <f>'04-22-Master'!AH542</f>
        <v>0</v>
      </c>
      <c r="F498" s="298">
        <f>'04-22-Master'!AJ27</f>
        <v>200</v>
      </c>
      <c r="G498" s="297">
        <f>'04-22-Master'!AK27</f>
        <v>0</v>
      </c>
      <c r="H498" s="298">
        <f>'04-22-Master'!AL27</f>
        <v>283</v>
      </c>
      <c r="I498" s="298">
        <f>D498+E498+F498+G498+H498</f>
        <v>2257</v>
      </c>
      <c r="J498" s="390"/>
      <c r="K498" s="21">
        <v>6</v>
      </c>
      <c r="L498" s="831" t="s">
        <v>66</v>
      </c>
      <c r="M498" s="831"/>
      <c r="N498" s="297">
        <f t="shared" ref="N498" si="56">D498</f>
        <v>1774</v>
      </c>
      <c r="O498" s="297">
        <f t="shared" ref="O498" si="57">E498</f>
        <v>0</v>
      </c>
      <c r="P498" s="298">
        <f t="shared" ref="P498" si="58">F498</f>
        <v>200</v>
      </c>
      <c r="Q498" s="297">
        <f t="shared" ref="Q498" si="59">G498</f>
        <v>0</v>
      </c>
      <c r="R498" s="298">
        <f t="shared" ref="R498" si="60">H498</f>
        <v>283</v>
      </c>
      <c r="S498" s="298">
        <f t="shared" ref="S498" si="61">I498</f>
        <v>2257</v>
      </c>
    </row>
    <row r="499" spans="1:19">
      <c r="A499" s="21"/>
      <c r="B499" s="4"/>
      <c r="C499" s="4"/>
      <c r="D499" s="4"/>
      <c r="E499" s="4"/>
      <c r="F499" s="390"/>
      <c r="G499" s="390"/>
      <c r="H499" s="390"/>
      <c r="I499" s="16"/>
      <c r="J499" s="390"/>
      <c r="K499" s="21"/>
      <c r="L499" s="4"/>
      <c r="M499" s="4"/>
      <c r="N499" s="4"/>
      <c r="O499" s="4"/>
      <c r="P499" s="390"/>
      <c r="Q499" s="390"/>
      <c r="R499" s="390"/>
      <c r="S499" s="16"/>
    </row>
    <row r="500" spans="1:19">
      <c r="A500" s="21">
        <v>7</v>
      </c>
      <c r="B500" s="1265" t="s">
        <v>67</v>
      </c>
      <c r="C500" s="1265"/>
      <c r="D500" s="1265"/>
      <c r="E500" s="24">
        <f>E496-I498</f>
        <v>25989.40396</v>
      </c>
      <c r="F500" s="19"/>
      <c r="G500" s="19"/>
      <c r="H500" s="19"/>
      <c r="I500" s="16"/>
      <c r="J500" s="390"/>
      <c r="K500" s="21">
        <v>7</v>
      </c>
      <c r="L500" s="1265" t="s">
        <v>67</v>
      </c>
      <c r="M500" s="1265"/>
      <c r="N500" s="1265"/>
      <c r="O500" s="24">
        <f>E500</f>
        <v>25989.40396</v>
      </c>
      <c r="P500" s="19"/>
      <c r="Q500" s="19"/>
      <c r="R500" s="19"/>
      <c r="S500" s="16"/>
    </row>
    <row r="501" spans="1:19">
      <c r="A501" s="15"/>
      <c r="B501" s="390"/>
      <c r="C501" s="390"/>
      <c r="D501" s="390"/>
      <c r="E501" s="390"/>
      <c r="F501" s="390"/>
      <c r="G501" s="390"/>
      <c r="H501" s="390"/>
      <c r="I501" s="16"/>
      <c r="J501" s="390"/>
      <c r="K501" s="15"/>
      <c r="L501" s="390"/>
      <c r="M501" s="390"/>
      <c r="N501" s="390"/>
      <c r="O501" s="390"/>
      <c r="P501" s="390"/>
      <c r="Q501" s="390"/>
      <c r="R501" s="390"/>
      <c r="S501" s="16"/>
    </row>
    <row r="502" spans="1:19">
      <c r="A502" s="15"/>
      <c r="B502" s="390"/>
      <c r="C502" s="390"/>
      <c r="D502" s="390"/>
      <c r="E502" s="390"/>
      <c r="F502" s="390"/>
      <c r="G502" s="390"/>
      <c r="H502" s="390"/>
      <c r="I502" s="16"/>
      <c r="J502" s="390"/>
      <c r="K502" s="15"/>
      <c r="L502" s="390"/>
      <c r="M502" s="390"/>
      <c r="N502" s="390"/>
      <c r="O502" s="390"/>
      <c r="P502" s="390"/>
      <c r="Q502" s="390"/>
      <c r="R502" s="390"/>
      <c r="S502" s="16"/>
    </row>
    <row r="503" spans="1:19" ht="15.75" thickBot="1">
      <c r="A503" s="15"/>
      <c r="B503" s="390"/>
      <c r="C503" s="390"/>
      <c r="D503" s="390"/>
      <c r="E503" s="390"/>
      <c r="F503" s="25"/>
      <c r="G503" s="25"/>
      <c r="H503" s="25"/>
      <c r="I503" s="26"/>
      <c r="J503" s="390"/>
      <c r="K503" s="15"/>
      <c r="L503" s="390"/>
      <c r="M503" s="390"/>
      <c r="N503" s="390"/>
      <c r="O503" s="390"/>
      <c r="P503" s="25"/>
      <c r="Q503" s="25"/>
      <c r="R503" s="25"/>
      <c r="S503" s="26"/>
    </row>
    <row r="504" spans="1:19" ht="15.75" thickBot="1">
      <c r="A504" s="27"/>
      <c r="B504" s="25"/>
      <c r="C504" s="25"/>
      <c r="D504" s="25"/>
      <c r="E504" s="25"/>
      <c r="F504" s="1266" t="s">
        <v>68</v>
      </c>
      <c r="G504" s="1266"/>
      <c r="H504" s="1266"/>
      <c r="I504" s="1267"/>
      <c r="J504" s="390"/>
      <c r="K504" s="27"/>
      <c r="L504" s="25"/>
      <c r="M504" s="25"/>
      <c r="N504" s="25"/>
      <c r="O504" s="25"/>
      <c r="P504" s="1266" t="s">
        <v>68</v>
      </c>
      <c r="Q504" s="1266"/>
      <c r="R504" s="1266"/>
      <c r="S504" s="1267"/>
    </row>
    <row r="505" spans="1:19">
      <c r="A505" s="390"/>
      <c r="B505" s="390"/>
      <c r="C505" s="390"/>
      <c r="D505" s="390"/>
      <c r="E505" s="390"/>
      <c r="F505" s="390"/>
      <c r="G505" s="390"/>
      <c r="H505" s="390"/>
      <c r="I505" s="390"/>
      <c r="J505" s="390"/>
      <c r="K505" s="390"/>
      <c r="L505" s="390"/>
      <c r="M505" s="390"/>
      <c r="N505" s="390"/>
      <c r="O505" s="390"/>
      <c r="P505" s="390"/>
      <c r="Q505" s="390"/>
      <c r="R505" s="390"/>
      <c r="S505" s="390"/>
    </row>
    <row r="506" spans="1:19">
      <c r="A506" s="390"/>
      <c r="B506" s="390"/>
      <c r="C506" s="390"/>
      <c r="D506" s="390"/>
      <c r="E506" s="390"/>
      <c r="F506" s="390"/>
      <c r="G506" s="390"/>
      <c r="H506" s="390"/>
      <c r="I506" s="390"/>
      <c r="J506" s="390"/>
      <c r="K506" s="390"/>
      <c r="L506" s="390"/>
      <c r="M506" s="390"/>
      <c r="N506" s="390"/>
      <c r="O506" s="390"/>
      <c r="P506" s="390"/>
      <c r="Q506" s="390"/>
      <c r="R506" s="390"/>
      <c r="S506" s="390"/>
    </row>
    <row r="507" spans="1:19">
      <c r="A507" s="390"/>
      <c r="B507" s="390"/>
      <c r="C507" s="390"/>
      <c r="D507" s="390"/>
      <c r="E507" s="390"/>
      <c r="F507" s="390"/>
      <c r="G507" s="390"/>
      <c r="H507" s="390"/>
      <c r="I507" s="390"/>
      <c r="J507" s="390"/>
      <c r="K507" s="390"/>
      <c r="L507" s="390"/>
      <c r="M507" s="390"/>
      <c r="N507" s="390"/>
      <c r="O507" s="390"/>
      <c r="P507" s="390"/>
      <c r="Q507" s="390"/>
      <c r="R507" s="390"/>
      <c r="S507" s="390"/>
    </row>
    <row r="508" spans="1:19" ht="15.75" thickBot="1">
      <c r="A508" s="390"/>
      <c r="B508" s="390"/>
      <c r="C508" s="390"/>
      <c r="D508" s="390"/>
      <c r="E508" s="390"/>
      <c r="F508" s="390"/>
      <c r="G508" s="390"/>
      <c r="H508" s="390"/>
      <c r="I508" s="390"/>
      <c r="J508" s="390"/>
      <c r="K508" s="390"/>
      <c r="L508" s="390"/>
      <c r="M508" s="390"/>
      <c r="N508" s="390"/>
      <c r="O508" s="390"/>
      <c r="P508" s="390"/>
      <c r="Q508" s="390"/>
      <c r="R508" s="390"/>
      <c r="S508" s="390"/>
    </row>
    <row r="509" spans="1:19" ht="26.25">
      <c r="A509" s="1270" t="s">
        <v>53</v>
      </c>
      <c r="B509" s="1271"/>
      <c r="C509" s="1271"/>
      <c r="D509" s="1271"/>
      <c r="E509" s="1271"/>
      <c r="F509" s="1271"/>
      <c r="G509" s="1271"/>
      <c r="H509" s="1271"/>
      <c r="I509" s="1272"/>
      <c r="J509" s="390"/>
      <c r="K509" s="1270" t="s">
        <v>53</v>
      </c>
      <c r="L509" s="1271"/>
      <c r="M509" s="1271"/>
      <c r="N509" s="1271"/>
      <c r="O509" s="1271"/>
      <c r="P509" s="1271"/>
      <c r="Q509" s="1271"/>
      <c r="R509" s="1271"/>
      <c r="S509" s="1272"/>
    </row>
    <row r="510" spans="1:19">
      <c r="A510" s="1273" t="s">
        <v>54</v>
      </c>
      <c r="B510" s="1274"/>
      <c r="C510" s="1274"/>
      <c r="D510" s="1274"/>
      <c r="E510" s="1274"/>
      <c r="F510" s="1274"/>
      <c r="G510" s="1274"/>
      <c r="H510" s="1274"/>
      <c r="I510" s="1211"/>
      <c r="J510" s="390"/>
      <c r="K510" s="1273" t="s">
        <v>54</v>
      </c>
      <c r="L510" s="1274"/>
      <c r="M510" s="1274"/>
      <c r="N510" s="1274"/>
      <c r="O510" s="1274"/>
      <c r="P510" s="1274"/>
      <c r="Q510" s="1274"/>
      <c r="R510" s="1274"/>
      <c r="S510" s="1211"/>
    </row>
    <row r="511" spans="1:19">
      <c r="A511" s="15"/>
      <c r="B511" s="390"/>
      <c r="C511" s="390"/>
      <c r="D511" s="390"/>
      <c r="E511" s="390"/>
      <c r="F511" s="390"/>
      <c r="G511" s="390"/>
      <c r="H511" s="390"/>
      <c r="I511" s="16"/>
      <c r="J511" s="390"/>
      <c r="K511" s="15"/>
      <c r="L511" s="390"/>
      <c r="M511" s="390"/>
      <c r="N511" s="390"/>
      <c r="O511" s="390"/>
      <c r="P511" s="390"/>
      <c r="Q511" s="390"/>
      <c r="R511" s="390"/>
      <c r="S511" s="16"/>
    </row>
    <row r="512" spans="1:19">
      <c r="A512" s="17" t="s">
        <v>55</v>
      </c>
      <c r="B512" s="4"/>
      <c r="C512" s="4"/>
      <c r="D512" s="317" t="s">
        <v>425</v>
      </c>
      <c r="E512" s="390"/>
      <c r="F512" s="390"/>
      <c r="G512" s="390"/>
      <c r="H512" s="390"/>
      <c r="I512" s="16"/>
      <c r="J512" s="390"/>
      <c r="K512" s="17" t="s">
        <v>55</v>
      </c>
      <c r="L512" s="4"/>
      <c r="M512" s="4"/>
      <c r="N512" s="8"/>
      <c r="O512" s="381" t="str">
        <f>D512</f>
        <v>Burgeon IT Services Pvt.Ltd.</v>
      </c>
      <c r="P512" s="390"/>
      <c r="Q512" s="390"/>
      <c r="R512" s="390"/>
      <c r="S512" s="16"/>
    </row>
    <row r="513" spans="1:19">
      <c r="A513" s="17"/>
      <c r="B513" s="150" t="s">
        <v>426</v>
      </c>
      <c r="C513" s="4"/>
      <c r="D513" s="390"/>
      <c r="E513" s="390"/>
      <c r="F513" s="390"/>
      <c r="G513" s="390"/>
      <c r="H513" s="390"/>
      <c r="I513" s="16"/>
      <c r="J513" s="390"/>
      <c r="K513" s="17"/>
      <c r="L513" s="4"/>
      <c r="M513" s="4"/>
      <c r="N513" s="4"/>
      <c r="O513" s="390"/>
      <c r="P513" s="390"/>
      <c r="Q513" s="390"/>
      <c r="R513" s="390"/>
      <c r="S513" s="16"/>
    </row>
    <row r="514" spans="1:19">
      <c r="A514" s="17"/>
      <c r="B514" s="4"/>
      <c r="C514" s="4"/>
      <c r="D514" s="4"/>
      <c r="E514" s="4"/>
      <c r="F514" s="390"/>
      <c r="G514" s="390"/>
      <c r="H514" s="390"/>
      <c r="I514" s="16"/>
      <c r="J514" s="390"/>
      <c r="K514" s="17"/>
      <c r="L514" s="4" t="str">
        <f>B513</f>
        <v>Siri Mansion LIGB 436 Dr.A S Rao Nagar,Hyderabad</v>
      </c>
      <c r="M514" s="4"/>
      <c r="N514" s="4"/>
      <c r="O514" s="4"/>
      <c r="P514" s="390"/>
      <c r="Q514" s="390"/>
      <c r="R514" s="390"/>
      <c r="S514" s="16"/>
    </row>
    <row r="515" spans="1:19">
      <c r="A515" s="1275" t="s">
        <v>56</v>
      </c>
      <c r="B515" s="1269"/>
      <c r="C515" s="1269"/>
      <c r="D515" s="1269"/>
      <c r="E515" s="4"/>
      <c r="F515" s="390"/>
      <c r="G515" s="390"/>
      <c r="H515" s="390"/>
      <c r="I515" s="16"/>
      <c r="J515" s="390"/>
      <c r="K515" s="1275" t="s">
        <v>56</v>
      </c>
      <c r="L515" s="1269"/>
      <c r="M515" s="1269"/>
      <c r="N515" s="1269"/>
      <c r="O515" s="4"/>
      <c r="P515" s="390"/>
      <c r="Q515" s="390"/>
      <c r="R515" s="390"/>
      <c r="S515" s="16"/>
    </row>
    <row r="516" spans="1:19">
      <c r="A516" s="1275"/>
      <c r="B516" s="1269"/>
      <c r="C516" s="1269"/>
      <c r="D516" s="1269"/>
      <c r="E516" s="390" t="str">
        <f>'04-22-Master'!B28</f>
        <v>NEERUDU SAI KUMAR</v>
      </c>
      <c r="F516" s="19"/>
      <c r="G516" s="19"/>
      <c r="H516" s="19" t="str">
        <f>'04-22-Master'!E28</f>
        <v>UMA</v>
      </c>
      <c r="I516" s="16"/>
      <c r="J516" s="390"/>
      <c r="K516" s="1275"/>
      <c r="L516" s="1269"/>
      <c r="M516" s="1269"/>
      <c r="N516" s="1269"/>
      <c r="O516" s="18" t="str">
        <f>E516</f>
        <v>NEERUDU SAI KUMAR</v>
      </c>
      <c r="P516" s="19"/>
      <c r="Q516" s="19"/>
      <c r="R516" s="19" t="str">
        <f>H516</f>
        <v>UMA</v>
      </c>
      <c r="S516" s="16"/>
    </row>
    <row r="517" spans="1:19">
      <c r="A517" s="17"/>
      <c r="B517" s="4"/>
      <c r="C517" s="4"/>
      <c r="D517" s="4"/>
      <c r="E517" s="4"/>
      <c r="F517" s="390"/>
      <c r="G517" s="390"/>
      <c r="H517" s="390"/>
      <c r="I517" s="16"/>
      <c r="J517" s="390"/>
      <c r="K517" s="17"/>
      <c r="L517" s="4"/>
      <c r="M517" s="4"/>
      <c r="N517" s="4"/>
      <c r="O517" s="4"/>
      <c r="P517" s="390"/>
      <c r="Q517" s="390"/>
      <c r="R517" s="390"/>
      <c r="S517" s="16"/>
    </row>
    <row r="518" spans="1:19">
      <c r="A518" s="1268" t="s">
        <v>57</v>
      </c>
      <c r="B518" s="1265"/>
      <c r="C518" s="1265"/>
      <c r="D518" s="1265"/>
      <c r="E518" s="18" t="s">
        <v>819</v>
      </c>
      <c r="F518" s="19"/>
      <c r="G518" s="19"/>
      <c r="H518" s="19"/>
      <c r="I518" s="16"/>
      <c r="J518" s="390"/>
      <c r="K518" s="1268" t="s">
        <v>57</v>
      </c>
      <c r="L518" s="1265"/>
      <c r="M518" s="1265"/>
      <c r="N518" s="1265"/>
      <c r="O518" s="18" t="str">
        <f>E518</f>
        <v>IT SUPPORTIVE SERVICES &amp; HYDERABAD SEZ</v>
      </c>
      <c r="P518" s="19"/>
      <c r="Q518" s="19"/>
      <c r="R518" s="19"/>
      <c r="S518" s="16"/>
    </row>
    <row r="519" spans="1:19">
      <c r="A519" s="17"/>
      <c r="B519" s="4"/>
      <c r="C519" s="4"/>
      <c r="D519" s="4"/>
      <c r="E519" s="4"/>
      <c r="F519" s="390"/>
      <c r="G519" s="390"/>
      <c r="H519" s="390"/>
      <c r="I519" s="16"/>
      <c r="J519" s="390"/>
      <c r="K519" s="17"/>
      <c r="L519" s="4"/>
      <c r="M519" s="4"/>
      <c r="N519" s="4"/>
      <c r="O519" s="4"/>
      <c r="P519" s="390"/>
      <c r="Q519" s="390"/>
      <c r="R519" s="390"/>
      <c r="S519" s="16"/>
    </row>
    <row r="520" spans="1:19">
      <c r="A520" s="1268" t="s">
        <v>58</v>
      </c>
      <c r="B520" s="1265"/>
      <c r="C520" s="1265"/>
      <c r="D520" s="1265"/>
      <c r="E520" s="20">
        <f>'04-22-Master'!D10</f>
        <v>44652</v>
      </c>
      <c r="F520" s="19"/>
      <c r="G520" s="19"/>
      <c r="H520" s="19"/>
      <c r="I520" s="16"/>
      <c r="J520" s="390"/>
      <c r="K520" s="1268" t="s">
        <v>58</v>
      </c>
      <c r="L520" s="1265"/>
      <c r="M520" s="1265"/>
      <c r="N520" s="1265"/>
      <c r="O520" s="20">
        <f>E520</f>
        <v>44652</v>
      </c>
      <c r="P520" s="19"/>
      <c r="Q520" s="19"/>
      <c r="R520" s="19"/>
      <c r="S520" s="16"/>
    </row>
    <row r="521" spans="1:19">
      <c r="A521" s="17"/>
      <c r="B521" s="4"/>
      <c r="C521" s="4"/>
      <c r="D521" s="4"/>
      <c r="E521" s="4"/>
      <c r="F521" s="390"/>
      <c r="G521" s="390"/>
      <c r="H521" s="390"/>
      <c r="I521" s="16"/>
      <c r="J521" s="390"/>
      <c r="K521" s="17"/>
      <c r="L521" s="4"/>
      <c r="M521" s="4"/>
      <c r="N521" s="4"/>
      <c r="O521" s="4"/>
      <c r="P521" s="390"/>
      <c r="Q521" s="390"/>
      <c r="R521" s="390"/>
      <c r="S521" s="16"/>
    </row>
    <row r="522" spans="1:19">
      <c r="A522" s="21">
        <v>1</v>
      </c>
      <c r="B522" s="1265" t="s">
        <v>59</v>
      </c>
      <c r="C522" s="1265"/>
      <c r="D522" s="1265"/>
      <c r="E522" s="22">
        <f>'04-22-Master'!Q28</f>
        <v>30</v>
      </c>
      <c r="F522" s="19"/>
      <c r="G522" s="19"/>
      <c r="H522" s="19"/>
      <c r="I522" s="16"/>
      <c r="J522" s="390"/>
      <c r="K522" s="21">
        <v>1</v>
      </c>
      <c r="L522" s="1265" t="s">
        <v>59</v>
      </c>
      <c r="M522" s="1265"/>
      <c r="N522" s="1265"/>
      <c r="O522" s="22">
        <f>E522</f>
        <v>30</v>
      </c>
      <c r="P522" s="19"/>
      <c r="Q522" s="19"/>
      <c r="R522" s="19"/>
      <c r="S522" s="16"/>
    </row>
    <row r="523" spans="1:19">
      <c r="A523" s="21"/>
      <c r="B523" s="4"/>
      <c r="C523" s="4"/>
      <c r="D523" s="4"/>
      <c r="E523" s="4"/>
      <c r="F523" s="390"/>
      <c r="G523" s="390"/>
      <c r="H523" s="390"/>
      <c r="I523" s="16"/>
      <c r="J523" s="390"/>
      <c r="K523" s="21"/>
      <c r="L523" s="4"/>
      <c r="M523" s="4"/>
      <c r="N523" s="4"/>
      <c r="O523" s="4"/>
      <c r="P523" s="390"/>
      <c r="Q523" s="390"/>
      <c r="R523" s="390"/>
      <c r="S523" s="16"/>
    </row>
    <row r="524" spans="1:19">
      <c r="A524" s="21">
        <v>2</v>
      </c>
      <c r="B524" s="1269" t="s">
        <v>60</v>
      </c>
      <c r="C524" s="1269"/>
      <c r="D524" s="1269"/>
      <c r="E524" s="4"/>
      <c r="F524" s="390"/>
      <c r="G524" s="390"/>
      <c r="H524" s="390"/>
      <c r="I524" s="16"/>
      <c r="J524" s="390"/>
      <c r="K524" s="21">
        <v>2</v>
      </c>
      <c r="L524" s="1269" t="s">
        <v>60</v>
      </c>
      <c r="M524" s="1269"/>
      <c r="N524" s="1269"/>
      <c r="O524" s="4"/>
      <c r="P524" s="390"/>
      <c r="Q524" s="390"/>
      <c r="R524" s="390"/>
      <c r="S524" s="16"/>
    </row>
    <row r="525" spans="1:19">
      <c r="A525" s="21"/>
      <c r="B525" s="1269"/>
      <c r="C525" s="1269"/>
      <c r="D525" s="1269"/>
      <c r="E525" s="23" t="s">
        <v>37</v>
      </c>
      <c r="F525" s="19"/>
      <c r="G525" s="19"/>
      <c r="H525" s="19"/>
      <c r="I525" s="16"/>
      <c r="J525" s="390"/>
      <c r="K525" s="21"/>
      <c r="L525" s="1269"/>
      <c r="M525" s="1269"/>
      <c r="N525" s="1269"/>
      <c r="O525" s="23" t="s">
        <v>37</v>
      </c>
      <c r="P525" s="19"/>
      <c r="Q525" s="19"/>
      <c r="R525" s="19"/>
      <c r="S525" s="16"/>
    </row>
    <row r="526" spans="1:19">
      <c r="A526" s="21"/>
      <c r="B526" s="4"/>
      <c r="C526" s="4"/>
      <c r="D526" s="4"/>
      <c r="E526" s="4"/>
      <c r="F526" s="390"/>
      <c r="G526" s="390"/>
      <c r="H526" s="390"/>
      <c r="I526" s="16"/>
      <c r="J526" s="390"/>
      <c r="K526" s="21"/>
      <c r="L526" s="4"/>
      <c r="M526" s="4"/>
      <c r="N526" s="4"/>
      <c r="O526" s="4"/>
      <c r="P526" s="390"/>
      <c r="Q526" s="390"/>
      <c r="R526" s="390"/>
      <c r="S526" s="16"/>
    </row>
    <row r="527" spans="1:19">
      <c r="A527" s="21">
        <v>3</v>
      </c>
      <c r="B527" s="1265" t="s">
        <v>61</v>
      </c>
      <c r="C527" s="1265"/>
      <c r="D527" s="1265"/>
      <c r="E527" s="23" t="s">
        <v>37</v>
      </c>
      <c r="F527" s="19"/>
      <c r="G527" s="19"/>
      <c r="H527" s="19"/>
      <c r="I527" s="16"/>
      <c r="J527" s="390"/>
      <c r="K527" s="21">
        <v>3</v>
      </c>
      <c r="L527" s="1265" t="s">
        <v>61</v>
      </c>
      <c r="M527" s="1265"/>
      <c r="N527" s="1265"/>
      <c r="O527" s="18" t="str">
        <f>E527</f>
        <v>N/A</v>
      </c>
      <c r="P527" s="19"/>
      <c r="Q527" s="19"/>
      <c r="R527" s="19"/>
      <c r="S527" s="16"/>
    </row>
    <row r="528" spans="1:19">
      <c r="A528" s="21"/>
      <c r="B528" s="4"/>
      <c r="C528" s="4"/>
      <c r="D528" s="4"/>
      <c r="E528" s="4"/>
      <c r="F528" s="390"/>
      <c r="G528" s="390"/>
      <c r="H528" s="390"/>
      <c r="I528" s="16"/>
      <c r="J528" s="390"/>
      <c r="K528" s="21"/>
      <c r="L528" s="4"/>
      <c r="M528" s="4"/>
      <c r="N528" s="4"/>
      <c r="O528" s="4"/>
      <c r="P528" s="390"/>
      <c r="Q528" s="390"/>
      <c r="R528" s="390"/>
      <c r="S528" s="16"/>
    </row>
    <row r="529" spans="1:19">
      <c r="A529" s="21">
        <v>4</v>
      </c>
      <c r="B529" s="1265" t="s">
        <v>62</v>
      </c>
      <c r="C529" s="1265"/>
      <c r="D529" s="1265"/>
      <c r="E529" s="23" t="s">
        <v>63</v>
      </c>
      <c r="F529" s="19"/>
      <c r="G529" s="19"/>
      <c r="H529" s="19"/>
      <c r="I529" s="16"/>
      <c r="J529" s="390"/>
      <c r="K529" s="21">
        <v>4</v>
      </c>
      <c r="L529" s="1265" t="s">
        <v>62</v>
      </c>
      <c r="M529" s="1265"/>
      <c r="N529" s="1265"/>
      <c r="O529" s="23" t="s">
        <v>63</v>
      </c>
      <c r="P529" s="19"/>
      <c r="Q529" s="19"/>
      <c r="R529" s="19"/>
      <c r="S529" s="16"/>
    </row>
    <row r="530" spans="1:19">
      <c r="A530" s="21"/>
      <c r="B530" s="4"/>
      <c r="C530" s="4"/>
      <c r="D530" s="4"/>
      <c r="E530" s="4"/>
      <c r="F530" s="390"/>
      <c r="G530" s="390"/>
      <c r="H530" s="390"/>
      <c r="I530" s="16"/>
      <c r="J530" s="390"/>
      <c r="K530" s="21"/>
      <c r="L530" s="4"/>
      <c r="M530" s="4"/>
      <c r="N530" s="4"/>
      <c r="O530" s="4"/>
      <c r="P530" s="390"/>
      <c r="Q530" s="390"/>
      <c r="R530" s="390"/>
      <c r="S530" s="16"/>
    </row>
    <row r="531" spans="1:19">
      <c r="A531" s="21">
        <v>5</v>
      </c>
      <c r="B531" s="1265" t="s">
        <v>64</v>
      </c>
      <c r="C531" s="1265"/>
      <c r="D531" s="1265"/>
      <c r="E531" s="295">
        <f>'04-22-Master'!AG28</f>
        <v>43276.002619999992</v>
      </c>
      <c r="F531" s="390"/>
      <c r="G531" s="390"/>
      <c r="H531" s="390"/>
      <c r="I531" s="16"/>
      <c r="J531" s="390"/>
      <c r="K531" s="21">
        <v>5</v>
      </c>
      <c r="L531" s="1265" t="s">
        <v>64</v>
      </c>
      <c r="M531" s="1265"/>
      <c r="N531" s="1265"/>
      <c r="O531" s="295">
        <f>E531</f>
        <v>43276.002619999992</v>
      </c>
      <c r="P531" s="390"/>
      <c r="Q531" s="390"/>
      <c r="R531" s="390"/>
      <c r="S531" s="16"/>
    </row>
    <row r="532" spans="1:19">
      <c r="A532" s="21"/>
      <c r="B532" s="4"/>
      <c r="C532" s="4"/>
      <c r="D532" s="296" t="s">
        <v>65</v>
      </c>
      <c r="E532" s="296" t="s">
        <v>31</v>
      </c>
      <c r="F532" s="296" t="s">
        <v>33</v>
      </c>
      <c r="G532" s="296" t="s">
        <v>34</v>
      </c>
      <c r="H532" s="296" t="s">
        <v>399</v>
      </c>
      <c r="I532" s="294" t="s">
        <v>400</v>
      </c>
      <c r="J532" s="390"/>
      <c r="K532" s="21"/>
      <c r="L532" s="4"/>
      <c r="M532" s="4"/>
      <c r="N532" s="296" t="s">
        <v>65</v>
      </c>
      <c r="O532" s="296" t="s">
        <v>31</v>
      </c>
      <c r="P532" s="296" t="s">
        <v>33</v>
      </c>
      <c r="Q532" s="296" t="s">
        <v>34</v>
      </c>
      <c r="R532" s="296" t="s">
        <v>399</v>
      </c>
      <c r="S532" s="294" t="s">
        <v>400</v>
      </c>
    </row>
    <row r="533" spans="1:19">
      <c r="A533" s="21">
        <v>6</v>
      </c>
      <c r="B533" s="831" t="s">
        <v>66</v>
      </c>
      <c r="C533" s="831"/>
      <c r="D533" s="297">
        <f>'04-22-Master'!AI28</f>
        <v>1800</v>
      </c>
      <c r="E533" s="297">
        <f>'04-22-Master'!AH577</f>
        <v>0</v>
      </c>
      <c r="F533" s="298">
        <f>'04-22-Master'!AJ28</f>
        <v>200</v>
      </c>
      <c r="G533" s="297">
        <f>'04-22-Master'!AK28</f>
        <v>0</v>
      </c>
      <c r="H533" s="298">
        <f>'04-22-Master'!AL28</f>
        <v>283</v>
      </c>
      <c r="I533" s="298">
        <f>D533+E533+F533+G533+H533</f>
        <v>2283</v>
      </c>
      <c r="J533" s="390"/>
      <c r="K533" s="21">
        <v>6</v>
      </c>
      <c r="L533" s="831" t="s">
        <v>66</v>
      </c>
      <c r="M533" s="831"/>
      <c r="N533" s="297">
        <f t="shared" ref="N533" si="62">D533</f>
        <v>1800</v>
      </c>
      <c r="O533" s="297">
        <f t="shared" ref="O533" si="63">E533</f>
        <v>0</v>
      </c>
      <c r="P533" s="298">
        <f t="shared" ref="P533" si="64">F533</f>
        <v>200</v>
      </c>
      <c r="Q533" s="297">
        <f t="shared" ref="Q533" si="65">G533</f>
        <v>0</v>
      </c>
      <c r="R533" s="298">
        <f t="shared" ref="R533" si="66">H533</f>
        <v>283</v>
      </c>
      <c r="S533" s="298">
        <f t="shared" ref="S533" si="67">I533</f>
        <v>2283</v>
      </c>
    </row>
    <row r="534" spans="1:19">
      <c r="A534" s="21"/>
      <c r="B534" s="4"/>
      <c r="C534" s="4"/>
      <c r="D534" s="4"/>
      <c r="E534" s="4"/>
      <c r="F534" s="390"/>
      <c r="G534" s="390"/>
      <c r="H534" s="390"/>
      <c r="I534" s="16"/>
      <c r="J534" s="390"/>
      <c r="K534" s="21"/>
      <c r="L534" s="4"/>
      <c r="M534" s="4"/>
      <c r="N534" s="4"/>
      <c r="O534" s="4"/>
      <c r="P534" s="390"/>
      <c r="Q534" s="390"/>
      <c r="R534" s="390"/>
      <c r="S534" s="16"/>
    </row>
    <row r="535" spans="1:19">
      <c r="A535" s="21">
        <v>7</v>
      </c>
      <c r="B535" s="1265" t="s">
        <v>67</v>
      </c>
      <c r="C535" s="1265"/>
      <c r="D535" s="1265"/>
      <c r="E535" s="24">
        <f>E531-I533</f>
        <v>40993.002619999992</v>
      </c>
      <c r="F535" s="19"/>
      <c r="G535" s="19"/>
      <c r="H535" s="19"/>
      <c r="I535" s="16"/>
      <c r="J535" s="390"/>
      <c r="K535" s="21">
        <v>7</v>
      </c>
      <c r="L535" s="1265" t="s">
        <v>67</v>
      </c>
      <c r="M535" s="1265"/>
      <c r="N535" s="1265"/>
      <c r="O535" s="24">
        <f>E535</f>
        <v>40993.002619999992</v>
      </c>
      <c r="P535" s="19"/>
      <c r="Q535" s="19"/>
      <c r="R535" s="19"/>
      <c r="S535" s="16"/>
    </row>
    <row r="536" spans="1:19">
      <c r="A536" s="15"/>
      <c r="B536" s="390"/>
      <c r="C536" s="390"/>
      <c r="D536" s="390"/>
      <c r="E536" s="390"/>
      <c r="F536" s="390"/>
      <c r="G536" s="390"/>
      <c r="H536" s="390"/>
      <c r="I536" s="16"/>
      <c r="J536" s="390"/>
      <c r="K536" s="15"/>
      <c r="L536" s="390"/>
      <c r="M536" s="390"/>
      <c r="N536" s="390"/>
      <c r="O536" s="390"/>
      <c r="P536" s="390"/>
      <c r="Q536" s="390"/>
      <c r="R536" s="390"/>
      <c r="S536" s="16"/>
    </row>
    <row r="537" spans="1:19">
      <c r="A537" s="15"/>
      <c r="B537" s="390"/>
      <c r="C537" s="390"/>
      <c r="D537" s="390"/>
      <c r="E537" s="390"/>
      <c r="F537" s="390"/>
      <c r="G537" s="390"/>
      <c r="H537" s="390"/>
      <c r="I537" s="16"/>
      <c r="J537" s="390"/>
      <c r="K537" s="15"/>
      <c r="L537" s="390"/>
      <c r="M537" s="390"/>
      <c r="N537" s="390"/>
      <c r="O537" s="390"/>
      <c r="P537" s="390"/>
      <c r="Q537" s="390"/>
      <c r="R537" s="390"/>
      <c r="S537" s="16"/>
    </row>
    <row r="538" spans="1:19" ht="15.75" thickBot="1">
      <c r="A538" s="15"/>
      <c r="B538" s="390"/>
      <c r="C538" s="390"/>
      <c r="D538" s="390"/>
      <c r="E538" s="390"/>
      <c r="F538" s="25"/>
      <c r="G538" s="25"/>
      <c r="H538" s="25"/>
      <c r="I538" s="26"/>
      <c r="J538" s="390"/>
      <c r="K538" s="15"/>
      <c r="L538" s="390"/>
      <c r="M538" s="390"/>
      <c r="N538" s="390"/>
      <c r="O538" s="390"/>
      <c r="P538" s="25"/>
      <c r="Q538" s="25"/>
      <c r="R538" s="25"/>
      <c r="S538" s="26"/>
    </row>
    <row r="539" spans="1:19" ht="15.75" thickBot="1">
      <c r="A539" s="27"/>
      <c r="B539" s="25"/>
      <c r="C539" s="25"/>
      <c r="D539" s="25"/>
      <c r="E539" s="25"/>
      <c r="F539" s="1266" t="s">
        <v>68</v>
      </c>
      <c r="G539" s="1266"/>
      <c r="H539" s="1266"/>
      <c r="I539" s="1267"/>
      <c r="J539" s="390"/>
      <c r="K539" s="27"/>
      <c r="L539" s="25"/>
      <c r="M539" s="25"/>
      <c r="N539" s="25"/>
      <c r="O539" s="25"/>
      <c r="P539" s="1266" t="s">
        <v>68</v>
      </c>
      <c r="Q539" s="1266"/>
      <c r="R539" s="1266"/>
      <c r="S539" s="1267"/>
    </row>
    <row r="540" spans="1:19">
      <c r="A540" s="390"/>
      <c r="B540" s="390"/>
      <c r="C540" s="390"/>
      <c r="D540" s="390"/>
      <c r="E540" s="390"/>
      <c r="F540" s="390"/>
      <c r="G540" s="390"/>
      <c r="H540" s="390"/>
      <c r="I540" s="390"/>
      <c r="J540" s="390"/>
      <c r="K540" s="390"/>
      <c r="L540" s="390"/>
      <c r="M540" s="390"/>
      <c r="N540" s="390"/>
      <c r="O540" s="390"/>
      <c r="P540" s="390"/>
      <c r="Q540" s="390"/>
      <c r="R540" s="390"/>
      <c r="S540" s="390"/>
    </row>
    <row r="541" spans="1:19">
      <c r="A541" s="390"/>
      <c r="B541" s="390"/>
      <c r="C541" s="390"/>
      <c r="D541" s="390"/>
      <c r="E541" s="390"/>
      <c r="F541" s="390"/>
      <c r="G541" s="390"/>
      <c r="H541" s="390"/>
      <c r="I541" s="390"/>
      <c r="J541" s="390"/>
      <c r="K541" s="390"/>
      <c r="L541" s="390"/>
      <c r="M541" s="390"/>
      <c r="N541" s="390"/>
      <c r="O541" s="390"/>
      <c r="P541" s="390"/>
      <c r="Q541" s="390"/>
      <c r="R541" s="390"/>
      <c r="S541" s="390"/>
    </row>
    <row r="542" spans="1:19">
      <c r="A542" s="390"/>
      <c r="B542" s="390"/>
      <c r="C542" s="390"/>
      <c r="D542" s="390"/>
      <c r="E542" s="390"/>
      <c r="F542" s="390"/>
      <c r="G542" s="390"/>
      <c r="H542" s="390"/>
      <c r="I542" s="390"/>
      <c r="J542" s="390"/>
      <c r="K542" s="390"/>
      <c r="L542" s="390"/>
      <c r="M542" s="390"/>
      <c r="N542" s="390"/>
      <c r="O542" s="390"/>
      <c r="P542" s="390"/>
      <c r="Q542" s="390"/>
      <c r="R542" s="390"/>
      <c r="S542" s="390"/>
    </row>
    <row r="543" spans="1:19" ht="15.75" thickBot="1">
      <c r="A543" s="390"/>
      <c r="B543" s="390"/>
      <c r="C543" s="390"/>
      <c r="D543" s="390"/>
      <c r="E543" s="390"/>
      <c r="F543" s="390"/>
      <c r="G543" s="390"/>
      <c r="H543" s="390"/>
      <c r="I543" s="390"/>
      <c r="J543" s="390"/>
      <c r="K543" s="390"/>
      <c r="L543" s="390"/>
      <c r="M543" s="390"/>
      <c r="N543" s="390"/>
      <c r="O543" s="390"/>
      <c r="P543" s="390"/>
      <c r="Q543" s="390"/>
      <c r="R543" s="390"/>
      <c r="S543" s="390"/>
    </row>
    <row r="544" spans="1:19" ht="26.25">
      <c r="A544" s="1270" t="s">
        <v>53</v>
      </c>
      <c r="B544" s="1271"/>
      <c r="C544" s="1271"/>
      <c r="D544" s="1271"/>
      <c r="E544" s="1271"/>
      <c r="F544" s="1271"/>
      <c r="G544" s="1271"/>
      <c r="H544" s="1271"/>
      <c r="I544" s="1272"/>
      <c r="J544" s="390"/>
      <c r="K544" s="1270" t="s">
        <v>53</v>
      </c>
      <c r="L544" s="1271"/>
      <c r="M544" s="1271"/>
      <c r="N544" s="1271"/>
      <c r="O544" s="1271"/>
      <c r="P544" s="1271"/>
      <c r="Q544" s="1271"/>
      <c r="R544" s="1271"/>
      <c r="S544" s="1272"/>
    </row>
    <row r="545" spans="1:19">
      <c r="A545" s="1273" t="s">
        <v>54</v>
      </c>
      <c r="B545" s="1274"/>
      <c r="C545" s="1274"/>
      <c r="D545" s="1274"/>
      <c r="E545" s="1274"/>
      <c r="F545" s="1274"/>
      <c r="G545" s="1274"/>
      <c r="H545" s="1274"/>
      <c r="I545" s="1211"/>
      <c r="J545" s="390"/>
      <c r="K545" s="1273" t="s">
        <v>54</v>
      </c>
      <c r="L545" s="1274"/>
      <c r="M545" s="1274"/>
      <c r="N545" s="1274"/>
      <c r="O545" s="1274"/>
      <c r="P545" s="1274"/>
      <c r="Q545" s="1274"/>
      <c r="R545" s="1274"/>
      <c r="S545" s="1211"/>
    </row>
    <row r="546" spans="1:19">
      <c r="A546" s="15"/>
      <c r="B546" s="390"/>
      <c r="C546" s="390"/>
      <c r="D546" s="390"/>
      <c r="E546" s="390"/>
      <c r="F546" s="390"/>
      <c r="G546" s="390"/>
      <c r="H546" s="390"/>
      <c r="I546" s="16"/>
      <c r="J546" s="390"/>
      <c r="K546" s="15"/>
      <c r="L546" s="390"/>
      <c r="M546" s="390"/>
      <c r="N546" s="390"/>
      <c r="O546" s="390"/>
      <c r="P546" s="390"/>
      <c r="Q546" s="390"/>
      <c r="R546" s="390"/>
      <c r="S546" s="16"/>
    </row>
    <row r="547" spans="1:19">
      <c r="A547" s="17" t="s">
        <v>55</v>
      </c>
      <c r="B547" s="4"/>
      <c r="C547" s="4"/>
      <c r="D547" s="317" t="s">
        <v>425</v>
      </c>
      <c r="E547" s="390"/>
      <c r="F547" s="390"/>
      <c r="G547" s="390"/>
      <c r="H547" s="390"/>
      <c r="I547" s="16"/>
      <c r="J547" s="390"/>
      <c r="K547" s="17" t="s">
        <v>55</v>
      </c>
      <c r="L547" s="4"/>
      <c r="M547" s="4"/>
      <c r="N547" s="8"/>
      <c r="O547" s="381" t="str">
        <f>D547</f>
        <v>Burgeon IT Services Pvt.Ltd.</v>
      </c>
      <c r="P547" s="390"/>
      <c r="Q547" s="390"/>
      <c r="R547" s="390"/>
      <c r="S547" s="16"/>
    </row>
    <row r="548" spans="1:19">
      <c r="A548" s="17"/>
      <c r="B548" s="150" t="s">
        <v>426</v>
      </c>
      <c r="C548" s="4"/>
      <c r="D548" s="390"/>
      <c r="E548" s="390"/>
      <c r="F548" s="390"/>
      <c r="G548" s="390"/>
      <c r="H548" s="390"/>
      <c r="I548" s="16"/>
      <c r="J548" s="390"/>
      <c r="K548" s="17"/>
      <c r="L548" s="4"/>
      <c r="M548" s="4"/>
      <c r="N548" s="4"/>
      <c r="O548" s="390"/>
      <c r="P548" s="390"/>
      <c r="Q548" s="390"/>
      <c r="R548" s="390"/>
      <c r="S548" s="16"/>
    </row>
    <row r="549" spans="1:19">
      <c r="A549" s="17"/>
      <c r="B549" s="4"/>
      <c r="C549" s="4"/>
      <c r="D549" s="4"/>
      <c r="E549" s="4"/>
      <c r="F549" s="390"/>
      <c r="G549" s="390"/>
      <c r="H549" s="390"/>
      <c r="I549" s="16"/>
      <c r="J549" s="390"/>
      <c r="K549" s="17"/>
      <c r="L549" s="4" t="str">
        <f>B548</f>
        <v>Siri Mansion LIGB 436 Dr.A S Rao Nagar,Hyderabad</v>
      </c>
      <c r="M549" s="4"/>
      <c r="N549" s="4"/>
      <c r="O549" s="4"/>
      <c r="P549" s="390"/>
      <c r="Q549" s="390"/>
      <c r="R549" s="390"/>
      <c r="S549" s="16"/>
    </row>
    <row r="550" spans="1:19">
      <c r="A550" s="1275" t="s">
        <v>56</v>
      </c>
      <c r="B550" s="1269"/>
      <c r="C550" s="1269"/>
      <c r="D550" s="1269"/>
      <c r="E550" s="4"/>
      <c r="F550" s="390"/>
      <c r="G550" s="390"/>
      <c r="H550" s="390"/>
      <c r="I550" s="16"/>
      <c r="J550" s="390"/>
      <c r="K550" s="1275" t="s">
        <v>56</v>
      </c>
      <c r="L550" s="1269"/>
      <c r="M550" s="1269"/>
      <c r="N550" s="1269"/>
      <c r="O550" s="4"/>
      <c r="P550" s="390"/>
      <c r="Q550" s="390"/>
      <c r="R550" s="390"/>
      <c r="S550" s="16"/>
    </row>
    <row r="551" spans="1:19">
      <c r="A551" s="1275"/>
      <c r="B551" s="1269"/>
      <c r="C551" s="1269"/>
      <c r="D551" s="1269"/>
      <c r="E551" s="390" t="str">
        <f>'04-22-Master'!B29</f>
        <v>Ramineni Abhilash</v>
      </c>
      <c r="F551" s="19"/>
      <c r="G551" s="19"/>
      <c r="H551" s="19" t="str">
        <f>'04-22-Master'!E29</f>
        <v>Bhulokarao</v>
      </c>
      <c r="I551" s="16"/>
      <c r="J551" s="390"/>
      <c r="K551" s="1275"/>
      <c r="L551" s="1269"/>
      <c r="M551" s="1269"/>
      <c r="N551" s="1269"/>
      <c r="O551" s="18" t="str">
        <f>E551</f>
        <v>Ramineni Abhilash</v>
      </c>
      <c r="P551" s="19"/>
      <c r="Q551" s="19"/>
      <c r="R551" s="19" t="str">
        <f>H551</f>
        <v>Bhulokarao</v>
      </c>
      <c r="S551" s="16"/>
    </row>
    <row r="552" spans="1:19">
      <c r="A552" s="17"/>
      <c r="B552" s="4"/>
      <c r="C552" s="4"/>
      <c r="D552" s="4"/>
      <c r="E552" s="4"/>
      <c r="F552" s="390"/>
      <c r="G552" s="390"/>
      <c r="H552" s="390"/>
      <c r="I552" s="16"/>
      <c r="J552" s="390"/>
      <c r="K552" s="17"/>
      <c r="L552" s="4"/>
      <c r="M552" s="4"/>
      <c r="N552" s="4"/>
      <c r="O552" s="4"/>
      <c r="P552" s="390"/>
      <c r="Q552" s="390"/>
      <c r="R552" s="390"/>
      <c r="S552" s="16"/>
    </row>
    <row r="553" spans="1:19">
      <c r="A553" s="1268" t="s">
        <v>57</v>
      </c>
      <c r="B553" s="1265"/>
      <c r="C553" s="1265"/>
      <c r="D553" s="1265"/>
      <c r="E553" s="18" t="s">
        <v>819</v>
      </c>
      <c r="F553" s="19"/>
      <c r="G553" s="19"/>
      <c r="H553" s="19"/>
      <c r="I553" s="16"/>
      <c r="J553" s="390"/>
      <c r="K553" s="1268" t="s">
        <v>57</v>
      </c>
      <c r="L553" s="1265"/>
      <c r="M553" s="1265"/>
      <c r="N553" s="1265"/>
      <c r="O553" s="18" t="str">
        <f>E553</f>
        <v>IT SUPPORTIVE SERVICES &amp; HYDERABAD SEZ</v>
      </c>
      <c r="P553" s="19"/>
      <c r="Q553" s="19"/>
      <c r="R553" s="19"/>
      <c r="S553" s="16"/>
    </row>
    <row r="554" spans="1:19">
      <c r="A554" s="17"/>
      <c r="B554" s="4"/>
      <c r="C554" s="4"/>
      <c r="D554" s="4"/>
      <c r="E554" s="4"/>
      <c r="F554" s="390"/>
      <c r="G554" s="390"/>
      <c r="H554" s="390"/>
      <c r="I554" s="16"/>
      <c r="J554" s="390"/>
      <c r="K554" s="17"/>
      <c r="L554" s="4"/>
      <c r="M554" s="4"/>
      <c r="N554" s="4"/>
      <c r="O554" s="4"/>
      <c r="P554" s="390"/>
      <c r="Q554" s="390"/>
      <c r="R554" s="390"/>
      <c r="S554" s="16"/>
    </row>
    <row r="555" spans="1:19">
      <c r="A555" s="1268" t="s">
        <v>58</v>
      </c>
      <c r="B555" s="1265"/>
      <c r="C555" s="1265"/>
      <c r="D555" s="1265"/>
      <c r="E555" s="20">
        <f>'04-22-Master'!D10</f>
        <v>44652</v>
      </c>
      <c r="F555" s="19"/>
      <c r="G555" s="19"/>
      <c r="H555" s="19"/>
      <c r="I555" s="16"/>
      <c r="J555" s="390"/>
      <c r="K555" s="1268" t="s">
        <v>58</v>
      </c>
      <c r="L555" s="1265"/>
      <c r="M555" s="1265"/>
      <c r="N555" s="1265"/>
      <c r="O555" s="20">
        <f>E555</f>
        <v>44652</v>
      </c>
      <c r="P555" s="19"/>
      <c r="Q555" s="19"/>
      <c r="R555" s="19"/>
      <c r="S555" s="16"/>
    </row>
    <row r="556" spans="1:19">
      <c r="A556" s="17"/>
      <c r="B556" s="4"/>
      <c r="C556" s="4"/>
      <c r="D556" s="4"/>
      <c r="E556" s="4"/>
      <c r="F556" s="390"/>
      <c r="G556" s="390"/>
      <c r="H556" s="390"/>
      <c r="I556" s="16"/>
      <c r="J556" s="390"/>
      <c r="K556" s="17"/>
      <c r="L556" s="4"/>
      <c r="M556" s="4"/>
      <c r="N556" s="4"/>
      <c r="O556" s="4"/>
      <c r="P556" s="390"/>
      <c r="Q556" s="390"/>
      <c r="R556" s="390"/>
      <c r="S556" s="16"/>
    </row>
    <row r="557" spans="1:19">
      <c r="A557" s="21">
        <v>1</v>
      </c>
      <c r="B557" s="1265" t="s">
        <v>59</v>
      </c>
      <c r="C557" s="1265"/>
      <c r="D557" s="1265"/>
      <c r="E557" s="22">
        <f>'04-22-Master'!Q29</f>
        <v>30</v>
      </c>
      <c r="F557" s="19"/>
      <c r="G557" s="19"/>
      <c r="H557" s="19"/>
      <c r="I557" s="16"/>
      <c r="J557" s="390"/>
      <c r="K557" s="21">
        <v>1</v>
      </c>
      <c r="L557" s="1265" t="s">
        <v>59</v>
      </c>
      <c r="M557" s="1265"/>
      <c r="N557" s="1265"/>
      <c r="O557" s="22">
        <f>E557</f>
        <v>30</v>
      </c>
      <c r="P557" s="19"/>
      <c r="Q557" s="19"/>
      <c r="R557" s="19"/>
      <c r="S557" s="16"/>
    </row>
    <row r="558" spans="1:19">
      <c r="A558" s="21"/>
      <c r="B558" s="4"/>
      <c r="C558" s="4"/>
      <c r="D558" s="4"/>
      <c r="E558" s="4"/>
      <c r="F558" s="390"/>
      <c r="G558" s="390"/>
      <c r="H558" s="390"/>
      <c r="I558" s="16"/>
      <c r="J558" s="390"/>
      <c r="K558" s="21"/>
      <c r="L558" s="4"/>
      <c r="M558" s="4"/>
      <c r="N558" s="4"/>
      <c r="O558" s="4"/>
      <c r="P558" s="390"/>
      <c r="Q558" s="390"/>
      <c r="R558" s="390"/>
      <c r="S558" s="16"/>
    </row>
    <row r="559" spans="1:19">
      <c r="A559" s="21">
        <v>2</v>
      </c>
      <c r="B559" s="1269" t="s">
        <v>60</v>
      </c>
      <c r="C559" s="1269"/>
      <c r="D559" s="1269"/>
      <c r="E559" s="4"/>
      <c r="F559" s="390"/>
      <c r="G559" s="390"/>
      <c r="H559" s="390"/>
      <c r="I559" s="16"/>
      <c r="J559" s="390"/>
      <c r="K559" s="21">
        <v>2</v>
      </c>
      <c r="L559" s="1269" t="s">
        <v>60</v>
      </c>
      <c r="M559" s="1269"/>
      <c r="N559" s="1269"/>
      <c r="O559" s="4"/>
      <c r="P559" s="390"/>
      <c r="Q559" s="390"/>
      <c r="R559" s="390"/>
      <c r="S559" s="16"/>
    </row>
    <row r="560" spans="1:19">
      <c r="A560" s="21"/>
      <c r="B560" s="1269"/>
      <c r="C560" s="1269"/>
      <c r="D560" s="1269"/>
      <c r="E560" s="23" t="s">
        <v>37</v>
      </c>
      <c r="F560" s="19"/>
      <c r="G560" s="19"/>
      <c r="H560" s="19"/>
      <c r="I560" s="16"/>
      <c r="J560" s="390"/>
      <c r="K560" s="21"/>
      <c r="L560" s="1269"/>
      <c r="M560" s="1269"/>
      <c r="N560" s="1269"/>
      <c r="O560" s="23" t="s">
        <v>37</v>
      </c>
      <c r="P560" s="19"/>
      <c r="Q560" s="19"/>
      <c r="R560" s="19"/>
      <c r="S560" s="16"/>
    </row>
    <row r="561" spans="1:19">
      <c r="A561" s="21"/>
      <c r="B561" s="4"/>
      <c r="C561" s="4"/>
      <c r="D561" s="4"/>
      <c r="E561" s="4"/>
      <c r="F561" s="390"/>
      <c r="G561" s="390"/>
      <c r="H561" s="390"/>
      <c r="I561" s="16"/>
      <c r="J561" s="390"/>
      <c r="K561" s="21"/>
      <c r="L561" s="4"/>
      <c r="M561" s="4"/>
      <c r="N561" s="4"/>
      <c r="O561" s="4"/>
      <c r="P561" s="390"/>
      <c r="Q561" s="390"/>
      <c r="R561" s="390"/>
      <c r="S561" s="16"/>
    </row>
    <row r="562" spans="1:19">
      <c r="A562" s="21">
        <v>3</v>
      </c>
      <c r="B562" s="1265" t="s">
        <v>61</v>
      </c>
      <c r="C562" s="1265"/>
      <c r="D562" s="1265"/>
      <c r="E562" s="23" t="s">
        <v>37</v>
      </c>
      <c r="F562" s="19"/>
      <c r="G562" s="19"/>
      <c r="H562" s="19"/>
      <c r="I562" s="16"/>
      <c r="J562" s="390"/>
      <c r="K562" s="21">
        <v>3</v>
      </c>
      <c r="L562" s="1265" t="s">
        <v>61</v>
      </c>
      <c r="M562" s="1265"/>
      <c r="N562" s="1265"/>
      <c r="O562" s="18" t="str">
        <f>E562</f>
        <v>N/A</v>
      </c>
      <c r="P562" s="19"/>
      <c r="Q562" s="19"/>
      <c r="R562" s="19"/>
      <c r="S562" s="16"/>
    </row>
    <row r="563" spans="1:19">
      <c r="A563" s="21"/>
      <c r="B563" s="4"/>
      <c r="C563" s="4"/>
      <c r="D563" s="4"/>
      <c r="E563" s="4"/>
      <c r="F563" s="390"/>
      <c r="G563" s="390"/>
      <c r="H563" s="390"/>
      <c r="I563" s="16"/>
      <c r="J563" s="390"/>
      <c r="K563" s="21"/>
      <c r="L563" s="4"/>
      <c r="M563" s="4"/>
      <c r="N563" s="4"/>
      <c r="O563" s="4"/>
      <c r="P563" s="390"/>
      <c r="Q563" s="390"/>
      <c r="R563" s="390"/>
      <c r="S563" s="16"/>
    </row>
    <row r="564" spans="1:19">
      <c r="A564" s="21">
        <v>4</v>
      </c>
      <c r="B564" s="1265" t="s">
        <v>62</v>
      </c>
      <c r="C564" s="1265"/>
      <c r="D564" s="1265"/>
      <c r="E564" s="23" t="s">
        <v>63</v>
      </c>
      <c r="F564" s="19"/>
      <c r="G564" s="19"/>
      <c r="H564" s="19"/>
      <c r="I564" s="16"/>
      <c r="J564" s="390"/>
      <c r="K564" s="21">
        <v>4</v>
      </c>
      <c r="L564" s="1265" t="s">
        <v>62</v>
      </c>
      <c r="M564" s="1265"/>
      <c r="N564" s="1265"/>
      <c r="O564" s="23" t="s">
        <v>63</v>
      </c>
      <c r="P564" s="19"/>
      <c r="Q564" s="19"/>
      <c r="R564" s="19"/>
      <c r="S564" s="16"/>
    </row>
    <row r="565" spans="1:19">
      <c r="A565" s="21"/>
      <c r="B565" s="4"/>
      <c r="C565" s="4"/>
      <c r="D565" s="4"/>
      <c r="E565" s="4"/>
      <c r="F565" s="390"/>
      <c r="G565" s="390"/>
      <c r="H565" s="390"/>
      <c r="I565" s="16"/>
      <c r="J565" s="390"/>
      <c r="K565" s="21"/>
      <c r="L565" s="4"/>
      <c r="M565" s="4"/>
      <c r="N565" s="4"/>
      <c r="O565" s="4"/>
      <c r="P565" s="390"/>
      <c r="Q565" s="390"/>
      <c r="R565" s="390"/>
      <c r="S565" s="16"/>
    </row>
    <row r="566" spans="1:19">
      <c r="A566" s="21">
        <v>5</v>
      </c>
      <c r="B566" s="1265" t="s">
        <v>64</v>
      </c>
      <c r="C566" s="1265"/>
      <c r="D566" s="1265"/>
      <c r="E566" s="295">
        <f>'04-22-Master'!AG29</f>
        <v>43276.002619999992</v>
      </c>
      <c r="F566" s="390"/>
      <c r="G566" s="390"/>
      <c r="H566" s="390"/>
      <c r="I566" s="16"/>
      <c r="J566" s="390"/>
      <c r="K566" s="21">
        <v>5</v>
      </c>
      <c r="L566" s="1265" t="s">
        <v>64</v>
      </c>
      <c r="M566" s="1265"/>
      <c r="N566" s="1265"/>
      <c r="O566" s="295">
        <f>E566</f>
        <v>43276.002619999992</v>
      </c>
      <c r="P566" s="390"/>
      <c r="Q566" s="390"/>
      <c r="R566" s="390"/>
      <c r="S566" s="16"/>
    </row>
    <row r="567" spans="1:19">
      <c r="A567" s="21"/>
      <c r="B567" s="4"/>
      <c r="C567" s="4"/>
      <c r="D567" s="296" t="s">
        <v>65</v>
      </c>
      <c r="E567" s="296" t="s">
        <v>31</v>
      </c>
      <c r="F567" s="296" t="s">
        <v>33</v>
      </c>
      <c r="G567" s="296" t="s">
        <v>34</v>
      </c>
      <c r="H567" s="296" t="s">
        <v>399</v>
      </c>
      <c r="I567" s="294" t="s">
        <v>400</v>
      </c>
      <c r="J567" s="390"/>
      <c r="K567" s="21"/>
      <c r="L567" s="4"/>
      <c r="M567" s="4"/>
      <c r="N567" s="296" t="s">
        <v>65</v>
      </c>
      <c r="O567" s="296" t="s">
        <v>31</v>
      </c>
      <c r="P567" s="296" t="s">
        <v>33</v>
      </c>
      <c r="Q567" s="296" t="s">
        <v>34</v>
      </c>
      <c r="R567" s="296" t="s">
        <v>399</v>
      </c>
      <c r="S567" s="294" t="s">
        <v>400</v>
      </c>
    </row>
    <row r="568" spans="1:19">
      <c r="A568" s="21">
        <v>6</v>
      </c>
      <c r="B568" s="831" t="s">
        <v>66</v>
      </c>
      <c r="C568" s="831"/>
      <c r="D568" s="297">
        <f>'04-22-Master'!AI29</f>
        <v>1800</v>
      </c>
      <c r="E568" s="297">
        <f>'04-22-Master'!AH612</f>
        <v>0</v>
      </c>
      <c r="F568" s="298">
        <f>'04-22-Master'!AJ29</f>
        <v>200</v>
      </c>
      <c r="G568" s="297">
        <f>'04-22-Master'!AK29</f>
        <v>0</v>
      </c>
      <c r="H568" s="298">
        <f>'04-22-Master'!AL29</f>
        <v>283</v>
      </c>
      <c r="I568" s="298">
        <f>D568+E568+F568+G568+H568</f>
        <v>2283</v>
      </c>
      <c r="J568" s="390"/>
      <c r="K568" s="21">
        <v>6</v>
      </c>
      <c r="L568" s="831" t="s">
        <v>66</v>
      </c>
      <c r="M568" s="831"/>
      <c r="N568" s="297">
        <f t="shared" ref="N568" si="68">D568</f>
        <v>1800</v>
      </c>
      <c r="O568" s="297">
        <f t="shared" ref="O568" si="69">E568</f>
        <v>0</v>
      </c>
      <c r="P568" s="298">
        <f t="shared" ref="P568" si="70">F568</f>
        <v>200</v>
      </c>
      <c r="Q568" s="297">
        <f t="shared" ref="Q568" si="71">G568</f>
        <v>0</v>
      </c>
      <c r="R568" s="298">
        <f t="shared" ref="R568" si="72">H568</f>
        <v>283</v>
      </c>
      <c r="S568" s="298">
        <f t="shared" ref="S568" si="73">I568</f>
        <v>2283</v>
      </c>
    </row>
    <row r="569" spans="1:19">
      <c r="A569" s="21"/>
      <c r="B569" s="4"/>
      <c r="C569" s="4"/>
      <c r="D569" s="4"/>
      <c r="E569" s="4"/>
      <c r="F569" s="390"/>
      <c r="G569" s="390"/>
      <c r="H569" s="390"/>
      <c r="I569" s="16"/>
      <c r="J569" s="390"/>
      <c r="K569" s="21"/>
      <c r="L569" s="4"/>
      <c r="M569" s="4"/>
      <c r="N569" s="4"/>
      <c r="O569" s="4"/>
      <c r="P569" s="390"/>
      <c r="Q569" s="390"/>
      <c r="R569" s="390"/>
      <c r="S569" s="16"/>
    </row>
    <row r="570" spans="1:19">
      <c r="A570" s="21">
        <v>7</v>
      </c>
      <c r="B570" s="1265" t="s">
        <v>67</v>
      </c>
      <c r="C570" s="1265"/>
      <c r="D570" s="1265"/>
      <c r="E570" s="24">
        <f>E566-I568</f>
        <v>40993.002619999992</v>
      </c>
      <c r="F570" s="19"/>
      <c r="G570" s="19"/>
      <c r="H570" s="19"/>
      <c r="I570" s="16"/>
      <c r="J570" s="390"/>
      <c r="K570" s="21">
        <v>7</v>
      </c>
      <c r="L570" s="1265" t="s">
        <v>67</v>
      </c>
      <c r="M570" s="1265"/>
      <c r="N570" s="1265"/>
      <c r="O570" s="24">
        <f>E570</f>
        <v>40993.002619999992</v>
      </c>
      <c r="P570" s="19"/>
      <c r="Q570" s="19"/>
      <c r="R570" s="19"/>
      <c r="S570" s="16"/>
    </row>
    <row r="571" spans="1:19">
      <c r="A571" s="15"/>
      <c r="B571" s="390"/>
      <c r="C571" s="390"/>
      <c r="D571" s="390"/>
      <c r="E571" s="390"/>
      <c r="F571" s="390"/>
      <c r="G571" s="390"/>
      <c r="H571" s="390"/>
      <c r="I571" s="16"/>
      <c r="J571" s="390"/>
      <c r="K571" s="15"/>
      <c r="L571" s="390"/>
      <c r="M571" s="390"/>
      <c r="N571" s="390"/>
      <c r="O571" s="390"/>
      <c r="P571" s="390"/>
      <c r="Q571" s="390"/>
      <c r="R571" s="390"/>
      <c r="S571" s="16"/>
    </row>
    <row r="572" spans="1:19">
      <c r="A572" s="15"/>
      <c r="B572" s="390"/>
      <c r="C572" s="390"/>
      <c r="D572" s="390"/>
      <c r="E572" s="390"/>
      <c r="F572" s="390"/>
      <c r="G572" s="390"/>
      <c r="H572" s="390"/>
      <c r="I572" s="16"/>
      <c r="J572" s="390"/>
      <c r="K572" s="15"/>
      <c r="L572" s="390"/>
      <c r="M572" s="390"/>
      <c r="N572" s="390"/>
      <c r="O572" s="390"/>
      <c r="P572" s="390"/>
      <c r="Q572" s="390"/>
      <c r="R572" s="390"/>
      <c r="S572" s="16"/>
    </row>
    <row r="573" spans="1:19" ht="15.75" thickBot="1">
      <c r="A573" s="15"/>
      <c r="B573" s="390"/>
      <c r="C573" s="390"/>
      <c r="D573" s="390"/>
      <c r="E573" s="390"/>
      <c r="F573" s="25"/>
      <c r="G573" s="25"/>
      <c r="H573" s="25"/>
      <c r="I573" s="26"/>
      <c r="J573" s="390"/>
      <c r="K573" s="15"/>
      <c r="L573" s="390"/>
      <c r="M573" s="390"/>
      <c r="N573" s="390"/>
      <c r="O573" s="390"/>
      <c r="P573" s="25"/>
      <c r="Q573" s="25"/>
      <c r="R573" s="25"/>
      <c r="S573" s="26"/>
    </row>
    <row r="574" spans="1:19" ht="15.75" thickBot="1">
      <c r="A574" s="27"/>
      <c r="B574" s="25"/>
      <c r="C574" s="25"/>
      <c r="D574" s="25"/>
      <c r="E574" s="25"/>
      <c r="F574" s="1266" t="s">
        <v>68</v>
      </c>
      <c r="G574" s="1266"/>
      <c r="H574" s="1266"/>
      <c r="I574" s="1267"/>
      <c r="J574" s="390"/>
      <c r="K574" s="27"/>
      <c r="L574" s="25"/>
      <c r="M574" s="25"/>
      <c r="N574" s="25"/>
      <c r="O574" s="25"/>
      <c r="P574" s="1266" t="s">
        <v>68</v>
      </c>
      <c r="Q574" s="1266"/>
      <c r="R574" s="1266"/>
      <c r="S574" s="1267"/>
    </row>
    <row r="575" spans="1:19" s="11" customFormat="1"/>
    <row r="576" spans="1:19" s="11" customFormat="1"/>
    <row r="577" spans="1:19" s="11" customFormat="1"/>
    <row r="578" spans="1:19" s="11" customFormat="1" ht="15.75" thickBot="1"/>
    <row r="579" spans="1:19" ht="26.25">
      <c r="A579" s="1270" t="s">
        <v>53</v>
      </c>
      <c r="B579" s="1271"/>
      <c r="C579" s="1271"/>
      <c r="D579" s="1271"/>
      <c r="E579" s="1271"/>
      <c r="F579" s="1271"/>
      <c r="G579" s="1271"/>
      <c r="H579" s="1271"/>
      <c r="I579" s="1272"/>
      <c r="J579" s="390"/>
      <c r="K579" s="1270" t="s">
        <v>53</v>
      </c>
      <c r="L579" s="1271"/>
      <c r="M579" s="1271"/>
      <c r="N579" s="1271"/>
      <c r="O579" s="1271"/>
      <c r="P579" s="1271"/>
      <c r="Q579" s="1271"/>
      <c r="R579" s="1271"/>
      <c r="S579" s="1272"/>
    </row>
    <row r="580" spans="1:19">
      <c r="A580" s="1273" t="s">
        <v>54</v>
      </c>
      <c r="B580" s="1274"/>
      <c r="C580" s="1274"/>
      <c r="D580" s="1274"/>
      <c r="E580" s="1274"/>
      <c r="F580" s="1274"/>
      <c r="G580" s="1274"/>
      <c r="H580" s="1274"/>
      <c r="I580" s="1211"/>
      <c r="J580" s="390"/>
      <c r="K580" s="1273" t="s">
        <v>54</v>
      </c>
      <c r="L580" s="1274"/>
      <c r="M580" s="1274"/>
      <c r="N580" s="1274"/>
      <c r="O580" s="1274"/>
      <c r="P580" s="1274"/>
      <c r="Q580" s="1274"/>
      <c r="R580" s="1274"/>
      <c r="S580" s="1211"/>
    </row>
    <row r="581" spans="1:19">
      <c r="A581" s="15"/>
      <c r="B581" s="390"/>
      <c r="C581" s="390"/>
      <c r="D581" s="390"/>
      <c r="E581" s="390"/>
      <c r="F581" s="390"/>
      <c r="G581" s="390"/>
      <c r="H581" s="390"/>
      <c r="I581" s="16"/>
      <c r="J581" s="390"/>
      <c r="K581" s="15"/>
      <c r="L581" s="390"/>
      <c r="M581" s="390"/>
      <c r="N581" s="390"/>
      <c r="O581" s="390"/>
      <c r="P581" s="390"/>
      <c r="Q581" s="390"/>
      <c r="R581" s="390"/>
      <c r="S581" s="16"/>
    </row>
    <row r="582" spans="1:19">
      <c r="A582" s="17" t="s">
        <v>55</v>
      </c>
      <c r="B582" s="4"/>
      <c r="C582" s="4"/>
      <c r="D582" s="317" t="s">
        <v>425</v>
      </c>
      <c r="E582" s="390"/>
      <c r="F582" s="390"/>
      <c r="G582" s="390"/>
      <c r="H582" s="390"/>
      <c r="I582" s="16"/>
      <c r="J582" s="390"/>
      <c r="K582" s="17" t="s">
        <v>55</v>
      </c>
      <c r="L582" s="4"/>
      <c r="M582" s="4"/>
      <c r="N582" s="8"/>
      <c r="O582" s="381" t="str">
        <f>D582</f>
        <v>Burgeon IT Services Pvt.Ltd.</v>
      </c>
      <c r="P582" s="390"/>
      <c r="Q582" s="390"/>
      <c r="R582" s="390"/>
      <c r="S582" s="16"/>
    </row>
    <row r="583" spans="1:19">
      <c r="A583" s="17"/>
      <c r="B583" s="150" t="s">
        <v>426</v>
      </c>
      <c r="C583" s="4"/>
      <c r="D583" s="390"/>
      <c r="E583" s="390"/>
      <c r="F583" s="390"/>
      <c r="G583" s="390"/>
      <c r="H583" s="390"/>
      <c r="I583" s="16"/>
      <c r="J583" s="390"/>
      <c r="K583" s="17"/>
      <c r="L583" s="4"/>
      <c r="M583" s="4"/>
      <c r="N583" s="4"/>
      <c r="O583" s="390"/>
      <c r="P583" s="390"/>
      <c r="Q583" s="390"/>
      <c r="R583" s="390"/>
      <c r="S583" s="16"/>
    </row>
    <row r="584" spans="1:19">
      <c r="A584" s="17"/>
      <c r="B584" s="4"/>
      <c r="C584" s="4"/>
      <c r="D584" s="4"/>
      <c r="E584" s="4"/>
      <c r="F584" s="390"/>
      <c r="G584" s="390"/>
      <c r="H584" s="390"/>
      <c r="I584" s="16"/>
      <c r="J584" s="390"/>
      <c r="K584" s="17"/>
      <c r="L584" s="4" t="str">
        <f>B583</f>
        <v>Siri Mansion LIGB 436 Dr.A S Rao Nagar,Hyderabad</v>
      </c>
      <c r="M584" s="4"/>
      <c r="N584" s="4"/>
      <c r="O584" s="4"/>
      <c r="P584" s="390"/>
      <c r="Q584" s="390"/>
      <c r="R584" s="390"/>
      <c r="S584" s="16"/>
    </row>
    <row r="585" spans="1:19">
      <c r="A585" s="1275" t="s">
        <v>56</v>
      </c>
      <c r="B585" s="1269"/>
      <c r="C585" s="1269"/>
      <c r="D585" s="1269"/>
      <c r="E585" s="4"/>
      <c r="F585" s="390"/>
      <c r="G585" s="390"/>
      <c r="H585" s="390"/>
      <c r="I585" s="16"/>
      <c r="J585" s="390"/>
      <c r="K585" s="1275" t="s">
        <v>56</v>
      </c>
      <c r="L585" s="1269"/>
      <c r="M585" s="1269"/>
      <c r="N585" s="1269"/>
      <c r="O585" s="4"/>
      <c r="P585" s="390"/>
      <c r="Q585" s="390"/>
      <c r="R585" s="390"/>
      <c r="S585" s="16"/>
    </row>
    <row r="586" spans="1:19">
      <c r="A586" s="1275"/>
      <c r="B586" s="1269"/>
      <c r="C586" s="1269"/>
      <c r="D586" s="1269"/>
      <c r="E586" s="390" t="str">
        <f>'04-22-Master'!B30</f>
        <v>B SRILATHA</v>
      </c>
      <c r="F586" s="19"/>
      <c r="G586" s="19"/>
      <c r="H586" s="19" t="str">
        <f>'04-22-Master'!E30</f>
        <v>Anjaneya Reddy</v>
      </c>
      <c r="I586" s="16"/>
      <c r="J586" s="390"/>
      <c r="K586" s="1275"/>
      <c r="L586" s="1269"/>
      <c r="M586" s="1269"/>
      <c r="N586" s="1269"/>
      <c r="O586" s="18" t="str">
        <f>E586</f>
        <v>B SRILATHA</v>
      </c>
      <c r="P586" s="19"/>
      <c r="Q586" s="19"/>
      <c r="R586" s="19" t="str">
        <f>H586</f>
        <v>Anjaneya Reddy</v>
      </c>
      <c r="S586" s="16"/>
    </row>
    <row r="587" spans="1:19">
      <c r="A587" s="17"/>
      <c r="B587" s="4"/>
      <c r="C587" s="4"/>
      <c r="D587" s="4"/>
      <c r="E587" s="4"/>
      <c r="F587" s="390"/>
      <c r="G587" s="390"/>
      <c r="H587" s="390"/>
      <c r="I587" s="16"/>
      <c r="J587" s="390"/>
      <c r="K587" s="17"/>
      <c r="L587" s="4"/>
      <c r="M587" s="4"/>
      <c r="N587" s="4"/>
      <c r="O587" s="4"/>
      <c r="P587" s="390"/>
      <c r="Q587" s="390"/>
      <c r="R587" s="390"/>
      <c r="S587" s="16"/>
    </row>
    <row r="588" spans="1:19">
      <c r="A588" s="1268" t="s">
        <v>57</v>
      </c>
      <c r="B588" s="1265"/>
      <c r="C588" s="1265"/>
      <c r="D588" s="1265"/>
      <c r="E588" s="18" t="s">
        <v>819</v>
      </c>
      <c r="F588" s="19"/>
      <c r="G588" s="19"/>
      <c r="H588" s="19"/>
      <c r="I588" s="16"/>
      <c r="J588" s="390"/>
      <c r="K588" s="1268" t="s">
        <v>57</v>
      </c>
      <c r="L588" s="1265"/>
      <c r="M588" s="1265"/>
      <c r="N588" s="1265"/>
      <c r="O588" s="18" t="str">
        <f>E588</f>
        <v>IT SUPPORTIVE SERVICES &amp; HYDERABAD SEZ</v>
      </c>
      <c r="P588" s="19"/>
      <c r="Q588" s="19"/>
      <c r="R588" s="19"/>
      <c r="S588" s="16"/>
    </row>
    <row r="589" spans="1:19">
      <c r="A589" s="17"/>
      <c r="B589" s="4"/>
      <c r="C589" s="4"/>
      <c r="D589" s="4"/>
      <c r="E589" s="4"/>
      <c r="F589" s="390"/>
      <c r="G589" s="390"/>
      <c r="H589" s="390"/>
      <c r="I589" s="16"/>
      <c r="J589" s="390"/>
      <c r="K589" s="17"/>
      <c r="L589" s="4"/>
      <c r="M589" s="4"/>
      <c r="N589" s="4"/>
      <c r="O589" s="4"/>
      <c r="P589" s="390"/>
      <c r="Q589" s="390"/>
      <c r="R589" s="390"/>
      <c r="S589" s="16"/>
    </row>
    <row r="590" spans="1:19">
      <c r="A590" s="1268" t="s">
        <v>58</v>
      </c>
      <c r="B590" s="1265"/>
      <c r="C590" s="1265"/>
      <c r="D590" s="1265"/>
      <c r="E590" s="20">
        <f>'04-22-Master'!D10</f>
        <v>44652</v>
      </c>
      <c r="F590" s="19"/>
      <c r="G590" s="19"/>
      <c r="H590" s="19"/>
      <c r="I590" s="16"/>
      <c r="J590" s="390"/>
      <c r="K590" s="1268" t="s">
        <v>58</v>
      </c>
      <c r="L590" s="1265"/>
      <c r="M590" s="1265"/>
      <c r="N590" s="1265"/>
      <c r="O590" s="20">
        <f>E590</f>
        <v>44652</v>
      </c>
      <c r="P590" s="19"/>
      <c r="Q590" s="19"/>
      <c r="R590" s="19"/>
      <c r="S590" s="16"/>
    </row>
    <row r="591" spans="1:19">
      <c r="A591" s="17"/>
      <c r="B591" s="4"/>
      <c r="C591" s="4"/>
      <c r="D591" s="4"/>
      <c r="E591" s="4"/>
      <c r="F591" s="390"/>
      <c r="G591" s="390"/>
      <c r="H591" s="390"/>
      <c r="I591" s="16"/>
      <c r="J591" s="390"/>
      <c r="K591" s="17"/>
      <c r="L591" s="4"/>
      <c r="M591" s="4"/>
      <c r="N591" s="4"/>
      <c r="O591" s="4"/>
      <c r="P591" s="390"/>
      <c r="Q591" s="390"/>
      <c r="R591" s="390"/>
      <c r="S591" s="16"/>
    </row>
    <row r="592" spans="1:19">
      <c r="A592" s="21">
        <v>1</v>
      </c>
      <c r="B592" s="1265" t="s">
        <v>59</v>
      </c>
      <c r="C592" s="1265"/>
      <c r="D592" s="1265"/>
      <c r="E592" s="22">
        <f>'04-22-Master'!Q30</f>
        <v>30</v>
      </c>
      <c r="F592" s="19"/>
      <c r="G592" s="19"/>
      <c r="H592" s="19"/>
      <c r="I592" s="16"/>
      <c r="J592" s="390"/>
      <c r="K592" s="21">
        <v>1</v>
      </c>
      <c r="L592" s="1265" t="s">
        <v>59</v>
      </c>
      <c r="M592" s="1265"/>
      <c r="N592" s="1265"/>
      <c r="O592" s="22">
        <f>E592</f>
        <v>30</v>
      </c>
      <c r="P592" s="19"/>
      <c r="Q592" s="19"/>
      <c r="R592" s="19"/>
      <c r="S592" s="16"/>
    </row>
    <row r="593" spans="1:19">
      <c r="A593" s="21"/>
      <c r="B593" s="4"/>
      <c r="C593" s="4"/>
      <c r="D593" s="4"/>
      <c r="E593" s="4"/>
      <c r="F593" s="390"/>
      <c r="G593" s="390"/>
      <c r="H593" s="390"/>
      <c r="I593" s="16"/>
      <c r="J593" s="390"/>
      <c r="K593" s="21"/>
      <c r="L593" s="4"/>
      <c r="M593" s="4"/>
      <c r="N593" s="4"/>
      <c r="O593" s="4"/>
      <c r="P593" s="390"/>
      <c r="Q593" s="390"/>
      <c r="R593" s="390"/>
      <c r="S593" s="16"/>
    </row>
    <row r="594" spans="1:19">
      <c r="A594" s="21">
        <v>2</v>
      </c>
      <c r="B594" s="1269" t="s">
        <v>60</v>
      </c>
      <c r="C594" s="1269"/>
      <c r="D594" s="1269"/>
      <c r="E594" s="4"/>
      <c r="F594" s="390"/>
      <c r="G594" s="390"/>
      <c r="H594" s="390"/>
      <c r="I594" s="16"/>
      <c r="J594" s="390"/>
      <c r="K594" s="21">
        <v>2</v>
      </c>
      <c r="L594" s="1269" t="s">
        <v>60</v>
      </c>
      <c r="M594" s="1269"/>
      <c r="N594" s="1269"/>
      <c r="O594" s="4"/>
      <c r="P594" s="390"/>
      <c r="Q594" s="390"/>
      <c r="R594" s="390"/>
      <c r="S594" s="16"/>
    </row>
    <row r="595" spans="1:19">
      <c r="A595" s="21"/>
      <c r="B595" s="1269"/>
      <c r="C595" s="1269"/>
      <c r="D595" s="1269"/>
      <c r="E595" s="23" t="s">
        <v>37</v>
      </c>
      <c r="F595" s="19"/>
      <c r="G595" s="19"/>
      <c r="H595" s="19"/>
      <c r="I595" s="16"/>
      <c r="J595" s="390"/>
      <c r="K595" s="21"/>
      <c r="L595" s="1269"/>
      <c r="M595" s="1269"/>
      <c r="N595" s="1269"/>
      <c r="O595" s="23" t="s">
        <v>37</v>
      </c>
      <c r="P595" s="19"/>
      <c r="Q595" s="19"/>
      <c r="R595" s="19"/>
      <c r="S595" s="16"/>
    </row>
    <row r="596" spans="1:19">
      <c r="A596" s="21"/>
      <c r="B596" s="4"/>
      <c r="C596" s="4"/>
      <c r="D596" s="4"/>
      <c r="E596" s="4"/>
      <c r="F596" s="390"/>
      <c r="G596" s="390"/>
      <c r="H596" s="390"/>
      <c r="I596" s="16"/>
      <c r="J596" s="390"/>
      <c r="K596" s="21"/>
      <c r="L596" s="4"/>
      <c r="M596" s="4"/>
      <c r="N596" s="4"/>
      <c r="O596" s="4"/>
      <c r="P596" s="390"/>
      <c r="Q596" s="390"/>
      <c r="R596" s="390"/>
      <c r="S596" s="16"/>
    </row>
    <row r="597" spans="1:19">
      <c r="A597" s="21">
        <v>3</v>
      </c>
      <c r="B597" s="1265" t="s">
        <v>61</v>
      </c>
      <c r="C597" s="1265"/>
      <c r="D597" s="1265"/>
      <c r="E597" s="23" t="s">
        <v>37</v>
      </c>
      <c r="F597" s="19"/>
      <c r="G597" s="19"/>
      <c r="H597" s="19"/>
      <c r="I597" s="16"/>
      <c r="J597" s="390"/>
      <c r="K597" s="21">
        <v>3</v>
      </c>
      <c r="L597" s="1265" t="s">
        <v>61</v>
      </c>
      <c r="M597" s="1265"/>
      <c r="N597" s="1265"/>
      <c r="O597" s="18" t="str">
        <f>E597</f>
        <v>N/A</v>
      </c>
      <c r="P597" s="19"/>
      <c r="Q597" s="19"/>
      <c r="R597" s="19"/>
      <c r="S597" s="16"/>
    </row>
    <row r="598" spans="1:19">
      <c r="A598" s="21"/>
      <c r="B598" s="4"/>
      <c r="C598" s="4"/>
      <c r="D598" s="4"/>
      <c r="E598" s="4"/>
      <c r="F598" s="390"/>
      <c r="G598" s="390"/>
      <c r="H598" s="390"/>
      <c r="I598" s="16"/>
      <c r="J598" s="390"/>
      <c r="K598" s="21"/>
      <c r="L598" s="4"/>
      <c r="M598" s="4"/>
      <c r="N598" s="4"/>
      <c r="O598" s="4"/>
      <c r="P598" s="390"/>
      <c r="Q598" s="390"/>
      <c r="R598" s="390"/>
      <c r="S598" s="16"/>
    </row>
    <row r="599" spans="1:19">
      <c r="A599" s="21">
        <v>4</v>
      </c>
      <c r="B599" s="1265" t="s">
        <v>62</v>
      </c>
      <c r="C599" s="1265"/>
      <c r="D599" s="1265"/>
      <c r="E599" s="23" t="s">
        <v>63</v>
      </c>
      <c r="F599" s="19"/>
      <c r="G599" s="19"/>
      <c r="H599" s="19"/>
      <c r="I599" s="16"/>
      <c r="J599" s="390"/>
      <c r="K599" s="21">
        <v>4</v>
      </c>
      <c r="L599" s="1265" t="s">
        <v>62</v>
      </c>
      <c r="M599" s="1265"/>
      <c r="N599" s="1265"/>
      <c r="O599" s="23" t="s">
        <v>63</v>
      </c>
      <c r="P599" s="19"/>
      <c r="Q599" s="19"/>
      <c r="R599" s="19"/>
      <c r="S599" s="16"/>
    </row>
    <row r="600" spans="1:19">
      <c r="A600" s="21"/>
      <c r="B600" s="4"/>
      <c r="C600" s="4"/>
      <c r="D600" s="4"/>
      <c r="E600" s="4"/>
      <c r="F600" s="390"/>
      <c r="G600" s="390"/>
      <c r="H600" s="390"/>
      <c r="I600" s="16"/>
      <c r="J600" s="390"/>
      <c r="K600" s="21"/>
      <c r="L600" s="4"/>
      <c r="M600" s="4"/>
      <c r="N600" s="4"/>
      <c r="O600" s="4"/>
      <c r="P600" s="390"/>
      <c r="Q600" s="390"/>
      <c r="R600" s="390"/>
      <c r="S600" s="16"/>
    </row>
    <row r="601" spans="1:19">
      <c r="A601" s="21">
        <v>5</v>
      </c>
      <c r="B601" s="1265" t="s">
        <v>64</v>
      </c>
      <c r="C601" s="1265"/>
      <c r="D601" s="1265"/>
      <c r="E601" s="295">
        <f>'04-22-Master'!AG30</f>
        <v>113275.67599999999</v>
      </c>
      <c r="F601" s="390"/>
      <c r="G601" s="390"/>
      <c r="H601" s="390"/>
      <c r="I601" s="16"/>
      <c r="J601" s="390"/>
      <c r="K601" s="21">
        <v>5</v>
      </c>
      <c r="L601" s="1265" t="s">
        <v>64</v>
      </c>
      <c r="M601" s="1265"/>
      <c r="N601" s="1265"/>
      <c r="O601" s="295">
        <f>E601</f>
        <v>113275.67599999999</v>
      </c>
      <c r="P601" s="390"/>
      <c r="Q601" s="390"/>
      <c r="R601" s="390"/>
      <c r="S601" s="16"/>
    </row>
    <row r="602" spans="1:19">
      <c r="A602" s="21"/>
      <c r="B602" s="4"/>
      <c r="C602" s="4"/>
      <c r="D602" s="296" t="s">
        <v>65</v>
      </c>
      <c r="E602" s="296" t="s">
        <v>31</v>
      </c>
      <c r="F602" s="296" t="s">
        <v>33</v>
      </c>
      <c r="G602" s="296" t="s">
        <v>34</v>
      </c>
      <c r="H602" s="296" t="s">
        <v>399</v>
      </c>
      <c r="I602" s="294" t="s">
        <v>400</v>
      </c>
      <c r="J602" s="390"/>
      <c r="K602" s="21"/>
      <c r="L602" s="4"/>
      <c r="M602" s="4"/>
      <c r="N602" s="296" t="s">
        <v>65</v>
      </c>
      <c r="O602" s="296" t="s">
        <v>31</v>
      </c>
      <c r="P602" s="296" t="s">
        <v>33</v>
      </c>
      <c r="Q602" s="296" t="s">
        <v>34</v>
      </c>
      <c r="R602" s="296" t="s">
        <v>399</v>
      </c>
      <c r="S602" s="294" t="s">
        <v>400</v>
      </c>
    </row>
    <row r="603" spans="1:19">
      <c r="A603" s="21">
        <v>6</v>
      </c>
      <c r="B603" s="831" t="s">
        <v>66</v>
      </c>
      <c r="C603" s="831"/>
      <c r="D603" s="297">
        <f>'04-22-Master'!AI30</f>
        <v>1800</v>
      </c>
      <c r="E603" s="297">
        <f>'04-22-Master'!AH647</f>
        <v>0</v>
      </c>
      <c r="F603" s="298">
        <f>'04-22-Master'!AJ30</f>
        <v>200</v>
      </c>
      <c r="G603" s="297">
        <f>'04-22-Master'!AK30</f>
        <v>0</v>
      </c>
      <c r="H603" s="298">
        <f>'04-22-Master'!AL30</f>
        <v>283</v>
      </c>
      <c r="I603" s="298">
        <f>D603+E603+F603+G603+H603</f>
        <v>2283</v>
      </c>
      <c r="J603" s="390"/>
      <c r="K603" s="21">
        <v>6</v>
      </c>
      <c r="L603" s="831" t="s">
        <v>66</v>
      </c>
      <c r="M603" s="831"/>
      <c r="N603" s="297">
        <f t="shared" ref="N603" si="74">D603</f>
        <v>1800</v>
      </c>
      <c r="O603" s="297">
        <f t="shared" ref="O603" si="75">E603</f>
        <v>0</v>
      </c>
      <c r="P603" s="298">
        <f t="shared" ref="P603" si="76">F603</f>
        <v>200</v>
      </c>
      <c r="Q603" s="297">
        <f t="shared" ref="Q603" si="77">G603</f>
        <v>0</v>
      </c>
      <c r="R603" s="298">
        <f t="shared" ref="R603" si="78">H603</f>
        <v>283</v>
      </c>
      <c r="S603" s="298">
        <f t="shared" ref="S603" si="79">I603</f>
        <v>2283</v>
      </c>
    </row>
    <row r="604" spans="1:19">
      <c r="A604" s="21"/>
      <c r="B604" s="4"/>
      <c r="C604" s="4"/>
      <c r="D604" s="4"/>
      <c r="E604" s="4"/>
      <c r="F604" s="390"/>
      <c r="G604" s="390"/>
      <c r="H604" s="390"/>
      <c r="I604" s="16"/>
      <c r="J604" s="390"/>
      <c r="K604" s="21"/>
      <c r="L604" s="4"/>
      <c r="M604" s="4"/>
      <c r="N604" s="4"/>
      <c r="O604" s="4"/>
      <c r="P604" s="390"/>
      <c r="Q604" s="390"/>
      <c r="R604" s="390"/>
      <c r="S604" s="16"/>
    </row>
    <row r="605" spans="1:19">
      <c r="A605" s="21">
        <v>7</v>
      </c>
      <c r="B605" s="1265" t="s">
        <v>67</v>
      </c>
      <c r="C605" s="1265"/>
      <c r="D605" s="1265"/>
      <c r="E605" s="24">
        <f>E601-I603</f>
        <v>110992.67599999999</v>
      </c>
      <c r="F605" s="19"/>
      <c r="G605" s="19"/>
      <c r="H605" s="19"/>
      <c r="I605" s="16"/>
      <c r="J605" s="390"/>
      <c r="K605" s="21">
        <v>7</v>
      </c>
      <c r="L605" s="1265" t="s">
        <v>67</v>
      </c>
      <c r="M605" s="1265"/>
      <c r="N605" s="1265"/>
      <c r="O605" s="24">
        <f>E605</f>
        <v>110992.67599999999</v>
      </c>
      <c r="P605" s="19"/>
      <c r="Q605" s="19"/>
      <c r="R605" s="19"/>
      <c r="S605" s="16"/>
    </row>
    <row r="606" spans="1:19">
      <c r="A606" s="15"/>
      <c r="B606" s="390"/>
      <c r="C606" s="390"/>
      <c r="D606" s="390"/>
      <c r="E606" s="390"/>
      <c r="F606" s="390"/>
      <c r="G606" s="390"/>
      <c r="H606" s="390"/>
      <c r="I606" s="16"/>
      <c r="J606" s="390"/>
      <c r="K606" s="15"/>
      <c r="L606" s="390"/>
      <c r="M606" s="390"/>
      <c r="N606" s="390"/>
      <c r="O606" s="390"/>
      <c r="P606" s="390"/>
      <c r="Q606" s="390"/>
      <c r="R606" s="390"/>
      <c r="S606" s="16"/>
    </row>
    <row r="607" spans="1:19">
      <c r="A607" s="15"/>
      <c r="B607" s="390"/>
      <c r="C607" s="390"/>
      <c r="D607" s="390"/>
      <c r="E607" s="390"/>
      <c r="F607" s="390"/>
      <c r="G607" s="390"/>
      <c r="H607" s="390"/>
      <c r="I607" s="16"/>
      <c r="J607" s="390"/>
      <c r="K607" s="15"/>
      <c r="L607" s="390"/>
      <c r="M607" s="390"/>
      <c r="N607" s="390"/>
      <c r="O607" s="390"/>
      <c r="P607" s="390"/>
      <c r="Q607" s="390"/>
      <c r="R607" s="390"/>
      <c r="S607" s="16"/>
    </row>
    <row r="608" spans="1:19" ht="15.75" thickBot="1">
      <c r="A608" s="15"/>
      <c r="B608" s="390"/>
      <c r="C608" s="390"/>
      <c r="D608" s="390"/>
      <c r="E608" s="390"/>
      <c r="F608" s="25"/>
      <c r="G608" s="25"/>
      <c r="H608" s="25"/>
      <c r="I608" s="26"/>
      <c r="J608" s="390"/>
      <c r="K608" s="15"/>
      <c r="L608" s="390"/>
      <c r="M608" s="390"/>
      <c r="N608" s="390"/>
      <c r="O608" s="390"/>
      <c r="P608" s="25"/>
      <c r="Q608" s="25"/>
      <c r="R608" s="25"/>
      <c r="S608" s="26"/>
    </row>
    <row r="609" spans="1:19" ht="15.75" thickBot="1">
      <c r="A609" s="27"/>
      <c r="B609" s="25"/>
      <c r="C609" s="25"/>
      <c r="D609" s="25"/>
      <c r="E609" s="25"/>
      <c r="F609" s="1266" t="s">
        <v>68</v>
      </c>
      <c r="G609" s="1266"/>
      <c r="H609" s="1266"/>
      <c r="I609" s="1267"/>
      <c r="J609" s="390"/>
      <c r="K609" s="27"/>
      <c r="L609" s="25"/>
      <c r="M609" s="25"/>
      <c r="N609" s="25"/>
      <c r="O609" s="25"/>
      <c r="P609" s="1266" t="s">
        <v>68</v>
      </c>
      <c r="Q609" s="1266"/>
      <c r="R609" s="1266"/>
      <c r="S609" s="1267"/>
    </row>
    <row r="610" spans="1:19">
      <c r="A610" s="390"/>
      <c r="B610" s="390"/>
      <c r="C610" s="390"/>
      <c r="D610" s="390"/>
      <c r="E610" s="390"/>
      <c r="F610" s="390"/>
      <c r="G610" s="390"/>
      <c r="H610" s="390"/>
      <c r="I610" s="390"/>
      <c r="J610" s="390"/>
      <c r="K610" s="390"/>
      <c r="L610" s="390"/>
      <c r="M610" s="390"/>
      <c r="N610" s="390"/>
      <c r="O610" s="390"/>
      <c r="P610" s="390"/>
      <c r="Q610" s="390"/>
      <c r="R610" s="390"/>
      <c r="S610" s="390"/>
    </row>
    <row r="611" spans="1:19">
      <c r="A611" s="390"/>
      <c r="B611" s="390"/>
      <c r="C611" s="390"/>
      <c r="D611" s="390"/>
      <c r="E611" s="390"/>
      <c r="F611" s="390"/>
      <c r="G611" s="390"/>
      <c r="H611" s="390"/>
      <c r="I611" s="390"/>
      <c r="J611" s="390"/>
      <c r="K611" s="390"/>
      <c r="L611" s="390"/>
      <c r="M611" s="390"/>
      <c r="N611" s="390"/>
      <c r="O611" s="390"/>
      <c r="P611" s="390"/>
      <c r="Q611" s="390"/>
      <c r="R611" s="390"/>
      <c r="S611" s="390"/>
    </row>
    <row r="612" spans="1:19">
      <c r="A612" s="390"/>
      <c r="B612" s="390"/>
      <c r="C612" s="390"/>
      <c r="D612" s="390"/>
      <c r="E612" s="390"/>
      <c r="F612" s="390"/>
      <c r="G612" s="390"/>
      <c r="H612" s="390"/>
      <c r="I612" s="390"/>
      <c r="J612" s="390"/>
      <c r="K612" s="390"/>
      <c r="L612" s="390"/>
      <c r="M612" s="390"/>
      <c r="N612" s="390"/>
      <c r="O612" s="390"/>
      <c r="P612" s="390"/>
      <c r="Q612" s="390"/>
      <c r="R612" s="390"/>
      <c r="S612" s="390"/>
    </row>
    <row r="613" spans="1:19" ht="15.75" thickBot="1">
      <c r="A613" s="390"/>
      <c r="B613" s="390"/>
      <c r="C613" s="390"/>
      <c r="D613" s="390"/>
      <c r="E613" s="390"/>
      <c r="F613" s="390"/>
      <c r="G613" s="390"/>
      <c r="H613" s="390"/>
      <c r="I613" s="390"/>
      <c r="J613" s="390"/>
      <c r="K613" s="390"/>
      <c r="L613" s="390"/>
      <c r="M613" s="390"/>
      <c r="N613" s="390"/>
      <c r="O613" s="390"/>
      <c r="P613" s="390"/>
      <c r="Q613" s="390"/>
      <c r="R613" s="390"/>
      <c r="S613" s="390"/>
    </row>
    <row r="614" spans="1:19" ht="26.25">
      <c r="A614" s="1270" t="s">
        <v>53</v>
      </c>
      <c r="B614" s="1271"/>
      <c r="C614" s="1271"/>
      <c r="D614" s="1271"/>
      <c r="E614" s="1271"/>
      <c r="F614" s="1271"/>
      <c r="G614" s="1271"/>
      <c r="H614" s="1271"/>
      <c r="I614" s="1272"/>
      <c r="J614" s="390"/>
      <c r="K614" s="1270" t="s">
        <v>53</v>
      </c>
      <c r="L614" s="1271"/>
      <c r="M614" s="1271"/>
      <c r="N614" s="1271"/>
      <c r="O614" s="1271"/>
      <c r="P614" s="1271"/>
      <c r="Q614" s="1271"/>
      <c r="R614" s="1271"/>
      <c r="S614" s="1272"/>
    </row>
    <row r="615" spans="1:19">
      <c r="A615" s="1273" t="s">
        <v>54</v>
      </c>
      <c r="B615" s="1274"/>
      <c r="C615" s="1274"/>
      <c r="D615" s="1274"/>
      <c r="E615" s="1274"/>
      <c r="F615" s="1274"/>
      <c r="G615" s="1274"/>
      <c r="H615" s="1274"/>
      <c r="I615" s="1211"/>
      <c r="J615" s="390"/>
      <c r="K615" s="1273" t="s">
        <v>54</v>
      </c>
      <c r="L615" s="1274"/>
      <c r="M615" s="1274"/>
      <c r="N615" s="1274"/>
      <c r="O615" s="1274"/>
      <c r="P615" s="1274"/>
      <c r="Q615" s="1274"/>
      <c r="R615" s="1274"/>
      <c r="S615" s="1211"/>
    </row>
    <row r="616" spans="1:19">
      <c r="A616" s="15"/>
      <c r="B616" s="390"/>
      <c r="C616" s="390"/>
      <c r="D616" s="390"/>
      <c r="E616" s="390"/>
      <c r="F616" s="390"/>
      <c r="G616" s="390"/>
      <c r="H616" s="390"/>
      <c r="I616" s="16"/>
      <c r="J616" s="390"/>
      <c r="K616" s="15"/>
      <c r="L616" s="390"/>
      <c r="M616" s="390"/>
      <c r="N616" s="390"/>
      <c r="O616" s="390"/>
      <c r="P616" s="390"/>
      <c r="Q616" s="390"/>
      <c r="R616" s="390"/>
      <c r="S616" s="16"/>
    </row>
    <row r="617" spans="1:19">
      <c r="A617" s="17" t="s">
        <v>55</v>
      </c>
      <c r="B617" s="4"/>
      <c r="C617" s="4"/>
      <c r="D617" s="317" t="s">
        <v>425</v>
      </c>
      <c r="E617" s="390"/>
      <c r="F617" s="390"/>
      <c r="G617" s="390"/>
      <c r="H617" s="390"/>
      <c r="I617" s="16"/>
      <c r="J617" s="390"/>
      <c r="K617" s="17" t="s">
        <v>55</v>
      </c>
      <c r="L617" s="4"/>
      <c r="M617" s="4"/>
      <c r="N617" s="8"/>
      <c r="O617" s="381" t="str">
        <f>D617</f>
        <v>Burgeon IT Services Pvt.Ltd.</v>
      </c>
      <c r="P617" s="390"/>
      <c r="Q617" s="390"/>
      <c r="R617" s="390"/>
      <c r="S617" s="16"/>
    </row>
    <row r="618" spans="1:19">
      <c r="A618" s="17"/>
      <c r="B618" s="150" t="s">
        <v>426</v>
      </c>
      <c r="C618" s="4"/>
      <c r="D618" s="390"/>
      <c r="E618" s="390"/>
      <c r="F618" s="390"/>
      <c r="G618" s="390"/>
      <c r="H618" s="390"/>
      <c r="I618" s="16"/>
      <c r="J618" s="390"/>
      <c r="K618" s="17"/>
      <c r="L618" s="4"/>
      <c r="M618" s="4"/>
      <c r="N618" s="4"/>
      <c r="O618" s="390"/>
      <c r="P618" s="390"/>
      <c r="Q618" s="390"/>
      <c r="R618" s="390"/>
      <c r="S618" s="16"/>
    </row>
    <row r="619" spans="1:19">
      <c r="A619" s="17"/>
      <c r="B619" s="4"/>
      <c r="C619" s="4"/>
      <c r="D619" s="4"/>
      <c r="E619" s="4"/>
      <c r="F619" s="390"/>
      <c r="G619" s="390"/>
      <c r="H619" s="390"/>
      <c r="I619" s="16"/>
      <c r="J619" s="390"/>
      <c r="K619" s="17"/>
      <c r="L619" s="4" t="str">
        <f>B618</f>
        <v>Siri Mansion LIGB 436 Dr.A S Rao Nagar,Hyderabad</v>
      </c>
      <c r="M619" s="4"/>
      <c r="N619" s="4"/>
      <c r="O619" s="4"/>
      <c r="P619" s="390"/>
      <c r="Q619" s="390"/>
      <c r="R619" s="390"/>
      <c r="S619" s="16"/>
    </row>
    <row r="620" spans="1:19">
      <c r="A620" s="1275" t="s">
        <v>56</v>
      </c>
      <c r="B620" s="1269"/>
      <c r="C620" s="1269"/>
      <c r="D620" s="1269"/>
      <c r="E620" s="4"/>
      <c r="F620" s="390"/>
      <c r="G620" s="390"/>
      <c r="H620" s="390"/>
      <c r="I620" s="16"/>
      <c r="J620" s="390"/>
      <c r="K620" s="1275" t="s">
        <v>56</v>
      </c>
      <c r="L620" s="1269"/>
      <c r="M620" s="1269"/>
      <c r="N620" s="1269"/>
      <c r="O620" s="4"/>
      <c r="P620" s="390"/>
      <c r="Q620" s="390"/>
      <c r="R620" s="390"/>
      <c r="S620" s="16"/>
    </row>
    <row r="621" spans="1:19">
      <c r="A621" s="1275"/>
      <c r="B621" s="1269"/>
      <c r="C621" s="1269"/>
      <c r="D621" s="1269"/>
      <c r="E621" s="390" t="str">
        <f>'04-22-Master'!B31</f>
        <v> SURESH Kumar KOLA</v>
      </c>
      <c r="F621" s="19"/>
      <c r="G621" s="19"/>
      <c r="H621" s="19" t="str">
        <f>'04-22-Master'!E31</f>
        <v>BHAVANI KOLA</v>
      </c>
      <c r="I621" s="16"/>
      <c r="J621" s="390"/>
      <c r="K621" s="1275"/>
      <c r="L621" s="1269"/>
      <c r="M621" s="1269"/>
      <c r="N621" s="1269"/>
      <c r="O621" s="18" t="str">
        <f>E621</f>
        <v> SURESH Kumar KOLA</v>
      </c>
      <c r="P621" s="19"/>
      <c r="Q621" s="19"/>
      <c r="R621" s="19" t="str">
        <f>H621</f>
        <v>BHAVANI KOLA</v>
      </c>
      <c r="S621" s="16"/>
    </row>
    <row r="622" spans="1:19">
      <c r="A622" s="17"/>
      <c r="B622" s="4"/>
      <c r="C622" s="4"/>
      <c r="D622" s="4"/>
      <c r="E622" s="4"/>
      <c r="F622" s="390"/>
      <c r="G622" s="390"/>
      <c r="H622" s="390"/>
      <c r="I622" s="16"/>
      <c r="J622" s="390"/>
      <c r="K622" s="17"/>
      <c r="L622" s="4"/>
      <c r="M622" s="4"/>
      <c r="N622" s="4"/>
      <c r="O622" s="4"/>
      <c r="P622" s="390"/>
      <c r="Q622" s="390"/>
      <c r="R622" s="390"/>
      <c r="S622" s="16"/>
    </row>
    <row r="623" spans="1:19">
      <c r="A623" s="1268" t="s">
        <v>57</v>
      </c>
      <c r="B623" s="1265"/>
      <c r="C623" s="1265"/>
      <c r="D623" s="1265"/>
      <c r="E623" s="18" t="s">
        <v>819</v>
      </c>
      <c r="F623" s="19"/>
      <c r="G623" s="19"/>
      <c r="H623" s="19"/>
      <c r="I623" s="16"/>
      <c r="J623" s="390"/>
      <c r="K623" s="1268" t="s">
        <v>57</v>
      </c>
      <c r="L623" s="1265"/>
      <c r="M623" s="1265"/>
      <c r="N623" s="1265"/>
      <c r="O623" s="18" t="str">
        <f>E623</f>
        <v>IT SUPPORTIVE SERVICES &amp; HYDERABAD SEZ</v>
      </c>
      <c r="P623" s="19"/>
      <c r="Q623" s="19"/>
      <c r="R623" s="19"/>
      <c r="S623" s="16"/>
    </row>
    <row r="624" spans="1:19">
      <c r="A624" s="17"/>
      <c r="B624" s="4"/>
      <c r="C624" s="4"/>
      <c r="D624" s="4"/>
      <c r="E624" s="4"/>
      <c r="F624" s="390"/>
      <c r="G624" s="390"/>
      <c r="H624" s="390"/>
      <c r="I624" s="16"/>
      <c r="J624" s="390"/>
      <c r="K624" s="17"/>
      <c r="L624" s="4"/>
      <c r="M624" s="4"/>
      <c r="N624" s="4"/>
      <c r="O624" s="4"/>
      <c r="P624" s="390"/>
      <c r="Q624" s="390"/>
      <c r="R624" s="390"/>
      <c r="S624" s="16"/>
    </row>
    <row r="625" spans="1:19">
      <c r="A625" s="1268" t="s">
        <v>58</v>
      </c>
      <c r="B625" s="1265"/>
      <c r="C625" s="1265"/>
      <c r="D625" s="1265"/>
      <c r="E625" s="20">
        <f>'04-22-Master'!D10</f>
        <v>44652</v>
      </c>
      <c r="F625" s="19"/>
      <c r="G625" s="19"/>
      <c r="H625" s="19"/>
      <c r="I625" s="16"/>
      <c r="J625" s="390"/>
      <c r="K625" s="1268" t="s">
        <v>58</v>
      </c>
      <c r="L625" s="1265"/>
      <c r="M625" s="1265"/>
      <c r="N625" s="1265"/>
      <c r="O625" s="20">
        <f>E625</f>
        <v>44652</v>
      </c>
      <c r="P625" s="19"/>
      <c r="Q625" s="19"/>
      <c r="R625" s="19"/>
      <c r="S625" s="16"/>
    </row>
    <row r="626" spans="1:19">
      <c r="A626" s="17"/>
      <c r="B626" s="4"/>
      <c r="C626" s="4"/>
      <c r="D626" s="4"/>
      <c r="E626" s="4"/>
      <c r="F626" s="390"/>
      <c r="G626" s="390"/>
      <c r="H626" s="390"/>
      <c r="I626" s="16"/>
      <c r="J626" s="390"/>
      <c r="K626" s="17"/>
      <c r="L626" s="4"/>
      <c r="M626" s="4"/>
      <c r="N626" s="4"/>
      <c r="O626" s="4"/>
      <c r="P626" s="390"/>
      <c r="Q626" s="390"/>
      <c r="R626" s="390"/>
      <c r="S626" s="16"/>
    </row>
    <row r="627" spans="1:19">
      <c r="A627" s="21">
        <v>1</v>
      </c>
      <c r="B627" s="1265" t="s">
        <v>59</v>
      </c>
      <c r="C627" s="1265"/>
      <c r="D627" s="1265"/>
      <c r="E627" s="22">
        <f>'04-22-Master'!Q31</f>
        <v>30</v>
      </c>
      <c r="F627" s="19"/>
      <c r="G627" s="19"/>
      <c r="H627" s="19"/>
      <c r="I627" s="16"/>
      <c r="J627" s="390"/>
      <c r="K627" s="21">
        <v>1</v>
      </c>
      <c r="L627" s="1265" t="s">
        <v>59</v>
      </c>
      <c r="M627" s="1265"/>
      <c r="N627" s="1265"/>
      <c r="O627" s="22">
        <f>E627</f>
        <v>30</v>
      </c>
      <c r="P627" s="19"/>
      <c r="Q627" s="19"/>
      <c r="R627" s="19"/>
      <c r="S627" s="16"/>
    </row>
    <row r="628" spans="1:19">
      <c r="A628" s="21"/>
      <c r="B628" s="4"/>
      <c r="C628" s="4"/>
      <c r="D628" s="4"/>
      <c r="E628" s="4"/>
      <c r="F628" s="390"/>
      <c r="G628" s="390"/>
      <c r="H628" s="390"/>
      <c r="I628" s="16"/>
      <c r="J628" s="390"/>
      <c r="K628" s="21"/>
      <c r="L628" s="4"/>
      <c r="M628" s="4"/>
      <c r="N628" s="4"/>
      <c r="O628" s="4"/>
      <c r="P628" s="390"/>
      <c r="Q628" s="390"/>
      <c r="R628" s="390"/>
      <c r="S628" s="16"/>
    </row>
    <row r="629" spans="1:19">
      <c r="A629" s="21">
        <v>2</v>
      </c>
      <c r="B629" s="1269" t="s">
        <v>60</v>
      </c>
      <c r="C629" s="1269"/>
      <c r="D629" s="1269"/>
      <c r="E629" s="4"/>
      <c r="F629" s="390"/>
      <c r="G629" s="390"/>
      <c r="H629" s="390"/>
      <c r="I629" s="16"/>
      <c r="J629" s="390"/>
      <c r="K629" s="21">
        <v>2</v>
      </c>
      <c r="L629" s="1269" t="s">
        <v>60</v>
      </c>
      <c r="M629" s="1269"/>
      <c r="N629" s="1269"/>
      <c r="O629" s="4"/>
      <c r="P629" s="390"/>
      <c r="Q629" s="390"/>
      <c r="R629" s="390"/>
      <c r="S629" s="16"/>
    </row>
    <row r="630" spans="1:19">
      <c r="A630" s="21"/>
      <c r="B630" s="1269"/>
      <c r="C630" s="1269"/>
      <c r="D630" s="1269"/>
      <c r="E630" s="23" t="s">
        <v>37</v>
      </c>
      <c r="F630" s="19"/>
      <c r="G630" s="19"/>
      <c r="H630" s="19"/>
      <c r="I630" s="16"/>
      <c r="J630" s="390"/>
      <c r="K630" s="21"/>
      <c r="L630" s="1269"/>
      <c r="M630" s="1269"/>
      <c r="N630" s="1269"/>
      <c r="O630" s="23" t="s">
        <v>37</v>
      </c>
      <c r="P630" s="19"/>
      <c r="Q630" s="19"/>
      <c r="R630" s="19"/>
      <c r="S630" s="16"/>
    </row>
    <row r="631" spans="1:19">
      <c r="A631" s="21"/>
      <c r="B631" s="4"/>
      <c r="C631" s="4"/>
      <c r="D631" s="4"/>
      <c r="E631" s="4"/>
      <c r="F631" s="390"/>
      <c r="G631" s="390"/>
      <c r="H631" s="390"/>
      <c r="I631" s="16"/>
      <c r="J631" s="390"/>
      <c r="K631" s="21"/>
      <c r="L631" s="4"/>
      <c r="M631" s="4"/>
      <c r="N631" s="4"/>
      <c r="O631" s="4"/>
      <c r="P631" s="390"/>
      <c r="Q631" s="390"/>
      <c r="R631" s="390"/>
      <c r="S631" s="16"/>
    </row>
    <row r="632" spans="1:19">
      <c r="A632" s="21">
        <v>3</v>
      </c>
      <c r="B632" s="1265" t="s">
        <v>61</v>
      </c>
      <c r="C632" s="1265"/>
      <c r="D632" s="1265"/>
      <c r="E632" s="23" t="s">
        <v>37</v>
      </c>
      <c r="F632" s="19"/>
      <c r="G632" s="19"/>
      <c r="H632" s="19"/>
      <c r="I632" s="16"/>
      <c r="J632" s="390"/>
      <c r="K632" s="21">
        <v>3</v>
      </c>
      <c r="L632" s="1265" t="s">
        <v>61</v>
      </c>
      <c r="M632" s="1265"/>
      <c r="N632" s="1265"/>
      <c r="O632" s="18" t="str">
        <f>E632</f>
        <v>N/A</v>
      </c>
      <c r="P632" s="19"/>
      <c r="Q632" s="19"/>
      <c r="R632" s="19"/>
      <c r="S632" s="16"/>
    </row>
    <row r="633" spans="1:19">
      <c r="A633" s="21"/>
      <c r="B633" s="4"/>
      <c r="C633" s="4"/>
      <c r="D633" s="4"/>
      <c r="E633" s="4"/>
      <c r="F633" s="390"/>
      <c r="G633" s="390"/>
      <c r="H633" s="390"/>
      <c r="I633" s="16"/>
      <c r="J633" s="390"/>
      <c r="K633" s="21"/>
      <c r="L633" s="4"/>
      <c r="M633" s="4"/>
      <c r="N633" s="4"/>
      <c r="O633" s="4"/>
      <c r="P633" s="390"/>
      <c r="Q633" s="390"/>
      <c r="R633" s="390"/>
      <c r="S633" s="16"/>
    </row>
    <row r="634" spans="1:19">
      <c r="A634" s="21">
        <v>4</v>
      </c>
      <c r="B634" s="1265" t="s">
        <v>62</v>
      </c>
      <c r="C634" s="1265"/>
      <c r="D634" s="1265"/>
      <c r="E634" s="23" t="s">
        <v>63</v>
      </c>
      <c r="F634" s="19"/>
      <c r="G634" s="19"/>
      <c r="H634" s="19"/>
      <c r="I634" s="16"/>
      <c r="J634" s="390"/>
      <c r="K634" s="21">
        <v>4</v>
      </c>
      <c r="L634" s="1265" t="s">
        <v>62</v>
      </c>
      <c r="M634" s="1265"/>
      <c r="N634" s="1265"/>
      <c r="O634" s="23" t="s">
        <v>63</v>
      </c>
      <c r="P634" s="19"/>
      <c r="Q634" s="19"/>
      <c r="R634" s="19"/>
      <c r="S634" s="16"/>
    </row>
    <row r="635" spans="1:19">
      <c r="A635" s="21"/>
      <c r="B635" s="4"/>
      <c r="C635" s="4"/>
      <c r="D635" s="4"/>
      <c r="E635" s="4"/>
      <c r="F635" s="390"/>
      <c r="G635" s="390"/>
      <c r="H635" s="390"/>
      <c r="I635" s="16"/>
      <c r="J635" s="390"/>
      <c r="K635" s="21"/>
      <c r="L635" s="4"/>
      <c r="M635" s="4"/>
      <c r="N635" s="4"/>
      <c r="O635" s="4"/>
      <c r="P635" s="390"/>
      <c r="Q635" s="390"/>
      <c r="R635" s="390"/>
      <c r="S635" s="16"/>
    </row>
    <row r="636" spans="1:19">
      <c r="A636" s="21">
        <v>5</v>
      </c>
      <c r="B636" s="1265" t="s">
        <v>64</v>
      </c>
      <c r="C636" s="1265"/>
      <c r="D636" s="1265"/>
      <c r="E636" s="295">
        <f>'04-22-Master'!AG31</f>
        <v>88276.332079999993</v>
      </c>
      <c r="F636" s="390"/>
      <c r="G636" s="390"/>
      <c r="H636" s="390"/>
      <c r="I636" s="16"/>
      <c r="J636" s="390"/>
      <c r="K636" s="21">
        <v>5</v>
      </c>
      <c r="L636" s="1265" t="s">
        <v>64</v>
      </c>
      <c r="M636" s="1265"/>
      <c r="N636" s="1265"/>
      <c r="O636" s="295">
        <f>E636</f>
        <v>88276.332079999993</v>
      </c>
      <c r="P636" s="390"/>
      <c r="Q636" s="390"/>
      <c r="R636" s="390"/>
      <c r="S636" s="16"/>
    </row>
    <row r="637" spans="1:19">
      <c r="A637" s="21"/>
      <c r="B637" s="4"/>
      <c r="C637" s="4"/>
      <c r="D637" s="296" t="s">
        <v>65</v>
      </c>
      <c r="E637" s="296" t="s">
        <v>31</v>
      </c>
      <c r="F637" s="296" t="s">
        <v>33</v>
      </c>
      <c r="G637" s="296" t="s">
        <v>34</v>
      </c>
      <c r="H637" s="296" t="s">
        <v>399</v>
      </c>
      <c r="I637" s="294" t="s">
        <v>400</v>
      </c>
      <c r="J637" s="390"/>
      <c r="K637" s="21"/>
      <c r="L637" s="4"/>
      <c r="M637" s="4"/>
      <c r="N637" s="296" t="s">
        <v>65</v>
      </c>
      <c r="O637" s="296" t="s">
        <v>31</v>
      </c>
      <c r="P637" s="296" t="s">
        <v>33</v>
      </c>
      <c r="Q637" s="296" t="s">
        <v>34</v>
      </c>
      <c r="R637" s="296" t="s">
        <v>399</v>
      </c>
      <c r="S637" s="294" t="s">
        <v>400</v>
      </c>
    </row>
    <row r="638" spans="1:19">
      <c r="A638" s="21">
        <v>6</v>
      </c>
      <c r="B638" s="831" t="s">
        <v>66</v>
      </c>
      <c r="C638" s="831"/>
      <c r="D638" s="297">
        <f>'04-22-Master'!AI31</f>
        <v>1800</v>
      </c>
      <c r="E638" s="297">
        <f>'04-22-Master'!AH682</f>
        <v>0</v>
      </c>
      <c r="F638" s="298">
        <f>'04-22-Master'!AJ31</f>
        <v>200</v>
      </c>
      <c r="G638" s="297">
        <f>'04-22-Master'!AK31</f>
        <v>0</v>
      </c>
      <c r="H638" s="298">
        <f>'04-22-Master'!AL31</f>
        <v>283</v>
      </c>
      <c r="I638" s="298">
        <f>D638+E638+F638+G638+H638</f>
        <v>2283</v>
      </c>
      <c r="J638" s="390"/>
      <c r="K638" s="21">
        <v>6</v>
      </c>
      <c r="L638" s="831" t="s">
        <v>66</v>
      </c>
      <c r="M638" s="831"/>
      <c r="N638" s="297">
        <f t="shared" ref="N638" si="80">D638</f>
        <v>1800</v>
      </c>
      <c r="O638" s="297">
        <f t="shared" ref="O638" si="81">E638</f>
        <v>0</v>
      </c>
      <c r="P638" s="298">
        <f t="shared" ref="P638" si="82">F638</f>
        <v>200</v>
      </c>
      <c r="Q638" s="297">
        <f t="shared" ref="Q638" si="83">G638</f>
        <v>0</v>
      </c>
      <c r="R638" s="298">
        <f t="shared" ref="R638" si="84">H638</f>
        <v>283</v>
      </c>
      <c r="S638" s="298">
        <f t="shared" ref="S638" si="85">I638</f>
        <v>2283</v>
      </c>
    </row>
    <row r="639" spans="1:19">
      <c r="A639" s="21"/>
      <c r="B639" s="4"/>
      <c r="C639" s="4"/>
      <c r="D639" s="4"/>
      <c r="E639" s="4"/>
      <c r="F639" s="390"/>
      <c r="G639" s="390"/>
      <c r="H639" s="390"/>
      <c r="I639" s="16"/>
      <c r="J639" s="390"/>
      <c r="K639" s="21"/>
      <c r="L639" s="4"/>
      <c r="M639" s="4"/>
      <c r="N639" s="4"/>
      <c r="O639" s="4"/>
      <c r="P639" s="390"/>
      <c r="Q639" s="390"/>
      <c r="R639" s="390"/>
      <c r="S639" s="16"/>
    </row>
    <row r="640" spans="1:19">
      <c r="A640" s="21">
        <v>7</v>
      </c>
      <c r="B640" s="1265" t="s">
        <v>67</v>
      </c>
      <c r="C640" s="1265"/>
      <c r="D640" s="1265"/>
      <c r="E640" s="24">
        <f>E636-I638</f>
        <v>85993.332079999993</v>
      </c>
      <c r="F640" s="19"/>
      <c r="G640" s="19"/>
      <c r="H640" s="19"/>
      <c r="I640" s="16"/>
      <c r="J640" s="390"/>
      <c r="K640" s="21">
        <v>7</v>
      </c>
      <c r="L640" s="1265" t="s">
        <v>67</v>
      </c>
      <c r="M640" s="1265"/>
      <c r="N640" s="1265"/>
      <c r="O640" s="24">
        <f>E640</f>
        <v>85993.332079999993</v>
      </c>
      <c r="P640" s="19"/>
      <c r="Q640" s="19"/>
      <c r="R640" s="19"/>
      <c r="S640" s="16"/>
    </row>
    <row r="641" spans="1:19">
      <c r="A641" s="15"/>
      <c r="B641" s="390"/>
      <c r="C641" s="390"/>
      <c r="D641" s="390"/>
      <c r="E641" s="390"/>
      <c r="F641" s="390"/>
      <c r="G641" s="390"/>
      <c r="H641" s="390"/>
      <c r="I641" s="16"/>
      <c r="J641" s="390"/>
      <c r="K641" s="15"/>
      <c r="L641" s="390"/>
      <c r="M641" s="390"/>
      <c r="N641" s="390"/>
      <c r="O641" s="390"/>
      <c r="P641" s="390"/>
      <c r="Q641" s="390"/>
      <c r="R641" s="390"/>
      <c r="S641" s="16"/>
    </row>
    <row r="642" spans="1:19">
      <c r="A642" s="15"/>
      <c r="B642" s="390"/>
      <c r="C642" s="390"/>
      <c r="D642" s="390"/>
      <c r="E642" s="390"/>
      <c r="F642" s="390"/>
      <c r="G642" s="390"/>
      <c r="H642" s="390"/>
      <c r="I642" s="16"/>
      <c r="J642" s="390"/>
      <c r="K642" s="15"/>
      <c r="L642" s="390"/>
      <c r="M642" s="390"/>
      <c r="N642" s="390"/>
      <c r="O642" s="390"/>
      <c r="P642" s="390"/>
      <c r="Q642" s="390"/>
      <c r="R642" s="390"/>
      <c r="S642" s="16"/>
    </row>
    <row r="643" spans="1:19" ht="15.75" thickBot="1">
      <c r="A643" s="15"/>
      <c r="B643" s="390"/>
      <c r="C643" s="390"/>
      <c r="D643" s="390"/>
      <c r="E643" s="390"/>
      <c r="F643" s="25"/>
      <c r="G643" s="25"/>
      <c r="H643" s="25"/>
      <c r="I643" s="26"/>
      <c r="J643" s="390"/>
      <c r="K643" s="15"/>
      <c r="L643" s="390"/>
      <c r="M643" s="390"/>
      <c r="N643" s="390"/>
      <c r="O643" s="390"/>
      <c r="P643" s="25"/>
      <c r="Q643" s="25"/>
      <c r="R643" s="25"/>
      <c r="S643" s="26"/>
    </row>
    <row r="644" spans="1:19" ht="15.75" thickBot="1">
      <c r="A644" s="27"/>
      <c r="B644" s="25"/>
      <c r="C644" s="25"/>
      <c r="D644" s="25"/>
      <c r="E644" s="25"/>
      <c r="F644" s="1266" t="s">
        <v>68</v>
      </c>
      <c r="G644" s="1266"/>
      <c r="H644" s="1266"/>
      <c r="I644" s="1267"/>
      <c r="J644" s="390"/>
      <c r="K644" s="27"/>
      <c r="L644" s="25"/>
      <c r="M644" s="25"/>
      <c r="N644" s="25"/>
      <c r="O644" s="25"/>
      <c r="P644" s="1266" t="s">
        <v>68</v>
      </c>
      <c r="Q644" s="1266"/>
      <c r="R644" s="1266"/>
      <c r="S644" s="1267"/>
    </row>
    <row r="645" spans="1:19">
      <c r="A645" s="390"/>
      <c r="B645" s="390"/>
      <c r="C645" s="390"/>
      <c r="D645" s="390"/>
      <c r="E645" s="390"/>
      <c r="F645" s="390"/>
      <c r="G645" s="390"/>
      <c r="H645" s="390"/>
      <c r="I645" s="390"/>
      <c r="J645" s="390"/>
      <c r="K645" s="390"/>
      <c r="L645" s="390"/>
      <c r="M645" s="390"/>
      <c r="N645" s="390"/>
      <c r="O645" s="390"/>
      <c r="P645" s="390"/>
      <c r="Q645" s="390"/>
      <c r="R645" s="390"/>
      <c r="S645" s="390"/>
    </row>
    <row r="646" spans="1:19">
      <c r="A646" s="390"/>
      <c r="B646" s="390"/>
      <c r="C646" s="390"/>
      <c r="D646" s="390"/>
      <c r="E646" s="390"/>
      <c r="F646" s="390"/>
      <c r="G646" s="390"/>
      <c r="H646" s="390"/>
      <c r="I646" s="390"/>
      <c r="J646" s="390"/>
      <c r="K646" s="390"/>
      <c r="L646" s="390"/>
      <c r="M646" s="390"/>
      <c r="N646" s="390"/>
      <c r="O646" s="390"/>
      <c r="P646" s="390"/>
      <c r="Q646" s="390"/>
      <c r="R646" s="390"/>
      <c r="S646" s="390"/>
    </row>
    <row r="647" spans="1:19">
      <c r="A647" s="390"/>
      <c r="B647" s="390"/>
      <c r="C647" s="390"/>
      <c r="D647" s="390"/>
      <c r="E647" s="390"/>
      <c r="F647" s="390"/>
      <c r="G647" s="390"/>
      <c r="H647" s="390"/>
      <c r="I647" s="390"/>
      <c r="J647" s="390"/>
      <c r="K647" s="390"/>
      <c r="L647" s="390"/>
      <c r="M647" s="390"/>
      <c r="N647" s="390"/>
      <c r="O647" s="390"/>
      <c r="P647" s="390"/>
      <c r="Q647" s="390"/>
      <c r="R647" s="390"/>
      <c r="S647" s="390"/>
    </row>
    <row r="648" spans="1:19" ht="15.75" thickBot="1">
      <c r="A648" s="390"/>
      <c r="B648" s="390"/>
      <c r="C648" s="390"/>
      <c r="D648" s="390"/>
      <c r="E648" s="390"/>
      <c r="F648" s="390"/>
      <c r="G648" s="390"/>
      <c r="H648" s="390"/>
      <c r="I648" s="390"/>
      <c r="J648" s="390"/>
      <c r="K648" s="390"/>
      <c r="L648" s="390"/>
      <c r="M648" s="390"/>
      <c r="N648" s="390"/>
      <c r="O648" s="390"/>
      <c r="P648" s="390"/>
      <c r="Q648" s="390"/>
      <c r="R648" s="390"/>
      <c r="S648" s="390"/>
    </row>
    <row r="649" spans="1:19" ht="33.75" customHeight="1">
      <c r="A649" s="1270" t="s">
        <v>53</v>
      </c>
      <c r="B649" s="1271"/>
      <c r="C649" s="1271"/>
      <c r="D649" s="1271"/>
      <c r="E649" s="1271"/>
      <c r="F649" s="1271"/>
      <c r="G649" s="1271"/>
      <c r="H649" s="1271"/>
      <c r="I649" s="1272"/>
      <c r="J649" s="390"/>
      <c r="K649" s="1270" t="s">
        <v>53</v>
      </c>
      <c r="L649" s="1271"/>
      <c r="M649" s="1271"/>
      <c r="N649" s="1271"/>
      <c r="O649" s="1271"/>
      <c r="P649" s="1271"/>
      <c r="Q649" s="1271"/>
      <c r="R649" s="1271"/>
      <c r="S649" s="1272"/>
    </row>
    <row r="650" spans="1:19">
      <c r="A650" s="1273" t="s">
        <v>54</v>
      </c>
      <c r="B650" s="1274"/>
      <c r="C650" s="1274"/>
      <c r="D650" s="1274"/>
      <c r="E650" s="1274"/>
      <c r="F650" s="1274"/>
      <c r="G650" s="1274"/>
      <c r="H650" s="1274"/>
      <c r="I650" s="1211"/>
      <c r="J650" s="390"/>
      <c r="K650" s="1273" t="s">
        <v>54</v>
      </c>
      <c r="L650" s="1274"/>
      <c r="M650" s="1274"/>
      <c r="N650" s="1274"/>
      <c r="O650" s="1274"/>
      <c r="P650" s="1274"/>
      <c r="Q650" s="1274"/>
      <c r="R650" s="1274"/>
      <c r="S650" s="1211"/>
    </row>
    <row r="651" spans="1:19">
      <c r="A651" s="15"/>
      <c r="B651" s="390"/>
      <c r="C651" s="390"/>
      <c r="D651" s="390"/>
      <c r="E651" s="390"/>
      <c r="F651" s="390"/>
      <c r="G651" s="390"/>
      <c r="H651" s="390"/>
      <c r="I651" s="16"/>
      <c r="J651" s="390"/>
      <c r="K651" s="15"/>
      <c r="L651" s="390"/>
      <c r="M651" s="390"/>
      <c r="N651" s="390"/>
      <c r="O651" s="390"/>
      <c r="P651" s="390"/>
      <c r="Q651" s="390"/>
      <c r="R651" s="390"/>
      <c r="S651" s="16"/>
    </row>
    <row r="652" spans="1:19">
      <c r="A652" s="17" t="s">
        <v>55</v>
      </c>
      <c r="B652" s="4"/>
      <c r="C652" s="4"/>
      <c r="D652" s="317" t="s">
        <v>425</v>
      </c>
      <c r="E652" s="390"/>
      <c r="F652" s="390"/>
      <c r="G652" s="390"/>
      <c r="H652" s="390"/>
      <c r="I652" s="16"/>
      <c r="J652" s="390"/>
      <c r="K652" s="17" t="s">
        <v>55</v>
      </c>
      <c r="L652" s="4"/>
      <c r="M652" s="4"/>
      <c r="N652" s="8"/>
      <c r="O652" s="381" t="str">
        <f>D652</f>
        <v>Burgeon IT Services Pvt.Ltd.</v>
      </c>
      <c r="P652" s="390"/>
      <c r="Q652" s="390"/>
      <c r="R652" s="390"/>
      <c r="S652" s="16"/>
    </row>
    <row r="653" spans="1:19">
      <c r="A653" s="17"/>
      <c r="B653" s="150" t="s">
        <v>426</v>
      </c>
      <c r="C653" s="4"/>
      <c r="D653" s="390"/>
      <c r="E653" s="390"/>
      <c r="F653" s="390"/>
      <c r="G653" s="390"/>
      <c r="H653" s="390"/>
      <c r="I653" s="16"/>
      <c r="J653" s="390"/>
      <c r="K653" s="17"/>
      <c r="L653" s="4"/>
      <c r="M653" s="4"/>
      <c r="N653" s="4"/>
      <c r="O653" s="390"/>
      <c r="P653" s="390"/>
      <c r="Q653" s="390"/>
      <c r="R653" s="390"/>
      <c r="S653" s="16"/>
    </row>
    <row r="654" spans="1:19">
      <c r="A654" s="17"/>
      <c r="B654" s="4"/>
      <c r="C654" s="4"/>
      <c r="D654" s="4"/>
      <c r="E654" s="4"/>
      <c r="F654" s="390"/>
      <c r="G654" s="390"/>
      <c r="H654" s="390"/>
      <c r="I654" s="16"/>
      <c r="J654" s="390"/>
      <c r="K654" s="17"/>
      <c r="L654" s="4" t="str">
        <f>B653</f>
        <v>Siri Mansion LIGB 436 Dr.A S Rao Nagar,Hyderabad</v>
      </c>
      <c r="M654" s="4"/>
      <c r="N654" s="4"/>
      <c r="O654" s="4"/>
      <c r="P654" s="390"/>
      <c r="Q654" s="390"/>
      <c r="R654" s="390"/>
      <c r="S654" s="16"/>
    </row>
    <row r="655" spans="1:19">
      <c r="A655" s="1275" t="s">
        <v>56</v>
      </c>
      <c r="B655" s="1269"/>
      <c r="C655" s="1269"/>
      <c r="D655" s="1269"/>
      <c r="E655" s="4"/>
      <c r="F655" s="390"/>
      <c r="G655" s="390"/>
      <c r="H655" s="390"/>
      <c r="I655" s="16"/>
      <c r="J655" s="390"/>
      <c r="K655" s="1275" t="s">
        <v>56</v>
      </c>
      <c r="L655" s="1269"/>
      <c r="M655" s="1269"/>
      <c r="N655" s="1269"/>
      <c r="O655" s="4"/>
      <c r="P655" s="390"/>
      <c r="Q655" s="390"/>
      <c r="R655" s="390"/>
      <c r="S655" s="16"/>
    </row>
    <row r="656" spans="1:19">
      <c r="A656" s="1275"/>
      <c r="B656" s="1269"/>
      <c r="C656" s="1269"/>
      <c r="D656" s="1269"/>
      <c r="E656" s="390" t="str">
        <f>'04-22-Master'!B32</f>
        <v xml:space="preserve"> MUMMANA ANILKUMAR</v>
      </c>
      <c r="F656" s="19"/>
      <c r="G656" s="19"/>
      <c r="H656" s="19" t="str">
        <f>'04-22-Master'!E32</f>
        <v>MUMMANA VENKATESWARLU</v>
      </c>
      <c r="I656" s="16"/>
      <c r="J656" s="390"/>
      <c r="K656" s="1275"/>
      <c r="L656" s="1269"/>
      <c r="M656" s="1269"/>
      <c r="N656" s="1269"/>
      <c r="O656" s="18" t="str">
        <f>E656</f>
        <v xml:space="preserve"> MUMMANA ANILKUMAR</v>
      </c>
      <c r="P656" s="19"/>
      <c r="Q656" s="19"/>
      <c r="R656" s="19" t="str">
        <f>H656</f>
        <v>MUMMANA VENKATESWARLU</v>
      </c>
      <c r="S656" s="16"/>
    </row>
    <row r="657" spans="1:19">
      <c r="A657" s="17"/>
      <c r="B657" s="4"/>
      <c r="C657" s="4"/>
      <c r="D657" s="4"/>
      <c r="E657" s="4"/>
      <c r="F657" s="390"/>
      <c r="G657" s="390"/>
      <c r="H657" s="390"/>
      <c r="I657" s="16"/>
      <c r="J657" s="390"/>
      <c r="K657" s="17"/>
      <c r="L657" s="4"/>
      <c r="M657" s="4"/>
      <c r="N657" s="4"/>
      <c r="O657" s="4"/>
      <c r="P657" s="390"/>
      <c r="Q657" s="390"/>
      <c r="R657" s="390"/>
      <c r="S657" s="16"/>
    </row>
    <row r="658" spans="1:19">
      <c r="A658" s="1268" t="s">
        <v>57</v>
      </c>
      <c r="B658" s="1265"/>
      <c r="C658" s="1265"/>
      <c r="D658" s="1265"/>
      <c r="E658" s="18" t="s">
        <v>819</v>
      </c>
      <c r="F658" s="19"/>
      <c r="G658" s="19"/>
      <c r="H658" s="19"/>
      <c r="I658" s="16"/>
      <c r="J658" s="390"/>
      <c r="K658" s="1268" t="s">
        <v>57</v>
      </c>
      <c r="L658" s="1265"/>
      <c r="M658" s="1265"/>
      <c r="N658" s="1265"/>
      <c r="O658" s="18" t="str">
        <f>E658</f>
        <v>IT SUPPORTIVE SERVICES &amp; HYDERABAD SEZ</v>
      </c>
      <c r="P658" s="19"/>
      <c r="Q658" s="19"/>
      <c r="R658" s="19"/>
      <c r="S658" s="16"/>
    </row>
    <row r="659" spans="1:19">
      <c r="A659" s="17"/>
      <c r="B659" s="4"/>
      <c r="C659" s="4"/>
      <c r="D659" s="4"/>
      <c r="E659" s="4"/>
      <c r="F659" s="390"/>
      <c r="G659" s="390"/>
      <c r="H659" s="390"/>
      <c r="I659" s="16"/>
      <c r="J659" s="390"/>
      <c r="K659" s="17"/>
      <c r="L659" s="4"/>
      <c r="M659" s="4"/>
      <c r="N659" s="4"/>
      <c r="O659" s="4"/>
      <c r="P659" s="390"/>
      <c r="Q659" s="390"/>
      <c r="R659" s="390"/>
      <c r="S659" s="16"/>
    </row>
    <row r="660" spans="1:19">
      <c r="A660" s="1268" t="s">
        <v>58</v>
      </c>
      <c r="B660" s="1265"/>
      <c r="C660" s="1265"/>
      <c r="D660" s="1265"/>
      <c r="E660" s="20">
        <f>'04-22-Master'!D10</f>
        <v>44652</v>
      </c>
      <c r="F660" s="19"/>
      <c r="G660" s="19"/>
      <c r="H660" s="19"/>
      <c r="I660" s="16"/>
      <c r="J660" s="390"/>
      <c r="K660" s="1268" t="s">
        <v>58</v>
      </c>
      <c r="L660" s="1265"/>
      <c r="M660" s="1265"/>
      <c r="N660" s="1265"/>
      <c r="O660" s="20">
        <f>E660</f>
        <v>44652</v>
      </c>
      <c r="P660" s="19"/>
      <c r="Q660" s="19"/>
      <c r="R660" s="19"/>
      <c r="S660" s="16"/>
    </row>
    <row r="661" spans="1:19">
      <c r="A661" s="17"/>
      <c r="B661" s="4"/>
      <c r="C661" s="4"/>
      <c r="D661" s="4"/>
      <c r="E661" s="4"/>
      <c r="F661" s="390"/>
      <c r="G661" s="390"/>
      <c r="H661" s="390"/>
      <c r="I661" s="16"/>
      <c r="J661" s="390"/>
      <c r="K661" s="17"/>
      <c r="L661" s="4"/>
      <c r="M661" s="4"/>
      <c r="N661" s="4"/>
      <c r="O661" s="4"/>
      <c r="P661" s="390"/>
      <c r="Q661" s="390"/>
      <c r="R661" s="390"/>
      <c r="S661" s="16"/>
    </row>
    <row r="662" spans="1:19">
      <c r="A662" s="21">
        <v>1</v>
      </c>
      <c r="B662" s="1265" t="s">
        <v>59</v>
      </c>
      <c r="C662" s="1265"/>
      <c r="D662" s="1265"/>
      <c r="E662" s="22">
        <f>'04-22-Master'!Q32</f>
        <v>30</v>
      </c>
      <c r="F662" s="19"/>
      <c r="G662" s="19"/>
      <c r="H662" s="19"/>
      <c r="I662" s="16"/>
      <c r="J662" s="390"/>
      <c r="K662" s="21">
        <v>1</v>
      </c>
      <c r="L662" s="1265" t="s">
        <v>59</v>
      </c>
      <c r="M662" s="1265"/>
      <c r="N662" s="1265"/>
      <c r="O662" s="22">
        <f>E662</f>
        <v>30</v>
      </c>
      <c r="P662" s="19"/>
      <c r="Q662" s="19"/>
      <c r="R662" s="19"/>
      <c r="S662" s="16"/>
    </row>
    <row r="663" spans="1:19">
      <c r="A663" s="21"/>
      <c r="B663" s="4"/>
      <c r="C663" s="4"/>
      <c r="D663" s="4"/>
      <c r="E663" s="4"/>
      <c r="F663" s="390"/>
      <c r="G663" s="390"/>
      <c r="H663" s="390"/>
      <c r="I663" s="16"/>
      <c r="J663" s="390"/>
      <c r="K663" s="21"/>
      <c r="L663" s="4"/>
      <c r="M663" s="4"/>
      <c r="N663" s="4"/>
      <c r="O663" s="4"/>
      <c r="P663" s="390"/>
      <c r="Q663" s="390"/>
      <c r="R663" s="390"/>
      <c r="S663" s="16"/>
    </row>
    <row r="664" spans="1:19">
      <c r="A664" s="21">
        <v>2</v>
      </c>
      <c r="B664" s="1269" t="s">
        <v>60</v>
      </c>
      <c r="C664" s="1269"/>
      <c r="D664" s="1269"/>
      <c r="E664" s="4"/>
      <c r="F664" s="390"/>
      <c r="G664" s="390"/>
      <c r="H664" s="390"/>
      <c r="I664" s="16"/>
      <c r="J664" s="390"/>
      <c r="K664" s="21">
        <v>2</v>
      </c>
      <c r="L664" s="1269" t="s">
        <v>60</v>
      </c>
      <c r="M664" s="1269"/>
      <c r="N664" s="1269"/>
      <c r="O664" s="4"/>
      <c r="P664" s="390"/>
      <c r="Q664" s="390"/>
      <c r="R664" s="390"/>
      <c r="S664" s="16"/>
    </row>
    <row r="665" spans="1:19">
      <c r="A665" s="21"/>
      <c r="B665" s="1269"/>
      <c r="C665" s="1269"/>
      <c r="D665" s="1269"/>
      <c r="E665" s="23" t="s">
        <v>37</v>
      </c>
      <c r="F665" s="19"/>
      <c r="G665" s="19"/>
      <c r="H665" s="19"/>
      <c r="I665" s="16"/>
      <c r="J665" s="390"/>
      <c r="K665" s="21"/>
      <c r="L665" s="1269"/>
      <c r="M665" s="1269"/>
      <c r="N665" s="1269"/>
      <c r="O665" s="23" t="s">
        <v>37</v>
      </c>
      <c r="P665" s="19"/>
      <c r="Q665" s="19"/>
      <c r="R665" s="19"/>
      <c r="S665" s="16"/>
    </row>
    <row r="666" spans="1:19">
      <c r="A666" s="21"/>
      <c r="B666" s="4"/>
      <c r="C666" s="4"/>
      <c r="D666" s="4"/>
      <c r="E666" s="4"/>
      <c r="F666" s="390"/>
      <c r="G666" s="390"/>
      <c r="H666" s="390"/>
      <c r="I666" s="16"/>
      <c r="J666" s="390"/>
      <c r="K666" s="21"/>
      <c r="L666" s="4"/>
      <c r="M666" s="4"/>
      <c r="N666" s="4"/>
      <c r="O666" s="4"/>
      <c r="P666" s="390"/>
      <c r="Q666" s="390"/>
      <c r="R666" s="390"/>
      <c r="S666" s="16"/>
    </row>
    <row r="667" spans="1:19">
      <c r="A667" s="21">
        <v>3</v>
      </c>
      <c r="B667" s="1265" t="s">
        <v>61</v>
      </c>
      <c r="C667" s="1265"/>
      <c r="D667" s="1265"/>
      <c r="E667" s="23" t="s">
        <v>37</v>
      </c>
      <c r="F667" s="19"/>
      <c r="G667" s="19"/>
      <c r="H667" s="19"/>
      <c r="I667" s="16"/>
      <c r="J667" s="390"/>
      <c r="K667" s="21">
        <v>3</v>
      </c>
      <c r="L667" s="1265" t="s">
        <v>61</v>
      </c>
      <c r="M667" s="1265"/>
      <c r="N667" s="1265"/>
      <c r="O667" s="18" t="str">
        <f>E667</f>
        <v>N/A</v>
      </c>
      <c r="P667" s="19"/>
      <c r="Q667" s="19"/>
      <c r="R667" s="19"/>
      <c r="S667" s="16"/>
    </row>
    <row r="668" spans="1:19">
      <c r="A668" s="21"/>
      <c r="B668" s="4"/>
      <c r="C668" s="4"/>
      <c r="D668" s="4"/>
      <c r="E668" s="4"/>
      <c r="F668" s="390"/>
      <c r="G668" s="390"/>
      <c r="H668" s="390"/>
      <c r="I668" s="16"/>
      <c r="J668" s="390"/>
      <c r="K668" s="21"/>
      <c r="L668" s="4"/>
      <c r="M668" s="4"/>
      <c r="N668" s="4"/>
      <c r="O668" s="4"/>
      <c r="P668" s="390"/>
      <c r="Q668" s="390"/>
      <c r="R668" s="390"/>
      <c r="S668" s="16"/>
    </row>
    <row r="669" spans="1:19">
      <c r="A669" s="21">
        <v>4</v>
      </c>
      <c r="B669" s="1265" t="s">
        <v>62</v>
      </c>
      <c r="C669" s="1265"/>
      <c r="D669" s="1265"/>
      <c r="E669" s="23" t="s">
        <v>63</v>
      </c>
      <c r="F669" s="19"/>
      <c r="G669" s="19"/>
      <c r="H669" s="19"/>
      <c r="I669" s="16"/>
      <c r="J669" s="390"/>
      <c r="K669" s="21">
        <v>4</v>
      </c>
      <c r="L669" s="1265" t="s">
        <v>62</v>
      </c>
      <c r="M669" s="1265"/>
      <c r="N669" s="1265"/>
      <c r="O669" s="23" t="s">
        <v>63</v>
      </c>
      <c r="P669" s="19"/>
      <c r="Q669" s="19"/>
      <c r="R669" s="19"/>
      <c r="S669" s="16"/>
    </row>
    <row r="670" spans="1:19">
      <c r="A670" s="21"/>
      <c r="B670" s="4"/>
      <c r="C670" s="4"/>
      <c r="D670" s="4"/>
      <c r="E670" s="4"/>
      <c r="F670" s="390"/>
      <c r="G670" s="390"/>
      <c r="H670" s="390"/>
      <c r="I670" s="16"/>
      <c r="J670" s="390"/>
      <c r="K670" s="21"/>
      <c r="L670" s="4"/>
      <c r="M670" s="4"/>
      <c r="N670" s="4"/>
      <c r="O670" s="4"/>
      <c r="P670" s="390"/>
      <c r="Q670" s="390"/>
      <c r="R670" s="390"/>
      <c r="S670" s="16"/>
    </row>
    <row r="671" spans="1:19">
      <c r="A671" s="21">
        <v>5</v>
      </c>
      <c r="B671" s="1265" t="s">
        <v>64</v>
      </c>
      <c r="C671" s="1265"/>
      <c r="D671" s="1265"/>
      <c r="E671" s="295">
        <f>'04-22-Master'!AG32</f>
        <v>143275.53602</v>
      </c>
      <c r="F671" s="390"/>
      <c r="G671" s="390"/>
      <c r="H671" s="390"/>
      <c r="I671" s="16"/>
      <c r="J671" s="390"/>
      <c r="K671" s="21">
        <v>5</v>
      </c>
      <c r="L671" s="1265" t="s">
        <v>64</v>
      </c>
      <c r="M671" s="1265"/>
      <c r="N671" s="1265"/>
      <c r="O671" s="295">
        <f>E671</f>
        <v>143275.53602</v>
      </c>
      <c r="P671" s="390"/>
      <c r="Q671" s="390"/>
      <c r="R671" s="390"/>
      <c r="S671" s="16"/>
    </row>
    <row r="672" spans="1:19">
      <c r="A672" s="21"/>
      <c r="B672" s="4"/>
      <c r="C672" s="4"/>
      <c r="D672" s="296" t="s">
        <v>65</v>
      </c>
      <c r="E672" s="296" t="s">
        <v>31</v>
      </c>
      <c r="F672" s="296" t="s">
        <v>33</v>
      </c>
      <c r="G672" s="296" t="s">
        <v>34</v>
      </c>
      <c r="H672" s="296" t="s">
        <v>399</v>
      </c>
      <c r="I672" s="294" t="s">
        <v>400</v>
      </c>
      <c r="J672" s="390"/>
      <c r="K672" s="21"/>
      <c r="L672" s="4"/>
      <c r="M672" s="4"/>
      <c r="N672" s="296" t="s">
        <v>65</v>
      </c>
      <c r="O672" s="296" t="s">
        <v>31</v>
      </c>
      <c r="P672" s="296" t="s">
        <v>33</v>
      </c>
      <c r="Q672" s="296" t="s">
        <v>34</v>
      </c>
      <c r="R672" s="296" t="s">
        <v>399</v>
      </c>
      <c r="S672" s="294" t="s">
        <v>400</v>
      </c>
    </row>
    <row r="673" spans="1:19">
      <c r="A673" s="21">
        <v>6</v>
      </c>
      <c r="B673" s="831" t="s">
        <v>66</v>
      </c>
      <c r="C673" s="831"/>
      <c r="D673" s="297">
        <f>'04-22-Master'!AI32</f>
        <v>1800</v>
      </c>
      <c r="E673" s="297">
        <f>'04-22-Master'!AH717</f>
        <v>0</v>
      </c>
      <c r="F673" s="298">
        <f>'04-22-Master'!AJ32</f>
        <v>200</v>
      </c>
      <c r="G673" s="297">
        <f>'04-22-Master'!AK32</f>
        <v>0</v>
      </c>
      <c r="H673" s="298">
        <f>'04-22-Master'!AL32</f>
        <v>283</v>
      </c>
      <c r="I673" s="298">
        <f>D673+E673+F673+G673+H673</f>
        <v>2283</v>
      </c>
      <c r="J673" s="390"/>
      <c r="K673" s="21">
        <v>6</v>
      </c>
      <c r="L673" s="831" t="s">
        <v>66</v>
      </c>
      <c r="M673" s="831"/>
      <c r="N673" s="297">
        <f t="shared" ref="N673" si="86">D673</f>
        <v>1800</v>
      </c>
      <c r="O673" s="297">
        <f t="shared" ref="O673" si="87">E673</f>
        <v>0</v>
      </c>
      <c r="P673" s="298">
        <f t="shared" ref="P673" si="88">F673</f>
        <v>200</v>
      </c>
      <c r="Q673" s="297">
        <f t="shared" ref="Q673" si="89">G673</f>
        <v>0</v>
      </c>
      <c r="R673" s="298">
        <f t="shared" ref="R673" si="90">H673</f>
        <v>283</v>
      </c>
      <c r="S673" s="298">
        <f t="shared" ref="S673" si="91">I673</f>
        <v>2283</v>
      </c>
    </row>
    <row r="674" spans="1:19">
      <c r="A674" s="21"/>
      <c r="B674" s="4"/>
      <c r="C674" s="4"/>
      <c r="D674" s="4"/>
      <c r="E674" s="4"/>
      <c r="F674" s="390"/>
      <c r="G674" s="390"/>
      <c r="H674" s="390"/>
      <c r="I674" s="16"/>
      <c r="J674" s="390"/>
      <c r="K674" s="21"/>
      <c r="L674" s="4"/>
      <c r="M674" s="4"/>
      <c r="N674" s="4"/>
      <c r="O674" s="4"/>
      <c r="P674" s="390"/>
      <c r="Q674" s="390"/>
      <c r="R674" s="390"/>
      <c r="S674" s="16"/>
    </row>
    <row r="675" spans="1:19">
      <c r="A675" s="21">
        <v>7</v>
      </c>
      <c r="B675" s="1265" t="s">
        <v>67</v>
      </c>
      <c r="C675" s="1265"/>
      <c r="D675" s="1265"/>
      <c r="E675" s="24">
        <f>E671-I673</f>
        <v>140992.53602</v>
      </c>
      <c r="F675" s="19"/>
      <c r="G675" s="19"/>
      <c r="H675" s="19"/>
      <c r="I675" s="16"/>
      <c r="J675" s="390"/>
      <c r="K675" s="21">
        <v>7</v>
      </c>
      <c r="L675" s="1265" t="s">
        <v>67</v>
      </c>
      <c r="M675" s="1265"/>
      <c r="N675" s="1265"/>
      <c r="O675" s="24">
        <f>E675</f>
        <v>140992.53602</v>
      </c>
      <c r="P675" s="19"/>
      <c r="Q675" s="19"/>
      <c r="R675" s="19"/>
      <c r="S675" s="16"/>
    </row>
    <row r="676" spans="1:19">
      <c r="A676" s="15"/>
      <c r="B676" s="390"/>
      <c r="C676" s="390"/>
      <c r="D676" s="390"/>
      <c r="E676" s="390"/>
      <c r="F676" s="390"/>
      <c r="G676" s="390"/>
      <c r="H676" s="390"/>
      <c r="I676" s="16"/>
      <c r="J676" s="390"/>
      <c r="K676" s="15"/>
      <c r="L676" s="390"/>
      <c r="M676" s="390"/>
      <c r="N676" s="390"/>
      <c r="O676" s="390"/>
      <c r="P676" s="390"/>
      <c r="Q676" s="390"/>
      <c r="R676" s="390"/>
      <c r="S676" s="16"/>
    </row>
    <row r="677" spans="1:19">
      <c r="A677" s="15"/>
      <c r="B677" s="390"/>
      <c r="C677" s="390"/>
      <c r="D677" s="390"/>
      <c r="E677" s="390"/>
      <c r="F677" s="390"/>
      <c r="G677" s="390"/>
      <c r="H677" s="390"/>
      <c r="I677" s="16"/>
      <c r="J677" s="390"/>
      <c r="K677" s="15"/>
      <c r="L677" s="390"/>
      <c r="M677" s="390"/>
      <c r="N677" s="390"/>
      <c r="O677" s="390"/>
      <c r="P677" s="390"/>
      <c r="Q677" s="390"/>
      <c r="R677" s="390"/>
      <c r="S677" s="16"/>
    </row>
    <row r="678" spans="1:19" ht="15.75" thickBot="1">
      <c r="A678" s="15"/>
      <c r="B678" s="390"/>
      <c r="C678" s="390"/>
      <c r="D678" s="390"/>
      <c r="E678" s="390"/>
      <c r="F678" s="25"/>
      <c r="G678" s="25"/>
      <c r="H678" s="25"/>
      <c r="I678" s="26"/>
      <c r="J678" s="390"/>
      <c r="K678" s="15"/>
      <c r="L678" s="390"/>
      <c r="M678" s="390"/>
      <c r="N678" s="390"/>
      <c r="O678" s="390"/>
      <c r="P678" s="25"/>
      <c r="Q678" s="25"/>
      <c r="R678" s="25"/>
      <c r="S678" s="26"/>
    </row>
    <row r="679" spans="1:19" ht="15.75" thickBot="1">
      <c r="A679" s="27"/>
      <c r="B679" s="25"/>
      <c r="C679" s="25"/>
      <c r="D679" s="25"/>
      <c r="E679" s="25"/>
      <c r="F679" s="1266" t="s">
        <v>68</v>
      </c>
      <c r="G679" s="1266"/>
      <c r="H679" s="1266"/>
      <c r="I679" s="1267"/>
      <c r="J679" s="390"/>
      <c r="K679" s="27"/>
      <c r="L679" s="25"/>
      <c r="M679" s="25"/>
      <c r="N679" s="25"/>
      <c r="O679" s="25"/>
      <c r="P679" s="1266" t="s">
        <v>68</v>
      </c>
      <c r="Q679" s="1266"/>
      <c r="R679" s="1266"/>
      <c r="S679" s="1267"/>
    </row>
    <row r="680" spans="1:19">
      <c r="A680" s="855"/>
      <c r="B680" s="855"/>
      <c r="C680" s="855"/>
      <c r="D680" s="855"/>
      <c r="E680" s="855"/>
      <c r="F680" s="855"/>
      <c r="G680" s="855"/>
      <c r="H680" s="855"/>
      <c r="I680" s="855"/>
      <c r="J680" s="855"/>
      <c r="K680" s="855"/>
      <c r="L680" s="855"/>
      <c r="M680" s="855"/>
      <c r="N680" s="855"/>
      <c r="O680" s="855"/>
      <c r="P680" s="855"/>
      <c r="Q680" s="855"/>
      <c r="R680" s="855"/>
      <c r="S680" s="855"/>
    </row>
    <row r="681" spans="1:19">
      <c r="A681" s="855"/>
      <c r="B681" s="855"/>
      <c r="C681" s="855"/>
      <c r="D681" s="855"/>
      <c r="E681" s="855"/>
      <c r="F681" s="855"/>
      <c r="G681" s="855"/>
      <c r="H681" s="855"/>
      <c r="I681" s="855"/>
      <c r="J681" s="855"/>
      <c r="K681" s="855"/>
      <c r="L681" s="855"/>
      <c r="M681" s="855"/>
      <c r="N681" s="855"/>
      <c r="O681" s="855"/>
      <c r="P681" s="855"/>
      <c r="Q681" s="855"/>
      <c r="R681" s="855"/>
      <c r="S681" s="855"/>
    </row>
    <row r="682" spans="1:19">
      <c r="A682" s="855"/>
      <c r="B682" s="855"/>
      <c r="C682" s="855"/>
      <c r="D682" s="855"/>
      <c r="E682" s="855"/>
      <c r="F682" s="855"/>
      <c r="G682" s="855"/>
      <c r="H682" s="855"/>
      <c r="I682" s="855"/>
      <c r="J682" s="855"/>
      <c r="K682" s="855"/>
      <c r="L682" s="855"/>
      <c r="M682" s="855"/>
      <c r="N682" s="855"/>
      <c r="O682" s="855"/>
      <c r="P682" s="855"/>
      <c r="Q682" s="855"/>
      <c r="R682" s="855"/>
      <c r="S682" s="855"/>
    </row>
    <row r="683" spans="1:19" ht="15.75" thickBot="1">
      <c r="A683" s="855"/>
      <c r="B683" s="855"/>
      <c r="C683" s="855"/>
      <c r="D683" s="855"/>
      <c r="E683" s="855"/>
      <c r="F683" s="855"/>
      <c r="G683" s="855"/>
      <c r="H683" s="855"/>
      <c r="I683" s="855"/>
      <c r="J683" s="855"/>
      <c r="K683" s="855"/>
      <c r="L683" s="855"/>
      <c r="M683" s="855"/>
      <c r="N683" s="855"/>
      <c r="O683" s="855"/>
      <c r="P683" s="855"/>
      <c r="Q683" s="855"/>
      <c r="R683" s="855"/>
      <c r="S683" s="855"/>
    </row>
    <row r="684" spans="1:19" ht="26.25">
      <c r="A684" s="1270" t="s">
        <v>53</v>
      </c>
      <c r="B684" s="1271"/>
      <c r="C684" s="1271"/>
      <c r="D684" s="1271"/>
      <c r="E684" s="1271"/>
      <c r="F684" s="1271"/>
      <c r="G684" s="1271"/>
      <c r="H684" s="1271"/>
      <c r="I684" s="1272"/>
      <c r="J684" s="855"/>
      <c r="K684" s="1270" t="s">
        <v>53</v>
      </c>
      <c r="L684" s="1271"/>
      <c r="M684" s="1271"/>
      <c r="N684" s="1271"/>
      <c r="O684" s="1271"/>
      <c r="P684" s="1271"/>
      <c r="Q684" s="1271"/>
      <c r="R684" s="1271"/>
      <c r="S684" s="1272"/>
    </row>
    <row r="685" spans="1:19">
      <c r="A685" s="1273" t="s">
        <v>54</v>
      </c>
      <c r="B685" s="1274"/>
      <c r="C685" s="1274"/>
      <c r="D685" s="1274"/>
      <c r="E685" s="1274"/>
      <c r="F685" s="1274"/>
      <c r="G685" s="1274"/>
      <c r="H685" s="1274"/>
      <c r="I685" s="1211"/>
      <c r="J685" s="855"/>
      <c r="K685" s="1273" t="s">
        <v>54</v>
      </c>
      <c r="L685" s="1274"/>
      <c r="M685" s="1274"/>
      <c r="N685" s="1274"/>
      <c r="O685" s="1274"/>
      <c r="P685" s="1274"/>
      <c r="Q685" s="1274"/>
      <c r="R685" s="1274"/>
      <c r="S685" s="1211"/>
    </row>
    <row r="686" spans="1:19">
      <c r="A686" s="15"/>
      <c r="B686" s="855"/>
      <c r="C686" s="855"/>
      <c r="D686" s="855"/>
      <c r="E686" s="855"/>
      <c r="F686" s="855"/>
      <c r="G686" s="855"/>
      <c r="H686" s="855"/>
      <c r="I686" s="16"/>
      <c r="J686" s="855"/>
      <c r="K686" s="15"/>
      <c r="L686" s="855"/>
      <c r="M686" s="855"/>
      <c r="N686" s="855"/>
      <c r="O686" s="855"/>
      <c r="P686" s="855"/>
      <c r="Q686" s="855"/>
      <c r="R686" s="855"/>
      <c r="S686" s="16"/>
    </row>
    <row r="687" spans="1:19">
      <c r="A687" s="17" t="s">
        <v>55</v>
      </c>
      <c r="B687" s="4"/>
      <c r="C687" s="4"/>
      <c r="D687" s="317" t="s">
        <v>425</v>
      </c>
      <c r="E687" s="855"/>
      <c r="F687" s="855"/>
      <c r="G687" s="855"/>
      <c r="H687" s="855"/>
      <c r="I687" s="16"/>
      <c r="J687" s="855"/>
      <c r="K687" s="17" t="s">
        <v>55</v>
      </c>
      <c r="L687" s="4"/>
      <c r="M687" s="4"/>
      <c r="N687" s="8"/>
      <c r="O687" s="381" t="str">
        <f>D687</f>
        <v>Burgeon IT Services Pvt.Ltd.</v>
      </c>
      <c r="P687" s="855"/>
      <c r="Q687" s="855"/>
      <c r="R687" s="855"/>
      <c r="S687" s="16"/>
    </row>
    <row r="688" spans="1:19">
      <c r="A688" s="17"/>
      <c r="B688" s="150" t="s">
        <v>426</v>
      </c>
      <c r="C688" s="4"/>
      <c r="D688" s="855"/>
      <c r="E688" s="855"/>
      <c r="F688" s="855"/>
      <c r="G688" s="855"/>
      <c r="H688" s="855"/>
      <c r="I688" s="16"/>
      <c r="J688" s="855"/>
      <c r="K688" s="17"/>
      <c r="L688" s="4"/>
      <c r="M688" s="4"/>
      <c r="N688" s="4"/>
      <c r="O688" s="855"/>
      <c r="P688" s="855"/>
      <c r="Q688" s="855"/>
      <c r="R688" s="855"/>
      <c r="S688" s="16"/>
    </row>
    <row r="689" spans="1:19">
      <c r="A689" s="17"/>
      <c r="B689" s="4"/>
      <c r="C689" s="4"/>
      <c r="D689" s="4"/>
      <c r="E689" s="4"/>
      <c r="F689" s="855"/>
      <c r="G689" s="855"/>
      <c r="H689" s="855"/>
      <c r="I689" s="16"/>
      <c r="J689" s="855"/>
      <c r="K689" s="17"/>
      <c r="L689" s="4" t="str">
        <f>B688</f>
        <v>Siri Mansion LIGB 436 Dr.A S Rao Nagar,Hyderabad</v>
      </c>
      <c r="M689" s="4"/>
      <c r="N689" s="4"/>
      <c r="O689" s="4"/>
      <c r="P689" s="855"/>
      <c r="Q689" s="855"/>
      <c r="R689" s="855"/>
      <c r="S689" s="16"/>
    </row>
    <row r="690" spans="1:19">
      <c r="A690" s="1275" t="s">
        <v>56</v>
      </c>
      <c r="B690" s="1269"/>
      <c r="C690" s="1269"/>
      <c r="D690" s="1269"/>
      <c r="E690" s="4"/>
      <c r="F690" s="855"/>
      <c r="G690" s="855"/>
      <c r="H690" s="855"/>
      <c r="I690" s="16"/>
      <c r="J690" s="855"/>
      <c r="K690" s="1275" t="s">
        <v>56</v>
      </c>
      <c r="L690" s="1269"/>
      <c r="M690" s="1269"/>
      <c r="N690" s="1269"/>
      <c r="O690" s="4"/>
      <c r="P690" s="855"/>
      <c r="Q690" s="855"/>
      <c r="R690" s="855"/>
      <c r="S690" s="16"/>
    </row>
    <row r="691" spans="1:19">
      <c r="A691" s="1275"/>
      <c r="B691" s="1269"/>
      <c r="C691" s="1269"/>
      <c r="D691" s="1269"/>
      <c r="E691" s="855" t="str">
        <f>'04-22-Master'!B33</f>
        <v xml:space="preserve">Ravi Gande </v>
      </c>
      <c r="F691" s="19"/>
      <c r="G691" s="19"/>
      <c r="H691" s="19" t="str">
        <f>'04-22-Master'!E33</f>
        <v>Narsimhulu</v>
      </c>
      <c r="I691" s="16"/>
      <c r="J691" s="855"/>
      <c r="K691" s="1275"/>
      <c r="L691" s="1269"/>
      <c r="M691" s="1269"/>
      <c r="N691" s="1269"/>
      <c r="O691" s="18" t="str">
        <f>E693</f>
        <v>IT SUPPORTIVE SERVICES &amp; HYDERABAD SEZ</v>
      </c>
      <c r="P691" s="19"/>
      <c r="Q691" s="19"/>
      <c r="R691" s="19"/>
      <c r="S691" s="16"/>
    </row>
    <row r="692" spans="1:19">
      <c r="A692" s="17"/>
      <c r="B692" s="4"/>
      <c r="C692" s="4"/>
      <c r="D692" s="4"/>
      <c r="E692" s="4"/>
      <c r="F692" s="855"/>
      <c r="G692" s="855"/>
      <c r="H692" s="855"/>
      <c r="I692" s="16"/>
      <c r="J692" s="855"/>
      <c r="K692" s="17"/>
      <c r="L692" s="4"/>
      <c r="M692" s="4"/>
      <c r="N692" s="4"/>
      <c r="O692" s="4"/>
      <c r="P692" s="855"/>
      <c r="Q692" s="855"/>
      <c r="R692" s="855"/>
      <c r="S692" s="16"/>
    </row>
    <row r="693" spans="1:19">
      <c r="A693" s="1268" t="s">
        <v>57</v>
      </c>
      <c r="B693" s="1265"/>
      <c r="C693" s="1265"/>
      <c r="D693" s="1265"/>
      <c r="E693" s="18" t="s">
        <v>819</v>
      </c>
      <c r="F693" s="19"/>
      <c r="G693" s="19"/>
      <c r="H693" s="19"/>
      <c r="I693" s="16"/>
      <c r="J693" s="855"/>
      <c r="K693" s="1268" t="s">
        <v>57</v>
      </c>
      <c r="L693" s="1265"/>
      <c r="M693" s="1265"/>
      <c r="N693" s="1265"/>
      <c r="O693" s="18" t="str">
        <f>E693</f>
        <v>IT SUPPORTIVE SERVICES &amp; HYDERABAD SEZ</v>
      </c>
      <c r="P693" s="19"/>
      <c r="Q693" s="19"/>
      <c r="R693" s="19"/>
      <c r="S693" s="16"/>
    </row>
    <row r="694" spans="1:19">
      <c r="A694" s="17"/>
      <c r="B694" s="4"/>
      <c r="C694" s="4"/>
      <c r="D694" s="4"/>
      <c r="E694" s="4"/>
      <c r="F694" s="855"/>
      <c r="G694" s="855"/>
      <c r="H694" s="855"/>
      <c r="I694" s="16"/>
      <c r="J694" s="855"/>
      <c r="K694" s="17"/>
      <c r="L694" s="4"/>
      <c r="M694" s="4"/>
      <c r="N694" s="4"/>
      <c r="O694" s="4"/>
      <c r="P694" s="855"/>
      <c r="Q694" s="855"/>
      <c r="R694" s="855"/>
      <c r="S694" s="16"/>
    </row>
    <row r="695" spans="1:19">
      <c r="A695" s="1268" t="s">
        <v>58</v>
      </c>
      <c r="B695" s="1265"/>
      <c r="C695" s="1265"/>
      <c r="D695" s="1265"/>
      <c r="E695" s="20">
        <f>'04-22-Master'!D10</f>
        <v>44652</v>
      </c>
      <c r="F695" s="19"/>
      <c r="G695" s="19"/>
      <c r="H695" s="19"/>
      <c r="I695" s="16"/>
      <c r="J695" s="855"/>
      <c r="K695" s="1268" t="s">
        <v>58</v>
      </c>
      <c r="L695" s="1265"/>
      <c r="M695" s="1265"/>
      <c r="N695" s="1265"/>
      <c r="O695" s="20">
        <f>E695</f>
        <v>44652</v>
      </c>
      <c r="P695" s="19"/>
      <c r="Q695" s="19"/>
      <c r="R695" s="19"/>
      <c r="S695" s="16"/>
    </row>
    <row r="696" spans="1:19">
      <c r="A696" s="17"/>
      <c r="B696" s="4"/>
      <c r="C696" s="4"/>
      <c r="D696" s="4"/>
      <c r="E696" s="4"/>
      <c r="F696" s="855"/>
      <c r="G696" s="855"/>
      <c r="H696" s="855"/>
      <c r="I696" s="16"/>
      <c r="J696" s="855"/>
      <c r="K696" s="17"/>
      <c r="L696" s="4"/>
      <c r="M696" s="4"/>
      <c r="N696" s="4"/>
      <c r="O696" s="4"/>
      <c r="P696" s="855"/>
      <c r="Q696" s="855"/>
      <c r="R696" s="855"/>
      <c r="S696" s="16"/>
    </row>
    <row r="697" spans="1:19">
      <c r="A697" s="21">
        <v>1</v>
      </c>
      <c r="B697" s="1265" t="s">
        <v>59</v>
      </c>
      <c r="C697" s="1265"/>
      <c r="D697" s="1265"/>
      <c r="E697" s="22">
        <f>'04-22-Master'!Q33</f>
        <v>30</v>
      </c>
      <c r="F697" s="19"/>
      <c r="G697" s="19"/>
      <c r="H697" s="19"/>
      <c r="I697" s="16"/>
      <c r="J697" s="855"/>
      <c r="K697" s="21">
        <v>1</v>
      </c>
      <c r="L697" s="1265" t="s">
        <v>59</v>
      </c>
      <c r="M697" s="1265"/>
      <c r="N697" s="1265"/>
      <c r="O697" s="22">
        <f>E697</f>
        <v>30</v>
      </c>
      <c r="P697" s="19"/>
      <c r="Q697" s="19"/>
      <c r="R697" s="19"/>
      <c r="S697" s="16"/>
    </row>
    <row r="698" spans="1:19">
      <c r="A698" s="21"/>
      <c r="B698" s="4"/>
      <c r="C698" s="4"/>
      <c r="D698" s="4"/>
      <c r="E698" s="4"/>
      <c r="F698" s="855"/>
      <c r="G698" s="855"/>
      <c r="H698" s="855"/>
      <c r="I698" s="16"/>
      <c r="J698" s="855"/>
      <c r="K698" s="21"/>
      <c r="L698" s="4"/>
      <c r="M698" s="4"/>
      <c r="N698" s="4"/>
      <c r="O698" s="4"/>
      <c r="P698" s="855"/>
      <c r="Q698" s="855"/>
      <c r="R698" s="855"/>
      <c r="S698" s="16"/>
    </row>
    <row r="699" spans="1:19">
      <c r="A699" s="21">
        <v>2</v>
      </c>
      <c r="B699" s="1269" t="s">
        <v>60</v>
      </c>
      <c r="C699" s="1269"/>
      <c r="D699" s="1269"/>
      <c r="E699" s="4"/>
      <c r="F699" s="855"/>
      <c r="G699" s="855"/>
      <c r="H699" s="855"/>
      <c r="I699" s="16"/>
      <c r="J699" s="855"/>
      <c r="K699" s="21">
        <v>2</v>
      </c>
      <c r="L699" s="1269" t="s">
        <v>60</v>
      </c>
      <c r="M699" s="1269"/>
      <c r="N699" s="1269"/>
      <c r="O699" s="4"/>
      <c r="P699" s="855"/>
      <c r="Q699" s="855"/>
      <c r="R699" s="855"/>
      <c r="S699" s="16"/>
    </row>
    <row r="700" spans="1:19">
      <c r="A700" s="21"/>
      <c r="B700" s="1269"/>
      <c r="C700" s="1269"/>
      <c r="D700" s="1269"/>
      <c r="E700" s="23" t="s">
        <v>37</v>
      </c>
      <c r="F700" s="19"/>
      <c r="G700" s="19"/>
      <c r="H700" s="19"/>
      <c r="I700" s="16"/>
      <c r="J700" s="855"/>
      <c r="K700" s="21"/>
      <c r="L700" s="1269"/>
      <c r="M700" s="1269"/>
      <c r="N700" s="1269"/>
      <c r="O700" s="23" t="s">
        <v>37</v>
      </c>
      <c r="P700" s="19"/>
      <c r="Q700" s="19"/>
      <c r="R700" s="19"/>
      <c r="S700" s="16"/>
    </row>
    <row r="701" spans="1:19">
      <c r="A701" s="21"/>
      <c r="B701" s="4"/>
      <c r="C701" s="4"/>
      <c r="D701" s="4"/>
      <c r="E701" s="4"/>
      <c r="F701" s="855"/>
      <c r="G701" s="855"/>
      <c r="H701" s="855"/>
      <c r="I701" s="16"/>
      <c r="J701" s="855"/>
      <c r="K701" s="21"/>
      <c r="L701" s="4"/>
      <c r="M701" s="4"/>
      <c r="N701" s="4"/>
      <c r="O701" s="4"/>
      <c r="P701" s="855"/>
      <c r="Q701" s="855"/>
      <c r="R701" s="855"/>
      <c r="S701" s="16"/>
    </row>
    <row r="702" spans="1:19">
      <c r="A702" s="21">
        <v>3</v>
      </c>
      <c r="B702" s="1265" t="s">
        <v>61</v>
      </c>
      <c r="C702" s="1265"/>
      <c r="D702" s="1265"/>
      <c r="E702" s="23" t="s">
        <v>37</v>
      </c>
      <c r="F702" s="19"/>
      <c r="G702" s="19"/>
      <c r="H702" s="19"/>
      <c r="I702" s="16"/>
      <c r="J702" s="855"/>
      <c r="K702" s="21">
        <v>3</v>
      </c>
      <c r="L702" s="1265" t="s">
        <v>61</v>
      </c>
      <c r="M702" s="1265"/>
      <c r="N702" s="1265"/>
      <c r="O702" s="18" t="str">
        <f>E702</f>
        <v>N/A</v>
      </c>
      <c r="P702" s="19"/>
      <c r="Q702" s="19"/>
      <c r="R702" s="19"/>
      <c r="S702" s="16"/>
    </row>
    <row r="703" spans="1:19">
      <c r="A703" s="21"/>
      <c r="B703" s="4"/>
      <c r="C703" s="4"/>
      <c r="D703" s="4"/>
      <c r="E703" s="4"/>
      <c r="F703" s="855"/>
      <c r="G703" s="855"/>
      <c r="H703" s="855"/>
      <c r="I703" s="16"/>
      <c r="J703" s="855"/>
      <c r="K703" s="21"/>
      <c r="L703" s="4"/>
      <c r="M703" s="4"/>
      <c r="N703" s="4"/>
      <c r="O703" s="4"/>
      <c r="P703" s="855"/>
      <c r="Q703" s="855"/>
      <c r="R703" s="855"/>
      <c r="S703" s="16"/>
    </row>
    <row r="704" spans="1:19">
      <c r="A704" s="21">
        <v>4</v>
      </c>
      <c r="B704" s="1265" t="s">
        <v>62</v>
      </c>
      <c r="C704" s="1265"/>
      <c r="D704" s="1265"/>
      <c r="E704" s="23" t="s">
        <v>63</v>
      </c>
      <c r="F704" s="19"/>
      <c r="G704" s="19"/>
      <c r="H704" s="19"/>
      <c r="I704" s="16"/>
      <c r="J704" s="855"/>
      <c r="K704" s="21">
        <v>4</v>
      </c>
      <c r="L704" s="1265" t="s">
        <v>62</v>
      </c>
      <c r="M704" s="1265"/>
      <c r="N704" s="1265"/>
      <c r="O704" s="23" t="s">
        <v>63</v>
      </c>
      <c r="P704" s="19"/>
      <c r="Q704" s="19"/>
      <c r="R704" s="19"/>
      <c r="S704" s="16"/>
    </row>
    <row r="705" spans="1:19">
      <c r="A705" s="21"/>
      <c r="B705" s="4"/>
      <c r="C705" s="4"/>
      <c r="D705" s="4"/>
      <c r="E705" s="4"/>
      <c r="F705" s="855"/>
      <c r="G705" s="855"/>
      <c r="H705" s="855"/>
      <c r="I705" s="16"/>
      <c r="J705" s="855"/>
      <c r="K705" s="21"/>
      <c r="L705" s="4"/>
      <c r="M705" s="4"/>
      <c r="N705" s="4"/>
      <c r="O705" s="4"/>
      <c r="P705" s="855"/>
      <c r="Q705" s="855"/>
      <c r="R705" s="855"/>
      <c r="S705" s="16"/>
    </row>
    <row r="706" spans="1:19">
      <c r="A706" s="21">
        <v>5</v>
      </c>
      <c r="B706" s="1265" t="s">
        <v>64</v>
      </c>
      <c r="C706" s="1265"/>
      <c r="D706" s="1265"/>
      <c r="E706" s="295">
        <f>'04-22-Master'!AG33</f>
        <v>75113.441520000008</v>
      </c>
      <c r="F706" s="855"/>
      <c r="G706" s="855"/>
      <c r="H706" s="855"/>
      <c r="I706" s="16"/>
      <c r="J706" s="855"/>
      <c r="K706" s="21">
        <v>5</v>
      </c>
      <c r="L706" s="1265" t="s">
        <v>64</v>
      </c>
      <c r="M706" s="1265"/>
      <c r="N706" s="1265"/>
      <c r="O706" s="295">
        <f>E706</f>
        <v>75113.441520000008</v>
      </c>
      <c r="P706" s="855"/>
      <c r="Q706" s="855"/>
      <c r="R706" s="855"/>
      <c r="S706" s="16"/>
    </row>
    <row r="707" spans="1:19">
      <c r="A707" s="21"/>
      <c r="B707" s="4"/>
      <c r="C707" s="4"/>
      <c r="D707" s="296" t="s">
        <v>65</v>
      </c>
      <c r="E707" s="296" t="s">
        <v>31</v>
      </c>
      <c r="F707" s="296" t="s">
        <v>33</v>
      </c>
      <c r="G707" s="296" t="s">
        <v>34</v>
      </c>
      <c r="H707" s="296" t="s">
        <v>399</v>
      </c>
      <c r="I707" s="857" t="s">
        <v>400</v>
      </c>
      <c r="J707" s="855"/>
      <c r="K707" s="21"/>
      <c r="L707" s="4"/>
      <c r="M707" s="4"/>
      <c r="N707" s="296" t="s">
        <v>65</v>
      </c>
      <c r="O707" s="296" t="s">
        <v>31</v>
      </c>
      <c r="P707" s="296" t="s">
        <v>33</v>
      </c>
      <c r="Q707" s="296" t="s">
        <v>34</v>
      </c>
      <c r="R707" s="296" t="s">
        <v>399</v>
      </c>
      <c r="S707" s="857" t="s">
        <v>400</v>
      </c>
    </row>
    <row r="708" spans="1:19">
      <c r="A708" s="21">
        <v>6</v>
      </c>
      <c r="B708" s="915" t="s">
        <v>66</v>
      </c>
      <c r="C708" s="915"/>
      <c r="D708" s="297">
        <f>'04-22-Master'!AI33</f>
        <v>0</v>
      </c>
      <c r="E708" s="297">
        <f>'04-22-Master'!AH752</f>
        <v>0</v>
      </c>
      <c r="F708" s="858">
        <f>'04-22-Master'!AJ33</f>
        <v>200</v>
      </c>
      <c r="G708" s="297">
        <f>'04-22-Master'!AK33</f>
        <v>0</v>
      </c>
      <c r="H708" s="858">
        <f>'04-22-Master'!AL33</f>
        <v>0</v>
      </c>
      <c r="I708" s="858">
        <f>D708+E708+F708+G708+H708</f>
        <v>200</v>
      </c>
      <c r="J708" s="855"/>
      <c r="K708" s="21">
        <v>6</v>
      </c>
      <c r="L708" s="915" t="s">
        <v>66</v>
      </c>
      <c r="M708" s="915"/>
      <c r="N708" s="297">
        <f t="shared" ref="N708" si="92">D708</f>
        <v>0</v>
      </c>
      <c r="O708" s="297">
        <f t="shared" ref="O708" si="93">E708</f>
        <v>0</v>
      </c>
      <c r="P708" s="858">
        <f t="shared" ref="P708" si="94">F708</f>
        <v>200</v>
      </c>
      <c r="Q708" s="297">
        <f t="shared" ref="Q708" si="95">G708</f>
        <v>0</v>
      </c>
      <c r="R708" s="858">
        <f t="shared" ref="R708" si="96">H708</f>
        <v>0</v>
      </c>
      <c r="S708" s="858">
        <f t="shared" ref="S708" si="97">I708</f>
        <v>200</v>
      </c>
    </row>
    <row r="709" spans="1:19">
      <c r="A709" s="21"/>
      <c r="B709" s="4"/>
      <c r="C709" s="4"/>
      <c r="D709" s="4"/>
      <c r="E709" s="4"/>
      <c r="F709" s="855"/>
      <c r="G709" s="855"/>
      <c r="H709" s="855"/>
      <c r="I709" s="16"/>
      <c r="J709" s="855"/>
      <c r="K709" s="21"/>
      <c r="L709" s="4"/>
      <c r="M709" s="4"/>
      <c r="N709" s="4"/>
      <c r="O709" s="4"/>
      <c r="P709" s="855"/>
      <c r="Q709" s="855"/>
      <c r="R709" s="855"/>
      <c r="S709" s="16"/>
    </row>
    <row r="710" spans="1:19">
      <c r="A710" s="21">
        <v>7</v>
      </c>
      <c r="B710" s="1265" t="s">
        <v>67</v>
      </c>
      <c r="C710" s="1265"/>
      <c r="D710" s="1265"/>
      <c r="E710" s="24">
        <f>E706-I708</f>
        <v>74913.441520000008</v>
      </c>
      <c r="F710" s="19"/>
      <c r="G710" s="19"/>
      <c r="H710" s="19"/>
      <c r="I710" s="16"/>
      <c r="J710" s="855"/>
      <c r="K710" s="21">
        <v>7</v>
      </c>
      <c r="L710" s="1265" t="s">
        <v>67</v>
      </c>
      <c r="M710" s="1265"/>
      <c r="N710" s="1265"/>
      <c r="O710" s="24">
        <f>E710</f>
        <v>74913.441520000008</v>
      </c>
      <c r="P710" s="19"/>
      <c r="Q710" s="19"/>
      <c r="R710" s="19"/>
      <c r="S710" s="16"/>
    </row>
    <row r="711" spans="1:19">
      <c r="A711" s="15"/>
      <c r="B711" s="855"/>
      <c r="C711" s="855"/>
      <c r="D711" s="855"/>
      <c r="E711" s="855"/>
      <c r="F711" s="855"/>
      <c r="G711" s="855"/>
      <c r="H711" s="855"/>
      <c r="I711" s="16"/>
      <c r="J711" s="855"/>
      <c r="K711" s="15"/>
      <c r="L711" s="855"/>
      <c r="M711" s="855"/>
      <c r="N711" s="855"/>
      <c r="O711" s="855"/>
      <c r="P711" s="855"/>
      <c r="Q711" s="855"/>
      <c r="R711" s="855"/>
      <c r="S711" s="16"/>
    </row>
    <row r="712" spans="1:19">
      <c r="A712" s="15"/>
      <c r="B712" s="855"/>
      <c r="C712" s="855"/>
      <c r="D712" s="855"/>
      <c r="E712" s="855"/>
      <c r="F712" s="855"/>
      <c r="G712" s="855"/>
      <c r="H712" s="855"/>
      <c r="I712" s="16"/>
      <c r="J712" s="855"/>
      <c r="K712" s="15"/>
      <c r="L712" s="855"/>
      <c r="M712" s="855"/>
      <c r="N712" s="855"/>
      <c r="O712" s="855"/>
      <c r="P712" s="855"/>
      <c r="Q712" s="855"/>
      <c r="R712" s="855"/>
      <c r="S712" s="16"/>
    </row>
    <row r="713" spans="1:19" ht="15.75" thickBot="1">
      <c r="A713" s="15"/>
      <c r="B713" s="855"/>
      <c r="C713" s="855"/>
      <c r="D713" s="855"/>
      <c r="E713" s="855"/>
      <c r="F713" s="25"/>
      <c r="G713" s="25"/>
      <c r="H713" s="25"/>
      <c r="I713" s="26"/>
      <c r="J713" s="855"/>
      <c r="K713" s="15"/>
      <c r="L713" s="855"/>
      <c r="M713" s="855"/>
      <c r="N713" s="855"/>
      <c r="O713" s="855"/>
      <c r="P713" s="25"/>
      <c r="Q713" s="25"/>
      <c r="R713" s="25"/>
      <c r="S713" s="26"/>
    </row>
    <row r="714" spans="1:19" ht="15.75" thickBot="1">
      <c r="A714" s="27"/>
      <c r="B714" s="25"/>
      <c r="C714" s="25"/>
      <c r="D714" s="25"/>
      <c r="E714" s="25"/>
      <c r="F714" s="1266" t="s">
        <v>68</v>
      </c>
      <c r="G714" s="1266"/>
      <c r="H714" s="1266"/>
      <c r="I714" s="1267"/>
      <c r="J714" s="855"/>
      <c r="K714" s="27"/>
      <c r="L714" s="25"/>
      <c r="M714" s="25"/>
      <c r="N714" s="25"/>
      <c r="O714" s="25"/>
      <c r="P714" s="1266" t="s">
        <v>68</v>
      </c>
      <c r="Q714" s="1266"/>
      <c r="R714" s="1266"/>
      <c r="S714" s="1267"/>
    </row>
    <row r="715" spans="1:19" s="1093" customFormat="1"/>
    <row r="716" spans="1:19" s="1093" customFormat="1"/>
    <row r="717" spans="1:19" s="1093" customFormat="1"/>
    <row r="718" spans="1:19" s="1093" customFormat="1" ht="15.75" thickBot="1"/>
    <row r="719" spans="1:19" ht="26.25">
      <c r="A719" s="1270" t="s">
        <v>53</v>
      </c>
      <c r="B719" s="1271"/>
      <c r="C719" s="1271"/>
      <c r="D719" s="1271"/>
      <c r="E719" s="1271"/>
      <c r="F719" s="1271"/>
      <c r="G719" s="1271"/>
      <c r="H719" s="1271"/>
      <c r="I719" s="1272"/>
      <c r="J719" s="855"/>
      <c r="K719" s="1270" t="s">
        <v>53</v>
      </c>
      <c r="L719" s="1271"/>
      <c r="M719" s="1271"/>
      <c r="N719" s="1271"/>
      <c r="O719" s="1271"/>
      <c r="P719" s="1271"/>
      <c r="Q719" s="1271"/>
      <c r="R719" s="1271"/>
      <c r="S719" s="1272"/>
    </row>
    <row r="720" spans="1:19">
      <c r="A720" s="1273" t="s">
        <v>54</v>
      </c>
      <c r="B720" s="1274"/>
      <c r="C720" s="1274"/>
      <c r="D720" s="1274"/>
      <c r="E720" s="1274"/>
      <c r="F720" s="1274"/>
      <c r="G720" s="1274"/>
      <c r="H720" s="1274"/>
      <c r="I720" s="1211"/>
      <c r="J720" s="855"/>
      <c r="K720" s="1273" t="s">
        <v>54</v>
      </c>
      <c r="L720" s="1274"/>
      <c r="M720" s="1274"/>
      <c r="N720" s="1274"/>
      <c r="O720" s="1274"/>
      <c r="P720" s="1274"/>
      <c r="Q720" s="1274"/>
      <c r="R720" s="1274"/>
      <c r="S720" s="1211"/>
    </row>
    <row r="721" spans="1:19">
      <c r="A721" s="15"/>
      <c r="B721" s="855"/>
      <c r="C721" s="855"/>
      <c r="D721" s="855"/>
      <c r="E721" s="855"/>
      <c r="F721" s="855"/>
      <c r="G721" s="855"/>
      <c r="H721" s="855"/>
      <c r="I721" s="16"/>
      <c r="J721" s="855"/>
      <c r="K721" s="15"/>
      <c r="L721" s="855"/>
      <c r="M721" s="855"/>
      <c r="N721" s="855"/>
      <c r="O721" s="855"/>
      <c r="P721" s="855"/>
      <c r="Q721" s="855"/>
      <c r="R721" s="855"/>
      <c r="S721" s="16"/>
    </row>
    <row r="722" spans="1:19">
      <c r="A722" s="17" t="s">
        <v>55</v>
      </c>
      <c r="B722" s="4"/>
      <c r="C722" s="4"/>
      <c r="D722" s="317" t="s">
        <v>425</v>
      </c>
      <c r="E722" s="855"/>
      <c r="F722" s="855"/>
      <c r="G722" s="855"/>
      <c r="H722" s="855"/>
      <c r="I722" s="16"/>
      <c r="J722" s="855"/>
      <c r="K722" s="17" t="s">
        <v>55</v>
      </c>
      <c r="L722" s="4"/>
      <c r="M722" s="4"/>
      <c r="N722" s="8"/>
      <c r="O722" s="381" t="str">
        <f>D722</f>
        <v>Burgeon IT Services Pvt.Ltd.</v>
      </c>
      <c r="P722" s="855"/>
      <c r="Q722" s="855"/>
      <c r="R722" s="855"/>
      <c r="S722" s="16"/>
    </row>
    <row r="723" spans="1:19">
      <c r="A723" s="17"/>
      <c r="B723" s="150" t="s">
        <v>426</v>
      </c>
      <c r="C723" s="4"/>
      <c r="D723" s="855"/>
      <c r="E723" s="855"/>
      <c r="F723" s="855"/>
      <c r="G723" s="855"/>
      <c r="H723" s="855"/>
      <c r="I723" s="16"/>
      <c r="J723" s="855"/>
      <c r="K723" s="17"/>
      <c r="L723" s="4"/>
      <c r="M723" s="4"/>
      <c r="N723" s="4"/>
      <c r="O723" s="855"/>
      <c r="P723" s="855"/>
      <c r="Q723" s="855"/>
      <c r="R723" s="855"/>
      <c r="S723" s="16"/>
    </row>
    <row r="724" spans="1:19">
      <c r="A724" s="17"/>
      <c r="B724" s="4"/>
      <c r="C724" s="4"/>
      <c r="D724" s="4"/>
      <c r="E724" s="4"/>
      <c r="F724" s="855"/>
      <c r="G724" s="855"/>
      <c r="H724" s="855"/>
      <c r="I724" s="16"/>
      <c r="J724" s="855"/>
      <c r="K724" s="17"/>
      <c r="L724" s="4" t="str">
        <f>B723</f>
        <v>Siri Mansion LIGB 436 Dr.A S Rao Nagar,Hyderabad</v>
      </c>
      <c r="M724" s="4"/>
      <c r="N724" s="4"/>
      <c r="O724" s="4"/>
      <c r="P724" s="855"/>
      <c r="Q724" s="855"/>
      <c r="R724" s="855"/>
      <c r="S724" s="16"/>
    </row>
    <row r="725" spans="1:19">
      <c r="A725" s="1275" t="s">
        <v>56</v>
      </c>
      <c r="B725" s="1269"/>
      <c r="C725" s="1269"/>
      <c r="D725" s="1269"/>
      <c r="E725" s="4"/>
      <c r="F725" s="855"/>
      <c r="G725" s="855"/>
      <c r="H725" s="855"/>
      <c r="I725" s="16"/>
      <c r="J725" s="855"/>
      <c r="K725" s="1275" t="s">
        <v>56</v>
      </c>
      <c r="L725" s="1269"/>
      <c r="M725" s="1269"/>
      <c r="N725" s="1269"/>
      <c r="O725" s="4"/>
      <c r="P725" s="855"/>
      <c r="Q725" s="855"/>
      <c r="R725" s="855"/>
      <c r="S725" s="16"/>
    </row>
    <row r="726" spans="1:19">
      <c r="A726" s="1275"/>
      <c r="B726" s="1269"/>
      <c r="C726" s="1269"/>
      <c r="D726" s="1269"/>
      <c r="E726" s="855" t="str">
        <f>'04-22-Master'!B34</f>
        <v xml:space="preserve">NarsiReddy Venna </v>
      </c>
      <c r="F726" s="19"/>
      <c r="G726" s="19"/>
      <c r="H726" s="19" t="str">
        <f>'04-22-Master'!E34</f>
        <v>Krishna Reddy</v>
      </c>
      <c r="I726" s="16"/>
      <c r="J726" s="855"/>
      <c r="K726" s="1275"/>
      <c r="L726" s="1269"/>
      <c r="M726" s="1269"/>
      <c r="N726" s="1269"/>
      <c r="O726" s="18" t="str">
        <f>E728</f>
        <v>IT SUPPORTIVE SERVICES &amp; HYDERABAD SEZ</v>
      </c>
      <c r="P726" s="19"/>
      <c r="Q726" s="19"/>
      <c r="R726" s="19"/>
      <c r="S726" s="16"/>
    </row>
    <row r="727" spans="1:19">
      <c r="A727" s="17"/>
      <c r="B727" s="4"/>
      <c r="C727" s="4"/>
      <c r="D727" s="4"/>
      <c r="E727" s="4"/>
      <c r="F727" s="855"/>
      <c r="G727" s="855"/>
      <c r="H727" s="855"/>
      <c r="I727" s="16"/>
      <c r="J727" s="855"/>
      <c r="K727" s="17"/>
      <c r="L727" s="4"/>
      <c r="M727" s="4"/>
      <c r="N727" s="4"/>
      <c r="O727" s="4"/>
      <c r="P727" s="855"/>
      <c r="Q727" s="855"/>
      <c r="R727" s="855"/>
      <c r="S727" s="16"/>
    </row>
    <row r="728" spans="1:19">
      <c r="A728" s="1268" t="s">
        <v>57</v>
      </c>
      <c r="B728" s="1265"/>
      <c r="C728" s="1265"/>
      <c r="D728" s="1265"/>
      <c r="E728" s="18" t="s">
        <v>819</v>
      </c>
      <c r="F728" s="19"/>
      <c r="G728" s="19"/>
      <c r="H728" s="19"/>
      <c r="I728" s="16"/>
      <c r="J728" s="855"/>
      <c r="K728" s="1268" t="s">
        <v>57</v>
      </c>
      <c r="L728" s="1265"/>
      <c r="M728" s="1265"/>
      <c r="N728" s="1265"/>
      <c r="O728" s="18" t="str">
        <f>E728</f>
        <v>IT SUPPORTIVE SERVICES &amp; HYDERABAD SEZ</v>
      </c>
      <c r="P728" s="19"/>
      <c r="Q728" s="19"/>
      <c r="R728" s="19"/>
      <c r="S728" s="16"/>
    </row>
    <row r="729" spans="1:19">
      <c r="A729" s="17"/>
      <c r="B729" s="4"/>
      <c r="C729" s="4"/>
      <c r="D729" s="4"/>
      <c r="E729" s="4"/>
      <c r="F729" s="855"/>
      <c r="G729" s="855"/>
      <c r="H729" s="855"/>
      <c r="I729" s="16"/>
      <c r="J729" s="855"/>
      <c r="K729" s="17"/>
      <c r="L729" s="4"/>
      <c r="M729" s="4"/>
      <c r="N729" s="4"/>
      <c r="O729" s="4"/>
      <c r="P729" s="855"/>
      <c r="Q729" s="855"/>
      <c r="R729" s="855"/>
      <c r="S729" s="16"/>
    </row>
    <row r="730" spans="1:19">
      <c r="A730" s="1268" t="s">
        <v>58</v>
      </c>
      <c r="B730" s="1265"/>
      <c r="C730" s="1265"/>
      <c r="D730" s="1265"/>
      <c r="E730" s="20">
        <f>'04-22-Master'!D10</f>
        <v>44652</v>
      </c>
      <c r="F730" s="19"/>
      <c r="G730" s="19"/>
      <c r="H730" s="19"/>
      <c r="I730" s="16"/>
      <c r="J730" s="855"/>
      <c r="K730" s="1268" t="s">
        <v>58</v>
      </c>
      <c r="L730" s="1265"/>
      <c r="M730" s="1265"/>
      <c r="N730" s="1265"/>
      <c r="O730" s="20">
        <f>E730</f>
        <v>44652</v>
      </c>
      <c r="P730" s="19"/>
      <c r="Q730" s="19"/>
      <c r="R730" s="19"/>
      <c r="S730" s="16"/>
    </row>
    <row r="731" spans="1:19">
      <c r="A731" s="17"/>
      <c r="B731" s="4"/>
      <c r="C731" s="4"/>
      <c r="D731" s="4"/>
      <c r="E731" s="4"/>
      <c r="F731" s="855"/>
      <c r="G731" s="855"/>
      <c r="H731" s="855"/>
      <c r="I731" s="16"/>
      <c r="J731" s="855"/>
      <c r="K731" s="17"/>
      <c r="L731" s="4"/>
      <c r="M731" s="4"/>
      <c r="N731" s="4"/>
      <c r="O731" s="4"/>
      <c r="P731" s="855"/>
      <c r="Q731" s="855"/>
      <c r="R731" s="855"/>
      <c r="S731" s="16"/>
    </row>
    <row r="732" spans="1:19">
      <c r="A732" s="21">
        <v>1</v>
      </c>
      <c r="B732" s="1265" t="s">
        <v>59</v>
      </c>
      <c r="C732" s="1265"/>
      <c r="D732" s="1265"/>
      <c r="E732" s="22">
        <f>'04-22-Master'!Q34</f>
        <v>27</v>
      </c>
      <c r="F732" s="19"/>
      <c r="G732" s="19"/>
      <c r="H732" s="19"/>
      <c r="I732" s="16"/>
      <c r="J732" s="855"/>
      <c r="K732" s="21">
        <v>1</v>
      </c>
      <c r="L732" s="1265" t="s">
        <v>59</v>
      </c>
      <c r="M732" s="1265"/>
      <c r="N732" s="1265"/>
      <c r="O732" s="22">
        <f>E732</f>
        <v>27</v>
      </c>
      <c r="P732" s="19"/>
      <c r="Q732" s="19"/>
      <c r="R732" s="19"/>
      <c r="S732" s="16"/>
    </row>
    <row r="733" spans="1:19">
      <c r="A733" s="21"/>
      <c r="B733" s="4"/>
      <c r="C733" s="4"/>
      <c r="D733" s="4"/>
      <c r="E733" s="4"/>
      <c r="F733" s="855"/>
      <c r="G733" s="855"/>
      <c r="H733" s="855"/>
      <c r="I733" s="16"/>
      <c r="J733" s="855"/>
      <c r="K733" s="21"/>
      <c r="L733" s="4"/>
      <c r="M733" s="4"/>
      <c r="N733" s="4"/>
      <c r="O733" s="4"/>
      <c r="P733" s="855"/>
      <c r="Q733" s="855"/>
      <c r="R733" s="855"/>
      <c r="S733" s="16"/>
    </row>
    <row r="734" spans="1:19">
      <c r="A734" s="21">
        <v>2</v>
      </c>
      <c r="B734" s="1269" t="s">
        <v>60</v>
      </c>
      <c r="C734" s="1269"/>
      <c r="D734" s="1269"/>
      <c r="E734" s="4"/>
      <c r="F734" s="855"/>
      <c r="G734" s="855"/>
      <c r="H734" s="855"/>
      <c r="I734" s="16"/>
      <c r="J734" s="855"/>
      <c r="K734" s="21">
        <v>2</v>
      </c>
      <c r="L734" s="1269" t="s">
        <v>60</v>
      </c>
      <c r="M734" s="1269"/>
      <c r="N734" s="1269"/>
      <c r="O734" s="4"/>
      <c r="P734" s="855"/>
      <c r="Q734" s="855"/>
      <c r="R734" s="855"/>
      <c r="S734" s="16"/>
    </row>
    <row r="735" spans="1:19">
      <c r="A735" s="21"/>
      <c r="B735" s="1269"/>
      <c r="C735" s="1269"/>
      <c r="D735" s="1269"/>
      <c r="E735" s="23" t="s">
        <v>37</v>
      </c>
      <c r="F735" s="19"/>
      <c r="G735" s="19"/>
      <c r="H735" s="19"/>
      <c r="I735" s="16"/>
      <c r="J735" s="855"/>
      <c r="K735" s="21"/>
      <c r="L735" s="1269"/>
      <c r="M735" s="1269"/>
      <c r="N735" s="1269"/>
      <c r="O735" s="23" t="s">
        <v>37</v>
      </c>
      <c r="P735" s="19"/>
      <c r="Q735" s="19"/>
      <c r="R735" s="19"/>
      <c r="S735" s="16"/>
    </row>
    <row r="736" spans="1:19">
      <c r="A736" s="21"/>
      <c r="B736" s="4"/>
      <c r="C736" s="4"/>
      <c r="D736" s="4"/>
      <c r="E736" s="4"/>
      <c r="F736" s="855"/>
      <c r="G736" s="855"/>
      <c r="H736" s="855"/>
      <c r="I736" s="16"/>
      <c r="J736" s="855"/>
      <c r="K736" s="21"/>
      <c r="L736" s="4"/>
      <c r="M736" s="4"/>
      <c r="N736" s="4"/>
      <c r="O736" s="4"/>
      <c r="P736" s="855"/>
      <c r="Q736" s="855"/>
      <c r="R736" s="855"/>
      <c r="S736" s="16"/>
    </row>
    <row r="737" spans="1:19">
      <c r="A737" s="21">
        <v>3</v>
      </c>
      <c r="B737" s="1265" t="s">
        <v>61</v>
      </c>
      <c r="C737" s="1265"/>
      <c r="D737" s="1265"/>
      <c r="E737" s="23" t="s">
        <v>37</v>
      </c>
      <c r="F737" s="19"/>
      <c r="G737" s="19"/>
      <c r="H737" s="19"/>
      <c r="I737" s="16"/>
      <c r="J737" s="855"/>
      <c r="K737" s="21">
        <v>3</v>
      </c>
      <c r="L737" s="1265" t="s">
        <v>61</v>
      </c>
      <c r="M737" s="1265"/>
      <c r="N737" s="1265"/>
      <c r="O737" s="18" t="str">
        <f>E737</f>
        <v>N/A</v>
      </c>
      <c r="P737" s="19"/>
      <c r="Q737" s="19"/>
      <c r="R737" s="19"/>
      <c r="S737" s="16"/>
    </row>
    <row r="738" spans="1:19">
      <c r="A738" s="21"/>
      <c r="B738" s="4"/>
      <c r="C738" s="4"/>
      <c r="D738" s="4"/>
      <c r="E738" s="4"/>
      <c r="F738" s="855"/>
      <c r="G738" s="855"/>
      <c r="H738" s="855"/>
      <c r="I738" s="16"/>
      <c r="J738" s="855"/>
      <c r="K738" s="21"/>
      <c r="L738" s="4"/>
      <c r="M738" s="4"/>
      <c r="N738" s="4"/>
      <c r="O738" s="4"/>
      <c r="P738" s="855"/>
      <c r="Q738" s="855"/>
      <c r="R738" s="855"/>
      <c r="S738" s="16"/>
    </row>
    <row r="739" spans="1:19">
      <c r="A739" s="21">
        <v>4</v>
      </c>
      <c r="B739" s="1265" t="s">
        <v>62</v>
      </c>
      <c r="C739" s="1265"/>
      <c r="D739" s="1265"/>
      <c r="E739" s="23" t="s">
        <v>63</v>
      </c>
      <c r="F739" s="19"/>
      <c r="G739" s="19"/>
      <c r="H739" s="19"/>
      <c r="I739" s="16"/>
      <c r="J739" s="855"/>
      <c r="K739" s="21">
        <v>4</v>
      </c>
      <c r="L739" s="1265" t="s">
        <v>62</v>
      </c>
      <c r="M739" s="1265"/>
      <c r="N739" s="1265"/>
      <c r="O739" s="23" t="s">
        <v>63</v>
      </c>
      <c r="P739" s="19"/>
      <c r="Q739" s="19"/>
      <c r="R739" s="19"/>
      <c r="S739" s="16"/>
    </row>
    <row r="740" spans="1:19">
      <c r="A740" s="21"/>
      <c r="B740" s="4"/>
      <c r="C740" s="4"/>
      <c r="D740" s="4"/>
      <c r="E740" s="4"/>
      <c r="F740" s="855"/>
      <c r="G740" s="855"/>
      <c r="H740" s="855"/>
      <c r="I740" s="16"/>
      <c r="J740" s="855"/>
      <c r="K740" s="21"/>
      <c r="L740" s="4"/>
      <c r="M740" s="4"/>
      <c r="N740" s="4"/>
      <c r="O740" s="4"/>
      <c r="P740" s="855"/>
      <c r="Q740" s="855"/>
      <c r="R740" s="855"/>
      <c r="S740" s="16"/>
    </row>
    <row r="741" spans="1:19">
      <c r="A741" s="21">
        <v>5</v>
      </c>
      <c r="B741" s="1265" t="s">
        <v>64</v>
      </c>
      <c r="C741" s="1265"/>
      <c r="D741" s="1265"/>
      <c r="E741" s="295">
        <f>'04-22-Master'!AG34</f>
        <v>111114.82730599999</v>
      </c>
      <c r="F741" s="855"/>
      <c r="G741" s="855"/>
      <c r="H741" s="855"/>
      <c r="I741" s="16"/>
      <c r="J741" s="855"/>
      <c r="K741" s="21">
        <v>5</v>
      </c>
      <c r="L741" s="1265" t="s">
        <v>64</v>
      </c>
      <c r="M741" s="1265"/>
      <c r="N741" s="1265"/>
      <c r="O741" s="295">
        <f>E741</f>
        <v>111114.82730599999</v>
      </c>
      <c r="P741" s="855"/>
      <c r="Q741" s="855"/>
      <c r="R741" s="855"/>
      <c r="S741" s="16"/>
    </row>
    <row r="742" spans="1:19">
      <c r="A742" s="21"/>
      <c r="B742" s="4"/>
      <c r="C742" s="4"/>
      <c r="D742" s="296" t="s">
        <v>65</v>
      </c>
      <c r="E742" s="296" t="s">
        <v>31</v>
      </c>
      <c r="F742" s="296" t="s">
        <v>33</v>
      </c>
      <c r="G742" s="296" t="s">
        <v>34</v>
      </c>
      <c r="H742" s="296" t="s">
        <v>399</v>
      </c>
      <c r="I742" s="857" t="s">
        <v>400</v>
      </c>
      <c r="J742" s="855"/>
      <c r="K742" s="21"/>
      <c r="L742" s="4"/>
      <c r="M742" s="4"/>
      <c r="N742" s="296" t="s">
        <v>65</v>
      </c>
      <c r="O742" s="296" t="s">
        <v>31</v>
      </c>
      <c r="P742" s="296" t="s">
        <v>33</v>
      </c>
      <c r="Q742" s="296" t="s">
        <v>34</v>
      </c>
      <c r="R742" s="296" t="s">
        <v>399</v>
      </c>
      <c r="S742" s="857" t="s">
        <v>400</v>
      </c>
    </row>
    <row r="743" spans="1:19">
      <c r="A743" s="21">
        <v>6</v>
      </c>
      <c r="B743" s="915" t="s">
        <v>66</v>
      </c>
      <c r="C743" s="915"/>
      <c r="D743" s="297">
        <f>'04-22-Master'!AI34</f>
        <v>1800</v>
      </c>
      <c r="E743" s="297">
        <f>'04-22-Master'!AH787</f>
        <v>0</v>
      </c>
      <c r="F743" s="858">
        <f>'04-22-Master'!AJ34</f>
        <v>200</v>
      </c>
      <c r="G743" s="297">
        <f>'04-22-Master'!AK34</f>
        <v>0</v>
      </c>
      <c r="H743" s="858">
        <f>'wage sllips'!AL34</f>
        <v>0</v>
      </c>
      <c r="I743" s="858">
        <f>D743+E743+F743+G743+H743</f>
        <v>2000</v>
      </c>
      <c r="J743" s="855"/>
      <c r="K743" s="21">
        <v>6</v>
      </c>
      <c r="L743" s="915" t="s">
        <v>66</v>
      </c>
      <c r="M743" s="915"/>
      <c r="N743" s="297">
        <f t="shared" ref="N743" si="98">D743</f>
        <v>1800</v>
      </c>
      <c r="O743" s="297">
        <f t="shared" ref="O743" si="99">E743</f>
        <v>0</v>
      </c>
      <c r="P743" s="858">
        <f t="shared" ref="P743" si="100">F743</f>
        <v>200</v>
      </c>
      <c r="Q743" s="297">
        <f t="shared" ref="Q743" si="101">G743</f>
        <v>0</v>
      </c>
      <c r="R743" s="858">
        <f t="shared" ref="R743" si="102">H743</f>
        <v>0</v>
      </c>
      <c r="S743" s="858">
        <f t="shared" ref="S743" si="103">I743</f>
        <v>2000</v>
      </c>
    </row>
    <row r="744" spans="1:19">
      <c r="A744" s="21"/>
      <c r="B744" s="4"/>
      <c r="C744" s="4"/>
      <c r="D744" s="4"/>
      <c r="E744" s="4"/>
      <c r="F744" s="855"/>
      <c r="G744" s="855"/>
      <c r="H744" s="855"/>
      <c r="I744" s="16"/>
      <c r="J744" s="855"/>
      <c r="K744" s="21"/>
      <c r="L744" s="4"/>
      <c r="M744" s="4"/>
      <c r="N744" s="4"/>
      <c r="O744" s="4"/>
      <c r="P744" s="855"/>
      <c r="Q744" s="855"/>
      <c r="R744" s="855"/>
      <c r="S744" s="16"/>
    </row>
    <row r="745" spans="1:19">
      <c r="A745" s="21">
        <v>7</v>
      </c>
      <c r="B745" s="1265" t="s">
        <v>67</v>
      </c>
      <c r="C745" s="1265"/>
      <c r="D745" s="1265"/>
      <c r="E745" s="24">
        <f>E741-I743</f>
        <v>109114.82730599999</v>
      </c>
      <c r="F745" s="19"/>
      <c r="G745" s="19"/>
      <c r="H745" s="19"/>
      <c r="I745" s="16"/>
      <c r="J745" s="855"/>
      <c r="K745" s="21">
        <v>7</v>
      </c>
      <c r="L745" s="1265" t="s">
        <v>67</v>
      </c>
      <c r="M745" s="1265"/>
      <c r="N745" s="1265"/>
      <c r="O745" s="24">
        <f>E745</f>
        <v>109114.82730599999</v>
      </c>
      <c r="P745" s="19"/>
      <c r="Q745" s="19"/>
      <c r="R745" s="19"/>
      <c r="S745" s="16"/>
    </row>
    <row r="746" spans="1:19">
      <c r="A746" s="15"/>
      <c r="B746" s="855"/>
      <c r="C746" s="855"/>
      <c r="D746" s="855"/>
      <c r="E746" s="855"/>
      <c r="F746" s="855"/>
      <c r="G746" s="855"/>
      <c r="H746" s="855"/>
      <c r="I746" s="16"/>
      <c r="J746" s="855"/>
      <c r="K746" s="15"/>
      <c r="L746" s="855"/>
      <c r="M746" s="855"/>
      <c r="N746" s="855"/>
      <c r="O746" s="855"/>
      <c r="P746" s="855"/>
      <c r="Q746" s="855"/>
      <c r="R746" s="855"/>
      <c r="S746" s="16"/>
    </row>
    <row r="747" spans="1:19">
      <c r="A747" s="15"/>
      <c r="B747" s="855"/>
      <c r="C747" s="855"/>
      <c r="D747" s="855"/>
      <c r="E747" s="855"/>
      <c r="F747" s="855"/>
      <c r="G747" s="855"/>
      <c r="H747" s="855"/>
      <c r="I747" s="16"/>
      <c r="J747" s="855"/>
      <c r="K747" s="15"/>
      <c r="L747" s="855"/>
      <c r="M747" s="855"/>
      <c r="N747" s="855"/>
      <c r="O747" s="855"/>
      <c r="P747" s="855"/>
      <c r="Q747" s="855"/>
      <c r="R747" s="855"/>
      <c r="S747" s="16"/>
    </row>
    <row r="748" spans="1:19" ht="15.75" thickBot="1">
      <c r="A748" s="15"/>
      <c r="B748" s="855"/>
      <c r="C748" s="855"/>
      <c r="D748" s="855"/>
      <c r="E748" s="855"/>
      <c r="F748" s="25"/>
      <c r="G748" s="25"/>
      <c r="H748" s="25"/>
      <c r="I748" s="26"/>
      <c r="J748" s="855"/>
      <c r="K748" s="15"/>
      <c r="L748" s="855"/>
      <c r="M748" s="855"/>
      <c r="N748" s="855"/>
      <c r="O748" s="855"/>
      <c r="P748" s="25"/>
      <c r="Q748" s="25"/>
      <c r="R748" s="25"/>
      <c r="S748" s="26"/>
    </row>
    <row r="749" spans="1:19" ht="15.75" thickBot="1">
      <c r="A749" s="27"/>
      <c r="B749" s="25"/>
      <c r="C749" s="25"/>
      <c r="D749" s="25"/>
      <c r="E749" s="25"/>
      <c r="F749" s="1266" t="s">
        <v>68</v>
      </c>
      <c r="G749" s="1266"/>
      <c r="H749" s="1266"/>
      <c r="I749" s="1267"/>
      <c r="J749" s="855"/>
      <c r="K749" s="27"/>
      <c r="L749" s="25"/>
      <c r="M749" s="25"/>
      <c r="N749" s="25"/>
      <c r="O749" s="25"/>
      <c r="P749" s="1266" t="s">
        <v>68</v>
      </c>
      <c r="Q749" s="1266"/>
      <c r="R749" s="1266"/>
      <c r="S749" s="1267"/>
    </row>
    <row r="750" spans="1:19">
      <c r="A750" s="855"/>
      <c r="B750" s="855"/>
      <c r="C750" s="855"/>
      <c r="D750" s="855"/>
      <c r="E750" s="855"/>
      <c r="F750" s="855"/>
      <c r="G750" s="855"/>
      <c r="H750" s="855"/>
      <c r="I750" s="855"/>
      <c r="J750" s="855"/>
      <c r="K750" s="855"/>
      <c r="L750" s="855"/>
      <c r="M750" s="855"/>
      <c r="N750" s="855"/>
      <c r="O750" s="855"/>
      <c r="P750" s="855"/>
      <c r="Q750" s="855"/>
      <c r="R750" s="855"/>
      <c r="S750" s="855"/>
    </row>
    <row r="751" spans="1:19">
      <c r="A751" s="855"/>
      <c r="B751" s="855"/>
      <c r="C751" s="855"/>
      <c r="D751" s="855"/>
      <c r="E751" s="855"/>
      <c r="F751" s="855"/>
      <c r="G751" s="855"/>
      <c r="H751" s="855"/>
      <c r="I751" s="855"/>
      <c r="J751" s="855"/>
      <c r="K751" s="855"/>
      <c r="L751" s="855"/>
      <c r="M751" s="855"/>
      <c r="N751" s="855"/>
      <c r="O751" s="855"/>
      <c r="P751" s="855"/>
      <c r="Q751" s="855"/>
      <c r="R751" s="855"/>
      <c r="S751" s="855"/>
    </row>
    <row r="752" spans="1:19">
      <c r="A752" s="855"/>
      <c r="B752" s="855"/>
      <c r="C752" s="855"/>
      <c r="D752" s="855"/>
      <c r="E752" s="855"/>
      <c r="F752" s="855"/>
      <c r="G752" s="855"/>
      <c r="H752" s="855"/>
      <c r="I752" s="855"/>
      <c r="J752" s="855"/>
      <c r="K752" s="855"/>
      <c r="L752" s="855"/>
      <c r="M752" s="855"/>
      <c r="N752" s="855"/>
      <c r="O752" s="855"/>
      <c r="P752" s="855"/>
      <c r="Q752" s="855"/>
      <c r="R752" s="855"/>
      <c r="S752" s="855"/>
    </row>
    <row r="753" spans="1:19" ht="15.75" thickBot="1">
      <c r="A753" s="855"/>
      <c r="B753" s="855"/>
      <c r="C753" s="855"/>
      <c r="D753" s="855"/>
      <c r="E753" s="855"/>
      <c r="F753" s="855"/>
      <c r="G753" s="855"/>
      <c r="H753" s="855"/>
      <c r="I753" s="855"/>
      <c r="J753" s="855"/>
      <c r="K753" s="855"/>
      <c r="L753" s="855"/>
      <c r="M753" s="855"/>
      <c r="N753" s="855"/>
      <c r="O753" s="855"/>
      <c r="P753" s="855"/>
      <c r="Q753" s="855"/>
      <c r="R753" s="855"/>
      <c r="S753" s="855"/>
    </row>
    <row r="754" spans="1:19" ht="26.25">
      <c r="A754" s="1270" t="s">
        <v>53</v>
      </c>
      <c r="B754" s="1271"/>
      <c r="C754" s="1271"/>
      <c r="D754" s="1271"/>
      <c r="E754" s="1271"/>
      <c r="F754" s="1271"/>
      <c r="G754" s="1271"/>
      <c r="H754" s="1271"/>
      <c r="I754" s="1272"/>
      <c r="J754" s="855"/>
      <c r="K754" s="1270" t="s">
        <v>53</v>
      </c>
      <c r="L754" s="1271"/>
      <c r="M754" s="1271"/>
      <c r="N754" s="1271"/>
      <c r="O754" s="1271"/>
      <c r="P754" s="1271"/>
      <c r="Q754" s="1271"/>
      <c r="R754" s="1271"/>
      <c r="S754" s="1272"/>
    </row>
    <row r="755" spans="1:19">
      <c r="A755" s="1273" t="s">
        <v>54</v>
      </c>
      <c r="B755" s="1274"/>
      <c r="C755" s="1274"/>
      <c r="D755" s="1274"/>
      <c r="E755" s="1274"/>
      <c r="F755" s="1274"/>
      <c r="G755" s="1274"/>
      <c r="H755" s="1274"/>
      <c r="I755" s="1211"/>
      <c r="J755" s="855"/>
      <c r="K755" s="1273" t="s">
        <v>54</v>
      </c>
      <c r="L755" s="1274"/>
      <c r="M755" s="1274"/>
      <c r="N755" s="1274"/>
      <c r="O755" s="1274"/>
      <c r="P755" s="1274"/>
      <c r="Q755" s="1274"/>
      <c r="R755" s="1274"/>
      <c r="S755" s="1211"/>
    </row>
    <row r="756" spans="1:19">
      <c r="A756" s="15"/>
      <c r="B756" s="855"/>
      <c r="C756" s="855"/>
      <c r="D756" s="855"/>
      <c r="E756" s="855"/>
      <c r="F756" s="855"/>
      <c r="G756" s="855"/>
      <c r="H756" s="855"/>
      <c r="I756" s="16"/>
      <c r="J756" s="855"/>
      <c r="K756" s="15"/>
      <c r="L756" s="855"/>
      <c r="M756" s="855"/>
      <c r="N756" s="855"/>
      <c r="O756" s="855"/>
      <c r="P756" s="855"/>
      <c r="Q756" s="855"/>
      <c r="R756" s="855"/>
      <c r="S756" s="16"/>
    </row>
    <row r="757" spans="1:19">
      <c r="A757" s="17" t="s">
        <v>55</v>
      </c>
      <c r="B757" s="4"/>
      <c r="C757" s="4"/>
      <c r="D757" s="317" t="s">
        <v>425</v>
      </c>
      <c r="E757" s="855"/>
      <c r="F757" s="855"/>
      <c r="G757" s="855"/>
      <c r="H757" s="855"/>
      <c r="I757" s="16"/>
      <c r="J757" s="855"/>
      <c r="K757" s="17" t="s">
        <v>55</v>
      </c>
      <c r="L757" s="4"/>
      <c r="M757" s="4"/>
      <c r="N757" s="8"/>
      <c r="O757" s="381" t="str">
        <f>D757</f>
        <v>Burgeon IT Services Pvt.Ltd.</v>
      </c>
      <c r="P757" s="855"/>
      <c r="Q757" s="855"/>
      <c r="R757" s="855"/>
      <c r="S757" s="16"/>
    </row>
    <row r="758" spans="1:19">
      <c r="A758" s="17"/>
      <c r="B758" s="150" t="s">
        <v>426</v>
      </c>
      <c r="C758" s="4"/>
      <c r="D758" s="855"/>
      <c r="E758" s="855"/>
      <c r="F758" s="855"/>
      <c r="G758" s="855"/>
      <c r="H758" s="855"/>
      <c r="I758" s="16"/>
      <c r="J758" s="855"/>
      <c r="K758" s="17"/>
      <c r="L758" s="4"/>
      <c r="M758" s="4"/>
      <c r="N758" s="4"/>
      <c r="O758" s="855"/>
      <c r="P758" s="855"/>
      <c r="Q758" s="855"/>
      <c r="R758" s="855"/>
      <c r="S758" s="16"/>
    </row>
    <row r="759" spans="1:19">
      <c r="A759" s="17"/>
      <c r="B759" s="4"/>
      <c r="C759" s="4"/>
      <c r="D759" s="4"/>
      <c r="E759" s="4"/>
      <c r="F759" s="855"/>
      <c r="G759" s="855"/>
      <c r="H759" s="855"/>
      <c r="I759" s="16"/>
      <c r="J759" s="855"/>
      <c r="K759" s="17"/>
      <c r="L759" s="4" t="str">
        <f>B758</f>
        <v>Siri Mansion LIGB 436 Dr.A S Rao Nagar,Hyderabad</v>
      </c>
      <c r="M759" s="4"/>
      <c r="N759" s="4"/>
      <c r="O759" s="4"/>
      <c r="P759" s="855"/>
      <c r="Q759" s="855"/>
      <c r="R759" s="855"/>
      <c r="S759" s="16"/>
    </row>
    <row r="760" spans="1:19">
      <c r="A760" s="1275" t="s">
        <v>56</v>
      </c>
      <c r="B760" s="1269"/>
      <c r="C760" s="1269"/>
      <c r="D760" s="1269"/>
      <c r="E760" s="4"/>
      <c r="F760" s="855"/>
      <c r="G760" s="855"/>
      <c r="H760" s="855"/>
      <c r="I760" s="16"/>
      <c r="J760" s="855"/>
      <c r="K760" s="1275" t="s">
        <v>56</v>
      </c>
      <c r="L760" s="1269"/>
      <c r="M760" s="1269"/>
      <c r="N760" s="1269"/>
      <c r="O760" s="4"/>
      <c r="P760" s="855"/>
      <c r="Q760" s="855"/>
      <c r="R760" s="855"/>
      <c r="S760" s="16"/>
    </row>
    <row r="761" spans="1:19">
      <c r="A761" s="1275"/>
      <c r="B761" s="1269"/>
      <c r="C761" s="1269"/>
      <c r="D761" s="1269"/>
      <c r="E761" s="855" t="str">
        <f>'04-22-Master'!B35</f>
        <v xml:space="preserve">AbdulSaleem Sunkesula </v>
      </c>
      <c r="F761" s="19"/>
      <c r="G761" s="19"/>
      <c r="H761" s="19" t="str">
        <f>'04-22-Master'!E35</f>
        <v>Sunkesula Sowdayya</v>
      </c>
      <c r="I761" s="16"/>
      <c r="J761" s="855"/>
      <c r="K761" s="1275"/>
      <c r="L761" s="1269"/>
      <c r="M761" s="1269"/>
      <c r="N761" s="1269"/>
      <c r="O761" s="18" t="str">
        <f>E763</f>
        <v>IT SUPPORTIVE SERVICES &amp; HYDERABAD SEZ</v>
      </c>
      <c r="P761" s="19"/>
      <c r="Q761" s="19"/>
      <c r="R761" s="19"/>
      <c r="S761" s="16"/>
    </row>
    <row r="762" spans="1:19">
      <c r="A762" s="17"/>
      <c r="B762" s="4"/>
      <c r="C762" s="4"/>
      <c r="D762" s="4"/>
      <c r="E762" s="4"/>
      <c r="F762" s="855"/>
      <c r="G762" s="855"/>
      <c r="H762" s="855"/>
      <c r="I762" s="16"/>
      <c r="J762" s="855"/>
      <c r="K762" s="17"/>
      <c r="L762" s="4"/>
      <c r="M762" s="4"/>
      <c r="N762" s="4"/>
      <c r="O762" s="4"/>
      <c r="P762" s="855"/>
      <c r="Q762" s="855"/>
      <c r="R762" s="855"/>
      <c r="S762" s="16"/>
    </row>
    <row r="763" spans="1:19">
      <c r="A763" s="1268" t="s">
        <v>57</v>
      </c>
      <c r="B763" s="1265"/>
      <c r="C763" s="1265"/>
      <c r="D763" s="1265"/>
      <c r="E763" s="18" t="s">
        <v>819</v>
      </c>
      <c r="F763" s="19"/>
      <c r="G763" s="19"/>
      <c r="H763" s="19"/>
      <c r="I763" s="16"/>
      <c r="J763" s="855"/>
      <c r="K763" s="1268" t="s">
        <v>57</v>
      </c>
      <c r="L763" s="1265"/>
      <c r="M763" s="1265"/>
      <c r="N763" s="1265"/>
      <c r="O763" s="18" t="str">
        <f>E763</f>
        <v>IT SUPPORTIVE SERVICES &amp; HYDERABAD SEZ</v>
      </c>
      <c r="P763" s="19"/>
      <c r="Q763" s="19"/>
      <c r="R763" s="19"/>
      <c r="S763" s="16"/>
    </row>
    <row r="764" spans="1:19">
      <c r="A764" s="17"/>
      <c r="B764" s="4"/>
      <c r="C764" s="4"/>
      <c r="D764" s="4"/>
      <c r="E764" s="4"/>
      <c r="F764" s="855"/>
      <c r="G764" s="855"/>
      <c r="H764" s="855"/>
      <c r="I764" s="16"/>
      <c r="J764" s="855"/>
      <c r="K764" s="17"/>
      <c r="L764" s="4"/>
      <c r="M764" s="4"/>
      <c r="N764" s="4"/>
      <c r="O764" s="4"/>
      <c r="P764" s="855"/>
      <c r="Q764" s="855"/>
      <c r="R764" s="855"/>
      <c r="S764" s="16"/>
    </row>
    <row r="765" spans="1:19">
      <c r="A765" s="1268" t="s">
        <v>58</v>
      </c>
      <c r="B765" s="1265"/>
      <c r="C765" s="1265"/>
      <c r="D765" s="1265"/>
      <c r="E765" s="20">
        <f>'04-22-Master'!D10</f>
        <v>44652</v>
      </c>
      <c r="F765" s="19"/>
      <c r="G765" s="19"/>
      <c r="H765" s="19"/>
      <c r="I765" s="16"/>
      <c r="J765" s="855"/>
      <c r="K765" s="1268" t="s">
        <v>58</v>
      </c>
      <c r="L765" s="1265"/>
      <c r="M765" s="1265"/>
      <c r="N765" s="1265"/>
      <c r="O765" s="20">
        <f>E765</f>
        <v>44652</v>
      </c>
      <c r="P765" s="19"/>
      <c r="Q765" s="19"/>
      <c r="R765" s="19"/>
      <c r="S765" s="16"/>
    </row>
    <row r="766" spans="1:19">
      <c r="A766" s="17"/>
      <c r="B766" s="4"/>
      <c r="C766" s="4"/>
      <c r="D766" s="4"/>
      <c r="E766" s="4"/>
      <c r="F766" s="855"/>
      <c r="G766" s="855"/>
      <c r="H766" s="855"/>
      <c r="I766" s="16"/>
      <c r="J766" s="855"/>
      <c r="K766" s="17"/>
      <c r="L766" s="4"/>
      <c r="M766" s="4"/>
      <c r="N766" s="4"/>
      <c r="O766" s="4"/>
      <c r="P766" s="855"/>
      <c r="Q766" s="855"/>
      <c r="R766" s="855"/>
      <c r="S766" s="16"/>
    </row>
    <row r="767" spans="1:19">
      <c r="A767" s="21">
        <v>1</v>
      </c>
      <c r="B767" s="1265" t="s">
        <v>59</v>
      </c>
      <c r="C767" s="1265"/>
      <c r="D767" s="1265"/>
      <c r="E767" s="22">
        <f>'04-22-Master'!Q35</f>
        <v>11</v>
      </c>
      <c r="F767" s="19"/>
      <c r="G767" s="19"/>
      <c r="H767" s="19"/>
      <c r="I767" s="16"/>
      <c r="J767" s="855"/>
      <c r="K767" s="21">
        <v>1</v>
      </c>
      <c r="L767" s="1265" t="s">
        <v>59</v>
      </c>
      <c r="M767" s="1265"/>
      <c r="N767" s="1265"/>
      <c r="O767" s="22">
        <f>E767</f>
        <v>11</v>
      </c>
      <c r="P767" s="19"/>
      <c r="Q767" s="19"/>
      <c r="R767" s="19"/>
      <c r="S767" s="16"/>
    </row>
    <row r="768" spans="1:19">
      <c r="A768" s="21"/>
      <c r="B768" s="4"/>
      <c r="C768" s="4"/>
      <c r="D768" s="4"/>
      <c r="E768" s="4"/>
      <c r="F768" s="855"/>
      <c r="G768" s="855"/>
      <c r="H768" s="855"/>
      <c r="I768" s="16"/>
      <c r="J768" s="855"/>
      <c r="K768" s="21"/>
      <c r="L768" s="4"/>
      <c r="M768" s="4"/>
      <c r="N768" s="4"/>
      <c r="O768" s="4"/>
      <c r="P768" s="855"/>
      <c r="Q768" s="855"/>
      <c r="R768" s="855"/>
      <c r="S768" s="16"/>
    </row>
    <row r="769" spans="1:19">
      <c r="A769" s="21">
        <v>2</v>
      </c>
      <c r="B769" s="1269" t="s">
        <v>60</v>
      </c>
      <c r="C769" s="1269"/>
      <c r="D769" s="1269"/>
      <c r="E769" s="4"/>
      <c r="F769" s="855"/>
      <c r="G769" s="855"/>
      <c r="H769" s="855"/>
      <c r="I769" s="16"/>
      <c r="J769" s="855"/>
      <c r="K769" s="21">
        <v>2</v>
      </c>
      <c r="L769" s="1269" t="s">
        <v>60</v>
      </c>
      <c r="M769" s="1269"/>
      <c r="N769" s="1269"/>
      <c r="O769" s="4"/>
      <c r="P769" s="855"/>
      <c r="Q769" s="855"/>
      <c r="R769" s="855"/>
      <c r="S769" s="16"/>
    </row>
    <row r="770" spans="1:19">
      <c r="A770" s="21"/>
      <c r="B770" s="1269"/>
      <c r="C770" s="1269"/>
      <c r="D770" s="1269"/>
      <c r="E770" s="23" t="s">
        <v>37</v>
      </c>
      <c r="F770" s="19"/>
      <c r="G770" s="19"/>
      <c r="H770" s="19"/>
      <c r="I770" s="16"/>
      <c r="J770" s="855"/>
      <c r="K770" s="21"/>
      <c r="L770" s="1269"/>
      <c r="M770" s="1269"/>
      <c r="N770" s="1269"/>
      <c r="O770" s="23" t="s">
        <v>37</v>
      </c>
      <c r="P770" s="19"/>
      <c r="Q770" s="19"/>
      <c r="R770" s="19"/>
      <c r="S770" s="16"/>
    </row>
    <row r="771" spans="1:19">
      <c r="A771" s="21"/>
      <c r="B771" s="4"/>
      <c r="C771" s="4"/>
      <c r="D771" s="4"/>
      <c r="E771" s="4"/>
      <c r="F771" s="855"/>
      <c r="G771" s="855"/>
      <c r="H771" s="855"/>
      <c r="I771" s="16"/>
      <c r="J771" s="855"/>
      <c r="K771" s="21"/>
      <c r="L771" s="4"/>
      <c r="M771" s="4"/>
      <c r="N771" s="4"/>
      <c r="O771" s="4"/>
      <c r="P771" s="855"/>
      <c r="Q771" s="855"/>
      <c r="R771" s="855"/>
      <c r="S771" s="16"/>
    </row>
    <row r="772" spans="1:19">
      <c r="A772" s="21">
        <v>3</v>
      </c>
      <c r="B772" s="1265" t="s">
        <v>61</v>
      </c>
      <c r="C772" s="1265"/>
      <c r="D772" s="1265"/>
      <c r="E772" s="23" t="s">
        <v>37</v>
      </c>
      <c r="F772" s="19"/>
      <c r="G772" s="19"/>
      <c r="H772" s="19"/>
      <c r="I772" s="16"/>
      <c r="J772" s="855"/>
      <c r="K772" s="21">
        <v>3</v>
      </c>
      <c r="L772" s="1265" t="s">
        <v>61</v>
      </c>
      <c r="M772" s="1265"/>
      <c r="N772" s="1265"/>
      <c r="O772" s="18" t="str">
        <f>E772</f>
        <v>N/A</v>
      </c>
      <c r="P772" s="19"/>
      <c r="Q772" s="19"/>
      <c r="R772" s="19"/>
      <c r="S772" s="16"/>
    </row>
    <row r="773" spans="1:19">
      <c r="A773" s="21"/>
      <c r="B773" s="4"/>
      <c r="C773" s="4"/>
      <c r="D773" s="4"/>
      <c r="E773" s="4"/>
      <c r="F773" s="855"/>
      <c r="G773" s="855"/>
      <c r="H773" s="855"/>
      <c r="I773" s="16"/>
      <c r="J773" s="855"/>
      <c r="K773" s="21"/>
      <c r="L773" s="4"/>
      <c r="M773" s="4"/>
      <c r="N773" s="4"/>
      <c r="O773" s="4"/>
      <c r="P773" s="855"/>
      <c r="Q773" s="855"/>
      <c r="R773" s="855"/>
      <c r="S773" s="16"/>
    </row>
    <row r="774" spans="1:19">
      <c r="A774" s="21">
        <v>4</v>
      </c>
      <c r="B774" s="1265" t="s">
        <v>62</v>
      </c>
      <c r="C774" s="1265"/>
      <c r="D774" s="1265"/>
      <c r="E774" s="23" t="s">
        <v>63</v>
      </c>
      <c r="F774" s="19"/>
      <c r="G774" s="19"/>
      <c r="H774" s="19"/>
      <c r="I774" s="16"/>
      <c r="J774" s="855"/>
      <c r="K774" s="21">
        <v>4</v>
      </c>
      <c r="L774" s="1265" t="s">
        <v>62</v>
      </c>
      <c r="M774" s="1265"/>
      <c r="N774" s="1265"/>
      <c r="O774" s="23" t="s">
        <v>63</v>
      </c>
      <c r="P774" s="19"/>
      <c r="Q774" s="19"/>
      <c r="R774" s="19"/>
      <c r="S774" s="16"/>
    </row>
    <row r="775" spans="1:19">
      <c r="A775" s="21"/>
      <c r="B775" s="4"/>
      <c r="C775" s="4"/>
      <c r="D775" s="4"/>
      <c r="E775" s="4"/>
      <c r="F775" s="855"/>
      <c r="G775" s="855"/>
      <c r="H775" s="855"/>
      <c r="I775" s="16"/>
      <c r="J775" s="855"/>
      <c r="K775" s="21"/>
      <c r="L775" s="4"/>
      <c r="M775" s="4"/>
      <c r="N775" s="4"/>
      <c r="O775" s="4"/>
      <c r="P775" s="855"/>
      <c r="Q775" s="855"/>
      <c r="R775" s="855"/>
      <c r="S775" s="16"/>
    </row>
    <row r="776" spans="1:19">
      <c r="A776" s="21">
        <v>5</v>
      </c>
      <c r="B776" s="1265" t="s">
        <v>64</v>
      </c>
      <c r="C776" s="1265"/>
      <c r="D776" s="1265"/>
      <c r="E776" s="295">
        <f>'04-22-Master'!AG35</f>
        <v>31590.618226000002</v>
      </c>
      <c r="F776" s="855"/>
      <c r="G776" s="855"/>
      <c r="H776" s="855"/>
      <c r="I776" s="16"/>
      <c r="J776" s="855"/>
      <c r="K776" s="21">
        <v>5</v>
      </c>
      <c r="L776" s="1265" t="s">
        <v>64</v>
      </c>
      <c r="M776" s="1265"/>
      <c r="N776" s="1265"/>
      <c r="O776" s="295">
        <f>E776</f>
        <v>31590.618226000002</v>
      </c>
      <c r="P776" s="855"/>
      <c r="Q776" s="855"/>
      <c r="R776" s="855"/>
      <c r="S776" s="16"/>
    </row>
    <row r="777" spans="1:19">
      <c r="A777" s="21"/>
      <c r="B777" s="4"/>
      <c r="C777" s="4"/>
      <c r="D777" s="296" t="s">
        <v>65</v>
      </c>
      <c r="E777" s="296" t="s">
        <v>31</v>
      </c>
      <c r="F777" s="296" t="s">
        <v>33</v>
      </c>
      <c r="G777" s="296" t="s">
        <v>34</v>
      </c>
      <c r="H777" s="296" t="s">
        <v>399</v>
      </c>
      <c r="I777" s="857" t="s">
        <v>400</v>
      </c>
      <c r="J777" s="855"/>
      <c r="K777" s="21"/>
      <c r="L777" s="4"/>
      <c r="M777" s="4"/>
      <c r="N777" s="296" t="s">
        <v>65</v>
      </c>
      <c r="O777" s="296" t="s">
        <v>31</v>
      </c>
      <c r="P777" s="296" t="s">
        <v>33</v>
      </c>
      <c r="Q777" s="296" t="s">
        <v>34</v>
      </c>
      <c r="R777" s="296" t="s">
        <v>399</v>
      </c>
      <c r="S777" s="857" t="s">
        <v>400</v>
      </c>
    </row>
    <row r="778" spans="1:19">
      <c r="A778" s="21">
        <v>6</v>
      </c>
      <c r="B778" s="915" t="s">
        <v>66</v>
      </c>
      <c r="C778" s="915"/>
      <c r="D778" s="297">
        <f>'04-22-Master'!AI35</f>
        <v>1800</v>
      </c>
      <c r="E778" s="297">
        <f>'04-22-Master'!AH822</f>
        <v>0</v>
      </c>
      <c r="F778" s="858">
        <f>'04-22-Master'!AJ35</f>
        <v>200</v>
      </c>
      <c r="G778" s="297">
        <f>'04-22-Master'!AK35</f>
        <v>0</v>
      </c>
      <c r="H778" s="858">
        <f>'04-22-Master'!AL35</f>
        <v>0</v>
      </c>
      <c r="I778" s="858">
        <f>D778+E778+F778+G778+H778</f>
        <v>2000</v>
      </c>
      <c r="J778" s="855"/>
      <c r="K778" s="21">
        <v>6</v>
      </c>
      <c r="L778" s="915" t="s">
        <v>66</v>
      </c>
      <c r="M778" s="915"/>
      <c r="N778" s="297">
        <f t="shared" ref="N778" si="104">D778</f>
        <v>1800</v>
      </c>
      <c r="O778" s="297">
        <f t="shared" ref="O778" si="105">E778</f>
        <v>0</v>
      </c>
      <c r="P778" s="858">
        <f t="shared" ref="P778" si="106">F778</f>
        <v>200</v>
      </c>
      <c r="Q778" s="297">
        <f t="shared" ref="Q778" si="107">G778</f>
        <v>0</v>
      </c>
      <c r="R778" s="858">
        <f t="shared" ref="R778" si="108">H778</f>
        <v>0</v>
      </c>
      <c r="S778" s="858">
        <f t="shared" ref="S778" si="109">I778</f>
        <v>2000</v>
      </c>
    </row>
    <row r="779" spans="1:19">
      <c r="A779" s="21"/>
      <c r="B779" s="4"/>
      <c r="C779" s="4"/>
      <c r="D779" s="4"/>
      <c r="E779" s="4"/>
      <c r="F779" s="855"/>
      <c r="G779" s="855"/>
      <c r="H779" s="855"/>
      <c r="I779" s="16"/>
      <c r="J779" s="855"/>
      <c r="K779" s="21"/>
      <c r="L779" s="4"/>
      <c r="M779" s="4"/>
      <c r="N779" s="4"/>
      <c r="O779" s="4"/>
      <c r="P779" s="855"/>
      <c r="Q779" s="855"/>
      <c r="R779" s="855"/>
      <c r="S779" s="16"/>
    </row>
    <row r="780" spans="1:19">
      <c r="A780" s="21">
        <v>7</v>
      </c>
      <c r="B780" s="1265" t="s">
        <v>67</v>
      </c>
      <c r="C780" s="1265"/>
      <c r="D780" s="1265"/>
      <c r="E780" s="24">
        <f>E776-I778</f>
        <v>29590.618226000002</v>
      </c>
      <c r="F780" s="19"/>
      <c r="G780" s="19"/>
      <c r="H780" s="19"/>
      <c r="I780" s="16"/>
      <c r="J780" s="855"/>
      <c r="K780" s="21">
        <v>7</v>
      </c>
      <c r="L780" s="1265" t="s">
        <v>67</v>
      </c>
      <c r="M780" s="1265"/>
      <c r="N780" s="1265"/>
      <c r="O780" s="24">
        <f>E780</f>
        <v>29590.618226000002</v>
      </c>
      <c r="P780" s="19"/>
      <c r="Q780" s="19"/>
      <c r="R780" s="19"/>
      <c r="S780" s="16"/>
    </row>
    <row r="781" spans="1:19">
      <c r="A781" s="15"/>
      <c r="B781" s="855"/>
      <c r="C781" s="855"/>
      <c r="D781" s="855"/>
      <c r="E781" s="855"/>
      <c r="F781" s="855"/>
      <c r="G781" s="855"/>
      <c r="H781" s="855"/>
      <c r="I781" s="16"/>
      <c r="J781" s="855"/>
      <c r="K781" s="15"/>
      <c r="L781" s="855"/>
      <c r="M781" s="855"/>
      <c r="N781" s="855"/>
      <c r="O781" s="855"/>
      <c r="P781" s="855"/>
      <c r="Q781" s="855"/>
      <c r="R781" s="855"/>
      <c r="S781" s="16"/>
    </row>
    <row r="782" spans="1:19">
      <c r="A782" s="15"/>
      <c r="B782" s="855"/>
      <c r="C782" s="855"/>
      <c r="D782" s="855"/>
      <c r="E782" s="855"/>
      <c r="F782" s="855"/>
      <c r="G782" s="855"/>
      <c r="H782" s="855"/>
      <c r="I782" s="16"/>
      <c r="J782" s="855"/>
      <c r="K782" s="15"/>
      <c r="L782" s="855"/>
      <c r="M782" s="855"/>
      <c r="N782" s="855"/>
      <c r="O782" s="855"/>
      <c r="P782" s="855"/>
      <c r="Q782" s="855"/>
      <c r="R782" s="855"/>
      <c r="S782" s="16"/>
    </row>
    <row r="783" spans="1:19" ht="15.75" thickBot="1">
      <c r="A783" s="15"/>
      <c r="B783" s="855"/>
      <c r="C783" s="855"/>
      <c r="D783" s="855"/>
      <c r="E783" s="855"/>
      <c r="F783" s="25"/>
      <c r="G783" s="25"/>
      <c r="H783" s="25"/>
      <c r="I783" s="26"/>
      <c r="J783" s="855"/>
      <c r="K783" s="15"/>
      <c r="L783" s="855"/>
      <c r="M783" s="855"/>
      <c r="N783" s="855"/>
      <c r="O783" s="855"/>
      <c r="P783" s="25"/>
      <c r="Q783" s="25"/>
      <c r="R783" s="25"/>
      <c r="S783" s="26"/>
    </row>
    <row r="784" spans="1:19" ht="15.75" thickBot="1">
      <c r="A784" s="27"/>
      <c r="B784" s="25"/>
      <c r="C784" s="25"/>
      <c r="D784" s="25"/>
      <c r="E784" s="25"/>
      <c r="F784" s="1266" t="s">
        <v>68</v>
      </c>
      <c r="G784" s="1266"/>
      <c r="H784" s="1266"/>
      <c r="I784" s="1267"/>
      <c r="J784" s="855"/>
      <c r="K784" s="27"/>
      <c r="L784" s="25"/>
      <c r="M784" s="25"/>
      <c r="N784" s="25"/>
      <c r="O784" s="25"/>
      <c r="P784" s="1266" t="s">
        <v>68</v>
      </c>
      <c r="Q784" s="1266"/>
      <c r="R784" s="1266"/>
      <c r="S784" s="1267"/>
    </row>
    <row r="785" spans="1:19">
      <c r="A785" s="855"/>
      <c r="B785" s="855"/>
      <c r="C785" s="855"/>
      <c r="D785" s="855"/>
      <c r="E785" s="855"/>
      <c r="F785" s="855"/>
      <c r="G785" s="855"/>
      <c r="H785" s="855"/>
      <c r="I785" s="855"/>
      <c r="J785" s="855"/>
      <c r="K785" s="855"/>
      <c r="L785" s="855"/>
      <c r="M785" s="855"/>
      <c r="N785" s="855"/>
      <c r="O785" s="855"/>
      <c r="P785" s="855"/>
      <c r="Q785" s="855"/>
      <c r="R785" s="855"/>
      <c r="S785" s="855"/>
    </row>
    <row r="786" spans="1:19">
      <c r="A786" s="855"/>
      <c r="B786" s="855"/>
      <c r="C786" s="855"/>
      <c r="D786" s="855"/>
      <c r="E786" s="855"/>
      <c r="F786" s="855"/>
      <c r="G786" s="855"/>
      <c r="H786" s="855"/>
      <c r="I786" s="855"/>
      <c r="J786" s="855"/>
      <c r="K786" s="855"/>
      <c r="L786" s="855"/>
      <c r="M786" s="855"/>
      <c r="N786" s="855"/>
      <c r="O786" s="855"/>
      <c r="P786" s="855"/>
      <c r="Q786" s="855"/>
      <c r="R786" s="855"/>
      <c r="S786" s="855"/>
    </row>
    <row r="787" spans="1:19">
      <c r="A787" s="855"/>
      <c r="B787" s="855"/>
      <c r="C787" s="855"/>
      <c r="D787" s="855"/>
      <c r="E787" s="855"/>
      <c r="F787" s="855"/>
      <c r="G787" s="855"/>
      <c r="H787" s="855"/>
      <c r="I787" s="855"/>
      <c r="J787" s="855"/>
      <c r="K787" s="855"/>
      <c r="L787" s="855"/>
      <c r="M787" s="855"/>
      <c r="N787" s="855"/>
      <c r="O787" s="855"/>
      <c r="P787" s="855"/>
      <c r="Q787" s="855"/>
      <c r="R787" s="855"/>
      <c r="S787" s="855"/>
    </row>
    <row r="788" spans="1:19" ht="15.75" thickBot="1">
      <c r="A788" s="855"/>
      <c r="B788" s="855"/>
      <c r="C788" s="855"/>
      <c r="D788" s="855"/>
      <c r="E788" s="855"/>
      <c r="F788" s="855"/>
      <c r="G788" s="855"/>
      <c r="H788" s="855"/>
      <c r="I788" s="855"/>
      <c r="J788" s="855"/>
      <c r="K788" s="855"/>
      <c r="L788" s="855"/>
      <c r="M788" s="855"/>
      <c r="N788" s="855"/>
      <c r="O788" s="855"/>
      <c r="P788" s="855"/>
      <c r="Q788" s="855"/>
      <c r="R788" s="855"/>
      <c r="S788" s="855"/>
    </row>
    <row r="789" spans="1:19" ht="26.25">
      <c r="A789" s="1270" t="s">
        <v>53</v>
      </c>
      <c r="B789" s="1271"/>
      <c r="C789" s="1271"/>
      <c r="D789" s="1271"/>
      <c r="E789" s="1271"/>
      <c r="F789" s="1271"/>
      <c r="G789" s="1271"/>
      <c r="H789" s="1271"/>
      <c r="I789" s="1272"/>
      <c r="J789" s="855"/>
      <c r="K789" s="1270" t="s">
        <v>53</v>
      </c>
      <c r="L789" s="1271"/>
      <c r="M789" s="1271"/>
      <c r="N789" s="1271"/>
      <c r="O789" s="1271"/>
      <c r="P789" s="1271"/>
      <c r="Q789" s="1271"/>
      <c r="R789" s="1271"/>
      <c r="S789" s="1272"/>
    </row>
    <row r="790" spans="1:19">
      <c r="A790" s="1273" t="s">
        <v>54</v>
      </c>
      <c r="B790" s="1274"/>
      <c r="C790" s="1274"/>
      <c r="D790" s="1274"/>
      <c r="E790" s="1274"/>
      <c r="F790" s="1274"/>
      <c r="G790" s="1274"/>
      <c r="H790" s="1274"/>
      <c r="I790" s="1211"/>
      <c r="J790" s="855"/>
      <c r="K790" s="1273" t="s">
        <v>54</v>
      </c>
      <c r="L790" s="1274"/>
      <c r="M790" s="1274"/>
      <c r="N790" s="1274"/>
      <c r="O790" s="1274"/>
      <c r="P790" s="1274"/>
      <c r="Q790" s="1274"/>
      <c r="R790" s="1274"/>
      <c r="S790" s="1211"/>
    </row>
    <row r="791" spans="1:19">
      <c r="A791" s="15"/>
      <c r="B791" s="855"/>
      <c r="C791" s="855"/>
      <c r="D791" s="855"/>
      <c r="E791" s="855"/>
      <c r="F791" s="855"/>
      <c r="G791" s="855"/>
      <c r="H791" s="855"/>
      <c r="I791" s="16"/>
      <c r="J791" s="855"/>
      <c r="K791" s="15"/>
      <c r="L791" s="855"/>
      <c r="M791" s="855"/>
      <c r="N791" s="855"/>
      <c r="O791" s="855"/>
      <c r="P791" s="855"/>
      <c r="Q791" s="855"/>
      <c r="R791" s="855"/>
      <c r="S791" s="16"/>
    </row>
    <row r="792" spans="1:19">
      <c r="A792" s="17" t="s">
        <v>55</v>
      </c>
      <c r="B792" s="4"/>
      <c r="C792" s="4"/>
      <c r="D792" s="317" t="s">
        <v>425</v>
      </c>
      <c r="E792" s="855"/>
      <c r="F792" s="855"/>
      <c r="G792" s="855"/>
      <c r="H792" s="855"/>
      <c r="I792" s="16"/>
      <c r="J792" s="855"/>
      <c r="K792" s="17" t="s">
        <v>55</v>
      </c>
      <c r="L792" s="4"/>
      <c r="M792" s="4"/>
      <c r="N792" s="8"/>
      <c r="O792" s="381" t="str">
        <f>D792</f>
        <v>Burgeon IT Services Pvt.Ltd.</v>
      </c>
      <c r="P792" s="855"/>
      <c r="Q792" s="855"/>
      <c r="R792" s="855"/>
      <c r="S792" s="16"/>
    </row>
    <row r="793" spans="1:19">
      <c r="A793" s="17"/>
      <c r="B793" s="150" t="s">
        <v>426</v>
      </c>
      <c r="C793" s="4"/>
      <c r="D793" s="855"/>
      <c r="E793" s="855"/>
      <c r="F793" s="855"/>
      <c r="G793" s="855"/>
      <c r="H793" s="855"/>
      <c r="I793" s="16"/>
      <c r="J793" s="855"/>
      <c r="K793" s="17"/>
      <c r="L793" s="4"/>
      <c r="M793" s="4"/>
      <c r="N793" s="4"/>
      <c r="O793" s="855"/>
      <c r="P793" s="855"/>
      <c r="Q793" s="855"/>
      <c r="R793" s="855"/>
      <c r="S793" s="16"/>
    </row>
    <row r="794" spans="1:19">
      <c r="A794" s="17"/>
      <c r="B794" s="4"/>
      <c r="C794" s="4"/>
      <c r="D794" s="4"/>
      <c r="E794" s="4"/>
      <c r="F794" s="855"/>
      <c r="G794" s="855"/>
      <c r="H794" s="855"/>
      <c r="I794" s="16"/>
      <c r="J794" s="855"/>
      <c r="K794" s="17"/>
      <c r="L794" s="4" t="str">
        <f>B793</f>
        <v>Siri Mansion LIGB 436 Dr.A S Rao Nagar,Hyderabad</v>
      </c>
      <c r="M794" s="4"/>
      <c r="N794" s="4"/>
      <c r="O794" s="4"/>
      <c r="P794" s="855"/>
      <c r="Q794" s="855"/>
      <c r="R794" s="855"/>
      <c r="S794" s="16"/>
    </row>
    <row r="795" spans="1:19">
      <c r="A795" s="1275" t="s">
        <v>56</v>
      </c>
      <c r="B795" s="1269"/>
      <c r="C795" s="1269"/>
      <c r="D795" s="1269"/>
      <c r="E795" s="4"/>
      <c r="F795" s="855"/>
      <c r="G795" s="855"/>
      <c r="H795" s="855"/>
      <c r="I795" s="16"/>
      <c r="J795" s="855"/>
      <c r="K795" s="1275" t="s">
        <v>56</v>
      </c>
      <c r="L795" s="1269"/>
      <c r="M795" s="1269"/>
      <c r="N795" s="1269"/>
      <c r="O795" s="4"/>
      <c r="P795" s="855"/>
      <c r="Q795" s="855"/>
      <c r="R795" s="855"/>
      <c r="S795" s="16"/>
    </row>
    <row r="796" spans="1:19">
      <c r="A796" s="1275"/>
      <c r="B796" s="1269"/>
      <c r="C796" s="1269"/>
      <c r="D796" s="1269"/>
      <c r="E796" s="855" t="str">
        <f>'04-22-Master'!B36</f>
        <v xml:space="preserve">SADHAM HUSSAIN </v>
      </c>
      <c r="F796" s="19"/>
      <c r="G796" s="19"/>
      <c r="H796" s="19" t="str">
        <f>'04-22-Master'!E36</f>
        <v>Shahul Hameed</v>
      </c>
      <c r="I796" s="16"/>
      <c r="J796" s="855"/>
      <c r="K796" s="1275"/>
      <c r="L796" s="1269"/>
      <c r="M796" s="1269"/>
      <c r="N796" s="1269"/>
      <c r="O796" s="18" t="str">
        <f>E798</f>
        <v>IT SUPPORTIVE SERVICES &amp; HYDERABAD SEZ</v>
      </c>
      <c r="P796" s="19"/>
      <c r="Q796" s="19"/>
      <c r="R796" s="19"/>
      <c r="S796" s="16"/>
    </row>
    <row r="797" spans="1:19">
      <c r="A797" s="17"/>
      <c r="B797" s="4"/>
      <c r="C797" s="4"/>
      <c r="D797" s="4"/>
      <c r="E797" s="4"/>
      <c r="F797" s="855"/>
      <c r="G797" s="855"/>
      <c r="H797" s="855"/>
      <c r="I797" s="16"/>
      <c r="J797" s="855"/>
      <c r="K797" s="17"/>
      <c r="L797" s="4"/>
      <c r="M797" s="4"/>
      <c r="N797" s="4"/>
      <c r="O797" s="4"/>
      <c r="P797" s="855"/>
      <c r="Q797" s="855"/>
      <c r="R797" s="855"/>
      <c r="S797" s="16"/>
    </row>
    <row r="798" spans="1:19">
      <c r="A798" s="1268" t="s">
        <v>57</v>
      </c>
      <c r="B798" s="1265"/>
      <c r="C798" s="1265"/>
      <c r="D798" s="1265"/>
      <c r="E798" s="18" t="s">
        <v>819</v>
      </c>
      <c r="F798" s="19"/>
      <c r="G798" s="19"/>
      <c r="H798" s="19"/>
      <c r="I798" s="16"/>
      <c r="J798" s="855"/>
      <c r="K798" s="1268" t="s">
        <v>57</v>
      </c>
      <c r="L798" s="1265"/>
      <c r="M798" s="1265"/>
      <c r="N798" s="1265"/>
      <c r="O798" s="18" t="str">
        <f>E798</f>
        <v>IT SUPPORTIVE SERVICES &amp; HYDERABAD SEZ</v>
      </c>
      <c r="P798" s="19"/>
      <c r="Q798" s="19"/>
      <c r="R798" s="19"/>
      <c r="S798" s="16"/>
    </row>
    <row r="799" spans="1:19">
      <c r="A799" s="17"/>
      <c r="B799" s="4"/>
      <c r="C799" s="4"/>
      <c r="D799" s="4"/>
      <c r="E799" s="4"/>
      <c r="F799" s="855"/>
      <c r="G799" s="855"/>
      <c r="H799" s="855"/>
      <c r="I799" s="16"/>
      <c r="J799" s="855"/>
      <c r="K799" s="17"/>
      <c r="L799" s="4"/>
      <c r="M799" s="4"/>
      <c r="N799" s="4"/>
      <c r="O799" s="4"/>
      <c r="P799" s="855"/>
      <c r="Q799" s="855"/>
      <c r="R799" s="855"/>
      <c r="S799" s="16"/>
    </row>
    <row r="800" spans="1:19">
      <c r="A800" s="1268" t="s">
        <v>58</v>
      </c>
      <c r="B800" s="1265"/>
      <c r="C800" s="1265"/>
      <c r="D800" s="1265"/>
      <c r="E800" s="20">
        <f>'04-22-Master'!D10</f>
        <v>44652</v>
      </c>
      <c r="F800" s="19"/>
      <c r="G800" s="19"/>
      <c r="H800" s="19"/>
      <c r="I800" s="16"/>
      <c r="J800" s="855"/>
      <c r="K800" s="1268" t="s">
        <v>58</v>
      </c>
      <c r="L800" s="1265"/>
      <c r="M800" s="1265"/>
      <c r="N800" s="1265"/>
      <c r="O800" s="20">
        <f>E800</f>
        <v>44652</v>
      </c>
      <c r="P800" s="19"/>
      <c r="Q800" s="19"/>
      <c r="R800" s="19"/>
      <c r="S800" s="16"/>
    </row>
    <row r="801" spans="1:19">
      <c r="A801" s="17"/>
      <c r="B801" s="4"/>
      <c r="C801" s="4"/>
      <c r="D801" s="4"/>
      <c r="E801" s="4"/>
      <c r="F801" s="855"/>
      <c r="G801" s="855"/>
      <c r="H801" s="855"/>
      <c r="I801" s="16"/>
      <c r="J801" s="855"/>
      <c r="K801" s="17"/>
      <c r="L801" s="4"/>
      <c r="M801" s="4"/>
      <c r="N801" s="4"/>
      <c r="O801" s="4"/>
      <c r="P801" s="855"/>
      <c r="Q801" s="855"/>
      <c r="R801" s="855"/>
      <c r="S801" s="16"/>
    </row>
    <row r="802" spans="1:19">
      <c r="A802" s="21">
        <v>1</v>
      </c>
      <c r="B802" s="1265" t="s">
        <v>59</v>
      </c>
      <c r="C802" s="1265"/>
      <c r="D802" s="1265"/>
      <c r="E802" s="22">
        <f>'04-22-Master'!Q36</f>
        <v>6</v>
      </c>
      <c r="F802" s="19"/>
      <c r="G802" s="19"/>
      <c r="H802" s="19"/>
      <c r="I802" s="16"/>
      <c r="J802" s="855"/>
      <c r="K802" s="21">
        <v>1</v>
      </c>
      <c r="L802" s="1265" t="s">
        <v>59</v>
      </c>
      <c r="M802" s="1265"/>
      <c r="N802" s="1265"/>
      <c r="O802" s="22">
        <f>E802</f>
        <v>6</v>
      </c>
      <c r="P802" s="19"/>
      <c r="Q802" s="19"/>
      <c r="R802" s="19"/>
      <c r="S802" s="16"/>
    </row>
    <row r="803" spans="1:19">
      <c r="A803" s="21"/>
      <c r="B803" s="4"/>
      <c r="C803" s="4"/>
      <c r="D803" s="4"/>
      <c r="E803" s="4"/>
      <c r="F803" s="855"/>
      <c r="G803" s="855"/>
      <c r="H803" s="855"/>
      <c r="I803" s="16"/>
      <c r="J803" s="855"/>
      <c r="K803" s="21"/>
      <c r="L803" s="4"/>
      <c r="M803" s="4"/>
      <c r="N803" s="4"/>
      <c r="O803" s="4"/>
      <c r="P803" s="855"/>
      <c r="Q803" s="855"/>
      <c r="R803" s="855"/>
      <c r="S803" s="16"/>
    </row>
    <row r="804" spans="1:19">
      <c r="A804" s="21">
        <v>2</v>
      </c>
      <c r="B804" s="1269" t="s">
        <v>60</v>
      </c>
      <c r="C804" s="1269"/>
      <c r="D804" s="1269"/>
      <c r="E804" s="4"/>
      <c r="F804" s="855"/>
      <c r="G804" s="855"/>
      <c r="H804" s="855"/>
      <c r="I804" s="16"/>
      <c r="J804" s="855"/>
      <c r="K804" s="21">
        <v>2</v>
      </c>
      <c r="L804" s="1269" t="s">
        <v>60</v>
      </c>
      <c r="M804" s="1269"/>
      <c r="N804" s="1269"/>
      <c r="O804" s="4"/>
      <c r="P804" s="855"/>
      <c r="Q804" s="855"/>
      <c r="R804" s="855"/>
      <c r="S804" s="16"/>
    </row>
    <row r="805" spans="1:19">
      <c r="A805" s="21"/>
      <c r="B805" s="1269"/>
      <c r="C805" s="1269"/>
      <c r="D805" s="1269"/>
      <c r="E805" s="23" t="s">
        <v>37</v>
      </c>
      <c r="F805" s="19"/>
      <c r="G805" s="19"/>
      <c r="H805" s="19"/>
      <c r="I805" s="16"/>
      <c r="J805" s="855"/>
      <c r="K805" s="21"/>
      <c r="L805" s="1269"/>
      <c r="M805" s="1269"/>
      <c r="N805" s="1269"/>
      <c r="O805" s="23" t="s">
        <v>37</v>
      </c>
      <c r="P805" s="19"/>
      <c r="Q805" s="19"/>
      <c r="R805" s="19"/>
      <c r="S805" s="16"/>
    </row>
    <row r="806" spans="1:19">
      <c r="A806" s="21"/>
      <c r="B806" s="4"/>
      <c r="C806" s="4"/>
      <c r="D806" s="4"/>
      <c r="E806" s="4"/>
      <c r="F806" s="855"/>
      <c r="G806" s="855"/>
      <c r="H806" s="855"/>
      <c r="I806" s="16"/>
      <c r="J806" s="855"/>
      <c r="K806" s="21"/>
      <c r="L806" s="4"/>
      <c r="M806" s="4"/>
      <c r="N806" s="4"/>
      <c r="O806" s="4"/>
      <c r="P806" s="855"/>
      <c r="Q806" s="855"/>
      <c r="R806" s="855"/>
      <c r="S806" s="16"/>
    </row>
    <row r="807" spans="1:19">
      <c r="A807" s="21">
        <v>3</v>
      </c>
      <c r="B807" s="1265" t="s">
        <v>61</v>
      </c>
      <c r="C807" s="1265"/>
      <c r="D807" s="1265"/>
      <c r="E807" s="23" t="s">
        <v>37</v>
      </c>
      <c r="F807" s="19"/>
      <c r="G807" s="19"/>
      <c r="H807" s="19"/>
      <c r="I807" s="16"/>
      <c r="J807" s="855"/>
      <c r="K807" s="21">
        <v>3</v>
      </c>
      <c r="L807" s="1265" t="s">
        <v>61</v>
      </c>
      <c r="M807" s="1265"/>
      <c r="N807" s="1265"/>
      <c r="O807" s="18" t="str">
        <f>E807</f>
        <v>N/A</v>
      </c>
      <c r="P807" s="19"/>
      <c r="Q807" s="19"/>
      <c r="R807" s="19"/>
      <c r="S807" s="16"/>
    </row>
    <row r="808" spans="1:19">
      <c r="A808" s="21"/>
      <c r="B808" s="4"/>
      <c r="C808" s="4"/>
      <c r="D808" s="4"/>
      <c r="E808" s="4"/>
      <c r="F808" s="855"/>
      <c r="G808" s="855"/>
      <c r="H808" s="855"/>
      <c r="I808" s="16"/>
      <c r="J808" s="855"/>
      <c r="K808" s="21"/>
      <c r="L808" s="4"/>
      <c r="M808" s="4"/>
      <c r="N808" s="4"/>
      <c r="O808" s="4"/>
      <c r="P808" s="855"/>
      <c r="Q808" s="855"/>
      <c r="R808" s="855"/>
      <c r="S808" s="16"/>
    </row>
    <row r="809" spans="1:19">
      <c r="A809" s="21">
        <v>4</v>
      </c>
      <c r="B809" s="1265" t="s">
        <v>62</v>
      </c>
      <c r="C809" s="1265"/>
      <c r="D809" s="1265"/>
      <c r="E809" s="23" t="s">
        <v>63</v>
      </c>
      <c r="F809" s="19"/>
      <c r="G809" s="19"/>
      <c r="H809" s="19"/>
      <c r="I809" s="16"/>
      <c r="J809" s="855"/>
      <c r="K809" s="21">
        <v>4</v>
      </c>
      <c r="L809" s="1265" t="s">
        <v>62</v>
      </c>
      <c r="M809" s="1265"/>
      <c r="N809" s="1265"/>
      <c r="O809" s="23" t="s">
        <v>63</v>
      </c>
      <c r="P809" s="19"/>
      <c r="Q809" s="19"/>
      <c r="R809" s="19"/>
      <c r="S809" s="16"/>
    </row>
    <row r="810" spans="1:19">
      <c r="A810" s="21"/>
      <c r="B810" s="4"/>
      <c r="C810" s="4"/>
      <c r="D810" s="4"/>
      <c r="E810" s="4"/>
      <c r="F810" s="855"/>
      <c r="G810" s="855"/>
      <c r="H810" s="855"/>
      <c r="I810" s="16"/>
      <c r="J810" s="855"/>
      <c r="K810" s="21"/>
      <c r="L810" s="4"/>
      <c r="M810" s="4"/>
      <c r="N810" s="4"/>
      <c r="O810" s="4"/>
      <c r="P810" s="855"/>
      <c r="Q810" s="855"/>
      <c r="R810" s="855"/>
      <c r="S810" s="16"/>
    </row>
    <row r="811" spans="1:19">
      <c r="A811" s="21">
        <v>5</v>
      </c>
      <c r="B811" s="1265" t="s">
        <v>64</v>
      </c>
      <c r="C811" s="1265"/>
      <c r="D811" s="1265"/>
      <c r="E811" s="295">
        <f>'04-22-Master'!AG36</f>
        <v>30989.297623999999</v>
      </c>
      <c r="F811" s="855"/>
      <c r="G811" s="855"/>
      <c r="H811" s="855"/>
      <c r="I811" s="16"/>
      <c r="J811" s="855"/>
      <c r="K811" s="21">
        <v>5</v>
      </c>
      <c r="L811" s="1265" t="s">
        <v>64</v>
      </c>
      <c r="M811" s="1265"/>
      <c r="N811" s="1265"/>
      <c r="O811" s="295">
        <f>E811</f>
        <v>30989.297623999999</v>
      </c>
      <c r="P811" s="855"/>
      <c r="Q811" s="855"/>
      <c r="R811" s="855"/>
      <c r="S811" s="16"/>
    </row>
    <row r="812" spans="1:19">
      <c r="A812" s="21"/>
      <c r="B812" s="4"/>
      <c r="C812" s="4"/>
      <c r="D812" s="296" t="s">
        <v>65</v>
      </c>
      <c r="E812" s="296" t="s">
        <v>31</v>
      </c>
      <c r="F812" s="296" t="s">
        <v>33</v>
      </c>
      <c r="G812" s="296" t="s">
        <v>34</v>
      </c>
      <c r="H812" s="296" t="s">
        <v>399</v>
      </c>
      <c r="I812" s="857" t="s">
        <v>400</v>
      </c>
      <c r="J812" s="855"/>
      <c r="K812" s="21"/>
      <c r="L812" s="4"/>
      <c r="M812" s="4"/>
      <c r="N812" s="296" t="s">
        <v>65</v>
      </c>
      <c r="O812" s="296" t="s">
        <v>31</v>
      </c>
      <c r="P812" s="296" t="s">
        <v>33</v>
      </c>
      <c r="Q812" s="296" t="s">
        <v>34</v>
      </c>
      <c r="R812" s="296" t="s">
        <v>399</v>
      </c>
      <c r="S812" s="857" t="s">
        <v>400</v>
      </c>
    </row>
    <row r="813" spans="1:19">
      <c r="A813" s="21">
        <v>6</v>
      </c>
      <c r="B813" s="915" t="s">
        <v>66</v>
      </c>
      <c r="C813" s="915"/>
      <c r="D813" s="297">
        <f>'04-22-Master'!AI36</f>
        <v>1800</v>
      </c>
      <c r="E813" s="297">
        <f>'04-22-Master'!AH857</f>
        <v>0</v>
      </c>
      <c r="F813" s="858">
        <f>'04-22-Master'!AJ36</f>
        <v>200</v>
      </c>
      <c r="G813" s="297">
        <f>'04-22-Master'!AK36</f>
        <v>0</v>
      </c>
      <c r="H813" s="858">
        <f>'04-22-Master'!AL36</f>
        <v>0</v>
      </c>
      <c r="I813" s="858">
        <f>D813+E813+F813+G813+H813</f>
        <v>2000</v>
      </c>
      <c r="J813" s="855"/>
      <c r="K813" s="21">
        <v>6</v>
      </c>
      <c r="L813" s="915" t="s">
        <v>66</v>
      </c>
      <c r="M813" s="915"/>
      <c r="N813" s="297">
        <f t="shared" ref="N813" si="110">D813</f>
        <v>1800</v>
      </c>
      <c r="O813" s="297">
        <f t="shared" ref="O813" si="111">E813</f>
        <v>0</v>
      </c>
      <c r="P813" s="858">
        <f t="shared" ref="P813" si="112">F813</f>
        <v>200</v>
      </c>
      <c r="Q813" s="297">
        <f t="shared" ref="Q813" si="113">G813</f>
        <v>0</v>
      </c>
      <c r="R813" s="858">
        <f t="shared" ref="R813" si="114">H813</f>
        <v>0</v>
      </c>
      <c r="S813" s="858">
        <f t="shared" ref="S813" si="115">I813</f>
        <v>2000</v>
      </c>
    </row>
    <row r="814" spans="1:19">
      <c r="A814" s="21"/>
      <c r="B814" s="4"/>
      <c r="C814" s="4"/>
      <c r="D814" s="4"/>
      <c r="E814" s="4"/>
      <c r="F814" s="855"/>
      <c r="G814" s="855"/>
      <c r="H814" s="855"/>
      <c r="I814" s="16"/>
      <c r="J814" s="855"/>
      <c r="K814" s="21"/>
      <c r="L814" s="4"/>
      <c r="M814" s="4"/>
      <c r="N814" s="4"/>
      <c r="O814" s="4"/>
      <c r="P814" s="855"/>
      <c r="Q814" s="855"/>
      <c r="R814" s="855"/>
      <c r="S814" s="16"/>
    </row>
    <row r="815" spans="1:19">
      <c r="A815" s="21">
        <v>7</v>
      </c>
      <c r="B815" s="1265" t="s">
        <v>67</v>
      </c>
      <c r="C815" s="1265"/>
      <c r="D815" s="1265"/>
      <c r="E815" s="24">
        <f>E811-I813</f>
        <v>28989.297623999999</v>
      </c>
      <c r="F815" s="19"/>
      <c r="G815" s="19"/>
      <c r="H815" s="19"/>
      <c r="I815" s="16"/>
      <c r="J815" s="855"/>
      <c r="K815" s="21">
        <v>7</v>
      </c>
      <c r="L815" s="1265" t="s">
        <v>67</v>
      </c>
      <c r="M815" s="1265"/>
      <c r="N815" s="1265"/>
      <c r="O815" s="24">
        <f>E815</f>
        <v>28989.297623999999</v>
      </c>
      <c r="P815" s="19"/>
      <c r="Q815" s="19"/>
      <c r="R815" s="19"/>
      <c r="S815" s="16"/>
    </row>
    <row r="816" spans="1:19">
      <c r="A816" s="15"/>
      <c r="B816" s="855"/>
      <c r="C816" s="855"/>
      <c r="D816" s="855"/>
      <c r="E816" s="855"/>
      <c r="F816" s="855"/>
      <c r="G816" s="855"/>
      <c r="H816" s="855"/>
      <c r="I816" s="16"/>
      <c r="J816" s="855"/>
      <c r="K816" s="15"/>
      <c r="L816" s="855"/>
      <c r="M816" s="855"/>
      <c r="N816" s="855"/>
      <c r="O816" s="855"/>
      <c r="P816" s="855"/>
      <c r="Q816" s="855"/>
      <c r="R816" s="855"/>
      <c r="S816" s="16"/>
    </row>
    <row r="817" spans="1:19">
      <c r="A817" s="15"/>
      <c r="B817" s="855"/>
      <c r="C817" s="855"/>
      <c r="D817" s="855"/>
      <c r="E817" s="855"/>
      <c r="F817" s="855"/>
      <c r="G817" s="855"/>
      <c r="H817" s="855"/>
      <c r="I817" s="16"/>
      <c r="J817" s="855"/>
      <c r="K817" s="15"/>
      <c r="L817" s="855"/>
      <c r="M817" s="855"/>
      <c r="N817" s="855"/>
      <c r="O817" s="855"/>
      <c r="P817" s="855"/>
      <c r="Q817" s="855"/>
      <c r="R817" s="855"/>
      <c r="S817" s="16"/>
    </row>
    <row r="818" spans="1:19" ht="15.75" thickBot="1">
      <c r="A818" s="15"/>
      <c r="B818" s="855"/>
      <c r="C818" s="855"/>
      <c r="D818" s="855"/>
      <c r="E818" s="855"/>
      <c r="F818" s="25"/>
      <c r="G818" s="25"/>
      <c r="H818" s="25"/>
      <c r="I818" s="26"/>
      <c r="J818" s="855"/>
      <c r="K818" s="15"/>
      <c r="L818" s="855"/>
      <c r="M818" s="855"/>
      <c r="N818" s="855"/>
      <c r="O818" s="855"/>
      <c r="P818" s="25"/>
      <c r="Q818" s="25"/>
      <c r="R818" s="25"/>
      <c r="S818" s="26"/>
    </row>
    <row r="819" spans="1:19" ht="15.75" thickBot="1">
      <c r="A819" s="27"/>
      <c r="B819" s="25"/>
      <c r="C819" s="25"/>
      <c r="D819" s="25"/>
      <c r="E819" s="25"/>
      <c r="F819" s="1266" t="s">
        <v>68</v>
      </c>
      <c r="G819" s="1266"/>
      <c r="H819" s="1266"/>
      <c r="I819" s="1267"/>
      <c r="J819" s="855"/>
      <c r="K819" s="27"/>
      <c r="L819" s="25"/>
      <c r="M819" s="25"/>
      <c r="N819" s="25"/>
      <c r="O819" s="25"/>
      <c r="P819" s="1266" t="s">
        <v>68</v>
      </c>
      <c r="Q819" s="1266"/>
      <c r="R819" s="1266"/>
      <c r="S819" s="1267"/>
    </row>
    <row r="820" spans="1:19">
      <c r="A820" s="855"/>
      <c r="B820" s="855"/>
      <c r="C820" s="855"/>
      <c r="D820" s="855"/>
      <c r="E820" s="855"/>
      <c r="F820" s="855"/>
      <c r="G820" s="855"/>
      <c r="H820" s="855"/>
      <c r="I820" s="855"/>
      <c r="J820" s="855"/>
      <c r="K820" s="855"/>
      <c r="L820" s="855"/>
      <c r="M820" s="855"/>
      <c r="N820" s="855"/>
      <c r="O820" s="855"/>
      <c r="P820" s="855"/>
      <c r="Q820" s="855"/>
      <c r="R820" s="855"/>
      <c r="S820" s="855"/>
    </row>
    <row r="821" spans="1:19">
      <c r="A821" s="855"/>
      <c r="B821" s="855"/>
      <c r="C821" s="855"/>
      <c r="D821" s="855"/>
      <c r="E821" s="855"/>
      <c r="F821" s="855"/>
      <c r="G821" s="855"/>
      <c r="H821" s="855"/>
      <c r="I821" s="855"/>
      <c r="J821" s="855"/>
      <c r="K821" s="855"/>
      <c r="L821" s="855"/>
      <c r="M821" s="855"/>
      <c r="N821" s="855"/>
      <c r="O821" s="855"/>
      <c r="P821" s="855"/>
      <c r="Q821" s="855"/>
      <c r="R821" s="855"/>
      <c r="S821" s="855"/>
    </row>
    <row r="822" spans="1:19">
      <c r="A822" s="855"/>
      <c r="B822" s="855"/>
      <c r="C822" s="855"/>
      <c r="D822" s="855"/>
      <c r="E822" s="855"/>
      <c r="F822" s="855"/>
      <c r="G822" s="855"/>
      <c r="H822" s="855"/>
      <c r="I822" s="855"/>
      <c r="J822" s="855"/>
      <c r="K822" s="855"/>
      <c r="L822" s="855"/>
      <c r="M822" s="855"/>
      <c r="N822" s="855"/>
      <c r="O822" s="855"/>
      <c r="P822" s="855"/>
      <c r="Q822" s="855"/>
      <c r="R822" s="855"/>
      <c r="S822" s="855"/>
    </row>
    <row r="823" spans="1:19" ht="15.75" thickBot="1">
      <c r="A823" s="855"/>
      <c r="B823" s="855"/>
      <c r="C823" s="855"/>
      <c r="D823" s="855"/>
      <c r="E823" s="855"/>
      <c r="F823" s="855"/>
      <c r="G823" s="855"/>
      <c r="H823" s="855"/>
      <c r="I823" s="855"/>
      <c r="J823" s="855"/>
      <c r="K823" s="855"/>
      <c r="L823" s="855"/>
      <c r="M823" s="855"/>
      <c r="N823" s="855"/>
      <c r="O823" s="855"/>
      <c r="P823" s="855"/>
      <c r="Q823" s="855"/>
      <c r="R823" s="855"/>
      <c r="S823" s="855"/>
    </row>
    <row r="824" spans="1:19" ht="26.25">
      <c r="A824" s="1270" t="s">
        <v>53</v>
      </c>
      <c r="B824" s="1271"/>
      <c r="C824" s="1271"/>
      <c r="D824" s="1271"/>
      <c r="E824" s="1271"/>
      <c r="F824" s="1271"/>
      <c r="G824" s="1271"/>
      <c r="H824" s="1271"/>
      <c r="I824" s="1272"/>
      <c r="J824" s="855"/>
      <c r="K824" s="1270" t="s">
        <v>53</v>
      </c>
      <c r="L824" s="1271"/>
      <c r="M824" s="1271"/>
      <c r="N824" s="1271"/>
      <c r="O824" s="1271"/>
      <c r="P824" s="1271"/>
      <c r="Q824" s="1271"/>
      <c r="R824" s="1271"/>
      <c r="S824" s="1272"/>
    </row>
    <row r="825" spans="1:19">
      <c r="A825" s="1273" t="s">
        <v>54</v>
      </c>
      <c r="B825" s="1274"/>
      <c r="C825" s="1274"/>
      <c r="D825" s="1274"/>
      <c r="E825" s="1274"/>
      <c r="F825" s="1274"/>
      <c r="G825" s="1274"/>
      <c r="H825" s="1274"/>
      <c r="I825" s="1211"/>
      <c r="J825" s="855"/>
      <c r="K825" s="1273" t="s">
        <v>54</v>
      </c>
      <c r="L825" s="1274"/>
      <c r="M825" s="1274"/>
      <c r="N825" s="1274"/>
      <c r="O825" s="1274"/>
      <c r="P825" s="1274"/>
      <c r="Q825" s="1274"/>
      <c r="R825" s="1274"/>
      <c r="S825" s="1211"/>
    </row>
    <row r="826" spans="1:19">
      <c r="A826" s="15"/>
      <c r="B826" s="855"/>
      <c r="C826" s="855"/>
      <c r="D826" s="855"/>
      <c r="E826" s="855"/>
      <c r="F826" s="855"/>
      <c r="G826" s="855"/>
      <c r="H826" s="855"/>
      <c r="I826" s="16"/>
      <c r="J826" s="855"/>
      <c r="K826" s="15"/>
      <c r="L826" s="855"/>
      <c r="M826" s="855"/>
      <c r="N826" s="855"/>
      <c r="O826" s="855"/>
      <c r="P826" s="855"/>
      <c r="Q826" s="855"/>
      <c r="R826" s="855"/>
      <c r="S826" s="16"/>
    </row>
    <row r="827" spans="1:19">
      <c r="A827" s="17" t="s">
        <v>55</v>
      </c>
      <c r="B827" s="4"/>
      <c r="C827" s="4"/>
      <c r="D827" s="317" t="s">
        <v>425</v>
      </c>
      <c r="E827" s="855"/>
      <c r="F827" s="855"/>
      <c r="G827" s="855"/>
      <c r="H827" s="855"/>
      <c r="I827" s="16"/>
      <c r="J827" s="855"/>
      <c r="K827" s="17" t="s">
        <v>55</v>
      </c>
      <c r="L827" s="4"/>
      <c r="M827" s="4"/>
      <c r="N827" s="8"/>
      <c r="O827" s="381" t="str">
        <f>D827</f>
        <v>Burgeon IT Services Pvt.Ltd.</v>
      </c>
      <c r="P827" s="855"/>
      <c r="Q827" s="855"/>
      <c r="R827" s="855"/>
      <c r="S827" s="16"/>
    </row>
    <row r="828" spans="1:19">
      <c r="A828" s="17"/>
      <c r="B828" s="150" t="s">
        <v>426</v>
      </c>
      <c r="C828" s="4"/>
      <c r="D828" s="855"/>
      <c r="E828" s="855"/>
      <c r="F828" s="855"/>
      <c r="G828" s="855"/>
      <c r="H828" s="855"/>
      <c r="I828" s="16"/>
      <c r="J828" s="855"/>
      <c r="K828" s="17"/>
      <c r="L828" s="4"/>
      <c r="M828" s="4"/>
      <c r="N828" s="4"/>
      <c r="O828" s="855"/>
      <c r="P828" s="855"/>
      <c r="Q828" s="855"/>
      <c r="R828" s="855"/>
      <c r="S828" s="16"/>
    </row>
    <row r="829" spans="1:19">
      <c r="A829" s="17"/>
      <c r="B829" s="4"/>
      <c r="C829" s="4"/>
      <c r="D829" s="4"/>
      <c r="E829" s="4"/>
      <c r="F829" s="855"/>
      <c r="G829" s="855"/>
      <c r="H829" s="855"/>
      <c r="I829" s="16"/>
      <c r="J829" s="855"/>
      <c r="K829" s="17"/>
      <c r="L829" s="4" t="str">
        <f>B828</f>
        <v>Siri Mansion LIGB 436 Dr.A S Rao Nagar,Hyderabad</v>
      </c>
      <c r="M829" s="4"/>
      <c r="N829" s="4"/>
      <c r="O829" s="4"/>
      <c r="P829" s="855"/>
      <c r="Q829" s="855"/>
      <c r="R829" s="855"/>
      <c r="S829" s="16"/>
    </row>
    <row r="830" spans="1:19">
      <c r="A830" s="1275" t="s">
        <v>56</v>
      </c>
      <c r="B830" s="1269"/>
      <c r="C830" s="1269"/>
      <c r="D830" s="1269"/>
      <c r="E830" s="4"/>
      <c r="F830" s="855"/>
      <c r="G830" s="855"/>
      <c r="H830" s="855"/>
      <c r="I830" s="16"/>
      <c r="J830" s="855"/>
      <c r="K830" s="1275" t="s">
        <v>56</v>
      </c>
      <c r="L830" s="1269"/>
      <c r="M830" s="1269"/>
      <c r="N830" s="1269"/>
      <c r="O830" s="4"/>
      <c r="P830" s="855"/>
      <c r="Q830" s="855"/>
      <c r="R830" s="855"/>
      <c r="S830" s="16"/>
    </row>
    <row r="831" spans="1:19">
      <c r="A831" s="1275"/>
      <c r="B831" s="1269"/>
      <c r="C831" s="1269"/>
      <c r="D831" s="1269"/>
      <c r="E831" s="855">
        <f>'04-22-Master'!B474</f>
        <v>0</v>
      </c>
      <c r="F831" s="19"/>
      <c r="G831" s="19"/>
      <c r="H831" s="19">
        <f>'04-22-Master'!E474</f>
        <v>0</v>
      </c>
      <c r="I831" s="16"/>
      <c r="J831" s="855"/>
      <c r="K831" s="1275"/>
      <c r="L831" s="1269"/>
      <c r="M831" s="1269"/>
      <c r="N831" s="1269"/>
      <c r="O831" s="18" t="str">
        <f>E833</f>
        <v>IT SUPPORTIVE SERVICES &amp; HYDERABAD SEZ</v>
      </c>
      <c r="P831" s="19"/>
      <c r="Q831" s="19"/>
      <c r="R831" s="19"/>
      <c r="S831" s="16"/>
    </row>
    <row r="832" spans="1:19">
      <c r="A832" s="17"/>
      <c r="B832" s="4"/>
      <c r="C832" s="4"/>
      <c r="D832" s="4"/>
      <c r="E832" s="4"/>
      <c r="F832" s="855"/>
      <c r="G832" s="855"/>
      <c r="H832" s="855"/>
      <c r="I832" s="16"/>
      <c r="J832" s="855"/>
      <c r="K832" s="17"/>
      <c r="L832" s="4"/>
      <c r="M832" s="4"/>
      <c r="N832" s="4"/>
      <c r="O832" s="4"/>
      <c r="P832" s="855"/>
      <c r="Q832" s="855"/>
      <c r="R832" s="855"/>
      <c r="S832" s="16"/>
    </row>
    <row r="833" spans="1:19">
      <c r="A833" s="1268" t="s">
        <v>57</v>
      </c>
      <c r="B833" s="1265"/>
      <c r="C833" s="1265"/>
      <c r="D833" s="1265"/>
      <c r="E833" s="18" t="s">
        <v>819</v>
      </c>
      <c r="F833" s="19"/>
      <c r="G833" s="19"/>
      <c r="H833" s="19"/>
      <c r="I833" s="16"/>
      <c r="J833" s="855"/>
      <c r="K833" s="1268" t="s">
        <v>57</v>
      </c>
      <c r="L833" s="1265"/>
      <c r="M833" s="1265"/>
      <c r="N833" s="1265"/>
      <c r="O833" s="18" t="str">
        <f>E833</f>
        <v>IT SUPPORTIVE SERVICES &amp; HYDERABAD SEZ</v>
      </c>
      <c r="P833" s="19"/>
      <c r="Q833" s="19"/>
      <c r="R833" s="19"/>
      <c r="S833" s="16"/>
    </row>
    <row r="834" spans="1:19">
      <c r="A834" s="17"/>
      <c r="B834" s="4"/>
      <c r="C834" s="4"/>
      <c r="D834" s="4"/>
      <c r="E834" s="4"/>
      <c r="F834" s="855"/>
      <c r="G834" s="855"/>
      <c r="H834" s="855"/>
      <c r="I834" s="16"/>
      <c r="J834" s="855"/>
      <c r="K834" s="17"/>
      <c r="L834" s="4"/>
      <c r="M834" s="4"/>
      <c r="N834" s="4"/>
      <c r="O834" s="4"/>
      <c r="P834" s="855"/>
      <c r="Q834" s="855"/>
      <c r="R834" s="855"/>
      <c r="S834" s="16"/>
    </row>
    <row r="835" spans="1:19">
      <c r="A835" s="1268" t="s">
        <v>58</v>
      </c>
      <c r="B835" s="1265"/>
      <c r="C835" s="1265"/>
      <c r="D835" s="1265"/>
      <c r="E835" s="20">
        <f>'04-22-Master'!D455</f>
        <v>0</v>
      </c>
      <c r="F835" s="19"/>
      <c r="G835" s="19"/>
      <c r="H835" s="19"/>
      <c r="I835" s="16"/>
      <c r="J835" s="855"/>
      <c r="K835" s="1268" t="s">
        <v>58</v>
      </c>
      <c r="L835" s="1265"/>
      <c r="M835" s="1265"/>
      <c r="N835" s="1265"/>
      <c r="O835" s="20">
        <f>E835</f>
        <v>0</v>
      </c>
      <c r="P835" s="19"/>
      <c r="Q835" s="19"/>
      <c r="R835" s="19"/>
      <c r="S835" s="16"/>
    </row>
    <row r="836" spans="1:19">
      <c r="A836" s="17"/>
      <c r="B836" s="4"/>
      <c r="C836" s="4"/>
      <c r="D836" s="4"/>
      <c r="E836" s="4"/>
      <c r="F836" s="855"/>
      <c r="G836" s="855"/>
      <c r="H836" s="855"/>
      <c r="I836" s="16"/>
      <c r="J836" s="855"/>
      <c r="K836" s="17"/>
      <c r="L836" s="4"/>
      <c r="M836" s="4"/>
      <c r="N836" s="4"/>
      <c r="O836" s="4"/>
      <c r="P836" s="855"/>
      <c r="Q836" s="855"/>
      <c r="R836" s="855"/>
      <c r="S836" s="16"/>
    </row>
    <row r="837" spans="1:19">
      <c r="A837" s="21">
        <v>1</v>
      </c>
      <c r="B837" s="1265" t="s">
        <v>59</v>
      </c>
      <c r="C837" s="1265"/>
      <c r="D837" s="1265"/>
      <c r="E837" s="22">
        <f>'04-22-Master'!Q474</f>
        <v>0</v>
      </c>
      <c r="F837" s="19"/>
      <c r="G837" s="19"/>
      <c r="H837" s="19"/>
      <c r="I837" s="16"/>
      <c r="J837" s="855"/>
      <c r="K837" s="21">
        <v>1</v>
      </c>
      <c r="L837" s="1265" t="s">
        <v>59</v>
      </c>
      <c r="M837" s="1265"/>
      <c r="N837" s="1265"/>
      <c r="O837" s="22">
        <f>E837</f>
        <v>0</v>
      </c>
      <c r="P837" s="19"/>
      <c r="Q837" s="19"/>
      <c r="R837" s="19"/>
      <c r="S837" s="16"/>
    </row>
    <row r="838" spans="1:19">
      <c r="A838" s="21"/>
      <c r="B838" s="4"/>
      <c r="C838" s="4"/>
      <c r="D838" s="4"/>
      <c r="E838" s="4"/>
      <c r="F838" s="855"/>
      <c r="G838" s="855"/>
      <c r="H838" s="855"/>
      <c r="I838" s="16"/>
      <c r="J838" s="855"/>
      <c r="K838" s="21"/>
      <c r="L838" s="4"/>
      <c r="M838" s="4"/>
      <c r="N838" s="4"/>
      <c r="O838" s="4"/>
      <c r="P838" s="855"/>
      <c r="Q838" s="855"/>
      <c r="R838" s="855"/>
      <c r="S838" s="16"/>
    </row>
    <row r="839" spans="1:19">
      <c r="A839" s="21">
        <v>2</v>
      </c>
      <c r="B839" s="1269" t="s">
        <v>60</v>
      </c>
      <c r="C839" s="1269"/>
      <c r="D839" s="1269"/>
      <c r="E839" s="4"/>
      <c r="F839" s="855"/>
      <c r="G839" s="855"/>
      <c r="H839" s="855"/>
      <c r="I839" s="16"/>
      <c r="J839" s="855"/>
      <c r="K839" s="21">
        <v>2</v>
      </c>
      <c r="L839" s="1269" t="s">
        <v>60</v>
      </c>
      <c r="M839" s="1269"/>
      <c r="N839" s="1269"/>
      <c r="O839" s="4"/>
      <c r="P839" s="855"/>
      <c r="Q839" s="855"/>
      <c r="R839" s="855"/>
      <c r="S839" s="16"/>
    </row>
    <row r="840" spans="1:19">
      <c r="A840" s="21"/>
      <c r="B840" s="1269"/>
      <c r="C840" s="1269"/>
      <c r="D840" s="1269"/>
      <c r="E840" s="23" t="s">
        <v>37</v>
      </c>
      <c r="F840" s="19"/>
      <c r="G840" s="19"/>
      <c r="H840" s="19"/>
      <c r="I840" s="16"/>
      <c r="J840" s="855"/>
      <c r="K840" s="21"/>
      <c r="L840" s="1269"/>
      <c r="M840" s="1269"/>
      <c r="N840" s="1269"/>
      <c r="O840" s="23" t="s">
        <v>37</v>
      </c>
      <c r="P840" s="19"/>
      <c r="Q840" s="19"/>
      <c r="R840" s="19"/>
      <c r="S840" s="16"/>
    </row>
    <row r="841" spans="1:19">
      <c r="A841" s="21"/>
      <c r="B841" s="4"/>
      <c r="C841" s="4"/>
      <c r="D841" s="4"/>
      <c r="E841" s="4"/>
      <c r="F841" s="855"/>
      <c r="G841" s="855"/>
      <c r="H841" s="855"/>
      <c r="I841" s="16"/>
      <c r="J841" s="855"/>
      <c r="K841" s="21"/>
      <c r="L841" s="4"/>
      <c r="M841" s="4"/>
      <c r="N841" s="4"/>
      <c r="O841" s="4"/>
      <c r="P841" s="855"/>
      <c r="Q841" s="855"/>
      <c r="R841" s="855"/>
      <c r="S841" s="16"/>
    </row>
    <row r="842" spans="1:19">
      <c r="A842" s="21">
        <v>3</v>
      </c>
      <c r="B842" s="1265" t="s">
        <v>61</v>
      </c>
      <c r="C842" s="1265"/>
      <c r="D842" s="1265"/>
      <c r="E842" s="23" t="s">
        <v>37</v>
      </c>
      <c r="F842" s="19"/>
      <c r="G842" s="19"/>
      <c r="H842" s="19"/>
      <c r="I842" s="16"/>
      <c r="J842" s="855"/>
      <c r="K842" s="21">
        <v>3</v>
      </c>
      <c r="L842" s="1265" t="s">
        <v>61</v>
      </c>
      <c r="M842" s="1265"/>
      <c r="N842" s="1265"/>
      <c r="O842" s="18" t="str">
        <f>E842</f>
        <v>N/A</v>
      </c>
      <c r="P842" s="19"/>
      <c r="Q842" s="19"/>
      <c r="R842" s="19"/>
      <c r="S842" s="16"/>
    </row>
    <row r="843" spans="1:19">
      <c r="A843" s="21"/>
      <c r="B843" s="4"/>
      <c r="C843" s="4"/>
      <c r="D843" s="4"/>
      <c r="E843" s="4"/>
      <c r="F843" s="855"/>
      <c r="G843" s="855"/>
      <c r="H843" s="855"/>
      <c r="I843" s="16"/>
      <c r="J843" s="855"/>
      <c r="K843" s="21"/>
      <c r="L843" s="4"/>
      <c r="M843" s="4"/>
      <c r="N843" s="4"/>
      <c r="O843" s="4"/>
      <c r="P843" s="855"/>
      <c r="Q843" s="855"/>
      <c r="R843" s="855"/>
      <c r="S843" s="16"/>
    </row>
    <row r="844" spans="1:19">
      <c r="A844" s="21">
        <v>4</v>
      </c>
      <c r="B844" s="1265" t="s">
        <v>62</v>
      </c>
      <c r="C844" s="1265"/>
      <c r="D844" s="1265"/>
      <c r="E844" s="23" t="s">
        <v>63</v>
      </c>
      <c r="F844" s="19"/>
      <c r="G844" s="19"/>
      <c r="H844" s="19"/>
      <c r="I844" s="16"/>
      <c r="J844" s="855"/>
      <c r="K844" s="21">
        <v>4</v>
      </c>
      <c r="L844" s="1265" t="s">
        <v>62</v>
      </c>
      <c r="M844" s="1265"/>
      <c r="N844" s="1265"/>
      <c r="O844" s="23" t="s">
        <v>63</v>
      </c>
      <c r="P844" s="19"/>
      <c r="Q844" s="19"/>
      <c r="R844" s="19"/>
      <c r="S844" s="16"/>
    </row>
    <row r="845" spans="1:19">
      <c r="A845" s="21"/>
      <c r="B845" s="4"/>
      <c r="C845" s="4"/>
      <c r="D845" s="4"/>
      <c r="E845" s="4"/>
      <c r="F845" s="855"/>
      <c r="G845" s="855"/>
      <c r="H845" s="855"/>
      <c r="I845" s="16"/>
      <c r="J845" s="855"/>
      <c r="K845" s="21"/>
      <c r="L845" s="4"/>
      <c r="M845" s="4"/>
      <c r="N845" s="4"/>
      <c r="O845" s="4"/>
      <c r="P845" s="855"/>
      <c r="Q845" s="855"/>
      <c r="R845" s="855"/>
      <c r="S845" s="16"/>
    </row>
    <row r="846" spans="1:19">
      <c r="A846" s="21">
        <v>5</v>
      </c>
      <c r="B846" s="1265" t="s">
        <v>64</v>
      </c>
      <c r="C846" s="1265"/>
      <c r="D846" s="1265"/>
      <c r="E846" s="295">
        <f>'04-22-Master'!AG474</f>
        <v>0</v>
      </c>
      <c r="F846" s="855"/>
      <c r="G846" s="855"/>
      <c r="H846" s="855"/>
      <c r="I846" s="16"/>
      <c r="J846" s="855"/>
      <c r="K846" s="21">
        <v>5</v>
      </c>
      <c r="L846" s="1265" t="s">
        <v>64</v>
      </c>
      <c r="M846" s="1265"/>
      <c r="N846" s="1265"/>
      <c r="O846" s="295">
        <f>E846</f>
        <v>0</v>
      </c>
      <c r="P846" s="855"/>
      <c r="Q846" s="855"/>
      <c r="R846" s="855"/>
      <c r="S846" s="16"/>
    </row>
    <row r="847" spans="1:19">
      <c r="A847" s="21"/>
      <c r="B847" s="4"/>
      <c r="C847" s="4"/>
      <c r="D847" s="296" t="s">
        <v>65</v>
      </c>
      <c r="E847" s="296" t="s">
        <v>31</v>
      </c>
      <c r="F847" s="296" t="s">
        <v>33</v>
      </c>
      <c r="G847" s="296" t="s">
        <v>34</v>
      </c>
      <c r="H847" s="296" t="s">
        <v>399</v>
      </c>
      <c r="I847" s="857" t="s">
        <v>400</v>
      </c>
      <c r="J847" s="855"/>
      <c r="K847" s="21"/>
      <c r="L847" s="4"/>
      <c r="M847" s="4"/>
      <c r="N847" s="296" t="s">
        <v>65</v>
      </c>
      <c r="O847" s="296" t="s">
        <v>31</v>
      </c>
      <c r="P847" s="296" t="s">
        <v>33</v>
      </c>
      <c r="Q847" s="296" t="s">
        <v>34</v>
      </c>
      <c r="R847" s="296" t="s">
        <v>399</v>
      </c>
      <c r="S847" s="857" t="s">
        <v>400</v>
      </c>
    </row>
    <row r="848" spans="1:19">
      <c r="A848" s="21">
        <v>6</v>
      </c>
      <c r="B848" s="915" t="s">
        <v>66</v>
      </c>
      <c r="C848" s="915"/>
      <c r="D848" s="297">
        <f>'04-22-Master'!AI474</f>
        <v>0</v>
      </c>
      <c r="E848" s="297">
        <f>'04-22-Master'!AH892</f>
        <v>0</v>
      </c>
      <c r="F848" s="858">
        <f>'04-22-Master'!AJ474</f>
        <v>0</v>
      </c>
      <c r="G848" s="297">
        <f>'04-22-Master'!AK474</f>
        <v>0</v>
      </c>
      <c r="H848" s="858">
        <f>'04-22-Master'!AL474</f>
        <v>0</v>
      </c>
      <c r="I848" s="858">
        <f>D848+E848+F848+G848+H848</f>
        <v>0</v>
      </c>
      <c r="J848" s="855"/>
      <c r="K848" s="21">
        <v>6</v>
      </c>
      <c r="L848" s="915" t="s">
        <v>66</v>
      </c>
      <c r="M848" s="915"/>
      <c r="N848" s="297">
        <f t="shared" ref="N848" si="116">D848</f>
        <v>0</v>
      </c>
      <c r="O848" s="297">
        <f t="shared" ref="O848" si="117">E848</f>
        <v>0</v>
      </c>
      <c r="P848" s="858">
        <f t="shared" ref="P848" si="118">F848</f>
        <v>0</v>
      </c>
      <c r="Q848" s="297">
        <f t="shared" ref="Q848" si="119">G848</f>
        <v>0</v>
      </c>
      <c r="R848" s="858">
        <f t="shared" ref="R848" si="120">H848</f>
        <v>0</v>
      </c>
      <c r="S848" s="858">
        <f t="shared" ref="S848" si="121">I848</f>
        <v>0</v>
      </c>
    </row>
    <row r="849" spans="1:19">
      <c r="A849" s="21"/>
      <c r="B849" s="4"/>
      <c r="C849" s="4"/>
      <c r="D849" s="4"/>
      <c r="E849" s="4"/>
      <c r="F849" s="855"/>
      <c r="G849" s="855"/>
      <c r="H849" s="855"/>
      <c r="I849" s="16"/>
      <c r="J849" s="855"/>
      <c r="K849" s="21"/>
      <c r="L849" s="4"/>
      <c r="M849" s="4"/>
      <c r="N849" s="4"/>
      <c r="O849" s="4"/>
      <c r="P849" s="855"/>
      <c r="Q849" s="855"/>
      <c r="R849" s="855"/>
      <c r="S849" s="16"/>
    </row>
    <row r="850" spans="1:19">
      <c r="A850" s="21">
        <v>7</v>
      </c>
      <c r="B850" s="1265" t="s">
        <v>67</v>
      </c>
      <c r="C850" s="1265"/>
      <c r="D850" s="1265"/>
      <c r="E850" s="24">
        <f>E846-I848</f>
        <v>0</v>
      </c>
      <c r="F850" s="19"/>
      <c r="G850" s="19"/>
      <c r="H850" s="19"/>
      <c r="I850" s="16"/>
      <c r="J850" s="855"/>
      <c r="K850" s="21">
        <v>7</v>
      </c>
      <c r="L850" s="1265" t="s">
        <v>67</v>
      </c>
      <c r="M850" s="1265"/>
      <c r="N850" s="1265"/>
      <c r="O850" s="24">
        <f>E850</f>
        <v>0</v>
      </c>
      <c r="P850" s="19"/>
      <c r="Q850" s="19"/>
      <c r="R850" s="19"/>
      <c r="S850" s="16"/>
    </row>
    <row r="851" spans="1:19">
      <c r="A851" s="15"/>
      <c r="B851" s="855"/>
      <c r="C851" s="855"/>
      <c r="D851" s="855"/>
      <c r="E851" s="855"/>
      <c r="F851" s="855"/>
      <c r="G851" s="855"/>
      <c r="H851" s="855"/>
      <c r="I851" s="16"/>
      <c r="J851" s="855"/>
      <c r="K851" s="15"/>
      <c r="L851" s="855"/>
      <c r="M851" s="855"/>
      <c r="N851" s="855"/>
      <c r="O851" s="855"/>
      <c r="P851" s="855"/>
      <c r="Q851" s="855"/>
      <c r="R851" s="855"/>
      <c r="S851" s="16"/>
    </row>
    <row r="852" spans="1:19">
      <c r="A852" s="15"/>
      <c r="B852" s="855"/>
      <c r="C852" s="855"/>
      <c r="D852" s="855"/>
      <c r="E852" s="855"/>
      <c r="F852" s="855"/>
      <c r="G852" s="855"/>
      <c r="H852" s="855"/>
      <c r="I852" s="16"/>
      <c r="J852" s="855"/>
      <c r="K852" s="15"/>
      <c r="L852" s="855"/>
      <c r="M852" s="855"/>
      <c r="N852" s="855"/>
      <c r="O852" s="855"/>
      <c r="P852" s="855"/>
      <c r="Q852" s="855"/>
      <c r="R852" s="855"/>
      <c r="S852" s="16"/>
    </row>
    <row r="853" spans="1:19" ht="15.75" thickBot="1">
      <c r="A853" s="15"/>
      <c r="B853" s="855"/>
      <c r="C853" s="855"/>
      <c r="D853" s="855"/>
      <c r="E853" s="855"/>
      <c r="F853" s="25"/>
      <c r="G853" s="25"/>
      <c r="H853" s="25"/>
      <c r="I853" s="26"/>
      <c r="J853" s="855"/>
      <c r="K853" s="15"/>
      <c r="L853" s="855"/>
      <c r="M853" s="855"/>
      <c r="N853" s="855"/>
      <c r="O853" s="855"/>
      <c r="P853" s="25"/>
      <c r="Q853" s="25"/>
      <c r="R853" s="25"/>
      <c r="S853" s="26"/>
    </row>
    <row r="854" spans="1:19" ht="15.75" thickBot="1">
      <c r="A854" s="27"/>
      <c r="B854" s="25"/>
      <c r="C854" s="25"/>
      <c r="D854" s="25"/>
      <c r="E854" s="25"/>
      <c r="F854" s="1266" t="s">
        <v>68</v>
      </c>
      <c r="G854" s="1266"/>
      <c r="H854" s="1266"/>
      <c r="I854" s="1267"/>
      <c r="J854" s="855"/>
      <c r="K854" s="27"/>
      <c r="L854" s="25"/>
      <c r="M854" s="25"/>
      <c r="N854" s="25"/>
      <c r="O854" s="25"/>
      <c r="P854" s="1266" t="s">
        <v>68</v>
      </c>
      <c r="Q854" s="1266"/>
      <c r="R854" s="1266"/>
      <c r="S854" s="1267"/>
    </row>
    <row r="855" spans="1:19">
      <c r="A855" s="855"/>
      <c r="B855" s="855"/>
      <c r="C855" s="855"/>
      <c r="D855" s="855"/>
      <c r="E855" s="855"/>
      <c r="F855" s="855"/>
      <c r="G855" s="855"/>
      <c r="H855" s="855"/>
      <c r="I855" s="855"/>
      <c r="J855" s="855"/>
      <c r="K855" s="855"/>
      <c r="L855" s="855"/>
      <c r="M855" s="855"/>
      <c r="N855" s="855"/>
      <c r="O855" s="855"/>
      <c r="P855" s="855"/>
      <c r="Q855" s="855"/>
      <c r="R855" s="855"/>
      <c r="S855" s="855"/>
    </row>
    <row r="856" spans="1:19">
      <c r="A856" s="855"/>
      <c r="B856" s="855"/>
      <c r="C856" s="855"/>
      <c r="D856" s="855"/>
      <c r="E856" s="855"/>
      <c r="F856" s="855"/>
      <c r="G856" s="855"/>
      <c r="H856" s="855"/>
      <c r="I856" s="855"/>
      <c r="J856" s="855"/>
      <c r="K856" s="855"/>
      <c r="L856" s="855"/>
      <c r="M856" s="855"/>
      <c r="N856" s="855"/>
      <c r="O856" s="855"/>
      <c r="P856" s="855"/>
      <c r="Q856" s="855"/>
      <c r="R856" s="855"/>
      <c r="S856" s="855"/>
    </row>
    <row r="857" spans="1:19">
      <c r="A857" s="855"/>
      <c r="B857" s="855"/>
      <c r="C857" s="855"/>
      <c r="D857" s="855"/>
      <c r="E857" s="855"/>
      <c r="F857" s="855"/>
      <c r="G857" s="855"/>
      <c r="H857" s="855"/>
      <c r="I857" s="855"/>
      <c r="J857" s="855"/>
      <c r="K857" s="855"/>
      <c r="L857" s="855"/>
      <c r="M857" s="855"/>
      <c r="N857" s="855"/>
      <c r="O857" s="855"/>
      <c r="P857" s="855"/>
      <c r="Q857" s="855"/>
      <c r="R857" s="855"/>
      <c r="S857" s="855"/>
    </row>
    <row r="858" spans="1:19" ht="15.75" thickBot="1">
      <c r="A858" s="855"/>
      <c r="B858" s="855"/>
      <c r="C858" s="855"/>
      <c r="D858" s="855"/>
      <c r="E858" s="855"/>
      <c r="F858" s="855"/>
      <c r="G858" s="855"/>
      <c r="H858" s="855"/>
      <c r="I858" s="855"/>
      <c r="J858" s="855"/>
      <c r="K858" s="855"/>
      <c r="L858" s="855"/>
      <c r="M858" s="855"/>
      <c r="N858" s="855"/>
      <c r="O858" s="855"/>
      <c r="P858" s="855"/>
      <c r="Q858" s="855"/>
      <c r="R858" s="855"/>
      <c r="S858" s="855"/>
    </row>
    <row r="859" spans="1:19" ht="26.25">
      <c r="A859" s="1270" t="s">
        <v>53</v>
      </c>
      <c r="B859" s="1271"/>
      <c r="C859" s="1271"/>
      <c r="D859" s="1271"/>
      <c r="E859" s="1271"/>
      <c r="F859" s="1271"/>
      <c r="G859" s="1271"/>
      <c r="H859" s="1271"/>
      <c r="I859" s="1272"/>
      <c r="J859" s="855"/>
      <c r="K859" s="1270" t="s">
        <v>53</v>
      </c>
      <c r="L859" s="1271"/>
      <c r="M859" s="1271"/>
      <c r="N859" s="1271"/>
      <c r="O859" s="1271"/>
      <c r="P859" s="1271"/>
      <c r="Q859" s="1271"/>
      <c r="R859" s="1271"/>
      <c r="S859" s="1272"/>
    </row>
    <row r="860" spans="1:19">
      <c r="A860" s="1273" t="s">
        <v>54</v>
      </c>
      <c r="B860" s="1274"/>
      <c r="C860" s="1274"/>
      <c r="D860" s="1274"/>
      <c r="E860" s="1274"/>
      <c r="F860" s="1274"/>
      <c r="G860" s="1274"/>
      <c r="H860" s="1274"/>
      <c r="I860" s="1211"/>
      <c r="J860" s="855"/>
      <c r="K860" s="1273" t="s">
        <v>54</v>
      </c>
      <c r="L860" s="1274"/>
      <c r="M860" s="1274"/>
      <c r="N860" s="1274"/>
      <c r="O860" s="1274"/>
      <c r="P860" s="1274"/>
      <c r="Q860" s="1274"/>
      <c r="R860" s="1274"/>
      <c r="S860" s="1211"/>
    </row>
    <row r="861" spans="1:19">
      <c r="A861" s="15"/>
      <c r="B861" s="855"/>
      <c r="C861" s="855"/>
      <c r="D861" s="855"/>
      <c r="E861" s="855"/>
      <c r="F861" s="855"/>
      <c r="G861" s="855"/>
      <c r="H861" s="855"/>
      <c r="I861" s="16"/>
      <c r="J861" s="855"/>
      <c r="K861" s="15"/>
      <c r="L861" s="855"/>
      <c r="M861" s="855"/>
      <c r="N861" s="855"/>
      <c r="O861" s="855"/>
      <c r="P861" s="855"/>
      <c r="Q861" s="855"/>
      <c r="R861" s="855"/>
      <c r="S861" s="16"/>
    </row>
    <row r="862" spans="1:19">
      <c r="A862" s="17" t="s">
        <v>55</v>
      </c>
      <c r="B862" s="4"/>
      <c r="C862" s="4"/>
      <c r="D862" s="317" t="s">
        <v>425</v>
      </c>
      <c r="E862" s="855"/>
      <c r="F862" s="855"/>
      <c r="G862" s="855"/>
      <c r="H862" s="855"/>
      <c r="I862" s="16"/>
      <c r="J862" s="855"/>
      <c r="K862" s="17" t="s">
        <v>55</v>
      </c>
      <c r="L862" s="4"/>
      <c r="M862" s="4"/>
      <c r="N862" s="8"/>
      <c r="O862" s="381" t="str">
        <f>D862</f>
        <v>Burgeon IT Services Pvt.Ltd.</v>
      </c>
      <c r="P862" s="855"/>
      <c r="Q862" s="855"/>
      <c r="R862" s="855"/>
      <c r="S862" s="16"/>
    </row>
    <row r="863" spans="1:19">
      <c r="A863" s="17"/>
      <c r="B863" s="150" t="s">
        <v>426</v>
      </c>
      <c r="C863" s="4"/>
      <c r="D863" s="855"/>
      <c r="E863" s="855"/>
      <c r="F863" s="855"/>
      <c r="G863" s="855"/>
      <c r="H863" s="855"/>
      <c r="I863" s="16"/>
      <c r="J863" s="855"/>
      <c r="K863" s="17"/>
      <c r="L863" s="4"/>
      <c r="M863" s="4"/>
      <c r="N863" s="4"/>
      <c r="O863" s="855"/>
      <c r="P863" s="855"/>
      <c r="Q863" s="855"/>
      <c r="R863" s="855"/>
      <c r="S863" s="16"/>
    </row>
    <row r="864" spans="1:19">
      <c r="A864" s="17"/>
      <c r="B864" s="4"/>
      <c r="C864" s="4"/>
      <c r="D864" s="4"/>
      <c r="E864" s="4"/>
      <c r="F864" s="855"/>
      <c r="G864" s="855"/>
      <c r="H864" s="855"/>
      <c r="I864" s="16"/>
      <c r="J864" s="855"/>
      <c r="K864" s="17"/>
      <c r="L864" s="4" t="str">
        <f>B863</f>
        <v>Siri Mansion LIGB 436 Dr.A S Rao Nagar,Hyderabad</v>
      </c>
      <c r="M864" s="4"/>
      <c r="N864" s="4"/>
      <c r="O864" s="4"/>
      <c r="P864" s="855"/>
      <c r="Q864" s="855"/>
      <c r="R864" s="855"/>
      <c r="S864" s="16"/>
    </row>
    <row r="865" spans="1:19">
      <c r="A865" s="1275" t="s">
        <v>56</v>
      </c>
      <c r="B865" s="1269"/>
      <c r="C865" s="1269"/>
      <c r="D865" s="1269"/>
      <c r="E865" s="4"/>
      <c r="F865" s="855"/>
      <c r="G865" s="855"/>
      <c r="H865" s="855"/>
      <c r="I865" s="16"/>
      <c r="J865" s="855"/>
      <c r="K865" s="1275" t="s">
        <v>56</v>
      </c>
      <c r="L865" s="1269"/>
      <c r="M865" s="1269"/>
      <c r="N865" s="1269"/>
      <c r="O865" s="4"/>
      <c r="P865" s="855"/>
      <c r="Q865" s="855"/>
      <c r="R865" s="855"/>
      <c r="S865" s="16"/>
    </row>
    <row r="866" spans="1:19">
      <c r="A866" s="1275"/>
      <c r="B866" s="1269"/>
      <c r="C866" s="1269"/>
      <c r="D866" s="1269"/>
      <c r="E866" s="855">
        <f>'04-22-Master'!B509</f>
        <v>0</v>
      </c>
      <c r="F866" s="19"/>
      <c r="G866" s="19"/>
      <c r="H866" s="19">
        <f>'04-22-Master'!E509</f>
        <v>0</v>
      </c>
      <c r="I866" s="16"/>
      <c r="J866" s="855"/>
      <c r="K866" s="1275"/>
      <c r="L866" s="1269"/>
      <c r="M866" s="1269"/>
      <c r="N866" s="1269"/>
      <c r="O866" s="18" t="str">
        <f>E868</f>
        <v>IT SUPPORTIVE SERVICES &amp; HYDERABAD SEZ</v>
      </c>
      <c r="P866" s="19"/>
      <c r="Q866" s="19"/>
      <c r="R866" s="19"/>
      <c r="S866" s="16"/>
    </row>
    <row r="867" spans="1:19">
      <c r="A867" s="17"/>
      <c r="B867" s="4"/>
      <c r="C867" s="4"/>
      <c r="D867" s="4"/>
      <c r="E867" s="4"/>
      <c r="F867" s="855"/>
      <c r="G867" s="855"/>
      <c r="H867" s="855"/>
      <c r="I867" s="16"/>
      <c r="J867" s="855"/>
      <c r="K867" s="17"/>
      <c r="L867" s="4"/>
      <c r="M867" s="4"/>
      <c r="N867" s="4"/>
      <c r="O867" s="4"/>
      <c r="P867" s="855"/>
      <c r="Q867" s="855"/>
      <c r="R867" s="855"/>
      <c r="S867" s="16"/>
    </row>
    <row r="868" spans="1:19">
      <c r="A868" s="1268" t="s">
        <v>57</v>
      </c>
      <c r="B868" s="1265"/>
      <c r="C868" s="1265"/>
      <c r="D868" s="1265"/>
      <c r="E868" s="18" t="s">
        <v>819</v>
      </c>
      <c r="F868" s="19"/>
      <c r="G868" s="19"/>
      <c r="H868" s="19"/>
      <c r="I868" s="16"/>
      <c r="J868" s="855"/>
      <c r="K868" s="1268" t="s">
        <v>57</v>
      </c>
      <c r="L868" s="1265"/>
      <c r="M868" s="1265"/>
      <c r="N868" s="1265"/>
      <c r="O868" s="18" t="str">
        <f>E868</f>
        <v>IT SUPPORTIVE SERVICES &amp; HYDERABAD SEZ</v>
      </c>
      <c r="P868" s="19"/>
      <c r="Q868" s="19"/>
      <c r="R868" s="19"/>
      <c r="S868" s="16"/>
    </row>
    <row r="869" spans="1:19">
      <c r="A869" s="17"/>
      <c r="B869" s="4"/>
      <c r="C869" s="4"/>
      <c r="D869" s="4"/>
      <c r="E869" s="4"/>
      <c r="F869" s="855"/>
      <c r="G869" s="855"/>
      <c r="H869" s="855"/>
      <c r="I869" s="16"/>
      <c r="J869" s="855"/>
      <c r="K869" s="17"/>
      <c r="L869" s="4"/>
      <c r="M869" s="4"/>
      <c r="N869" s="4"/>
      <c r="O869" s="4"/>
      <c r="P869" s="855"/>
      <c r="Q869" s="855"/>
      <c r="R869" s="855"/>
      <c r="S869" s="16"/>
    </row>
    <row r="870" spans="1:19">
      <c r="A870" s="1268" t="s">
        <v>58</v>
      </c>
      <c r="B870" s="1265"/>
      <c r="C870" s="1265"/>
      <c r="D870" s="1265"/>
      <c r="E870" s="20">
        <f>'04-22-Master'!D490</f>
        <v>0</v>
      </c>
      <c r="F870" s="19"/>
      <c r="G870" s="19"/>
      <c r="H870" s="19"/>
      <c r="I870" s="16"/>
      <c r="J870" s="855"/>
      <c r="K870" s="1268" t="s">
        <v>58</v>
      </c>
      <c r="L870" s="1265"/>
      <c r="M870" s="1265"/>
      <c r="N870" s="1265"/>
      <c r="O870" s="20">
        <f>E870</f>
        <v>0</v>
      </c>
      <c r="P870" s="19"/>
      <c r="Q870" s="19"/>
      <c r="R870" s="19"/>
      <c r="S870" s="16"/>
    </row>
    <row r="871" spans="1:19">
      <c r="A871" s="17"/>
      <c r="B871" s="4"/>
      <c r="C871" s="4"/>
      <c r="D871" s="4"/>
      <c r="E871" s="4"/>
      <c r="F871" s="855"/>
      <c r="G871" s="855"/>
      <c r="H871" s="855"/>
      <c r="I871" s="16"/>
      <c r="J871" s="855"/>
      <c r="K871" s="17"/>
      <c r="L871" s="4"/>
      <c r="M871" s="4"/>
      <c r="N871" s="4"/>
      <c r="O871" s="4"/>
      <c r="P871" s="855"/>
      <c r="Q871" s="855"/>
      <c r="R871" s="855"/>
      <c r="S871" s="16"/>
    </row>
    <row r="872" spans="1:19">
      <c r="A872" s="21">
        <v>1</v>
      </c>
      <c r="B872" s="1265" t="s">
        <v>59</v>
      </c>
      <c r="C872" s="1265"/>
      <c r="D872" s="1265"/>
      <c r="E872" s="22">
        <f>'04-22-Master'!Q509</f>
        <v>0</v>
      </c>
      <c r="F872" s="19"/>
      <c r="G872" s="19"/>
      <c r="H872" s="19"/>
      <c r="I872" s="16"/>
      <c r="J872" s="855"/>
      <c r="K872" s="21">
        <v>1</v>
      </c>
      <c r="L872" s="1265" t="s">
        <v>59</v>
      </c>
      <c r="M872" s="1265"/>
      <c r="N872" s="1265"/>
      <c r="O872" s="22">
        <f>E872</f>
        <v>0</v>
      </c>
      <c r="P872" s="19"/>
      <c r="Q872" s="19"/>
      <c r="R872" s="19"/>
      <c r="S872" s="16"/>
    </row>
    <row r="873" spans="1:19">
      <c r="A873" s="21"/>
      <c r="B873" s="4"/>
      <c r="C873" s="4"/>
      <c r="D873" s="4"/>
      <c r="E873" s="4"/>
      <c r="F873" s="855"/>
      <c r="G873" s="855"/>
      <c r="H873" s="855"/>
      <c r="I873" s="16"/>
      <c r="J873" s="855"/>
      <c r="K873" s="21"/>
      <c r="L873" s="4"/>
      <c r="M873" s="4"/>
      <c r="N873" s="4"/>
      <c r="O873" s="4"/>
      <c r="P873" s="855"/>
      <c r="Q873" s="855"/>
      <c r="R873" s="855"/>
      <c r="S873" s="16"/>
    </row>
    <row r="874" spans="1:19">
      <c r="A874" s="21">
        <v>2</v>
      </c>
      <c r="B874" s="1269" t="s">
        <v>60</v>
      </c>
      <c r="C874" s="1269"/>
      <c r="D874" s="1269"/>
      <c r="E874" s="4"/>
      <c r="F874" s="855"/>
      <c r="G874" s="855"/>
      <c r="H874" s="855"/>
      <c r="I874" s="16"/>
      <c r="J874" s="855"/>
      <c r="K874" s="21">
        <v>2</v>
      </c>
      <c r="L874" s="1269" t="s">
        <v>60</v>
      </c>
      <c r="M874" s="1269"/>
      <c r="N874" s="1269"/>
      <c r="O874" s="4"/>
      <c r="P874" s="855"/>
      <c r="Q874" s="855"/>
      <c r="R874" s="855"/>
      <c r="S874" s="16"/>
    </row>
    <row r="875" spans="1:19">
      <c r="A875" s="21"/>
      <c r="B875" s="1269"/>
      <c r="C875" s="1269"/>
      <c r="D875" s="1269"/>
      <c r="E875" s="23" t="s">
        <v>37</v>
      </c>
      <c r="F875" s="19"/>
      <c r="G875" s="19"/>
      <c r="H875" s="19"/>
      <c r="I875" s="16"/>
      <c r="J875" s="855"/>
      <c r="K875" s="21"/>
      <c r="L875" s="1269"/>
      <c r="M875" s="1269"/>
      <c r="N875" s="1269"/>
      <c r="O875" s="23" t="s">
        <v>37</v>
      </c>
      <c r="P875" s="19"/>
      <c r="Q875" s="19"/>
      <c r="R875" s="19"/>
      <c r="S875" s="16"/>
    </row>
    <row r="876" spans="1:19">
      <c r="A876" s="21"/>
      <c r="B876" s="4"/>
      <c r="C876" s="4"/>
      <c r="D876" s="4"/>
      <c r="E876" s="4"/>
      <c r="F876" s="855"/>
      <c r="G876" s="855"/>
      <c r="H876" s="855"/>
      <c r="I876" s="16"/>
      <c r="J876" s="855"/>
      <c r="K876" s="21"/>
      <c r="L876" s="4"/>
      <c r="M876" s="4"/>
      <c r="N876" s="4"/>
      <c r="O876" s="4"/>
      <c r="P876" s="855"/>
      <c r="Q876" s="855"/>
      <c r="R876" s="855"/>
      <c r="S876" s="16"/>
    </row>
    <row r="877" spans="1:19">
      <c r="A877" s="21">
        <v>3</v>
      </c>
      <c r="B877" s="1265" t="s">
        <v>61</v>
      </c>
      <c r="C877" s="1265"/>
      <c r="D877" s="1265"/>
      <c r="E877" s="23" t="s">
        <v>37</v>
      </c>
      <c r="F877" s="19"/>
      <c r="G877" s="19"/>
      <c r="H877" s="19"/>
      <c r="I877" s="16"/>
      <c r="J877" s="855"/>
      <c r="K877" s="21">
        <v>3</v>
      </c>
      <c r="L877" s="1265" t="s">
        <v>61</v>
      </c>
      <c r="M877" s="1265"/>
      <c r="N877" s="1265"/>
      <c r="O877" s="18" t="str">
        <f>E877</f>
        <v>N/A</v>
      </c>
      <c r="P877" s="19"/>
      <c r="Q877" s="19"/>
      <c r="R877" s="19"/>
      <c r="S877" s="16"/>
    </row>
    <row r="878" spans="1:19">
      <c r="A878" s="21"/>
      <c r="B878" s="4"/>
      <c r="C878" s="4"/>
      <c r="D878" s="4"/>
      <c r="E878" s="4"/>
      <c r="F878" s="855"/>
      <c r="G878" s="855"/>
      <c r="H878" s="855"/>
      <c r="I878" s="16"/>
      <c r="J878" s="855"/>
      <c r="K878" s="21"/>
      <c r="L878" s="4"/>
      <c r="M878" s="4"/>
      <c r="N878" s="4"/>
      <c r="O878" s="4"/>
      <c r="P878" s="855"/>
      <c r="Q878" s="855"/>
      <c r="R878" s="855"/>
      <c r="S878" s="16"/>
    </row>
    <row r="879" spans="1:19">
      <c r="A879" s="21">
        <v>4</v>
      </c>
      <c r="B879" s="1265" t="s">
        <v>62</v>
      </c>
      <c r="C879" s="1265"/>
      <c r="D879" s="1265"/>
      <c r="E879" s="23" t="s">
        <v>63</v>
      </c>
      <c r="F879" s="19"/>
      <c r="G879" s="19"/>
      <c r="H879" s="19"/>
      <c r="I879" s="16"/>
      <c r="J879" s="855"/>
      <c r="K879" s="21">
        <v>4</v>
      </c>
      <c r="L879" s="1265" t="s">
        <v>62</v>
      </c>
      <c r="M879" s="1265"/>
      <c r="N879" s="1265"/>
      <c r="O879" s="23" t="s">
        <v>63</v>
      </c>
      <c r="P879" s="19"/>
      <c r="Q879" s="19"/>
      <c r="R879" s="19"/>
      <c r="S879" s="16"/>
    </row>
    <row r="880" spans="1:19">
      <c r="A880" s="21"/>
      <c r="B880" s="4"/>
      <c r="C880" s="4"/>
      <c r="D880" s="4"/>
      <c r="E880" s="4"/>
      <c r="F880" s="855"/>
      <c r="G880" s="855"/>
      <c r="H880" s="855"/>
      <c r="I880" s="16"/>
      <c r="J880" s="855"/>
      <c r="K880" s="21"/>
      <c r="L880" s="4"/>
      <c r="M880" s="4"/>
      <c r="N880" s="4"/>
      <c r="O880" s="4"/>
      <c r="P880" s="855"/>
      <c r="Q880" s="855"/>
      <c r="R880" s="855"/>
      <c r="S880" s="16"/>
    </row>
    <row r="881" spans="1:19">
      <c r="A881" s="21">
        <v>5</v>
      </c>
      <c r="B881" s="1265" t="s">
        <v>64</v>
      </c>
      <c r="C881" s="1265"/>
      <c r="D881" s="1265"/>
      <c r="E881" s="295">
        <f>'04-22-Master'!AG509</f>
        <v>0</v>
      </c>
      <c r="F881" s="855"/>
      <c r="G881" s="855"/>
      <c r="H881" s="855"/>
      <c r="I881" s="16"/>
      <c r="J881" s="855"/>
      <c r="K881" s="21">
        <v>5</v>
      </c>
      <c r="L881" s="1265" t="s">
        <v>64</v>
      </c>
      <c r="M881" s="1265"/>
      <c r="N881" s="1265"/>
      <c r="O881" s="295">
        <f>E881</f>
        <v>0</v>
      </c>
      <c r="P881" s="855"/>
      <c r="Q881" s="855"/>
      <c r="R881" s="855"/>
      <c r="S881" s="16"/>
    </row>
    <row r="882" spans="1:19">
      <c r="A882" s="21"/>
      <c r="B882" s="4"/>
      <c r="C882" s="4"/>
      <c r="D882" s="296" t="s">
        <v>65</v>
      </c>
      <c r="E882" s="296" t="s">
        <v>31</v>
      </c>
      <c r="F882" s="296" t="s">
        <v>33</v>
      </c>
      <c r="G882" s="296" t="s">
        <v>34</v>
      </c>
      <c r="H882" s="296" t="s">
        <v>399</v>
      </c>
      <c r="I882" s="857" t="s">
        <v>400</v>
      </c>
      <c r="J882" s="855"/>
      <c r="K882" s="21"/>
      <c r="L882" s="4"/>
      <c r="M882" s="4"/>
      <c r="N882" s="296" t="s">
        <v>65</v>
      </c>
      <c r="O882" s="296" t="s">
        <v>31</v>
      </c>
      <c r="P882" s="296" t="s">
        <v>33</v>
      </c>
      <c r="Q882" s="296" t="s">
        <v>34</v>
      </c>
      <c r="R882" s="296" t="s">
        <v>399</v>
      </c>
      <c r="S882" s="857" t="s">
        <v>400</v>
      </c>
    </row>
    <row r="883" spans="1:19">
      <c r="A883" s="21">
        <v>6</v>
      </c>
      <c r="B883" s="915" t="s">
        <v>66</v>
      </c>
      <c r="C883" s="915"/>
      <c r="D883" s="297">
        <f>'04-22-Master'!AI509</f>
        <v>0</v>
      </c>
      <c r="E883" s="297">
        <f>'04-22-Master'!AH927</f>
        <v>0</v>
      </c>
      <c r="F883" s="858">
        <f>'04-22-Master'!AJ509</f>
        <v>0</v>
      </c>
      <c r="G883" s="297">
        <f>'04-22-Master'!AK509</f>
        <v>0</v>
      </c>
      <c r="H883" s="858">
        <f>'04-22-Master'!AL509</f>
        <v>0</v>
      </c>
      <c r="I883" s="858">
        <f>D883+E883+F883+G883+H883</f>
        <v>0</v>
      </c>
      <c r="J883" s="855"/>
      <c r="K883" s="21">
        <v>6</v>
      </c>
      <c r="L883" s="915" t="s">
        <v>66</v>
      </c>
      <c r="M883" s="915"/>
      <c r="N883" s="297">
        <f t="shared" ref="N883" si="122">D883</f>
        <v>0</v>
      </c>
      <c r="O883" s="297">
        <f t="shared" ref="O883" si="123">E883</f>
        <v>0</v>
      </c>
      <c r="P883" s="858">
        <f t="shared" ref="P883" si="124">F883</f>
        <v>0</v>
      </c>
      <c r="Q883" s="297">
        <f t="shared" ref="Q883" si="125">G883</f>
        <v>0</v>
      </c>
      <c r="R883" s="858">
        <f t="shared" ref="R883" si="126">H883</f>
        <v>0</v>
      </c>
      <c r="S883" s="858">
        <f t="shared" ref="S883" si="127">I883</f>
        <v>0</v>
      </c>
    </row>
    <row r="884" spans="1:19">
      <c r="A884" s="21"/>
      <c r="B884" s="4"/>
      <c r="C884" s="4"/>
      <c r="D884" s="4"/>
      <c r="E884" s="4"/>
      <c r="F884" s="855"/>
      <c r="G884" s="855"/>
      <c r="H884" s="855"/>
      <c r="I884" s="16"/>
      <c r="J884" s="855"/>
      <c r="K884" s="21"/>
      <c r="L884" s="4"/>
      <c r="M884" s="4"/>
      <c r="N884" s="4"/>
      <c r="O884" s="4"/>
      <c r="P884" s="855"/>
      <c r="Q884" s="855"/>
      <c r="R884" s="855"/>
      <c r="S884" s="16"/>
    </row>
    <row r="885" spans="1:19">
      <c r="A885" s="21">
        <v>7</v>
      </c>
      <c r="B885" s="1265" t="s">
        <v>67</v>
      </c>
      <c r="C885" s="1265"/>
      <c r="D885" s="1265"/>
      <c r="E885" s="24">
        <f>E881-I883</f>
        <v>0</v>
      </c>
      <c r="F885" s="19"/>
      <c r="G885" s="19"/>
      <c r="H885" s="19"/>
      <c r="I885" s="16"/>
      <c r="J885" s="855"/>
      <c r="K885" s="21">
        <v>7</v>
      </c>
      <c r="L885" s="1265" t="s">
        <v>67</v>
      </c>
      <c r="M885" s="1265"/>
      <c r="N885" s="1265"/>
      <c r="O885" s="24">
        <f>E885</f>
        <v>0</v>
      </c>
      <c r="P885" s="19"/>
      <c r="Q885" s="19"/>
      <c r="R885" s="19"/>
      <c r="S885" s="16"/>
    </row>
    <row r="886" spans="1:19">
      <c r="A886" s="15"/>
      <c r="B886" s="855"/>
      <c r="C886" s="855"/>
      <c r="D886" s="855"/>
      <c r="E886" s="855"/>
      <c r="F886" s="855"/>
      <c r="G886" s="855"/>
      <c r="H886" s="855"/>
      <c r="I886" s="16"/>
      <c r="J886" s="855"/>
      <c r="K886" s="15"/>
      <c r="L886" s="855"/>
      <c r="M886" s="855"/>
      <c r="N886" s="855"/>
      <c r="O886" s="855"/>
      <c r="P886" s="855"/>
      <c r="Q886" s="855"/>
      <c r="R886" s="855"/>
      <c r="S886" s="16"/>
    </row>
    <row r="887" spans="1:19">
      <c r="A887" s="15"/>
      <c r="B887" s="855"/>
      <c r="C887" s="855"/>
      <c r="D887" s="855"/>
      <c r="E887" s="855"/>
      <c r="F887" s="855"/>
      <c r="G887" s="855"/>
      <c r="H887" s="855"/>
      <c r="I887" s="16"/>
      <c r="J887" s="855"/>
      <c r="K887" s="15"/>
      <c r="L887" s="855"/>
      <c r="M887" s="855"/>
      <c r="N887" s="855"/>
      <c r="O887" s="855"/>
      <c r="P887" s="855"/>
      <c r="Q887" s="855"/>
      <c r="R887" s="855"/>
      <c r="S887" s="16"/>
    </row>
    <row r="888" spans="1:19" ht="15.75" thickBot="1">
      <c r="A888" s="15"/>
      <c r="B888" s="855"/>
      <c r="C888" s="855"/>
      <c r="D888" s="855"/>
      <c r="E888" s="855"/>
      <c r="F888" s="25"/>
      <c r="G888" s="25"/>
      <c r="H888" s="25"/>
      <c r="I888" s="26"/>
      <c r="J888" s="855"/>
      <c r="K888" s="15"/>
      <c r="L888" s="855"/>
      <c r="M888" s="855"/>
      <c r="N888" s="855"/>
      <c r="O888" s="855"/>
      <c r="P888" s="25"/>
      <c r="Q888" s="25"/>
      <c r="R888" s="25"/>
      <c r="S888" s="26"/>
    </row>
    <row r="889" spans="1:19" ht="15.75" thickBot="1">
      <c r="A889" s="27"/>
      <c r="B889" s="25"/>
      <c r="C889" s="25"/>
      <c r="D889" s="25"/>
      <c r="E889" s="25"/>
      <c r="F889" s="1266" t="s">
        <v>68</v>
      </c>
      <c r="G889" s="1266"/>
      <c r="H889" s="1266"/>
      <c r="I889" s="1267"/>
      <c r="J889" s="855"/>
      <c r="K889" s="27"/>
      <c r="L889" s="25"/>
      <c r="M889" s="25"/>
      <c r="N889" s="25"/>
      <c r="O889" s="25"/>
      <c r="P889" s="1266" t="s">
        <v>68</v>
      </c>
      <c r="Q889" s="1266"/>
      <c r="R889" s="1266"/>
      <c r="S889" s="1267"/>
    </row>
  </sheetData>
  <mergeCells count="552">
    <mergeCell ref="B881:D881"/>
    <mergeCell ref="L881:N881"/>
    <mergeCell ref="B885:D885"/>
    <mergeCell ref="L885:N885"/>
    <mergeCell ref="F889:I889"/>
    <mergeCell ref="P889:S889"/>
    <mergeCell ref="A870:D870"/>
    <mergeCell ref="K870:N870"/>
    <mergeCell ref="B872:D872"/>
    <mergeCell ref="L872:N872"/>
    <mergeCell ref="B874:D875"/>
    <mergeCell ref="L874:N875"/>
    <mergeCell ref="B877:D877"/>
    <mergeCell ref="L877:N877"/>
    <mergeCell ref="B879:D879"/>
    <mergeCell ref="L879:N879"/>
    <mergeCell ref="P854:S854"/>
    <mergeCell ref="A859:I859"/>
    <mergeCell ref="K859:S859"/>
    <mergeCell ref="A860:I860"/>
    <mergeCell ref="K860:S860"/>
    <mergeCell ref="A865:D866"/>
    <mergeCell ref="K865:N866"/>
    <mergeCell ref="A868:D868"/>
    <mergeCell ref="K868:N868"/>
    <mergeCell ref="B842:D842"/>
    <mergeCell ref="L842:N842"/>
    <mergeCell ref="B844:D844"/>
    <mergeCell ref="L844:N844"/>
    <mergeCell ref="B846:D846"/>
    <mergeCell ref="L846:N846"/>
    <mergeCell ref="B850:D850"/>
    <mergeCell ref="L850:N850"/>
    <mergeCell ref="F854:I854"/>
    <mergeCell ref="A830:D831"/>
    <mergeCell ref="K830:N831"/>
    <mergeCell ref="A833:D833"/>
    <mergeCell ref="K833:N833"/>
    <mergeCell ref="A835:D835"/>
    <mergeCell ref="K835:N835"/>
    <mergeCell ref="B837:D837"/>
    <mergeCell ref="L837:N837"/>
    <mergeCell ref="B839:D840"/>
    <mergeCell ref="L839:N840"/>
    <mergeCell ref="B811:D811"/>
    <mergeCell ref="L811:N811"/>
    <mergeCell ref="B815:D815"/>
    <mergeCell ref="L815:N815"/>
    <mergeCell ref="F819:I819"/>
    <mergeCell ref="P819:S819"/>
    <mergeCell ref="A824:I824"/>
    <mergeCell ref="K824:S824"/>
    <mergeCell ref="A825:I825"/>
    <mergeCell ref="K825:S825"/>
    <mergeCell ref="A800:D800"/>
    <mergeCell ref="K800:N800"/>
    <mergeCell ref="B802:D802"/>
    <mergeCell ref="L802:N802"/>
    <mergeCell ref="B804:D805"/>
    <mergeCell ref="L804:N805"/>
    <mergeCell ref="B807:D807"/>
    <mergeCell ref="L807:N807"/>
    <mergeCell ref="B809:D809"/>
    <mergeCell ref="L809:N809"/>
    <mergeCell ref="F784:I784"/>
    <mergeCell ref="P784:S784"/>
    <mergeCell ref="A789:I789"/>
    <mergeCell ref="K789:S789"/>
    <mergeCell ref="A790:I790"/>
    <mergeCell ref="K790:S790"/>
    <mergeCell ref="A795:D796"/>
    <mergeCell ref="K795:N796"/>
    <mergeCell ref="A798:D798"/>
    <mergeCell ref="K798:N798"/>
    <mergeCell ref="B769:D770"/>
    <mergeCell ref="L769:N770"/>
    <mergeCell ref="B772:D772"/>
    <mergeCell ref="L772:N772"/>
    <mergeCell ref="B774:D774"/>
    <mergeCell ref="L774:N774"/>
    <mergeCell ref="B776:D776"/>
    <mergeCell ref="L776:N776"/>
    <mergeCell ref="B780:D780"/>
    <mergeCell ref="L780:N780"/>
    <mergeCell ref="A755:I755"/>
    <mergeCell ref="K755:S755"/>
    <mergeCell ref="A760:D761"/>
    <mergeCell ref="K760:N761"/>
    <mergeCell ref="A763:D763"/>
    <mergeCell ref="K763:N763"/>
    <mergeCell ref="A765:D765"/>
    <mergeCell ref="K765:N765"/>
    <mergeCell ref="B767:D767"/>
    <mergeCell ref="L767:N767"/>
    <mergeCell ref="B739:D739"/>
    <mergeCell ref="L739:N739"/>
    <mergeCell ref="B741:D741"/>
    <mergeCell ref="L741:N741"/>
    <mergeCell ref="B745:D745"/>
    <mergeCell ref="L745:N745"/>
    <mergeCell ref="F749:I749"/>
    <mergeCell ref="P749:S749"/>
    <mergeCell ref="A754:I754"/>
    <mergeCell ref="K754:S754"/>
    <mergeCell ref="A728:D728"/>
    <mergeCell ref="K728:N728"/>
    <mergeCell ref="A730:D730"/>
    <mergeCell ref="K730:N730"/>
    <mergeCell ref="B732:D732"/>
    <mergeCell ref="L732:N732"/>
    <mergeCell ref="B734:D735"/>
    <mergeCell ref="L734:N735"/>
    <mergeCell ref="B737:D737"/>
    <mergeCell ref="L737:N737"/>
    <mergeCell ref="B710:D710"/>
    <mergeCell ref="L710:N710"/>
    <mergeCell ref="F714:I714"/>
    <mergeCell ref="P714:S714"/>
    <mergeCell ref="A719:I719"/>
    <mergeCell ref="K719:S719"/>
    <mergeCell ref="A720:I720"/>
    <mergeCell ref="K720:S720"/>
    <mergeCell ref="A725:D726"/>
    <mergeCell ref="K725:N726"/>
    <mergeCell ref="B697:D697"/>
    <mergeCell ref="L697:N697"/>
    <mergeCell ref="B699:D700"/>
    <mergeCell ref="L699:N700"/>
    <mergeCell ref="B702:D702"/>
    <mergeCell ref="L702:N702"/>
    <mergeCell ref="B704:D704"/>
    <mergeCell ref="L704:N704"/>
    <mergeCell ref="B706:D706"/>
    <mergeCell ref="L706:N706"/>
    <mergeCell ref="A684:I684"/>
    <mergeCell ref="K684:S684"/>
    <mergeCell ref="A685:I685"/>
    <mergeCell ref="K685:S685"/>
    <mergeCell ref="A690:D691"/>
    <mergeCell ref="K690:N691"/>
    <mergeCell ref="A693:D693"/>
    <mergeCell ref="K693:N693"/>
    <mergeCell ref="A695:D695"/>
    <mergeCell ref="K695:N695"/>
    <mergeCell ref="P679:S679"/>
    <mergeCell ref="A660:D660"/>
    <mergeCell ref="K660:N660"/>
    <mergeCell ref="B662:D662"/>
    <mergeCell ref="L662:N662"/>
    <mergeCell ref="B664:D665"/>
    <mergeCell ref="L664:N665"/>
    <mergeCell ref="B667:D667"/>
    <mergeCell ref="L667:N667"/>
    <mergeCell ref="B669:D669"/>
    <mergeCell ref="L669:N669"/>
    <mergeCell ref="A655:D656"/>
    <mergeCell ref="K655:N656"/>
    <mergeCell ref="A658:D658"/>
    <mergeCell ref="K658:N658"/>
    <mergeCell ref="B671:D671"/>
    <mergeCell ref="L671:N671"/>
    <mergeCell ref="B675:D675"/>
    <mergeCell ref="L675:N675"/>
    <mergeCell ref="F679:I679"/>
    <mergeCell ref="B636:D636"/>
    <mergeCell ref="L636:N636"/>
    <mergeCell ref="B640:D640"/>
    <mergeCell ref="L640:N640"/>
    <mergeCell ref="F644:I644"/>
    <mergeCell ref="P644:S644"/>
    <mergeCell ref="A649:I649"/>
    <mergeCell ref="K649:S649"/>
    <mergeCell ref="A650:I650"/>
    <mergeCell ref="K650:S650"/>
    <mergeCell ref="A625:D625"/>
    <mergeCell ref="K625:N625"/>
    <mergeCell ref="B627:D627"/>
    <mergeCell ref="L627:N627"/>
    <mergeCell ref="B629:D630"/>
    <mergeCell ref="L629:N630"/>
    <mergeCell ref="B632:D632"/>
    <mergeCell ref="L632:N632"/>
    <mergeCell ref="B634:D634"/>
    <mergeCell ref="L634:N634"/>
    <mergeCell ref="P609:S609"/>
    <mergeCell ref="A614:I614"/>
    <mergeCell ref="K614:S614"/>
    <mergeCell ref="A615:I615"/>
    <mergeCell ref="K615:S615"/>
    <mergeCell ref="A620:D621"/>
    <mergeCell ref="K620:N621"/>
    <mergeCell ref="A623:D623"/>
    <mergeCell ref="K623:N623"/>
    <mergeCell ref="B597:D597"/>
    <mergeCell ref="L597:N597"/>
    <mergeCell ref="B599:D599"/>
    <mergeCell ref="L599:N599"/>
    <mergeCell ref="B601:D601"/>
    <mergeCell ref="L601:N601"/>
    <mergeCell ref="B605:D605"/>
    <mergeCell ref="L605:N605"/>
    <mergeCell ref="F609:I609"/>
    <mergeCell ref="A585:D586"/>
    <mergeCell ref="K585:N586"/>
    <mergeCell ref="A588:D588"/>
    <mergeCell ref="K588:N588"/>
    <mergeCell ref="A590:D590"/>
    <mergeCell ref="K590:N590"/>
    <mergeCell ref="B592:D592"/>
    <mergeCell ref="L592:N592"/>
    <mergeCell ref="B594:D595"/>
    <mergeCell ref="L594:N595"/>
    <mergeCell ref="B566:D566"/>
    <mergeCell ref="L566:N566"/>
    <mergeCell ref="B570:D570"/>
    <mergeCell ref="L570:N570"/>
    <mergeCell ref="F574:I574"/>
    <mergeCell ref="P574:S574"/>
    <mergeCell ref="A579:I579"/>
    <mergeCell ref="K579:S579"/>
    <mergeCell ref="A580:I580"/>
    <mergeCell ref="K580:S580"/>
    <mergeCell ref="A555:D555"/>
    <mergeCell ref="K555:N555"/>
    <mergeCell ref="B557:D557"/>
    <mergeCell ref="L557:N557"/>
    <mergeCell ref="B559:D560"/>
    <mergeCell ref="L559:N560"/>
    <mergeCell ref="B562:D562"/>
    <mergeCell ref="L562:N562"/>
    <mergeCell ref="B564:D564"/>
    <mergeCell ref="L564:N564"/>
    <mergeCell ref="P539:S539"/>
    <mergeCell ref="A544:I544"/>
    <mergeCell ref="K544:S544"/>
    <mergeCell ref="A545:I545"/>
    <mergeCell ref="K545:S545"/>
    <mergeCell ref="A550:D551"/>
    <mergeCell ref="K550:N551"/>
    <mergeCell ref="A553:D553"/>
    <mergeCell ref="K553:N553"/>
    <mergeCell ref="B527:D527"/>
    <mergeCell ref="L527:N527"/>
    <mergeCell ref="B529:D529"/>
    <mergeCell ref="L529:N529"/>
    <mergeCell ref="B531:D531"/>
    <mergeCell ref="L531:N531"/>
    <mergeCell ref="B535:D535"/>
    <mergeCell ref="L535:N535"/>
    <mergeCell ref="F539:I539"/>
    <mergeCell ref="A515:D516"/>
    <mergeCell ref="K515:N516"/>
    <mergeCell ref="A518:D518"/>
    <mergeCell ref="K518:N518"/>
    <mergeCell ref="A520:D520"/>
    <mergeCell ref="K520:N520"/>
    <mergeCell ref="B522:D522"/>
    <mergeCell ref="L522:N522"/>
    <mergeCell ref="B524:D525"/>
    <mergeCell ref="L524:N525"/>
    <mergeCell ref="B496:D496"/>
    <mergeCell ref="L496:N496"/>
    <mergeCell ref="B500:D500"/>
    <mergeCell ref="L500:N500"/>
    <mergeCell ref="F504:I504"/>
    <mergeCell ref="P504:S504"/>
    <mergeCell ref="A509:I509"/>
    <mergeCell ref="K509:S509"/>
    <mergeCell ref="A510:I510"/>
    <mergeCell ref="K510:S510"/>
    <mergeCell ref="A485:D485"/>
    <mergeCell ref="K485:N485"/>
    <mergeCell ref="B487:D487"/>
    <mergeCell ref="L487:N487"/>
    <mergeCell ref="B489:D490"/>
    <mergeCell ref="L489:N490"/>
    <mergeCell ref="B492:D492"/>
    <mergeCell ref="L492:N492"/>
    <mergeCell ref="B494:D494"/>
    <mergeCell ref="L494:N494"/>
    <mergeCell ref="P469:S469"/>
    <mergeCell ref="A474:I474"/>
    <mergeCell ref="K474:S474"/>
    <mergeCell ref="A475:I475"/>
    <mergeCell ref="K475:S475"/>
    <mergeCell ref="A480:D481"/>
    <mergeCell ref="K480:N481"/>
    <mergeCell ref="A483:D483"/>
    <mergeCell ref="K483:N483"/>
    <mergeCell ref="B457:D457"/>
    <mergeCell ref="L457:N457"/>
    <mergeCell ref="B459:D459"/>
    <mergeCell ref="L459:N459"/>
    <mergeCell ref="B461:D461"/>
    <mergeCell ref="L461:N461"/>
    <mergeCell ref="B465:D465"/>
    <mergeCell ref="L465:N465"/>
    <mergeCell ref="F469:I469"/>
    <mergeCell ref="A445:D446"/>
    <mergeCell ref="K445:N446"/>
    <mergeCell ref="A448:D448"/>
    <mergeCell ref="K448:N448"/>
    <mergeCell ref="A450:D450"/>
    <mergeCell ref="K450:N450"/>
    <mergeCell ref="B452:D452"/>
    <mergeCell ref="L452:N452"/>
    <mergeCell ref="B454:D455"/>
    <mergeCell ref="L454:N455"/>
    <mergeCell ref="B426:D426"/>
    <mergeCell ref="L426:N426"/>
    <mergeCell ref="B430:D430"/>
    <mergeCell ref="L430:N430"/>
    <mergeCell ref="F434:I434"/>
    <mergeCell ref="P434:S434"/>
    <mergeCell ref="A439:I439"/>
    <mergeCell ref="K439:S439"/>
    <mergeCell ref="A440:I440"/>
    <mergeCell ref="K440:S440"/>
    <mergeCell ref="A415:D415"/>
    <mergeCell ref="K415:N415"/>
    <mergeCell ref="B417:D417"/>
    <mergeCell ref="L417:N417"/>
    <mergeCell ref="B419:D420"/>
    <mergeCell ref="L419:N420"/>
    <mergeCell ref="B422:D422"/>
    <mergeCell ref="L422:N422"/>
    <mergeCell ref="B424:D424"/>
    <mergeCell ref="L424:N424"/>
    <mergeCell ref="A410:D411"/>
    <mergeCell ref="K410:N411"/>
    <mergeCell ref="A413:D413"/>
    <mergeCell ref="K413:N413"/>
    <mergeCell ref="B123:D123"/>
    <mergeCell ref="L123:N123"/>
    <mergeCell ref="F127:I127"/>
    <mergeCell ref="P127:S127"/>
    <mergeCell ref="A145:I145"/>
    <mergeCell ref="K145:S145"/>
    <mergeCell ref="A151:D152"/>
    <mergeCell ref="K151:N152"/>
    <mergeCell ref="A154:D154"/>
    <mergeCell ref="K154:N154"/>
    <mergeCell ref="A156:D156"/>
    <mergeCell ref="K156:N156"/>
    <mergeCell ref="B158:D158"/>
    <mergeCell ref="L158:N158"/>
    <mergeCell ref="A187:I187"/>
    <mergeCell ref="K187:S187"/>
    <mergeCell ref="A192:D193"/>
    <mergeCell ref="K192:N193"/>
    <mergeCell ref="A195:D195"/>
    <mergeCell ref="K195:N195"/>
    <mergeCell ref="B110:D110"/>
    <mergeCell ref="L110:N110"/>
    <mergeCell ref="B112:D113"/>
    <mergeCell ref="L112:N113"/>
    <mergeCell ref="B115:D115"/>
    <mergeCell ref="L115:N115"/>
    <mergeCell ref="A404:I404"/>
    <mergeCell ref="K404:S404"/>
    <mergeCell ref="A405:I405"/>
    <mergeCell ref="K405:S405"/>
    <mergeCell ref="B160:D161"/>
    <mergeCell ref="L160:N161"/>
    <mergeCell ref="B163:D163"/>
    <mergeCell ref="L163:N163"/>
    <mergeCell ref="B165:D165"/>
    <mergeCell ref="L165:N165"/>
    <mergeCell ref="B167:D167"/>
    <mergeCell ref="L167:N167"/>
    <mergeCell ref="B171:D171"/>
    <mergeCell ref="L171:N171"/>
    <mergeCell ref="F175:I175"/>
    <mergeCell ref="P175:S175"/>
    <mergeCell ref="A186:I186"/>
    <mergeCell ref="K186:S186"/>
    <mergeCell ref="A1:I1"/>
    <mergeCell ref="K1:S1"/>
    <mergeCell ref="A2:I2"/>
    <mergeCell ref="K2:S2"/>
    <mergeCell ref="F31:I31"/>
    <mergeCell ref="P31:S31"/>
    <mergeCell ref="B21:D21"/>
    <mergeCell ref="L21:N21"/>
    <mergeCell ref="B23:D23"/>
    <mergeCell ref="L23:N23"/>
    <mergeCell ref="B27:D27"/>
    <mergeCell ref="L27:N27"/>
    <mergeCell ref="B14:D14"/>
    <mergeCell ref="L14:N14"/>
    <mergeCell ref="B16:D17"/>
    <mergeCell ref="L16:N17"/>
    <mergeCell ref="B19:D19"/>
    <mergeCell ref="L19:N19"/>
    <mergeCell ref="A7:D8"/>
    <mergeCell ref="K7:N8"/>
    <mergeCell ref="A10:D10"/>
    <mergeCell ref="K10:N10"/>
    <mergeCell ref="A12:D12"/>
    <mergeCell ref="K12:N12"/>
    <mergeCell ref="A49:I49"/>
    <mergeCell ref="K49:S49"/>
    <mergeCell ref="A50:I50"/>
    <mergeCell ref="K50:S50"/>
    <mergeCell ref="A55:D56"/>
    <mergeCell ref="K55:N56"/>
    <mergeCell ref="A58:D58"/>
    <mergeCell ref="K58:N58"/>
    <mergeCell ref="B71:D71"/>
    <mergeCell ref="L71:N71"/>
    <mergeCell ref="B64:D65"/>
    <mergeCell ref="L64:N65"/>
    <mergeCell ref="B67:D67"/>
    <mergeCell ref="L67:N67"/>
    <mergeCell ref="B69:D69"/>
    <mergeCell ref="L69:N69"/>
    <mergeCell ref="B75:D75"/>
    <mergeCell ref="L75:N75"/>
    <mergeCell ref="F79:I79"/>
    <mergeCell ref="P79:S79"/>
    <mergeCell ref="A60:D60"/>
    <mergeCell ref="K60:N60"/>
    <mergeCell ref="B62:D62"/>
    <mergeCell ref="L62:N62"/>
    <mergeCell ref="A146:I146"/>
    <mergeCell ref="K146:S146"/>
    <mergeCell ref="B117:D117"/>
    <mergeCell ref="L117:N117"/>
    <mergeCell ref="B119:D119"/>
    <mergeCell ref="L119:N119"/>
    <mergeCell ref="A97:I97"/>
    <mergeCell ref="K97:S97"/>
    <mergeCell ref="A98:I98"/>
    <mergeCell ref="K98:S98"/>
    <mergeCell ref="A103:D104"/>
    <mergeCell ref="K103:N104"/>
    <mergeCell ref="A106:D106"/>
    <mergeCell ref="K106:N106"/>
    <mergeCell ref="A108:D108"/>
    <mergeCell ref="K108:N108"/>
    <mergeCell ref="A197:D197"/>
    <mergeCell ref="K197:N197"/>
    <mergeCell ref="B199:D199"/>
    <mergeCell ref="L199:N199"/>
    <mergeCell ref="B201:D202"/>
    <mergeCell ref="L201:N202"/>
    <mergeCell ref="B204:D204"/>
    <mergeCell ref="L204:N204"/>
    <mergeCell ref="A227:I227"/>
    <mergeCell ref="K227:S227"/>
    <mergeCell ref="A228:I228"/>
    <mergeCell ref="K228:S228"/>
    <mergeCell ref="A233:D234"/>
    <mergeCell ref="K233:N234"/>
    <mergeCell ref="A236:D236"/>
    <mergeCell ref="K236:N236"/>
    <mergeCell ref="B206:D206"/>
    <mergeCell ref="L206:N206"/>
    <mergeCell ref="B208:D208"/>
    <mergeCell ref="L208:N208"/>
    <mergeCell ref="B212:D212"/>
    <mergeCell ref="L212:N212"/>
    <mergeCell ref="F216:I216"/>
    <mergeCell ref="P216:S216"/>
    <mergeCell ref="A238:D238"/>
    <mergeCell ref="K238:N238"/>
    <mergeCell ref="B240:D240"/>
    <mergeCell ref="L240:N240"/>
    <mergeCell ref="B242:D243"/>
    <mergeCell ref="L242:N243"/>
    <mergeCell ref="B245:D245"/>
    <mergeCell ref="L245:N245"/>
    <mergeCell ref="B247:D247"/>
    <mergeCell ref="L247:N247"/>
    <mergeCell ref="A298:I298"/>
    <mergeCell ref="K298:S298"/>
    <mergeCell ref="A299:I299"/>
    <mergeCell ref="K299:S299"/>
    <mergeCell ref="A304:D305"/>
    <mergeCell ref="K304:N305"/>
    <mergeCell ref="B249:D249"/>
    <mergeCell ref="L249:N249"/>
    <mergeCell ref="B253:D253"/>
    <mergeCell ref="L253:N253"/>
    <mergeCell ref="F257:I257"/>
    <mergeCell ref="P257:S257"/>
    <mergeCell ref="A307:D307"/>
    <mergeCell ref="K307:N307"/>
    <mergeCell ref="A309:D309"/>
    <mergeCell ref="K309:N309"/>
    <mergeCell ref="B311:D311"/>
    <mergeCell ref="L311:N311"/>
    <mergeCell ref="B313:D314"/>
    <mergeCell ref="L313:N314"/>
    <mergeCell ref="B316:D316"/>
    <mergeCell ref="L316:N316"/>
    <mergeCell ref="B318:D318"/>
    <mergeCell ref="L318:N318"/>
    <mergeCell ref="B320:D320"/>
    <mergeCell ref="L320:N320"/>
    <mergeCell ref="B324:D324"/>
    <mergeCell ref="L324:N324"/>
    <mergeCell ref="F328:I328"/>
    <mergeCell ref="P328:S328"/>
    <mergeCell ref="A334:I334"/>
    <mergeCell ref="K334:S334"/>
    <mergeCell ref="A335:I335"/>
    <mergeCell ref="K335:S335"/>
    <mergeCell ref="A340:D341"/>
    <mergeCell ref="K340:N341"/>
    <mergeCell ref="A343:D343"/>
    <mergeCell ref="K343:N343"/>
    <mergeCell ref="A345:D345"/>
    <mergeCell ref="K345:N345"/>
    <mergeCell ref="B347:D347"/>
    <mergeCell ref="L347:N347"/>
    <mergeCell ref="B349:D350"/>
    <mergeCell ref="L349:N350"/>
    <mergeCell ref="B352:D352"/>
    <mergeCell ref="L352:N352"/>
    <mergeCell ref="B354:D354"/>
    <mergeCell ref="L354:N354"/>
    <mergeCell ref="B356:D356"/>
    <mergeCell ref="L356:N356"/>
    <mergeCell ref="B360:D360"/>
    <mergeCell ref="L360:N360"/>
    <mergeCell ref="F364:I364"/>
    <mergeCell ref="P364:S364"/>
    <mergeCell ref="A369:I369"/>
    <mergeCell ref="K369:S369"/>
    <mergeCell ref="A370:I370"/>
    <mergeCell ref="K370:S370"/>
    <mergeCell ref="A375:D376"/>
    <mergeCell ref="K375:N376"/>
    <mergeCell ref="A378:D378"/>
    <mergeCell ref="K378:N378"/>
    <mergeCell ref="B391:D391"/>
    <mergeCell ref="L391:N391"/>
    <mergeCell ref="B395:D395"/>
    <mergeCell ref="L395:N395"/>
    <mergeCell ref="F399:I399"/>
    <mergeCell ref="P399:S399"/>
    <mergeCell ref="A380:D380"/>
    <mergeCell ref="K380:N380"/>
    <mergeCell ref="B382:D382"/>
    <mergeCell ref="L382:N382"/>
    <mergeCell ref="B384:D385"/>
    <mergeCell ref="L384:N385"/>
    <mergeCell ref="B387:D387"/>
    <mergeCell ref="L387:N387"/>
    <mergeCell ref="B389:D389"/>
    <mergeCell ref="L389:N389"/>
  </mergeCells>
  <pageMargins left="0.97" right="0.68" top="0.75" bottom="0.75" header="0.4" footer="0.3"/>
  <pageSetup scale="47" orientation="landscape" horizontalDpi="300" verticalDpi="300" r:id="rId1"/>
  <rowBreaks count="13" manualBreakCount="13">
    <brk id="48" max="16383" man="1"/>
    <brk id="96" max="16383" man="1"/>
    <brk id="144" max="16383" man="1"/>
    <brk id="185" max="16383" man="1"/>
    <brk id="226" max="16383" man="1"/>
    <brk id="297" max="16383" man="1"/>
    <brk id="368" max="16383" man="1"/>
    <brk id="438" max="16383" man="1"/>
    <brk id="508" max="16383" man="1"/>
    <brk id="578" max="16383" man="1"/>
    <brk id="648" max="16383" man="1"/>
    <brk id="718" max="16383" man="1"/>
    <brk id="788"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50"/>
  <sheetViews>
    <sheetView topLeftCell="A16" workbookViewId="0">
      <selection activeCell="B29" sqref="B29"/>
    </sheetView>
  </sheetViews>
  <sheetFormatPr defaultRowHeight="15"/>
  <cols>
    <col min="1" max="1" width="7" customWidth="1"/>
    <col min="2" max="2" width="26" customWidth="1"/>
    <col min="3" max="3" width="18.5703125" customWidth="1"/>
    <col min="4" max="4" width="9.140625" customWidth="1"/>
    <col min="5" max="5" width="25.140625" customWidth="1"/>
    <col min="6" max="6" width="6.5703125" customWidth="1"/>
    <col min="9" max="13" width="9.140625" customWidth="1"/>
    <col min="14" max="14" width="7.28515625" customWidth="1"/>
    <col min="15" max="15" width="13" customWidth="1"/>
    <col min="16" max="16" width="14" customWidth="1"/>
    <col min="17" max="17" width="24.5703125" customWidth="1"/>
  </cols>
  <sheetData>
    <row r="1" spans="1:18" ht="18.75">
      <c r="A1" s="1293" t="s">
        <v>153</v>
      </c>
      <c r="B1" s="1293"/>
      <c r="C1" s="1293"/>
      <c r="D1" s="1293"/>
      <c r="E1" s="1293"/>
      <c r="F1" s="1293"/>
      <c r="G1" s="1293"/>
      <c r="H1" s="1293"/>
      <c r="I1" s="1293"/>
      <c r="J1" s="1293"/>
      <c r="K1" s="1293"/>
      <c r="L1" s="1293"/>
      <c r="M1" s="1293"/>
      <c r="N1" s="1293"/>
      <c r="O1" s="1293"/>
      <c r="P1" s="1293"/>
      <c r="Q1" s="113"/>
    </row>
    <row r="2" spans="1:18">
      <c r="A2" s="6"/>
      <c r="B2" s="14"/>
      <c r="E2" s="6"/>
      <c r="F2" s="6"/>
      <c r="G2" s="6"/>
    </row>
    <row r="3" spans="1:18" ht="15.75">
      <c r="A3" s="1294" t="s">
        <v>154</v>
      </c>
      <c r="B3" s="1294"/>
      <c r="C3" s="1294"/>
      <c r="D3" s="1294"/>
      <c r="E3" s="1294"/>
      <c r="F3" s="1294"/>
      <c r="G3" s="1294"/>
      <c r="H3" s="1294"/>
      <c r="I3" s="1294"/>
      <c r="J3" s="1294"/>
      <c r="K3" s="1294"/>
      <c r="L3" s="1294"/>
      <c r="M3" s="1294"/>
      <c r="N3" s="1294"/>
      <c r="O3" s="1294"/>
      <c r="P3" s="1294"/>
      <c r="Q3" s="114"/>
    </row>
    <row r="4" spans="1:18">
      <c r="A4" s="6"/>
      <c r="B4" s="14"/>
      <c r="E4" s="6"/>
      <c r="F4" s="6"/>
      <c r="G4" s="6"/>
      <c r="K4" s="2" t="s">
        <v>428</v>
      </c>
      <c r="L4" s="10">
        <f>'04-22-Master'!D10</f>
        <v>44652</v>
      </c>
    </row>
    <row r="5" spans="1:18" ht="15.75">
      <c r="A5" s="115" t="s">
        <v>155</v>
      </c>
      <c r="B5" s="116"/>
      <c r="D5" t="str">
        <f>'04-22-Master'!F5</f>
        <v>Burgeon IT Services Pvt.Ltd.</v>
      </c>
      <c r="E5" s="117"/>
      <c r="F5" s="117"/>
      <c r="G5" s="117"/>
      <c r="H5" s="117"/>
      <c r="I5" s="117"/>
      <c r="J5" s="117"/>
      <c r="K5" s="115" t="s">
        <v>156</v>
      </c>
      <c r="L5" s="117"/>
      <c r="M5" s="117" t="s">
        <v>1140</v>
      </c>
      <c r="N5" s="117"/>
      <c r="O5" s="117"/>
      <c r="P5" s="117"/>
      <c r="Q5" s="117"/>
      <c r="R5" s="117"/>
    </row>
    <row r="6" spans="1:18">
      <c r="A6" s="118"/>
      <c r="B6" s="119"/>
      <c r="C6" s="120"/>
      <c r="D6" s="120"/>
      <c r="E6" s="118"/>
      <c r="F6" s="118"/>
      <c r="G6" s="118"/>
      <c r="H6" s="120"/>
      <c r="I6" s="120"/>
      <c r="J6" s="120"/>
      <c r="K6" s="120"/>
      <c r="L6" s="120"/>
      <c r="M6" s="120"/>
      <c r="N6" s="120"/>
      <c r="O6" s="120"/>
      <c r="P6" s="120"/>
      <c r="Q6" s="120"/>
      <c r="R6" s="120"/>
    </row>
    <row r="7" spans="1:18">
      <c r="A7" s="1295" t="s">
        <v>157</v>
      </c>
      <c r="B7" s="1297" t="s">
        <v>158</v>
      </c>
      <c r="C7" s="1297" t="s">
        <v>159</v>
      </c>
      <c r="D7" s="1298" t="s">
        <v>160</v>
      </c>
      <c r="E7" s="1298" t="s">
        <v>161</v>
      </c>
      <c r="F7" s="1298" t="s">
        <v>162</v>
      </c>
      <c r="G7" s="1299" t="s">
        <v>163</v>
      </c>
      <c r="H7" s="1298" t="s">
        <v>164</v>
      </c>
      <c r="I7" s="1301" t="s">
        <v>165</v>
      </c>
      <c r="J7" s="1301"/>
      <c r="K7" s="1301"/>
      <c r="L7" s="1302" t="s">
        <v>166</v>
      </c>
      <c r="M7" s="1302" t="s">
        <v>167</v>
      </c>
      <c r="N7" s="1291" t="s">
        <v>168</v>
      </c>
      <c r="O7" s="1291" t="s">
        <v>169</v>
      </c>
      <c r="P7" s="1291" t="s">
        <v>170</v>
      </c>
      <c r="Q7" s="121"/>
      <c r="R7" s="122"/>
    </row>
    <row r="8" spans="1:18" ht="96">
      <c r="A8" s="1296"/>
      <c r="B8" s="1297"/>
      <c r="C8" s="1297"/>
      <c r="D8" s="1298"/>
      <c r="E8" s="1298"/>
      <c r="F8" s="1298"/>
      <c r="G8" s="1300"/>
      <c r="H8" s="1298"/>
      <c r="I8" s="123" t="s">
        <v>171</v>
      </c>
      <c r="J8" s="123" t="s">
        <v>172</v>
      </c>
      <c r="K8" s="123" t="s">
        <v>173</v>
      </c>
      <c r="L8" s="1302"/>
      <c r="M8" s="1302"/>
      <c r="N8" s="1292"/>
      <c r="O8" s="1292"/>
      <c r="P8" s="1292"/>
      <c r="Q8" s="124" t="s">
        <v>174</v>
      </c>
      <c r="R8" s="125"/>
    </row>
    <row r="9" spans="1:18">
      <c r="A9" s="126">
        <v>1</v>
      </c>
      <c r="B9" s="127">
        <v>2</v>
      </c>
      <c r="C9" s="126">
        <v>3</v>
      </c>
      <c r="D9" s="126">
        <v>4</v>
      </c>
      <c r="E9" s="126">
        <v>5</v>
      </c>
      <c r="F9" s="126">
        <v>6</v>
      </c>
      <c r="G9" s="126"/>
      <c r="H9" s="126">
        <v>8</v>
      </c>
      <c r="I9" s="126">
        <v>9</v>
      </c>
      <c r="J9" s="126">
        <v>10</v>
      </c>
      <c r="K9" s="126">
        <v>11</v>
      </c>
      <c r="L9" s="126">
        <v>12</v>
      </c>
      <c r="M9" s="126">
        <v>13</v>
      </c>
      <c r="N9" s="126">
        <v>14</v>
      </c>
      <c r="O9" s="126">
        <v>15</v>
      </c>
      <c r="P9" s="126">
        <v>16</v>
      </c>
      <c r="Q9" s="128"/>
      <c r="R9" s="6"/>
    </row>
    <row r="10" spans="1:18" ht="15.75">
      <c r="A10" s="129">
        <v>1</v>
      </c>
      <c r="B10" s="132" t="str">
        <f>'04-22-Master'!P16</f>
        <v>kaja Venkat Ragavendra</v>
      </c>
      <c r="C10" s="130" t="str">
        <f>'04-22-Master'!E16</f>
        <v>Kaja Suresh Babu</v>
      </c>
      <c r="D10" s="129" t="s">
        <v>175</v>
      </c>
      <c r="E10" s="338" t="str">
        <f>'04-22-Master'!F16</f>
        <v xml:space="preserve"> SR.Application Consultant</v>
      </c>
      <c r="F10" s="131">
        <f>'04-22-Master'!Q16</f>
        <v>30</v>
      </c>
      <c r="G10" s="131">
        <f>'04-22-Master'!AG16</f>
        <v>93276.848179999986</v>
      </c>
      <c r="H10" s="131">
        <f>'04-22-Master'!AC16</f>
        <v>1554.6089999999999</v>
      </c>
      <c r="I10" s="129" t="s">
        <v>37</v>
      </c>
      <c r="J10" s="129" t="s">
        <v>37</v>
      </c>
      <c r="K10" s="129" t="s">
        <v>37</v>
      </c>
      <c r="L10" s="129" t="s">
        <v>37</v>
      </c>
      <c r="M10" s="131">
        <f t="shared" ref="M10" si="0">H10</f>
        <v>1554.6089999999999</v>
      </c>
      <c r="N10" s="131">
        <f t="shared" ref="N10" si="1">M10</f>
        <v>1554.6089999999999</v>
      </c>
      <c r="O10" s="873">
        <f>'04-22-Master'!AP16</f>
        <v>44686</v>
      </c>
      <c r="P10" s="132" t="str">
        <f>'04-22-Master'!AQ16</f>
        <v>KMB</v>
      </c>
      <c r="Q10" s="299" t="str">
        <f>'04-22-Master'!AR16</f>
        <v>A/C'6812236194</v>
      </c>
    </row>
    <row r="11" spans="1:18" s="339" customFormat="1" ht="15.75">
      <c r="A11" s="129">
        <v>2</v>
      </c>
      <c r="B11" s="132" t="str">
        <f>'04-22-Master'!P17</f>
        <v>VeerendraBabu Galam</v>
      </c>
      <c r="C11" s="130" t="str">
        <f>'04-22-Master'!E17</f>
        <v>Gopal Rao</v>
      </c>
      <c r="D11" s="129" t="s">
        <v>175</v>
      </c>
      <c r="E11" s="338" t="str">
        <f>'04-22-Master'!F17</f>
        <v>Senior Test Engineer</v>
      </c>
      <c r="F11" s="131">
        <f>'04-22-Master'!Q17</f>
        <v>30</v>
      </c>
      <c r="G11" s="131">
        <f>'04-22-Master'!AG17</f>
        <v>73275.862639999992</v>
      </c>
      <c r="H11" s="131">
        <f>'04-22-Master'!AC17</f>
        <v>1554.6089999999999</v>
      </c>
      <c r="I11" s="129" t="s">
        <v>37</v>
      </c>
      <c r="J11" s="129" t="s">
        <v>37</v>
      </c>
      <c r="K11" s="129" t="s">
        <v>37</v>
      </c>
      <c r="L11" s="129" t="s">
        <v>37</v>
      </c>
      <c r="M11" s="131">
        <f t="shared" ref="M11:M30" si="2">H11</f>
        <v>1554.6089999999999</v>
      </c>
      <c r="N11" s="131">
        <f t="shared" ref="N11:N30" si="3">M11</f>
        <v>1554.6089999999999</v>
      </c>
      <c r="O11" s="873">
        <f>'04-22-Master'!AP17</f>
        <v>44686</v>
      </c>
      <c r="P11" s="132" t="str">
        <f>'04-22-Master'!AQ17</f>
        <v>Standard chartered Bank</v>
      </c>
      <c r="Q11" s="299" t="str">
        <f>'04-22-Master'!AR17</f>
        <v>A/C'44511140919</v>
      </c>
    </row>
    <row r="12" spans="1:18" s="390" customFormat="1" ht="15.75">
      <c r="A12" s="129">
        <v>3</v>
      </c>
      <c r="B12" s="132" t="str">
        <f>'04-22-Master'!P18</f>
        <v>RUKNUDEEN S</v>
      </c>
      <c r="C12" s="130" t="str">
        <f>'04-22-Master'!E18</f>
        <v>SIRBUDIN.T</v>
      </c>
      <c r="D12" s="129" t="s">
        <v>175</v>
      </c>
      <c r="E12" s="338" t="str">
        <f>'04-22-Master'!F18</f>
        <v>Technical consultant</v>
      </c>
      <c r="F12" s="131">
        <f>'04-22-Master'!Q18</f>
        <v>30</v>
      </c>
      <c r="G12" s="131">
        <f>'04-22-Master'!AG18</f>
        <v>98276.28542</v>
      </c>
      <c r="H12" s="131">
        <f>'04-22-Master'!AC18</f>
        <v>1554.6089999999999</v>
      </c>
      <c r="I12" s="129" t="s">
        <v>37</v>
      </c>
      <c r="J12" s="129" t="s">
        <v>37</v>
      </c>
      <c r="K12" s="129" t="s">
        <v>37</v>
      </c>
      <c r="L12" s="129" t="s">
        <v>37</v>
      </c>
      <c r="M12" s="131">
        <f t="shared" si="2"/>
        <v>1554.6089999999999</v>
      </c>
      <c r="N12" s="131">
        <f t="shared" si="3"/>
        <v>1554.6089999999999</v>
      </c>
      <c r="O12" s="873">
        <f>'04-22-Master'!AP18</f>
        <v>44686</v>
      </c>
      <c r="P12" s="132" t="str">
        <f>'04-22-Master'!AQ18</f>
        <v>SBI</v>
      </c>
      <c r="Q12" s="299">
        <f>'04-22-Master'!AR18</f>
        <v>39203094887</v>
      </c>
    </row>
    <row r="13" spans="1:18" s="390" customFormat="1" ht="15.75">
      <c r="A13" s="129">
        <v>4</v>
      </c>
      <c r="B13" s="132" t="str">
        <f>'04-22-Master'!P19</f>
        <v xml:space="preserve">Srikanth Thota   </v>
      </c>
      <c r="C13" s="130" t="str">
        <f>'04-22-Master'!E19</f>
        <v>Vasudha thota</v>
      </c>
      <c r="D13" s="129" t="s">
        <v>175</v>
      </c>
      <c r="E13" s="338" t="str">
        <f>'04-22-Master'!F19</f>
        <v>PMO Manager</v>
      </c>
      <c r="F13" s="131">
        <f>'04-22-Master'!Q19</f>
        <v>30</v>
      </c>
      <c r="G13" s="131">
        <f>'04-22-Master'!AG19</f>
        <v>113276.75486</v>
      </c>
      <c r="H13" s="131">
        <f>'04-22-Master'!AC19</f>
        <v>1554.6089999999999</v>
      </c>
      <c r="I13" s="129" t="s">
        <v>37</v>
      </c>
      <c r="J13" s="129" t="s">
        <v>37</v>
      </c>
      <c r="K13" s="129" t="s">
        <v>37</v>
      </c>
      <c r="L13" s="129" t="s">
        <v>37</v>
      </c>
      <c r="M13" s="131">
        <f t="shared" si="2"/>
        <v>1554.6089999999999</v>
      </c>
      <c r="N13" s="131">
        <f t="shared" si="3"/>
        <v>1554.6089999999999</v>
      </c>
      <c r="O13" s="873">
        <f>'04-22-Master'!AP19</f>
        <v>44686</v>
      </c>
      <c r="P13" s="132" t="str">
        <f>'04-22-Master'!AQ19</f>
        <v>ICICI BANK</v>
      </c>
      <c r="Q13" s="299" t="str">
        <f>'04-22-Master'!AR19</f>
        <v>020201513961</v>
      </c>
    </row>
    <row r="14" spans="1:18" s="390" customFormat="1" ht="30">
      <c r="A14" s="129">
        <v>5</v>
      </c>
      <c r="B14" s="132" t="str">
        <f>'04-22-Master'!P20</f>
        <v xml:space="preserve">Shekhar Panchal  </v>
      </c>
      <c r="C14" s="130" t="str">
        <f>'04-22-Master'!E20</f>
        <v>Naresh Kumar Panchal</v>
      </c>
      <c r="D14" s="129" t="s">
        <v>175</v>
      </c>
      <c r="E14" s="338" t="str">
        <f>'04-22-Master'!F20</f>
        <v>Sr. Network Security Engineer</v>
      </c>
      <c r="F14" s="131">
        <f>'04-22-Master'!Q20</f>
        <v>30</v>
      </c>
      <c r="G14" s="131">
        <f>'04-22-Master'!AG20</f>
        <v>73275.862639999992</v>
      </c>
      <c r="H14" s="131">
        <f>'04-22-Master'!AC20</f>
        <v>1554.6089999999999</v>
      </c>
      <c r="I14" s="129" t="s">
        <v>37</v>
      </c>
      <c r="J14" s="129" t="s">
        <v>37</v>
      </c>
      <c r="K14" s="129" t="s">
        <v>37</v>
      </c>
      <c r="L14" s="129" t="s">
        <v>37</v>
      </c>
      <c r="M14" s="131">
        <f t="shared" si="2"/>
        <v>1554.6089999999999</v>
      </c>
      <c r="N14" s="131">
        <f t="shared" si="3"/>
        <v>1554.6089999999999</v>
      </c>
      <c r="O14" s="873">
        <f>'04-22-Master'!AP20</f>
        <v>44686</v>
      </c>
      <c r="P14" s="132" t="str">
        <f>'04-22-Master'!AQ20</f>
        <v>ICICI BANK</v>
      </c>
      <c r="Q14" s="299" t="str">
        <f>'04-22-Master'!AR20</f>
        <v>346801502975</v>
      </c>
    </row>
    <row r="15" spans="1:18" s="390" customFormat="1" ht="30">
      <c r="A15" s="129">
        <v>6</v>
      </c>
      <c r="B15" s="132" t="str">
        <f>'04-22-Master'!P21</f>
        <v>Gangadhar Yarabham</v>
      </c>
      <c r="C15" s="130" t="str">
        <f>'04-22-Master'!E21</f>
        <v>Yarabham Savaraiah</v>
      </c>
      <c r="D15" s="129" t="s">
        <v>175</v>
      </c>
      <c r="E15" s="338" t="str">
        <f>'04-22-Master'!F21</f>
        <v>Senior Specialist</v>
      </c>
      <c r="F15" s="131">
        <f>'04-22-Master'!Q21</f>
        <v>30</v>
      </c>
      <c r="G15" s="131">
        <f>'04-22-Master'!AG21</f>
        <v>93275.769320000007</v>
      </c>
      <c r="H15" s="131">
        <f>'04-22-Master'!AC21</f>
        <v>1554.6089999999999</v>
      </c>
      <c r="I15" s="129" t="s">
        <v>37</v>
      </c>
      <c r="J15" s="129" t="s">
        <v>37</v>
      </c>
      <c r="K15" s="129" t="s">
        <v>37</v>
      </c>
      <c r="L15" s="129" t="s">
        <v>37</v>
      </c>
      <c r="M15" s="131">
        <f t="shared" si="2"/>
        <v>1554.6089999999999</v>
      </c>
      <c r="N15" s="131">
        <f t="shared" si="3"/>
        <v>1554.6089999999999</v>
      </c>
      <c r="O15" s="873">
        <f>'04-22-Master'!AP21</f>
        <v>44686</v>
      </c>
      <c r="P15" s="132" t="str">
        <f>'04-22-Master'!AQ21</f>
        <v>KOTAK BANK</v>
      </c>
      <c r="Q15" s="299" t="str">
        <f>'04-22-Master'!AR21</f>
        <v>A/C NUM:0745780762</v>
      </c>
    </row>
    <row r="16" spans="1:18" s="390" customFormat="1" ht="15.75">
      <c r="A16" s="129">
        <v>7</v>
      </c>
      <c r="B16" s="132" t="str">
        <f>'04-22-Master'!P22</f>
        <v xml:space="preserve">Nikhila Kaveri </v>
      </c>
      <c r="C16" s="130" t="str">
        <f>'04-22-Master'!E22</f>
        <v>Sreehari</v>
      </c>
      <c r="D16" s="129" t="s">
        <v>175</v>
      </c>
      <c r="E16" s="338" t="str">
        <f>'04-22-Master'!F22</f>
        <v xml:space="preserve">TECHNICAL SOLUTION CONSULTANT </v>
      </c>
      <c r="F16" s="131">
        <f>'04-22-Master'!Q22</f>
        <v>30</v>
      </c>
      <c r="G16" s="131">
        <f>'04-22-Master'!AG22</f>
        <v>118276.1921</v>
      </c>
      <c r="H16" s="131">
        <f>'04-22-Master'!AC22</f>
        <v>1554.6089999999999</v>
      </c>
      <c r="I16" s="129" t="s">
        <v>37</v>
      </c>
      <c r="J16" s="129" t="s">
        <v>37</v>
      </c>
      <c r="K16" s="129" t="s">
        <v>37</v>
      </c>
      <c r="L16" s="129" t="s">
        <v>37</v>
      </c>
      <c r="M16" s="131">
        <f t="shared" si="2"/>
        <v>1554.6089999999999</v>
      </c>
      <c r="N16" s="131">
        <f t="shared" si="3"/>
        <v>1554.6089999999999</v>
      </c>
      <c r="O16" s="873">
        <f>'04-22-Master'!AP22</f>
        <v>44686</v>
      </c>
      <c r="P16" s="132" t="str">
        <f>'04-22-Master'!AQ22</f>
        <v>HDFC BANK</v>
      </c>
      <c r="Q16" s="299" t="str">
        <f>'04-22-Master'!AR22</f>
        <v>HDFC0002770</v>
      </c>
    </row>
    <row r="17" spans="1:17" s="390" customFormat="1" ht="15.75">
      <c r="A17" s="129">
        <v>8</v>
      </c>
      <c r="B17" s="132" t="str">
        <f>'04-22-Master'!P23</f>
        <v>Thaposh Ghosh</v>
      </c>
      <c r="C17" s="130" t="str">
        <f>'04-22-Master'!E23</f>
        <v>CH Divya Vani</v>
      </c>
      <c r="D17" s="129" t="s">
        <v>175</v>
      </c>
      <c r="E17" s="338" t="str">
        <f>'04-22-Master'!F23</f>
        <v>Incident Governance Manager</v>
      </c>
      <c r="F17" s="131">
        <f>'04-22-Master'!Q23</f>
        <v>30</v>
      </c>
      <c r="G17" s="131">
        <f>'04-22-Master'!AG23</f>
        <v>153275.48935999998</v>
      </c>
      <c r="H17" s="131">
        <f>'04-22-Master'!AC23</f>
        <v>1554.6089999999999</v>
      </c>
      <c r="I17" s="129" t="s">
        <v>37</v>
      </c>
      <c r="J17" s="129" t="s">
        <v>37</v>
      </c>
      <c r="K17" s="129" t="s">
        <v>37</v>
      </c>
      <c r="L17" s="129" t="s">
        <v>37</v>
      </c>
      <c r="M17" s="131">
        <f t="shared" si="2"/>
        <v>1554.6089999999999</v>
      </c>
      <c r="N17" s="131">
        <f t="shared" si="3"/>
        <v>1554.6089999999999</v>
      </c>
      <c r="O17" s="873">
        <f>'04-22-Master'!AP23</f>
        <v>44686</v>
      </c>
      <c r="P17" s="132" t="str">
        <f>'04-22-Master'!AQ23</f>
        <v>AXIS BANK</v>
      </c>
      <c r="Q17" s="299" t="str">
        <f>'04-22-Master'!AR23</f>
        <v>914010012727732</v>
      </c>
    </row>
    <row r="18" spans="1:17" s="390" customFormat="1" ht="45">
      <c r="A18" s="129">
        <v>9</v>
      </c>
      <c r="B18" s="132" t="str">
        <f>'04-22-Master'!P24</f>
        <v>Nagashree Narayan</v>
      </c>
      <c r="C18" s="130" t="str">
        <f>'04-22-Master'!E24</f>
        <v>KANTHA KAMBAIAH LAKSHMI</v>
      </c>
      <c r="D18" s="129" t="s">
        <v>175</v>
      </c>
      <c r="E18" s="338" t="str">
        <f>'04-22-Master'!F24</f>
        <v>Technical Lead</v>
      </c>
      <c r="F18" s="131">
        <f>'04-22-Master'!Q24</f>
        <v>29</v>
      </c>
      <c r="G18" s="131">
        <f>'04-22-Master'!AG24</f>
        <v>104722.617768</v>
      </c>
      <c r="H18" s="131">
        <f>'04-22-Master'!AC24</f>
        <v>1554.6089999999999</v>
      </c>
      <c r="I18" s="129" t="s">
        <v>37</v>
      </c>
      <c r="J18" s="129" t="s">
        <v>37</v>
      </c>
      <c r="K18" s="129" t="s">
        <v>37</v>
      </c>
      <c r="L18" s="129" t="s">
        <v>37</v>
      </c>
      <c r="M18" s="131">
        <f t="shared" si="2"/>
        <v>1554.6089999999999</v>
      </c>
      <c r="N18" s="131">
        <f t="shared" si="3"/>
        <v>1554.6089999999999</v>
      </c>
      <c r="O18" s="873">
        <f>'04-22-Master'!AP24</f>
        <v>44686</v>
      </c>
      <c r="P18" s="132" t="str">
        <f>'04-22-Master'!AQ24</f>
        <v xml:space="preserve">ICICI BANK </v>
      </c>
      <c r="Q18" s="299" t="str">
        <f>'04-22-Master'!AR24</f>
        <v xml:space="preserve">098601510169 </v>
      </c>
    </row>
    <row r="19" spans="1:17" s="390" customFormat="1" ht="18" customHeight="1">
      <c r="A19" s="129">
        <v>10</v>
      </c>
      <c r="B19" s="132" t="str">
        <f>'04-22-Master'!P25</f>
        <v>ROOPINI CHIYYARAPU</v>
      </c>
      <c r="C19" s="130" t="str">
        <f>'04-22-Master'!E25</f>
        <v>C.ChandraReddy</v>
      </c>
      <c r="D19" s="129" t="s">
        <v>175</v>
      </c>
      <c r="E19" s="338" t="str">
        <f>'04-22-Master'!F25</f>
        <v>Service Now Developer</v>
      </c>
      <c r="F19" s="131">
        <f>'04-22-Master'!Q25</f>
        <v>30</v>
      </c>
      <c r="G19" s="131">
        <f>'04-22-Master'!AG25</f>
        <v>83275.815979999985</v>
      </c>
      <c r="H19" s="131">
        <f>'04-22-Master'!AC25</f>
        <v>1554.6089999999999</v>
      </c>
      <c r="I19" s="129" t="s">
        <v>37</v>
      </c>
      <c r="J19" s="129" t="s">
        <v>37</v>
      </c>
      <c r="K19" s="129" t="s">
        <v>37</v>
      </c>
      <c r="L19" s="129" t="s">
        <v>37</v>
      </c>
      <c r="M19" s="131">
        <f t="shared" si="2"/>
        <v>1554.6089999999999</v>
      </c>
      <c r="N19" s="131">
        <f t="shared" si="3"/>
        <v>1554.6089999999999</v>
      </c>
      <c r="O19" s="873">
        <f>'04-22-Master'!AP25</f>
        <v>44686</v>
      </c>
      <c r="P19" s="132" t="str">
        <f>'04-22-Master'!AQ25</f>
        <v>SBI</v>
      </c>
      <c r="Q19" s="299">
        <f>'04-22-Master'!AR25</f>
        <v>39504382024</v>
      </c>
    </row>
    <row r="20" spans="1:17" s="390" customFormat="1" ht="16.899999999999999" customHeight="1">
      <c r="A20" s="129">
        <v>11</v>
      </c>
      <c r="B20" s="132" t="str">
        <f>'04-22-Master'!P26</f>
        <v>D.Santhoshi</v>
      </c>
      <c r="C20" s="130" t="str">
        <f>'04-22-Master'!E26</f>
        <v>Srinivasu</v>
      </c>
      <c r="D20" s="129" t="s">
        <v>175</v>
      </c>
      <c r="E20" s="338" t="str">
        <f>'04-22-Master'!F26</f>
        <v>SAP Basis Consultant</v>
      </c>
      <c r="F20" s="131">
        <f>'04-22-Master'!Q26</f>
        <v>30</v>
      </c>
      <c r="G20" s="131">
        <f>'04-22-Master'!AG26</f>
        <v>43276.002619999992</v>
      </c>
      <c r="H20" s="131">
        <f>'04-22-Master'!AC26</f>
        <v>1554.6089999999999</v>
      </c>
      <c r="I20" s="129" t="s">
        <v>37</v>
      </c>
      <c r="J20" s="129" t="s">
        <v>37</v>
      </c>
      <c r="K20" s="129" t="s">
        <v>37</v>
      </c>
      <c r="L20" s="129" t="s">
        <v>37</v>
      </c>
      <c r="M20" s="131">
        <f t="shared" si="2"/>
        <v>1554.6089999999999</v>
      </c>
      <c r="N20" s="131">
        <f t="shared" si="3"/>
        <v>1554.6089999999999</v>
      </c>
      <c r="O20" s="873">
        <f>'04-22-Master'!AP26</f>
        <v>44686</v>
      </c>
      <c r="P20" s="132" t="str">
        <f>'04-22-Master'!AQ26</f>
        <v>INDIAN BANK</v>
      </c>
      <c r="Q20" s="299">
        <f>'04-22-Master'!AR26</f>
        <v>6108665097</v>
      </c>
    </row>
    <row r="21" spans="1:17" s="390" customFormat="1" ht="16.5" customHeight="1">
      <c r="A21" s="129">
        <v>12</v>
      </c>
      <c r="B21" s="132" t="str">
        <f>'04-22-Master'!P27</f>
        <v>Bharath</v>
      </c>
      <c r="C21" s="130" t="str">
        <f>'04-22-Master'!E27</f>
        <v>Mani ram</v>
      </c>
      <c r="D21" s="129" t="s">
        <v>175</v>
      </c>
      <c r="E21" s="338" t="str">
        <f>'04-22-Master'!F27</f>
        <v>SAP Basis Consultant</v>
      </c>
      <c r="F21" s="131">
        <f>'04-22-Master'!Q27</f>
        <v>30</v>
      </c>
      <c r="G21" s="131">
        <f>'04-22-Master'!AG27</f>
        <v>28246.40396</v>
      </c>
      <c r="H21" s="131">
        <f>'04-22-Master'!AC27</f>
        <v>1554.6089999999999</v>
      </c>
      <c r="I21" s="129" t="s">
        <v>37</v>
      </c>
      <c r="J21" s="129" t="s">
        <v>37</v>
      </c>
      <c r="K21" s="129" t="s">
        <v>37</v>
      </c>
      <c r="L21" s="129" t="s">
        <v>37</v>
      </c>
      <c r="M21" s="131">
        <f t="shared" si="2"/>
        <v>1554.6089999999999</v>
      </c>
      <c r="N21" s="131">
        <f t="shared" si="3"/>
        <v>1554.6089999999999</v>
      </c>
      <c r="O21" s="873">
        <f>'04-22-Master'!AP27</f>
        <v>44686</v>
      </c>
      <c r="P21" s="132" t="str">
        <f>'04-22-Master'!AQ27</f>
        <v>SBI</v>
      </c>
      <c r="Q21" s="299">
        <f>'04-22-Master'!AR27</f>
        <v>34997967265</v>
      </c>
    </row>
    <row r="22" spans="1:17" s="390" customFormat="1" ht="15.75">
      <c r="A22" s="129">
        <v>13</v>
      </c>
      <c r="B22" s="132" t="str">
        <f>'04-22-Master'!P28</f>
        <v>NEERUDU SAI KUMAR</v>
      </c>
      <c r="C22" s="130" t="str">
        <f>'04-22-Master'!E28</f>
        <v>UMA</v>
      </c>
      <c r="D22" s="129" t="s">
        <v>175</v>
      </c>
      <c r="E22" s="338" t="str">
        <f>'04-22-Master'!F28</f>
        <v>SAP Basis Consultant</v>
      </c>
      <c r="F22" s="131">
        <f>'04-22-Master'!Q28</f>
        <v>30</v>
      </c>
      <c r="G22" s="131">
        <f>'04-22-Master'!AG28</f>
        <v>43276.002619999992</v>
      </c>
      <c r="H22" s="131">
        <f>'04-22-Master'!AC28</f>
        <v>1554.6089999999999</v>
      </c>
      <c r="I22" s="129" t="s">
        <v>37</v>
      </c>
      <c r="J22" s="129" t="s">
        <v>37</v>
      </c>
      <c r="K22" s="129" t="s">
        <v>37</v>
      </c>
      <c r="L22" s="129" t="s">
        <v>37</v>
      </c>
      <c r="M22" s="131">
        <f t="shared" si="2"/>
        <v>1554.6089999999999</v>
      </c>
      <c r="N22" s="131">
        <f t="shared" si="3"/>
        <v>1554.6089999999999</v>
      </c>
      <c r="O22" s="873">
        <f>'04-22-Master'!AP28</f>
        <v>44686</v>
      </c>
      <c r="P22" s="132" t="str">
        <f>'04-22-Master'!AQ28</f>
        <v>HDFC</v>
      </c>
      <c r="Q22" s="299">
        <f>'04-22-Master'!AR28</f>
        <v>50100450339212</v>
      </c>
    </row>
    <row r="23" spans="1:17" s="390" customFormat="1" ht="17.25" customHeight="1">
      <c r="A23" s="129">
        <v>14</v>
      </c>
      <c r="B23" s="132" t="str">
        <f>'04-22-Master'!P29</f>
        <v>Ramineni Abhilash</v>
      </c>
      <c r="C23" s="130" t="str">
        <f>'04-22-Master'!E29</f>
        <v>Bhulokarao</v>
      </c>
      <c r="D23" s="129" t="s">
        <v>175</v>
      </c>
      <c r="E23" s="338" t="str">
        <f>'04-22-Master'!F29</f>
        <v>SAP Basis Consultant</v>
      </c>
      <c r="F23" s="131">
        <f>'04-22-Master'!Q29</f>
        <v>30</v>
      </c>
      <c r="G23" s="131">
        <f>'04-22-Master'!AG29</f>
        <v>43276.002619999992</v>
      </c>
      <c r="H23" s="131">
        <f>'04-22-Master'!AC29</f>
        <v>1554.6089999999999</v>
      </c>
      <c r="I23" s="129" t="s">
        <v>37</v>
      </c>
      <c r="J23" s="129" t="s">
        <v>37</v>
      </c>
      <c r="K23" s="129" t="s">
        <v>37</v>
      </c>
      <c r="L23" s="129" t="s">
        <v>37</v>
      </c>
      <c r="M23" s="131">
        <f t="shared" si="2"/>
        <v>1554.6089999999999</v>
      </c>
      <c r="N23" s="131">
        <f t="shared" si="3"/>
        <v>1554.6089999999999</v>
      </c>
      <c r="O23" s="873">
        <f>'04-22-Master'!AP29</f>
        <v>44686</v>
      </c>
      <c r="P23" s="132" t="str">
        <f>'04-22-Master'!AQ29</f>
        <v>IDBI</v>
      </c>
      <c r="Q23" s="299" t="str">
        <f>'04-22-Master'!AR29</f>
        <v>1169104000110723</v>
      </c>
    </row>
    <row r="24" spans="1:17" s="390" customFormat="1" ht="15.75">
      <c r="A24" s="129">
        <v>15</v>
      </c>
      <c r="B24" s="132" t="str">
        <f>'04-22-Master'!P30</f>
        <v>B SRILATHA</v>
      </c>
      <c r="C24" s="130" t="str">
        <f>'04-22-Master'!E30</f>
        <v>Anjaneya Reddy</v>
      </c>
      <c r="D24" s="129" t="s">
        <v>175</v>
      </c>
      <c r="E24" s="338" t="str">
        <f>'04-22-Master'!F30</f>
        <v>Data Engineer</v>
      </c>
      <c r="F24" s="131">
        <f>'04-22-Master'!Q30</f>
        <v>30</v>
      </c>
      <c r="G24" s="131">
        <f>'04-22-Master'!AG30</f>
        <v>113275.67599999999</v>
      </c>
      <c r="H24" s="131">
        <f>'04-22-Master'!AC30</f>
        <v>1554.6089999999999</v>
      </c>
      <c r="I24" s="129" t="s">
        <v>37</v>
      </c>
      <c r="J24" s="129" t="s">
        <v>37</v>
      </c>
      <c r="K24" s="129" t="s">
        <v>37</v>
      </c>
      <c r="L24" s="129" t="s">
        <v>37</v>
      </c>
      <c r="M24" s="131">
        <f t="shared" si="2"/>
        <v>1554.6089999999999</v>
      </c>
      <c r="N24" s="131">
        <f t="shared" si="3"/>
        <v>1554.6089999999999</v>
      </c>
      <c r="O24" s="873">
        <f>'04-22-Master'!AP30</f>
        <v>44686</v>
      </c>
      <c r="P24" s="132" t="str">
        <f>'04-22-Master'!AQ30</f>
        <v>SBI</v>
      </c>
      <c r="Q24" s="299">
        <f>'04-22-Master'!AR30</f>
        <v>33161877369</v>
      </c>
    </row>
    <row r="25" spans="1:17" s="390" customFormat="1" ht="15.75">
      <c r="A25" s="129">
        <v>16</v>
      </c>
      <c r="B25" s="132" t="str">
        <f>'04-22-Master'!P31</f>
        <v> SURESH Kumar KOLA</v>
      </c>
      <c r="C25" s="130" t="str">
        <f>'04-22-Master'!E31</f>
        <v>BHAVANI KOLA</v>
      </c>
      <c r="D25" s="129" t="s">
        <v>175</v>
      </c>
      <c r="E25" s="338" t="str">
        <f>'04-22-Master'!F31</f>
        <v>SOFTWARE ENGINEER</v>
      </c>
      <c r="F25" s="131">
        <f>'04-22-Master'!Q31</f>
        <v>30</v>
      </c>
      <c r="G25" s="131">
        <f>'04-22-Master'!AG31</f>
        <v>88276.332079999993</v>
      </c>
      <c r="H25" s="131">
        <f>'04-22-Master'!AC31</f>
        <v>1554.6089999999999</v>
      </c>
      <c r="I25" s="129" t="s">
        <v>37</v>
      </c>
      <c r="J25" s="129" t="s">
        <v>37</v>
      </c>
      <c r="K25" s="129" t="s">
        <v>37</v>
      </c>
      <c r="L25" s="129" t="s">
        <v>37</v>
      </c>
      <c r="M25" s="131">
        <f t="shared" si="2"/>
        <v>1554.6089999999999</v>
      </c>
      <c r="N25" s="131">
        <f t="shared" si="3"/>
        <v>1554.6089999999999</v>
      </c>
      <c r="O25" s="873">
        <f>'04-22-Master'!AP31</f>
        <v>44686</v>
      </c>
      <c r="P25" s="132" t="str">
        <f>'04-22-Master'!AQ31</f>
        <v>BANK OF BARODA</v>
      </c>
      <c r="Q25" s="299" t="str">
        <f>'04-22-Master'!AR31</f>
        <v>83270100000529</v>
      </c>
    </row>
    <row r="26" spans="1:17" s="390" customFormat="1" ht="30">
      <c r="A26" s="129">
        <v>17</v>
      </c>
      <c r="B26" s="132" t="str">
        <f>'04-22-Master'!P32</f>
        <v>ANILKUMAR MUMMANA</v>
      </c>
      <c r="C26" s="130" t="str">
        <f>'04-22-Master'!E32</f>
        <v>MUMMANA VENKATESWARLU</v>
      </c>
      <c r="D26" s="129" t="s">
        <v>175</v>
      </c>
      <c r="E26" s="338" t="str">
        <f>'04-22-Master'!F32</f>
        <v>Sr Developer technical lead</v>
      </c>
      <c r="F26" s="131">
        <f>'04-22-Master'!Q32</f>
        <v>30</v>
      </c>
      <c r="G26" s="131">
        <f>'04-22-Master'!AG32</f>
        <v>143275.53602</v>
      </c>
      <c r="H26" s="131">
        <f>'04-22-Master'!AC32</f>
        <v>1554.6089999999999</v>
      </c>
      <c r="I26" s="129" t="s">
        <v>37</v>
      </c>
      <c r="J26" s="129" t="s">
        <v>37</v>
      </c>
      <c r="K26" s="129" t="s">
        <v>37</v>
      </c>
      <c r="L26" s="129" t="s">
        <v>37</v>
      </c>
      <c r="M26" s="131">
        <f t="shared" si="2"/>
        <v>1554.6089999999999</v>
      </c>
      <c r="N26" s="131">
        <f t="shared" si="3"/>
        <v>1554.6089999999999</v>
      </c>
      <c r="O26" s="873">
        <f>'04-22-Master'!AP32</f>
        <v>44686</v>
      </c>
      <c r="P26" s="132" t="str">
        <f>'04-22-Master'!AQ32</f>
        <v>HDFC</v>
      </c>
      <c r="Q26" s="299" t="str">
        <f>'04-22-Master'!AR32</f>
        <v>50100480501513</v>
      </c>
    </row>
    <row r="27" spans="1:17" s="390" customFormat="1" ht="15.75">
      <c r="A27" s="129">
        <v>18</v>
      </c>
      <c r="B27" s="1077" t="str">
        <f>'04-22-Master'!P33</f>
        <v xml:space="preserve">Ravi Gande </v>
      </c>
      <c r="C27" s="130" t="str">
        <f>'04-22-Master'!E33</f>
        <v>Narsimhulu</v>
      </c>
      <c r="D27" s="129" t="s">
        <v>175</v>
      </c>
      <c r="E27" s="338" t="str">
        <f>'04-22-Master'!F33</f>
        <v>JAVA DEVELOPER</v>
      </c>
      <c r="F27" s="131">
        <f>'04-22-Master'!Q33</f>
        <v>30</v>
      </c>
      <c r="G27" s="131">
        <f>'04-22-Master'!AG33</f>
        <v>75113.441520000008</v>
      </c>
      <c r="H27" s="1078">
        <f>'04-22-Master'!AC33</f>
        <v>1441.6089999999999</v>
      </c>
      <c r="I27" s="129" t="s">
        <v>37</v>
      </c>
      <c r="J27" s="129" t="s">
        <v>37</v>
      </c>
      <c r="K27" s="129" t="s">
        <v>37</v>
      </c>
      <c r="L27" s="129" t="s">
        <v>37</v>
      </c>
      <c r="M27" s="131">
        <f t="shared" si="2"/>
        <v>1441.6089999999999</v>
      </c>
      <c r="N27" s="131">
        <f t="shared" si="3"/>
        <v>1441.6089999999999</v>
      </c>
      <c r="O27" s="873">
        <f>'04-22-Master'!AP33</f>
        <v>44686</v>
      </c>
      <c r="P27" s="132" t="str">
        <f>'04-22-Master'!AQ33</f>
        <v xml:space="preserve">ICICI BANK </v>
      </c>
      <c r="Q27" s="299" t="str">
        <f>'04-22-Master'!AR33</f>
        <v>038201510552</v>
      </c>
    </row>
    <row r="28" spans="1:17" s="390" customFormat="1" ht="15.75">
      <c r="A28" s="129">
        <v>19</v>
      </c>
      <c r="B28" s="132" t="str">
        <f>'04-22-Master'!P34</f>
        <v xml:space="preserve">NarsiReddy Venna </v>
      </c>
      <c r="C28" s="130" t="str">
        <f>'04-22-Master'!E34</f>
        <v>Krishna Reddy</v>
      </c>
      <c r="D28" s="129" t="s">
        <v>175</v>
      </c>
      <c r="E28" s="338" t="str">
        <f>'04-22-Master'!F34</f>
        <v>Senior Administrator</v>
      </c>
      <c r="F28" s="131">
        <f>'04-22-Master'!Q34</f>
        <v>27</v>
      </c>
      <c r="G28" s="131">
        <f>'04-22-Master'!AG34</f>
        <v>111114.82730599999</v>
      </c>
      <c r="H28" s="131">
        <f>'04-22-Master'!AC34</f>
        <v>1554.6089999999999</v>
      </c>
      <c r="I28" s="129" t="s">
        <v>37</v>
      </c>
      <c r="J28" s="129" t="s">
        <v>37</v>
      </c>
      <c r="K28" s="129" t="s">
        <v>37</v>
      </c>
      <c r="L28" s="129" t="s">
        <v>37</v>
      </c>
      <c r="M28" s="131">
        <f t="shared" si="2"/>
        <v>1554.6089999999999</v>
      </c>
      <c r="N28" s="131">
        <f t="shared" si="3"/>
        <v>1554.6089999999999</v>
      </c>
      <c r="O28" s="873">
        <f>'04-22-Master'!AP34</f>
        <v>44686</v>
      </c>
      <c r="P28" s="132" t="str">
        <f>'04-22-Master'!AQ34</f>
        <v>CITI Bank</v>
      </c>
      <c r="Q28" s="299" t="str">
        <f>'04-22-Master'!AR34</f>
        <v>5708925554</v>
      </c>
    </row>
    <row r="29" spans="1:17" s="390" customFormat="1" ht="30">
      <c r="A29" s="129">
        <v>20</v>
      </c>
      <c r="B29" s="132" t="str">
        <f>'04-22-Master'!P35</f>
        <v xml:space="preserve">AbdulSaleem Sunkesula </v>
      </c>
      <c r="C29" s="130" t="str">
        <f>'04-22-Master'!E35</f>
        <v>Sunkesula Sowdayya</v>
      </c>
      <c r="D29" s="129" t="s">
        <v>175</v>
      </c>
      <c r="E29" s="338" t="str">
        <f>'04-22-Master'!F35</f>
        <v>Technical Consultant</v>
      </c>
      <c r="F29" s="131">
        <f>'04-22-Master'!Q35</f>
        <v>11</v>
      </c>
      <c r="G29" s="131">
        <f>'04-22-Master'!AG35</f>
        <v>31590.618226000002</v>
      </c>
      <c r="H29" s="131">
        <f>'04-22-Master'!AC35</f>
        <v>1554.6089999999999</v>
      </c>
      <c r="I29" s="129" t="s">
        <v>37</v>
      </c>
      <c r="J29" s="129" t="s">
        <v>37</v>
      </c>
      <c r="K29" s="129" t="s">
        <v>37</v>
      </c>
      <c r="L29" s="129" t="s">
        <v>37</v>
      </c>
      <c r="M29" s="131">
        <f t="shared" si="2"/>
        <v>1554.6089999999999</v>
      </c>
      <c r="N29" s="131">
        <f t="shared" si="3"/>
        <v>1554.6089999999999</v>
      </c>
      <c r="O29" s="873">
        <f>'04-22-Master'!AP35</f>
        <v>44686</v>
      </c>
      <c r="P29" s="132" t="str">
        <f>'04-22-Master'!AQ35</f>
        <v>SBI</v>
      </c>
      <c r="Q29" s="299" t="str">
        <f>'04-22-Master'!AR35</f>
        <v>20029285687</v>
      </c>
    </row>
    <row r="30" spans="1:17" s="390" customFormat="1" ht="15.75">
      <c r="A30" s="1097">
        <v>21</v>
      </c>
      <c r="B30" s="132" t="str">
        <f>'04-22-Master'!P36</f>
        <v xml:space="preserve">SADHAMHUSSAIN </v>
      </c>
      <c r="C30" s="130" t="str">
        <f>'04-22-Master'!E36</f>
        <v>Shahul Hameed</v>
      </c>
      <c r="D30" s="129" t="s">
        <v>175</v>
      </c>
      <c r="E30" s="338" t="str">
        <f>'04-22-Master'!F36</f>
        <v>Security Administrator</v>
      </c>
      <c r="F30" s="131">
        <f>'04-22-Master'!Q36</f>
        <v>6</v>
      </c>
      <c r="G30" s="131">
        <f>'04-22-Master'!AG36</f>
        <v>30989.297623999999</v>
      </c>
      <c r="H30" s="131">
        <f>'04-22-Master'!AC36</f>
        <v>1554.6089999999999</v>
      </c>
      <c r="I30" s="129" t="s">
        <v>37</v>
      </c>
      <c r="J30" s="129" t="s">
        <v>37</v>
      </c>
      <c r="K30" s="129" t="s">
        <v>37</v>
      </c>
      <c r="L30" s="129" t="s">
        <v>37</v>
      </c>
      <c r="M30" s="131">
        <f t="shared" si="2"/>
        <v>1554.6089999999999</v>
      </c>
      <c r="N30" s="131">
        <f t="shared" si="3"/>
        <v>1554.6089999999999</v>
      </c>
      <c r="O30" s="873">
        <f>'04-22-Master'!AP36</f>
        <v>44686</v>
      </c>
      <c r="P30" s="132" t="str">
        <f>'04-22-Master'!AQ36</f>
        <v>HDFC BANK</v>
      </c>
      <c r="Q30" s="299" t="str">
        <f>'04-22-Master'!AR36</f>
        <v>50100271012409</v>
      </c>
    </row>
    <row r="31" spans="1:17" s="390" customFormat="1" ht="15.75">
      <c r="A31" s="1097"/>
      <c r="B31" s="132"/>
      <c r="C31" s="130"/>
      <c r="D31" s="129"/>
      <c r="E31" s="338"/>
      <c r="F31" s="131"/>
      <c r="G31" s="131"/>
      <c r="H31" s="131"/>
      <c r="I31" s="129"/>
      <c r="J31" s="129"/>
      <c r="K31" s="129"/>
      <c r="L31" s="129"/>
      <c r="M31" s="131"/>
      <c r="N31" s="131"/>
      <c r="O31" s="873"/>
      <c r="P31" s="132"/>
      <c r="Q31" s="299"/>
    </row>
    <row r="32" spans="1:17" s="390" customFormat="1" ht="15.75">
      <c r="A32" s="331"/>
      <c r="B32" s="332"/>
      <c r="C32" s="333"/>
      <c r="D32" s="331"/>
      <c r="E32" s="445"/>
      <c r="F32" s="335"/>
      <c r="G32" s="335"/>
      <c r="H32" s="335"/>
      <c r="I32" s="331"/>
      <c r="J32" s="331"/>
      <c r="K32" s="331"/>
      <c r="L32" s="331"/>
      <c r="M32" s="335"/>
      <c r="N32" s="335"/>
      <c r="O32" s="336"/>
      <c r="P32" s="332"/>
      <c r="Q32" s="337"/>
    </row>
    <row r="33" spans="1:17" s="390" customFormat="1" ht="15.75">
      <c r="A33" s="331"/>
      <c r="B33" s="332"/>
      <c r="C33" s="333"/>
      <c r="D33" s="331"/>
      <c r="E33" s="334"/>
      <c r="F33" s="335"/>
      <c r="G33" s="335"/>
      <c r="H33" s="335"/>
      <c r="I33" s="331"/>
      <c r="J33" s="331"/>
      <c r="K33" s="331"/>
      <c r="L33" s="331"/>
      <c r="M33" s="335"/>
      <c r="N33" s="335"/>
      <c r="O33" s="336"/>
      <c r="P33" s="332"/>
      <c r="Q33" s="337"/>
    </row>
    <row r="34" spans="1:17" s="339" customFormat="1">
      <c r="A34" s="6"/>
      <c r="B34" s="14"/>
      <c r="C34"/>
      <c r="D34"/>
      <c r="E34" s="6"/>
      <c r="F34" s="6"/>
      <c r="G34" s="6"/>
      <c r="H34"/>
      <c r="I34"/>
      <c r="J34"/>
      <c r="K34"/>
      <c r="L34" t="s">
        <v>38</v>
      </c>
      <c r="M34"/>
      <c r="N34"/>
      <c r="O34"/>
      <c r="P34"/>
      <c r="Q34"/>
    </row>
    <row r="35" spans="1:17">
      <c r="A35" s="6"/>
      <c r="B35" s="14"/>
      <c r="E35" s="6"/>
      <c r="F35" s="6"/>
      <c r="G35" s="6"/>
    </row>
    <row r="36" spans="1:17">
      <c r="A36" s="6"/>
      <c r="B36" s="14"/>
      <c r="E36" s="6"/>
      <c r="F36" s="6"/>
      <c r="G36" s="6"/>
    </row>
    <row r="37" spans="1:17">
      <c r="A37" s="6"/>
      <c r="B37" s="14"/>
      <c r="E37" s="6"/>
      <c r="F37" s="6"/>
      <c r="G37" s="6"/>
    </row>
    <row r="38" spans="1:17">
      <c r="A38" s="6"/>
      <c r="B38" s="14"/>
      <c r="E38" s="6"/>
      <c r="F38" s="6"/>
      <c r="G38" s="6"/>
    </row>
    <row r="39" spans="1:17">
      <c r="A39" s="6"/>
      <c r="B39" s="14"/>
      <c r="E39" s="6"/>
      <c r="F39" s="6"/>
      <c r="G39" s="6"/>
    </row>
    <row r="40" spans="1:17">
      <c r="A40" s="6"/>
      <c r="B40" s="14"/>
      <c r="E40" s="6"/>
      <c r="F40" s="6"/>
      <c r="G40" s="6"/>
    </row>
    <row r="41" spans="1:17">
      <c r="A41" s="6"/>
      <c r="B41" s="14"/>
      <c r="E41" s="6"/>
      <c r="F41" s="6"/>
      <c r="G41" s="6"/>
    </row>
    <row r="42" spans="1:17">
      <c r="A42" s="6"/>
      <c r="B42" s="14"/>
      <c r="E42" s="6"/>
      <c r="F42" s="6"/>
      <c r="G42" s="6"/>
    </row>
    <row r="43" spans="1:17">
      <c r="A43" s="6"/>
      <c r="B43" s="14"/>
      <c r="E43" s="6"/>
      <c r="F43" s="6"/>
      <c r="G43" s="6"/>
    </row>
    <row r="44" spans="1:17">
      <c r="A44" s="6"/>
      <c r="B44" s="14"/>
      <c r="E44" s="6"/>
      <c r="F44" s="6"/>
      <c r="G44" s="6"/>
    </row>
    <row r="45" spans="1:17">
      <c r="A45" s="6"/>
      <c r="B45" s="14"/>
      <c r="E45" s="6"/>
      <c r="F45" s="6"/>
      <c r="G45" s="6"/>
    </row>
    <row r="46" spans="1:17">
      <c r="A46" s="6"/>
      <c r="B46" s="14"/>
      <c r="E46" s="6"/>
      <c r="F46" s="6"/>
      <c r="G46" s="6"/>
    </row>
    <row r="47" spans="1:17">
      <c r="A47" s="6"/>
      <c r="B47" s="14"/>
      <c r="E47" s="6"/>
      <c r="F47" s="6"/>
      <c r="G47" s="6"/>
    </row>
    <row r="48" spans="1:17">
      <c r="A48" s="6"/>
      <c r="B48" s="14"/>
      <c r="E48" s="6"/>
      <c r="F48" s="6"/>
      <c r="G48" s="6"/>
    </row>
    <row r="49" spans="1:7">
      <c r="A49" s="6"/>
      <c r="B49" s="14"/>
      <c r="E49" s="6"/>
      <c r="F49" s="6"/>
      <c r="G49" s="6"/>
    </row>
    <row r="50" spans="1:7">
      <c r="A50" s="6"/>
      <c r="B50" s="14"/>
      <c r="E50" s="6"/>
      <c r="F50" s="6"/>
      <c r="G50" s="6"/>
    </row>
  </sheetData>
  <mergeCells count="16">
    <mergeCell ref="P7:P8"/>
    <mergeCell ref="A1:P1"/>
    <mergeCell ref="A3:P3"/>
    <mergeCell ref="A7:A8"/>
    <mergeCell ref="B7:B8"/>
    <mergeCell ref="C7:C8"/>
    <mergeCell ref="D7:D8"/>
    <mergeCell ref="E7:E8"/>
    <mergeCell ref="F7:F8"/>
    <mergeCell ref="G7:G8"/>
    <mergeCell ref="H7:H8"/>
    <mergeCell ref="I7:K7"/>
    <mergeCell ref="L7:L8"/>
    <mergeCell ref="M7:M8"/>
    <mergeCell ref="N7:N8"/>
    <mergeCell ref="O7:O8"/>
  </mergeCells>
  <pageMargins left="0.7" right="0.7" top="0.75" bottom="0.75" header="0.3" footer="0.3"/>
  <pageSetup scale="60"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41"/>
  <sheetViews>
    <sheetView zoomScaleSheetLayoutView="100" workbookViewId="0">
      <selection activeCell="F15" sqref="F15"/>
    </sheetView>
  </sheetViews>
  <sheetFormatPr defaultRowHeight="15"/>
  <cols>
    <col min="1" max="1" width="5.28515625" customWidth="1"/>
    <col min="3" max="3" width="12.5703125" customWidth="1"/>
    <col min="4" max="4" width="44.28515625" customWidth="1"/>
    <col min="13" max="13" width="16.7109375" customWidth="1"/>
  </cols>
  <sheetData>
    <row r="1" spans="1:13">
      <c r="A1" s="1305" t="s">
        <v>69</v>
      </c>
      <c r="B1" s="1305"/>
      <c r="C1" s="1305"/>
      <c r="D1" s="1305"/>
      <c r="E1" s="1305"/>
      <c r="F1" s="1305"/>
      <c r="G1" s="1305"/>
      <c r="H1" s="1305"/>
      <c r="I1" s="1305"/>
      <c r="J1" s="1305"/>
      <c r="K1" s="1305"/>
      <c r="L1" s="1305"/>
      <c r="M1" s="1305"/>
    </row>
    <row r="2" spans="1:13">
      <c r="A2" s="1305"/>
      <c r="B2" s="1305"/>
      <c r="C2" s="1305"/>
      <c r="D2" s="1305"/>
      <c r="E2" s="1305"/>
      <c r="F2" s="1305"/>
      <c r="G2" s="1305"/>
      <c r="H2" s="1305"/>
      <c r="I2" s="1305"/>
      <c r="J2" s="1305"/>
      <c r="K2" s="1305"/>
      <c r="L2" s="1305"/>
      <c r="M2" s="1305"/>
    </row>
    <row r="3" spans="1:13">
      <c r="A3" s="1306" t="s">
        <v>101</v>
      </c>
      <c r="B3" s="1306"/>
      <c r="C3" s="1306"/>
      <c r="D3" s="1306"/>
      <c r="E3" s="1306"/>
      <c r="F3" s="1306"/>
      <c r="G3" s="1306"/>
      <c r="H3" s="1306"/>
      <c r="I3" s="1306"/>
      <c r="J3" s="1306"/>
      <c r="K3" s="1306"/>
      <c r="L3" s="1306"/>
      <c r="M3" s="1306"/>
    </row>
    <row r="4" spans="1:13" ht="15" customHeight="1">
      <c r="A4" s="31" t="s">
        <v>397</v>
      </c>
      <c r="B4" s="32"/>
      <c r="C4" s="32"/>
      <c r="D4" s="33" t="str">
        <f>'04-22-Master'!F5</f>
        <v>Burgeon IT Services Pvt.Ltd.</v>
      </c>
      <c r="E4" s="67" t="s">
        <v>85</v>
      </c>
      <c r="F4" s="68"/>
      <c r="G4" s="68"/>
      <c r="H4" s="68"/>
      <c r="I4" s="68"/>
      <c r="J4" s="68"/>
      <c r="K4" s="68"/>
      <c r="L4" s="68"/>
      <c r="M4" s="66"/>
    </row>
    <row r="5" spans="1:13">
      <c r="A5" s="34"/>
      <c r="B5" s="35" t="str">
        <f>'04-22-Master'!F6</f>
        <v>Siri Mansion LIGB 436 Dr.A S Rao Nagar,Hyderabad</v>
      </c>
      <c r="C5" s="35"/>
      <c r="D5" s="36"/>
      <c r="E5" s="49"/>
      <c r="F5" s="65"/>
      <c r="G5" s="65"/>
      <c r="H5" s="65"/>
      <c r="I5" s="65"/>
      <c r="J5" s="65"/>
      <c r="K5" s="65"/>
      <c r="L5" s="65"/>
      <c r="M5" s="66"/>
    </row>
    <row r="6" spans="1:13">
      <c r="A6" s="37"/>
      <c r="B6" s="38">
        <f>'04-22-Master'!F7</f>
        <v>0</v>
      </c>
      <c r="C6" s="38"/>
      <c r="D6" s="39"/>
      <c r="E6" s="36"/>
      <c r="F6" s="38"/>
      <c r="G6" s="38"/>
      <c r="H6" s="38"/>
      <c r="I6" s="38"/>
      <c r="J6" s="38"/>
      <c r="K6" s="38"/>
      <c r="L6" s="38"/>
      <c r="M6" s="39"/>
    </row>
    <row r="7" spans="1:13">
      <c r="A7" s="40" t="s">
        <v>84</v>
      </c>
      <c r="B7" s="32"/>
      <c r="C7" s="32"/>
      <c r="D7" s="33" t="str">
        <f>'04-22-Master'!F8</f>
        <v>IT SUPPORTIVE SERVICES &amp; HYDERABAD SEZ</v>
      </c>
      <c r="E7" s="40" t="s">
        <v>70</v>
      </c>
      <c r="F7" s="32"/>
      <c r="G7" s="32"/>
      <c r="H7" s="32"/>
      <c r="I7" s="32"/>
      <c r="J7" s="32"/>
      <c r="K7" s="32"/>
      <c r="L7" s="32"/>
      <c r="M7" s="33"/>
    </row>
    <row r="8" spans="1:13">
      <c r="A8" s="34"/>
      <c r="B8" s="35"/>
      <c r="C8" s="35"/>
      <c r="D8" s="36"/>
      <c r="E8" s="41" t="str">
        <f>'04-22-Master'!AJ10</f>
        <v>INFOSYS  LTD.IL Hyderabad SEZ</v>
      </c>
      <c r="F8" s="35"/>
      <c r="G8" s="35"/>
      <c r="H8" s="35"/>
      <c r="I8" s="35"/>
      <c r="J8" s="35"/>
      <c r="K8" s="35"/>
      <c r="L8" s="35"/>
      <c r="M8" s="36"/>
    </row>
    <row r="9" spans="1:13">
      <c r="A9" s="34"/>
      <c r="B9" s="35"/>
      <c r="C9" s="35"/>
      <c r="D9" s="36"/>
      <c r="E9" s="34" t="str">
        <f>'04-22-Master'!AJ11</f>
        <v>Sy.No 42,Pocharam Village,Gatkesar Mandal</v>
      </c>
      <c r="F9" s="35"/>
      <c r="G9" s="35"/>
      <c r="H9" s="35"/>
      <c r="I9" s="35"/>
      <c r="J9" s="35"/>
      <c r="K9" s="35"/>
      <c r="L9" s="35"/>
      <c r="M9" s="36"/>
    </row>
    <row r="10" spans="1:13">
      <c r="A10" s="37"/>
      <c r="B10" s="38"/>
      <c r="C10" s="38"/>
      <c r="D10" s="39"/>
      <c r="E10" s="37"/>
      <c r="F10" s="38"/>
      <c r="G10" s="38"/>
      <c r="H10" s="38"/>
      <c r="I10" s="38"/>
      <c r="J10" s="38"/>
      <c r="K10" s="38"/>
      <c r="L10" s="38"/>
      <c r="M10" s="39"/>
    </row>
    <row r="11" spans="1:13" ht="38.25">
      <c r="A11" s="1304" t="s">
        <v>5</v>
      </c>
      <c r="B11" s="1304" t="s">
        <v>71</v>
      </c>
      <c r="C11" s="42" t="s">
        <v>72</v>
      </c>
      <c r="D11" s="1303" t="s">
        <v>73</v>
      </c>
      <c r="E11" s="1303" t="s">
        <v>74</v>
      </c>
      <c r="F11" s="1303" t="s">
        <v>75</v>
      </c>
      <c r="G11" s="1303" t="s">
        <v>76</v>
      </c>
      <c r="H11" s="1303" t="s">
        <v>77</v>
      </c>
      <c r="I11" s="1303" t="s">
        <v>78</v>
      </c>
      <c r="J11" s="1304" t="s">
        <v>79</v>
      </c>
      <c r="K11" s="1304"/>
      <c r="L11" s="1304"/>
      <c r="M11" s="43" t="s">
        <v>41</v>
      </c>
    </row>
    <row r="12" spans="1:13" ht="38.25">
      <c r="A12" s="1304"/>
      <c r="B12" s="1304"/>
      <c r="C12" s="44"/>
      <c r="D12" s="1303"/>
      <c r="E12" s="1303"/>
      <c r="F12" s="1303"/>
      <c r="G12" s="1303"/>
      <c r="H12" s="1303"/>
      <c r="I12" s="1303"/>
      <c r="J12" s="45" t="s">
        <v>80</v>
      </c>
      <c r="K12" s="45" t="s">
        <v>81</v>
      </c>
      <c r="L12" s="45" t="s">
        <v>82</v>
      </c>
      <c r="M12" s="46"/>
    </row>
    <row r="13" spans="1:13">
      <c r="A13" s="47">
        <v>1</v>
      </c>
      <c r="B13" s="47">
        <v>2</v>
      </c>
      <c r="C13" s="47">
        <v>3</v>
      </c>
      <c r="D13" s="47">
        <v>4</v>
      </c>
      <c r="E13" s="47">
        <v>5</v>
      </c>
      <c r="F13" s="47">
        <v>6</v>
      </c>
      <c r="G13" s="47">
        <v>7</v>
      </c>
      <c r="H13" s="47">
        <v>8</v>
      </c>
      <c r="I13" s="47">
        <v>9</v>
      </c>
      <c r="J13" s="47">
        <v>10</v>
      </c>
      <c r="K13" s="47">
        <v>11</v>
      </c>
      <c r="L13" s="47">
        <v>12</v>
      </c>
      <c r="M13" s="47">
        <v>13</v>
      </c>
    </row>
    <row r="14" spans="1:13">
      <c r="A14" s="48"/>
      <c r="B14" s="48"/>
      <c r="C14" s="48"/>
      <c r="D14" s="48"/>
      <c r="E14" s="48"/>
      <c r="F14" s="48"/>
      <c r="G14" s="48"/>
      <c r="H14" s="48"/>
      <c r="I14" s="48"/>
      <c r="J14" s="48"/>
      <c r="K14" s="48"/>
      <c r="L14" s="48"/>
      <c r="M14" s="48"/>
    </row>
    <row r="15" spans="1:13" ht="15.75" thickBot="1">
      <c r="A15" s="48"/>
      <c r="B15" s="51"/>
      <c r="C15" s="51"/>
      <c r="D15" s="51"/>
      <c r="E15" s="51"/>
      <c r="F15" s="51"/>
      <c r="G15" s="51"/>
      <c r="H15" s="51"/>
      <c r="I15" s="51"/>
      <c r="J15" s="51"/>
      <c r="K15" s="51"/>
      <c r="L15" s="51"/>
      <c r="M15" s="51"/>
    </row>
    <row r="16" spans="1:13" ht="15.75" thickBot="1">
      <c r="A16" s="50"/>
      <c r="B16" s="53" t="s">
        <v>398</v>
      </c>
      <c r="C16" s="383"/>
      <c r="D16" s="383"/>
      <c r="E16" s="383"/>
      <c r="F16" s="383"/>
      <c r="G16" s="384"/>
      <c r="H16" s="385">
        <f>'04-22-Master'!D10</f>
        <v>44652</v>
      </c>
      <c r="I16" s="48"/>
      <c r="J16" s="48"/>
      <c r="K16" s="48"/>
      <c r="L16" s="48"/>
      <c r="M16" s="48"/>
    </row>
    <row r="17" spans="1:13">
      <c r="A17" s="48"/>
      <c r="B17" s="64"/>
      <c r="C17" s="64"/>
      <c r="D17" s="64"/>
      <c r="E17" s="64"/>
      <c r="F17" s="64"/>
      <c r="G17" s="64"/>
      <c r="H17" s="64"/>
      <c r="I17" s="52"/>
      <c r="J17" s="52"/>
      <c r="K17" s="52"/>
      <c r="L17" s="52"/>
      <c r="M17" s="52"/>
    </row>
    <row r="18" spans="1:13" ht="15.75" thickBot="1">
      <c r="A18" s="48"/>
      <c r="B18" s="374"/>
      <c r="C18" s="374"/>
      <c r="D18" s="374"/>
      <c r="E18" s="374"/>
      <c r="F18" s="374"/>
      <c r="G18" s="374"/>
      <c r="H18" s="374"/>
      <c r="I18" s="48"/>
      <c r="J18" s="48"/>
      <c r="K18" s="48"/>
      <c r="L18" s="48"/>
      <c r="M18" s="48"/>
    </row>
    <row r="19" spans="1:13" ht="15.75" thickBot="1">
      <c r="A19" s="48"/>
      <c r="B19" s="374"/>
      <c r="C19" s="383"/>
      <c r="D19" s="374"/>
      <c r="E19" s="374"/>
      <c r="F19" s="374"/>
      <c r="G19" s="374"/>
      <c r="H19" s="374"/>
      <c r="I19" s="48"/>
      <c r="J19" s="48"/>
      <c r="K19" s="48"/>
      <c r="L19" s="48"/>
      <c r="M19" s="48"/>
    </row>
    <row r="20" spans="1:13">
      <c r="A20" s="48"/>
      <c r="B20" s="386"/>
      <c r="C20" s="374"/>
      <c r="D20" s="374"/>
      <c r="E20" s="374"/>
      <c r="F20" s="374"/>
      <c r="G20" s="374"/>
      <c r="H20" s="374"/>
      <c r="I20" s="48"/>
      <c r="J20" s="48"/>
      <c r="K20" s="48"/>
      <c r="L20" s="48"/>
      <c r="M20" s="48"/>
    </row>
    <row r="21" spans="1:13">
      <c r="A21" s="48"/>
      <c r="B21" s="374"/>
      <c r="C21" s="374"/>
      <c r="D21" s="374"/>
      <c r="E21" s="374"/>
      <c r="F21" s="374"/>
      <c r="G21" s="374"/>
      <c r="H21" s="374"/>
      <c r="I21" s="48"/>
      <c r="J21" s="48"/>
      <c r="K21" s="48"/>
      <c r="L21" s="48"/>
      <c r="M21" s="48"/>
    </row>
    <row r="22" spans="1:13">
      <c r="A22" s="48"/>
      <c r="B22" s="374" t="s">
        <v>83</v>
      </c>
      <c r="C22" s="374"/>
      <c r="D22" s="374"/>
      <c r="E22" s="374"/>
      <c r="F22" s="374"/>
      <c r="G22" s="374"/>
      <c r="H22" s="374"/>
      <c r="I22" s="48"/>
      <c r="J22" s="48"/>
      <c r="K22" s="48"/>
      <c r="L22" s="48"/>
      <c r="M22" s="48"/>
    </row>
    <row r="23" spans="1:13">
      <c r="A23" s="48"/>
      <c r="B23" s="435"/>
      <c r="C23" s="435"/>
      <c r="D23" s="435"/>
      <c r="E23" s="435"/>
      <c r="F23" s="435"/>
      <c r="G23" s="294"/>
      <c r="H23" s="294"/>
      <c r="I23" s="294"/>
      <c r="J23" s="294"/>
      <c r="K23" s="294"/>
      <c r="L23" s="294"/>
      <c r="M23" s="294"/>
    </row>
    <row r="24" spans="1:13">
      <c r="A24" s="48"/>
      <c r="B24" s="435"/>
      <c r="C24" s="435"/>
      <c r="D24" s="435"/>
      <c r="E24" s="435"/>
      <c r="F24" s="435"/>
      <c r="G24" s="294"/>
      <c r="H24" s="294"/>
      <c r="I24" s="294"/>
      <c r="J24" s="294"/>
      <c r="K24" s="294"/>
      <c r="L24" s="294"/>
      <c r="M24" s="294"/>
    </row>
    <row r="25" spans="1:13">
      <c r="A25" s="48"/>
      <c r="B25" s="435"/>
      <c r="C25" s="435"/>
      <c r="D25" s="435"/>
      <c r="E25" s="435"/>
      <c r="F25" s="435"/>
      <c r="G25" s="294"/>
      <c r="H25" s="294"/>
      <c r="I25" s="294"/>
      <c r="J25" s="294"/>
      <c r="K25" s="294"/>
      <c r="L25" s="294"/>
      <c r="M25" s="294"/>
    </row>
    <row r="26" spans="1:13">
      <c r="A26" s="48"/>
      <c r="B26" s="435"/>
      <c r="C26" s="435"/>
      <c r="D26" s="435"/>
      <c r="E26" s="435"/>
      <c r="F26" s="435"/>
      <c r="G26" s="294"/>
      <c r="H26" s="294"/>
      <c r="I26" s="294"/>
      <c r="J26" s="294"/>
      <c r="K26" s="294"/>
      <c r="L26" s="294"/>
      <c r="M26" s="294"/>
    </row>
    <row r="27" spans="1:13">
      <c r="A27" s="48"/>
      <c r="B27" s="435"/>
      <c r="C27" s="435"/>
      <c r="D27" s="435"/>
      <c r="E27" s="435"/>
      <c r="F27" s="435"/>
      <c r="G27" s="294"/>
      <c r="H27" s="294"/>
      <c r="I27" s="294"/>
      <c r="J27" s="294"/>
      <c r="K27" s="294"/>
      <c r="L27" s="294"/>
      <c r="M27" s="294"/>
    </row>
    <row r="28" spans="1:13">
      <c r="A28" s="48"/>
      <c r="B28" s="435"/>
      <c r="C28" s="435"/>
      <c r="D28" s="435"/>
      <c r="E28" s="435"/>
      <c r="F28" s="435"/>
      <c r="G28" s="294"/>
      <c r="H28" s="294"/>
      <c r="I28" s="294"/>
      <c r="J28" s="294"/>
      <c r="K28" s="294"/>
      <c r="L28" s="294"/>
      <c r="M28" s="294"/>
    </row>
    <row r="29" spans="1:13">
      <c r="A29" s="48"/>
      <c r="B29" s="435"/>
      <c r="C29" s="435"/>
      <c r="D29" s="435"/>
      <c r="E29" s="435"/>
      <c r="F29" s="435"/>
      <c r="G29" s="294"/>
      <c r="H29" s="294"/>
      <c r="I29" s="294"/>
      <c r="J29" s="294"/>
      <c r="K29" s="294"/>
      <c r="L29" s="294"/>
      <c r="M29" s="294"/>
    </row>
    <row r="30" spans="1:13">
      <c r="A30" s="48"/>
      <c r="B30" s="435"/>
      <c r="C30" s="435"/>
      <c r="D30" s="435"/>
      <c r="E30" s="435"/>
      <c r="F30" s="435"/>
      <c r="G30" s="294"/>
      <c r="H30" s="294"/>
      <c r="I30" s="294"/>
      <c r="J30" s="294"/>
      <c r="K30" s="294"/>
      <c r="L30" s="294"/>
      <c r="M30" s="294"/>
    </row>
    <row r="31" spans="1:13">
      <c r="A31" s="48"/>
      <c r="B31" s="435"/>
      <c r="C31" s="435"/>
      <c r="D31" s="435"/>
      <c r="E31" s="435"/>
      <c r="F31" s="435"/>
      <c r="G31" s="294"/>
      <c r="H31" s="294"/>
      <c r="I31" s="294"/>
      <c r="J31" s="294"/>
      <c r="K31" s="294"/>
      <c r="L31" s="294"/>
      <c r="M31" s="294"/>
    </row>
    <row r="32" spans="1:13">
      <c r="A32" s="48"/>
      <c r="B32" s="435"/>
      <c r="C32" s="435"/>
      <c r="D32" s="435"/>
      <c r="E32" s="435"/>
      <c r="F32" s="435"/>
      <c r="G32" s="294"/>
      <c r="H32" s="294"/>
      <c r="I32" s="294"/>
      <c r="J32" s="294"/>
      <c r="K32" s="294"/>
      <c r="L32" s="294"/>
      <c r="M32" s="294"/>
    </row>
    <row r="33" spans="1:13">
      <c r="A33" s="48"/>
      <c r="B33" s="48"/>
      <c r="C33" s="48"/>
      <c r="D33" s="48"/>
      <c r="E33" s="48"/>
      <c r="F33" s="48"/>
      <c r="G33" s="48"/>
      <c r="H33" s="48"/>
      <c r="I33" s="435"/>
      <c r="J33" s="435"/>
      <c r="K33" s="435"/>
      <c r="L33" s="435"/>
      <c r="M33" s="435"/>
    </row>
    <row r="34" spans="1:13">
      <c r="A34" s="48"/>
      <c r="B34" s="48"/>
      <c r="C34" s="48"/>
      <c r="D34" s="48"/>
      <c r="E34" s="48"/>
      <c r="F34" s="48"/>
      <c r="G34" s="48"/>
      <c r="H34" s="48"/>
      <c r="I34" s="435"/>
      <c r="J34" s="435"/>
      <c r="K34" s="435"/>
      <c r="L34" s="435"/>
      <c r="M34" s="435"/>
    </row>
    <row r="35" spans="1:13">
      <c r="A35" s="48"/>
      <c r="B35" s="48"/>
      <c r="C35" s="48"/>
      <c r="D35" s="48"/>
      <c r="E35" s="48"/>
      <c r="F35" s="48"/>
      <c r="G35" s="48"/>
      <c r="H35" s="48"/>
      <c r="I35" s="435"/>
      <c r="J35" s="435"/>
      <c r="K35" s="435"/>
      <c r="L35" s="435"/>
      <c r="M35" s="435"/>
    </row>
    <row r="37" spans="1:13" s="339" customFormat="1"/>
    <row r="38" spans="1:13" s="339" customFormat="1"/>
    <row r="39" spans="1:13" s="339" customFormat="1"/>
    <row r="40" spans="1:13" s="339" customFormat="1"/>
    <row r="41" spans="1:13">
      <c r="J41" t="s">
        <v>38</v>
      </c>
    </row>
  </sheetData>
  <protectedRanges>
    <protectedRange password="CA4D" sqref="E5 A1:D13 E1:M3 E6:M13" name="Range1"/>
  </protectedRanges>
  <mergeCells count="11">
    <mergeCell ref="H11:H12"/>
    <mergeCell ref="I11:I12"/>
    <mergeCell ref="J11:L11"/>
    <mergeCell ref="A1:M2"/>
    <mergeCell ref="A3:M3"/>
    <mergeCell ref="A11:A12"/>
    <mergeCell ref="B11:B12"/>
    <mergeCell ref="D11:D12"/>
    <mergeCell ref="E11:E12"/>
    <mergeCell ref="F11:F12"/>
    <mergeCell ref="G11:G12"/>
  </mergeCells>
  <pageMargins left="0.94488188976377963" right="0.70866141732283472" top="0.74803149606299213" bottom="0.74803149606299213" header="0.31496062992125984" footer="0.31496062992125984"/>
  <pageSetup scale="70" orientation="landscape"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53"/>
  <sheetViews>
    <sheetView workbookViewId="0">
      <selection activeCell="J20" sqref="J20:J21"/>
    </sheetView>
  </sheetViews>
  <sheetFormatPr defaultRowHeight="15"/>
  <cols>
    <col min="1" max="1" width="5.140625" customWidth="1"/>
    <col min="5" max="5" width="22" customWidth="1"/>
    <col min="10" max="10" width="22.140625" customWidth="1"/>
    <col min="11" max="11" width="16.85546875" customWidth="1"/>
  </cols>
  <sheetData>
    <row r="1" spans="1:11" ht="26.25">
      <c r="A1" s="79"/>
      <c r="B1" s="1271" t="s">
        <v>366</v>
      </c>
      <c r="C1" s="1271"/>
      <c r="D1" s="1271"/>
      <c r="E1" s="1271"/>
      <c r="F1" s="1271"/>
      <c r="G1" s="1271"/>
      <c r="H1" s="1271"/>
      <c r="I1" s="1271"/>
      <c r="J1" s="1271"/>
      <c r="K1" s="81"/>
    </row>
    <row r="2" spans="1:11">
      <c r="A2" s="15"/>
      <c r="B2" s="1274" t="s">
        <v>367</v>
      </c>
      <c r="C2" s="1274"/>
      <c r="D2" s="1274"/>
      <c r="E2" s="1274"/>
      <c r="F2" s="1274"/>
      <c r="G2" s="1274"/>
      <c r="H2" s="1274"/>
      <c r="I2" s="1274"/>
      <c r="J2" s="1274"/>
      <c r="K2" s="16"/>
    </row>
    <row r="3" spans="1:11">
      <c r="A3" s="15"/>
      <c r="B3" s="6"/>
      <c r="C3" s="6"/>
      <c r="D3" s="6"/>
      <c r="E3" s="6"/>
      <c r="F3" s="6"/>
      <c r="G3" s="6"/>
      <c r="H3" s="6"/>
      <c r="I3" s="6"/>
      <c r="J3" s="6"/>
      <c r="K3" s="16"/>
    </row>
    <row r="4" spans="1:11" ht="23.25">
      <c r="A4" s="15"/>
      <c r="B4" s="1318" t="s">
        <v>368</v>
      </c>
      <c r="C4" s="1318"/>
      <c r="D4" s="1318"/>
      <c r="E4" s="1318"/>
      <c r="F4" s="1318"/>
      <c r="G4" s="1318"/>
      <c r="H4" s="1318"/>
      <c r="I4" s="1318"/>
      <c r="J4" s="1318"/>
      <c r="K4" s="16"/>
    </row>
    <row r="5" spans="1:11">
      <c r="A5" s="15"/>
      <c r="B5" s="1274"/>
      <c r="C5" s="1274"/>
      <c r="D5" s="1274"/>
      <c r="E5" s="1274"/>
      <c r="F5" s="1274"/>
      <c r="G5" s="1274"/>
      <c r="H5" s="1274"/>
      <c r="I5" s="1274"/>
      <c r="J5" s="1274"/>
      <c r="K5" s="16"/>
    </row>
    <row r="6" spans="1:11" ht="15.75" thickBot="1">
      <c r="A6" s="15"/>
      <c r="B6" s="1316" t="s">
        <v>179</v>
      </c>
      <c r="C6" s="1316"/>
      <c r="D6" s="1316"/>
      <c r="E6" s="1316"/>
      <c r="F6" s="277"/>
      <c r="G6" s="1317" t="s">
        <v>369</v>
      </c>
      <c r="H6" s="1317"/>
      <c r="I6" s="1317"/>
      <c r="J6" s="1317"/>
      <c r="K6" s="16"/>
    </row>
    <row r="7" spans="1:11">
      <c r="A7" s="15"/>
      <c r="B7" s="79"/>
      <c r="C7" s="80"/>
      <c r="D7" s="80"/>
      <c r="E7" s="81"/>
      <c r="F7" s="6"/>
      <c r="G7" s="79"/>
      <c r="H7" s="80"/>
      <c r="I7" s="80"/>
      <c r="J7" s="81"/>
      <c r="K7" s="16"/>
    </row>
    <row r="8" spans="1:11">
      <c r="A8" s="15"/>
      <c r="B8" s="15" t="str">
        <f>'04-22-Master'!F5</f>
        <v>Burgeon IT Services Pvt.Ltd.</v>
      </c>
      <c r="E8" s="16"/>
      <c r="F8" s="6"/>
      <c r="G8" s="15" t="str">
        <f>'04-22-Master'!AJ5</f>
        <v>Burgeon IT Services Pvt.Ltd.</v>
      </c>
      <c r="J8" s="16"/>
      <c r="K8" s="16"/>
    </row>
    <row r="9" spans="1:11">
      <c r="A9" s="15"/>
      <c r="B9" s="15"/>
      <c r="E9" s="16"/>
      <c r="F9" s="6"/>
      <c r="G9" s="15"/>
      <c r="J9" s="16"/>
      <c r="K9" s="16"/>
    </row>
    <row r="10" spans="1:11">
      <c r="A10" s="15"/>
      <c r="B10" s="15" t="str">
        <f>'04-22-Master'!F6</f>
        <v>Siri Mansion LIGB 436 Dr.A S Rao Nagar,Hyderabad</v>
      </c>
      <c r="E10" s="16"/>
      <c r="F10" s="6"/>
      <c r="G10" s="15" t="str">
        <f>'04-22-Master'!AJ6</f>
        <v>Siri Mansion LIGB 436 Dr.A S Rao Nagar,Hyderabad</v>
      </c>
      <c r="J10" s="16"/>
      <c r="K10" s="16"/>
    </row>
    <row r="11" spans="1:11">
      <c r="A11" s="15"/>
      <c r="B11" s="15"/>
      <c r="E11" s="16"/>
      <c r="F11" s="6"/>
      <c r="G11" s="15"/>
      <c r="J11" s="16"/>
      <c r="K11" s="16"/>
    </row>
    <row r="12" spans="1:11" ht="15.75" thickBot="1">
      <c r="A12" s="15"/>
      <c r="B12" s="27"/>
      <c r="C12" s="25"/>
      <c r="D12" s="25"/>
      <c r="E12" s="26"/>
      <c r="F12" s="6"/>
      <c r="G12" s="27"/>
      <c r="H12" s="25"/>
      <c r="I12" s="25"/>
      <c r="J12" s="26"/>
      <c r="K12" s="16"/>
    </row>
    <row r="13" spans="1:11">
      <c r="A13" s="15"/>
      <c r="K13" s="16"/>
    </row>
    <row r="14" spans="1:11" ht="15.75" thickBot="1">
      <c r="A14" s="15"/>
      <c r="B14" s="1316" t="s">
        <v>370</v>
      </c>
      <c r="C14" s="1316"/>
      <c r="D14" s="1316"/>
      <c r="E14" s="1316"/>
      <c r="F14" s="277"/>
      <c r="G14" s="1317" t="s">
        <v>371</v>
      </c>
      <c r="H14" s="1317"/>
      <c r="I14" s="1317"/>
      <c r="J14" s="1317"/>
      <c r="K14" s="16"/>
    </row>
    <row r="15" spans="1:11">
      <c r="A15" s="15"/>
      <c r="B15" s="79"/>
      <c r="C15" s="80"/>
      <c r="D15" s="80"/>
      <c r="E15" s="81"/>
      <c r="F15" s="6"/>
      <c r="G15" s="79"/>
      <c r="H15" s="80"/>
      <c r="I15" s="80"/>
      <c r="J15" s="81"/>
      <c r="K15" s="16"/>
    </row>
    <row r="16" spans="1:11">
      <c r="A16" s="15"/>
      <c r="B16" s="15"/>
      <c r="E16" s="16"/>
      <c r="F16" s="6"/>
      <c r="G16" s="15" t="str">
        <f>'04-22-Master'!AJ10</f>
        <v>INFOSYS  LTD.IL Hyderabad SEZ</v>
      </c>
      <c r="J16" s="16"/>
      <c r="K16" s="16"/>
    </row>
    <row r="17" spans="1:11">
      <c r="A17" s="15"/>
      <c r="B17" s="15"/>
      <c r="E17" s="16"/>
      <c r="F17" s="6"/>
      <c r="G17" s="15"/>
      <c r="J17" s="16"/>
      <c r="K17" s="16"/>
    </row>
    <row r="18" spans="1:11">
      <c r="A18" s="15"/>
      <c r="B18" s="15" t="str">
        <f>'04-22-Master'!F8</f>
        <v>IT SUPPORTIVE SERVICES &amp; HYDERABAD SEZ</v>
      </c>
      <c r="E18" s="16"/>
      <c r="F18" s="6"/>
      <c r="G18" s="15" t="str">
        <f>'04-22-Master'!AJ11</f>
        <v>Sy.No 42,Pocharam Village,Gatkesar Mandal</v>
      </c>
      <c r="J18" s="16"/>
      <c r="K18" s="16"/>
    </row>
    <row r="19" spans="1:11">
      <c r="A19" s="15"/>
      <c r="B19" s="15"/>
      <c r="E19" s="16"/>
      <c r="F19" s="6"/>
      <c r="G19" s="15"/>
      <c r="J19" s="16"/>
      <c r="K19" s="16"/>
    </row>
    <row r="20" spans="1:11" ht="15.75" thickBot="1">
      <c r="A20" s="15"/>
      <c r="B20" s="27"/>
      <c r="C20" s="25"/>
      <c r="D20" s="25"/>
      <c r="E20" s="26"/>
      <c r="F20" s="6"/>
      <c r="G20" s="27"/>
      <c r="H20" s="25"/>
      <c r="I20" s="25"/>
      <c r="J20" s="26"/>
      <c r="K20" s="16"/>
    </row>
    <row r="21" spans="1:11">
      <c r="A21" s="15"/>
      <c r="K21" s="16"/>
    </row>
    <row r="22" spans="1:11">
      <c r="A22" s="15"/>
      <c r="K22" s="16"/>
    </row>
    <row r="23" spans="1:11">
      <c r="A23" s="15"/>
      <c r="B23" s="1313" t="s">
        <v>372</v>
      </c>
      <c r="C23" s="1313"/>
      <c r="D23" s="1313"/>
      <c r="E23" s="1313"/>
      <c r="F23" s="19"/>
      <c r="G23" s="19"/>
      <c r="H23" s="19"/>
      <c r="I23" s="19"/>
      <c r="J23" s="19"/>
      <c r="K23" s="16"/>
    </row>
    <row r="24" spans="1:11">
      <c r="A24" s="15"/>
      <c r="B24" s="278"/>
      <c r="C24" s="278"/>
      <c r="D24" s="278"/>
      <c r="E24" s="278"/>
      <c r="F24" s="65"/>
      <c r="G24" s="65"/>
      <c r="H24" s="65"/>
      <c r="I24" s="65"/>
      <c r="J24" s="65"/>
      <c r="K24" s="16"/>
    </row>
    <row r="25" spans="1:11">
      <c r="A25" s="15"/>
      <c r="B25" s="278"/>
      <c r="C25" s="278"/>
      <c r="D25" s="278"/>
      <c r="E25" s="278"/>
      <c r="F25" s="19"/>
      <c r="G25" s="19"/>
      <c r="H25" s="19"/>
      <c r="I25" s="19"/>
      <c r="J25" s="19"/>
      <c r="K25" s="16"/>
    </row>
    <row r="26" spans="1:11">
      <c r="A26" s="15"/>
      <c r="B26" s="278"/>
      <c r="C26" s="278"/>
      <c r="D26" s="278"/>
      <c r="E26" s="278"/>
      <c r="F26" s="65"/>
      <c r="G26" s="65"/>
      <c r="H26" s="65"/>
      <c r="I26" s="65"/>
      <c r="J26" s="65"/>
      <c r="K26" s="16"/>
    </row>
    <row r="27" spans="1:11">
      <c r="A27" s="15"/>
      <c r="B27" s="278"/>
      <c r="C27" s="278"/>
      <c r="D27" s="278"/>
      <c r="E27" s="278"/>
      <c r="K27" s="16"/>
    </row>
    <row r="28" spans="1:11">
      <c r="A28" s="15"/>
      <c r="B28" s="1313" t="s">
        <v>373</v>
      </c>
      <c r="C28" s="1313"/>
      <c r="D28" s="1313"/>
      <c r="E28" s="1313"/>
      <c r="F28" s="19"/>
      <c r="G28" s="19"/>
      <c r="H28" s="19"/>
      <c r="I28" s="19"/>
      <c r="J28" s="19"/>
      <c r="K28" s="16"/>
    </row>
    <row r="29" spans="1:11">
      <c r="A29" s="15"/>
      <c r="B29" s="278"/>
      <c r="C29" s="278"/>
      <c r="D29" s="278"/>
      <c r="E29" s="278"/>
      <c r="K29" s="16"/>
    </row>
    <row r="30" spans="1:11">
      <c r="A30" s="15"/>
      <c r="B30" s="1313" t="s">
        <v>374</v>
      </c>
      <c r="C30" s="1313"/>
      <c r="D30" s="1313"/>
      <c r="E30" s="1313"/>
      <c r="F30" s="19"/>
      <c r="G30" s="19"/>
      <c r="H30" s="19"/>
      <c r="I30" s="19"/>
      <c r="J30" s="19"/>
      <c r="K30" s="16"/>
    </row>
    <row r="31" spans="1:11">
      <c r="A31" s="15"/>
      <c r="B31" s="278"/>
      <c r="C31" s="278"/>
      <c r="D31" s="278"/>
      <c r="E31" s="278"/>
      <c r="K31" s="16"/>
    </row>
    <row r="32" spans="1:11">
      <c r="A32" s="15"/>
      <c r="B32" s="1313" t="s">
        <v>375</v>
      </c>
      <c r="C32" s="1313"/>
      <c r="D32" s="1313"/>
      <c r="E32" s="1313"/>
      <c r="F32" s="19"/>
      <c r="G32" s="19"/>
      <c r="H32" s="19"/>
      <c r="I32" s="19"/>
      <c r="J32" s="19"/>
      <c r="K32" s="16"/>
    </row>
    <row r="33" spans="1:11">
      <c r="A33" s="15"/>
      <c r="B33" s="278"/>
      <c r="C33" s="278"/>
      <c r="D33" s="278"/>
      <c r="E33" s="278"/>
      <c r="K33" s="16"/>
    </row>
    <row r="34" spans="1:11" ht="15.75" thickBot="1">
      <c r="A34" s="15"/>
      <c r="K34" s="16"/>
    </row>
    <row r="35" spans="1:11">
      <c r="A35" s="15"/>
      <c r="B35" s="1314" t="s">
        <v>376</v>
      </c>
      <c r="C35" s="1308" t="s">
        <v>377</v>
      </c>
      <c r="D35" s="1308"/>
      <c r="E35" s="1308" t="s">
        <v>378</v>
      </c>
      <c r="F35" s="1308"/>
      <c r="G35" s="1308" t="s">
        <v>379</v>
      </c>
      <c r="H35" s="1308"/>
      <c r="I35" s="1308"/>
      <c r="J35" s="1310" t="s">
        <v>41</v>
      </c>
      <c r="K35" s="16"/>
    </row>
    <row r="36" spans="1:11">
      <c r="A36" s="15"/>
      <c r="B36" s="1315"/>
      <c r="C36" s="1309"/>
      <c r="D36" s="1309"/>
      <c r="E36" s="1309"/>
      <c r="F36" s="1309"/>
      <c r="G36" s="1309"/>
      <c r="H36" s="1309"/>
      <c r="I36" s="1309"/>
      <c r="J36" s="1311"/>
      <c r="K36" s="16"/>
    </row>
    <row r="37" spans="1:11">
      <c r="A37" s="15"/>
      <c r="B37" s="1315"/>
      <c r="C37" s="279" t="s">
        <v>380</v>
      </c>
      <c r="D37" s="279" t="s">
        <v>150</v>
      </c>
      <c r="E37" s="1309"/>
      <c r="F37" s="1309"/>
      <c r="G37" s="1309"/>
      <c r="H37" s="1309"/>
      <c r="I37" s="1309"/>
      <c r="J37" s="1311"/>
      <c r="K37" s="16"/>
    </row>
    <row r="38" spans="1:11">
      <c r="A38" s="15"/>
      <c r="B38" s="280">
        <v>1</v>
      </c>
      <c r="C38" s="281">
        <v>2</v>
      </c>
      <c r="D38" s="281">
        <v>3</v>
      </c>
      <c r="E38" s="1312">
        <v>4</v>
      </c>
      <c r="F38" s="1312"/>
      <c r="G38" s="1312">
        <v>5</v>
      </c>
      <c r="H38" s="1312"/>
      <c r="I38" s="1312"/>
      <c r="J38" s="282">
        <v>6</v>
      </c>
      <c r="K38" s="16"/>
    </row>
    <row r="39" spans="1:11">
      <c r="A39" s="15"/>
      <c r="B39" s="281"/>
      <c r="C39" s="281"/>
      <c r="D39" s="281"/>
      <c r="E39" s="1307"/>
      <c r="F39" s="1307"/>
      <c r="G39" s="1307"/>
      <c r="H39" s="1307"/>
      <c r="I39" s="1307"/>
      <c r="J39" s="281"/>
      <c r="K39" s="16"/>
    </row>
    <row r="40" spans="1:11">
      <c r="A40" s="15"/>
      <c r="B40" s="281"/>
      <c r="C40" s="281"/>
      <c r="D40" s="281"/>
      <c r="E40" s="1307"/>
      <c r="F40" s="1307"/>
      <c r="G40" s="1307"/>
      <c r="H40" s="1307"/>
      <c r="I40" s="1307"/>
      <c r="J40" s="281"/>
      <c r="K40" s="16"/>
    </row>
    <row r="41" spans="1:11">
      <c r="A41" s="15"/>
      <c r="B41" s="281"/>
      <c r="C41" s="281"/>
      <c r="D41" s="281"/>
      <c r="E41" s="1307"/>
      <c r="F41" s="1307"/>
      <c r="G41" s="1307"/>
      <c r="H41" s="1307"/>
      <c r="I41" s="1307"/>
      <c r="J41" s="281"/>
      <c r="K41" s="16"/>
    </row>
    <row r="42" spans="1:11">
      <c r="A42" s="15"/>
      <c r="B42" s="13"/>
      <c r="C42" s="13"/>
      <c r="D42" s="13"/>
      <c r="E42" s="1307"/>
      <c r="F42" s="1307"/>
      <c r="G42" s="1307"/>
      <c r="H42" s="1307"/>
      <c r="I42" s="1307"/>
      <c r="J42" s="13"/>
      <c r="K42" s="16"/>
    </row>
    <row r="43" spans="1:11">
      <c r="A43" s="15"/>
      <c r="B43" s="13"/>
      <c r="C43" s="13"/>
      <c r="D43" s="13"/>
      <c r="E43" s="1307"/>
      <c r="F43" s="1307"/>
      <c r="G43" s="1307"/>
      <c r="H43" s="1307"/>
      <c r="I43" s="1307"/>
      <c r="J43" s="13"/>
      <c r="K43" s="16"/>
    </row>
    <row r="44" spans="1:11">
      <c r="A44" s="15"/>
      <c r="B44" s="13"/>
      <c r="C44" s="13"/>
      <c r="D44" s="13"/>
      <c r="E44" s="1307"/>
      <c r="F44" s="1307"/>
      <c r="G44" s="1307"/>
      <c r="H44" s="1307"/>
      <c r="I44" s="1307"/>
      <c r="J44" s="13"/>
      <c r="K44" s="16"/>
    </row>
    <row r="45" spans="1:11">
      <c r="A45" s="15"/>
      <c r="B45" s="13"/>
      <c r="C45" s="13"/>
      <c r="D45" s="13"/>
      <c r="E45" s="1307"/>
      <c r="F45" s="1307"/>
      <c r="G45" s="1307"/>
      <c r="H45" s="1307"/>
      <c r="I45" s="1307"/>
      <c r="J45" s="13"/>
      <c r="K45" s="16"/>
    </row>
    <row r="46" spans="1:11">
      <c r="A46" s="15"/>
      <c r="B46" s="13"/>
      <c r="C46" s="13"/>
      <c r="D46" s="13"/>
      <c r="E46" s="1307"/>
      <c r="F46" s="1307"/>
      <c r="G46" s="1307"/>
      <c r="H46" s="1307"/>
      <c r="I46" s="1307"/>
      <c r="J46" s="13"/>
      <c r="K46" s="16"/>
    </row>
    <row r="47" spans="1:11">
      <c r="A47" s="15"/>
      <c r="B47" s="13"/>
      <c r="C47" s="13"/>
      <c r="D47" s="13"/>
      <c r="E47" s="1307"/>
      <c r="F47" s="1307"/>
      <c r="G47" s="1307"/>
      <c r="H47" s="1307"/>
      <c r="I47" s="1307"/>
      <c r="J47" s="13"/>
      <c r="K47" s="16"/>
    </row>
    <row r="48" spans="1:11">
      <c r="A48" s="15"/>
      <c r="B48" s="13"/>
      <c r="C48" s="13"/>
      <c r="D48" s="13"/>
      <c r="E48" s="1307"/>
      <c r="F48" s="1307"/>
      <c r="G48" s="1307"/>
      <c r="H48" s="1307"/>
      <c r="I48" s="1307"/>
      <c r="J48" s="13"/>
      <c r="K48" s="16"/>
    </row>
    <row r="49" spans="1:11">
      <c r="A49" s="15"/>
      <c r="B49" s="13"/>
      <c r="C49" s="13"/>
      <c r="D49" s="13"/>
      <c r="E49" s="1307"/>
      <c r="F49" s="1307"/>
      <c r="G49" s="1307"/>
      <c r="H49" s="1307"/>
      <c r="I49" s="1307"/>
      <c r="J49" s="13"/>
      <c r="K49" s="16"/>
    </row>
    <row r="50" spans="1:11">
      <c r="A50" s="15"/>
      <c r="K50" s="16"/>
    </row>
    <row r="51" spans="1:11">
      <c r="A51" s="15"/>
      <c r="K51" s="16"/>
    </row>
    <row r="52" spans="1:11" ht="15.75" thickBot="1">
      <c r="A52" s="15"/>
      <c r="H52" s="1266"/>
      <c r="I52" s="1266"/>
      <c r="J52" s="1266"/>
      <c r="K52" s="16"/>
    </row>
    <row r="53" spans="1:11" ht="15.75" thickBot="1">
      <c r="A53" s="27"/>
      <c r="B53" s="25"/>
      <c r="C53" s="25"/>
      <c r="D53" s="25"/>
      <c r="E53" s="25"/>
      <c r="F53" s="25"/>
      <c r="G53" s="25"/>
      <c r="H53" s="283" t="s">
        <v>381</v>
      </c>
      <c r="I53" s="29"/>
      <c r="J53" s="29"/>
      <c r="K53" s="26"/>
    </row>
  </sheetData>
  <mergeCells count="42">
    <mergeCell ref="B14:E14"/>
    <mergeCell ref="G14:J14"/>
    <mergeCell ref="B1:J1"/>
    <mergeCell ref="B2:J2"/>
    <mergeCell ref="B4:J4"/>
    <mergeCell ref="B5:J5"/>
    <mergeCell ref="B6:E6"/>
    <mergeCell ref="G6:J6"/>
    <mergeCell ref="B23:E23"/>
    <mergeCell ref="B28:E28"/>
    <mergeCell ref="B30:E30"/>
    <mergeCell ref="B32:E32"/>
    <mergeCell ref="B35:B37"/>
    <mergeCell ref="C35:D36"/>
    <mergeCell ref="E35:F37"/>
    <mergeCell ref="G35:I37"/>
    <mergeCell ref="J35:J37"/>
    <mergeCell ref="E38:F38"/>
    <mergeCell ref="G38:I38"/>
    <mergeCell ref="E42:F42"/>
    <mergeCell ref="G42:I42"/>
    <mergeCell ref="G43:I43"/>
    <mergeCell ref="E44:F44"/>
    <mergeCell ref="G44:I44"/>
    <mergeCell ref="E45:F45"/>
    <mergeCell ref="G45:I45"/>
    <mergeCell ref="E49:F49"/>
    <mergeCell ref="G49:I49"/>
    <mergeCell ref="H52:J52"/>
    <mergeCell ref="E39:F39"/>
    <mergeCell ref="E40:F40"/>
    <mergeCell ref="E41:F41"/>
    <mergeCell ref="G39:I39"/>
    <mergeCell ref="G40:I40"/>
    <mergeCell ref="G41:I41"/>
    <mergeCell ref="E46:F46"/>
    <mergeCell ref="G46:I46"/>
    <mergeCell ref="E47:F47"/>
    <mergeCell ref="G47:I47"/>
    <mergeCell ref="E48:F48"/>
    <mergeCell ref="G48:I48"/>
    <mergeCell ref="E43:F43"/>
  </mergeCells>
  <pageMargins left="0.94488188976377963" right="0.70866141732283472" top="0.74803149606299213" bottom="0.74803149606299213" header="0.31496062992125984" footer="0.31496062992125984"/>
  <pageSetup scale="6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40"/>
  <sheetViews>
    <sheetView view="pageBreakPreview" zoomScaleSheetLayoutView="100" workbookViewId="0">
      <selection activeCell="B16" sqref="B16:G16"/>
    </sheetView>
  </sheetViews>
  <sheetFormatPr defaultRowHeight="15"/>
  <cols>
    <col min="1" max="1" width="7" customWidth="1"/>
    <col min="4" max="4" width="47.85546875" customWidth="1"/>
    <col min="10" max="10" width="12.140625" customWidth="1"/>
    <col min="11" max="11" width="11.28515625" customWidth="1"/>
    <col min="12" max="12" width="14.5703125" customWidth="1"/>
  </cols>
  <sheetData>
    <row r="1" spans="1:12">
      <c r="A1" s="1324" t="s">
        <v>86</v>
      </c>
      <c r="B1" s="1324"/>
      <c r="C1" s="1324"/>
      <c r="D1" s="1324"/>
      <c r="E1" s="1324"/>
      <c r="F1" s="1324"/>
      <c r="G1" s="1324"/>
      <c r="H1" s="1324"/>
      <c r="I1" s="1324"/>
      <c r="J1" s="1324"/>
      <c r="K1" s="1324"/>
      <c r="L1" s="1324"/>
    </row>
    <row r="2" spans="1:12">
      <c r="A2" s="1324"/>
      <c r="B2" s="1324"/>
      <c r="C2" s="1324"/>
      <c r="D2" s="1324"/>
      <c r="E2" s="1324"/>
      <c r="F2" s="1324"/>
      <c r="G2" s="1324"/>
      <c r="H2" s="1324"/>
      <c r="I2" s="1324"/>
      <c r="J2" s="1324"/>
      <c r="K2" s="1324"/>
      <c r="L2" s="1324"/>
    </row>
    <row r="3" spans="1:12">
      <c r="A3" s="1306" t="s">
        <v>745</v>
      </c>
      <c r="B3" s="1306"/>
      <c r="C3" s="1306"/>
      <c r="D3" s="1306"/>
      <c r="E3" s="1306"/>
      <c r="F3" s="1306"/>
      <c r="G3" s="1306"/>
      <c r="H3" s="1306"/>
      <c r="I3" s="1306"/>
      <c r="J3" s="1306"/>
      <c r="K3" s="1306"/>
      <c r="L3" s="1306"/>
    </row>
    <row r="4" spans="1:12" ht="15" customHeight="1">
      <c r="A4" s="31" t="s">
        <v>397</v>
      </c>
      <c r="B4" s="32"/>
      <c r="C4" s="32"/>
      <c r="D4" s="33" t="str">
        <f>'04-22-Master'!F5</f>
        <v>Burgeon IT Services Pvt.Ltd.</v>
      </c>
      <c r="E4" s="40" t="s">
        <v>85</v>
      </c>
      <c r="F4" s="32"/>
      <c r="G4" s="32"/>
      <c r="H4" s="32"/>
      <c r="I4" s="32"/>
      <c r="J4" s="32"/>
      <c r="K4" s="32"/>
      <c r="L4" s="61"/>
    </row>
    <row r="5" spans="1:12">
      <c r="A5" s="34"/>
      <c r="B5" s="35" t="str">
        <f>'04-22-Master'!F6</f>
        <v>Siri Mansion LIGB 436 Dr.A S Rao Nagar,Hyderabad</v>
      </c>
      <c r="C5" s="35"/>
      <c r="D5" s="36"/>
      <c r="E5" s="49"/>
      <c r="F5" s="65"/>
      <c r="G5" s="65"/>
      <c r="H5" s="65"/>
      <c r="I5" s="65"/>
      <c r="J5" s="65"/>
      <c r="K5" s="65"/>
      <c r="L5" s="66"/>
    </row>
    <row r="6" spans="1:12">
      <c r="A6" s="37"/>
      <c r="B6" s="38">
        <f>'04-22-Master'!F7</f>
        <v>0</v>
      </c>
      <c r="C6" s="38"/>
      <c r="D6" s="39"/>
      <c r="E6" s="64"/>
      <c r="F6" s="38"/>
      <c r="G6" s="38"/>
      <c r="H6" s="38"/>
      <c r="I6" s="38"/>
      <c r="J6" s="38"/>
      <c r="K6" s="38"/>
      <c r="L6" s="39"/>
    </row>
    <row r="7" spans="1:12">
      <c r="A7" s="40" t="s">
        <v>84</v>
      </c>
      <c r="B7" s="32"/>
      <c r="C7" s="32"/>
      <c r="D7" s="33" t="str">
        <f>'04-22-Master'!F8</f>
        <v>IT SUPPORTIVE SERVICES &amp; HYDERABAD SEZ</v>
      </c>
      <c r="E7" s="40" t="s">
        <v>70</v>
      </c>
      <c r="F7" s="32"/>
      <c r="G7" s="32"/>
      <c r="H7" s="32"/>
      <c r="I7" s="32"/>
      <c r="J7" s="32"/>
      <c r="K7" s="32"/>
      <c r="L7" s="33"/>
    </row>
    <row r="8" spans="1:12">
      <c r="A8" s="34"/>
      <c r="B8" s="35"/>
      <c r="C8" s="35"/>
      <c r="D8" s="36"/>
      <c r="E8" s="41" t="str">
        <f>'04-22-Master'!AJ10</f>
        <v>INFOSYS  LTD.IL Hyderabad SEZ</v>
      </c>
      <c r="F8" s="35"/>
      <c r="G8" s="35"/>
      <c r="H8" s="35"/>
      <c r="I8" s="35"/>
      <c r="J8" s="35"/>
      <c r="K8" s="35"/>
      <c r="L8" s="36"/>
    </row>
    <row r="9" spans="1:12">
      <c r="A9" s="34"/>
      <c r="B9" s="35"/>
      <c r="C9" s="35"/>
      <c r="D9" s="36"/>
      <c r="E9" s="34" t="str">
        <f>'04-22-Master'!AJ11</f>
        <v>Sy.No 42,Pocharam Village,Gatkesar Mandal</v>
      </c>
      <c r="F9" s="35"/>
      <c r="G9" s="35"/>
      <c r="H9" s="35"/>
      <c r="I9" s="35"/>
      <c r="J9" s="35"/>
      <c r="K9" s="35"/>
      <c r="L9" s="36"/>
    </row>
    <row r="10" spans="1:12" ht="15.75" thickBot="1">
      <c r="A10" s="34"/>
      <c r="B10" s="35"/>
      <c r="C10" s="35"/>
      <c r="D10" s="36"/>
      <c r="E10" s="34"/>
      <c r="F10" s="35"/>
      <c r="G10" s="35"/>
      <c r="H10" s="35"/>
      <c r="I10" s="35"/>
      <c r="J10" s="35"/>
      <c r="K10" s="35"/>
      <c r="L10" s="36"/>
    </row>
    <row r="11" spans="1:12" ht="51" customHeight="1">
      <c r="A11" s="1322" t="s">
        <v>5</v>
      </c>
      <c r="B11" s="1322" t="s">
        <v>71</v>
      </c>
      <c r="C11" s="56" t="s">
        <v>72</v>
      </c>
      <c r="D11" s="1325" t="s">
        <v>73</v>
      </c>
      <c r="E11" s="1325" t="s">
        <v>87</v>
      </c>
      <c r="F11" s="1325" t="s">
        <v>88</v>
      </c>
      <c r="G11" s="1325" t="s">
        <v>89</v>
      </c>
      <c r="H11" s="1325" t="s">
        <v>77</v>
      </c>
      <c r="I11" s="1325" t="s">
        <v>90</v>
      </c>
      <c r="J11" s="56" t="s">
        <v>91</v>
      </c>
      <c r="K11" s="1322" t="s">
        <v>92</v>
      </c>
      <c r="L11" s="1322" t="s">
        <v>41</v>
      </c>
    </row>
    <row r="12" spans="1:12" ht="15" customHeight="1" thickBot="1">
      <c r="A12" s="1323"/>
      <c r="B12" s="1323"/>
      <c r="C12" s="60"/>
      <c r="D12" s="1326"/>
      <c r="E12" s="1326"/>
      <c r="F12" s="1326"/>
      <c r="G12" s="1326"/>
      <c r="H12" s="1326"/>
      <c r="I12" s="1326"/>
      <c r="J12" s="55"/>
      <c r="K12" s="1323"/>
      <c r="L12" s="1323"/>
    </row>
    <row r="13" spans="1:12" ht="15" customHeight="1">
      <c r="A13" s="54">
        <v>1</v>
      </c>
      <c r="B13" s="54">
        <v>2</v>
      </c>
      <c r="C13" s="54">
        <v>3</v>
      </c>
      <c r="D13" s="54">
        <v>4</v>
      </c>
      <c r="E13" s="54">
        <v>5</v>
      </c>
      <c r="F13" s="54">
        <v>6</v>
      </c>
      <c r="G13" s="54">
        <v>7</v>
      </c>
      <c r="H13" s="54">
        <v>8</v>
      </c>
      <c r="I13" s="54">
        <v>9</v>
      </c>
      <c r="J13" s="57">
        <v>10</v>
      </c>
      <c r="K13" s="58">
        <v>11</v>
      </c>
      <c r="L13" s="59">
        <v>12</v>
      </c>
    </row>
    <row r="14" spans="1:12">
      <c r="A14" s="48"/>
      <c r="B14" s="48"/>
      <c r="C14" s="48"/>
      <c r="D14" s="48"/>
      <c r="E14" s="48"/>
      <c r="F14" s="48"/>
      <c r="G14" s="48"/>
      <c r="H14" s="48"/>
      <c r="I14" s="48"/>
      <c r="J14" s="48"/>
      <c r="K14" s="52"/>
      <c r="L14" s="48"/>
    </row>
    <row r="15" spans="1:12" ht="15.75" thickBot="1">
      <c r="A15" s="48"/>
      <c r="B15" s="51"/>
      <c r="C15" s="51"/>
      <c r="D15" s="51"/>
      <c r="E15" s="51"/>
      <c r="F15" s="51"/>
      <c r="G15" s="51"/>
      <c r="H15" s="51"/>
      <c r="I15" s="51"/>
      <c r="J15" s="51"/>
      <c r="K15" s="51"/>
      <c r="L15" s="51"/>
    </row>
    <row r="16" spans="1:12" ht="15.75" thickBot="1">
      <c r="A16" s="50"/>
      <c r="B16" s="1319" t="s">
        <v>93</v>
      </c>
      <c r="C16" s="1320"/>
      <c r="D16" s="1320"/>
      <c r="E16" s="1320"/>
      <c r="F16" s="1320"/>
      <c r="G16" s="1321"/>
      <c r="H16" s="385">
        <f>'04-22-Master'!D10</f>
        <v>44652</v>
      </c>
      <c r="I16" s="48"/>
      <c r="J16" s="48"/>
      <c r="K16" s="48"/>
      <c r="L16" s="48"/>
    </row>
    <row r="17" spans="1:12">
      <c r="A17" s="48"/>
      <c r="B17" s="64"/>
      <c r="C17" s="64"/>
      <c r="D17" s="64"/>
      <c r="E17" s="64"/>
      <c r="F17" s="64"/>
      <c r="G17" s="64"/>
      <c r="H17" s="64"/>
      <c r="I17" s="52"/>
      <c r="J17" s="52"/>
      <c r="K17" s="52"/>
      <c r="L17" s="52"/>
    </row>
    <row r="18" spans="1:12">
      <c r="A18" s="48"/>
      <c r="B18" s="374"/>
      <c r="C18" s="374"/>
      <c r="D18" s="374"/>
      <c r="E18" s="374"/>
      <c r="F18" s="374"/>
      <c r="G18" s="374"/>
      <c r="H18" s="374"/>
      <c r="I18" s="48"/>
      <c r="J18" s="48"/>
      <c r="K18" s="48"/>
      <c r="L18" s="48"/>
    </row>
    <row r="19" spans="1:12">
      <c r="A19" s="48"/>
      <c r="B19" s="374"/>
      <c r="C19" s="374"/>
      <c r="D19" s="374"/>
      <c r="E19" s="374"/>
      <c r="F19" s="374"/>
      <c r="G19" s="374"/>
      <c r="H19" s="374"/>
      <c r="I19" s="48"/>
      <c r="J19" s="48"/>
      <c r="K19" s="48"/>
      <c r="L19" s="48"/>
    </row>
    <row r="20" spans="1:12">
      <c r="A20" s="48"/>
      <c r="B20" s="386"/>
      <c r="C20" s="374"/>
      <c r="D20" s="374"/>
      <c r="E20" s="374"/>
      <c r="F20" s="374"/>
      <c r="G20" s="374"/>
      <c r="H20" s="374"/>
      <c r="I20" s="48"/>
      <c r="J20" s="48"/>
      <c r="K20" s="48"/>
      <c r="L20" s="48"/>
    </row>
    <row r="21" spans="1:12">
      <c r="A21" s="387"/>
      <c r="B21" s="374"/>
      <c r="C21" s="374"/>
      <c r="D21" s="374"/>
      <c r="E21" s="374"/>
      <c r="F21" s="374"/>
      <c r="G21" s="374"/>
      <c r="H21" s="388"/>
      <c r="I21" s="48"/>
      <c r="J21" s="48"/>
      <c r="K21" s="48"/>
      <c r="L21" s="48"/>
    </row>
    <row r="22" spans="1:12">
      <c r="A22" s="387"/>
      <c r="B22" s="435"/>
      <c r="C22" s="435"/>
      <c r="D22" s="435"/>
      <c r="E22" s="435"/>
      <c r="F22" s="294"/>
      <c r="G22" s="294"/>
      <c r="H22" s="294"/>
      <c r="I22" s="294"/>
      <c r="J22" s="294"/>
      <c r="K22" s="294"/>
      <c r="L22" s="294"/>
    </row>
    <row r="23" spans="1:12">
      <c r="A23" s="387"/>
      <c r="B23" s="435"/>
      <c r="C23" s="435"/>
      <c r="D23" s="435"/>
      <c r="E23" s="435"/>
      <c r="F23" s="294"/>
      <c r="G23" s="294"/>
      <c r="H23" s="294"/>
      <c r="I23" s="294"/>
      <c r="J23" s="294"/>
      <c r="K23" s="294"/>
      <c r="L23" s="294"/>
    </row>
    <row r="24" spans="1:12">
      <c r="A24" s="387"/>
      <c r="B24" s="435"/>
      <c r="C24" s="435"/>
      <c r="D24" s="435"/>
      <c r="E24" s="435"/>
      <c r="F24" s="294"/>
      <c r="G24" s="294"/>
      <c r="H24" s="294"/>
      <c r="I24" s="294"/>
      <c r="J24" s="294"/>
      <c r="K24" s="294"/>
      <c r="L24" s="294"/>
    </row>
    <row r="25" spans="1:12">
      <c r="A25" s="387"/>
      <c r="B25" s="435"/>
      <c r="C25" s="435"/>
      <c r="D25" s="435"/>
      <c r="E25" s="435"/>
      <c r="F25" s="294"/>
      <c r="G25" s="294"/>
      <c r="H25" s="294"/>
      <c r="I25" s="294"/>
      <c r="J25" s="294"/>
      <c r="K25" s="294"/>
      <c r="L25" s="294"/>
    </row>
    <row r="26" spans="1:12">
      <c r="A26" s="387"/>
      <c r="B26" s="435"/>
      <c r="C26" s="435"/>
      <c r="D26" s="435"/>
      <c r="E26" s="435"/>
      <c r="F26" s="294"/>
      <c r="G26" s="294"/>
      <c r="H26" s="294"/>
      <c r="I26" s="294"/>
      <c r="J26" s="294"/>
      <c r="K26" s="294"/>
      <c r="L26" s="294"/>
    </row>
    <row r="27" spans="1:12">
      <c r="A27" s="387"/>
      <c r="B27" s="435"/>
      <c r="C27" s="435"/>
      <c r="D27" s="435"/>
      <c r="E27" s="435"/>
      <c r="F27" s="294"/>
      <c r="G27" s="294"/>
      <c r="H27" s="294"/>
      <c r="I27" s="294"/>
      <c r="J27" s="294"/>
      <c r="K27" s="294"/>
      <c r="L27" s="294"/>
    </row>
    <row r="28" spans="1:12">
      <c r="A28" s="387"/>
      <c r="B28" s="435"/>
      <c r="C28" s="435"/>
      <c r="D28" s="435"/>
      <c r="E28" s="435"/>
      <c r="F28" s="294"/>
      <c r="G28" s="294"/>
      <c r="H28" s="294"/>
      <c r="I28" s="294"/>
      <c r="J28" s="294"/>
      <c r="K28" s="294"/>
      <c r="L28" s="294"/>
    </row>
    <row r="29" spans="1:12">
      <c r="A29" s="48"/>
      <c r="B29" s="435"/>
      <c r="C29" s="435"/>
      <c r="D29" s="435"/>
      <c r="E29" s="435"/>
      <c r="F29" s="294"/>
      <c r="G29" s="294"/>
      <c r="H29" s="294"/>
      <c r="I29" s="294"/>
      <c r="J29" s="294"/>
      <c r="K29" s="294"/>
      <c r="L29" s="294"/>
    </row>
    <row r="30" spans="1:12">
      <c r="A30" s="48"/>
      <c r="B30" s="435"/>
      <c r="C30" s="435"/>
      <c r="D30" s="435"/>
      <c r="E30" s="435"/>
      <c r="F30" s="294"/>
      <c r="G30" s="294"/>
      <c r="H30" s="294"/>
      <c r="I30" s="294"/>
      <c r="J30" s="294"/>
      <c r="K30" s="294"/>
      <c r="L30" s="294"/>
    </row>
    <row r="31" spans="1:12">
      <c r="A31" s="48"/>
      <c r="B31" s="48"/>
      <c r="C31" s="48"/>
      <c r="D31" s="48"/>
      <c r="E31" s="48"/>
      <c r="F31" s="48"/>
      <c r="G31" s="48"/>
      <c r="H31" s="48"/>
      <c r="I31" s="435"/>
      <c r="J31" s="435"/>
      <c r="K31" s="435"/>
      <c r="L31" s="435"/>
    </row>
    <row r="32" spans="1:12">
      <c r="A32" s="435"/>
      <c r="B32" s="435"/>
      <c r="C32" s="435"/>
      <c r="D32" s="435"/>
      <c r="E32" s="435"/>
      <c r="F32" s="435"/>
      <c r="G32" s="435"/>
      <c r="H32" s="435"/>
      <c r="I32" s="435"/>
      <c r="J32" s="435"/>
      <c r="K32" s="435"/>
      <c r="L32" s="435"/>
    </row>
    <row r="33" spans="1:12">
      <c r="A33" s="434"/>
      <c r="B33" s="434"/>
      <c r="C33" s="434"/>
      <c r="D33" s="434"/>
      <c r="E33" s="434"/>
      <c r="F33" s="434"/>
      <c r="G33" s="434"/>
      <c r="H33" s="434"/>
      <c r="I33" s="434"/>
      <c r="J33" s="434"/>
      <c r="K33" s="434"/>
      <c r="L33" s="434"/>
    </row>
    <row r="34" spans="1:12">
      <c r="A34" s="434"/>
      <c r="B34" s="434"/>
      <c r="C34" s="434"/>
      <c r="D34" s="434"/>
      <c r="E34" s="434"/>
      <c r="F34" s="434"/>
      <c r="G34" s="434"/>
      <c r="H34" s="434"/>
      <c r="I34" s="434"/>
      <c r="J34" s="434"/>
      <c r="K34" s="434"/>
      <c r="L34" s="434"/>
    </row>
    <row r="35" spans="1:12">
      <c r="A35" s="434"/>
      <c r="B35" s="434"/>
      <c r="C35" s="434"/>
      <c r="D35" s="434"/>
      <c r="E35" s="434"/>
      <c r="F35" s="434"/>
      <c r="G35" s="434"/>
      <c r="H35" s="434"/>
      <c r="I35" s="434"/>
      <c r="J35" s="434"/>
      <c r="K35" s="434"/>
      <c r="L35" s="434"/>
    </row>
    <row r="37" spans="1:12" s="339" customFormat="1"/>
    <row r="38" spans="1:12" s="339" customFormat="1"/>
    <row r="39" spans="1:12" s="339" customFormat="1"/>
    <row r="40" spans="1:12">
      <c r="F40" t="s">
        <v>38</v>
      </c>
    </row>
  </sheetData>
  <protectedRanges>
    <protectedRange password="CA4D" sqref="E5 A1:D13 E6:L10 E1:L3 L11:L13 E13:J13" name="Range1"/>
  </protectedRanges>
  <mergeCells count="13">
    <mergeCell ref="B16:G16"/>
    <mergeCell ref="K11:K12"/>
    <mergeCell ref="L11:L12"/>
    <mergeCell ref="A1:L2"/>
    <mergeCell ref="A3:L3"/>
    <mergeCell ref="A11:A12"/>
    <mergeCell ref="B11:B12"/>
    <mergeCell ref="D11:D12"/>
    <mergeCell ref="E11:E12"/>
    <mergeCell ref="F11:F12"/>
    <mergeCell ref="G11:G12"/>
    <mergeCell ref="H11:H12"/>
    <mergeCell ref="I11:I12"/>
  </mergeCells>
  <pageMargins left="0.94" right="0.7" top="0.75" bottom="0.75" header="0.3" footer="0.3"/>
  <pageSetup scale="75"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7"/>
  <sheetViews>
    <sheetView view="pageBreakPreview" zoomScaleSheetLayoutView="100" workbookViewId="0">
      <selection activeCell="A3" sqref="A3:K3"/>
    </sheetView>
  </sheetViews>
  <sheetFormatPr defaultRowHeight="15"/>
  <cols>
    <col min="3" max="3" width="9.85546875" customWidth="1"/>
    <col min="4" max="4" width="44.7109375" customWidth="1"/>
    <col min="10" max="10" width="26" customWidth="1"/>
    <col min="11" max="11" width="14.7109375" customWidth="1"/>
  </cols>
  <sheetData>
    <row r="1" spans="1:11">
      <c r="A1" s="1305" t="s">
        <v>94</v>
      </c>
      <c r="B1" s="1305"/>
      <c r="C1" s="1305"/>
      <c r="D1" s="1305"/>
      <c r="E1" s="1305"/>
      <c r="F1" s="1305"/>
      <c r="G1" s="1305"/>
      <c r="H1" s="1305"/>
      <c r="I1" s="1305"/>
      <c r="J1" s="1305"/>
      <c r="K1" s="1305"/>
    </row>
    <row r="2" spans="1:11">
      <c r="A2" s="1305"/>
      <c r="B2" s="1305"/>
      <c r="C2" s="1305"/>
      <c r="D2" s="1305"/>
      <c r="E2" s="1305"/>
      <c r="F2" s="1305"/>
      <c r="G2" s="1305"/>
      <c r="H2" s="1305"/>
      <c r="I2" s="1305"/>
      <c r="J2" s="1305"/>
      <c r="K2" s="1305"/>
    </row>
    <row r="3" spans="1:11">
      <c r="A3" s="1306" t="s">
        <v>101</v>
      </c>
      <c r="B3" s="1306"/>
      <c r="C3" s="1306"/>
      <c r="D3" s="1306"/>
      <c r="E3" s="1333"/>
      <c r="F3" s="1333"/>
      <c r="G3" s="1333"/>
      <c r="H3" s="1333"/>
      <c r="I3" s="1333"/>
      <c r="J3" s="1333"/>
      <c r="K3" s="1333"/>
    </row>
    <row r="4" spans="1:11" ht="15" customHeight="1">
      <c r="A4" s="31" t="s">
        <v>396</v>
      </c>
      <c r="B4" s="32"/>
      <c r="C4" s="32"/>
      <c r="D4" s="33" t="str">
        <f>'04-22-Master'!F5</f>
        <v>Burgeon IT Services Pvt.Ltd.</v>
      </c>
      <c r="E4" s="67" t="s">
        <v>85</v>
      </c>
      <c r="F4" s="68"/>
      <c r="G4" s="68"/>
      <c r="H4" s="68"/>
      <c r="I4" s="68"/>
      <c r="J4" s="68"/>
      <c r="K4" s="69"/>
    </row>
    <row r="5" spans="1:11">
      <c r="A5" s="34"/>
      <c r="B5" s="35" t="str">
        <f>'04-22-Master'!F6</f>
        <v>Siri Mansion LIGB 436 Dr.A S Rao Nagar,Hyderabad</v>
      </c>
      <c r="C5" s="35"/>
      <c r="D5" s="36"/>
      <c r="E5" s="49"/>
      <c r="F5" s="65"/>
      <c r="G5" s="65"/>
      <c r="H5" s="65"/>
      <c r="I5" s="65"/>
      <c r="J5" s="65"/>
      <c r="K5" s="66"/>
    </row>
    <row r="6" spans="1:11">
      <c r="A6" s="37"/>
      <c r="B6" s="38">
        <f>'04-22-Master'!F7</f>
        <v>0</v>
      </c>
      <c r="C6" s="38"/>
      <c r="D6" s="39"/>
      <c r="E6" s="49"/>
      <c r="F6" s="68"/>
      <c r="G6" s="68"/>
      <c r="H6" s="68"/>
      <c r="I6" s="68"/>
      <c r="J6" s="68"/>
      <c r="K6" s="69"/>
    </row>
    <row r="7" spans="1:11">
      <c r="A7" s="40" t="s">
        <v>84</v>
      </c>
      <c r="B7" s="32"/>
      <c r="C7" s="32"/>
      <c r="D7" s="33" t="str">
        <f>'04-22-Master'!F8</f>
        <v>IT SUPPORTIVE SERVICES &amp; HYDERABAD SEZ</v>
      </c>
      <c r="E7" s="40" t="s">
        <v>70</v>
      </c>
      <c r="F7" s="32"/>
      <c r="G7" s="32"/>
      <c r="H7" s="32"/>
      <c r="I7" s="32"/>
      <c r="J7" s="32"/>
      <c r="K7" s="33"/>
    </row>
    <row r="8" spans="1:11">
      <c r="A8" s="34"/>
      <c r="B8" s="35"/>
      <c r="C8" s="35"/>
      <c r="D8" s="36"/>
      <c r="E8" s="41" t="str">
        <f>'04-22-Master'!AJ10</f>
        <v>INFOSYS  LTD.IL Hyderabad SEZ</v>
      </c>
      <c r="F8" s="35"/>
      <c r="G8" s="35"/>
      <c r="H8" s="35"/>
      <c r="I8" s="35"/>
      <c r="J8" s="35"/>
      <c r="K8" s="36"/>
    </row>
    <row r="9" spans="1:11">
      <c r="A9" s="34"/>
      <c r="B9" s="35"/>
      <c r="C9" s="35"/>
      <c r="D9" s="36"/>
      <c r="E9" s="34" t="str">
        <f>'04-22-Master'!AJ11</f>
        <v>Sy.No 42,Pocharam Village,Gatkesar Mandal</v>
      </c>
      <c r="F9" s="35"/>
      <c r="G9" s="35"/>
      <c r="H9" s="35"/>
      <c r="I9" s="35"/>
      <c r="J9" s="35"/>
      <c r="K9" s="36"/>
    </row>
    <row r="10" spans="1:11">
      <c r="A10" s="34"/>
      <c r="B10" s="35"/>
      <c r="C10" s="35"/>
      <c r="D10" s="36"/>
      <c r="E10" s="37"/>
      <c r="F10" s="38"/>
      <c r="G10" s="38"/>
      <c r="H10" s="38"/>
      <c r="I10" s="38"/>
      <c r="J10" s="38"/>
      <c r="K10" s="39"/>
    </row>
    <row r="11" spans="1:11">
      <c r="A11" s="1304" t="s">
        <v>5</v>
      </c>
      <c r="B11" s="1304" t="s">
        <v>71</v>
      </c>
      <c r="C11" s="1304" t="s">
        <v>72</v>
      </c>
      <c r="D11" s="1303" t="s">
        <v>73</v>
      </c>
      <c r="E11" s="1334" t="s">
        <v>95</v>
      </c>
      <c r="F11" s="1334" t="s">
        <v>96</v>
      </c>
      <c r="G11" s="1334" t="s">
        <v>97</v>
      </c>
      <c r="H11" s="1334" t="s">
        <v>98</v>
      </c>
      <c r="I11" s="1334" t="s">
        <v>99</v>
      </c>
      <c r="J11" s="1328" t="s">
        <v>100</v>
      </c>
      <c r="K11" s="1327" t="s">
        <v>41</v>
      </c>
    </row>
    <row r="12" spans="1:11" ht="65.25" customHeight="1">
      <c r="A12" s="1304"/>
      <c r="B12" s="1304"/>
      <c r="C12" s="1304"/>
      <c r="D12" s="1303"/>
      <c r="E12" s="1303"/>
      <c r="F12" s="1303"/>
      <c r="G12" s="1303"/>
      <c r="H12" s="1303"/>
      <c r="I12" s="1303"/>
      <c r="J12" s="1304"/>
      <c r="K12" s="1328"/>
    </row>
    <row r="13" spans="1:11">
      <c r="A13" s="47">
        <v>1</v>
      </c>
      <c r="B13" s="47">
        <v>2</v>
      </c>
      <c r="C13" s="47">
        <v>3</v>
      </c>
      <c r="D13" s="47">
        <v>4</v>
      </c>
      <c r="E13" s="47">
        <v>5</v>
      </c>
      <c r="F13" s="47">
        <v>6</v>
      </c>
      <c r="G13" s="47">
        <v>7</v>
      </c>
      <c r="H13" s="47">
        <v>8</v>
      </c>
      <c r="I13" s="47">
        <v>9</v>
      </c>
      <c r="J13" s="47">
        <v>10</v>
      </c>
      <c r="K13" s="47">
        <v>11</v>
      </c>
    </row>
    <row r="14" spans="1:11">
      <c r="A14" s="49"/>
      <c r="B14" s="49"/>
      <c r="C14" s="49"/>
      <c r="D14" s="49"/>
      <c r="E14" s="49"/>
      <c r="F14" s="49"/>
      <c r="G14" s="49"/>
      <c r="H14" s="49"/>
      <c r="I14" s="49"/>
      <c r="J14" s="49"/>
      <c r="K14" s="49"/>
    </row>
    <row r="15" spans="1:11">
      <c r="A15" s="49"/>
      <c r="B15" s="62"/>
      <c r="C15" s="62"/>
      <c r="D15" s="62"/>
      <c r="E15" s="62"/>
      <c r="F15" s="49"/>
      <c r="G15" s="49"/>
      <c r="H15" s="49"/>
      <c r="I15" s="49"/>
      <c r="J15" s="49"/>
      <c r="K15" s="49"/>
    </row>
    <row r="16" spans="1:11">
      <c r="A16" s="67"/>
      <c r="B16" s="1330" t="s">
        <v>102</v>
      </c>
      <c r="C16" s="1331"/>
      <c r="D16" s="1331"/>
      <c r="E16" s="1332"/>
      <c r="F16" s="385">
        <f>'04-22-Master'!D10</f>
        <v>44652</v>
      </c>
      <c r="G16" s="49"/>
      <c r="H16" s="49"/>
      <c r="I16" s="49"/>
      <c r="J16" s="49"/>
      <c r="K16" s="49"/>
    </row>
    <row r="17" spans="1:11">
      <c r="A17" s="49"/>
      <c r="B17" s="64"/>
      <c r="C17" s="64"/>
      <c r="D17" s="64"/>
      <c r="E17" s="64"/>
      <c r="F17" s="374"/>
      <c r="G17" s="49"/>
      <c r="H17" s="49"/>
      <c r="I17" s="49"/>
      <c r="J17" s="49"/>
      <c r="K17" s="49"/>
    </row>
    <row r="18" spans="1:11">
      <c r="A18" s="70"/>
      <c r="B18" s="374"/>
      <c r="C18" s="374"/>
      <c r="D18" s="374"/>
      <c r="E18" s="374"/>
      <c r="F18" s="374"/>
      <c r="G18" s="49"/>
      <c r="H18" s="49"/>
      <c r="I18" s="49"/>
      <c r="J18" s="49"/>
      <c r="K18" s="49"/>
    </row>
    <row r="19" spans="1:11">
      <c r="A19" s="49"/>
      <c r="B19" s="374"/>
      <c r="C19" s="374"/>
      <c r="D19" s="374"/>
      <c r="E19" s="374"/>
      <c r="F19" s="374"/>
      <c r="G19" s="49"/>
      <c r="H19" s="49"/>
      <c r="I19" s="49"/>
      <c r="J19" s="49"/>
      <c r="K19" s="49"/>
    </row>
    <row r="20" spans="1:11">
      <c r="A20" s="49"/>
      <c r="B20" s="374"/>
      <c r="C20" s="374"/>
      <c r="D20" s="374"/>
      <c r="E20" s="374"/>
      <c r="F20" s="374"/>
      <c r="G20" s="49"/>
      <c r="H20" s="49"/>
      <c r="I20" s="49"/>
      <c r="J20" s="49"/>
      <c r="K20" s="49"/>
    </row>
    <row r="21" spans="1:11">
      <c r="A21" s="49"/>
      <c r="B21" s="374"/>
      <c r="C21" s="374"/>
      <c r="D21" s="374"/>
      <c r="E21" s="374"/>
      <c r="F21" s="374"/>
      <c r="G21" s="49"/>
      <c r="H21" s="49"/>
      <c r="I21" s="49"/>
      <c r="J21" s="49"/>
      <c r="K21" s="49"/>
    </row>
    <row r="22" spans="1:11">
      <c r="A22" s="49"/>
      <c r="B22" s="374"/>
      <c r="C22" s="374"/>
      <c r="D22" s="374"/>
      <c r="E22" s="374"/>
      <c r="F22" s="374"/>
      <c r="G22" s="49"/>
      <c r="H22" s="49"/>
      <c r="I22" s="49"/>
      <c r="J22" s="49"/>
      <c r="K22" s="49"/>
    </row>
    <row r="23" spans="1:11">
      <c r="A23" s="49"/>
      <c r="B23" s="1330"/>
      <c r="C23" s="1331"/>
      <c r="D23" s="1331"/>
      <c r="E23" s="1332"/>
      <c r="F23" s="389"/>
      <c r="G23" s="49"/>
      <c r="H23" s="49"/>
      <c r="I23" s="49"/>
      <c r="J23" s="49"/>
      <c r="K23" s="49"/>
    </row>
    <row r="24" spans="1:11">
      <c r="A24" s="49"/>
      <c r="B24" s="374"/>
      <c r="C24" s="374"/>
      <c r="D24" s="374"/>
      <c r="E24" s="374"/>
      <c r="F24" s="374"/>
      <c r="G24" s="49"/>
      <c r="H24" s="49"/>
      <c r="I24" s="49"/>
      <c r="J24" s="49"/>
      <c r="K24" s="49"/>
    </row>
    <row r="25" spans="1:11">
      <c r="A25" s="49"/>
      <c r="B25" s="374"/>
      <c r="C25" s="374"/>
      <c r="D25" s="374"/>
      <c r="E25" s="374"/>
      <c r="F25" s="374"/>
      <c r="G25" s="49"/>
      <c r="H25" s="49"/>
      <c r="I25" s="49"/>
      <c r="J25" s="49"/>
      <c r="K25" s="49"/>
    </row>
    <row r="26" spans="1:11">
      <c r="A26" s="49"/>
      <c r="B26" s="374"/>
      <c r="C26" s="374"/>
      <c r="D26" s="374"/>
      <c r="E26" s="374"/>
      <c r="F26" s="374"/>
      <c r="G26" s="49"/>
      <c r="H26" s="49"/>
      <c r="I26" s="49"/>
      <c r="J26" s="49"/>
      <c r="K26" s="49"/>
    </row>
    <row r="27" spans="1:11">
      <c r="A27" s="49"/>
      <c r="B27" s="374"/>
      <c r="C27" s="374"/>
      <c r="D27" s="374"/>
      <c r="E27" s="374"/>
      <c r="F27" s="374"/>
      <c r="G27" s="49"/>
      <c r="H27" s="49"/>
      <c r="I27" s="49"/>
      <c r="J27" s="49"/>
      <c r="K27" s="49"/>
    </row>
    <row r="28" spans="1:11" s="339" customFormat="1">
      <c r="A28" s="374"/>
      <c r="B28" s="1329"/>
      <c r="C28" s="1329"/>
      <c r="D28" s="1329"/>
      <c r="E28" s="1329"/>
      <c r="F28" s="389"/>
      <c r="G28" s="374"/>
      <c r="H28" s="374"/>
      <c r="I28" s="374"/>
      <c r="J28" s="374"/>
      <c r="K28" s="374"/>
    </row>
    <row r="29" spans="1:11" s="339" customFormat="1">
      <c r="A29" s="374"/>
      <c r="B29" s="374"/>
      <c r="C29" s="374"/>
      <c r="D29" s="374"/>
      <c r="E29" s="374"/>
      <c r="F29" s="374"/>
      <c r="G29" s="374"/>
      <c r="H29" s="374"/>
      <c r="I29" s="374"/>
      <c r="J29" s="374"/>
      <c r="K29" s="374"/>
    </row>
    <row r="30" spans="1:11" s="339" customFormat="1">
      <c r="A30" s="374"/>
      <c r="B30" s="1329"/>
      <c r="C30" s="1329"/>
      <c r="D30" s="1329"/>
      <c r="E30" s="1329"/>
      <c r="F30" s="389"/>
      <c r="G30" s="374"/>
      <c r="H30" s="374"/>
      <c r="I30" s="374"/>
      <c r="J30" s="374"/>
      <c r="K30" s="374"/>
    </row>
    <row r="31" spans="1:11" s="390" customFormat="1">
      <c r="A31" s="363"/>
      <c r="B31" s="436"/>
      <c r="C31" s="436"/>
      <c r="D31" s="436"/>
      <c r="E31" s="436"/>
      <c r="F31" s="437"/>
      <c r="G31" s="363"/>
      <c r="H31" s="363"/>
      <c r="I31" s="363"/>
      <c r="J31" s="363"/>
      <c r="K31" s="363"/>
    </row>
    <row r="32" spans="1:11" s="390" customFormat="1">
      <c r="A32" s="363"/>
      <c r="B32" s="436"/>
      <c r="C32" s="436"/>
      <c r="D32" s="436"/>
      <c r="E32" s="436"/>
      <c r="F32" s="437"/>
      <c r="G32" s="363"/>
      <c r="H32" s="363"/>
      <c r="I32" s="363"/>
      <c r="J32" s="363"/>
      <c r="K32" s="363"/>
    </row>
    <row r="33" spans="1:11" s="390" customFormat="1">
      <c r="A33" s="363"/>
      <c r="B33" s="436"/>
      <c r="C33" s="436"/>
      <c r="D33" s="436"/>
      <c r="E33" s="436"/>
      <c r="F33" s="437"/>
      <c r="G33" s="363"/>
      <c r="H33" s="363"/>
      <c r="I33" s="363"/>
      <c r="J33" s="363"/>
      <c r="K33" s="363"/>
    </row>
    <row r="34" spans="1:11" s="390" customFormat="1">
      <c r="A34" s="363"/>
      <c r="B34" s="436"/>
      <c r="C34" s="436"/>
      <c r="D34" s="436"/>
      <c r="E34" s="436"/>
      <c r="F34" s="437"/>
      <c r="G34" s="363"/>
      <c r="H34" s="363"/>
      <c r="I34" s="363"/>
      <c r="J34" s="363"/>
      <c r="K34" s="363"/>
    </row>
    <row r="35" spans="1:11" s="390" customFormat="1">
      <c r="A35" s="363"/>
      <c r="B35" s="436"/>
      <c r="C35" s="436"/>
      <c r="D35" s="436"/>
      <c r="E35" s="436"/>
      <c r="F35" s="437"/>
      <c r="G35" s="363"/>
      <c r="H35" s="363"/>
      <c r="I35" s="363"/>
      <c r="J35" s="363"/>
      <c r="K35" s="363"/>
    </row>
    <row r="36" spans="1:11" s="339" customFormat="1">
      <c r="A36" s="363"/>
      <c r="B36" s="363"/>
      <c r="C36" s="363"/>
      <c r="D36" s="363"/>
      <c r="E36" s="363"/>
      <c r="F36" s="363"/>
      <c r="G36" s="363"/>
      <c r="H36" s="363"/>
      <c r="I36" s="363"/>
      <c r="J36" s="363"/>
      <c r="K36" s="363"/>
    </row>
    <row r="37" spans="1:11">
      <c r="G37" t="s">
        <v>38</v>
      </c>
    </row>
  </sheetData>
  <protectedRanges>
    <protectedRange password="CA4D" sqref="A1:K3 A11:K13" name="Range1"/>
    <protectedRange password="CA4D" sqref="E5 A4:D10 E6:K10" name="Range1_5"/>
  </protectedRanges>
  <mergeCells count="17">
    <mergeCell ref="A1:K2"/>
    <mergeCell ref="A3:K3"/>
    <mergeCell ref="A11:A12"/>
    <mergeCell ref="B11:B12"/>
    <mergeCell ref="C11:C12"/>
    <mergeCell ref="D11:D12"/>
    <mergeCell ref="E11:E12"/>
    <mergeCell ref="F11:F12"/>
    <mergeCell ref="G11:G12"/>
    <mergeCell ref="H11:H12"/>
    <mergeCell ref="I11:I12"/>
    <mergeCell ref="J11:J12"/>
    <mergeCell ref="K11:K12"/>
    <mergeCell ref="B28:E28"/>
    <mergeCell ref="B23:E23"/>
    <mergeCell ref="B30:E30"/>
    <mergeCell ref="B16:E16"/>
  </mergeCells>
  <pageMargins left="1.0236220472440944" right="0.70866141732283472" top="0.74803149606299213" bottom="0.74803149606299213" header="0.35433070866141736" footer="0.31496062992125984"/>
  <pageSetup scale="70" orientation="landscape"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8"/>
  <sheetViews>
    <sheetView zoomScaleSheetLayoutView="100" workbookViewId="0">
      <selection activeCell="O9" sqref="O9"/>
    </sheetView>
  </sheetViews>
  <sheetFormatPr defaultRowHeight="15"/>
  <cols>
    <col min="5" max="5" width="34.42578125" customWidth="1"/>
    <col min="11" max="11" width="14.140625" customWidth="1"/>
    <col min="12" max="12" width="10.140625" customWidth="1"/>
  </cols>
  <sheetData>
    <row r="1" spans="1:12">
      <c r="A1" s="1305" t="s">
        <v>103</v>
      </c>
      <c r="B1" s="1305"/>
      <c r="C1" s="1305"/>
      <c r="D1" s="1305"/>
      <c r="E1" s="1305"/>
      <c r="F1" s="1305"/>
      <c r="G1" s="1305"/>
      <c r="H1" s="1305"/>
      <c r="I1" s="1305"/>
      <c r="J1" s="1305"/>
      <c r="K1" s="1305"/>
      <c r="L1" s="1305"/>
    </row>
    <row r="2" spans="1:12">
      <c r="A2" s="1305"/>
      <c r="B2" s="1305"/>
      <c r="C2" s="1305"/>
      <c r="D2" s="1305"/>
      <c r="E2" s="1305"/>
      <c r="F2" s="1305"/>
      <c r="G2" s="1305"/>
      <c r="H2" s="1305"/>
      <c r="I2" s="1305"/>
      <c r="J2" s="1305"/>
      <c r="K2" s="1305"/>
      <c r="L2" s="1305"/>
    </row>
    <row r="3" spans="1:12">
      <c r="A3" s="1306" t="s">
        <v>745</v>
      </c>
      <c r="B3" s="1306"/>
      <c r="C3" s="1306"/>
      <c r="D3" s="1306"/>
      <c r="E3" s="1306"/>
      <c r="F3" s="1306"/>
      <c r="G3" s="1306"/>
      <c r="H3" s="1306"/>
      <c r="I3" s="1306"/>
      <c r="J3" s="1306"/>
      <c r="K3" s="1306"/>
      <c r="L3" s="1306"/>
    </row>
    <row r="4" spans="1:12" ht="15" customHeight="1">
      <c r="A4" s="40" t="s">
        <v>544</v>
      </c>
      <c r="B4" s="32"/>
      <c r="C4" s="32"/>
      <c r="D4" s="32" t="str">
        <f>'04-22-Master'!F5</f>
        <v>Burgeon IT Services Pvt.Ltd.</v>
      </c>
      <c r="E4" s="33"/>
      <c r="F4" s="40" t="s">
        <v>111</v>
      </c>
      <c r="G4" s="32"/>
      <c r="H4" s="32"/>
      <c r="I4" s="32"/>
      <c r="J4" s="32"/>
      <c r="K4" s="32"/>
      <c r="L4" s="33"/>
    </row>
    <row r="5" spans="1:12">
      <c r="A5" s="34"/>
      <c r="B5" s="35" t="str">
        <f>'04-22-Master'!F6</f>
        <v>Siri Mansion LIGB 436 Dr.A S Rao Nagar,Hyderabad</v>
      </c>
      <c r="C5" s="35"/>
      <c r="D5" s="35"/>
      <c r="E5" s="36"/>
      <c r="F5" s="34"/>
      <c r="G5" s="35"/>
      <c r="H5" s="35"/>
      <c r="I5" s="35"/>
      <c r="J5" s="35"/>
      <c r="K5" s="35"/>
      <c r="L5" s="36"/>
    </row>
    <row r="6" spans="1:12">
      <c r="A6" s="37"/>
      <c r="B6" s="38">
        <f>'04-22-Master'!F7</f>
        <v>0</v>
      </c>
      <c r="C6" s="38"/>
      <c r="D6" s="38"/>
      <c r="E6" s="39"/>
      <c r="F6" s="37"/>
      <c r="G6" s="38"/>
      <c r="H6" s="38"/>
      <c r="I6" s="38"/>
      <c r="J6" s="38"/>
      <c r="K6" s="38"/>
      <c r="L6" s="39"/>
    </row>
    <row r="7" spans="1:12">
      <c r="A7" s="40" t="s">
        <v>84</v>
      </c>
      <c r="B7" s="32"/>
      <c r="C7" s="32"/>
      <c r="D7" s="32" t="str">
        <f>'04-22-Master'!F8</f>
        <v>IT SUPPORTIVE SERVICES &amp; HYDERABAD SEZ</v>
      </c>
      <c r="E7" s="33"/>
      <c r="F7" s="40" t="s">
        <v>70</v>
      </c>
      <c r="G7" s="32"/>
      <c r="H7" s="32"/>
      <c r="I7" s="32"/>
      <c r="J7" s="32"/>
      <c r="K7" s="32"/>
      <c r="L7" s="33"/>
    </row>
    <row r="8" spans="1:12">
      <c r="A8" s="34"/>
      <c r="B8" s="35"/>
      <c r="C8" s="35"/>
      <c r="D8" s="35"/>
      <c r="E8" s="36"/>
      <c r="F8" s="41" t="str">
        <f>'04-22-Master'!AJ10</f>
        <v>INFOSYS  LTD.IL Hyderabad SEZ</v>
      </c>
      <c r="G8" s="35"/>
      <c r="H8" s="35"/>
      <c r="I8" s="35"/>
      <c r="J8" s="35"/>
      <c r="K8" s="35"/>
      <c r="L8" s="36"/>
    </row>
    <row r="9" spans="1:12">
      <c r="A9" s="34"/>
      <c r="B9" s="35"/>
      <c r="C9" s="35"/>
      <c r="D9" s="35"/>
      <c r="E9" s="36"/>
      <c r="F9" s="34" t="str">
        <f>'04-22-Master'!AJ11</f>
        <v>Sy.No 42,Pocharam Village,Gatkesar Mandal</v>
      </c>
      <c r="G9" s="35"/>
      <c r="H9" s="35"/>
      <c r="I9" s="35"/>
      <c r="J9" s="35"/>
      <c r="K9" s="35"/>
      <c r="L9" s="36"/>
    </row>
    <row r="10" spans="1:12">
      <c r="A10" s="37"/>
      <c r="B10" s="38"/>
      <c r="C10" s="38"/>
      <c r="D10" s="38"/>
      <c r="E10" s="39"/>
      <c r="F10" s="37"/>
      <c r="G10" s="38"/>
      <c r="H10" s="38"/>
      <c r="I10" s="38"/>
      <c r="J10" s="38"/>
      <c r="K10" s="38"/>
      <c r="L10" s="39"/>
    </row>
    <row r="11" spans="1:12">
      <c r="A11" s="1304" t="s">
        <v>5</v>
      </c>
      <c r="B11" s="1304" t="s">
        <v>71</v>
      </c>
      <c r="C11" s="1338" t="s">
        <v>72</v>
      </c>
      <c r="D11" s="42" t="s">
        <v>40</v>
      </c>
      <c r="E11" s="1339" t="s">
        <v>73</v>
      </c>
      <c r="F11" s="1303" t="s">
        <v>104</v>
      </c>
      <c r="G11" s="1303" t="s">
        <v>105</v>
      </c>
      <c r="H11" s="1303" t="s">
        <v>106</v>
      </c>
      <c r="I11" s="1303" t="s">
        <v>107</v>
      </c>
      <c r="J11" s="1303" t="s">
        <v>108</v>
      </c>
      <c r="K11" s="1304" t="s">
        <v>109</v>
      </c>
      <c r="L11" s="1340" t="s">
        <v>41</v>
      </c>
    </row>
    <row r="12" spans="1:12" ht="42.6" customHeight="1">
      <c r="A12" s="1304"/>
      <c r="B12" s="1304"/>
      <c r="C12" s="1338"/>
      <c r="D12" s="71"/>
      <c r="E12" s="1339"/>
      <c r="F12" s="1303"/>
      <c r="G12" s="1303"/>
      <c r="H12" s="1303"/>
      <c r="I12" s="1303"/>
      <c r="J12" s="1303"/>
      <c r="K12" s="1304"/>
      <c r="L12" s="1328"/>
    </row>
    <row r="13" spans="1:12">
      <c r="A13" s="47">
        <v>1</v>
      </c>
      <c r="B13" s="47">
        <v>2</v>
      </c>
      <c r="C13" s="47">
        <v>3</v>
      </c>
      <c r="D13" s="54">
        <v>4</v>
      </c>
      <c r="E13" s="47">
        <v>5</v>
      </c>
      <c r="F13" s="47">
        <v>6</v>
      </c>
      <c r="G13" s="47">
        <v>7</v>
      </c>
      <c r="H13" s="47">
        <v>8</v>
      </c>
      <c r="I13" s="47">
        <v>9</v>
      </c>
      <c r="J13" s="47">
        <v>10</v>
      </c>
      <c r="K13" s="47">
        <v>11</v>
      </c>
      <c r="L13" s="47">
        <v>12</v>
      </c>
    </row>
    <row r="14" spans="1:12">
      <c r="A14" s="49"/>
      <c r="B14" s="49"/>
      <c r="C14" s="49"/>
      <c r="D14" s="49"/>
      <c r="E14" s="49"/>
      <c r="F14" s="49"/>
      <c r="G14" s="49"/>
      <c r="H14" s="49"/>
      <c r="I14" s="49"/>
      <c r="J14" s="49"/>
      <c r="K14" s="49"/>
      <c r="L14" s="49"/>
    </row>
    <row r="15" spans="1:12">
      <c r="A15" s="49"/>
      <c r="B15" s="62"/>
      <c r="C15" s="62"/>
      <c r="D15" s="62"/>
      <c r="E15" s="62"/>
      <c r="F15" s="49"/>
      <c r="G15" s="49"/>
      <c r="H15" s="49"/>
      <c r="I15" s="49"/>
      <c r="J15" s="49"/>
      <c r="K15" s="49"/>
      <c r="L15" s="49"/>
    </row>
    <row r="16" spans="1:12">
      <c r="A16" s="67"/>
      <c r="B16" s="1335" t="s">
        <v>110</v>
      </c>
      <c r="C16" s="1336"/>
      <c r="D16" s="1336"/>
      <c r="E16" s="1337"/>
      <c r="F16" s="385">
        <f>'04-22-Master'!D10</f>
        <v>44652</v>
      </c>
      <c r="G16" s="49"/>
      <c r="H16" s="49"/>
      <c r="I16" s="49"/>
      <c r="J16" s="49"/>
      <c r="K16" s="49"/>
      <c r="L16" s="49"/>
    </row>
    <row r="17" spans="1:12">
      <c r="A17" s="49"/>
      <c r="B17" s="64"/>
      <c r="C17" s="64"/>
      <c r="D17" s="64"/>
      <c r="E17" s="64"/>
      <c r="F17" s="374"/>
      <c r="G17" s="49"/>
      <c r="H17" s="49"/>
      <c r="I17" s="49"/>
      <c r="J17" s="49"/>
      <c r="K17" s="49"/>
      <c r="L17" s="49"/>
    </row>
    <row r="18" spans="1:12">
      <c r="A18" s="49"/>
      <c r="B18" s="374"/>
      <c r="C18" s="374"/>
      <c r="D18" s="374"/>
      <c r="E18" s="374"/>
      <c r="F18" s="374"/>
      <c r="G18" s="49"/>
      <c r="H18" s="49"/>
      <c r="I18" s="49"/>
      <c r="J18" s="49"/>
      <c r="K18" s="49"/>
      <c r="L18" s="49"/>
    </row>
    <row r="19" spans="1:12">
      <c r="A19" s="49"/>
      <c r="B19" s="374"/>
      <c r="C19" s="374"/>
      <c r="D19" s="374"/>
      <c r="E19" s="374"/>
      <c r="F19" s="374"/>
      <c r="G19" s="49"/>
      <c r="H19" s="49"/>
      <c r="I19" s="49"/>
      <c r="J19" s="49"/>
      <c r="K19" s="49"/>
      <c r="L19" s="49"/>
    </row>
    <row r="20" spans="1:12">
      <c r="A20" s="49"/>
      <c r="B20" s="374"/>
      <c r="C20" s="374"/>
      <c r="D20" s="374"/>
      <c r="E20" s="374"/>
      <c r="F20" s="374"/>
      <c r="G20" s="49"/>
      <c r="H20" s="49"/>
      <c r="I20" s="49"/>
      <c r="J20" s="49"/>
      <c r="K20" s="49"/>
      <c r="L20" s="49"/>
    </row>
    <row r="21" spans="1:12">
      <c r="A21" s="49"/>
      <c r="B21" s="374"/>
      <c r="C21" s="374"/>
      <c r="D21" s="374"/>
      <c r="E21" s="374"/>
      <c r="F21" s="374"/>
      <c r="G21" s="49"/>
      <c r="H21" s="49"/>
      <c r="I21" s="49"/>
      <c r="J21" s="49"/>
      <c r="K21" s="49"/>
      <c r="L21" s="49"/>
    </row>
    <row r="22" spans="1:12">
      <c r="A22" s="49"/>
      <c r="B22" s="1335"/>
      <c r="C22" s="1336"/>
      <c r="D22" s="1336"/>
      <c r="E22" s="1337"/>
      <c r="F22" s="389"/>
      <c r="G22" s="49"/>
      <c r="H22" s="49"/>
      <c r="I22" s="49"/>
      <c r="J22" s="49"/>
      <c r="K22" s="49"/>
      <c r="L22" s="49"/>
    </row>
    <row r="23" spans="1:12">
      <c r="A23" s="49"/>
      <c r="B23" s="374"/>
      <c r="C23" s="374"/>
      <c r="D23" s="374"/>
      <c r="E23" s="374"/>
      <c r="F23" s="374"/>
      <c r="G23" s="49"/>
      <c r="H23" s="49"/>
      <c r="I23" s="49"/>
      <c r="J23" s="49"/>
      <c r="K23" s="49"/>
      <c r="L23" s="49"/>
    </row>
    <row r="24" spans="1:12">
      <c r="A24" s="49"/>
      <c r="B24" s="374"/>
      <c r="C24" s="374"/>
      <c r="D24" s="374"/>
      <c r="E24" s="374"/>
      <c r="F24" s="374"/>
      <c r="G24" s="49"/>
      <c r="H24" s="49"/>
      <c r="I24" s="49"/>
      <c r="J24" s="49"/>
      <c r="K24" s="49"/>
      <c r="L24" s="49"/>
    </row>
    <row r="25" spans="1:12">
      <c r="A25" s="49"/>
      <c r="B25" s="374"/>
      <c r="C25" s="374"/>
      <c r="D25" s="374"/>
      <c r="E25" s="374"/>
      <c r="F25" s="374"/>
      <c r="G25" s="49"/>
      <c r="H25" s="49"/>
      <c r="I25" s="49"/>
      <c r="J25" s="49"/>
      <c r="K25" s="49"/>
      <c r="L25" s="49"/>
    </row>
    <row r="26" spans="1:12">
      <c r="A26" s="49"/>
      <c r="B26" s="374"/>
      <c r="C26" s="374"/>
      <c r="D26" s="374"/>
      <c r="E26" s="374"/>
      <c r="F26" s="374"/>
      <c r="G26" s="49"/>
      <c r="H26" s="49"/>
      <c r="I26" s="49"/>
      <c r="J26" s="49"/>
      <c r="K26" s="49"/>
      <c r="L26" s="49"/>
    </row>
    <row r="27" spans="1:12">
      <c r="A27" s="49"/>
      <c r="B27" s="374"/>
      <c r="C27" s="374"/>
      <c r="D27" s="374"/>
      <c r="E27" s="374"/>
      <c r="F27" s="374"/>
      <c r="G27" s="49"/>
      <c r="H27" s="49"/>
      <c r="I27" s="49"/>
      <c r="J27" s="49"/>
      <c r="K27" s="49"/>
      <c r="L27" s="49"/>
    </row>
    <row r="28" spans="1:12">
      <c r="A28" s="49"/>
      <c r="B28" s="374"/>
      <c r="C28" s="374"/>
      <c r="D28" s="374"/>
      <c r="E28" s="374"/>
      <c r="F28" s="374"/>
      <c r="G28" s="49"/>
      <c r="H28" s="49"/>
      <c r="I28" s="49"/>
      <c r="J28" s="49"/>
      <c r="K28" s="49"/>
      <c r="L28" s="49"/>
    </row>
    <row r="29" spans="1:12">
      <c r="A29" s="49"/>
      <c r="B29" s="1335"/>
      <c r="C29" s="1336"/>
      <c r="D29" s="1336"/>
      <c r="E29" s="1337"/>
      <c r="F29" s="389"/>
      <c r="G29" s="49"/>
      <c r="H29" s="49"/>
      <c r="I29" s="49"/>
      <c r="J29" s="49"/>
      <c r="K29" s="49"/>
      <c r="L29" s="49"/>
    </row>
    <row r="30" spans="1:12">
      <c r="A30" s="49"/>
      <c r="B30" s="49"/>
      <c r="C30" s="49"/>
      <c r="D30" s="49"/>
      <c r="E30" s="49"/>
      <c r="F30" s="49"/>
      <c r="G30" s="49"/>
      <c r="H30" s="49"/>
      <c r="I30" s="49"/>
      <c r="J30" s="49"/>
      <c r="K30" s="49"/>
      <c r="L30" s="49"/>
    </row>
    <row r="31" spans="1:12">
      <c r="A31" s="49"/>
      <c r="B31" s="49"/>
      <c r="C31" s="49"/>
      <c r="D31" s="49"/>
      <c r="E31" s="49"/>
      <c r="F31" s="49"/>
      <c r="G31" s="49"/>
      <c r="H31" s="49"/>
      <c r="I31" s="49"/>
      <c r="J31" s="49"/>
      <c r="K31" s="49"/>
      <c r="L31" s="49"/>
    </row>
    <row r="32" spans="1:12">
      <c r="A32" s="49"/>
      <c r="B32" s="49"/>
      <c r="C32" s="49"/>
      <c r="D32" s="49"/>
      <c r="E32" s="49"/>
      <c r="F32" s="49"/>
      <c r="G32" s="49"/>
      <c r="H32" s="49"/>
      <c r="I32" s="49"/>
      <c r="J32" s="49"/>
      <c r="K32" s="49"/>
      <c r="L32" s="49"/>
    </row>
    <row r="33" spans="1:12">
      <c r="A33" s="34"/>
      <c r="B33" s="35"/>
      <c r="C33" s="35"/>
      <c r="D33" s="35"/>
      <c r="E33" s="35"/>
      <c r="F33" s="35"/>
      <c r="G33" s="35"/>
      <c r="H33" s="35"/>
      <c r="I33" s="35"/>
      <c r="J33" s="35"/>
      <c r="K33" s="35"/>
      <c r="L33" s="36"/>
    </row>
    <row r="34" spans="1:12">
      <c r="A34" s="34"/>
      <c r="B34" s="35"/>
      <c r="C34" s="35"/>
      <c r="D34" s="35"/>
      <c r="E34" s="35"/>
      <c r="F34" s="35"/>
      <c r="G34" s="35"/>
      <c r="H34" s="35"/>
      <c r="I34" s="35"/>
      <c r="J34" s="35"/>
      <c r="K34" s="35"/>
      <c r="L34" s="36"/>
    </row>
    <row r="35" spans="1:12">
      <c r="A35" s="72"/>
      <c r="L35" s="63"/>
    </row>
    <row r="36" spans="1:12">
      <c r="A36" s="72"/>
      <c r="L36" s="63"/>
    </row>
    <row r="37" spans="1:12">
      <c r="A37" s="72"/>
      <c r="L37" s="63"/>
    </row>
    <row r="38" spans="1:12">
      <c r="A38" s="73"/>
      <c r="B38" s="19"/>
      <c r="C38" s="19"/>
      <c r="D38" s="19"/>
      <c r="E38" s="19"/>
      <c r="F38" s="19"/>
      <c r="G38" s="19"/>
      <c r="H38" s="19"/>
      <c r="I38" s="390" t="s">
        <v>38</v>
      </c>
      <c r="J38" s="390"/>
      <c r="K38" s="390"/>
      <c r="L38" s="74"/>
    </row>
  </sheetData>
  <protectedRanges>
    <protectedRange password="CA4D" sqref="A1:L3 A11:L13 A4:E4 A6:E10 A5 E5" name="Range1"/>
    <protectedRange password="CA4D" sqref="F4:L6" name="Range1_2"/>
    <protectedRange password="CA4D" sqref="F7:L10" name="Range1_4"/>
    <protectedRange password="CA4D" sqref="B5:D5" name="Range1_1"/>
  </protectedRanges>
  <mergeCells count="16">
    <mergeCell ref="B22:E22"/>
    <mergeCell ref="B29:E29"/>
    <mergeCell ref="B16:E16"/>
    <mergeCell ref="A1:L2"/>
    <mergeCell ref="A3:L3"/>
    <mergeCell ref="A11:A12"/>
    <mergeCell ref="B11:B12"/>
    <mergeCell ref="C11:C12"/>
    <mergeCell ref="E11:E12"/>
    <mergeCell ref="F11:F12"/>
    <mergeCell ref="G11:G12"/>
    <mergeCell ref="H11:H12"/>
    <mergeCell ref="I11:I12"/>
    <mergeCell ref="J11:J12"/>
    <mergeCell ref="K11:K12"/>
    <mergeCell ref="L11:L12"/>
  </mergeCells>
  <pageMargins left="0.94488188976377963" right="0.70866141732283472" top="0.74803149606299213" bottom="0.74803149606299213" header="0.31496062992125984" footer="0.31496062992125984"/>
  <pageSetup scale="80" orientation="landscape"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27"/>
  <sheetViews>
    <sheetView topLeftCell="A13" zoomScaleSheetLayoutView="100" workbookViewId="0">
      <selection activeCell="J27" sqref="J27:N27"/>
    </sheetView>
  </sheetViews>
  <sheetFormatPr defaultRowHeight="15"/>
  <cols>
    <col min="1" max="1" width="7" customWidth="1"/>
    <col min="2" max="2" width="7.140625" customWidth="1"/>
    <col min="3" max="3" width="8.85546875" customWidth="1"/>
    <col min="4" max="4" width="13.85546875" customWidth="1"/>
    <col min="5" max="5" width="21" customWidth="1"/>
    <col min="7" max="7" width="7.85546875" customWidth="1"/>
    <col min="8" max="8" width="7.140625" customWidth="1"/>
    <col min="9" max="9" width="7.5703125" customWidth="1"/>
    <col min="10" max="10" width="5.85546875" customWidth="1"/>
    <col min="11" max="11" width="6.42578125" customWidth="1"/>
    <col min="12" max="13" width="7.85546875" customWidth="1"/>
    <col min="14" max="14" width="8.28515625" customWidth="1"/>
  </cols>
  <sheetData>
    <row r="1" spans="1:18" ht="14.45" customHeight="1">
      <c r="A1" s="1351" t="s">
        <v>546</v>
      </c>
      <c r="B1" s="1352"/>
      <c r="C1" s="1352"/>
      <c r="D1" s="1352"/>
      <c r="E1" s="1352"/>
      <c r="F1" s="1352"/>
      <c r="G1" s="1352"/>
      <c r="H1" s="1352"/>
      <c r="I1" s="1352"/>
      <c r="J1" s="1352"/>
      <c r="K1" s="1352"/>
      <c r="L1" s="1352"/>
      <c r="M1" s="1352"/>
      <c r="N1" s="1352"/>
      <c r="O1" s="1352"/>
      <c r="P1" s="1352"/>
      <c r="Q1" s="1352"/>
      <c r="R1" s="1353"/>
    </row>
    <row r="2" spans="1:18" ht="14.45" customHeight="1">
      <c r="A2" s="1354"/>
      <c r="B2" s="1355"/>
      <c r="C2" s="1355"/>
      <c r="D2" s="1355"/>
      <c r="E2" s="1355"/>
      <c r="F2" s="1355"/>
      <c r="G2" s="1355"/>
      <c r="H2" s="1355"/>
      <c r="I2" s="1355"/>
      <c r="J2" s="1355"/>
      <c r="K2" s="1355"/>
      <c r="L2" s="1355"/>
      <c r="M2" s="1355"/>
      <c r="N2" s="1355"/>
      <c r="O2" s="1355"/>
      <c r="P2" s="1355"/>
      <c r="Q2" s="1355"/>
      <c r="R2" s="1356"/>
    </row>
    <row r="3" spans="1:18">
      <c r="A3" s="1357" t="s">
        <v>547</v>
      </c>
      <c r="B3" s="1357"/>
      <c r="C3" s="1357"/>
      <c r="D3" s="1357"/>
      <c r="E3" s="1357"/>
      <c r="F3" s="1357"/>
      <c r="G3" s="1357"/>
      <c r="H3" s="1357"/>
      <c r="I3" s="1357"/>
      <c r="J3" s="1357"/>
      <c r="K3" s="1357"/>
      <c r="L3" s="1357"/>
      <c r="M3" s="1357"/>
      <c r="N3" s="1357"/>
      <c r="O3" s="1357"/>
      <c r="P3" s="1357"/>
      <c r="Q3" s="1357"/>
      <c r="R3" s="1357"/>
    </row>
    <row r="4" spans="1:18" ht="15" customHeight="1">
      <c r="A4" s="1357" t="s">
        <v>548</v>
      </c>
      <c r="B4" s="1357"/>
      <c r="C4" s="1357"/>
      <c r="D4" s="1357"/>
      <c r="E4" s="1357"/>
      <c r="F4" s="1357"/>
      <c r="G4" s="1357"/>
      <c r="H4" s="1357"/>
      <c r="I4" s="1357"/>
      <c r="J4" s="1357"/>
      <c r="K4" s="1357"/>
      <c r="L4" s="1357"/>
      <c r="M4" s="1357"/>
      <c r="N4" s="1357"/>
      <c r="O4" s="1357"/>
      <c r="P4" s="1357"/>
      <c r="Q4" s="1357"/>
      <c r="R4" s="1357"/>
    </row>
    <row r="5" spans="1:18">
      <c r="A5" s="340"/>
      <c r="B5" s="1357" t="s">
        <v>549</v>
      </c>
      <c r="C5" s="1357"/>
      <c r="D5" s="1357"/>
      <c r="E5" s="1357"/>
      <c r="F5" s="1357"/>
      <c r="G5" s="1357"/>
      <c r="H5" s="1357"/>
      <c r="I5" s="1357"/>
      <c r="J5" s="1357"/>
      <c r="K5" s="1357"/>
      <c r="L5" s="1357"/>
      <c r="M5" s="1357"/>
      <c r="N5" s="1357"/>
      <c r="O5" s="1357"/>
      <c r="P5" s="1357"/>
      <c r="Q5" s="1357"/>
      <c r="R5" s="1357"/>
    </row>
    <row r="6" spans="1:18">
      <c r="A6" s="1358"/>
      <c r="B6" s="1358"/>
      <c r="C6" s="1358"/>
      <c r="D6" s="1359"/>
      <c r="E6" s="1358"/>
      <c r="F6" s="341"/>
      <c r="G6" s="342"/>
      <c r="H6" s="342"/>
      <c r="I6" s="343"/>
      <c r="J6" s="343"/>
      <c r="K6" s="343"/>
      <c r="L6" s="343"/>
      <c r="M6" s="343"/>
      <c r="N6" s="343"/>
      <c r="O6" s="343"/>
      <c r="P6" s="342"/>
      <c r="Q6" s="342"/>
      <c r="R6" s="344"/>
    </row>
    <row r="7" spans="1:18">
      <c r="A7" s="1362" t="s">
        <v>5</v>
      </c>
      <c r="B7" s="1360" t="s">
        <v>550</v>
      </c>
      <c r="C7" s="1360" t="s">
        <v>551</v>
      </c>
      <c r="D7" s="1347" t="s">
        <v>552</v>
      </c>
      <c r="E7" s="1360" t="s">
        <v>40</v>
      </c>
      <c r="F7" s="1360" t="s">
        <v>112</v>
      </c>
      <c r="G7" s="345"/>
      <c r="H7" s="1347" t="s">
        <v>114</v>
      </c>
      <c r="I7" s="1341" t="s">
        <v>553</v>
      </c>
      <c r="J7" s="1342"/>
      <c r="K7" s="1342"/>
      <c r="L7" s="1342"/>
      <c r="M7" s="346"/>
      <c r="N7" s="346"/>
      <c r="O7" s="346"/>
      <c r="P7" s="1345" t="s">
        <v>554</v>
      </c>
      <c r="Q7" s="1346" t="s">
        <v>115</v>
      </c>
      <c r="R7" s="1347" t="s">
        <v>555</v>
      </c>
    </row>
    <row r="8" spans="1:18" ht="171.75">
      <c r="A8" s="1363"/>
      <c r="B8" s="1349"/>
      <c r="C8" s="1349"/>
      <c r="D8" s="1361"/>
      <c r="E8" s="1349"/>
      <c r="F8" s="1349"/>
      <c r="G8" s="1349" t="s">
        <v>113</v>
      </c>
      <c r="H8" s="1361"/>
      <c r="I8" s="1343"/>
      <c r="J8" s="1344"/>
      <c r="K8" s="1344"/>
      <c r="L8" s="1344"/>
      <c r="M8" s="347"/>
      <c r="N8" s="348" t="s">
        <v>556</v>
      </c>
      <c r="O8" s="348" t="s">
        <v>557</v>
      </c>
      <c r="P8" s="1345"/>
      <c r="Q8" s="1346"/>
      <c r="R8" s="1348"/>
    </row>
    <row r="9" spans="1:18" ht="34.5">
      <c r="A9" s="1364"/>
      <c r="B9" s="1350"/>
      <c r="C9" s="1350"/>
      <c r="D9" s="1348"/>
      <c r="E9" s="1350"/>
      <c r="F9" s="1350"/>
      <c r="G9" s="1350"/>
      <c r="H9" s="1348"/>
      <c r="I9" s="349" t="s">
        <v>558</v>
      </c>
      <c r="J9" s="350" t="s">
        <v>559</v>
      </c>
      <c r="K9" s="351" t="s">
        <v>560</v>
      </c>
      <c r="L9" s="351" t="s">
        <v>561</v>
      </c>
      <c r="M9" s="351" t="s">
        <v>218</v>
      </c>
      <c r="N9" s="351"/>
      <c r="O9" s="351"/>
      <c r="P9" s="352"/>
      <c r="Q9" s="352"/>
      <c r="R9" s="352"/>
    </row>
    <row r="10" spans="1:18" ht="12.6" customHeight="1">
      <c r="A10" s="353">
        <v>1</v>
      </c>
      <c r="B10" s="353">
        <v>2</v>
      </c>
      <c r="C10" s="353">
        <v>3</v>
      </c>
      <c r="D10" s="353">
        <v>4</v>
      </c>
      <c r="E10" s="353">
        <v>5</v>
      </c>
      <c r="F10" s="353">
        <v>6</v>
      </c>
      <c r="G10" s="354">
        <v>7</v>
      </c>
      <c r="H10" s="354">
        <v>8</v>
      </c>
      <c r="I10" s="353">
        <v>9</v>
      </c>
      <c r="J10" s="353">
        <v>10</v>
      </c>
      <c r="K10" s="353">
        <v>11</v>
      </c>
      <c r="L10" s="353">
        <v>12</v>
      </c>
      <c r="M10" s="353">
        <v>13</v>
      </c>
      <c r="N10" s="353">
        <v>14</v>
      </c>
      <c r="O10" s="353">
        <v>15</v>
      </c>
      <c r="P10" s="353">
        <v>16</v>
      </c>
      <c r="Q10" s="353">
        <v>17</v>
      </c>
      <c r="R10" s="353">
        <v>18</v>
      </c>
    </row>
    <row r="11" spans="1:18" ht="15" customHeight="1" thickBot="1">
      <c r="A11" s="355"/>
      <c r="B11" s="356"/>
      <c r="C11" s="356"/>
      <c r="D11" s="356"/>
      <c r="E11" s="356"/>
      <c r="F11" s="355"/>
      <c r="G11" s="355"/>
      <c r="H11" s="355"/>
      <c r="I11" s="355"/>
      <c r="J11" s="355"/>
      <c r="K11" s="355"/>
      <c r="L11" s="355"/>
      <c r="M11" s="355"/>
      <c r="N11" s="355"/>
      <c r="O11" s="355"/>
      <c r="P11" s="355"/>
      <c r="Q11" s="355"/>
      <c r="R11" s="355"/>
    </row>
    <row r="12" spans="1:18" ht="20.100000000000001" customHeight="1" thickBot="1">
      <c r="A12" s="357"/>
      <c r="B12" s="358" t="s">
        <v>116</v>
      </c>
      <c r="C12" s="359"/>
      <c r="D12" s="359"/>
      <c r="E12" s="360"/>
      <c r="F12" s="385">
        <f>'04-22-Master'!D10</f>
        <v>44652</v>
      </c>
      <c r="G12" s="361"/>
      <c r="H12" s="355"/>
      <c r="I12" s="355"/>
      <c r="J12" s="355"/>
      <c r="K12" s="355"/>
      <c r="L12" s="355"/>
      <c r="M12" s="355"/>
      <c r="N12" s="355"/>
      <c r="O12" s="355"/>
      <c r="P12" s="355"/>
      <c r="Q12" s="355"/>
      <c r="R12" s="355"/>
    </row>
    <row r="13" spans="1:18">
      <c r="A13" s="355"/>
      <c r="B13" s="362"/>
      <c r="C13" s="362"/>
      <c r="D13" s="362"/>
      <c r="E13" s="362"/>
      <c r="F13" s="355"/>
      <c r="G13" s="355"/>
      <c r="H13" s="355"/>
      <c r="I13" s="355"/>
      <c r="J13" s="355"/>
      <c r="K13" s="355"/>
      <c r="L13" s="355"/>
      <c r="M13" s="355"/>
      <c r="N13" s="355"/>
      <c r="O13" s="355"/>
      <c r="P13" s="355"/>
      <c r="Q13" s="355"/>
      <c r="R13" s="355"/>
    </row>
    <row r="14" spans="1:18">
      <c r="A14" s="356"/>
      <c r="B14" s="356"/>
      <c r="C14" s="356"/>
      <c r="D14" s="355"/>
      <c r="E14" s="355"/>
      <c r="F14" s="355"/>
      <c r="G14" s="355"/>
      <c r="H14" s="355"/>
      <c r="I14" s="355"/>
      <c r="J14" s="355"/>
      <c r="K14" s="355"/>
      <c r="L14" s="355"/>
      <c r="M14" s="355"/>
      <c r="N14" s="355"/>
      <c r="O14" s="355"/>
      <c r="P14" s="355"/>
      <c r="Q14" s="355"/>
      <c r="R14" s="355"/>
    </row>
    <row r="15" spans="1:18">
      <c r="A15" s="355"/>
      <c r="B15" s="355"/>
      <c r="C15" s="355"/>
      <c r="D15" s="355"/>
      <c r="E15" s="355"/>
      <c r="F15" s="361"/>
      <c r="G15" s="355"/>
      <c r="H15" s="355"/>
      <c r="I15" s="355"/>
      <c r="J15" s="355"/>
      <c r="K15" s="355"/>
      <c r="L15" s="355"/>
      <c r="M15" s="355"/>
      <c r="N15" s="355"/>
      <c r="O15" s="355"/>
      <c r="P15" s="355"/>
      <c r="Q15" s="355"/>
      <c r="R15" s="355"/>
    </row>
    <row r="16" spans="1:18">
      <c r="A16" s="355"/>
      <c r="B16" s="355"/>
      <c r="C16" s="355"/>
      <c r="D16" s="355"/>
      <c r="E16" s="355"/>
      <c r="F16" s="385"/>
      <c r="G16" s="355"/>
      <c r="H16" s="355"/>
      <c r="I16" s="355"/>
      <c r="J16" s="355"/>
      <c r="K16" s="355"/>
      <c r="L16" s="355"/>
      <c r="M16" s="355"/>
      <c r="N16" s="355"/>
      <c r="O16" s="355"/>
      <c r="P16" s="355"/>
      <c r="Q16" s="355"/>
      <c r="R16" s="355"/>
    </row>
    <row r="17" spans="1:18">
      <c r="A17" s="355"/>
      <c r="B17" s="355"/>
      <c r="C17" s="355"/>
      <c r="D17" s="355"/>
      <c r="E17" s="355"/>
      <c r="F17" s="355"/>
      <c r="G17" s="355"/>
      <c r="H17" s="355"/>
      <c r="I17" s="355"/>
      <c r="J17" s="355"/>
      <c r="K17" s="355"/>
      <c r="L17" s="355"/>
      <c r="M17" s="355"/>
      <c r="N17" s="355"/>
      <c r="O17" s="355"/>
      <c r="P17" s="355"/>
      <c r="Q17" s="355"/>
      <c r="R17" s="355"/>
    </row>
    <row r="18" spans="1:18">
      <c r="A18" s="355"/>
      <c r="B18" s="355"/>
      <c r="C18" s="355"/>
      <c r="D18" s="355"/>
      <c r="E18" s="355"/>
      <c r="F18" s="361"/>
      <c r="G18" s="355"/>
      <c r="H18" s="355"/>
      <c r="I18" s="355"/>
      <c r="J18" s="355"/>
      <c r="K18" s="355"/>
      <c r="L18" s="355"/>
      <c r="M18" s="355"/>
      <c r="N18" s="355"/>
      <c r="O18" s="355"/>
      <c r="P18" s="355"/>
      <c r="Q18" s="355"/>
      <c r="R18" s="355"/>
    </row>
    <row r="19" spans="1:18">
      <c r="A19" s="362"/>
      <c r="B19" s="362"/>
      <c r="C19" s="362"/>
      <c r="D19" s="313"/>
      <c r="E19" s="355"/>
      <c r="F19" s="355"/>
      <c r="G19" s="355"/>
      <c r="H19" s="355"/>
      <c r="I19" s="355"/>
      <c r="J19" s="355"/>
      <c r="K19" s="355"/>
      <c r="L19" s="355"/>
      <c r="M19" s="355"/>
      <c r="N19" s="355"/>
      <c r="O19" s="355"/>
      <c r="P19" s="355"/>
      <c r="Q19" s="355"/>
      <c r="R19" s="355"/>
    </row>
    <row r="20" spans="1:18">
      <c r="A20" s="355"/>
      <c r="B20" s="362"/>
      <c r="C20" s="355"/>
      <c r="D20" s="355"/>
      <c r="E20" s="355"/>
      <c r="F20" s="385"/>
      <c r="G20" s="355"/>
      <c r="H20" s="355"/>
      <c r="I20" s="355"/>
      <c r="J20" s="355"/>
      <c r="K20" s="355"/>
      <c r="L20" s="355"/>
      <c r="M20" s="355"/>
      <c r="N20" s="355"/>
      <c r="O20" s="355"/>
      <c r="P20" s="355"/>
      <c r="Q20" s="355"/>
      <c r="R20" s="355"/>
    </row>
    <row r="21" spans="1:18">
      <c r="A21" s="355"/>
      <c r="B21" s="355"/>
      <c r="C21" s="355"/>
      <c r="D21" s="355"/>
      <c r="E21" s="355"/>
      <c r="F21" s="355"/>
      <c r="G21" s="355"/>
      <c r="H21" s="355"/>
      <c r="I21" s="355"/>
      <c r="J21" s="355"/>
      <c r="K21" s="355"/>
      <c r="L21" s="355"/>
      <c r="M21" s="355"/>
      <c r="N21" s="355"/>
      <c r="O21" s="355"/>
      <c r="P21" s="355"/>
      <c r="Q21" s="355"/>
      <c r="R21" s="355"/>
    </row>
    <row r="23" spans="1:18" s="390" customFormat="1"/>
    <row r="24" spans="1:18" s="390" customFormat="1"/>
    <row r="25" spans="1:18" s="390" customFormat="1"/>
    <row r="26" spans="1:18" s="339" customFormat="1"/>
    <row r="27" spans="1:18">
      <c r="J27" t="s">
        <v>38</v>
      </c>
    </row>
  </sheetData>
  <protectedRanges>
    <protectedRange password="CA4D" sqref="A1:O3 A4:E4 A6:E10 A5 E5 A13:O13 A11:A12 C11:O11 F15 F18 C12:E12 G12:O12" name="Range1"/>
    <protectedRange password="CA4D" sqref="F4:O6" name="Range1_2"/>
    <protectedRange password="CA4D" sqref="F7:O10" name="Range1_4"/>
    <protectedRange password="CA4D" sqref="B5:D5" name="Range1_1"/>
    <protectedRange password="CA4D" sqref="B11:B12 B18 B15:B16 B20" name="Range1_3"/>
  </protectedRanges>
  <mergeCells count="17">
    <mergeCell ref="F7:F9"/>
    <mergeCell ref="H7:H9"/>
    <mergeCell ref="A7:A9"/>
    <mergeCell ref="B7:B9"/>
    <mergeCell ref="C7:C9"/>
    <mergeCell ref="D7:D9"/>
    <mergeCell ref="E7:E9"/>
    <mergeCell ref="A1:R2"/>
    <mergeCell ref="A3:R3"/>
    <mergeCell ref="A4:R4"/>
    <mergeCell ref="B5:R5"/>
    <mergeCell ref="A6:E6"/>
    <mergeCell ref="I7:L8"/>
    <mergeCell ref="P7:P8"/>
    <mergeCell ref="Q7:Q8"/>
    <mergeCell ref="R7:R8"/>
    <mergeCell ref="G8:G9"/>
  </mergeCells>
  <pageMargins left="0.7" right="0.7" top="0.75" bottom="0.75" header="0.3" footer="0.3"/>
  <pageSetup scale="75" orientation="landscape" horizontalDpi="300" verticalDpi="3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G38"/>
  <sheetViews>
    <sheetView topLeftCell="A19" workbookViewId="0">
      <selection activeCell="G35" sqref="G35"/>
    </sheetView>
  </sheetViews>
  <sheetFormatPr defaultColWidth="9.140625" defaultRowHeight="15"/>
  <cols>
    <col min="1" max="2" width="9.140625" style="390"/>
    <col min="3" max="3" width="19.7109375" style="390" customWidth="1"/>
    <col min="4" max="5" width="24.28515625" style="390" customWidth="1"/>
    <col min="6" max="6" width="25.85546875" style="390" customWidth="1"/>
    <col min="7" max="7" width="18.28515625" style="390" customWidth="1"/>
    <col min="8" max="16384" width="9.140625" style="390"/>
  </cols>
  <sheetData>
    <row r="1" spans="2:7" ht="22.9" customHeight="1">
      <c r="B1" s="1367" t="s">
        <v>780</v>
      </c>
      <c r="C1" s="1368"/>
      <c r="D1" s="1368"/>
      <c r="E1" s="1368"/>
      <c r="F1" s="1368"/>
      <c r="G1" s="1369"/>
    </row>
    <row r="2" spans="2:7" ht="15.75">
      <c r="B2" s="1370" t="s">
        <v>781</v>
      </c>
      <c r="C2" s="1371"/>
      <c r="D2" s="1371"/>
      <c r="E2" s="1371"/>
      <c r="F2" s="1371"/>
      <c r="G2" s="1372"/>
    </row>
    <row r="3" spans="2:7" ht="16.5">
      <c r="B3" s="1373" t="s">
        <v>782</v>
      </c>
      <c r="C3" s="1374"/>
      <c r="D3" s="1374"/>
      <c r="E3" s="1374"/>
      <c r="F3" s="1374"/>
      <c r="G3" s="1375"/>
    </row>
    <row r="4" spans="2:7" ht="15.75">
      <c r="B4" s="478" t="s">
        <v>748</v>
      </c>
      <c r="C4" s="300"/>
      <c r="D4" s="479" t="str">
        <f>'04-22-Master'!F5</f>
        <v>Burgeon IT Services Pvt.Ltd.</v>
      </c>
      <c r="E4" s="480" t="str">
        <f>'04-22-Master'!F6</f>
        <v>Siri Mansion LIGB 436 Dr.A S Rao Nagar,Hyderabad</v>
      </c>
      <c r="F4" s="480"/>
      <c r="G4" s="16"/>
    </row>
    <row r="5" spans="2:7">
      <c r="B5" s="448">
        <v>1</v>
      </c>
      <c r="C5" s="1365" t="s">
        <v>783</v>
      </c>
      <c r="D5" s="1366"/>
      <c r="E5" s="1366"/>
      <c r="F5" s="1366"/>
      <c r="G5" s="16"/>
    </row>
    <row r="6" spans="2:7">
      <c r="B6" s="448">
        <v>2</v>
      </c>
      <c r="C6" s="1365" t="s">
        <v>784</v>
      </c>
      <c r="D6" s="1366"/>
      <c r="E6" s="1366"/>
      <c r="F6" s="300"/>
      <c r="G6" s="16"/>
    </row>
    <row r="7" spans="2:7">
      <c r="B7" s="448">
        <v>3</v>
      </c>
      <c r="C7" s="1365" t="s">
        <v>785</v>
      </c>
      <c r="D7" s="1366"/>
      <c r="E7" s="1366"/>
      <c r="F7" s="1366"/>
      <c r="G7" s="16"/>
    </row>
    <row r="8" spans="2:7" ht="15.75">
      <c r="B8" s="448">
        <v>4</v>
      </c>
      <c r="C8" s="467" t="s">
        <v>786</v>
      </c>
      <c r="D8" s="300"/>
      <c r="E8" s="300"/>
      <c r="F8" s="300"/>
      <c r="G8" s="16"/>
    </row>
    <row r="9" spans="2:7" ht="15.75">
      <c r="B9" s="448">
        <v>5</v>
      </c>
      <c r="C9" s="467" t="s">
        <v>787</v>
      </c>
      <c r="D9" s="300"/>
      <c r="E9" s="300"/>
      <c r="F9" s="300"/>
      <c r="G9" s="16"/>
    </row>
    <row r="10" spans="2:7" s="462" customFormat="1">
      <c r="B10" s="481"/>
      <c r="C10" s="482" t="s">
        <v>788</v>
      </c>
      <c r="D10" s="482" t="s">
        <v>789</v>
      </c>
      <c r="E10" s="482" t="s">
        <v>790</v>
      </c>
      <c r="F10" s="482" t="s">
        <v>791</v>
      </c>
      <c r="G10" s="483" t="s">
        <v>41</v>
      </c>
    </row>
    <row r="11" spans="2:7">
      <c r="B11" s="257"/>
      <c r="C11" s="294"/>
      <c r="D11" s="294"/>
      <c r="E11" s="294"/>
      <c r="F11" s="294"/>
      <c r="G11" s="260"/>
    </row>
    <row r="12" spans="2:7">
      <c r="B12" s="257"/>
      <c r="C12" s="294"/>
      <c r="D12" s="294"/>
      <c r="E12" s="294"/>
      <c r="F12" s="294"/>
      <c r="G12" s="260"/>
    </row>
    <row r="13" spans="2:7">
      <c r="B13" s="257"/>
      <c r="C13" s="294"/>
      <c r="D13" s="294"/>
      <c r="E13" s="294"/>
      <c r="F13" s="294"/>
      <c r="G13" s="260"/>
    </row>
    <row r="14" spans="2:7">
      <c r="B14" s="257"/>
      <c r="C14" s="294"/>
      <c r="D14" s="294"/>
      <c r="E14" s="294"/>
      <c r="F14" s="294"/>
      <c r="G14" s="260"/>
    </row>
    <row r="15" spans="2:7">
      <c r="B15" s="257"/>
      <c r="C15" s="294"/>
      <c r="D15" s="294"/>
      <c r="E15" s="294"/>
      <c r="F15" s="294"/>
      <c r="G15" s="260"/>
    </row>
    <row r="16" spans="2:7">
      <c r="B16" s="257"/>
      <c r="C16" s="294"/>
      <c r="D16" s="294"/>
      <c r="E16" s="294"/>
      <c r="F16" s="294"/>
      <c r="G16" s="260"/>
    </row>
    <row r="17" spans="2:7" ht="15.75">
      <c r="B17" s="257">
        <v>6</v>
      </c>
      <c r="C17" s="484" t="s">
        <v>792</v>
      </c>
      <c r="D17" s="485"/>
      <c r="E17" s="485"/>
      <c r="F17" s="486"/>
      <c r="G17" s="450"/>
    </row>
    <row r="18" spans="2:7" ht="15.75">
      <c r="B18" s="257">
        <v>7</v>
      </c>
      <c r="C18" s="467" t="s">
        <v>793</v>
      </c>
      <c r="D18" s="485"/>
      <c r="E18" s="485"/>
      <c r="F18" s="486"/>
      <c r="G18" s="450"/>
    </row>
    <row r="19" spans="2:7" ht="15.75">
      <c r="B19" s="257">
        <v>8</v>
      </c>
      <c r="C19" s="487" t="s">
        <v>794</v>
      </c>
      <c r="D19" s="105"/>
      <c r="E19" s="105"/>
      <c r="F19" s="61"/>
      <c r="G19" s="450"/>
    </row>
    <row r="20" spans="2:7" ht="15.75">
      <c r="B20" s="257">
        <v>9</v>
      </c>
      <c r="C20" s="484" t="s">
        <v>795</v>
      </c>
      <c r="D20" s="105"/>
      <c r="E20" s="105"/>
      <c r="F20" s="61"/>
      <c r="G20" s="450"/>
    </row>
    <row r="21" spans="2:7" ht="15.75">
      <c r="B21" s="257">
        <v>10</v>
      </c>
      <c r="C21" s="1376" t="s">
        <v>796</v>
      </c>
      <c r="D21" s="1377"/>
      <c r="E21" s="1377"/>
      <c r="F21" s="1378"/>
      <c r="G21" s="450"/>
    </row>
    <row r="22" spans="2:7" ht="15.75">
      <c r="B22" s="257">
        <v>11</v>
      </c>
      <c r="C22" s="484" t="s">
        <v>797</v>
      </c>
      <c r="D22" s="485"/>
      <c r="E22" s="485"/>
      <c r="F22" s="486"/>
      <c r="G22" s="450"/>
    </row>
    <row r="23" spans="2:7" ht="15.75">
      <c r="B23" s="257">
        <v>12</v>
      </c>
      <c r="C23" s="484" t="s">
        <v>798</v>
      </c>
      <c r="D23" s="485"/>
      <c r="E23" s="485"/>
      <c r="F23" s="486"/>
      <c r="G23" s="450"/>
    </row>
    <row r="24" spans="2:7" ht="15.75">
      <c r="B24" s="257">
        <v>13</v>
      </c>
      <c r="C24" s="484" t="s">
        <v>799</v>
      </c>
      <c r="D24" s="485"/>
      <c r="E24" s="485"/>
      <c r="F24" s="486"/>
      <c r="G24" s="450"/>
    </row>
    <row r="25" spans="2:7" ht="15.75">
      <c r="B25" s="257">
        <v>14</v>
      </c>
      <c r="C25" s="484" t="s">
        <v>800</v>
      </c>
      <c r="D25" s="485"/>
      <c r="E25" s="485"/>
      <c r="F25" s="486"/>
      <c r="G25" s="450"/>
    </row>
    <row r="26" spans="2:7" ht="15.75">
      <c r="B26" s="257">
        <v>15</v>
      </c>
      <c r="C26" s="467" t="s">
        <v>801</v>
      </c>
      <c r="D26" s="300"/>
      <c r="E26" s="300"/>
      <c r="F26" s="63"/>
      <c r="G26" s="450"/>
    </row>
    <row r="27" spans="2:7" ht="15.75">
      <c r="B27" s="488" t="s">
        <v>802</v>
      </c>
      <c r="C27" s="484" t="s">
        <v>803</v>
      </c>
      <c r="D27" s="485"/>
      <c r="E27" s="485"/>
      <c r="F27" s="486"/>
      <c r="G27" s="450"/>
    </row>
    <row r="28" spans="2:7" ht="15.75">
      <c r="B28" s="257">
        <v>16</v>
      </c>
      <c r="C28" s="484" t="s">
        <v>804</v>
      </c>
      <c r="D28" s="485"/>
      <c r="E28" s="485"/>
      <c r="F28" s="486"/>
      <c r="G28" s="450"/>
    </row>
    <row r="29" spans="2:7" ht="15.75">
      <c r="B29" s="257">
        <v>17</v>
      </c>
      <c r="C29" s="484" t="s">
        <v>805</v>
      </c>
      <c r="D29" s="485"/>
      <c r="E29" s="485"/>
      <c r="F29" s="486"/>
      <c r="G29" s="450"/>
    </row>
    <row r="30" spans="2:7" ht="15.75">
      <c r="B30" s="257">
        <v>18</v>
      </c>
      <c r="C30" s="1376" t="s">
        <v>806</v>
      </c>
      <c r="D30" s="1377"/>
      <c r="E30" s="1377"/>
      <c r="F30" s="1378"/>
      <c r="G30" s="450"/>
    </row>
    <row r="31" spans="2:7" ht="15.75">
      <c r="B31" s="257">
        <v>19</v>
      </c>
      <c r="C31" s="1376" t="s">
        <v>807</v>
      </c>
      <c r="D31" s="1377"/>
      <c r="E31" s="1377"/>
      <c r="F31" s="1378"/>
      <c r="G31" s="16"/>
    </row>
    <row r="32" spans="2:7" ht="18">
      <c r="B32" s="257">
        <v>20</v>
      </c>
      <c r="C32" s="467" t="s">
        <v>808</v>
      </c>
      <c r="D32" s="19"/>
      <c r="E32" s="19"/>
      <c r="F32" s="74"/>
      <c r="G32" s="16"/>
    </row>
    <row r="33" spans="2:7">
      <c r="B33" s="257">
        <v>21</v>
      </c>
      <c r="C33" s="1379" t="s">
        <v>809</v>
      </c>
      <c r="D33" s="1380"/>
      <c r="E33" s="1380"/>
      <c r="F33" s="1380"/>
      <c r="G33" s="1381"/>
    </row>
    <row r="34" spans="2:7" ht="15.75">
      <c r="B34" s="1382" t="s">
        <v>754</v>
      </c>
      <c r="C34" s="1383"/>
      <c r="D34" s="1383"/>
      <c r="E34" s="1383"/>
      <c r="F34" s="1383"/>
      <c r="G34" s="466">
        <f>'04-22-Master'!D10</f>
        <v>44652</v>
      </c>
    </row>
    <row r="35" spans="2:7">
      <c r="B35" s="15"/>
      <c r="C35" s="300"/>
      <c r="D35" s="300"/>
      <c r="E35" s="300"/>
      <c r="F35" s="300"/>
      <c r="G35" s="16"/>
    </row>
    <row r="36" spans="2:7">
      <c r="B36" s="15"/>
      <c r="C36" s="300"/>
      <c r="D36" s="300"/>
      <c r="E36" s="468" t="s">
        <v>755</v>
      </c>
      <c r="F36" s="469" t="str">
        <f>'04-22-Master'!F5</f>
        <v>Burgeon IT Services Pvt.Ltd.</v>
      </c>
      <c r="G36" s="449"/>
    </row>
    <row r="37" spans="2:7">
      <c r="B37" s="15"/>
      <c r="C37" s="300"/>
      <c r="D37" s="300"/>
      <c r="E37" s="300"/>
      <c r="F37" s="300"/>
      <c r="G37" s="16"/>
    </row>
    <row r="38" spans="2:7" ht="15.75" thickBot="1">
      <c r="B38" s="27"/>
      <c r="C38" s="25"/>
      <c r="D38" s="25"/>
      <c r="E38" s="472"/>
      <c r="F38" s="473" t="s">
        <v>756</v>
      </c>
      <c r="G38" s="26"/>
    </row>
  </sheetData>
  <mergeCells count="11">
    <mergeCell ref="C21:F21"/>
    <mergeCell ref="C30:F30"/>
    <mergeCell ref="C31:F31"/>
    <mergeCell ref="C33:G33"/>
    <mergeCell ref="B34:F34"/>
    <mergeCell ref="C7:F7"/>
    <mergeCell ref="B1:G1"/>
    <mergeCell ref="B2:G2"/>
    <mergeCell ref="B3:G3"/>
    <mergeCell ref="C5:F5"/>
    <mergeCell ref="C6:E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G32"/>
  <sheetViews>
    <sheetView topLeftCell="A7" workbookViewId="0">
      <selection activeCell="G23" sqref="G23"/>
    </sheetView>
  </sheetViews>
  <sheetFormatPr defaultColWidth="9.140625" defaultRowHeight="15"/>
  <cols>
    <col min="1" max="1" width="8.7109375" style="390" customWidth="1"/>
    <col min="2" max="2" width="9.140625" style="390"/>
    <col min="3" max="3" width="19.7109375" style="390" customWidth="1"/>
    <col min="4" max="5" width="24.28515625" style="390" customWidth="1"/>
    <col min="6" max="6" width="25.85546875" style="390" customWidth="1"/>
    <col min="7" max="7" width="18.28515625" style="390" customWidth="1"/>
    <col min="8" max="16384" width="9.140625" style="390"/>
  </cols>
  <sheetData>
    <row r="1" spans="2:7" ht="16.5">
      <c r="B1" s="1367" t="s">
        <v>768</v>
      </c>
      <c r="C1" s="1368"/>
      <c r="D1" s="1368"/>
      <c r="E1" s="1368"/>
      <c r="F1" s="1368"/>
      <c r="G1" s="1369"/>
    </row>
    <row r="2" spans="2:7" ht="15.75">
      <c r="B2" s="1384" t="s">
        <v>769</v>
      </c>
      <c r="C2" s="1385"/>
      <c r="D2" s="1385"/>
      <c r="E2" s="1385"/>
      <c r="F2" s="1385"/>
      <c r="G2" s="1386"/>
    </row>
    <row r="3" spans="2:7" ht="15.75">
      <c r="B3" s="454" t="s">
        <v>748</v>
      </c>
      <c r="C3" s="300"/>
      <c r="D3" s="455" t="str">
        <f>'04-22-Master'!F5</f>
        <v>Burgeon IT Services Pvt.Ltd.</v>
      </c>
      <c r="E3" s="456" t="str">
        <f>'04-22-Master'!F6</f>
        <v>Siri Mansion LIGB 436 Dr.A S Rao Nagar,Hyderabad</v>
      </c>
      <c r="F3" s="456"/>
      <c r="G3" s="16"/>
    </row>
    <row r="4" spans="2:7">
      <c r="B4" s="448"/>
      <c r="C4" s="1365"/>
      <c r="D4" s="1366"/>
      <c r="E4" s="1366"/>
      <c r="F4" s="1366"/>
      <c r="G4" s="16"/>
    </row>
    <row r="5" spans="2:7">
      <c r="B5" s="448"/>
      <c r="C5" s="1365"/>
      <c r="D5" s="1366"/>
      <c r="E5" s="1366"/>
      <c r="F5" s="300"/>
      <c r="G5" s="16"/>
    </row>
    <row r="6" spans="2:7" ht="15.75">
      <c r="B6" s="457" t="s">
        <v>770</v>
      </c>
      <c r="C6" s="458"/>
      <c r="D6" s="456"/>
      <c r="E6" s="456"/>
      <c r="F6" s="456"/>
      <c r="G6" s="459"/>
    </row>
    <row r="7" spans="2:7" ht="15.75">
      <c r="B7" s="475"/>
      <c r="C7" s="300"/>
      <c r="D7" s="446" t="s">
        <v>771</v>
      </c>
      <c r="E7" s="300"/>
      <c r="F7" s="300"/>
      <c r="G7" s="16"/>
    </row>
    <row r="8" spans="2:7">
      <c r="B8" s="476" t="s">
        <v>772</v>
      </c>
      <c r="C8" s="300"/>
      <c r="D8" s="300"/>
      <c r="E8" s="300"/>
      <c r="F8" s="300"/>
      <c r="G8" s="16"/>
    </row>
    <row r="9" spans="2:7" s="462" customFormat="1" ht="15.75">
      <c r="B9" s="1387" t="s">
        <v>773</v>
      </c>
      <c r="C9" s="1388"/>
      <c r="D9" s="1388"/>
      <c r="E9" s="1388"/>
      <c r="F9" s="1388"/>
      <c r="G9" s="1389"/>
    </row>
    <row r="10" spans="2:7">
      <c r="B10" s="463" t="s">
        <v>774</v>
      </c>
      <c r="C10" s="300"/>
      <c r="D10" s="300"/>
      <c r="E10" s="300"/>
      <c r="F10" s="300"/>
      <c r="G10" s="16"/>
    </row>
    <row r="11" spans="2:7">
      <c r="B11" s="448"/>
      <c r="C11" s="300"/>
      <c r="D11" s="300"/>
      <c r="E11" s="300"/>
      <c r="F11" s="300"/>
      <c r="G11" s="16"/>
    </row>
    <row r="12" spans="2:7">
      <c r="B12" s="448"/>
      <c r="C12" s="300"/>
      <c r="D12" s="464" t="s">
        <v>752</v>
      </c>
      <c r="E12" s="300"/>
      <c r="F12" s="300"/>
      <c r="G12" s="16"/>
    </row>
    <row r="13" spans="2:7">
      <c r="B13" s="448"/>
      <c r="C13" s="300"/>
      <c r="D13" s="300"/>
      <c r="E13" s="300"/>
      <c r="F13" s="300"/>
      <c r="G13" s="16"/>
    </row>
    <row r="14" spans="2:7">
      <c r="B14" s="448"/>
      <c r="C14" s="300"/>
      <c r="D14" s="300"/>
      <c r="E14" s="300"/>
      <c r="F14" s="300"/>
      <c r="G14" s="16"/>
    </row>
    <row r="15" spans="2:7">
      <c r="B15" s="463" t="s">
        <v>775</v>
      </c>
      <c r="C15" s="300"/>
      <c r="D15" s="300"/>
      <c r="E15" s="300"/>
      <c r="F15" s="300"/>
      <c r="G15" s="16"/>
    </row>
    <row r="16" spans="2:7">
      <c r="B16" s="463" t="s">
        <v>776</v>
      </c>
      <c r="C16" s="300"/>
      <c r="D16" s="300"/>
      <c r="E16" s="300"/>
      <c r="F16" s="300"/>
      <c r="G16" s="16"/>
    </row>
    <row r="17" spans="2:7" ht="15.75">
      <c r="B17" s="463" t="s">
        <v>764</v>
      </c>
      <c r="C17" s="467"/>
      <c r="D17" s="300"/>
      <c r="E17" s="300"/>
      <c r="F17" s="300"/>
      <c r="G17" s="447"/>
    </row>
    <row r="18" spans="2:7" ht="15.75">
      <c r="B18" s="463" t="s">
        <v>777</v>
      </c>
      <c r="C18" s="467"/>
      <c r="D18" s="300"/>
      <c r="E18" s="300"/>
      <c r="F18" s="300"/>
      <c r="G18" s="447"/>
    </row>
    <row r="19" spans="2:7" ht="15.75">
      <c r="B19" s="463" t="s">
        <v>778</v>
      </c>
      <c r="C19" s="467"/>
      <c r="D19" s="300"/>
      <c r="E19" s="300"/>
      <c r="F19" s="300"/>
      <c r="G19" s="447"/>
    </row>
    <row r="20" spans="2:7" ht="15.75">
      <c r="B20" s="477" t="s">
        <v>779</v>
      </c>
      <c r="C20" s="467"/>
      <c r="D20" s="300"/>
      <c r="E20" s="300"/>
      <c r="F20" s="300"/>
      <c r="G20" s="447"/>
    </row>
    <row r="21" spans="2:7" ht="15.75">
      <c r="B21" s="448"/>
      <c r="C21" s="1390"/>
      <c r="D21" s="1390"/>
      <c r="E21" s="1390"/>
      <c r="F21" s="1390"/>
      <c r="G21" s="447"/>
    </row>
    <row r="22" spans="2:7" ht="15.75">
      <c r="B22" s="1382" t="s">
        <v>754</v>
      </c>
      <c r="C22" s="1383"/>
      <c r="D22" s="1383"/>
      <c r="E22" s="1383"/>
      <c r="F22" s="1383"/>
      <c r="G22" s="466">
        <f>'04-22-Master'!D10</f>
        <v>44652</v>
      </c>
    </row>
    <row r="23" spans="2:7" ht="15.75">
      <c r="B23" s="448"/>
      <c r="C23" s="467"/>
      <c r="D23" s="300"/>
      <c r="E23" s="300"/>
      <c r="F23" s="300"/>
      <c r="G23" s="447"/>
    </row>
    <row r="24" spans="2:7" ht="15.75">
      <c r="B24" s="448"/>
      <c r="C24" s="467"/>
      <c r="D24" s="300"/>
      <c r="E24" s="300"/>
      <c r="F24" s="300"/>
      <c r="G24" s="447"/>
    </row>
    <row r="25" spans="2:7" ht="15.75">
      <c r="B25" s="448"/>
      <c r="C25" s="467"/>
      <c r="D25" s="300"/>
      <c r="E25" s="468" t="s">
        <v>755</v>
      </c>
      <c r="F25" s="469" t="str">
        <f>'04-22-Master'!F5</f>
        <v>Burgeon IT Services Pvt.Ltd.</v>
      </c>
      <c r="G25" s="449"/>
    </row>
    <row r="26" spans="2:7" ht="15.75">
      <c r="B26" s="448"/>
      <c r="C26" s="467"/>
      <c r="D26" s="300"/>
      <c r="E26" s="300"/>
      <c r="F26" s="300"/>
      <c r="G26" s="16"/>
    </row>
    <row r="27" spans="2:7" ht="15.75">
      <c r="B27" s="470"/>
      <c r="C27" s="467"/>
      <c r="D27" s="300"/>
      <c r="E27" s="468"/>
      <c r="F27" s="471" t="s">
        <v>756</v>
      </c>
      <c r="G27" s="16"/>
    </row>
    <row r="28" spans="2:7" ht="15.75">
      <c r="B28" s="448"/>
      <c r="C28" s="467"/>
      <c r="D28" s="300"/>
      <c r="E28" s="300"/>
      <c r="F28" s="300"/>
      <c r="G28" s="447"/>
    </row>
    <row r="29" spans="2:7">
      <c r="B29" s="15"/>
      <c r="C29" s="300"/>
      <c r="D29" s="300"/>
      <c r="E29" s="300"/>
      <c r="F29" s="300"/>
      <c r="G29" s="16"/>
    </row>
    <row r="30" spans="2:7">
      <c r="B30" s="15"/>
      <c r="C30" s="300"/>
      <c r="D30" s="300"/>
      <c r="E30" s="468"/>
      <c r="F30" s="399"/>
      <c r="G30" s="447"/>
    </row>
    <row r="31" spans="2:7">
      <c r="B31" s="15"/>
      <c r="C31" s="300"/>
      <c r="D31" s="300"/>
      <c r="E31" s="300"/>
      <c r="F31" s="300"/>
      <c r="G31" s="16"/>
    </row>
    <row r="32" spans="2:7" ht="15.75" thickBot="1">
      <c r="B32" s="27"/>
      <c r="C32" s="25"/>
      <c r="D32" s="25"/>
      <c r="E32" s="472"/>
      <c r="F32" s="473"/>
      <c r="G32" s="26"/>
    </row>
  </sheetData>
  <mergeCells count="7">
    <mergeCell ref="B22:F22"/>
    <mergeCell ref="B1:G1"/>
    <mergeCell ref="B2:G2"/>
    <mergeCell ref="C4:F4"/>
    <mergeCell ref="C5:E5"/>
    <mergeCell ref="B9:G9"/>
    <mergeCell ref="C21:F21"/>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G28"/>
  <sheetViews>
    <sheetView workbookViewId="0">
      <selection activeCell="G18" sqref="G18"/>
    </sheetView>
  </sheetViews>
  <sheetFormatPr defaultColWidth="9.140625" defaultRowHeight="15"/>
  <cols>
    <col min="1" max="1" width="8.7109375" style="390" customWidth="1"/>
    <col min="2" max="2" width="9.140625" style="390"/>
    <col min="3" max="3" width="19.7109375" style="390" customWidth="1"/>
    <col min="4" max="5" width="24.28515625" style="390" customWidth="1"/>
    <col min="6" max="6" width="25.85546875" style="390" customWidth="1"/>
    <col min="7" max="7" width="18.28515625" style="390" customWidth="1"/>
    <col min="8" max="16384" width="9.140625" style="390"/>
  </cols>
  <sheetData>
    <row r="1" spans="2:7" ht="16.5">
      <c r="B1" s="1367" t="s">
        <v>746</v>
      </c>
      <c r="C1" s="1368"/>
      <c r="D1" s="1368"/>
      <c r="E1" s="1368"/>
      <c r="F1" s="1368"/>
      <c r="G1" s="1369"/>
    </row>
    <row r="2" spans="2:7" ht="15.75">
      <c r="B2" s="1391" t="s">
        <v>747</v>
      </c>
      <c r="C2" s="1392"/>
      <c r="D2" s="1392"/>
      <c r="E2" s="1392"/>
      <c r="F2" s="1392"/>
      <c r="G2" s="1393"/>
    </row>
    <row r="3" spans="2:7" ht="15.75">
      <c r="B3" s="451"/>
      <c r="C3" s="452"/>
      <c r="D3" s="452"/>
      <c r="E3" s="452"/>
      <c r="F3" s="452"/>
      <c r="G3" s="453"/>
    </row>
    <row r="4" spans="2:7" ht="15.75">
      <c r="B4" s="454" t="s">
        <v>748</v>
      </c>
      <c r="C4" s="300"/>
      <c r="D4" s="455" t="str">
        <f>'04-22-Master'!F5</f>
        <v>Burgeon IT Services Pvt.Ltd.</v>
      </c>
      <c r="E4" s="456" t="str">
        <f>'04-22-Master'!F6</f>
        <v>Siri Mansion LIGB 436 Dr.A S Rao Nagar,Hyderabad</v>
      </c>
      <c r="F4" s="456"/>
      <c r="G4" s="16"/>
    </row>
    <row r="5" spans="2:7">
      <c r="B5" s="448"/>
      <c r="C5" s="1365"/>
      <c r="D5" s="1366"/>
      <c r="E5" s="1366"/>
      <c r="F5" s="1366"/>
      <c r="G5" s="16"/>
    </row>
    <row r="6" spans="2:7">
      <c r="B6" s="448"/>
      <c r="C6" s="1365"/>
      <c r="D6" s="1366"/>
      <c r="E6" s="1366"/>
      <c r="F6" s="300"/>
      <c r="G6" s="16"/>
    </row>
    <row r="7" spans="2:7" ht="15.75">
      <c r="B7" s="457" t="s">
        <v>749</v>
      </c>
      <c r="C7" s="458"/>
      <c r="D7" s="456"/>
      <c r="E7" s="456"/>
      <c r="F7" s="456"/>
      <c r="G7" s="459"/>
    </row>
    <row r="8" spans="2:7" ht="15.75">
      <c r="B8" s="460" t="s">
        <v>750</v>
      </c>
      <c r="C8" s="300"/>
      <c r="D8" s="446"/>
      <c r="E8" s="300"/>
      <c r="F8" s="300"/>
      <c r="G8" s="16"/>
    </row>
    <row r="9" spans="2:7" ht="15.75">
      <c r="B9" s="461" t="s">
        <v>751</v>
      </c>
      <c r="C9" s="300"/>
      <c r="D9" s="300"/>
      <c r="E9" s="300"/>
      <c r="F9" s="300"/>
      <c r="G9" s="16"/>
    </row>
    <row r="10" spans="2:7" s="462" customFormat="1" ht="15.75">
      <c r="B10" s="1387"/>
      <c r="C10" s="1388"/>
      <c r="D10" s="1388"/>
      <c r="E10" s="1388"/>
      <c r="F10" s="1388"/>
      <c r="G10" s="1389"/>
    </row>
    <row r="11" spans="2:7">
      <c r="B11" s="463"/>
      <c r="C11" s="300"/>
      <c r="D11" s="300"/>
      <c r="E11" s="300"/>
      <c r="F11" s="300"/>
      <c r="G11" s="16"/>
    </row>
    <row r="12" spans="2:7">
      <c r="B12" s="448"/>
      <c r="C12" s="300"/>
      <c r="D12" s="300"/>
      <c r="E12" s="300"/>
      <c r="F12" s="300"/>
      <c r="G12" s="16"/>
    </row>
    <row r="13" spans="2:7">
      <c r="B13" s="448"/>
      <c r="C13" s="300"/>
      <c r="D13" s="464" t="s">
        <v>752</v>
      </c>
      <c r="E13" s="300"/>
      <c r="F13" s="300"/>
      <c r="G13" s="16"/>
    </row>
    <row r="14" spans="2:7">
      <c r="B14" s="448"/>
      <c r="C14" s="300"/>
      <c r="D14" s="300"/>
      <c r="E14" s="300"/>
      <c r="F14" s="300"/>
      <c r="G14" s="16"/>
    </row>
    <row r="15" spans="2:7">
      <c r="B15" s="448"/>
      <c r="C15" s="465" t="s">
        <v>753</v>
      </c>
      <c r="D15" s="300"/>
      <c r="E15" s="300"/>
      <c r="F15" s="300"/>
      <c r="G15" s="16"/>
    </row>
    <row r="16" spans="2:7" ht="15.75">
      <c r="B16" s="448"/>
      <c r="C16" s="1390"/>
      <c r="D16" s="1390"/>
      <c r="E16" s="1390"/>
      <c r="F16" s="1390"/>
      <c r="G16" s="447"/>
    </row>
    <row r="17" spans="2:7" ht="15.75">
      <c r="B17" s="1382" t="s">
        <v>754</v>
      </c>
      <c r="C17" s="1383"/>
      <c r="D17" s="1383"/>
      <c r="E17" s="1383"/>
      <c r="F17" s="1383"/>
      <c r="G17" s="466">
        <f>'04-22-Master'!D10</f>
        <v>44652</v>
      </c>
    </row>
    <row r="18" spans="2:7" ht="15.75">
      <c r="B18" s="448"/>
      <c r="C18" s="467"/>
      <c r="D18" s="300"/>
      <c r="E18" s="300"/>
      <c r="F18" s="300"/>
      <c r="G18" s="447"/>
    </row>
    <row r="19" spans="2:7" ht="15.75">
      <c r="B19" s="448"/>
      <c r="C19" s="467"/>
      <c r="D19" s="300"/>
      <c r="E19" s="300"/>
      <c r="F19" s="300"/>
      <c r="G19" s="447"/>
    </row>
    <row r="20" spans="2:7" ht="15.75">
      <c r="B20" s="448"/>
      <c r="C20" s="467"/>
      <c r="D20" s="300"/>
      <c r="E20" s="468" t="s">
        <v>755</v>
      </c>
      <c r="F20" s="469" t="str">
        <f>'04-22-Master'!F5</f>
        <v>Burgeon IT Services Pvt.Ltd.</v>
      </c>
      <c r="G20" s="449"/>
    </row>
    <row r="21" spans="2:7" ht="15.75">
      <c r="B21" s="448"/>
      <c r="C21" s="467"/>
      <c r="D21" s="300"/>
      <c r="E21" s="300"/>
      <c r="F21" s="300"/>
      <c r="G21" s="16"/>
    </row>
    <row r="22" spans="2:7" ht="15.75">
      <c r="B22" s="470"/>
      <c r="C22" s="467"/>
      <c r="D22" s="300"/>
      <c r="E22" s="468"/>
      <c r="F22" s="471" t="s">
        <v>756</v>
      </c>
      <c r="G22" s="16"/>
    </row>
    <row r="23" spans="2:7" ht="15.75">
      <c r="B23" s="448"/>
      <c r="C23" s="467"/>
      <c r="D23" s="300"/>
      <c r="E23" s="300"/>
      <c r="F23" s="300"/>
      <c r="G23" s="447"/>
    </row>
    <row r="24" spans="2:7" ht="15.75">
      <c r="B24" s="1382"/>
      <c r="C24" s="1383"/>
      <c r="D24" s="1383"/>
      <c r="E24" s="1383"/>
      <c r="F24" s="1383"/>
      <c r="G24" s="466"/>
    </row>
    <row r="25" spans="2:7">
      <c r="B25" s="15"/>
      <c r="C25" s="300"/>
      <c r="D25" s="300"/>
      <c r="E25" s="300"/>
      <c r="F25" s="300"/>
      <c r="G25" s="16"/>
    </row>
    <row r="26" spans="2:7">
      <c r="B26" s="15"/>
      <c r="C26" s="300"/>
      <c r="D26" s="300"/>
      <c r="E26" s="468"/>
      <c r="F26" s="399"/>
      <c r="G26" s="447"/>
    </row>
    <row r="27" spans="2:7">
      <c r="B27" s="15"/>
      <c r="C27" s="300"/>
      <c r="D27" s="300"/>
      <c r="E27" s="300"/>
      <c r="F27" s="300"/>
      <c r="G27" s="16"/>
    </row>
    <row r="28" spans="2:7" ht="15.75" thickBot="1">
      <c r="B28" s="27"/>
      <c r="C28" s="25"/>
      <c r="D28" s="25"/>
      <c r="E28" s="472"/>
      <c r="F28" s="473"/>
      <c r="G28" s="26"/>
    </row>
  </sheetData>
  <mergeCells count="8">
    <mergeCell ref="B17:F17"/>
    <mergeCell ref="B24:F24"/>
    <mergeCell ref="B1:G1"/>
    <mergeCell ref="B2:G2"/>
    <mergeCell ref="C5:F5"/>
    <mergeCell ref="C6:E6"/>
    <mergeCell ref="B10:G10"/>
    <mergeCell ref="C16:F16"/>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G37"/>
  <sheetViews>
    <sheetView topLeftCell="A25" workbookViewId="0">
      <selection activeCell="G23" sqref="G23"/>
    </sheetView>
  </sheetViews>
  <sheetFormatPr defaultColWidth="9.140625" defaultRowHeight="15"/>
  <cols>
    <col min="1" max="1" width="8.7109375" style="390" customWidth="1"/>
    <col min="2" max="2" width="9.140625" style="390"/>
    <col min="3" max="3" width="19.7109375" style="390" customWidth="1"/>
    <col min="4" max="5" width="24.28515625" style="390" customWidth="1"/>
    <col min="6" max="6" width="25.85546875" style="390" customWidth="1"/>
    <col min="7" max="7" width="18.28515625" style="390" customWidth="1"/>
    <col min="8" max="16384" width="9.140625" style="390"/>
  </cols>
  <sheetData>
    <row r="1" spans="2:7" ht="22.9" customHeight="1">
      <c r="B1" s="1367" t="s">
        <v>757</v>
      </c>
      <c r="C1" s="1368"/>
      <c r="D1" s="1368"/>
      <c r="E1" s="1368"/>
      <c r="F1" s="1368"/>
      <c r="G1" s="1369"/>
    </row>
    <row r="2" spans="2:7" ht="15.75">
      <c r="B2" s="1391" t="s">
        <v>758</v>
      </c>
      <c r="C2" s="1392"/>
      <c r="D2" s="1392"/>
      <c r="E2" s="1392"/>
      <c r="F2" s="1392"/>
      <c r="G2" s="1393"/>
    </row>
    <row r="3" spans="2:7" ht="10.9" customHeight="1">
      <c r="B3" s="451"/>
      <c r="C3" s="452"/>
      <c r="D3" s="452"/>
      <c r="E3" s="452"/>
      <c r="F3" s="452"/>
      <c r="G3" s="453"/>
    </row>
    <row r="4" spans="2:7" ht="15.75">
      <c r="B4" s="454" t="s">
        <v>748</v>
      </c>
      <c r="C4" s="300"/>
      <c r="D4" s="455" t="str">
        <f>'04-22-Master'!F5</f>
        <v>Burgeon IT Services Pvt.Ltd.</v>
      </c>
      <c r="E4" s="456" t="str">
        <f>'04-22-Master'!F6</f>
        <v>Siri Mansion LIGB 436 Dr.A S Rao Nagar,Hyderabad</v>
      </c>
      <c r="F4" s="456"/>
      <c r="G4" s="16"/>
    </row>
    <row r="5" spans="2:7">
      <c r="B5" s="448"/>
      <c r="C5" s="1365"/>
      <c r="D5" s="1366"/>
      <c r="E5" s="1366"/>
      <c r="F5" s="1366"/>
      <c r="G5" s="16"/>
    </row>
    <row r="6" spans="2:7">
      <c r="B6" s="448"/>
      <c r="C6" s="1365"/>
      <c r="D6" s="1366"/>
      <c r="E6" s="1366"/>
      <c r="F6" s="300"/>
      <c r="G6" s="16"/>
    </row>
    <row r="7" spans="2:7" ht="15.75">
      <c r="B7" s="457" t="s">
        <v>759</v>
      </c>
      <c r="C7" s="458"/>
      <c r="D7" s="456"/>
      <c r="E7" s="456"/>
      <c r="F7" s="456"/>
      <c r="G7" s="459"/>
    </row>
    <row r="8" spans="2:7" ht="15.75">
      <c r="B8" s="460" t="s">
        <v>760</v>
      </c>
      <c r="C8" s="300"/>
      <c r="D8" s="446"/>
      <c r="E8" s="300"/>
      <c r="F8" s="300"/>
      <c r="G8" s="16"/>
    </row>
    <row r="9" spans="2:7" ht="15.75">
      <c r="B9" s="461"/>
      <c r="C9" s="300"/>
      <c r="D9" s="300"/>
      <c r="E9" s="300"/>
      <c r="F9" s="300"/>
      <c r="G9" s="16"/>
    </row>
    <row r="10" spans="2:7" s="462" customFormat="1" ht="15.75">
      <c r="B10" s="1387"/>
      <c r="C10" s="1388"/>
      <c r="D10" s="1388"/>
      <c r="E10" s="1388"/>
      <c r="F10" s="1388"/>
      <c r="G10" s="1389"/>
    </row>
    <row r="11" spans="2:7">
      <c r="B11" s="463"/>
      <c r="C11" s="300"/>
      <c r="D11" s="300"/>
      <c r="E11" s="464" t="s">
        <v>761</v>
      </c>
      <c r="F11" s="300"/>
      <c r="G11" s="16"/>
    </row>
    <row r="12" spans="2:7">
      <c r="B12" s="463"/>
      <c r="C12" s="300"/>
      <c r="D12" s="300"/>
      <c r="E12" s="464"/>
      <c r="F12" s="300"/>
      <c r="G12" s="16"/>
    </row>
    <row r="13" spans="2:7">
      <c r="B13" s="463"/>
      <c r="C13" s="233" t="s">
        <v>762</v>
      </c>
      <c r="D13" s="300"/>
      <c r="E13" s="464"/>
      <c r="F13" s="300"/>
      <c r="G13" s="16"/>
    </row>
    <row r="14" spans="2:7">
      <c r="B14" s="463"/>
      <c r="C14" s="233" t="s">
        <v>763</v>
      </c>
      <c r="D14" s="300"/>
      <c r="E14" s="464"/>
      <c r="F14" s="300"/>
      <c r="G14" s="16"/>
    </row>
    <row r="15" spans="2:7">
      <c r="B15" s="463"/>
      <c r="C15" s="474" t="s">
        <v>764</v>
      </c>
      <c r="D15" s="300"/>
      <c r="E15" s="464"/>
      <c r="F15" s="300"/>
      <c r="G15" s="16"/>
    </row>
    <row r="16" spans="2:7">
      <c r="B16" s="463"/>
      <c r="C16" s="474" t="s">
        <v>765</v>
      </c>
      <c r="D16" s="300"/>
      <c r="E16" s="464"/>
      <c r="F16" s="300"/>
      <c r="G16" s="16"/>
    </row>
    <row r="17" spans="2:7">
      <c r="B17" s="448"/>
      <c r="C17" s="474" t="s">
        <v>766</v>
      </c>
      <c r="D17" s="300"/>
      <c r="E17" s="300"/>
      <c r="F17" s="300"/>
      <c r="G17" s="16"/>
    </row>
    <row r="18" spans="2:7">
      <c r="B18" s="448"/>
      <c r="C18" s="300"/>
      <c r="E18" s="300"/>
      <c r="F18" s="300"/>
      <c r="G18" s="16"/>
    </row>
    <row r="19" spans="2:7">
      <c r="B19" s="448"/>
      <c r="C19" s="300"/>
      <c r="D19" s="300"/>
      <c r="E19" s="300"/>
      <c r="F19" s="300"/>
      <c r="G19" s="16"/>
    </row>
    <row r="20" spans="2:7">
      <c r="B20" s="448"/>
      <c r="C20" s="474" t="s">
        <v>767</v>
      </c>
      <c r="D20" s="300"/>
      <c r="E20" s="300"/>
      <c r="F20" s="300"/>
      <c r="G20" s="16"/>
    </row>
    <row r="21" spans="2:7" ht="15.75">
      <c r="B21" s="448"/>
      <c r="C21" s="1390"/>
      <c r="D21" s="1390"/>
      <c r="E21" s="1390"/>
      <c r="F21" s="1390"/>
      <c r="G21" s="447"/>
    </row>
    <row r="22" spans="2:7" ht="15.75">
      <c r="B22" s="1382" t="s">
        <v>754</v>
      </c>
      <c r="C22" s="1383"/>
      <c r="D22" s="1383"/>
      <c r="E22" s="1383"/>
      <c r="F22" s="1383"/>
      <c r="G22" s="466">
        <f>'04-22-Master'!D10</f>
        <v>44652</v>
      </c>
    </row>
    <row r="23" spans="2:7" ht="15.75">
      <c r="B23" s="448"/>
      <c r="C23" s="467"/>
      <c r="D23" s="300"/>
      <c r="E23" s="300"/>
      <c r="F23" s="300"/>
      <c r="G23" s="447"/>
    </row>
    <row r="24" spans="2:7" ht="15.75">
      <c r="B24" s="448"/>
      <c r="C24" s="467"/>
      <c r="D24" s="300"/>
      <c r="E24" s="300"/>
      <c r="F24" s="300"/>
      <c r="G24" s="447"/>
    </row>
    <row r="25" spans="2:7" ht="15.75">
      <c r="B25" s="448"/>
      <c r="C25" s="467"/>
      <c r="D25" s="300"/>
      <c r="E25" s="468" t="s">
        <v>755</v>
      </c>
      <c r="F25" s="469" t="str">
        <f>'04-22-Master'!F5</f>
        <v>Burgeon IT Services Pvt.Ltd.</v>
      </c>
      <c r="G25" s="449"/>
    </row>
    <row r="26" spans="2:7" ht="15.75">
      <c r="B26" s="448"/>
      <c r="C26" s="467"/>
      <c r="D26" s="300"/>
      <c r="E26" s="300"/>
      <c r="F26" s="300"/>
      <c r="G26" s="16"/>
    </row>
    <row r="27" spans="2:7" ht="15.75">
      <c r="B27" s="470"/>
      <c r="C27" s="467"/>
      <c r="D27" s="300"/>
      <c r="E27" s="468"/>
      <c r="F27" s="471" t="s">
        <v>756</v>
      </c>
      <c r="G27" s="16"/>
    </row>
    <row r="28" spans="2:7" ht="15.75">
      <c r="B28" s="448"/>
      <c r="C28" s="467"/>
      <c r="D28" s="300"/>
      <c r="E28" s="300"/>
      <c r="F28" s="300"/>
      <c r="G28" s="447"/>
    </row>
    <row r="29" spans="2:7" ht="15.75">
      <c r="B29" s="448"/>
      <c r="C29" s="467"/>
      <c r="D29" s="300"/>
      <c r="E29" s="300"/>
      <c r="F29" s="300"/>
      <c r="G29" s="447"/>
    </row>
    <row r="30" spans="2:7" ht="15.75">
      <c r="B30" s="448"/>
      <c r="C30" s="1390"/>
      <c r="D30" s="1390"/>
      <c r="E30" s="1390"/>
      <c r="F30" s="1390"/>
      <c r="G30" s="16"/>
    </row>
    <row r="31" spans="2:7" ht="15.75">
      <c r="B31" s="448"/>
      <c r="C31" s="467"/>
      <c r="D31" s="300"/>
      <c r="E31" s="300"/>
      <c r="F31" s="300"/>
      <c r="G31" s="16"/>
    </row>
    <row r="32" spans="2:7">
      <c r="B32" s="448"/>
      <c r="C32" s="1394"/>
      <c r="D32" s="1395"/>
      <c r="E32" s="1395"/>
      <c r="F32" s="1395"/>
      <c r="G32" s="1396"/>
    </row>
    <row r="33" spans="2:7" ht="15.75">
      <c r="B33" s="1382"/>
      <c r="C33" s="1383"/>
      <c r="D33" s="1383"/>
      <c r="E33" s="1383"/>
      <c r="F33" s="1383"/>
      <c r="G33" s="466"/>
    </row>
    <row r="34" spans="2:7">
      <c r="B34" s="15"/>
      <c r="C34" s="300"/>
      <c r="D34" s="300"/>
      <c r="E34" s="300"/>
      <c r="F34" s="300"/>
      <c r="G34" s="16"/>
    </row>
    <row r="35" spans="2:7">
      <c r="B35" s="15"/>
      <c r="C35" s="300"/>
      <c r="D35" s="300"/>
      <c r="E35" s="468"/>
      <c r="F35" s="399"/>
      <c r="G35" s="447"/>
    </row>
    <row r="36" spans="2:7">
      <c r="B36" s="15"/>
      <c r="C36" s="300"/>
      <c r="D36" s="300"/>
      <c r="E36" s="300"/>
      <c r="F36" s="300"/>
      <c r="G36" s="16"/>
    </row>
    <row r="37" spans="2:7" ht="15.75" thickBot="1">
      <c r="B37" s="27"/>
      <c r="C37" s="25"/>
      <c r="D37" s="25"/>
      <c r="E37" s="472"/>
      <c r="F37" s="473"/>
      <c r="G37" s="26"/>
    </row>
  </sheetData>
  <mergeCells count="10">
    <mergeCell ref="B22:F22"/>
    <mergeCell ref="C30:F30"/>
    <mergeCell ref="C32:G32"/>
    <mergeCell ref="B33:F33"/>
    <mergeCell ref="B1:G1"/>
    <mergeCell ref="B2:G2"/>
    <mergeCell ref="C5:F5"/>
    <mergeCell ref="C6:E6"/>
    <mergeCell ref="B10:G10"/>
    <mergeCell ref="C21:F21"/>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G22"/>
  <sheetViews>
    <sheetView workbookViewId="0">
      <selection activeCell="I16" sqref="I16"/>
    </sheetView>
  </sheetViews>
  <sheetFormatPr defaultRowHeight="15"/>
  <cols>
    <col min="3" max="3" width="21.7109375" bestFit="1" customWidth="1"/>
    <col min="4" max="4" width="17" customWidth="1"/>
    <col min="5" max="5" width="14.42578125" customWidth="1"/>
    <col min="6" max="6" width="17" customWidth="1"/>
    <col min="7" max="7" width="16.42578125" customWidth="1"/>
  </cols>
  <sheetData>
    <row r="1" spans="2:7" ht="23.25" customHeight="1">
      <c r="C1" s="2" t="str">
        <f>'04-22-Master'!F5</f>
        <v>Burgeon IT Services Pvt.Ltd.</v>
      </c>
      <c r="E1" s="2" t="s">
        <v>198</v>
      </c>
    </row>
    <row r="2" spans="2:7">
      <c r="B2" s="151" t="s">
        <v>5</v>
      </c>
      <c r="C2" s="151" t="s">
        <v>158</v>
      </c>
      <c r="D2" s="151" t="s">
        <v>144</v>
      </c>
      <c r="E2" s="151" t="s">
        <v>196</v>
      </c>
      <c r="F2" s="151" t="s">
        <v>197</v>
      </c>
      <c r="G2" s="151" t="s">
        <v>41</v>
      </c>
    </row>
    <row r="3" spans="2:7">
      <c r="B3" s="13">
        <v>1</v>
      </c>
      <c r="C3" s="28" t="e">
        <f>'04-22-Master'!#REF!</f>
        <v>#REF!</v>
      </c>
      <c r="D3" s="28" t="e">
        <f>'04-22-Master'!#REF!</f>
        <v>#REF!</v>
      </c>
      <c r="E3" s="13"/>
      <c r="F3" s="13"/>
      <c r="G3" s="13"/>
    </row>
    <row r="4" spans="2:7">
      <c r="B4" s="13">
        <v>2</v>
      </c>
      <c r="C4" s="28" t="e">
        <f>'04-22-Master'!#REF!</f>
        <v>#REF!</v>
      </c>
      <c r="D4" s="28" t="e">
        <f>'04-22-Master'!#REF!</f>
        <v>#REF!</v>
      </c>
      <c r="E4" s="13"/>
      <c r="F4" s="13"/>
      <c r="G4" s="13"/>
    </row>
    <row r="5" spans="2:7">
      <c r="B5" s="13">
        <v>3</v>
      </c>
      <c r="C5" s="28" t="e">
        <f>'04-22-Master'!#REF!</f>
        <v>#REF!</v>
      </c>
      <c r="D5" s="28" t="e">
        <f>'04-22-Master'!#REF!</f>
        <v>#REF!</v>
      </c>
      <c r="E5" s="13"/>
      <c r="F5" s="13"/>
      <c r="G5" s="13"/>
    </row>
    <row r="6" spans="2:7">
      <c r="B6" s="13">
        <v>4</v>
      </c>
      <c r="C6" s="28" t="e">
        <f>'04-22-Master'!#REF!</f>
        <v>#REF!</v>
      </c>
      <c r="D6" s="28" t="e">
        <f>'04-22-Master'!#REF!</f>
        <v>#REF!</v>
      </c>
      <c r="E6" s="13"/>
      <c r="F6" s="13"/>
      <c r="G6" s="13"/>
    </row>
    <row r="7" spans="2:7">
      <c r="B7" s="13">
        <v>5</v>
      </c>
      <c r="C7" s="28" t="e">
        <f>'04-22-Master'!#REF!</f>
        <v>#REF!</v>
      </c>
      <c r="D7" s="28" t="e">
        <f>'04-22-Master'!#REF!</f>
        <v>#REF!</v>
      </c>
      <c r="E7" s="13"/>
      <c r="F7" s="13"/>
      <c r="G7" s="13"/>
    </row>
    <row r="8" spans="2:7">
      <c r="B8" s="13">
        <v>6</v>
      </c>
      <c r="C8" s="28" t="e">
        <f>'04-22-Master'!#REF!</f>
        <v>#REF!</v>
      </c>
      <c r="D8" s="28" t="e">
        <f>'04-22-Master'!#REF!</f>
        <v>#REF!</v>
      </c>
      <c r="E8" s="13"/>
      <c r="F8" s="13"/>
      <c r="G8" s="13"/>
    </row>
    <row r="9" spans="2:7">
      <c r="B9" s="13">
        <v>7</v>
      </c>
      <c r="C9" s="28" t="e">
        <f>'04-22-Master'!#REF!</f>
        <v>#REF!</v>
      </c>
      <c r="D9" s="28" t="e">
        <f>'04-22-Master'!#REF!</f>
        <v>#REF!</v>
      </c>
      <c r="E9" s="13"/>
      <c r="F9" s="13"/>
      <c r="G9" s="13"/>
    </row>
    <row r="10" spans="2:7">
      <c r="B10" s="13">
        <v>8</v>
      </c>
      <c r="C10" s="28" t="e">
        <f>'04-22-Master'!#REF!</f>
        <v>#REF!</v>
      </c>
      <c r="D10" s="28" t="e">
        <f>'04-22-Master'!#REF!</f>
        <v>#REF!</v>
      </c>
      <c r="E10" s="13"/>
      <c r="F10" s="13"/>
      <c r="G10" s="13"/>
    </row>
    <row r="11" spans="2:7">
      <c r="B11" s="13">
        <v>9</v>
      </c>
      <c r="C11" s="28" t="e">
        <f>'04-22-Master'!#REF!</f>
        <v>#REF!</v>
      </c>
      <c r="D11" s="28" t="e">
        <f>'04-22-Master'!#REF!</f>
        <v>#REF!</v>
      </c>
      <c r="E11" s="13"/>
      <c r="F11" s="13"/>
      <c r="G11" s="13"/>
    </row>
    <row r="12" spans="2:7">
      <c r="B12" s="13">
        <v>10</v>
      </c>
      <c r="C12" s="28" t="e">
        <f>'04-22-Master'!#REF!</f>
        <v>#REF!</v>
      </c>
      <c r="D12" s="28" t="e">
        <f>'04-22-Master'!#REF!</f>
        <v>#REF!</v>
      </c>
      <c r="E12" s="13"/>
      <c r="F12" s="13"/>
      <c r="G12" s="13"/>
    </row>
    <row r="13" spans="2:7">
      <c r="B13" s="13">
        <v>11</v>
      </c>
      <c r="C13" s="28" t="e">
        <f>'04-22-Master'!#REF!</f>
        <v>#REF!</v>
      </c>
      <c r="D13" s="28" t="e">
        <f>'04-22-Master'!#REF!</f>
        <v>#REF!</v>
      </c>
      <c r="E13" s="13"/>
      <c r="F13" s="13"/>
      <c r="G13" s="13"/>
    </row>
    <row r="14" spans="2:7">
      <c r="B14" s="13">
        <v>12</v>
      </c>
      <c r="C14" s="28" t="e">
        <f>'04-22-Master'!#REF!</f>
        <v>#REF!</v>
      </c>
      <c r="D14" s="28" t="e">
        <f>'04-22-Master'!#REF!</f>
        <v>#REF!</v>
      </c>
      <c r="E14" s="13"/>
      <c r="F14" s="13"/>
      <c r="G14" s="13"/>
    </row>
    <row r="15" spans="2:7">
      <c r="B15" s="13">
        <v>13</v>
      </c>
      <c r="C15" s="28" t="str">
        <f>[4]LEFT!U3</f>
        <v xml:space="preserve">Bharath Dommaraju </v>
      </c>
      <c r="D15" s="28" t="str">
        <f>[4]LEFT!T3</f>
        <v>N/A</v>
      </c>
      <c r="E15" s="13"/>
      <c r="F15" s="13"/>
      <c r="G15" s="13"/>
    </row>
    <row r="16" spans="2:7">
      <c r="B16" s="13">
        <v>14</v>
      </c>
      <c r="C16" s="28" t="e">
        <f>[4]LEFT!U4</f>
        <v>#REF!</v>
      </c>
      <c r="D16" s="28" t="e">
        <f>[4]LEFT!T4</f>
        <v>#REF!</v>
      </c>
      <c r="E16" s="13"/>
      <c r="F16" s="13"/>
      <c r="G16" s="13"/>
    </row>
    <row r="17" spans="2:7">
      <c r="B17" s="13">
        <v>15</v>
      </c>
      <c r="C17" s="28" t="e">
        <f>[4]LEFT!U5</f>
        <v>#REF!</v>
      </c>
      <c r="D17" s="28" t="e">
        <f>[4]LEFT!T5</f>
        <v>#REF!</v>
      </c>
      <c r="E17" s="13"/>
      <c r="F17" s="13"/>
      <c r="G17" s="13"/>
    </row>
    <row r="18" spans="2:7">
      <c r="B18" s="13">
        <v>16</v>
      </c>
      <c r="C18" s="28" t="e">
        <f>[4]LEFT!U6</f>
        <v>#REF!</v>
      </c>
      <c r="D18" s="28" t="e">
        <f>[4]LEFT!T6</f>
        <v>#REF!</v>
      </c>
      <c r="E18" s="13"/>
      <c r="F18" s="13"/>
      <c r="G18" s="13"/>
    </row>
    <row r="19" spans="2:7">
      <c r="B19" s="13">
        <v>17</v>
      </c>
      <c r="C19" s="28" t="e">
        <f>[4]LEFT!U7</f>
        <v>#REF!</v>
      </c>
      <c r="D19" s="28" t="e">
        <f>[4]LEFT!T7</f>
        <v>#REF!</v>
      </c>
      <c r="E19" s="13"/>
      <c r="F19" s="13"/>
      <c r="G19" s="13"/>
    </row>
    <row r="20" spans="2:7">
      <c r="B20" s="13">
        <v>18</v>
      </c>
      <c r="C20" s="28" t="e">
        <f>[4]LEFT!U8</f>
        <v>#REF!</v>
      </c>
      <c r="D20" s="28" t="e">
        <f>[4]LEFT!T8</f>
        <v>#REF!</v>
      </c>
      <c r="E20" s="13"/>
      <c r="F20" s="13"/>
      <c r="G20" s="13"/>
    </row>
    <row r="21" spans="2:7">
      <c r="B21" s="13">
        <v>19</v>
      </c>
      <c r="C21" s="28" t="e">
        <f>[4]LEFT!U9</f>
        <v>#REF!</v>
      </c>
      <c r="D21" s="28" t="e">
        <f>[4]LEFT!T9</f>
        <v>#REF!</v>
      </c>
      <c r="E21" s="13"/>
      <c r="F21" s="13"/>
      <c r="G21" s="13"/>
    </row>
    <row r="22" spans="2:7">
      <c r="B22" s="13">
        <v>20</v>
      </c>
      <c r="C22" s="28" t="e">
        <f>[4]LEFT!U10</f>
        <v>#REF!</v>
      </c>
      <c r="D22" s="28" t="e">
        <f>[4]LEFT!T10</f>
        <v>#REF!</v>
      </c>
      <c r="E22" s="13"/>
      <c r="F22" s="13"/>
      <c r="G22" s="13"/>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763"/>
  <sheetViews>
    <sheetView workbookViewId="0">
      <selection activeCell="B1" sqref="B1:L1"/>
    </sheetView>
  </sheetViews>
  <sheetFormatPr defaultRowHeight="15"/>
  <cols>
    <col min="6" max="6" width="16.85546875" customWidth="1"/>
    <col min="10" max="10" width="14.5703125" customWidth="1"/>
    <col min="12" max="12" width="22.7109375" customWidth="1"/>
  </cols>
  <sheetData>
    <row r="1" spans="1:12" ht="29.25" customHeight="1">
      <c r="A1" s="79"/>
      <c r="B1" s="1257" t="s">
        <v>201</v>
      </c>
      <c r="C1" s="1426"/>
      <c r="D1" s="1426"/>
      <c r="E1" s="1426"/>
      <c r="F1" s="1426"/>
      <c r="G1" s="1426"/>
      <c r="H1" s="1426"/>
      <c r="I1" s="1426"/>
      <c r="J1" s="1426"/>
      <c r="K1" s="1426"/>
      <c r="L1" s="1427"/>
    </row>
    <row r="2" spans="1:12" ht="23.25">
      <c r="A2" s="15"/>
      <c r="B2" s="1407" t="s">
        <v>202</v>
      </c>
      <c r="C2" s="1407"/>
      <c r="D2" s="1407"/>
      <c r="E2" s="1407"/>
      <c r="F2" s="1407"/>
      <c r="G2" s="1407"/>
      <c r="H2" s="1407"/>
      <c r="I2" s="1407"/>
      <c r="J2" s="1407"/>
      <c r="K2" s="1407"/>
      <c r="L2" s="1239"/>
    </row>
    <row r="3" spans="1:12" ht="12.75" customHeight="1" thickBot="1">
      <c r="A3" s="300"/>
      <c r="B3" s="1241" t="s">
        <v>203</v>
      </c>
      <c r="C3" s="1241"/>
      <c r="D3" s="1241"/>
      <c r="E3" s="1241"/>
      <c r="F3" s="1241"/>
      <c r="G3" s="1241"/>
      <c r="H3" s="1241"/>
      <c r="I3" s="1241"/>
      <c r="J3" s="1241"/>
      <c r="K3" s="1241"/>
      <c r="L3" s="1242"/>
    </row>
    <row r="4" spans="1:12">
      <c r="A4" s="300"/>
      <c r="B4" s="1404" t="s">
        <v>120</v>
      </c>
      <c r="C4" s="1404"/>
      <c r="D4" s="1404"/>
      <c r="E4" s="1404"/>
      <c r="F4" s="1404"/>
      <c r="H4" s="1397" t="s">
        <v>121</v>
      </c>
      <c r="I4" s="1397"/>
      <c r="J4" s="1397"/>
      <c r="K4" s="1397"/>
      <c r="L4" s="1428"/>
    </row>
    <row r="5" spans="1:12" ht="15.75" thickBot="1">
      <c r="A5" s="15"/>
      <c r="B5" s="1404"/>
      <c r="C5" s="1404"/>
      <c r="D5" s="1404"/>
      <c r="E5" s="1404"/>
      <c r="F5" s="1404"/>
      <c r="H5" s="1397"/>
      <c r="I5" s="1397"/>
      <c r="J5" s="1397"/>
      <c r="K5" s="1397"/>
      <c r="L5" s="1428"/>
    </row>
    <row r="6" spans="1:12">
      <c r="A6" s="15"/>
      <c r="B6" s="79"/>
      <c r="C6" s="80"/>
      <c r="D6" s="80"/>
      <c r="E6" s="80"/>
      <c r="F6" s="81"/>
      <c r="H6" s="79"/>
      <c r="I6" s="80"/>
      <c r="J6" s="80"/>
      <c r="K6" s="80"/>
      <c r="L6" s="81"/>
    </row>
    <row r="7" spans="1:12">
      <c r="A7" s="15"/>
      <c r="B7" s="82" t="e">
        <f>#REF!</f>
        <v>#REF!</v>
      </c>
      <c r="F7" s="16"/>
      <c r="H7" s="82" t="e">
        <f>#REF!</f>
        <v>#REF!</v>
      </c>
      <c r="L7" s="16"/>
    </row>
    <row r="8" spans="1:12">
      <c r="A8" s="15"/>
      <c r="B8" s="15"/>
      <c r="F8" s="16"/>
      <c r="H8" s="15"/>
      <c r="L8" s="16"/>
    </row>
    <row r="9" spans="1:12">
      <c r="A9" s="15"/>
      <c r="B9" s="82" t="e">
        <f>#REF!</f>
        <v>#REF!</v>
      </c>
      <c r="F9" s="16"/>
      <c r="H9" s="82" t="e">
        <f>#REF!</f>
        <v>#REF!</v>
      </c>
      <c r="L9" s="16"/>
    </row>
    <row r="10" spans="1:12" ht="15.75" thickBot="1">
      <c r="A10" s="15"/>
      <c r="B10" s="27"/>
      <c r="C10" s="25"/>
      <c r="D10" s="25"/>
      <c r="E10" s="25"/>
      <c r="F10" s="26"/>
      <c r="H10" s="27"/>
      <c r="I10" s="25"/>
      <c r="J10" s="25"/>
      <c r="K10" s="25"/>
      <c r="L10" s="26"/>
    </row>
    <row r="11" spans="1:12">
      <c r="A11" s="15"/>
      <c r="J11" t="s">
        <v>122</v>
      </c>
      <c r="L11" s="16"/>
    </row>
    <row r="12" spans="1:12">
      <c r="A12" s="15"/>
      <c r="B12" s="1405" t="s">
        <v>123</v>
      </c>
      <c r="C12" s="1405"/>
      <c r="D12" s="1405"/>
      <c r="E12" s="1405"/>
      <c r="F12" s="1405"/>
      <c r="H12" s="1405" t="s">
        <v>4</v>
      </c>
      <c r="I12" s="1405"/>
      <c r="J12" s="1405"/>
      <c r="K12" s="1405"/>
      <c r="L12" s="1251"/>
    </row>
    <row r="13" spans="1:12" ht="15.75" thickBot="1">
      <c r="A13" s="15"/>
      <c r="L13" s="16"/>
    </row>
    <row r="14" spans="1:12">
      <c r="A14" s="15"/>
      <c r="B14" s="79"/>
      <c r="C14" s="80"/>
      <c r="D14" s="80"/>
      <c r="E14" s="80"/>
      <c r="F14" s="81"/>
      <c r="H14" s="83"/>
      <c r="I14" s="84"/>
      <c r="J14" s="84"/>
      <c r="K14" s="84"/>
      <c r="L14" s="85"/>
    </row>
    <row r="15" spans="1:12">
      <c r="A15" s="15"/>
      <c r="B15" s="15"/>
      <c r="F15" s="16"/>
      <c r="H15" s="82" t="e">
        <f>#REF!</f>
        <v>#REF!</v>
      </c>
      <c r="I15" s="2"/>
      <c r="J15" s="2"/>
      <c r="K15" s="2"/>
      <c r="L15" s="86"/>
    </row>
    <row r="16" spans="1:12">
      <c r="A16" s="15"/>
      <c r="B16" s="82" t="e">
        <f>#REF!</f>
        <v>#REF!</v>
      </c>
      <c r="F16" s="16"/>
      <c r="H16" s="82"/>
      <c r="I16" s="2"/>
      <c r="J16" s="2"/>
      <c r="K16" s="2"/>
      <c r="L16" s="86"/>
    </row>
    <row r="17" spans="1:12">
      <c r="A17" s="15"/>
      <c r="B17" s="15"/>
      <c r="F17" s="16"/>
      <c r="H17" s="82" t="e">
        <f>#REF!</f>
        <v>#REF!</v>
      </c>
      <c r="I17" s="2"/>
      <c r="J17" s="2"/>
      <c r="K17" s="2"/>
      <c r="L17" s="86"/>
    </row>
    <row r="18" spans="1:12" ht="15.75" thickBot="1">
      <c r="A18" s="15"/>
      <c r="B18" s="27"/>
      <c r="C18" s="25"/>
      <c r="D18" s="25"/>
      <c r="E18" s="25"/>
      <c r="F18" s="26"/>
      <c r="H18" s="87"/>
      <c r="I18" s="88"/>
      <c r="J18" s="88"/>
      <c r="K18" s="88"/>
      <c r="L18" s="89"/>
    </row>
    <row r="19" spans="1:12" ht="27.95" customHeight="1">
      <c r="A19" s="90"/>
      <c r="B19" s="1419" t="s">
        <v>204</v>
      </c>
      <c r="C19" s="1419"/>
      <c r="D19" s="1419"/>
      <c r="E19" s="1419"/>
      <c r="F19" s="1419"/>
      <c r="G19" s="1419"/>
      <c r="H19" s="1422" t="e">
        <f>'04-22-Master'!#REF!</f>
        <v>#REF!</v>
      </c>
      <c r="I19" s="1421"/>
      <c r="J19" s="1421"/>
      <c r="K19" s="1421"/>
      <c r="L19" s="1224"/>
    </row>
    <row r="20" spans="1:12" ht="27.95" customHeight="1">
      <c r="A20" s="90"/>
      <c r="B20" s="1423" t="s">
        <v>205</v>
      </c>
      <c r="C20" s="1423"/>
      <c r="D20" s="1423"/>
      <c r="E20" s="1423"/>
      <c r="F20" s="1423"/>
      <c r="G20" s="1423"/>
      <c r="H20" s="1422" t="e">
        <f>'04-22-Master'!#REF!</f>
        <v>#REF!</v>
      </c>
      <c r="I20" s="1421"/>
      <c r="J20" s="1421"/>
      <c r="K20" s="1421"/>
      <c r="L20" s="1224"/>
    </row>
    <row r="21" spans="1:12" ht="27.95" customHeight="1">
      <c r="A21" s="90"/>
      <c r="B21" s="1419" t="s">
        <v>206</v>
      </c>
      <c r="C21" s="1419"/>
      <c r="D21" s="1419"/>
      <c r="E21" s="1419"/>
      <c r="F21" s="1419"/>
      <c r="G21" s="1419"/>
      <c r="H21" s="1422" t="e">
        <f>'04-22-Master'!#REF!</f>
        <v>#REF!</v>
      </c>
      <c r="I21" s="1421"/>
      <c r="J21" s="1421"/>
      <c r="K21" s="1421"/>
      <c r="L21" s="1224"/>
    </row>
    <row r="22" spans="1:12" ht="27.95" customHeight="1">
      <c r="A22" s="90"/>
      <c r="B22" s="1419" t="s">
        <v>207</v>
      </c>
      <c r="C22" s="1419"/>
      <c r="D22" s="1419"/>
      <c r="E22" s="1419"/>
      <c r="F22" s="1419"/>
      <c r="G22" s="1419"/>
      <c r="H22" s="1424" t="e">
        <f>'04-22-Master'!#REF!</f>
        <v>#REF!</v>
      </c>
      <c r="I22" s="1421"/>
      <c r="J22" s="1421"/>
      <c r="K22" s="1421"/>
      <c r="L22" s="1224"/>
    </row>
    <row r="23" spans="1:12" ht="27.95" customHeight="1">
      <c r="A23" s="90"/>
      <c r="B23" s="91" t="s">
        <v>209</v>
      </c>
      <c r="C23" s="92"/>
      <c r="D23" s="92"/>
      <c r="E23" s="92"/>
      <c r="F23" s="92"/>
      <c r="G23" s="92"/>
      <c r="H23" s="1416" t="s">
        <v>210</v>
      </c>
      <c r="I23" s="1417"/>
      <c r="J23" s="1417"/>
      <c r="K23" s="1417"/>
      <c r="L23" s="1418"/>
    </row>
    <row r="24" spans="1:12" ht="27.95" customHeight="1">
      <c r="A24" s="90"/>
      <c r="B24" s="91" t="s">
        <v>211</v>
      </c>
      <c r="C24" s="92"/>
      <c r="D24" s="92"/>
      <c r="E24" s="92"/>
      <c r="F24" s="92"/>
      <c r="G24" s="92"/>
      <c r="H24" s="93"/>
      <c r="I24" s="94"/>
      <c r="J24" s="174"/>
      <c r="K24" s="94"/>
      <c r="L24" s="99"/>
    </row>
    <row r="25" spans="1:12" ht="27.95" customHeight="1">
      <c r="A25" s="90"/>
      <c r="B25" s="1234" t="s">
        <v>212</v>
      </c>
      <c r="C25" s="1234"/>
      <c r="D25" s="1234"/>
      <c r="E25" s="1234"/>
      <c r="F25" s="1234"/>
      <c r="G25" s="1234"/>
      <c r="H25" s="1227" t="e">
        <f>'04-22-Master'!#REF!</f>
        <v>#REF!</v>
      </c>
      <c r="I25" s="1228"/>
      <c r="J25" s="1228"/>
      <c r="K25" s="1228"/>
      <c r="L25" s="1229"/>
    </row>
    <row r="26" spans="1:12" ht="27.95" customHeight="1">
      <c r="A26" s="90"/>
      <c r="B26" s="1419"/>
      <c r="C26" s="1419"/>
      <c r="D26" s="1419"/>
      <c r="E26" s="1419"/>
      <c r="F26" s="1419"/>
      <c r="G26" s="1419"/>
      <c r="H26" s="1420" t="e">
        <f>'04-22-Master'!#REF!</f>
        <v>#REF!</v>
      </c>
      <c r="I26" s="1421"/>
      <c r="J26" s="1421"/>
      <c r="K26" s="1421"/>
      <c r="L26" s="1224"/>
    </row>
    <row r="27" spans="1:12" ht="27.95" customHeight="1">
      <c r="A27" s="15"/>
      <c r="B27" s="1419"/>
      <c r="C27" s="1419"/>
      <c r="D27" s="1419"/>
      <c r="E27" s="1419"/>
      <c r="F27" s="1419"/>
      <c r="G27" s="1419"/>
      <c r="H27" s="1422" t="e">
        <f>'04-22-Master'!#REF!</f>
        <v>#REF!</v>
      </c>
      <c r="I27" s="1421"/>
      <c r="J27" s="1421"/>
      <c r="K27" s="1421"/>
      <c r="L27" s="1224"/>
    </row>
    <row r="28" spans="1:12" ht="27.95" customHeight="1">
      <c r="A28" s="15"/>
      <c r="B28" s="91" t="s">
        <v>213</v>
      </c>
      <c r="C28" s="92"/>
      <c r="D28" s="92"/>
      <c r="E28" s="92"/>
      <c r="F28" s="92"/>
      <c r="G28" s="95"/>
      <c r="H28" s="1408" t="e">
        <f>'04-22-Master'!#REF!</f>
        <v>#REF!</v>
      </c>
      <c r="I28" s="1409"/>
      <c r="J28" s="1409"/>
      <c r="K28" s="1409"/>
      <c r="L28" s="1410"/>
    </row>
    <row r="29" spans="1:12" ht="27.95" customHeight="1">
      <c r="A29" s="15"/>
      <c r="B29" s="91"/>
      <c r="C29" s="92"/>
      <c r="D29" s="92"/>
      <c r="E29" s="92"/>
      <c r="F29" s="92"/>
      <c r="G29" s="95"/>
      <c r="H29" s="1408" t="e">
        <f>'04-22-Master'!#REF!</f>
        <v>#REF!</v>
      </c>
      <c r="I29" s="1409"/>
      <c r="J29" s="1409"/>
      <c r="K29" s="1409"/>
      <c r="L29" s="1410"/>
    </row>
    <row r="30" spans="1:12" ht="27.95" customHeight="1">
      <c r="A30" s="15"/>
      <c r="B30" s="91"/>
      <c r="C30" s="92"/>
      <c r="D30" s="92"/>
      <c r="E30" s="92"/>
      <c r="F30" s="92"/>
      <c r="G30" s="95"/>
      <c r="H30" s="1408" t="e">
        <f>'04-22-Master'!#REF!</f>
        <v>#REF!</v>
      </c>
      <c r="I30" s="1409"/>
      <c r="J30" s="1409"/>
      <c r="K30" s="1409"/>
      <c r="L30" s="1410"/>
    </row>
    <row r="31" spans="1:12" ht="27.95" customHeight="1">
      <c r="A31" s="15"/>
      <c r="B31" s="91" t="s">
        <v>220</v>
      </c>
      <c r="C31" s="92"/>
      <c r="D31" s="92"/>
      <c r="E31" s="92"/>
      <c r="F31" s="92"/>
      <c r="G31" s="95"/>
      <c r="H31" s="93"/>
      <c r="I31" s="94"/>
      <c r="J31" s="94"/>
      <c r="K31" s="94"/>
      <c r="L31" s="99"/>
    </row>
    <row r="32" spans="1:12" ht="27.95" customHeight="1">
      <c r="A32" s="15"/>
      <c r="B32" s="101" t="s">
        <v>221</v>
      </c>
      <c r="C32" s="155"/>
      <c r="D32" s="155"/>
      <c r="E32" s="155"/>
      <c r="F32" s="155"/>
      <c r="G32" s="156"/>
      <c r="H32" s="157"/>
      <c r="I32" s="158"/>
      <c r="J32" s="159"/>
      <c r="K32" s="158"/>
      <c r="L32" s="160"/>
    </row>
    <row r="33" spans="1:12" ht="49.5" customHeight="1">
      <c r="A33" s="15"/>
      <c r="B33" s="91" t="s">
        <v>224</v>
      </c>
      <c r="C33" s="92"/>
      <c r="D33" s="94"/>
      <c r="E33" s="167" t="s">
        <v>226</v>
      </c>
      <c r="F33" s="66"/>
      <c r="G33" s="1411" t="s">
        <v>225</v>
      </c>
      <c r="H33" s="1412"/>
      <c r="I33" s="171" t="s">
        <v>222</v>
      </c>
      <c r="J33" s="169" t="s">
        <v>227</v>
      </c>
      <c r="K33" s="1411" t="s">
        <v>223</v>
      </c>
      <c r="L33" s="1413"/>
    </row>
    <row r="34" spans="1:12" ht="27.95" customHeight="1">
      <c r="A34" s="15"/>
      <c r="B34" s="170">
        <v>1</v>
      </c>
      <c r="C34" s="92"/>
      <c r="D34" s="92"/>
      <c r="E34" s="173">
        <v>2</v>
      </c>
      <c r="F34" s="95"/>
      <c r="G34" s="173">
        <v>3</v>
      </c>
      <c r="H34" s="189"/>
      <c r="I34" s="189">
        <v>4</v>
      </c>
      <c r="J34" s="110">
        <v>5</v>
      </c>
      <c r="K34" s="97"/>
      <c r="L34" s="98">
        <v>6</v>
      </c>
    </row>
    <row r="35" spans="1:12" ht="27.95" customHeight="1">
      <c r="A35" s="15"/>
      <c r="B35" s="286" t="e">
        <f>'04-22-Master'!#REF!</f>
        <v>#REF!</v>
      </c>
      <c r="C35" s="185"/>
      <c r="D35" s="186"/>
      <c r="E35" s="188" t="s">
        <v>383</v>
      </c>
      <c r="F35" s="186"/>
      <c r="G35" s="188" t="s">
        <v>384</v>
      </c>
      <c r="H35" s="66"/>
      <c r="I35" s="13" t="s">
        <v>385</v>
      </c>
      <c r="J35" s="285">
        <v>1</v>
      </c>
      <c r="K35" s="1414" t="s">
        <v>37</v>
      </c>
      <c r="L35" s="1425"/>
    </row>
    <row r="36" spans="1:12" ht="27.95" customHeight="1">
      <c r="A36" s="15"/>
      <c r="B36" s="91"/>
      <c r="C36" s="185"/>
      <c r="D36" s="186"/>
      <c r="E36" s="187"/>
      <c r="F36" s="186"/>
      <c r="G36" s="187"/>
      <c r="H36" s="66"/>
      <c r="I36" s="13"/>
      <c r="J36" s="13"/>
      <c r="K36" s="188"/>
      <c r="L36" s="66"/>
    </row>
    <row r="37" spans="1:12" ht="26.25" customHeight="1">
      <c r="A37" s="15"/>
      <c r="B37" s="91"/>
      <c r="C37" s="185"/>
      <c r="D37" s="186"/>
      <c r="E37" s="187"/>
      <c r="F37" s="186"/>
      <c r="G37" s="187"/>
      <c r="H37" s="66"/>
      <c r="I37" s="13"/>
      <c r="J37" s="13"/>
      <c r="K37" s="188"/>
      <c r="L37" s="66"/>
    </row>
    <row r="38" spans="1:12" ht="27.75" customHeight="1">
      <c r="A38" s="15"/>
      <c r="B38" s="73"/>
      <c r="C38" s="19"/>
      <c r="D38" s="74"/>
      <c r="E38" s="187"/>
      <c r="F38" s="186"/>
      <c r="G38" s="187"/>
      <c r="H38" s="66"/>
      <c r="I38" s="13"/>
      <c r="J38" s="13"/>
      <c r="K38" s="188"/>
      <c r="L38" s="66"/>
    </row>
    <row r="39" spans="1:12">
      <c r="A39" s="15"/>
      <c r="B39" t="s">
        <v>228</v>
      </c>
      <c r="L39" s="16"/>
    </row>
    <row r="40" spans="1:12">
      <c r="A40" s="15"/>
      <c r="B40" t="s">
        <v>229</v>
      </c>
      <c r="L40" s="16"/>
    </row>
    <row r="41" spans="1:12">
      <c r="A41" s="15"/>
      <c r="B41" t="s">
        <v>230</v>
      </c>
      <c r="L41" s="16"/>
    </row>
    <row r="42" spans="1:12">
      <c r="A42" s="15"/>
      <c r="L42" s="16"/>
    </row>
    <row r="43" spans="1:12">
      <c r="A43" s="15"/>
      <c r="I43" t="s">
        <v>231</v>
      </c>
      <c r="L43" s="16"/>
    </row>
    <row r="44" spans="1:12" ht="18.75">
      <c r="A44" s="15"/>
      <c r="F44" s="175" t="s">
        <v>214</v>
      </c>
      <c r="L44" s="16"/>
    </row>
    <row r="45" spans="1:12">
      <c r="A45" s="15" t="s">
        <v>215</v>
      </c>
      <c r="K45" s="225" t="e">
        <f>'04-22-Master'!#REF!</f>
        <v>#REF!</v>
      </c>
      <c r="L45" s="16"/>
    </row>
    <row r="46" spans="1:12">
      <c r="A46" s="15" t="s">
        <v>216</v>
      </c>
      <c r="L46" s="16"/>
    </row>
    <row r="47" spans="1:12">
      <c r="A47" s="15"/>
      <c r="L47" s="16"/>
    </row>
    <row r="48" spans="1:12">
      <c r="A48" s="15"/>
      <c r="L48" s="16"/>
    </row>
    <row r="49" spans="1:12">
      <c r="A49" s="15"/>
      <c r="F49" t="s">
        <v>217</v>
      </c>
      <c r="L49" s="16"/>
    </row>
    <row r="50" spans="1:12">
      <c r="A50" s="15" t="s">
        <v>218</v>
      </c>
      <c r="B50" t="s">
        <v>382</v>
      </c>
      <c r="F50" t="str">
        <f>'04-22-Master'!AJ5</f>
        <v>Burgeon IT Services Pvt.Ltd.</v>
      </c>
      <c r="L50" s="16"/>
    </row>
    <row r="51" spans="1:12">
      <c r="A51" s="15" t="s">
        <v>219</v>
      </c>
      <c r="B51" s="284" t="e">
        <f>'04-22-Master'!#REF!</f>
        <v>#REF!</v>
      </c>
      <c r="F51" t="str">
        <f>'04-22-Master'!AJ6</f>
        <v>Siri Mansion LIGB 436 Dr.A S Rao Nagar,Hyderabad</v>
      </c>
      <c r="L51" s="16"/>
    </row>
    <row r="52" spans="1:12" ht="15.75" thickBot="1">
      <c r="A52" s="27"/>
      <c r="B52" s="25"/>
      <c r="C52" s="25"/>
      <c r="D52" s="25"/>
      <c r="E52" s="25"/>
      <c r="F52" s="25"/>
      <c r="G52" s="25"/>
      <c r="H52" s="25"/>
      <c r="I52" s="25"/>
      <c r="J52" s="25"/>
      <c r="K52" s="25"/>
      <c r="L52" s="26"/>
    </row>
    <row r="53" spans="1:12" ht="27.95" customHeight="1">
      <c r="A53" s="79"/>
      <c r="B53" s="1257" t="s">
        <v>201</v>
      </c>
      <c r="C53" s="1426"/>
      <c r="D53" s="1426"/>
      <c r="E53" s="1426"/>
      <c r="F53" s="1426"/>
      <c r="G53" s="1426"/>
      <c r="H53" s="1426"/>
      <c r="I53" s="1426"/>
      <c r="J53" s="1426"/>
      <c r="K53" s="1426"/>
      <c r="L53" s="1427"/>
    </row>
    <row r="54" spans="1:12" ht="27.95" customHeight="1">
      <c r="A54" s="15"/>
      <c r="B54" s="1407" t="s">
        <v>202</v>
      </c>
      <c r="C54" s="1407"/>
      <c r="D54" s="1407"/>
      <c r="E54" s="1407"/>
      <c r="F54" s="1407"/>
      <c r="G54" s="1407"/>
      <c r="H54" s="1407"/>
      <c r="I54" s="1407"/>
      <c r="J54" s="1407"/>
      <c r="K54" s="1407"/>
      <c r="L54" s="1239"/>
    </row>
    <row r="55" spans="1:12" ht="27.95" customHeight="1" thickBot="1">
      <c r="A55" s="27"/>
      <c r="B55" s="1241" t="s">
        <v>203</v>
      </c>
      <c r="C55" s="1241"/>
      <c r="D55" s="1241"/>
      <c r="E55" s="1241"/>
      <c r="F55" s="1241"/>
      <c r="G55" s="1241"/>
      <c r="H55" s="1241"/>
      <c r="I55" s="1241"/>
      <c r="J55" s="1241"/>
      <c r="K55" s="1241"/>
      <c r="L55" s="1242"/>
    </row>
    <row r="56" spans="1:12" ht="27.95" customHeight="1">
      <c r="A56" s="15"/>
      <c r="B56" s="1404" t="s">
        <v>120</v>
      </c>
      <c r="C56" s="1404"/>
      <c r="D56" s="1404"/>
      <c r="E56" s="1404"/>
      <c r="F56" s="1404"/>
      <c r="H56" s="1397" t="s">
        <v>121</v>
      </c>
      <c r="I56" s="1397"/>
      <c r="J56" s="1397"/>
      <c r="K56" s="1397"/>
      <c r="L56" s="1428"/>
    </row>
    <row r="57" spans="1:12" ht="27.95" customHeight="1" thickBot="1">
      <c r="A57" s="15"/>
      <c r="B57" s="1404"/>
      <c r="C57" s="1404"/>
      <c r="D57" s="1404"/>
      <c r="E57" s="1404"/>
      <c r="F57" s="1404"/>
      <c r="H57" s="1397"/>
      <c r="I57" s="1397"/>
      <c r="J57" s="1397"/>
      <c r="K57" s="1397"/>
      <c r="L57" s="1428"/>
    </row>
    <row r="58" spans="1:12" ht="27.95" customHeight="1">
      <c r="A58" s="15"/>
      <c r="B58" s="79"/>
      <c r="C58" s="80"/>
      <c r="D58" s="80"/>
      <c r="E58" s="80"/>
      <c r="F58" s="81"/>
      <c r="H58" s="79"/>
      <c r="I58" s="80"/>
      <c r="J58" s="80"/>
      <c r="K58" s="80"/>
      <c r="L58" s="81"/>
    </row>
    <row r="59" spans="1:12">
      <c r="A59" s="15"/>
      <c r="B59" s="82" t="str">
        <f>'04-22-Master'!F5</f>
        <v>Burgeon IT Services Pvt.Ltd.</v>
      </c>
      <c r="F59" s="16"/>
      <c r="H59" s="82" t="str">
        <f>'04-22-Master'!AJ5</f>
        <v>Burgeon IT Services Pvt.Ltd.</v>
      </c>
      <c r="L59" s="16"/>
    </row>
    <row r="60" spans="1:12">
      <c r="A60" s="15"/>
      <c r="B60" s="15"/>
      <c r="F60" s="16"/>
      <c r="H60" s="15"/>
      <c r="L60" s="16"/>
    </row>
    <row r="61" spans="1:12">
      <c r="A61" s="15"/>
      <c r="B61" s="82" t="str">
        <f>'04-22-Master'!F6</f>
        <v>Siri Mansion LIGB 436 Dr.A S Rao Nagar,Hyderabad</v>
      </c>
      <c r="F61" s="16"/>
      <c r="H61" s="82" t="str">
        <f>'04-22-Master'!AJ6</f>
        <v>Siri Mansion LIGB 436 Dr.A S Rao Nagar,Hyderabad</v>
      </c>
      <c r="L61" s="16"/>
    </row>
    <row r="62" spans="1:12" ht="15.75" thickBot="1">
      <c r="A62" s="15"/>
      <c r="B62" s="27"/>
      <c r="C62" s="25"/>
      <c r="D62" s="25"/>
      <c r="E62" s="25"/>
      <c r="F62" s="26"/>
      <c r="H62" s="27"/>
      <c r="I62" s="25"/>
      <c r="J62" s="25"/>
      <c r="K62" s="25"/>
      <c r="L62" s="26"/>
    </row>
    <row r="63" spans="1:12">
      <c r="A63" s="15"/>
      <c r="J63" t="s">
        <v>122</v>
      </c>
      <c r="L63" s="16"/>
    </row>
    <row r="64" spans="1:12">
      <c r="A64" s="15"/>
      <c r="B64" s="1405" t="s">
        <v>123</v>
      </c>
      <c r="C64" s="1405"/>
      <c r="D64" s="1405"/>
      <c r="E64" s="1405"/>
      <c r="F64" s="1405"/>
      <c r="H64" s="1405" t="s">
        <v>4</v>
      </c>
      <c r="I64" s="1405"/>
      <c r="J64" s="1405"/>
      <c r="K64" s="1405"/>
      <c r="L64" s="1251"/>
    </row>
    <row r="65" spans="1:12" ht="15.75" thickBot="1">
      <c r="A65" s="15"/>
      <c r="L65" s="16"/>
    </row>
    <row r="66" spans="1:12">
      <c r="A66" s="15"/>
      <c r="B66" s="79"/>
      <c r="C66" s="80"/>
      <c r="D66" s="80"/>
      <c r="E66" s="80"/>
      <c r="F66" s="81"/>
      <c r="H66" s="83"/>
      <c r="I66" s="84"/>
      <c r="J66" s="84"/>
      <c r="K66" s="84"/>
      <c r="L66" s="85"/>
    </row>
    <row r="67" spans="1:12">
      <c r="A67" s="15"/>
      <c r="B67" s="15"/>
      <c r="F67" s="16"/>
      <c r="H67" s="82" t="str">
        <f>'04-22-Master'!AJ10</f>
        <v>INFOSYS  LTD.IL Hyderabad SEZ</v>
      </c>
      <c r="I67" s="2"/>
      <c r="J67" s="2"/>
      <c r="K67" s="2"/>
      <c r="L67" s="86"/>
    </row>
    <row r="68" spans="1:12">
      <c r="A68" s="15"/>
      <c r="B68" s="82" t="str">
        <f>'04-22-Master'!F8</f>
        <v>IT SUPPORTIVE SERVICES &amp; HYDERABAD SEZ</v>
      </c>
      <c r="F68" s="16"/>
      <c r="H68" s="82"/>
      <c r="I68" s="2"/>
      <c r="J68" s="2"/>
      <c r="K68" s="2"/>
      <c r="L68" s="86"/>
    </row>
    <row r="69" spans="1:12">
      <c r="A69" s="15"/>
      <c r="B69" s="15"/>
      <c r="F69" s="16"/>
      <c r="H69" s="82" t="str">
        <f>'04-22-Master'!AJ11</f>
        <v>Sy.No 42,Pocharam Village,Gatkesar Mandal</v>
      </c>
      <c r="I69" s="2"/>
      <c r="J69" s="2"/>
      <c r="K69" s="2"/>
      <c r="L69" s="86"/>
    </row>
    <row r="70" spans="1:12" ht="15.75" thickBot="1">
      <c r="A70" s="15"/>
      <c r="B70" s="27"/>
      <c r="C70" s="25"/>
      <c r="D70" s="25"/>
      <c r="E70" s="25"/>
      <c r="F70" s="26"/>
      <c r="H70" s="87"/>
      <c r="I70" s="88"/>
      <c r="J70" s="88"/>
      <c r="K70" s="88"/>
      <c r="L70" s="89"/>
    </row>
    <row r="71" spans="1:12">
      <c r="A71" s="90"/>
      <c r="B71" s="1419" t="s">
        <v>204</v>
      </c>
      <c r="C71" s="1419"/>
      <c r="D71" s="1419"/>
      <c r="E71" s="1419"/>
      <c r="F71" s="1419"/>
      <c r="G71" s="1419"/>
      <c r="H71" s="1422" t="e">
        <f>'04-22-Master'!#REF!</f>
        <v>#REF!</v>
      </c>
      <c r="I71" s="1421"/>
      <c r="J71" s="1421"/>
      <c r="K71" s="1421"/>
      <c r="L71" s="1224"/>
    </row>
    <row r="72" spans="1:12">
      <c r="A72" s="90"/>
      <c r="B72" s="1423" t="s">
        <v>205</v>
      </c>
      <c r="C72" s="1423"/>
      <c r="D72" s="1423"/>
      <c r="E72" s="1423"/>
      <c r="F72" s="1423"/>
      <c r="G72" s="1423"/>
      <c r="H72" s="1422" t="e">
        <f>'04-22-Master'!#REF!</f>
        <v>#REF!</v>
      </c>
      <c r="I72" s="1421"/>
      <c r="J72" s="1421"/>
      <c r="K72" s="1421"/>
      <c r="L72" s="1224"/>
    </row>
    <row r="73" spans="1:12">
      <c r="A73" s="90"/>
      <c r="B73" s="1419" t="s">
        <v>206</v>
      </c>
      <c r="C73" s="1419"/>
      <c r="D73" s="1419"/>
      <c r="E73" s="1419"/>
      <c r="F73" s="1419"/>
      <c r="G73" s="1419"/>
      <c r="H73" s="1422" t="e">
        <f>'04-22-Master'!#REF!</f>
        <v>#REF!</v>
      </c>
      <c r="I73" s="1421"/>
      <c r="J73" s="1421"/>
      <c r="K73" s="1421"/>
      <c r="L73" s="1224"/>
    </row>
    <row r="74" spans="1:12">
      <c r="A74" s="90"/>
      <c r="B74" s="1419" t="s">
        <v>207</v>
      </c>
      <c r="C74" s="1419"/>
      <c r="D74" s="1419"/>
      <c r="E74" s="1419"/>
      <c r="F74" s="1419"/>
      <c r="G74" s="1419"/>
      <c r="H74" s="1424" t="e">
        <f>'04-22-Master'!#REF!</f>
        <v>#REF!</v>
      </c>
      <c r="I74" s="1421"/>
      <c r="J74" s="1421"/>
      <c r="K74" s="1421"/>
      <c r="L74" s="1224"/>
    </row>
    <row r="75" spans="1:12">
      <c r="A75" s="90"/>
      <c r="B75" s="91" t="s">
        <v>209</v>
      </c>
      <c r="C75" s="92"/>
      <c r="D75" s="92"/>
      <c r="E75" s="92"/>
      <c r="F75" s="92"/>
      <c r="G75" s="92"/>
      <c r="H75" s="1416" t="s">
        <v>210</v>
      </c>
      <c r="I75" s="1417"/>
      <c r="J75" s="1417"/>
      <c r="K75" s="1417"/>
      <c r="L75" s="1418"/>
    </row>
    <row r="76" spans="1:12">
      <c r="A76" s="90"/>
      <c r="B76" s="91" t="s">
        <v>211</v>
      </c>
      <c r="C76" s="92"/>
      <c r="D76" s="92"/>
      <c r="E76" s="92"/>
      <c r="F76" s="92"/>
      <c r="G76" s="92"/>
      <c r="H76" s="93"/>
      <c r="I76" s="94"/>
      <c r="J76" s="174"/>
      <c r="K76" s="94"/>
      <c r="L76" s="99"/>
    </row>
    <row r="77" spans="1:12">
      <c r="A77" s="90"/>
      <c r="B77" s="1234" t="s">
        <v>212</v>
      </c>
      <c r="C77" s="1234"/>
      <c r="D77" s="1234"/>
      <c r="E77" s="1234"/>
      <c r="F77" s="1234"/>
      <c r="G77" s="1234"/>
      <c r="H77" s="1227" t="e">
        <f>'04-22-Master'!#REF!</f>
        <v>#REF!</v>
      </c>
      <c r="I77" s="1228"/>
      <c r="J77" s="1228"/>
      <c r="K77" s="1228"/>
      <c r="L77" s="1229"/>
    </row>
    <row r="78" spans="1:12">
      <c r="A78" s="90"/>
      <c r="B78" s="1419"/>
      <c r="C78" s="1419"/>
      <c r="D78" s="1419"/>
      <c r="E78" s="1419"/>
      <c r="F78" s="1419"/>
      <c r="G78" s="1419"/>
      <c r="H78" s="1420" t="e">
        <f>'04-22-Master'!#REF!</f>
        <v>#REF!</v>
      </c>
      <c r="I78" s="1421"/>
      <c r="J78" s="1421"/>
      <c r="K78" s="1421"/>
      <c r="L78" s="1224"/>
    </row>
    <row r="79" spans="1:12">
      <c r="A79" s="15"/>
      <c r="B79" s="1419"/>
      <c r="C79" s="1419"/>
      <c r="D79" s="1419"/>
      <c r="E79" s="1419"/>
      <c r="F79" s="1419"/>
      <c r="G79" s="1419"/>
      <c r="H79" s="1422" t="e">
        <f>'04-22-Master'!#REF!</f>
        <v>#REF!</v>
      </c>
      <c r="I79" s="1421"/>
      <c r="J79" s="1421"/>
      <c r="K79" s="1421"/>
      <c r="L79" s="1224"/>
    </row>
    <row r="80" spans="1:12" ht="15" customHeight="1">
      <c r="A80" s="15"/>
      <c r="B80" s="91" t="s">
        <v>213</v>
      </c>
      <c r="C80" s="92"/>
      <c r="D80" s="92"/>
      <c r="E80" s="92"/>
      <c r="F80" s="92"/>
      <c r="G80" s="95"/>
      <c r="H80" s="1408" t="e">
        <f>'04-22-Master'!#REF!</f>
        <v>#REF!</v>
      </c>
      <c r="I80" s="1409"/>
      <c r="J80" s="1409"/>
      <c r="K80" s="1409"/>
      <c r="L80" s="1410"/>
    </row>
    <row r="81" spans="1:12">
      <c r="A81" s="15"/>
      <c r="B81" s="91"/>
      <c r="C81" s="92"/>
      <c r="D81" s="92"/>
      <c r="E81" s="92"/>
      <c r="F81" s="92"/>
      <c r="G81" s="95"/>
      <c r="H81" s="1408" t="e">
        <f>'04-22-Master'!#REF!</f>
        <v>#REF!</v>
      </c>
      <c r="I81" s="1409"/>
      <c r="J81" s="1409"/>
      <c r="K81" s="1409"/>
      <c r="L81" s="1410"/>
    </row>
    <row r="82" spans="1:12">
      <c r="A82" s="15"/>
      <c r="B82" s="91"/>
      <c r="C82" s="92"/>
      <c r="D82" s="92"/>
      <c r="E82" s="92"/>
      <c r="F82" s="92"/>
      <c r="G82" s="95"/>
      <c r="H82" s="1408" t="e">
        <f>'04-22-Master'!#REF!</f>
        <v>#REF!</v>
      </c>
      <c r="I82" s="1409"/>
      <c r="J82" s="1409"/>
      <c r="K82" s="1409"/>
      <c r="L82" s="1410"/>
    </row>
    <row r="83" spans="1:12">
      <c r="A83" s="15"/>
      <c r="B83" s="91" t="s">
        <v>220</v>
      </c>
      <c r="C83" s="92"/>
      <c r="D83" s="92"/>
      <c r="E83" s="92"/>
      <c r="F83" s="92"/>
      <c r="G83" s="95"/>
      <c r="H83" s="93"/>
      <c r="I83" s="94"/>
      <c r="J83" s="94"/>
      <c r="K83" s="94"/>
      <c r="L83" s="99"/>
    </row>
    <row r="84" spans="1:12">
      <c r="A84" s="15"/>
      <c r="B84" s="101" t="s">
        <v>221</v>
      </c>
      <c r="C84" s="155"/>
      <c r="D84" s="155"/>
      <c r="E84" s="155"/>
      <c r="F84" s="155"/>
      <c r="G84" s="156"/>
      <c r="H84" s="157"/>
      <c r="I84" s="158"/>
      <c r="J84" s="159"/>
      <c r="K84" s="158"/>
      <c r="L84" s="160"/>
    </row>
    <row r="85" spans="1:12" ht="45">
      <c r="A85" s="15"/>
      <c r="B85" s="91" t="s">
        <v>224</v>
      </c>
      <c r="C85" s="92"/>
      <c r="D85" s="94"/>
      <c r="E85" s="167" t="s">
        <v>226</v>
      </c>
      <c r="F85" s="66"/>
      <c r="G85" s="1411" t="s">
        <v>225</v>
      </c>
      <c r="H85" s="1412"/>
      <c r="I85" s="171" t="s">
        <v>222</v>
      </c>
      <c r="J85" s="169" t="s">
        <v>227</v>
      </c>
      <c r="K85" s="1411" t="s">
        <v>223</v>
      </c>
      <c r="L85" s="1413"/>
    </row>
    <row r="86" spans="1:12">
      <c r="A86" s="15"/>
      <c r="B86" s="170">
        <v>1</v>
      </c>
      <c r="C86" s="92"/>
      <c r="D86" s="92"/>
      <c r="E86" s="173">
        <v>2</v>
      </c>
      <c r="F86" s="95"/>
      <c r="G86" s="173">
        <v>3</v>
      </c>
      <c r="H86" s="189"/>
      <c r="I86" s="189">
        <v>4</v>
      </c>
      <c r="J86" s="110">
        <v>5</v>
      </c>
      <c r="K86" s="97"/>
      <c r="L86" s="98">
        <v>6</v>
      </c>
    </row>
    <row r="87" spans="1:12">
      <c r="A87" s="15"/>
      <c r="B87" s="286" t="e">
        <f>'04-22-Master'!#REF!</f>
        <v>#REF!</v>
      </c>
      <c r="C87" s="185"/>
      <c r="D87" s="186"/>
      <c r="E87" s="188" t="s">
        <v>383</v>
      </c>
      <c r="F87" s="186"/>
      <c r="G87" s="188" t="s">
        <v>384</v>
      </c>
      <c r="H87" s="66"/>
      <c r="I87" s="13" t="s">
        <v>385</v>
      </c>
      <c r="J87" s="285">
        <v>1</v>
      </c>
      <c r="K87" s="1414" t="s">
        <v>37</v>
      </c>
      <c r="L87" s="1425"/>
    </row>
    <row r="88" spans="1:12">
      <c r="A88" s="15"/>
      <c r="B88" s="91"/>
      <c r="C88" s="185"/>
      <c r="D88" s="186"/>
      <c r="E88" s="187"/>
      <c r="F88" s="186"/>
      <c r="G88" s="187"/>
      <c r="H88" s="66"/>
      <c r="I88" s="13"/>
      <c r="J88" s="13"/>
      <c r="K88" s="188"/>
      <c r="L88" s="66"/>
    </row>
    <row r="89" spans="1:12">
      <c r="A89" s="15"/>
      <c r="B89" s="91"/>
      <c r="C89" s="185"/>
      <c r="D89" s="186"/>
      <c r="E89" s="187"/>
      <c r="F89" s="186"/>
      <c r="G89" s="187"/>
      <c r="H89" s="66"/>
      <c r="I89" s="13"/>
      <c r="J89" s="13"/>
      <c r="K89" s="188"/>
      <c r="L89" s="66"/>
    </row>
    <row r="90" spans="1:12">
      <c r="A90" s="15"/>
      <c r="B90" s="73"/>
      <c r="C90" s="19"/>
      <c r="D90" s="74"/>
      <c r="E90" s="187"/>
      <c r="F90" s="186"/>
      <c r="G90" s="187"/>
      <c r="H90" s="66"/>
      <c r="I90" s="13"/>
      <c r="J90" s="13"/>
      <c r="K90" s="188"/>
      <c r="L90" s="66"/>
    </row>
    <row r="91" spans="1:12">
      <c r="A91" s="15"/>
      <c r="B91" t="s">
        <v>228</v>
      </c>
      <c r="L91" s="16"/>
    </row>
    <row r="92" spans="1:12">
      <c r="A92" s="15"/>
      <c r="B92" t="s">
        <v>229</v>
      </c>
      <c r="L92" s="16"/>
    </row>
    <row r="93" spans="1:12">
      <c r="A93" s="15"/>
      <c r="B93" t="s">
        <v>230</v>
      </c>
      <c r="L93" s="16"/>
    </row>
    <row r="94" spans="1:12">
      <c r="A94" s="15"/>
      <c r="L94" s="16"/>
    </row>
    <row r="95" spans="1:12" ht="27.95" customHeight="1">
      <c r="A95" s="15"/>
      <c r="I95" t="s">
        <v>231</v>
      </c>
      <c r="L95" s="16"/>
    </row>
    <row r="96" spans="1:12" ht="27.95" customHeight="1">
      <c r="A96" s="15"/>
      <c r="F96" s="175" t="s">
        <v>214</v>
      </c>
      <c r="L96" s="16"/>
    </row>
    <row r="97" spans="1:12" ht="27.95" customHeight="1">
      <c r="A97" s="15" t="s">
        <v>215</v>
      </c>
      <c r="K97" s="225" t="e">
        <f>'04-22-Master'!#REF!</f>
        <v>#REF!</v>
      </c>
      <c r="L97" s="16"/>
    </row>
    <row r="98" spans="1:12" ht="27.95" customHeight="1">
      <c r="A98" s="15" t="s">
        <v>216</v>
      </c>
      <c r="L98" s="16"/>
    </row>
    <row r="99" spans="1:12" ht="27.95" customHeight="1">
      <c r="A99" s="15"/>
      <c r="L99" s="16"/>
    </row>
    <row r="100" spans="1:12" ht="27.95" customHeight="1">
      <c r="A100" s="15"/>
      <c r="L100" s="16"/>
    </row>
    <row r="101" spans="1:12" ht="27.95" customHeight="1">
      <c r="A101" s="15"/>
      <c r="F101" t="s">
        <v>217</v>
      </c>
      <c r="L101" s="16"/>
    </row>
    <row r="102" spans="1:12" ht="27.95" customHeight="1">
      <c r="A102" s="15" t="s">
        <v>218</v>
      </c>
      <c r="B102" t="s">
        <v>382</v>
      </c>
      <c r="F102" t="str">
        <f>'04-22-Master'!F5</f>
        <v>Burgeon IT Services Pvt.Ltd.</v>
      </c>
      <c r="L102" s="16"/>
    </row>
    <row r="103" spans="1:12" ht="27.95" customHeight="1">
      <c r="A103" s="15" t="s">
        <v>219</v>
      </c>
      <c r="B103" s="284" t="e">
        <f>'04-22-Master'!#REF!</f>
        <v>#REF!</v>
      </c>
      <c r="F103" t="str">
        <f>'04-22-Master'!F6</f>
        <v>Siri Mansion LIGB 436 Dr.A S Rao Nagar,Hyderabad</v>
      </c>
      <c r="L103" s="16"/>
    </row>
    <row r="104" spans="1:12" ht="27.95" customHeight="1" thickBot="1">
      <c r="A104" s="27"/>
      <c r="B104" s="25"/>
      <c r="C104" s="25"/>
      <c r="D104" s="25"/>
      <c r="E104" s="25"/>
      <c r="F104" s="25"/>
      <c r="G104" s="25"/>
      <c r="H104" s="25"/>
      <c r="I104" s="25"/>
      <c r="J104" s="25"/>
      <c r="K104" s="25"/>
      <c r="L104" s="26"/>
    </row>
    <row r="105" spans="1:12" ht="27.95" customHeight="1">
      <c r="B105" s="176"/>
      <c r="C105" s="172"/>
      <c r="D105" s="172"/>
      <c r="E105" s="172"/>
      <c r="F105" s="172"/>
      <c r="G105" s="172"/>
      <c r="H105" s="1398"/>
      <c r="I105" s="1399"/>
      <c r="J105" s="1399"/>
      <c r="K105" s="1399"/>
      <c r="L105" s="1399"/>
    </row>
    <row r="106" spans="1:12" ht="27.95" customHeight="1" thickBot="1">
      <c r="B106" s="176"/>
      <c r="C106" s="172"/>
      <c r="D106" s="172"/>
      <c r="E106" s="172"/>
      <c r="F106" s="172"/>
      <c r="G106" s="172"/>
      <c r="H106" s="1398"/>
      <c r="I106" s="1399"/>
      <c r="J106" s="1399"/>
      <c r="K106" s="1399"/>
      <c r="L106" s="1399"/>
    </row>
    <row r="107" spans="1:12" ht="27.95" customHeight="1">
      <c r="A107" s="79"/>
      <c r="B107" s="1257" t="s">
        <v>201</v>
      </c>
      <c r="C107" s="1426"/>
      <c r="D107" s="1426"/>
      <c r="E107" s="1426"/>
      <c r="F107" s="1426"/>
      <c r="G107" s="1426"/>
      <c r="H107" s="1426"/>
      <c r="I107" s="1426"/>
      <c r="J107" s="1426"/>
      <c r="K107" s="1426"/>
      <c r="L107" s="1427"/>
    </row>
    <row r="108" spans="1:12" ht="27.95" customHeight="1">
      <c r="A108" s="15"/>
      <c r="B108" s="1407" t="s">
        <v>202</v>
      </c>
      <c r="C108" s="1407"/>
      <c r="D108" s="1407"/>
      <c r="E108" s="1407"/>
      <c r="F108" s="1407"/>
      <c r="G108" s="1407"/>
      <c r="H108" s="1407"/>
      <c r="I108" s="1407"/>
      <c r="J108" s="1407"/>
      <c r="K108" s="1407"/>
      <c r="L108" s="1239"/>
    </row>
    <row r="109" spans="1:12" ht="27.95" customHeight="1" thickBot="1">
      <c r="A109" s="27"/>
      <c r="B109" s="1241" t="s">
        <v>203</v>
      </c>
      <c r="C109" s="1241"/>
      <c r="D109" s="1241"/>
      <c r="E109" s="1241"/>
      <c r="F109" s="1241"/>
      <c r="G109" s="1241"/>
      <c r="H109" s="1241"/>
      <c r="I109" s="1241"/>
      <c r="J109" s="1241"/>
      <c r="K109" s="1241"/>
      <c r="L109" s="1242"/>
    </row>
    <row r="110" spans="1:12" ht="27.95" customHeight="1">
      <c r="A110" s="15"/>
      <c r="B110" s="1404" t="s">
        <v>120</v>
      </c>
      <c r="C110" s="1404"/>
      <c r="D110" s="1404"/>
      <c r="E110" s="1404"/>
      <c r="F110" s="1404"/>
      <c r="H110" s="1397" t="s">
        <v>121</v>
      </c>
      <c r="I110" s="1397"/>
      <c r="J110" s="1397"/>
      <c r="K110" s="1397"/>
      <c r="L110" s="1428"/>
    </row>
    <row r="111" spans="1:12" ht="27.95" customHeight="1" thickBot="1">
      <c r="A111" s="15"/>
      <c r="B111" s="1404"/>
      <c r="C111" s="1404"/>
      <c r="D111" s="1404"/>
      <c r="E111" s="1404"/>
      <c r="F111" s="1404"/>
      <c r="H111" s="1397"/>
      <c r="I111" s="1397"/>
      <c r="J111" s="1397"/>
      <c r="K111" s="1397"/>
      <c r="L111" s="1428"/>
    </row>
    <row r="112" spans="1:12" ht="27.95" customHeight="1">
      <c r="A112" s="15"/>
      <c r="B112" s="79"/>
      <c r="C112" s="80"/>
      <c r="D112" s="80"/>
      <c r="E112" s="80"/>
      <c r="F112" s="81"/>
      <c r="H112" s="79"/>
      <c r="I112" s="80"/>
      <c r="J112" s="80"/>
      <c r="K112" s="80"/>
      <c r="L112" s="81"/>
    </row>
    <row r="113" spans="1:12">
      <c r="A113" s="15"/>
      <c r="B113" s="82" t="str">
        <f>'04-22-Master'!F5</f>
        <v>Burgeon IT Services Pvt.Ltd.</v>
      </c>
      <c r="F113" s="16"/>
      <c r="H113" s="82" t="str">
        <f>'04-22-Master'!AJ5</f>
        <v>Burgeon IT Services Pvt.Ltd.</v>
      </c>
      <c r="L113" s="16"/>
    </row>
    <row r="114" spans="1:12">
      <c r="A114" s="15"/>
      <c r="B114" s="15"/>
      <c r="F114" s="16"/>
      <c r="H114" s="15"/>
      <c r="L114" s="16"/>
    </row>
    <row r="115" spans="1:12">
      <c r="A115" s="15"/>
      <c r="B115" s="82" t="str">
        <f>'04-22-Master'!F6</f>
        <v>Siri Mansion LIGB 436 Dr.A S Rao Nagar,Hyderabad</v>
      </c>
      <c r="F115" s="16"/>
      <c r="H115" s="82" t="str">
        <f>'04-22-Master'!AJ6</f>
        <v>Siri Mansion LIGB 436 Dr.A S Rao Nagar,Hyderabad</v>
      </c>
      <c r="L115" s="16"/>
    </row>
    <row r="116" spans="1:12" ht="15.75" thickBot="1">
      <c r="A116" s="15"/>
      <c r="B116" s="27"/>
      <c r="C116" s="25"/>
      <c r="D116" s="25"/>
      <c r="E116" s="25"/>
      <c r="F116" s="26"/>
      <c r="H116" s="27"/>
      <c r="I116" s="25"/>
      <c r="J116" s="25"/>
      <c r="K116" s="25"/>
      <c r="L116" s="26"/>
    </row>
    <row r="117" spans="1:12">
      <c r="A117" s="15"/>
      <c r="J117" t="s">
        <v>122</v>
      </c>
      <c r="L117" s="16"/>
    </row>
    <row r="118" spans="1:12">
      <c r="A118" s="15"/>
      <c r="B118" s="1405" t="s">
        <v>123</v>
      </c>
      <c r="C118" s="1405"/>
      <c r="D118" s="1405"/>
      <c r="E118" s="1405"/>
      <c r="F118" s="1405"/>
      <c r="H118" s="1405" t="s">
        <v>4</v>
      </c>
      <c r="I118" s="1405"/>
      <c r="J118" s="1405"/>
      <c r="K118" s="1405"/>
      <c r="L118" s="1251"/>
    </row>
    <row r="119" spans="1:12" ht="15.75" thickBot="1">
      <c r="A119" s="15"/>
      <c r="L119" s="16"/>
    </row>
    <row r="120" spans="1:12">
      <c r="A120" s="15"/>
      <c r="B120" s="79"/>
      <c r="C120" s="80"/>
      <c r="D120" s="80"/>
      <c r="E120" s="80"/>
      <c r="F120" s="81"/>
      <c r="H120" s="83"/>
      <c r="I120" s="84"/>
      <c r="J120" s="84"/>
      <c r="K120" s="84"/>
      <c r="L120" s="85"/>
    </row>
    <row r="121" spans="1:12">
      <c r="A121" s="15"/>
      <c r="B121" s="15"/>
      <c r="F121" s="16"/>
      <c r="H121" s="82" t="str">
        <f>'04-22-Master'!AJ10</f>
        <v>INFOSYS  LTD.IL Hyderabad SEZ</v>
      </c>
      <c r="I121" s="2"/>
      <c r="J121" s="2"/>
      <c r="K121" s="2"/>
      <c r="L121" s="86"/>
    </row>
    <row r="122" spans="1:12">
      <c r="A122" s="15"/>
      <c r="B122" s="82" t="str">
        <f>'04-22-Master'!F8</f>
        <v>IT SUPPORTIVE SERVICES &amp; HYDERABAD SEZ</v>
      </c>
      <c r="F122" s="16"/>
      <c r="H122" s="82"/>
      <c r="I122" s="2"/>
      <c r="J122" s="2"/>
      <c r="K122" s="2"/>
      <c r="L122" s="86"/>
    </row>
    <row r="123" spans="1:12">
      <c r="A123" s="15"/>
      <c r="B123" s="15"/>
      <c r="F123" s="16"/>
      <c r="H123" s="82" t="str">
        <f>'04-22-Master'!AJ11</f>
        <v>Sy.No 42,Pocharam Village,Gatkesar Mandal</v>
      </c>
      <c r="I123" s="2"/>
      <c r="J123" s="2"/>
      <c r="K123" s="2"/>
      <c r="L123" s="86"/>
    </row>
    <row r="124" spans="1:12" ht="15.75" thickBot="1">
      <c r="A124" s="15"/>
      <c r="B124" s="27"/>
      <c r="C124" s="25"/>
      <c r="D124" s="25"/>
      <c r="E124" s="25"/>
      <c r="F124" s="26"/>
      <c r="H124" s="87"/>
      <c r="I124" s="88"/>
      <c r="J124" s="88"/>
      <c r="K124" s="88"/>
      <c r="L124" s="89"/>
    </row>
    <row r="125" spans="1:12">
      <c r="A125" s="90"/>
      <c r="B125" s="1419" t="s">
        <v>204</v>
      </c>
      <c r="C125" s="1419"/>
      <c r="D125" s="1419"/>
      <c r="E125" s="1419"/>
      <c r="F125" s="1419"/>
      <c r="G125" s="1419"/>
      <c r="H125" s="1422" t="e">
        <f>'04-22-Master'!#REF!</f>
        <v>#REF!</v>
      </c>
      <c r="I125" s="1421"/>
      <c r="J125" s="1421"/>
      <c r="K125" s="1421"/>
      <c r="L125" s="1224"/>
    </row>
    <row r="126" spans="1:12">
      <c r="A126" s="90"/>
      <c r="B126" s="1423" t="s">
        <v>205</v>
      </c>
      <c r="C126" s="1423"/>
      <c r="D126" s="1423"/>
      <c r="E126" s="1423"/>
      <c r="F126" s="1423"/>
      <c r="G126" s="1423"/>
      <c r="H126" s="1422" t="e">
        <f>'04-22-Master'!#REF!</f>
        <v>#REF!</v>
      </c>
      <c r="I126" s="1421"/>
      <c r="J126" s="1421"/>
      <c r="K126" s="1421"/>
      <c r="L126" s="1224"/>
    </row>
    <row r="127" spans="1:12">
      <c r="A127" s="90"/>
      <c r="B127" s="1419" t="s">
        <v>206</v>
      </c>
      <c r="C127" s="1419"/>
      <c r="D127" s="1419"/>
      <c r="E127" s="1419"/>
      <c r="F127" s="1419"/>
      <c r="G127" s="1419"/>
      <c r="H127" s="1422" t="e">
        <f>'04-22-Master'!#REF!</f>
        <v>#REF!</v>
      </c>
      <c r="I127" s="1421"/>
      <c r="J127" s="1421"/>
      <c r="K127" s="1421"/>
      <c r="L127" s="1224"/>
    </row>
    <row r="128" spans="1:12">
      <c r="A128" s="90"/>
      <c r="B128" s="1419" t="s">
        <v>207</v>
      </c>
      <c r="C128" s="1419"/>
      <c r="D128" s="1419"/>
      <c r="E128" s="1419"/>
      <c r="F128" s="1419"/>
      <c r="G128" s="1419"/>
      <c r="H128" s="1424" t="e">
        <f>'04-22-Master'!#REF!</f>
        <v>#REF!</v>
      </c>
      <c r="I128" s="1421"/>
      <c r="J128" s="1421"/>
      <c r="K128" s="1421"/>
      <c r="L128" s="1224"/>
    </row>
    <row r="129" spans="1:12">
      <c r="A129" s="90"/>
      <c r="B129" s="91" t="s">
        <v>209</v>
      </c>
      <c r="C129" s="92"/>
      <c r="D129" s="92"/>
      <c r="E129" s="92"/>
      <c r="F129" s="92"/>
      <c r="G129" s="92"/>
      <c r="H129" s="1416" t="s">
        <v>210</v>
      </c>
      <c r="I129" s="1417"/>
      <c r="J129" s="1417"/>
      <c r="K129" s="1417"/>
      <c r="L129" s="1418"/>
    </row>
    <row r="130" spans="1:12">
      <c r="A130" s="90"/>
      <c r="B130" s="91" t="s">
        <v>211</v>
      </c>
      <c r="C130" s="92"/>
      <c r="D130" s="92"/>
      <c r="E130" s="92"/>
      <c r="F130" s="92"/>
      <c r="G130" s="92"/>
      <c r="H130" s="93"/>
      <c r="I130" s="94"/>
      <c r="J130" s="174"/>
      <c r="K130" s="94"/>
      <c r="L130" s="99"/>
    </row>
    <row r="131" spans="1:12">
      <c r="A131" s="90"/>
      <c r="B131" s="1234" t="s">
        <v>212</v>
      </c>
      <c r="C131" s="1234"/>
      <c r="D131" s="1234"/>
      <c r="E131" s="1234"/>
      <c r="F131" s="1234"/>
      <c r="G131" s="1234"/>
      <c r="H131" s="1227" t="e">
        <f>'04-22-Master'!#REF!</f>
        <v>#REF!</v>
      </c>
      <c r="I131" s="1228"/>
      <c r="J131" s="1228"/>
      <c r="K131" s="1228"/>
      <c r="L131" s="1229"/>
    </row>
    <row r="132" spans="1:12">
      <c r="A132" s="90"/>
      <c r="B132" s="1419"/>
      <c r="C132" s="1419"/>
      <c r="D132" s="1419"/>
      <c r="E132" s="1419"/>
      <c r="F132" s="1419"/>
      <c r="G132" s="1419"/>
      <c r="H132" s="1420" t="e">
        <f>'04-22-Master'!#REF!</f>
        <v>#REF!</v>
      </c>
      <c r="I132" s="1421"/>
      <c r="J132" s="1421"/>
      <c r="K132" s="1421"/>
      <c r="L132" s="1224"/>
    </row>
    <row r="133" spans="1:12">
      <c r="A133" s="15"/>
      <c r="B133" s="1419"/>
      <c r="C133" s="1419"/>
      <c r="D133" s="1419"/>
      <c r="E133" s="1419"/>
      <c r="F133" s="1419"/>
      <c r="G133" s="1419"/>
      <c r="H133" s="1422" t="e">
        <f>'04-22-Master'!#REF!</f>
        <v>#REF!</v>
      </c>
      <c r="I133" s="1421"/>
      <c r="J133" s="1421"/>
      <c r="K133" s="1421"/>
      <c r="L133" s="1224"/>
    </row>
    <row r="134" spans="1:12">
      <c r="A134" s="15"/>
      <c r="B134" s="91" t="s">
        <v>213</v>
      </c>
      <c r="C134" s="92"/>
      <c r="D134" s="92"/>
      <c r="E134" s="92"/>
      <c r="F134" s="92"/>
      <c r="G134" s="95"/>
      <c r="H134" s="1408" t="e">
        <f>'04-22-Master'!#REF!</f>
        <v>#REF!</v>
      </c>
      <c r="I134" s="1409"/>
      <c r="J134" s="1409"/>
      <c r="K134" s="1409"/>
      <c r="L134" s="1410"/>
    </row>
    <row r="135" spans="1:12">
      <c r="A135" s="15"/>
      <c r="B135" s="91"/>
      <c r="C135" s="92"/>
      <c r="D135" s="92"/>
      <c r="E135" s="92"/>
      <c r="F135" s="92"/>
      <c r="G135" s="95"/>
      <c r="H135" s="1408" t="e">
        <f>'04-22-Master'!#REF!</f>
        <v>#REF!</v>
      </c>
      <c r="I135" s="1409"/>
      <c r="J135" s="1409"/>
      <c r="K135" s="1409"/>
      <c r="L135" s="1410"/>
    </row>
    <row r="136" spans="1:12">
      <c r="A136" s="15"/>
      <c r="B136" s="91"/>
      <c r="C136" s="92"/>
      <c r="D136" s="92"/>
      <c r="E136" s="92"/>
      <c r="F136" s="92"/>
      <c r="G136" s="95"/>
      <c r="H136" s="1408" t="e">
        <f>'04-22-Master'!#REF!</f>
        <v>#REF!</v>
      </c>
      <c r="I136" s="1409"/>
      <c r="J136" s="1409"/>
      <c r="K136" s="1409"/>
      <c r="L136" s="1410"/>
    </row>
    <row r="137" spans="1:12">
      <c r="A137" s="15"/>
      <c r="B137" s="91" t="s">
        <v>220</v>
      </c>
      <c r="C137" s="92"/>
      <c r="D137" s="92"/>
      <c r="E137" s="92"/>
      <c r="F137" s="92"/>
      <c r="G137" s="95"/>
      <c r="H137" s="93"/>
      <c r="I137" s="94"/>
      <c r="J137" s="94"/>
      <c r="K137" s="94"/>
      <c r="L137" s="99"/>
    </row>
    <row r="138" spans="1:12">
      <c r="A138" s="15"/>
      <c r="B138" s="101" t="s">
        <v>221</v>
      </c>
      <c r="C138" s="155"/>
      <c r="D138" s="155"/>
      <c r="E138" s="155"/>
      <c r="F138" s="155"/>
      <c r="G138" s="156"/>
      <c r="H138" s="157"/>
      <c r="I138" s="158"/>
      <c r="J138" s="159"/>
      <c r="K138" s="158"/>
      <c r="L138" s="160"/>
    </row>
    <row r="139" spans="1:12" ht="45">
      <c r="A139" s="15"/>
      <c r="B139" s="91" t="s">
        <v>224</v>
      </c>
      <c r="C139" s="92"/>
      <c r="D139" s="94"/>
      <c r="E139" s="167" t="s">
        <v>226</v>
      </c>
      <c r="F139" s="66"/>
      <c r="G139" s="1411" t="s">
        <v>225</v>
      </c>
      <c r="H139" s="1412"/>
      <c r="I139" s="171" t="s">
        <v>222</v>
      </c>
      <c r="J139" s="169" t="s">
        <v>227</v>
      </c>
      <c r="K139" s="1411" t="s">
        <v>223</v>
      </c>
      <c r="L139" s="1413"/>
    </row>
    <row r="140" spans="1:12">
      <c r="A140" s="15"/>
      <c r="B140" s="170">
        <v>1</v>
      </c>
      <c r="C140" s="92"/>
      <c r="D140" s="92"/>
      <c r="E140" s="173">
        <v>2</v>
      </c>
      <c r="F140" s="95"/>
      <c r="G140" s="173">
        <v>3</v>
      </c>
      <c r="H140" s="189"/>
      <c r="I140" s="189">
        <v>4</v>
      </c>
      <c r="J140" s="110">
        <v>5</v>
      </c>
      <c r="K140" s="97"/>
      <c r="L140" s="98">
        <v>6</v>
      </c>
    </row>
    <row r="141" spans="1:12">
      <c r="A141" s="15"/>
      <c r="B141" s="286" t="e">
        <f>'04-22-Master'!#REF!</f>
        <v>#REF!</v>
      </c>
      <c r="C141" s="185"/>
      <c r="D141" s="186"/>
      <c r="E141" s="188" t="s">
        <v>383</v>
      </c>
      <c r="F141" s="186"/>
      <c r="G141" s="188" t="s">
        <v>384</v>
      </c>
      <c r="H141" s="66"/>
      <c r="I141" s="13" t="s">
        <v>385</v>
      </c>
      <c r="J141" s="285">
        <v>1</v>
      </c>
      <c r="K141" s="1414" t="s">
        <v>37</v>
      </c>
      <c r="L141" s="1425"/>
    </row>
    <row r="142" spans="1:12">
      <c r="A142" s="15"/>
      <c r="B142" s="91"/>
      <c r="C142" s="185"/>
      <c r="D142" s="186"/>
      <c r="E142" s="187"/>
      <c r="F142" s="186"/>
      <c r="G142" s="187"/>
      <c r="H142" s="66"/>
      <c r="I142" s="13"/>
      <c r="J142" s="13"/>
      <c r="K142" s="188"/>
      <c r="L142" s="66"/>
    </row>
    <row r="143" spans="1:12">
      <c r="A143" s="15"/>
      <c r="B143" s="91"/>
      <c r="C143" s="185"/>
      <c r="D143" s="186"/>
      <c r="E143" s="187"/>
      <c r="F143" s="186"/>
      <c r="G143" s="187"/>
      <c r="H143" s="66"/>
      <c r="I143" s="13"/>
      <c r="J143" s="13"/>
      <c r="K143" s="188"/>
      <c r="L143" s="66"/>
    </row>
    <row r="144" spans="1:12">
      <c r="A144" s="15"/>
      <c r="B144" s="73"/>
      <c r="C144" s="19"/>
      <c r="D144" s="74"/>
      <c r="E144" s="187"/>
      <c r="F144" s="186"/>
      <c r="G144" s="187"/>
      <c r="H144" s="66"/>
      <c r="I144" s="13"/>
      <c r="J144" s="13"/>
      <c r="K144" s="188"/>
      <c r="L144" s="66"/>
    </row>
    <row r="145" spans="1:12">
      <c r="A145" s="15"/>
      <c r="B145" t="s">
        <v>228</v>
      </c>
      <c r="L145" s="16"/>
    </row>
    <row r="146" spans="1:12">
      <c r="A146" s="15"/>
      <c r="B146" t="s">
        <v>229</v>
      </c>
      <c r="L146" s="16"/>
    </row>
    <row r="147" spans="1:12">
      <c r="A147" s="15"/>
      <c r="B147" t="s">
        <v>230</v>
      </c>
      <c r="L147" s="16"/>
    </row>
    <row r="148" spans="1:12" ht="27.95" customHeight="1">
      <c r="A148" s="15"/>
      <c r="L148" s="16"/>
    </row>
    <row r="149" spans="1:12" ht="27.95" customHeight="1">
      <c r="A149" s="15"/>
      <c r="I149" t="s">
        <v>231</v>
      </c>
      <c r="L149" s="16"/>
    </row>
    <row r="150" spans="1:12" ht="27.95" customHeight="1">
      <c r="A150" s="15"/>
      <c r="F150" s="175" t="s">
        <v>214</v>
      </c>
      <c r="L150" s="16"/>
    </row>
    <row r="151" spans="1:12" ht="27.95" customHeight="1">
      <c r="A151" s="15" t="s">
        <v>215</v>
      </c>
      <c r="K151" s="225" t="e">
        <f>'04-22-Master'!#REF!</f>
        <v>#REF!</v>
      </c>
      <c r="L151" s="16"/>
    </row>
    <row r="152" spans="1:12" ht="27.95" customHeight="1">
      <c r="A152" s="15" t="s">
        <v>216</v>
      </c>
      <c r="L152" s="16"/>
    </row>
    <row r="153" spans="1:12" ht="27.95" customHeight="1">
      <c r="A153" s="15"/>
      <c r="L153" s="16"/>
    </row>
    <row r="154" spans="1:12" ht="27.95" customHeight="1">
      <c r="A154" s="15"/>
      <c r="L154" s="16"/>
    </row>
    <row r="155" spans="1:12" ht="27.95" customHeight="1">
      <c r="A155" s="15"/>
      <c r="F155" t="s">
        <v>217</v>
      </c>
      <c r="L155" s="16"/>
    </row>
    <row r="156" spans="1:12" ht="27.95" customHeight="1">
      <c r="A156" s="15" t="s">
        <v>218</v>
      </c>
      <c r="B156" t="s">
        <v>382</v>
      </c>
      <c r="F156" t="str">
        <f>'04-22-Master'!F5</f>
        <v>Burgeon IT Services Pvt.Ltd.</v>
      </c>
      <c r="L156" s="16"/>
    </row>
    <row r="157" spans="1:12" ht="27.95" customHeight="1">
      <c r="A157" s="15" t="s">
        <v>219</v>
      </c>
      <c r="B157" s="284" t="e">
        <f>'04-22-Master'!#REF!</f>
        <v>#REF!</v>
      </c>
      <c r="F157" t="str">
        <f>'04-22-Master'!F6</f>
        <v>Siri Mansion LIGB 436 Dr.A S Rao Nagar,Hyderabad</v>
      </c>
      <c r="L157" s="16"/>
    </row>
    <row r="158" spans="1:12" ht="27.95" customHeight="1" thickBot="1">
      <c r="A158" s="27"/>
      <c r="B158" s="25"/>
      <c r="C158" s="25"/>
      <c r="D158" s="25"/>
      <c r="E158" s="25"/>
      <c r="F158" s="25"/>
      <c r="G158" s="25"/>
      <c r="H158" s="25"/>
      <c r="I158" s="25"/>
      <c r="J158" s="25"/>
      <c r="K158" s="25"/>
      <c r="L158" s="26"/>
    </row>
    <row r="159" spans="1:12" ht="27.95" customHeight="1" thickBot="1">
      <c r="B159" s="176"/>
      <c r="C159" s="172"/>
      <c r="D159" s="172"/>
      <c r="E159" s="172"/>
      <c r="F159" s="172"/>
      <c r="G159" s="172"/>
      <c r="H159" s="161"/>
      <c r="I159" s="161"/>
      <c r="J159" s="162"/>
      <c r="K159" s="161"/>
      <c r="L159" s="161"/>
    </row>
    <row r="160" spans="1:12" ht="27.95" customHeight="1">
      <c r="A160" s="79"/>
      <c r="B160" s="1257" t="s">
        <v>201</v>
      </c>
      <c r="C160" s="1426"/>
      <c r="D160" s="1426"/>
      <c r="E160" s="1426"/>
      <c r="F160" s="1426"/>
      <c r="G160" s="1426"/>
      <c r="H160" s="1426"/>
      <c r="I160" s="1426"/>
      <c r="J160" s="1426"/>
      <c r="K160" s="1426"/>
      <c r="L160" s="1427"/>
    </row>
    <row r="161" spans="1:12" ht="27.95" customHeight="1">
      <c r="A161" s="15"/>
      <c r="B161" s="1407" t="s">
        <v>202</v>
      </c>
      <c r="C161" s="1407"/>
      <c r="D161" s="1407"/>
      <c r="E161" s="1407"/>
      <c r="F161" s="1407"/>
      <c r="G161" s="1407"/>
      <c r="H161" s="1407"/>
      <c r="I161" s="1407"/>
      <c r="J161" s="1407"/>
      <c r="K161" s="1407"/>
      <c r="L161" s="1239"/>
    </row>
    <row r="162" spans="1:12" ht="27.95" customHeight="1" thickBot="1">
      <c r="A162" s="27"/>
      <c r="B162" s="1241" t="s">
        <v>203</v>
      </c>
      <c r="C162" s="1241"/>
      <c r="D162" s="1241"/>
      <c r="E162" s="1241"/>
      <c r="F162" s="1241"/>
      <c r="G162" s="1241"/>
      <c r="H162" s="1241"/>
      <c r="I162" s="1241"/>
      <c r="J162" s="1241"/>
      <c r="K162" s="1241"/>
      <c r="L162" s="1242"/>
    </row>
    <row r="163" spans="1:12" ht="27.95" customHeight="1">
      <c r="A163" s="15"/>
      <c r="B163" s="1404" t="s">
        <v>120</v>
      </c>
      <c r="C163" s="1404"/>
      <c r="D163" s="1404"/>
      <c r="E163" s="1404"/>
      <c r="F163" s="1404"/>
      <c r="H163" s="1397" t="s">
        <v>121</v>
      </c>
      <c r="I163" s="1397"/>
      <c r="J163" s="1397"/>
      <c r="K163" s="1397"/>
      <c r="L163" s="1428"/>
    </row>
    <row r="164" spans="1:12" ht="27.95" customHeight="1" thickBot="1">
      <c r="A164" s="15"/>
      <c r="B164" s="1404"/>
      <c r="C164" s="1404"/>
      <c r="D164" s="1404"/>
      <c r="E164" s="1404"/>
      <c r="F164" s="1404"/>
      <c r="H164" s="1397"/>
      <c r="I164" s="1397"/>
      <c r="J164" s="1397"/>
      <c r="K164" s="1397"/>
      <c r="L164" s="1428"/>
    </row>
    <row r="165" spans="1:12" ht="27.95" customHeight="1">
      <c r="A165" s="15"/>
      <c r="B165" s="79"/>
      <c r="C165" s="80"/>
      <c r="D165" s="80"/>
      <c r="E165" s="80"/>
      <c r="F165" s="81"/>
      <c r="H165" s="79"/>
      <c r="I165" s="80"/>
      <c r="J165" s="80"/>
      <c r="K165" s="80"/>
      <c r="L165" s="81"/>
    </row>
    <row r="166" spans="1:12">
      <c r="A166" s="15"/>
      <c r="B166" s="82" t="str">
        <f>'04-22-Master'!F5</f>
        <v>Burgeon IT Services Pvt.Ltd.</v>
      </c>
      <c r="F166" s="16"/>
      <c r="H166" s="82" t="str">
        <f>'04-22-Master'!AJ5</f>
        <v>Burgeon IT Services Pvt.Ltd.</v>
      </c>
      <c r="L166" s="16"/>
    </row>
    <row r="167" spans="1:12">
      <c r="A167" s="15"/>
      <c r="B167" s="15"/>
      <c r="F167" s="16"/>
      <c r="H167" s="15"/>
      <c r="L167" s="16"/>
    </row>
    <row r="168" spans="1:12">
      <c r="A168" s="15"/>
      <c r="B168" s="82" t="str">
        <f>'04-22-Master'!F6</f>
        <v>Siri Mansion LIGB 436 Dr.A S Rao Nagar,Hyderabad</v>
      </c>
      <c r="F168" s="16"/>
      <c r="H168" s="82" t="str">
        <f>'04-22-Master'!AJ6</f>
        <v>Siri Mansion LIGB 436 Dr.A S Rao Nagar,Hyderabad</v>
      </c>
      <c r="L168" s="16"/>
    </row>
    <row r="169" spans="1:12" ht="15.75" thickBot="1">
      <c r="A169" s="15"/>
      <c r="B169" s="27"/>
      <c r="C169" s="25"/>
      <c r="D169" s="25"/>
      <c r="E169" s="25"/>
      <c r="F169" s="26"/>
      <c r="H169" s="27"/>
      <c r="I169" s="25"/>
      <c r="J169" s="25"/>
      <c r="K169" s="25"/>
      <c r="L169" s="26"/>
    </row>
    <row r="170" spans="1:12">
      <c r="A170" s="15"/>
      <c r="J170" t="s">
        <v>122</v>
      </c>
      <c r="L170" s="16"/>
    </row>
    <row r="171" spans="1:12">
      <c r="A171" s="15"/>
      <c r="B171" s="1405" t="s">
        <v>123</v>
      </c>
      <c r="C171" s="1405"/>
      <c r="D171" s="1405"/>
      <c r="E171" s="1405"/>
      <c r="F171" s="1405"/>
      <c r="H171" s="1405" t="s">
        <v>4</v>
      </c>
      <c r="I171" s="1405"/>
      <c r="J171" s="1405"/>
      <c r="K171" s="1405"/>
      <c r="L171" s="1251"/>
    </row>
    <row r="172" spans="1:12" ht="15.75" thickBot="1">
      <c r="A172" s="15"/>
      <c r="L172" s="16"/>
    </row>
    <row r="173" spans="1:12">
      <c r="A173" s="15"/>
      <c r="B173" s="79"/>
      <c r="C173" s="80"/>
      <c r="D173" s="80"/>
      <c r="E173" s="80"/>
      <c r="F173" s="81"/>
      <c r="H173" s="83"/>
      <c r="I173" s="84"/>
      <c r="J173" s="84"/>
      <c r="K173" s="84"/>
      <c r="L173" s="85"/>
    </row>
    <row r="174" spans="1:12">
      <c r="A174" s="15"/>
      <c r="B174" s="15"/>
      <c r="F174" s="16"/>
      <c r="H174" s="82" t="str">
        <f>'04-22-Master'!AJ10</f>
        <v>INFOSYS  LTD.IL Hyderabad SEZ</v>
      </c>
      <c r="I174" s="2"/>
      <c r="J174" s="2"/>
      <c r="K174" s="2"/>
      <c r="L174" s="86"/>
    </row>
    <row r="175" spans="1:12">
      <c r="A175" s="15"/>
      <c r="B175" s="82" t="str">
        <f>'04-22-Master'!F8</f>
        <v>IT SUPPORTIVE SERVICES &amp; HYDERABAD SEZ</v>
      </c>
      <c r="F175" s="16"/>
      <c r="H175" s="82"/>
      <c r="I175" s="2"/>
      <c r="J175" s="2"/>
      <c r="K175" s="2"/>
      <c r="L175" s="86"/>
    </row>
    <row r="176" spans="1:12">
      <c r="A176" s="15"/>
      <c r="B176" s="15"/>
      <c r="F176" s="16"/>
      <c r="H176" s="82" t="str">
        <f>'04-22-Master'!AJ11</f>
        <v>Sy.No 42,Pocharam Village,Gatkesar Mandal</v>
      </c>
      <c r="I176" s="2"/>
      <c r="J176" s="2"/>
      <c r="K176" s="2"/>
      <c r="L176" s="86"/>
    </row>
    <row r="177" spans="1:12" ht="15.75" thickBot="1">
      <c r="A177" s="15"/>
      <c r="B177" s="27"/>
      <c r="C177" s="25"/>
      <c r="D177" s="25"/>
      <c r="E177" s="25"/>
      <c r="F177" s="26"/>
      <c r="H177" s="87"/>
      <c r="I177" s="88"/>
      <c r="J177" s="88"/>
      <c r="K177" s="88"/>
      <c r="L177" s="89"/>
    </row>
    <row r="178" spans="1:12">
      <c r="A178" s="90"/>
      <c r="B178" s="1419" t="s">
        <v>204</v>
      </c>
      <c r="C178" s="1419"/>
      <c r="D178" s="1419"/>
      <c r="E178" s="1419"/>
      <c r="F178" s="1419"/>
      <c r="G178" s="1419"/>
      <c r="H178" s="1422" t="e">
        <f>'04-22-Master'!#REF!</f>
        <v>#REF!</v>
      </c>
      <c r="I178" s="1421"/>
      <c r="J178" s="1421"/>
      <c r="K178" s="1421"/>
      <c r="L178" s="1224"/>
    </row>
    <row r="179" spans="1:12">
      <c r="A179" s="90"/>
      <c r="B179" s="1423" t="s">
        <v>205</v>
      </c>
      <c r="C179" s="1423"/>
      <c r="D179" s="1423"/>
      <c r="E179" s="1423"/>
      <c r="F179" s="1423"/>
      <c r="G179" s="1423"/>
      <c r="H179" s="1422" t="e">
        <f>'04-22-Master'!#REF!</f>
        <v>#REF!</v>
      </c>
      <c r="I179" s="1421"/>
      <c r="J179" s="1421"/>
      <c r="K179" s="1421"/>
      <c r="L179" s="1224"/>
    </row>
    <row r="180" spans="1:12">
      <c r="A180" s="90"/>
      <c r="B180" s="1419" t="s">
        <v>206</v>
      </c>
      <c r="C180" s="1419"/>
      <c r="D180" s="1419"/>
      <c r="E180" s="1419"/>
      <c r="F180" s="1419"/>
      <c r="G180" s="1419"/>
      <c r="H180" s="1422" t="e">
        <f>'04-22-Master'!#REF!</f>
        <v>#REF!</v>
      </c>
      <c r="I180" s="1421"/>
      <c r="J180" s="1421"/>
      <c r="K180" s="1421"/>
      <c r="L180" s="1224"/>
    </row>
    <row r="181" spans="1:12">
      <c r="A181" s="90"/>
      <c r="B181" s="1419" t="s">
        <v>207</v>
      </c>
      <c r="C181" s="1419"/>
      <c r="D181" s="1419"/>
      <c r="E181" s="1419"/>
      <c r="F181" s="1419"/>
      <c r="G181" s="1419"/>
      <c r="H181" s="1424" t="e">
        <f>'04-22-Master'!#REF!</f>
        <v>#REF!</v>
      </c>
      <c r="I181" s="1421"/>
      <c r="J181" s="1421"/>
      <c r="K181" s="1421"/>
      <c r="L181" s="1224"/>
    </row>
    <row r="182" spans="1:12">
      <c r="A182" s="90"/>
      <c r="B182" s="91" t="s">
        <v>209</v>
      </c>
      <c r="C182" s="92"/>
      <c r="D182" s="92"/>
      <c r="E182" s="92"/>
      <c r="F182" s="92"/>
      <c r="G182" s="92"/>
      <c r="H182" s="1416" t="s">
        <v>210</v>
      </c>
      <c r="I182" s="1417"/>
      <c r="J182" s="1417"/>
      <c r="K182" s="1417"/>
      <c r="L182" s="1418"/>
    </row>
    <row r="183" spans="1:12">
      <c r="A183" s="90"/>
      <c r="B183" s="91" t="s">
        <v>211</v>
      </c>
      <c r="C183" s="92"/>
      <c r="D183" s="92"/>
      <c r="E183" s="92"/>
      <c r="F183" s="92"/>
      <c r="G183" s="92"/>
      <c r="H183" s="93"/>
      <c r="I183" s="94"/>
      <c r="J183" s="174"/>
      <c r="K183" s="94"/>
      <c r="L183" s="99"/>
    </row>
    <row r="184" spans="1:12">
      <c r="A184" s="90"/>
      <c r="B184" s="1234" t="s">
        <v>212</v>
      </c>
      <c r="C184" s="1234"/>
      <c r="D184" s="1234"/>
      <c r="E184" s="1234"/>
      <c r="F184" s="1234"/>
      <c r="G184" s="1234"/>
      <c r="H184" s="1227" t="e">
        <f>'04-22-Master'!#REF!</f>
        <v>#REF!</v>
      </c>
      <c r="I184" s="1228"/>
      <c r="J184" s="1228"/>
      <c r="K184" s="1228"/>
      <c r="L184" s="1229"/>
    </row>
    <row r="185" spans="1:12">
      <c r="A185" s="90"/>
      <c r="B185" s="1419"/>
      <c r="C185" s="1419"/>
      <c r="D185" s="1419"/>
      <c r="E185" s="1419"/>
      <c r="F185" s="1419"/>
      <c r="G185" s="1419"/>
      <c r="H185" s="1420" t="e">
        <f>'04-22-Master'!#REF!</f>
        <v>#REF!</v>
      </c>
      <c r="I185" s="1421"/>
      <c r="J185" s="1421"/>
      <c r="K185" s="1421"/>
      <c r="L185" s="1224"/>
    </row>
    <row r="186" spans="1:12">
      <c r="A186" s="15"/>
      <c r="B186" s="1419"/>
      <c r="C186" s="1419"/>
      <c r="D186" s="1419"/>
      <c r="E186" s="1419"/>
      <c r="F186" s="1419"/>
      <c r="G186" s="1419"/>
      <c r="H186" s="1422" t="e">
        <f>'04-22-Master'!#REF!</f>
        <v>#REF!</v>
      </c>
      <c r="I186" s="1421"/>
      <c r="J186" s="1421"/>
      <c r="K186" s="1421"/>
      <c r="L186" s="1224"/>
    </row>
    <row r="187" spans="1:12">
      <c r="A187" s="15"/>
      <c r="B187" s="91" t="s">
        <v>213</v>
      </c>
      <c r="C187" s="92"/>
      <c r="D187" s="92"/>
      <c r="E187" s="92"/>
      <c r="F187" s="92"/>
      <c r="G187" s="95"/>
      <c r="H187" s="1408" t="e">
        <f>'04-22-Master'!#REF!</f>
        <v>#REF!</v>
      </c>
      <c r="I187" s="1409"/>
      <c r="J187" s="1409"/>
      <c r="K187" s="1409"/>
      <c r="L187" s="1410"/>
    </row>
    <row r="188" spans="1:12">
      <c r="A188" s="15"/>
      <c r="B188" s="91"/>
      <c r="C188" s="92"/>
      <c r="D188" s="92"/>
      <c r="E188" s="92"/>
      <c r="F188" s="92"/>
      <c r="G188" s="95"/>
      <c r="H188" s="1408" t="e">
        <f>'04-22-Master'!#REF!</f>
        <v>#REF!</v>
      </c>
      <c r="I188" s="1409"/>
      <c r="J188" s="1409"/>
      <c r="K188" s="1409"/>
      <c r="L188" s="1410"/>
    </row>
    <row r="189" spans="1:12">
      <c r="A189" s="15"/>
      <c r="B189" s="91"/>
      <c r="C189" s="92"/>
      <c r="D189" s="92"/>
      <c r="E189" s="92"/>
      <c r="F189" s="92"/>
      <c r="G189" s="95"/>
      <c r="H189" s="1408" t="e">
        <f>'04-22-Master'!#REF!</f>
        <v>#REF!</v>
      </c>
      <c r="I189" s="1409"/>
      <c r="J189" s="1409"/>
      <c r="K189" s="1409"/>
      <c r="L189" s="1410"/>
    </row>
    <row r="190" spans="1:12">
      <c r="A190" s="15"/>
      <c r="B190" s="91" t="s">
        <v>220</v>
      </c>
      <c r="C190" s="92"/>
      <c r="D190" s="92"/>
      <c r="E190" s="92"/>
      <c r="F190" s="92"/>
      <c r="G190" s="95"/>
      <c r="H190" s="93"/>
      <c r="I190" s="94"/>
      <c r="J190" s="94"/>
      <c r="K190" s="94"/>
      <c r="L190" s="99"/>
    </row>
    <row r="191" spans="1:12">
      <c r="A191" s="15"/>
      <c r="B191" s="101" t="s">
        <v>221</v>
      </c>
      <c r="C191" s="155"/>
      <c r="D191" s="155"/>
      <c r="E191" s="155"/>
      <c r="F191" s="155"/>
      <c r="G191" s="156"/>
      <c r="H191" s="157"/>
      <c r="I191" s="158"/>
      <c r="J191" s="159"/>
      <c r="K191" s="158"/>
      <c r="L191" s="160"/>
    </row>
    <row r="192" spans="1:12" ht="45">
      <c r="A192" s="15"/>
      <c r="B192" s="91" t="s">
        <v>224</v>
      </c>
      <c r="C192" s="92"/>
      <c r="D192" s="94"/>
      <c r="E192" s="167" t="s">
        <v>226</v>
      </c>
      <c r="F192" s="66"/>
      <c r="G192" s="1411" t="s">
        <v>225</v>
      </c>
      <c r="H192" s="1412"/>
      <c r="I192" s="171" t="s">
        <v>222</v>
      </c>
      <c r="J192" s="169" t="s">
        <v>227</v>
      </c>
      <c r="K192" s="1411" t="s">
        <v>223</v>
      </c>
      <c r="L192" s="1413"/>
    </row>
    <row r="193" spans="1:12">
      <c r="A193" s="15"/>
      <c r="B193" s="170">
        <v>1</v>
      </c>
      <c r="C193" s="92"/>
      <c r="D193" s="92"/>
      <c r="E193" s="173">
        <v>2</v>
      </c>
      <c r="F193" s="95"/>
      <c r="G193" s="173">
        <v>3</v>
      </c>
      <c r="H193" s="189"/>
      <c r="I193" s="189">
        <v>4</v>
      </c>
      <c r="J193" s="110">
        <v>5</v>
      </c>
      <c r="K193" s="97"/>
      <c r="L193" s="98">
        <v>6</v>
      </c>
    </row>
    <row r="194" spans="1:12">
      <c r="A194" s="15"/>
      <c r="B194" s="286" t="e">
        <f>'04-22-Master'!#REF!</f>
        <v>#REF!</v>
      </c>
      <c r="C194" s="185"/>
      <c r="D194" s="186"/>
      <c r="E194" s="188" t="s">
        <v>383</v>
      </c>
      <c r="F194" s="186"/>
      <c r="G194" s="188" t="s">
        <v>384</v>
      </c>
      <c r="H194" s="66"/>
      <c r="I194" s="13" t="s">
        <v>385</v>
      </c>
      <c r="J194" s="285">
        <v>1</v>
      </c>
      <c r="K194" s="1414" t="s">
        <v>37</v>
      </c>
      <c r="L194" s="1425"/>
    </row>
    <row r="195" spans="1:12">
      <c r="A195" s="15"/>
      <c r="B195" s="91"/>
      <c r="C195" s="185"/>
      <c r="D195" s="186"/>
      <c r="E195" s="187"/>
      <c r="F195" s="186"/>
      <c r="G195" s="187"/>
      <c r="H195" s="66"/>
      <c r="I195" s="13"/>
      <c r="J195" s="13"/>
      <c r="K195" s="188"/>
      <c r="L195" s="66"/>
    </row>
    <row r="196" spans="1:12">
      <c r="A196" s="15"/>
      <c r="B196" s="91"/>
      <c r="C196" s="185"/>
      <c r="D196" s="186"/>
      <c r="E196" s="187"/>
      <c r="F196" s="186"/>
      <c r="G196" s="187"/>
      <c r="H196" s="66"/>
      <c r="I196" s="13"/>
      <c r="J196" s="13"/>
      <c r="K196" s="188"/>
      <c r="L196" s="66"/>
    </row>
    <row r="197" spans="1:12">
      <c r="A197" s="15"/>
      <c r="B197" s="73"/>
      <c r="C197" s="19"/>
      <c r="D197" s="74"/>
      <c r="E197" s="187"/>
      <c r="F197" s="186"/>
      <c r="G197" s="187"/>
      <c r="H197" s="66"/>
      <c r="I197" s="13"/>
      <c r="J197" s="13"/>
      <c r="K197" s="188"/>
      <c r="L197" s="66"/>
    </row>
    <row r="198" spans="1:12">
      <c r="A198" s="15"/>
      <c r="B198" t="s">
        <v>228</v>
      </c>
      <c r="L198" s="16"/>
    </row>
    <row r="199" spans="1:12">
      <c r="A199" s="15"/>
      <c r="B199" t="s">
        <v>229</v>
      </c>
      <c r="L199" s="16"/>
    </row>
    <row r="200" spans="1:12">
      <c r="A200" s="15"/>
      <c r="B200" t="s">
        <v>230</v>
      </c>
      <c r="L200" s="16"/>
    </row>
    <row r="201" spans="1:12" ht="27.95" customHeight="1">
      <c r="A201" s="15"/>
      <c r="L201" s="16"/>
    </row>
    <row r="202" spans="1:12" ht="27.95" customHeight="1">
      <c r="A202" s="15"/>
      <c r="I202" t="s">
        <v>231</v>
      </c>
      <c r="L202" s="16"/>
    </row>
    <row r="203" spans="1:12" ht="27.95" customHeight="1">
      <c r="A203" s="15"/>
      <c r="F203" s="175" t="s">
        <v>214</v>
      </c>
      <c r="L203" s="16"/>
    </row>
    <row r="204" spans="1:12" ht="27.95" customHeight="1">
      <c r="A204" s="15" t="s">
        <v>215</v>
      </c>
      <c r="K204" s="225" t="e">
        <f>'04-22-Master'!#REF!</f>
        <v>#REF!</v>
      </c>
      <c r="L204" s="16"/>
    </row>
    <row r="205" spans="1:12" ht="27.95" customHeight="1">
      <c r="A205" s="15" t="s">
        <v>216</v>
      </c>
      <c r="L205" s="16"/>
    </row>
    <row r="206" spans="1:12" ht="27.95" customHeight="1">
      <c r="A206" s="15"/>
      <c r="L206" s="16"/>
    </row>
    <row r="207" spans="1:12" ht="27.95" customHeight="1">
      <c r="A207" s="15"/>
      <c r="L207" s="16"/>
    </row>
    <row r="208" spans="1:12" ht="27.95" customHeight="1">
      <c r="A208" s="15"/>
      <c r="F208" t="s">
        <v>217</v>
      </c>
      <c r="L208" s="16"/>
    </row>
    <row r="209" spans="1:12" ht="27.95" customHeight="1">
      <c r="A209" s="15" t="s">
        <v>218</v>
      </c>
      <c r="B209" t="s">
        <v>382</v>
      </c>
      <c r="F209" t="str">
        <f>'04-22-Master'!F5</f>
        <v>Burgeon IT Services Pvt.Ltd.</v>
      </c>
      <c r="L209" s="16"/>
    </row>
    <row r="210" spans="1:12" ht="27.95" customHeight="1">
      <c r="A210" s="15" t="s">
        <v>219</v>
      </c>
      <c r="B210" s="284" t="e">
        <f>'04-22-Master'!#REF!</f>
        <v>#REF!</v>
      </c>
      <c r="F210" t="str">
        <f>'04-22-Master'!F6</f>
        <v>Siri Mansion LIGB 436 Dr.A S Rao Nagar,Hyderabad</v>
      </c>
      <c r="L210" s="16"/>
    </row>
    <row r="211" spans="1:12" ht="27.95" customHeight="1" thickBot="1">
      <c r="A211" s="27"/>
      <c r="B211" s="25"/>
      <c r="C211" s="25"/>
      <c r="D211" s="25"/>
      <c r="E211" s="25"/>
      <c r="F211" s="25"/>
      <c r="G211" s="25"/>
      <c r="H211" s="25"/>
      <c r="I211" s="25"/>
      <c r="J211" s="25"/>
      <c r="K211" s="25"/>
      <c r="L211" s="26"/>
    </row>
    <row r="212" spans="1:12" ht="27.95" customHeight="1" thickBot="1">
      <c r="B212" s="176"/>
      <c r="C212" s="172"/>
      <c r="D212" s="172"/>
      <c r="E212" s="172"/>
      <c r="F212" s="172"/>
      <c r="G212" s="172"/>
      <c r="H212" s="161"/>
      <c r="I212" s="161"/>
      <c r="J212" s="162"/>
      <c r="K212" s="161"/>
      <c r="L212" s="161"/>
    </row>
    <row r="213" spans="1:12" ht="27.95" customHeight="1">
      <c r="A213" s="79"/>
      <c r="B213" s="1257" t="s">
        <v>201</v>
      </c>
      <c r="C213" s="1426"/>
      <c r="D213" s="1426"/>
      <c r="E213" s="1426"/>
      <c r="F213" s="1426"/>
      <c r="G213" s="1426"/>
      <c r="H213" s="1426"/>
      <c r="I213" s="1426"/>
      <c r="J213" s="1426"/>
      <c r="K213" s="1426"/>
      <c r="L213" s="1427"/>
    </row>
    <row r="214" spans="1:12" ht="27.95" customHeight="1">
      <c r="A214" s="15"/>
      <c r="B214" s="1407" t="s">
        <v>202</v>
      </c>
      <c r="C214" s="1407"/>
      <c r="D214" s="1407"/>
      <c r="E214" s="1407"/>
      <c r="F214" s="1407"/>
      <c r="G214" s="1407"/>
      <c r="H214" s="1407"/>
      <c r="I214" s="1407"/>
      <c r="J214" s="1407"/>
      <c r="K214" s="1407"/>
      <c r="L214" s="1239"/>
    </row>
    <row r="215" spans="1:12" ht="27.95" customHeight="1" thickBot="1">
      <c r="A215" s="27"/>
      <c r="B215" s="1241" t="s">
        <v>203</v>
      </c>
      <c r="C215" s="1241"/>
      <c r="D215" s="1241"/>
      <c r="E215" s="1241"/>
      <c r="F215" s="1241"/>
      <c r="G215" s="1241"/>
      <c r="H215" s="1241"/>
      <c r="I215" s="1241"/>
      <c r="J215" s="1241"/>
      <c r="K215" s="1241"/>
      <c r="L215" s="1242"/>
    </row>
    <row r="216" spans="1:12" ht="27.95" customHeight="1">
      <c r="A216" s="15"/>
      <c r="B216" s="1404" t="s">
        <v>120</v>
      </c>
      <c r="C216" s="1404"/>
      <c r="D216" s="1404"/>
      <c r="E216" s="1404"/>
      <c r="F216" s="1404"/>
      <c r="H216" s="1397" t="s">
        <v>121</v>
      </c>
      <c r="I216" s="1397"/>
      <c r="J216" s="1397"/>
      <c r="K216" s="1397"/>
      <c r="L216" s="1428"/>
    </row>
    <row r="217" spans="1:12" ht="27.95" customHeight="1" thickBot="1">
      <c r="A217" s="15"/>
      <c r="B217" s="1404"/>
      <c r="C217" s="1404"/>
      <c r="D217" s="1404"/>
      <c r="E217" s="1404"/>
      <c r="F217" s="1404"/>
      <c r="H217" s="1397"/>
      <c r="I217" s="1397"/>
      <c r="J217" s="1397"/>
      <c r="K217" s="1397"/>
      <c r="L217" s="1428"/>
    </row>
    <row r="218" spans="1:12" ht="27.95" customHeight="1">
      <c r="A218" s="15"/>
      <c r="B218" s="79"/>
      <c r="C218" s="80"/>
      <c r="D218" s="80"/>
      <c r="E218" s="80"/>
      <c r="F218" s="81"/>
      <c r="H218" s="79"/>
      <c r="I218" s="80"/>
      <c r="J218" s="80"/>
      <c r="K218" s="80"/>
      <c r="L218" s="81"/>
    </row>
    <row r="219" spans="1:12">
      <c r="A219" s="15"/>
      <c r="B219" s="82" t="str">
        <f>'04-22-Master'!F5</f>
        <v>Burgeon IT Services Pvt.Ltd.</v>
      </c>
      <c r="F219" s="16"/>
      <c r="H219" s="82" t="str">
        <f>'04-22-Master'!AJ5</f>
        <v>Burgeon IT Services Pvt.Ltd.</v>
      </c>
      <c r="L219" s="16"/>
    </row>
    <row r="220" spans="1:12">
      <c r="A220" s="15"/>
      <c r="B220" s="15"/>
      <c r="F220" s="16"/>
      <c r="H220" s="15"/>
      <c r="L220" s="16"/>
    </row>
    <row r="221" spans="1:12">
      <c r="A221" s="15"/>
      <c r="B221" s="82" t="str">
        <f>'04-22-Master'!F6</f>
        <v>Siri Mansion LIGB 436 Dr.A S Rao Nagar,Hyderabad</v>
      </c>
      <c r="F221" s="16"/>
      <c r="H221" s="82" t="str">
        <f>'04-22-Master'!AJ6</f>
        <v>Siri Mansion LIGB 436 Dr.A S Rao Nagar,Hyderabad</v>
      </c>
      <c r="L221" s="16"/>
    </row>
    <row r="222" spans="1:12" ht="15.75" thickBot="1">
      <c r="A222" s="15"/>
      <c r="B222" s="27"/>
      <c r="C222" s="25"/>
      <c r="D222" s="25"/>
      <c r="E222" s="25"/>
      <c r="F222" s="26"/>
      <c r="H222" s="27"/>
      <c r="I222" s="25"/>
      <c r="J222" s="25"/>
      <c r="K222" s="25"/>
      <c r="L222" s="26"/>
    </row>
    <row r="223" spans="1:12">
      <c r="A223" s="15"/>
      <c r="J223" t="s">
        <v>122</v>
      </c>
      <c r="L223" s="16"/>
    </row>
    <row r="224" spans="1:12">
      <c r="A224" s="15"/>
      <c r="B224" s="1405" t="s">
        <v>123</v>
      </c>
      <c r="C224" s="1405"/>
      <c r="D224" s="1405"/>
      <c r="E224" s="1405"/>
      <c r="F224" s="1405"/>
      <c r="H224" s="1405" t="s">
        <v>4</v>
      </c>
      <c r="I224" s="1405"/>
      <c r="J224" s="1405"/>
      <c r="K224" s="1405"/>
      <c r="L224" s="1251"/>
    </row>
    <row r="225" spans="1:12" ht="15.75" thickBot="1">
      <c r="A225" s="15"/>
      <c r="L225" s="16"/>
    </row>
    <row r="226" spans="1:12">
      <c r="A226" s="15"/>
      <c r="B226" s="79"/>
      <c r="C226" s="80"/>
      <c r="D226" s="80"/>
      <c r="E226" s="80"/>
      <c r="F226" s="81"/>
      <c r="H226" s="83"/>
      <c r="I226" s="84"/>
      <c r="J226" s="84"/>
      <c r="K226" s="84"/>
      <c r="L226" s="85"/>
    </row>
    <row r="227" spans="1:12">
      <c r="A227" s="15"/>
      <c r="B227" s="15"/>
      <c r="F227" s="16"/>
      <c r="H227" s="82" t="str">
        <f>'04-22-Master'!AJ10</f>
        <v>INFOSYS  LTD.IL Hyderabad SEZ</v>
      </c>
      <c r="I227" s="2"/>
      <c r="J227" s="2"/>
      <c r="K227" s="2"/>
      <c r="L227" s="86"/>
    </row>
    <row r="228" spans="1:12">
      <c r="A228" s="15"/>
      <c r="B228" s="82" t="str">
        <f>'04-22-Master'!F8</f>
        <v>IT SUPPORTIVE SERVICES &amp; HYDERABAD SEZ</v>
      </c>
      <c r="F228" s="16"/>
      <c r="H228" s="82"/>
      <c r="I228" s="2"/>
      <c r="J228" s="2"/>
      <c r="K228" s="2"/>
      <c r="L228" s="86"/>
    </row>
    <row r="229" spans="1:12">
      <c r="A229" s="15"/>
      <c r="B229" s="15"/>
      <c r="F229" s="16"/>
      <c r="H229" s="82" t="str">
        <f>'04-22-Master'!AJ11</f>
        <v>Sy.No 42,Pocharam Village,Gatkesar Mandal</v>
      </c>
      <c r="I229" s="2"/>
      <c r="J229" s="2"/>
      <c r="K229" s="2"/>
      <c r="L229" s="86"/>
    </row>
    <row r="230" spans="1:12" ht="15.75" thickBot="1">
      <c r="A230" s="15"/>
      <c r="B230" s="27"/>
      <c r="C230" s="25"/>
      <c r="D230" s="25"/>
      <c r="E230" s="25"/>
      <c r="F230" s="26"/>
      <c r="H230" s="87"/>
      <c r="I230" s="88"/>
      <c r="J230" s="88"/>
      <c r="K230" s="88"/>
      <c r="L230" s="89"/>
    </row>
    <row r="231" spans="1:12">
      <c r="A231" s="90"/>
      <c r="B231" s="1419" t="s">
        <v>204</v>
      </c>
      <c r="C231" s="1419"/>
      <c r="D231" s="1419"/>
      <c r="E231" s="1419"/>
      <c r="F231" s="1419"/>
      <c r="G231" s="1419"/>
      <c r="H231" s="1422" t="e">
        <f>'04-22-Master'!#REF!</f>
        <v>#REF!</v>
      </c>
      <c r="I231" s="1421"/>
      <c r="J231" s="1421"/>
      <c r="K231" s="1421"/>
      <c r="L231" s="1224"/>
    </row>
    <row r="232" spans="1:12">
      <c r="A232" s="90"/>
      <c r="B232" s="1423" t="s">
        <v>205</v>
      </c>
      <c r="C232" s="1423"/>
      <c r="D232" s="1423"/>
      <c r="E232" s="1423"/>
      <c r="F232" s="1423"/>
      <c r="G232" s="1423"/>
      <c r="H232" s="1422" t="e">
        <f>'04-22-Master'!#REF!</f>
        <v>#REF!</v>
      </c>
      <c r="I232" s="1421"/>
      <c r="J232" s="1421"/>
      <c r="K232" s="1421"/>
      <c r="L232" s="1224"/>
    </row>
    <row r="233" spans="1:12">
      <c r="A233" s="90"/>
      <c r="B233" s="1419" t="s">
        <v>206</v>
      </c>
      <c r="C233" s="1419"/>
      <c r="D233" s="1419"/>
      <c r="E233" s="1419"/>
      <c r="F233" s="1419"/>
      <c r="G233" s="1419"/>
      <c r="H233" s="1422" t="e">
        <f>'04-22-Master'!#REF!</f>
        <v>#REF!</v>
      </c>
      <c r="I233" s="1421"/>
      <c r="J233" s="1421"/>
      <c r="K233" s="1421"/>
      <c r="L233" s="1224"/>
    </row>
    <row r="234" spans="1:12">
      <c r="A234" s="90"/>
      <c r="B234" s="1419" t="s">
        <v>207</v>
      </c>
      <c r="C234" s="1419"/>
      <c r="D234" s="1419"/>
      <c r="E234" s="1419"/>
      <c r="F234" s="1419"/>
      <c r="G234" s="1419"/>
      <c r="H234" s="1424" t="e">
        <f>'04-22-Master'!#REF!</f>
        <v>#REF!</v>
      </c>
      <c r="I234" s="1421"/>
      <c r="J234" s="1421"/>
      <c r="K234" s="1421"/>
      <c r="L234" s="1224"/>
    </row>
    <row r="235" spans="1:12">
      <c r="A235" s="90"/>
      <c r="B235" s="91" t="s">
        <v>209</v>
      </c>
      <c r="C235" s="92"/>
      <c r="D235" s="92"/>
      <c r="E235" s="92"/>
      <c r="F235" s="92"/>
      <c r="G235" s="92"/>
      <c r="H235" s="1416" t="s">
        <v>210</v>
      </c>
      <c r="I235" s="1417"/>
      <c r="J235" s="1417"/>
      <c r="K235" s="1417"/>
      <c r="L235" s="1418"/>
    </row>
    <row r="236" spans="1:12">
      <c r="A236" s="90"/>
      <c r="B236" s="91" t="s">
        <v>211</v>
      </c>
      <c r="C236" s="92"/>
      <c r="D236" s="92"/>
      <c r="E236" s="92"/>
      <c r="F236" s="92"/>
      <c r="G236" s="92"/>
      <c r="H236" s="93"/>
      <c r="I236" s="94"/>
      <c r="J236" s="174"/>
      <c r="K236" s="94"/>
      <c r="L236" s="99"/>
    </row>
    <row r="237" spans="1:12">
      <c r="A237" s="90"/>
      <c r="B237" s="1234" t="s">
        <v>212</v>
      </c>
      <c r="C237" s="1234"/>
      <c r="D237" s="1234"/>
      <c r="E237" s="1234"/>
      <c r="F237" s="1234"/>
      <c r="G237" s="1234"/>
      <c r="H237" s="1227" t="e">
        <f>'04-22-Master'!#REF!</f>
        <v>#REF!</v>
      </c>
      <c r="I237" s="1228"/>
      <c r="J237" s="1228"/>
      <c r="K237" s="1228"/>
      <c r="L237" s="1229"/>
    </row>
    <row r="238" spans="1:12">
      <c r="A238" s="90"/>
      <c r="B238" s="1419"/>
      <c r="C238" s="1419"/>
      <c r="D238" s="1419"/>
      <c r="E238" s="1419"/>
      <c r="F238" s="1419"/>
      <c r="G238" s="1419"/>
      <c r="H238" s="1420" t="e">
        <f>'04-22-Master'!#REF!</f>
        <v>#REF!</v>
      </c>
      <c r="I238" s="1421"/>
      <c r="J238" s="1421"/>
      <c r="K238" s="1421"/>
      <c r="L238" s="1224"/>
    </row>
    <row r="239" spans="1:12">
      <c r="A239" s="15"/>
      <c r="B239" s="1419"/>
      <c r="C239" s="1419"/>
      <c r="D239" s="1419"/>
      <c r="E239" s="1419"/>
      <c r="F239" s="1419"/>
      <c r="G239" s="1419"/>
      <c r="H239" s="1422" t="e">
        <f>'04-22-Master'!#REF!</f>
        <v>#REF!</v>
      </c>
      <c r="I239" s="1421"/>
      <c r="J239" s="1421"/>
      <c r="K239" s="1421"/>
      <c r="L239" s="1224"/>
    </row>
    <row r="240" spans="1:12">
      <c r="A240" s="15"/>
      <c r="B240" s="91" t="s">
        <v>213</v>
      </c>
      <c r="C240" s="92"/>
      <c r="D240" s="92"/>
      <c r="E240" s="92"/>
      <c r="F240" s="92"/>
      <c r="G240" s="95"/>
      <c r="H240" s="1408" t="e">
        <f>'04-22-Master'!#REF!</f>
        <v>#REF!</v>
      </c>
      <c r="I240" s="1409"/>
      <c r="J240" s="1409"/>
      <c r="K240" s="1409"/>
      <c r="L240" s="1410"/>
    </row>
    <row r="241" spans="1:12">
      <c r="A241" s="15"/>
      <c r="B241" s="91"/>
      <c r="C241" s="92"/>
      <c r="D241" s="92"/>
      <c r="E241" s="92"/>
      <c r="F241" s="92"/>
      <c r="G241" s="95"/>
      <c r="H241" s="1408" t="e">
        <f>'04-22-Master'!#REF!</f>
        <v>#REF!</v>
      </c>
      <c r="I241" s="1409"/>
      <c r="J241" s="1409"/>
      <c r="K241" s="1409"/>
      <c r="L241" s="1410"/>
    </row>
    <row r="242" spans="1:12">
      <c r="A242" s="15"/>
      <c r="B242" s="91"/>
      <c r="C242" s="92"/>
      <c r="D242" s="92"/>
      <c r="E242" s="92"/>
      <c r="F242" s="92"/>
      <c r="G242" s="95"/>
      <c r="H242" s="1408" t="e">
        <f>'04-22-Master'!#REF!</f>
        <v>#REF!</v>
      </c>
      <c r="I242" s="1409"/>
      <c r="J242" s="1409"/>
      <c r="K242" s="1409"/>
      <c r="L242" s="1410"/>
    </row>
    <row r="243" spans="1:12">
      <c r="A243" s="15"/>
      <c r="B243" s="91" t="s">
        <v>220</v>
      </c>
      <c r="C243" s="92"/>
      <c r="D243" s="92"/>
      <c r="E243" s="92"/>
      <c r="F243" s="92"/>
      <c r="G243" s="95"/>
      <c r="H243" s="93"/>
      <c r="I243" s="94"/>
      <c r="J243" s="94"/>
      <c r="K243" s="94"/>
      <c r="L243" s="99"/>
    </row>
    <row r="244" spans="1:12">
      <c r="A244" s="15"/>
      <c r="B244" s="101" t="s">
        <v>221</v>
      </c>
      <c r="C244" s="155"/>
      <c r="D244" s="155"/>
      <c r="E244" s="155"/>
      <c r="F244" s="155"/>
      <c r="G244" s="156"/>
      <c r="H244" s="157"/>
      <c r="I244" s="158"/>
      <c r="J244" s="159"/>
      <c r="K244" s="158"/>
      <c r="L244" s="160"/>
    </row>
    <row r="245" spans="1:12" ht="45">
      <c r="A245" s="15"/>
      <c r="B245" s="91" t="s">
        <v>224</v>
      </c>
      <c r="C245" s="92"/>
      <c r="D245" s="94"/>
      <c r="E245" s="167" t="s">
        <v>226</v>
      </c>
      <c r="F245" s="66"/>
      <c r="G245" s="1411" t="s">
        <v>225</v>
      </c>
      <c r="H245" s="1412"/>
      <c r="I245" s="171" t="s">
        <v>222</v>
      </c>
      <c r="J245" s="169" t="s">
        <v>227</v>
      </c>
      <c r="K245" s="1411" t="s">
        <v>223</v>
      </c>
      <c r="L245" s="1413"/>
    </row>
    <row r="246" spans="1:12">
      <c r="A246" s="15"/>
      <c r="B246" s="170">
        <v>1</v>
      </c>
      <c r="C246" s="92"/>
      <c r="D246" s="92"/>
      <c r="E246" s="173">
        <v>2</v>
      </c>
      <c r="F246" s="95"/>
      <c r="G246" s="173">
        <v>3</v>
      </c>
      <c r="H246" s="189"/>
      <c r="I246" s="189">
        <v>4</v>
      </c>
      <c r="J246" s="110">
        <v>5</v>
      </c>
      <c r="K246" s="97"/>
      <c r="L246" s="98">
        <v>6</v>
      </c>
    </row>
    <row r="247" spans="1:12">
      <c r="A247" s="15"/>
      <c r="B247" s="286" t="e">
        <f>'04-22-Master'!#REF!</f>
        <v>#REF!</v>
      </c>
      <c r="C247" s="185"/>
      <c r="D247" s="186"/>
      <c r="E247" s="188" t="s">
        <v>383</v>
      </c>
      <c r="F247" s="186"/>
      <c r="G247" s="188" t="s">
        <v>384</v>
      </c>
      <c r="H247" s="66"/>
      <c r="I247" s="13" t="s">
        <v>385</v>
      </c>
      <c r="J247" s="285">
        <v>1</v>
      </c>
      <c r="K247" s="1414" t="s">
        <v>37</v>
      </c>
      <c r="L247" s="1425"/>
    </row>
    <row r="248" spans="1:12">
      <c r="A248" s="15"/>
      <c r="B248" s="91"/>
      <c r="C248" s="185"/>
      <c r="D248" s="186"/>
      <c r="E248" s="187"/>
      <c r="F248" s="186"/>
      <c r="G248" s="187"/>
      <c r="H248" s="66"/>
      <c r="I248" s="13"/>
      <c r="J248" s="13"/>
      <c r="K248" s="188"/>
      <c r="L248" s="66"/>
    </row>
    <row r="249" spans="1:12">
      <c r="A249" s="15"/>
      <c r="B249" s="91"/>
      <c r="C249" s="185"/>
      <c r="D249" s="186"/>
      <c r="E249" s="187"/>
      <c r="F249" s="186"/>
      <c r="G249" s="187"/>
      <c r="H249" s="66"/>
      <c r="I249" s="13"/>
      <c r="J249" s="13"/>
      <c r="K249" s="188"/>
      <c r="L249" s="66"/>
    </row>
    <row r="250" spans="1:12">
      <c r="A250" s="15"/>
      <c r="B250" s="73"/>
      <c r="C250" s="19"/>
      <c r="D250" s="74"/>
      <c r="E250" s="187"/>
      <c r="F250" s="186"/>
      <c r="G250" s="187"/>
      <c r="H250" s="66"/>
      <c r="I250" s="13"/>
      <c r="J250" s="13"/>
      <c r="K250" s="188"/>
      <c r="L250" s="66"/>
    </row>
    <row r="251" spans="1:12">
      <c r="A251" s="15"/>
      <c r="B251" t="s">
        <v>228</v>
      </c>
      <c r="L251" s="16"/>
    </row>
    <row r="252" spans="1:12">
      <c r="A252" s="15"/>
      <c r="B252" t="s">
        <v>229</v>
      </c>
      <c r="L252" s="16"/>
    </row>
    <row r="253" spans="1:12">
      <c r="A253" s="15"/>
      <c r="B253" t="s">
        <v>230</v>
      </c>
      <c r="L253" s="16"/>
    </row>
    <row r="254" spans="1:12" ht="27.95" customHeight="1">
      <c r="A254" s="15"/>
      <c r="L254" s="16"/>
    </row>
    <row r="255" spans="1:12" ht="27.95" customHeight="1">
      <c r="A255" s="15"/>
      <c r="I255" t="s">
        <v>231</v>
      </c>
      <c r="L255" s="16"/>
    </row>
    <row r="256" spans="1:12" ht="27.95" customHeight="1">
      <c r="A256" s="15"/>
      <c r="F256" s="175" t="s">
        <v>214</v>
      </c>
      <c r="L256" s="16"/>
    </row>
    <row r="257" spans="1:12" ht="27.95" customHeight="1">
      <c r="A257" s="15" t="s">
        <v>215</v>
      </c>
      <c r="K257" s="225" t="e">
        <f>'04-22-Master'!#REF!</f>
        <v>#REF!</v>
      </c>
      <c r="L257" s="16"/>
    </row>
    <row r="258" spans="1:12" ht="27.95" customHeight="1">
      <c r="A258" s="15" t="s">
        <v>216</v>
      </c>
      <c r="L258" s="16"/>
    </row>
    <row r="259" spans="1:12" ht="27.95" customHeight="1">
      <c r="A259" s="15"/>
      <c r="L259" s="16"/>
    </row>
    <row r="260" spans="1:12" ht="27.95" customHeight="1">
      <c r="A260" s="15"/>
      <c r="L260" s="16"/>
    </row>
    <row r="261" spans="1:12" ht="27.95" customHeight="1">
      <c r="A261" s="15"/>
      <c r="F261" t="s">
        <v>217</v>
      </c>
      <c r="L261" s="16"/>
    </row>
    <row r="262" spans="1:12" ht="27.95" customHeight="1">
      <c r="A262" s="15" t="s">
        <v>218</v>
      </c>
      <c r="B262" t="s">
        <v>382</v>
      </c>
      <c r="F262" t="str">
        <f>'04-22-Master'!F5</f>
        <v>Burgeon IT Services Pvt.Ltd.</v>
      </c>
      <c r="L262" s="16"/>
    </row>
    <row r="263" spans="1:12" ht="27.95" customHeight="1">
      <c r="A263" s="15" t="s">
        <v>219</v>
      </c>
      <c r="B263" s="284" t="e">
        <f>'04-22-Master'!#REF!</f>
        <v>#REF!</v>
      </c>
      <c r="F263" t="str">
        <f>'04-22-Master'!F6</f>
        <v>Siri Mansion LIGB 436 Dr.A S Rao Nagar,Hyderabad</v>
      </c>
      <c r="L263" s="16"/>
    </row>
    <row r="264" spans="1:12" ht="27.95" customHeight="1" thickBot="1">
      <c r="A264" s="27"/>
      <c r="B264" s="25"/>
      <c r="C264" s="25"/>
      <c r="D264" s="25"/>
      <c r="E264" s="25"/>
      <c r="F264" s="25"/>
      <c r="G264" s="25"/>
      <c r="H264" s="25"/>
      <c r="I264" s="25"/>
      <c r="J264" s="25"/>
      <c r="K264" s="25"/>
      <c r="L264" s="26"/>
    </row>
    <row r="265" spans="1:12" ht="27.95" customHeight="1" thickBot="1">
      <c r="B265" s="176"/>
      <c r="C265" s="172"/>
      <c r="D265" s="172"/>
      <c r="E265" s="172"/>
      <c r="F265" s="172"/>
      <c r="G265" s="172"/>
      <c r="H265" s="161"/>
      <c r="I265" s="161"/>
      <c r="J265" s="162"/>
      <c r="K265" s="161"/>
      <c r="L265" s="161"/>
    </row>
    <row r="266" spans="1:12" ht="27.95" customHeight="1">
      <c r="A266" s="79"/>
      <c r="B266" s="1257" t="s">
        <v>201</v>
      </c>
      <c r="C266" s="1426"/>
      <c r="D266" s="1426"/>
      <c r="E266" s="1426"/>
      <c r="F266" s="1426"/>
      <c r="G266" s="1426"/>
      <c r="H266" s="1426"/>
      <c r="I266" s="1426"/>
      <c r="J266" s="1426"/>
      <c r="K266" s="1426"/>
      <c r="L266" s="1427"/>
    </row>
    <row r="267" spans="1:12" ht="27.95" customHeight="1">
      <c r="A267" s="15"/>
      <c r="B267" s="1407" t="s">
        <v>202</v>
      </c>
      <c r="C267" s="1407"/>
      <c r="D267" s="1407"/>
      <c r="E267" s="1407"/>
      <c r="F267" s="1407"/>
      <c r="G267" s="1407"/>
      <c r="H267" s="1407"/>
      <c r="I267" s="1407"/>
      <c r="J267" s="1407"/>
      <c r="K267" s="1407"/>
      <c r="L267" s="1239"/>
    </row>
    <row r="268" spans="1:12" ht="27.95" customHeight="1" thickBot="1">
      <c r="A268" s="27"/>
      <c r="B268" s="1241" t="s">
        <v>203</v>
      </c>
      <c r="C268" s="1241"/>
      <c r="D268" s="1241"/>
      <c r="E268" s="1241"/>
      <c r="F268" s="1241"/>
      <c r="G268" s="1241"/>
      <c r="H268" s="1241"/>
      <c r="I268" s="1241"/>
      <c r="J268" s="1241"/>
      <c r="K268" s="1241"/>
      <c r="L268" s="1242"/>
    </row>
    <row r="269" spans="1:12" ht="27.95" customHeight="1">
      <c r="A269" s="15"/>
      <c r="B269" s="1404" t="s">
        <v>120</v>
      </c>
      <c r="C269" s="1404"/>
      <c r="D269" s="1404"/>
      <c r="E269" s="1404"/>
      <c r="F269" s="1404"/>
      <c r="H269" s="1397" t="s">
        <v>121</v>
      </c>
      <c r="I269" s="1397"/>
      <c r="J269" s="1397"/>
      <c r="K269" s="1397"/>
      <c r="L269" s="1428"/>
    </row>
    <row r="270" spans="1:12" ht="27.95" customHeight="1" thickBot="1">
      <c r="A270" s="15"/>
      <c r="B270" s="1404"/>
      <c r="C270" s="1404"/>
      <c r="D270" s="1404"/>
      <c r="E270" s="1404"/>
      <c r="F270" s="1404"/>
      <c r="H270" s="1397"/>
      <c r="I270" s="1397"/>
      <c r="J270" s="1397"/>
      <c r="K270" s="1397"/>
      <c r="L270" s="1428"/>
    </row>
    <row r="271" spans="1:12" ht="27.95" customHeight="1">
      <c r="A271" s="15"/>
      <c r="B271" s="79"/>
      <c r="C271" s="80"/>
      <c r="D271" s="80"/>
      <c r="E271" s="80"/>
      <c r="F271" s="81"/>
      <c r="H271" s="79"/>
      <c r="I271" s="80"/>
      <c r="J271" s="80"/>
      <c r="K271" s="80"/>
      <c r="L271" s="81"/>
    </row>
    <row r="272" spans="1:12">
      <c r="A272" s="15"/>
      <c r="B272" s="82" t="str">
        <f>'04-22-Master'!F5</f>
        <v>Burgeon IT Services Pvt.Ltd.</v>
      </c>
      <c r="F272" s="16"/>
      <c r="H272" s="82" t="str">
        <f>'04-22-Master'!AJ5</f>
        <v>Burgeon IT Services Pvt.Ltd.</v>
      </c>
      <c r="L272" s="16"/>
    </row>
    <row r="273" spans="1:12">
      <c r="A273" s="15"/>
      <c r="B273" s="15"/>
      <c r="F273" s="16"/>
      <c r="H273" s="15"/>
      <c r="L273" s="16"/>
    </row>
    <row r="274" spans="1:12">
      <c r="A274" s="15"/>
      <c r="B274" s="82" t="str">
        <f>'04-22-Master'!F6</f>
        <v>Siri Mansion LIGB 436 Dr.A S Rao Nagar,Hyderabad</v>
      </c>
      <c r="F274" s="16"/>
      <c r="H274" s="82" t="str">
        <f>'04-22-Master'!AJ6</f>
        <v>Siri Mansion LIGB 436 Dr.A S Rao Nagar,Hyderabad</v>
      </c>
      <c r="L274" s="16"/>
    </row>
    <row r="275" spans="1:12" ht="15.75" thickBot="1">
      <c r="A275" s="15"/>
      <c r="B275" s="27"/>
      <c r="C275" s="25"/>
      <c r="D275" s="25"/>
      <c r="E275" s="25"/>
      <c r="F275" s="26"/>
      <c r="H275" s="27"/>
      <c r="I275" s="25"/>
      <c r="J275" s="25"/>
      <c r="K275" s="25"/>
      <c r="L275" s="26"/>
    </row>
    <row r="276" spans="1:12">
      <c r="A276" s="15"/>
      <c r="J276" t="s">
        <v>122</v>
      </c>
      <c r="L276" s="16"/>
    </row>
    <row r="277" spans="1:12">
      <c r="A277" s="15"/>
      <c r="B277" s="1405" t="s">
        <v>123</v>
      </c>
      <c r="C277" s="1405"/>
      <c r="D277" s="1405"/>
      <c r="E277" s="1405"/>
      <c r="F277" s="1405"/>
      <c r="H277" s="1405" t="s">
        <v>4</v>
      </c>
      <c r="I277" s="1405"/>
      <c r="J277" s="1405"/>
      <c r="K277" s="1405"/>
      <c r="L277" s="1251"/>
    </row>
    <row r="278" spans="1:12" ht="15.75" thickBot="1">
      <c r="A278" s="15"/>
      <c r="L278" s="16"/>
    </row>
    <row r="279" spans="1:12">
      <c r="A279" s="15"/>
      <c r="B279" s="79"/>
      <c r="C279" s="80"/>
      <c r="D279" s="80"/>
      <c r="E279" s="80"/>
      <c r="F279" s="81"/>
      <c r="H279" s="83"/>
      <c r="I279" s="84"/>
      <c r="J279" s="84"/>
      <c r="K279" s="84"/>
      <c r="L279" s="85"/>
    </row>
    <row r="280" spans="1:12">
      <c r="A280" s="15"/>
      <c r="B280" s="15"/>
      <c r="F280" s="16"/>
      <c r="H280" s="82" t="str">
        <f>'04-22-Master'!AJ10</f>
        <v>INFOSYS  LTD.IL Hyderabad SEZ</v>
      </c>
      <c r="I280" s="2"/>
      <c r="J280" s="2"/>
      <c r="K280" s="2"/>
      <c r="L280" s="86"/>
    </row>
    <row r="281" spans="1:12">
      <c r="A281" s="15"/>
      <c r="B281" s="82" t="str">
        <f>'04-22-Master'!F8</f>
        <v>IT SUPPORTIVE SERVICES &amp; HYDERABAD SEZ</v>
      </c>
      <c r="F281" s="16"/>
      <c r="H281" s="82"/>
      <c r="I281" s="2"/>
      <c r="J281" s="2"/>
      <c r="K281" s="2"/>
      <c r="L281" s="86"/>
    </row>
    <row r="282" spans="1:12">
      <c r="A282" s="15"/>
      <c r="B282" s="15"/>
      <c r="F282" s="16"/>
      <c r="H282" s="82" t="str">
        <f>'04-22-Master'!AJ11</f>
        <v>Sy.No 42,Pocharam Village,Gatkesar Mandal</v>
      </c>
      <c r="I282" s="2"/>
      <c r="J282" s="2"/>
      <c r="K282" s="2"/>
      <c r="L282" s="86"/>
    </row>
    <row r="283" spans="1:12" ht="15.75" thickBot="1">
      <c r="A283" s="15"/>
      <c r="B283" s="27"/>
      <c r="C283" s="25"/>
      <c r="D283" s="25"/>
      <c r="E283" s="25"/>
      <c r="F283" s="26"/>
      <c r="H283" s="87"/>
      <c r="I283" s="88"/>
      <c r="J283" s="88"/>
      <c r="K283" s="88"/>
      <c r="L283" s="89"/>
    </row>
    <row r="284" spans="1:12">
      <c r="A284" s="90"/>
      <c r="B284" s="1419" t="s">
        <v>204</v>
      </c>
      <c r="C284" s="1419"/>
      <c r="D284" s="1419"/>
      <c r="E284" s="1419"/>
      <c r="F284" s="1419"/>
      <c r="G284" s="1419"/>
      <c r="H284" s="1422" t="e">
        <f>'04-22-Master'!#REF!</f>
        <v>#REF!</v>
      </c>
      <c r="I284" s="1421"/>
      <c r="J284" s="1421"/>
      <c r="K284" s="1421"/>
      <c r="L284" s="1224"/>
    </row>
    <row r="285" spans="1:12">
      <c r="A285" s="90"/>
      <c r="B285" s="1423" t="s">
        <v>205</v>
      </c>
      <c r="C285" s="1423"/>
      <c r="D285" s="1423"/>
      <c r="E285" s="1423"/>
      <c r="F285" s="1423"/>
      <c r="G285" s="1423"/>
      <c r="H285" s="1422" t="e">
        <f>'04-22-Master'!#REF!</f>
        <v>#REF!</v>
      </c>
      <c r="I285" s="1421"/>
      <c r="J285" s="1421"/>
      <c r="K285" s="1421"/>
      <c r="L285" s="1224"/>
    </row>
    <row r="286" spans="1:12">
      <c r="A286" s="90"/>
      <c r="B286" s="1419" t="s">
        <v>206</v>
      </c>
      <c r="C286" s="1419"/>
      <c r="D286" s="1419"/>
      <c r="E286" s="1419"/>
      <c r="F286" s="1419"/>
      <c r="G286" s="1419"/>
      <c r="H286" s="1422" t="e">
        <f>'04-22-Master'!#REF!</f>
        <v>#REF!</v>
      </c>
      <c r="I286" s="1421"/>
      <c r="J286" s="1421"/>
      <c r="K286" s="1421"/>
      <c r="L286" s="1224"/>
    </row>
    <row r="287" spans="1:12">
      <c r="A287" s="90"/>
      <c r="B287" s="1419" t="s">
        <v>207</v>
      </c>
      <c r="C287" s="1419"/>
      <c r="D287" s="1419"/>
      <c r="E287" s="1419"/>
      <c r="F287" s="1419"/>
      <c r="G287" s="1419"/>
      <c r="H287" s="1424" t="e">
        <f>'04-22-Master'!#REF!</f>
        <v>#REF!</v>
      </c>
      <c r="I287" s="1421"/>
      <c r="J287" s="1421"/>
      <c r="K287" s="1421"/>
      <c r="L287" s="1224"/>
    </row>
    <row r="288" spans="1:12">
      <c r="A288" s="90"/>
      <c r="B288" s="91" t="s">
        <v>209</v>
      </c>
      <c r="C288" s="92"/>
      <c r="D288" s="92"/>
      <c r="E288" s="92"/>
      <c r="F288" s="92"/>
      <c r="G288" s="92"/>
      <c r="H288" s="1416" t="s">
        <v>210</v>
      </c>
      <c r="I288" s="1417"/>
      <c r="J288" s="1417"/>
      <c r="K288" s="1417"/>
      <c r="L288" s="1418"/>
    </row>
    <row r="289" spans="1:12">
      <c r="A289" s="90"/>
      <c r="B289" s="91" t="s">
        <v>211</v>
      </c>
      <c r="C289" s="92"/>
      <c r="D289" s="92"/>
      <c r="E289" s="92"/>
      <c r="F289" s="92"/>
      <c r="G289" s="92"/>
      <c r="H289" s="93"/>
      <c r="I289" s="94"/>
      <c r="J289" s="174"/>
      <c r="K289" s="94"/>
      <c r="L289" s="99"/>
    </row>
    <row r="290" spans="1:12">
      <c r="A290" s="90"/>
      <c r="B290" s="1234" t="s">
        <v>212</v>
      </c>
      <c r="C290" s="1234"/>
      <c r="D290" s="1234"/>
      <c r="E290" s="1234"/>
      <c r="F290" s="1234"/>
      <c r="G290" s="1234"/>
      <c r="H290" s="1227" t="e">
        <f>'04-22-Master'!#REF!</f>
        <v>#REF!</v>
      </c>
      <c r="I290" s="1228"/>
      <c r="J290" s="1228"/>
      <c r="K290" s="1228"/>
      <c r="L290" s="1229"/>
    </row>
    <row r="291" spans="1:12">
      <c r="A291" s="90"/>
      <c r="B291" s="1419"/>
      <c r="C291" s="1419"/>
      <c r="D291" s="1419"/>
      <c r="E291" s="1419"/>
      <c r="F291" s="1419"/>
      <c r="G291" s="1419"/>
      <c r="H291" s="1420" t="e">
        <f>'04-22-Master'!#REF!</f>
        <v>#REF!</v>
      </c>
      <c r="I291" s="1421"/>
      <c r="J291" s="1421"/>
      <c r="K291" s="1421"/>
      <c r="L291" s="1224"/>
    </row>
    <row r="292" spans="1:12">
      <c r="A292" s="15"/>
      <c r="B292" s="1419"/>
      <c r="C292" s="1419"/>
      <c r="D292" s="1419"/>
      <c r="E292" s="1419"/>
      <c r="F292" s="1419"/>
      <c r="G292" s="1419"/>
      <c r="H292" s="1422" t="e">
        <f>'04-22-Master'!#REF!</f>
        <v>#REF!</v>
      </c>
      <c r="I292" s="1421"/>
      <c r="J292" s="1421"/>
      <c r="K292" s="1421"/>
      <c r="L292" s="1224"/>
    </row>
    <row r="293" spans="1:12">
      <c r="A293" s="15"/>
      <c r="B293" s="91" t="s">
        <v>213</v>
      </c>
      <c r="C293" s="92"/>
      <c r="D293" s="92"/>
      <c r="E293" s="92"/>
      <c r="F293" s="92"/>
      <c r="G293" s="95"/>
      <c r="H293" s="1408" t="e">
        <f>'04-22-Master'!#REF!</f>
        <v>#REF!</v>
      </c>
      <c r="I293" s="1409"/>
      <c r="J293" s="1409"/>
      <c r="K293" s="1409"/>
      <c r="L293" s="1410"/>
    </row>
    <row r="294" spans="1:12">
      <c r="A294" s="15"/>
      <c r="B294" s="91"/>
      <c r="C294" s="92"/>
      <c r="D294" s="92"/>
      <c r="E294" s="92"/>
      <c r="F294" s="92"/>
      <c r="G294" s="95"/>
      <c r="H294" s="1408" t="e">
        <f>'04-22-Master'!#REF!</f>
        <v>#REF!</v>
      </c>
      <c r="I294" s="1409"/>
      <c r="J294" s="1409"/>
      <c r="K294" s="1409"/>
      <c r="L294" s="1410"/>
    </row>
    <row r="295" spans="1:12">
      <c r="A295" s="15"/>
      <c r="B295" s="91"/>
      <c r="C295" s="92"/>
      <c r="D295" s="92"/>
      <c r="E295" s="92"/>
      <c r="F295" s="92"/>
      <c r="G295" s="95"/>
      <c r="H295" s="1408" t="e">
        <f>'04-22-Master'!#REF!</f>
        <v>#REF!</v>
      </c>
      <c r="I295" s="1409"/>
      <c r="J295" s="1409"/>
      <c r="K295" s="1409"/>
      <c r="L295" s="1410"/>
    </row>
    <row r="296" spans="1:12">
      <c r="A296" s="15"/>
      <c r="B296" s="91" t="s">
        <v>220</v>
      </c>
      <c r="C296" s="92"/>
      <c r="D296" s="92"/>
      <c r="E296" s="92"/>
      <c r="F296" s="92"/>
      <c r="G296" s="95"/>
      <c r="H296" s="93"/>
      <c r="I296" s="94"/>
      <c r="J296" s="94"/>
      <c r="K296" s="94"/>
      <c r="L296" s="99"/>
    </row>
    <row r="297" spans="1:12">
      <c r="A297" s="15"/>
      <c r="B297" s="101" t="s">
        <v>221</v>
      </c>
      <c r="C297" s="155"/>
      <c r="D297" s="155"/>
      <c r="E297" s="155"/>
      <c r="F297" s="155"/>
      <c r="G297" s="156"/>
      <c r="H297" s="157"/>
      <c r="I297" s="158"/>
      <c r="J297" s="159"/>
      <c r="K297" s="158"/>
      <c r="L297" s="160"/>
    </row>
    <row r="298" spans="1:12" ht="45">
      <c r="A298" s="15"/>
      <c r="B298" s="91" t="s">
        <v>224</v>
      </c>
      <c r="C298" s="92"/>
      <c r="D298" s="94"/>
      <c r="E298" s="167" t="s">
        <v>226</v>
      </c>
      <c r="F298" s="66"/>
      <c r="G298" s="1411" t="s">
        <v>225</v>
      </c>
      <c r="H298" s="1412"/>
      <c r="I298" s="171" t="s">
        <v>222</v>
      </c>
      <c r="J298" s="169" t="s">
        <v>227</v>
      </c>
      <c r="K298" s="1411" t="s">
        <v>223</v>
      </c>
      <c r="L298" s="1413"/>
    </row>
    <row r="299" spans="1:12">
      <c r="A299" s="15"/>
      <c r="B299" s="170">
        <v>1</v>
      </c>
      <c r="C299" s="92"/>
      <c r="D299" s="92"/>
      <c r="E299" s="173">
        <v>2</v>
      </c>
      <c r="F299" s="95"/>
      <c r="G299" s="173">
        <v>3</v>
      </c>
      <c r="H299" s="189"/>
      <c r="I299" s="189">
        <v>4</v>
      </c>
      <c r="J299" s="110">
        <v>5</v>
      </c>
      <c r="K299" s="97"/>
      <c r="L299" s="98">
        <v>6</v>
      </c>
    </row>
    <row r="300" spans="1:12">
      <c r="A300" s="15"/>
      <c r="B300" s="286" t="e">
        <f>'04-22-Master'!#REF!</f>
        <v>#REF!</v>
      </c>
      <c r="C300" s="185"/>
      <c r="D300" s="186"/>
      <c r="E300" s="188" t="s">
        <v>383</v>
      </c>
      <c r="F300" s="186"/>
      <c r="G300" s="188" t="s">
        <v>384</v>
      </c>
      <c r="H300" s="66"/>
      <c r="I300" s="13" t="s">
        <v>385</v>
      </c>
      <c r="J300" s="285">
        <v>1</v>
      </c>
      <c r="K300" s="1414" t="s">
        <v>37</v>
      </c>
      <c r="L300" s="1425"/>
    </row>
    <row r="301" spans="1:12">
      <c r="A301" s="15"/>
      <c r="B301" s="91"/>
      <c r="C301" s="185"/>
      <c r="D301" s="186"/>
      <c r="E301" s="187"/>
      <c r="F301" s="186"/>
      <c r="G301" s="187"/>
      <c r="H301" s="66"/>
      <c r="I301" s="13"/>
      <c r="J301" s="13"/>
      <c r="K301" s="188"/>
      <c r="L301" s="66"/>
    </row>
    <row r="302" spans="1:12">
      <c r="A302" s="15"/>
      <c r="B302" s="91"/>
      <c r="C302" s="185"/>
      <c r="D302" s="186"/>
      <c r="E302" s="187"/>
      <c r="F302" s="186"/>
      <c r="G302" s="187"/>
      <c r="H302" s="66"/>
      <c r="I302" s="13"/>
      <c r="J302" s="13"/>
      <c r="K302" s="188"/>
      <c r="L302" s="66"/>
    </row>
    <row r="303" spans="1:12">
      <c r="A303" s="15"/>
      <c r="B303" s="73"/>
      <c r="C303" s="19"/>
      <c r="D303" s="74"/>
      <c r="E303" s="187"/>
      <c r="F303" s="186"/>
      <c r="G303" s="187"/>
      <c r="H303" s="66"/>
      <c r="I303" s="13"/>
      <c r="J303" s="13"/>
      <c r="K303" s="188"/>
      <c r="L303" s="66"/>
    </row>
    <row r="304" spans="1:12">
      <c r="A304" s="15"/>
      <c r="B304" t="s">
        <v>228</v>
      </c>
      <c r="L304" s="16"/>
    </row>
    <row r="305" spans="1:12">
      <c r="A305" s="15"/>
      <c r="B305" t="s">
        <v>229</v>
      </c>
      <c r="L305" s="16"/>
    </row>
    <row r="306" spans="1:12">
      <c r="A306" s="15"/>
      <c r="B306" t="s">
        <v>230</v>
      </c>
      <c r="L306" s="16"/>
    </row>
    <row r="307" spans="1:12" ht="27.95" customHeight="1">
      <c r="A307" s="15"/>
      <c r="L307" s="16"/>
    </row>
    <row r="308" spans="1:12" ht="27.95" customHeight="1">
      <c r="A308" s="15"/>
      <c r="I308" t="s">
        <v>231</v>
      </c>
      <c r="L308" s="16"/>
    </row>
    <row r="309" spans="1:12" ht="27.95" customHeight="1">
      <c r="A309" s="15"/>
      <c r="F309" s="175" t="s">
        <v>214</v>
      </c>
      <c r="L309" s="16"/>
    </row>
    <row r="310" spans="1:12" ht="27.95" customHeight="1">
      <c r="A310" s="15" t="s">
        <v>215</v>
      </c>
      <c r="K310" s="225" t="e">
        <f>'04-22-Master'!#REF!</f>
        <v>#REF!</v>
      </c>
      <c r="L310" s="16"/>
    </row>
    <row r="311" spans="1:12" ht="27.95" customHeight="1">
      <c r="A311" s="15" t="s">
        <v>216</v>
      </c>
      <c r="L311" s="16"/>
    </row>
    <row r="312" spans="1:12" ht="27.95" customHeight="1">
      <c r="A312" s="15"/>
      <c r="L312" s="16"/>
    </row>
    <row r="313" spans="1:12" ht="27.95" customHeight="1">
      <c r="A313" s="15"/>
      <c r="L313" s="16"/>
    </row>
    <row r="314" spans="1:12" ht="27.95" customHeight="1">
      <c r="A314" s="15"/>
      <c r="F314" t="s">
        <v>217</v>
      </c>
      <c r="L314" s="16"/>
    </row>
    <row r="315" spans="1:12" ht="27.95" customHeight="1">
      <c r="A315" s="15" t="s">
        <v>218</v>
      </c>
      <c r="B315" t="s">
        <v>382</v>
      </c>
      <c r="F315" t="str">
        <f>'04-22-Master'!F5</f>
        <v>Burgeon IT Services Pvt.Ltd.</v>
      </c>
      <c r="L315" s="16"/>
    </row>
    <row r="316" spans="1:12" ht="27.95" customHeight="1">
      <c r="A316" s="15" t="s">
        <v>219</v>
      </c>
      <c r="B316" s="284" t="e">
        <f>'04-22-Master'!#REF!</f>
        <v>#REF!</v>
      </c>
      <c r="F316" t="str">
        <f>'04-22-Master'!F6</f>
        <v>Siri Mansion LIGB 436 Dr.A S Rao Nagar,Hyderabad</v>
      </c>
      <c r="L316" s="16"/>
    </row>
    <row r="317" spans="1:12" ht="27.95" customHeight="1" thickBot="1">
      <c r="A317" s="27"/>
      <c r="B317" s="25"/>
      <c r="C317" s="25"/>
      <c r="D317" s="25"/>
      <c r="E317" s="25"/>
      <c r="F317" s="25"/>
      <c r="G317" s="25"/>
      <c r="H317" s="25"/>
      <c r="I317" s="25"/>
      <c r="J317" s="25"/>
      <c r="K317" s="25"/>
      <c r="L317" s="26"/>
    </row>
    <row r="318" spans="1:12" ht="27.95" customHeight="1" thickBot="1">
      <c r="B318" s="176"/>
      <c r="C318" s="172"/>
      <c r="D318" s="172"/>
      <c r="E318" s="172"/>
      <c r="F318" s="172"/>
      <c r="G318" s="172"/>
      <c r="H318" s="161"/>
      <c r="I318" s="161"/>
      <c r="J318" s="162"/>
      <c r="K318" s="161"/>
      <c r="L318" s="161"/>
    </row>
    <row r="319" spans="1:12" ht="27.95" customHeight="1">
      <c r="A319" s="79"/>
      <c r="B319" s="1257" t="s">
        <v>201</v>
      </c>
      <c r="C319" s="1426"/>
      <c r="D319" s="1426"/>
      <c r="E319" s="1426"/>
      <c r="F319" s="1426"/>
      <c r="G319" s="1426"/>
      <c r="H319" s="1426"/>
      <c r="I319" s="1426"/>
      <c r="J319" s="1426"/>
      <c r="K319" s="1426"/>
      <c r="L319" s="1427"/>
    </row>
    <row r="320" spans="1:12" ht="27.95" customHeight="1">
      <c r="A320" s="15"/>
      <c r="B320" s="1407" t="s">
        <v>202</v>
      </c>
      <c r="C320" s="1407"/>
      <c r="D320" s="1407"/>
      <c r="E320" s="1407"/>
      <c r="F320" s="1407"/>
      <c r="G320" s="1407"/>
      <c r="H320" s="1407"/>
      <c r="I320" s="1407"/>
      <c r="J320" s="1407"/>
      <c r="K320" s="1407"/>
      <c r="L320" s="1239"/>
    </row>
    <row r="321" spans="1:12" ht="27.95" customHeight="1" thickBot="1">
      <c r="A321" s="27"/>
      <c r="B321" s="1241" t="s">
        <v>203</v>
      </c>
      <c r="C321" s="1241"/>
      <c r="D321" s="1241"/>
      <c r="E321" s="1241"/>
      <c r="F321" s="1241"/>
      <c r="G321" s="1241"/>
      <c r="H321" s="1241"/>
      <c r="I321" s="1241"/>
      <c r="J321" s="1241"/>
      <c r="K321" s="1241"/>
      <c r="L321" s="1242"/>
    </row>
    <row r="322" spans="1:12" ht="27.95" customHeight="1">
      <c r="A322" s="15"/>
      <c r="B322" s="1404" t="s">
        <v>120</v>
      </c>
      <c r="C322" s="1404"/>
      <c r="D322" s="1404"/>
      <c r="E322" s="1404"/>
      <c r="F322" s="1404"/>
      <c r="H322" s="1397" t="s">
        <v>121</v>
      </c>
      <c r="I322" s="1397"/>
      <c r="J322" s="1397"/>
      <c r="K322" s="1397"/>
      <c r="L322" s="1428"/>
    </row>
    <row r="323" spans="1:12" ht="27.95" customHeight="1" thickBot="1">
      <c r="A323" s="15"/>
      <c r="B323" s="1404"/>
      <c r="C323" s="1404"/>
      <c r="D323" s="1404"/>
      <c r="E323" s="1404"/>
      <c r="F323" s="1404"/>
      <c r="H323" s="1397"/>
      <c r="I323" s="1397"/>
      <c r="J323" s="1397"/>
      <c r="K323" s="1397"/>
      <c r="L323" s="1428"/>
    </row>
    <row r="324" spans="1:12" ht="27.95" customHeight="1">
      <c r="A324" s="15"/>
      <c r="B324" s="79"/>
      <c r="C324" s="80"/>
      <c r="D324" s="80"/>
      <c r="E324" s="80"/>
      <c r="F324" s="81"/>
      <c r="H324" s="79"/>
      <c r="I324" s="80"/>
      <c r="J324" s="80"/>
      <c r="K324" s="80"/>
      <c r="L324" s="81"/>
    </row>
    <row r="325" spans="1:12">
      <c r="A325" s="15"/>
      <c r="B325" s="153" t="str">
        <f>'04-22-Master'!F5</f>
        <v>Burgeon IT Services Pvt.Ltd.</v>
      </c>
      <c r="F325" s="16"/>
      <c r="H325" s="82" t="str">
        <f>'04-22-Master'!AJ5</f>
        <v>Burgeon IT Services Pvt.Ltd.</v>
      </c>
      <c r="L325" s="16"/>
    </row>
    <row r="326" spans="1:12">
      <c r="A326" s="15"/>
      <c r="B326" s="15"/>
      <c r="F326" s="16"/>
      <c r="H326" s="15"/>
      <c r="L326" s="16"/>
    </row>
    <row r="327" spans="1:12">
      <c r="A327" s="15"/>
      <c r="B327" s="82" t="str">
        <f>'04-22-Master'!F6</f>
        <v>Siri Mansion LIGB 436 Dr.A S Rao Nagar,Hyderabad</v>
      </c>
      <c r="F327" s="16"/>
      <c r="H327" s="82" t="str">
        <f>'04-22-Master'!AJ6</f>
        <v>Siri Mansion LIGB 436 Dr.A S Rao Nagar,Hyderabad</v>
      </c>
      <c r="L327" s="16"/>
    </row>
    <row r="328" spans="1:12" ht="15.75" thickBot="1">
      <c r="A328" s="15"/>
      <c r="B328" s="27"/>
      <c r="C328" s="25"/>
      <c r="D328" s="25"/>
      <c r="E328" s="25"/>
      <c r="F328" s="26"/>
      <c r="H328" s="27"/>
      <c r="I328" s="25"/>
      <c r="J328" s="25"/>
      <c r="K328" s="25"/>
      <c r="L328" s="26"/>
    </row>
    <row r="329" spans="1:12">
      <c r="A329" s="15"/>
      <c r="J329" t="s">
        <v>122</v>
      </c>
      <c r="L329" s="16"/>
    </row>
    <row r="330" spans="1:12">
      <c r="A330" s="15"/>
      <c r="B330" s="1405" t="s">
        <v>123</v>
      </c>
      <c r="C330" s="1405"/>
      <c r="D330" s="1405"/>
      <c r="E330" s="1405"/>
      <c r="F330" s="1405"/>
      <c r="H330" s="1405" t="s">
        <v>4</v>
      </c>
      <c r="I330" s="1405"/>
      <c r="J330" s="1405"/>
      <c r="K330" s="1405"/>
      <c r="L330" s="1251"/>
    </row>
    <row r="331" spans="1:12" ht="15.75" thickBot="1">
      <c r="A331" s="15"/>
      <c r="L331" s="16"/>
    </row>
    <row r="332" spans="1:12">
      <c r="A332" s="15"/>
      <c r="B332" s="79"/>
      <c r="C332" s="80"/>
      <c r="D332" s="80"/>
      <c r="E332" s="80"/>
      <c r="F332" s="81"/>
      <c r="H332" s="83"/>
      <c r="I332" s="84"/>
      <c r="J332" s="84"/>
      <c r="K332" s="84"/>
      <c r="L332" s="85"/>
    </row>
    <row r="333" spans="1:12">
      <c r="A333" s="15"/>
      <c r="B333" s="15"/>
      <c r="F333" s="16"/>
      <c r="H333" s="82" t="str">
        <f>'04-22-Master'!AJ10</f>
        <v>INFOSYS  LTD.IL Hyderabad SEZ</v>
      </c>
      <c r="I333" s="2"/>
      <c r="J333" s="2"/>
      <c r="K333" s="2"/>
      <c r="L333" s="86"/>
    </row>
    <row r="334" spans="1:12">
      <c r="A334" s="15"/>
      <c r="B334" s="82" t="str">
        <f>'04-22-Master'!F8</f>
        <v>IT SUPPORTIVE SERVICES &amp; HYDERABAD SEZ</v>
      </c>
      <c r="F334" s="16"/>
      <c r="H334" s="82"/>
      <c r="I334" s="2"/>
      <c r="J334" s="2"/>
      <c r="K334" s="2"/>
      <c r="L334" s="86"/>
    </row>
    <row r="335" spans="1:12">
      <c r="A335" s="15"/>
      <c r="B335" s="15"/>
      <c r="F335" s="16"/>
      <c r="H335" s="82" t="str">
        <f>'04-22-Master'!AJ11</f>
        <v>Sy.No 42,Pocharam Village,Gatkesar Mandal</v>
      </c>
      <c r="I335" s="2"/>
      <c r="J335" s="2"/>
      <c r="K335" s="2"/>
      <c r="L335" s="86"/>
    </row>
    <row r="336" spans="1:12" ht="15.75" thickBot="1">
      <c r="A336" s="15"/>
      <c r="B336" s="27"/>
      <c r="C336" s="25"/>
      <c r="D336" s="25"/>
      <c r="E336" s="25"/>
      <c r="F336" s="26"/>
      <c r="H336" s="87"/>
      <c r="I336" s="88"/>
      <c r="J336" s="88"/>
      <c r="K336" s="88"/>
      <c r="L336" s="89"/>
    </row>
    <row r="337" spans="1:12">
      <c r="A337" s="90"/>
      <c r="B337" s="1419" t="s">
        <v>204</v>
      </c>
      <c r="C337" s="1419"/>
      <c r="D337" s="1419"/>
      <c r="E337" s="1419"/>
      <c r="F337" s="1419"/>
      <c r="G337" s="1419"/>
      <c r="H337" s="1422" t="e">
        <f>'04-22-Master'!#REF!</f>
        <v>#REF!</v>
      </c>
      <c r="I337" s="1421"/>
      <c r="J337" s="1421"/>
      <c r="K337" s="1421"/>
      <c r="L337" s="1224"/>
    </row>
    <row r="338" spans="1:12">
      <c r="A338" s="90"/>
      <c r="B338" s="1423" t="s">
        <v>205</v>
      </c>
      <c r="C338" s="1423"/>
      <c r="D338" s="1423"/>
      <c r="E338" s="1423"/>
      <c r="F338" s="1423"/>
      <c r="G338" s="1423"/>
      <c r="H338" s="1422" t="e">
        <f>'04-22-Master'!#REF!</f>
        <v>#REF!</v>
      </c>
      <c r="I338" s="1421"/>
      <c r="J338" s="1421"/>
      <c r="K338" s="1421"/>
      <c r="L338" s="1224"/>
    </row>
    <row r="339" spans="1:12">
      <c r="A339" s="90"/>
      <c r="B339" s="1419" t="s">
        <v>206</v>
      </c>
      <c r="C339" s="1419"/>
      <c r="D339" s="1419"/>
      <c r="E339" s="1419"/>
      <c r="F339" s="1419"/>
      <c r="G339" s="1419"/>
      <c r="H339" s="1422" t="e">
        <f>'04-22-Master'!#REF!</f>
        <v>#REF!</v>
      </c>
      <c r="I339" s="1421"/>
      <c r="J339" s="1421"/>
      <c r="K339" s="1421"/>
      <c r="L339" s="1224"/>
    </row>
    <row r="340" spans="1:12">
      <c r="A340" s="90"/>
      <c r="B340" s="1419" t="s">
        <v>207</v>
      </c>
      <c r="C340" s="1419"/>
      <c r="D340" s="1419"/>
      <c r="E340" s="1419"/>
      <c r="F340" s="1419"/>
      <c r="G340" s="1419"/>
      <c r="H340" s="1424" t="e">
        <f>'04-22-Master'!#REF!</f>
        <v>#REF!</v>
      </c>
      <c r="I340" s="1421"/>
      <c r="J340" s="1421"/>
      <c r="K340" s="1421"/>
      <c r="L340" s="1224"/>
    </row>
    <row r="341" spans="1:12">
      <c r="A341" s="90"/>
      <c r="B341" s="91" t="s">
        <v>209</v>
      </c>
      <c r="C341" s="92"/>
      <c r="D341" s="92"/>
      <c r="E341" s="92"/>
      <c r="F341" s="92"/>
      <c r="G341" s="92"/>
      <c r="H341" s="1416" t="s">
        <v>210</v>
      </c>
      <c r="I341" s="1417"/>
      <c r="J341" s="1417"/>
      <c r="K341" s="1417"/>
      <c r="L341" s="1418"/>
    </row>
    <row r="342" spans="1:12">
      <c r="A342" s="90"/>
      <c r="B342" s="91" t="s">
        <v>211</v>
      </c>
      <c r="C342" s="92"/>
      <c r="D342" s="92"/>
      <c r="E342" s="92"/>
      <c r="F342" s="92"/>
      <c r="G342" s="92"/>
      <c r="H342" s="93"/>
      <c r="I342" s="94"/>
      <c r="J342" s="174"/>
      <c r="K342" s="94"/>
      <c r="L342" s="99"/>
    </row>
    <row r="343" spans="1:12">
      <c r="A343" s="90"/>
      <c r="B343" s="1234" t="s">
        <v>212</v>
      </c>
      <c r="C343" s="1234"/>
      <c r="D343" s="1234"/>
      <c r="E343" s="1234"/>
      <c r="F343" s="1234"/>
      <c r="G343" s="1234"/>
      <c r="H343" s="1227" t="e">
        <f>'04-22-Master'!#REF!</f>
        <v>#REF!</v>
      </c>
      <c r="I343" s="1228"/>
      <c r="J343" s="1228"/>
      <c r="K343" s="1228"/>
      <c r="L343" s="1229"/>
    </row>
    <row r="344" spans="1:12">
      <c r="A344" s="90"/>
      <c r="B344" s="1419"/>
      <c r="C344" s="1419"/>
      <c r="D344" s="1419"/>
      <c r="E344" s="1419"/>
      <c r="F344" s="1419"/>
      <c r="G344" s="1419"/>
      <c r="H344" s="1420" t="e">
        <f>'04-22-Master'!#REF!</f>
        <v>#REF!</v>
      </c>
      <c r="I344" s="1421"/>
      <c r="J344" s="1421"/>
      <c r="K344" s="1421"/>
      <c r="L344" s="1224"/>
    </row>
    <row r="345" spans="1:12">
      <c r="A345" s="15"/>
      <c r="B345" s="1419"/>
      <c r="C345" s="1419"/>
      <c r="D345" s="1419"/>
      <c r="E345" s="1419"/>
      <c r="F345" s="1419"/>
      <c r="G345" s="1419"/>
      <c r="H345" s="1422" t="e">
        <f>'04-22-Master'!#REF!</f>
        <v>#REF!</v>
      </c>
      <c r="I345" s="1421"/>
      <c r="J345" s="1421"/>
      <c r="K345" s="1421"/>
      <c r="L345" s="1224"/>
    </row>
    <row r="346" spans="1:12">
      <c r="A346" s="15"/>
      <c r="B346" s="91" t="s">
        <v>213</v>
      </c>
      <c r="C346" s="92"/>
      <c r="D346" s="92"/>
      <c r="E346" s="92"/>
      <c r="F346" s="92"/>
      <c r="G346" s="95"/>
      <c r="H346" s="1408" t="e">
        <f>'04-22-Master'!#REF!</f>
        <v>#REF!</v>
      </c>
      <c r="I346" s="1409"/>
      <c r="J346" s="1409"/>
      <c r="K346" s="1409"/>
      <c r="L346" s="1410"/>
    </row>
    <row r="347" spans="1:12">
      <c r="A347" s="15"/>
      <c r="B347" s="91"/>
      <c r="C347" s="92"/>
      <c r="D347" s="92"/>
      <c r="E347" s="92"/>
      <c r="F347" s="92"/>
      <c r="G347" s="95"/>
      <c r="H347" s="1408" t="e">
        <f>'04-22-Master'!#REF!</f>
        <v>#REF!</v>
      </c>
      <c r="I347" s="1409"/>
      <c r="J347" s="1409"/>
      <c r="K347" s="1409"/>
      <c r="L347" s="1410"/>
    </row>
    <row r="348" spans="1:12">
      <c r="A348" s="15"/>
      <c r="B348" s="91"/>
      <c r="C348" s="92"/>
      <c r="D348" s="92"/>
      <c r="E348" s="92"/>
      <c r="F348" s="92"/>
      <c r="G348" s="95"/>
      <c r="H348" s="1408" t="e">
        <f>'04-22-Master'!#REF!</f>
        <v>#REF!</v>
      </c>
      <c r="I348" s="1409"/>
      <c r="J348" s="1409"/>
      <c r="K348" s="1409"/>
      <c r="L348" s="1410"/>
    </row>
    <row r="349" spans="1:12">
      <c r="A349" s="15"/>
      <c r="B349" s="91" t="s">
        <v>220</v>
      </c>
      <c r="C349" s="92"/>
      <c r="D349" s="92"/>
      <c r="E349" s="92"/>
      <c r="F349" s="92"/>
      <c r="G349" s="95"/>
      <c r="H349" s="93"/>
      <c r="I349" s="94"/>
      <c r="J349" s="94"/>
      <c r="K349" s="94"/>
      <c r="L349" s="99"/>
    </row>
    <row r="350" spans="1:12">
      <c r="A350" s="15"/>
      <c r="B350" s="101" t="s">
        <v>221</v>
      </c>
      <c r="C350" s="155"/>
      <c r="D350" s="155"/>
      <c r="E350" s="155"/>
      <c r="F350" s="155"/>
      <c r="G350" s="156"/>
      <c r="H350" s="157"/>
      <c r="I350" s="158"/>
      <c r="J350" s="159"/>
      <c r="K350" s="158"/>
      <c r="L350" s="160"/>
    </row>
    <row r="351" spans="1:12" ht="45">
      <c r="A351" s="15"/>
      <c r="B351" s="91" t="s">
        <v>224</v>
      </c>
      <c r="C351" s="92"/>
      <c r="D351" s="94"/>
      <c r="E351" s="167" t="s">
        <v>226</v>
      </c>
      <c r="F351" s="66"/>
      <c r="G351" s="1411" t="s">
        <v>225</v>
      </c>
      <c r="H351" s="1412"/>
      <c r="I351" s="171" t="s">
        <v>222</v>
      </c>
      <c r="J351" s="169" t="s">
        <v>227</v>
      </c>
      <c r="K351" s="1411" t="s">
        <v>223</v>
      </c>
      <c r="L351" s="1413"/>
    </row>
    <row r="352" spans="1:12">
      <c r="A352" s="15"/>
      <c r="B352" s="170">
        <v>1</v>
      </c>
      <c r="C352" s="92"/>
      <c r="D352" s="92"/>
      <c r="E352" s="173">
        <v>2</v>
      </c>
      <c r="F352" s="95"/>
      <c r="G352" s="173">
        <v>3</v>
      </c>
      <c r="H352" s="189"/>
      <c r="I352" s="189">
        <v>4</v>
      </c>
      <c r="J352" s="110">
        <v>5</v>
      </c>
      <c r="K352" s="97"/>
      <c r="L352" s="98">
        <v>6</v>
      </c>
    </row>
    <row r="353" spans="1:12">
      <c r="A353" s="15"/>
      <c r="B353" s="286" t="e">
        <f>'04-22-Master'!#REF!</f>
        <v>#REF!</v>
      </c>
      <c r="C353" s="185"/>
      <c r="D353" s="186"/>
      <c r="E353" s="188" t="s">
        <v>383</v>
      </c>
      <c r="F353" s="186"/>
      <c r="G353" s="188" t="s">
        <v>384</v>
      </c>
      <c r="H353" s="66"/>
      <c r="I353" s="13" t="s">
        <v>385</v>
      </c>
      <c r="J353" s="285">
        <v>1</v>
      </c>
      <c r="K353" s="1414" t="s">
        <v>37</v>
      </c>
      <c r="L353" s="1425"/>
    </row>
    <row r="354" spans="1:12">
      <c r="A354" s="15"/>
      <c r="B354" s="91"/>
      <c r="C354" s="185"/>
      <c r="D354" s="186"/>
      <c r="E354" s="187"/>
      <c r="F354" s="186"/>
      <c r="G354" s="187"/>
      <c r="H354" s="66"/>
      <c r="I354" s="13"/>
      <c r="J354" s="13"/>
      <c r="K354" s="188"/>
      <c r="L354" s="66"/>
    </row>
    <row r="355" spans="1:12">
      <c r="A355" s="15"/>
      <c r="B355" s="91"/>
      <c r="C355" s="185"/>
      <c r="D355" s="186"/>
      <c r="E355" s="187"/>
      <c r="F355" s="186"/>
      <c r="G355" s="187"/>
      <c r="H355" s="66"/>
      <c r="I355" s="13"/>
      <c r="J355" s="13"/>
      <c r="K355" s="188"/>
      <c r="L355" s="66"/>
    </row>
    <row r="356" spans="1:12">
      <c r="A356" s="15"/>
      <c r="B356" s="73"/>
      <c r="C356" s="19"/>
      <c r="D356" s="74"/>
      <c r="E356" s="187"/>
      <c r="F356" s="186"/>
      <c r="G356" s="187"/>
      <c r="H356" s="66"/>
      <c r="I356" s="13"/>
      <c r="J356" s="13"/>
      <c r="K356" s="188"/>
      <c r="L356" s="66"/>
    </row>
    <row r="357" spans="1:12">
      <c r="A357" s="15"/>
      <c r="B357" t="s">
        <v>228</v>
      </c>
      <c r="L357" s="16"/>
    </row>
    <row r="358" spans="1:12">
      <c r="A358" s="15"/>
      <c r="B358" t="s">
        <v>229</v>
      </c>
      <c r="L358" s="16"/>
    </row>
    <row r="359" spans="1:12">
      <c r="A359" s="15"/>
      <c r="B359" t="s">
        <v>230</v>
      </c>
      <c r="L359" s="16"/>
    </row>
    <row r="360" spans="1:12" ht="27.95" customHeight="1">
      <c r="A360" s="15"/>
      <c r="L360" s="16"/>
    </row>
    <row r="361" spans="1:12" ht="27.95" customHeight="1">
      <c r="A361" s="15"/>
      <c r="I361" t="s">
        <v>231</v>
      </c>
      <c r="L361" s="16"/>
    </row>
    <row r="362" spans="1:12" ht="27.95" customHeight="1">
      <c r="A362" s="15"/>
      <c r="F362" s="175" t="s">
        <v>214</v>
      </c>
      <c r="L362" s="16"/>
    </row>
    <row r="363" spans="1:12" ht="27.95" customHeight="1">
      <c r="A363" s="15" t="s">
        <v>215</v>
      </c>
      <c r="K363" s="225" t="e">
        <f>'04-22-Master'!#REF!</f>
        <v>#REF!</v>
      </c>
      <c r="L363" s="16"/>
    </row>
    <row r="364" spans="1:12" ht="27.95" customHeight="1">
      <c r="A364" s="15" t="s">
        <v>216</v>
      </c>
      <c r="L364" s="16"/>
    </row>
    <row r="365" spans="1:12" ht="27.95" customHeight="1">
      <c r="A365" s="15"/>
      <c r="L365" s="16"/>
    </row>
    <row r="366" spans="1:12" ht="27.95" customHeight="1">
      <c r="A366" s="15"/>
      <c r="L366" s="16"/>
    </row>
    <row r="367" spans="1:12" ht="27.95" customHeight="1">
      <c r="A367" s="15"/>
      <c r="F367" t="s">
        <v>217</v>
      </c>
      <c r="L367" s="16"/>
    </row>
    <row r="368" spans="1:12" ht="27.95" customHeight="1">
      <c r="A368" s="15" t="s">
        <v>218</v>
      </c>
      <c r="B368" t="s">
        <v>382</v>
      </c>
      <c r="F368" t="str">
        <f>'04-22-Master'!F5</f>
        <v>Burgeon IT Services Pvt.Ltd.</v>
      </c>
      <c r="L368" s="16"/>
    </row>
    <row r="369" spans="1:12" ht="27.95" customHeight="1">
      <c r="A369" s="15" t="s">
        <v>219</v>
      </c>
      <c r="B369" s="284" t="e">
        <f>'04-22-Master'!#REF!</f>
        <v>#REF!</v>
      </c>
      <c r="F369" t="str">
        <f>'04-22-Master'!F6</f>
        <v>Siri Mansion LIGB 436 Dr.A S Rao Nagar,Hyderabad</v>
      </c>
      <c r="L369" s="16"/>
    </row>
    <row r="370" spans="1:12" ht="27.95" customHeight="1" thickBot="1">
      <c r="A370" s="27"/>
      <c r="B370" s="25"/>
      <c r="C370" s="25"/>
      <c r="D370" s="25"/>
      <c r="E370" s="25"/>
      <c r="F370" s="25"/>
      <c r="G370" s="25"/>
      <c r="H370" s="25"/>
      <c r="I370" s="25"/>
      <c r="J370" s="25"/>
      <c r="K370" s="25"/>
      <c r="L370" s="26"/>
    </row>
    <row r="371" spans="1:12" ht="27.95" customHeight="1" thickBot="1">
      <c r="B371" s="176"/>
      <c r="C371" s="172"/>
      <c r="D371" s="172"/>
      <c r="E371" s="172"/>
      <c r="F371" s="172"/>
      <c r="G371" s="172"/>
      <c r="H371" s="161"/>
      <c r="I371" s="161"/>
      <c r="J371" s="162"/>
      <c r="K371" s="161"/>
      <c r="L371" s="161"/>
    </row>
    <row r="372" spans="1:12" ht="27.95" customHeight="1">
      <c r="A372" s="79"/>
      <c r="B372" s="1257" t="s">
        <v>201</v>
      </c>
      <c r="C372" s="1426"/>
      <c r="D372" s="1426"/>
      <c r="E372" s="1426"/>
      <c r="F372" s="1426"/>
      <c r="G372" s="1426"/>
      <c r="H372" s="1426"/>
      <c r="I372" s="1426"/>
      <c r="J372" s="1426"/>
      <c r="K372" s="1426"/>
      <c r="L372" s="1427"/>
    </row>
    <row r="373" spans="1:12" ht="27.95" customHeight="1">
      <c r="A373" s="15"/>
      <c r="B373" s="1407" t="s">
        <v>202</v>
      </c>
      <c r="C373" s="1407"/>
      <c r="D373" s="1407"/>
      <c r="E373" s="1407"/>
      <c r="F373" s="1407"/>
      <c r="G373" s="1407"/>
      <c r="H373" s="1407"/>
      <c r="I373" s="1407"/>
      <c r="J373" s="1407"/>
      <c r="K373" s="1407"/>
      <c r="L373" s="1239"/>
    </row>
    <row r="374" spans="1:12" ht="27.95" customHeight="1" thickBot="1">
      <c r="A374" s="27"/>
      <c r="B374" s="1241" t="s">
        <v>203</v>
      </c>
      <c r="C374" s="1241"/>
      <c r="D374" s="1241"/>
      <c r="E374" s="1241"/>
      <c r="F374" s="1241"/>
      <c r="G374" s="1241"/>
      <c r="H374" s="1241"/>
      <c r="I374" s="1241"/>
      <c r="J374" s="1241"/>
      <c r="K374" s="1241"/>
      <c r="L374" s="1242"/>
    </row>
    <row r="375" spans="1:12" ht="27.95" customHeight="1">
      <c r="A375" s="15"/>
      <c r="B375" s="1404" t="s">
        <v>120</v>
      </c>
      <c r="C375" s="1404"/>
      <c r="D375" s="1404"/>
      <c r="E375" s="1404"/>
      <c r="F375" s="1404"/>
      <c r="H375" s="1397" t="s">
        <v>121</v>
      </c>
      <c r="I375" s="1397"/>
      <c r="J375" s="1397"/>
      <c r="K375" s="1397"/>
      <c r="L375" s="1428"/>
    </row>
    <row r="376" spans="1:12" ht="27.95" customHeight="1" thickBot="1">
      <c r="A376" s="15"/>
      <c r="B376" s="1404"/>
      <c r="C376" s="1404"/>
      <c r="D376" s="1404"/>
      <c r="E376" s="1404"/>
      <c r="F376" s="1404"/>
      <c r="H376" s="1397"/>
      <c r="I376" s="1397"/>
      <c r="J376" s="1397"/>
      <c r="K376" s="1397"/>
      <c r="L376" s="1428"/>
    </row>
    <row r="377" spans="1:12" ht="27.95" customHeight="1">
      <c r="A377" s="15"/>
      <c r="B377" s="79"/>
      <c r="C377" s="80"/>
      <c r="D377" s="80"/>
      <c r="E377" s="80"/>
      <c r="F377" s="81"/>
      <c r="H377" s="79"/>
      <c r="I377" s="80"/>
      <c r="J377" s="80"/>
      <c r="K377" s="80"/>
      <c r="L377" s="81"/>
    </row>
    <row r="378" spans="1:12">
      <c r="A378" s="15"/>
      <c r="B378" s="82" t="str">
        <f>'04-22-Master'!F5</f>
        <v>Burgeon IT Services Pvt.Ltd.</v>
      </c>
      <c r="F378" s="16"/>
      <c r="H378" s="82" t="str">
        <f>'04-22-Master'!AJ5</f>
        <v>Burgeon IT Services Pvt.Ltd.</v>
      </c>
      <c r="L378" s="16"/>
    </row>
    <row r="379" spans="1:12">
      <c r="A379" s="15"/>
      <c r="B379" s="15"/>
      <c r="F379" s="16"/>
      <c r="H379" s="15"/>
      <c r="L379" s="16"/>
    </row>
    <row r="380" spans="1:12">
      <c r="A380" s="15"/>
      <c r="B380" s="82" t="str">
        <f>'04-22-Master'!F6</f>
        <v>Siri Mansion LIGB 436 Dr.A S Rao Nagar,Hyderabad</v>
      </c>
      <c r="F380" s="16"/>
      <c r="H380" s="82" t="str">
        <f>'04-22-Master'!AJ6</f>
        <v>Siri Mansion LIGB 436 Dr.A S Rao Nagar,Hyderabad</v>
      </c>
      <c r="L380" s="16"/>
    </row>
    <row r="381" spans="1:12" ht="15.75" thickBot="1">
      <c r="A381" s="15"/>
      <c r="B381" s="27"/>
      <c r="C381" s="25"/>
      <c r="D381" s="25"/>
      <c r="E381" s="25"/>
      <c r="F381" s="26"/>
      <c r="H381" s="27"/>
      <c r="I381" s="25"/>
      <c r="J381" s="25"/>
      <c r="K381" s="25"/>
      <c r="L381" s="26"/>
    </row>
    <row r="382" spans="1:12">
      <c r="A382" s="15"/>
      <c r="J382" t="s">
        <v>122</v>
      </c>
      <c r="L382" s="16"/>
    </row>
    <row r="383" spans="1:12">
      <c r="A383" s="15"/>
      <c r="B383" s="1405" t="s">
        <v>123</v>
      </c>
      <c r="C383" s="1405"/>
      <c r="D383" s="1405"/>
      <c r="E383" s="1405"/>
      <c r="F383" s="1405"/>
      <c r="H383" s="1405" t="s">
        <v>4</v>
      </c>
      <c r="I383" s="1405"/>
      <c r="J383" s="1405"/>
      <c r="K383" s="1405"/>
      <c r="L383" s="1251"/>
    </row>
    <row r="384" spans="1:12" ht="15" customHeight="1" thickBot="1">
      <c r="A384" s="15"/>
      <c r="L384" s="16"/>
    </row>
    <row r="385" spans="1:12">
      <c r="A385" s="15"/>
      <c r="B385" s="79"/>
      <c r="C385" s="80"/>
      <c r="D385" s="80"/>
      <c r="E385" s="80"/>
      <c r="F385" s="81"/>
      <c r="H385" s="83"/>
      <c r="I385" s="84"/>
      <c r="J385" s="84"/>
      <c r="K385" s="84"/>
      <c r="L385" s="85"/>
    </row>
    <row r="386" spans="1:12">
      <c r="A386" s="15"/>
      <c r="B386" s="15"/>
      <c r="F386" s="16"/>
      <c r="H386" s="82" t="str">
        <f>'04-22-Master'!AJ10</f>
        <v>INFOSYS  LTD.IL Hyderabad SEZ</v>
      </c>
      <c r="I386" s="2"/>
      <c r="J386" s="2"/>
      <c r="K386" s="2"/>
      <c r="L386" s="86"/>
    </row>
    <row r="387" spans="1:12">
      <c r="A387" s="15"/>
      <c r="B387" s="82" t="str">
        <f>'04-22-Master'!F8</f>
        <v>IT SUPPORTIVE SERVICES &amp; HYDERABAD SEZ</v>
      </c>
      <c r="F387" s="16"/>
      <c r="H387" s="82"/>
      <c r="I387" s="2"/>
      <c r="J387" s="2"/>
      <c r="K387" s="2"/>
      <c r="L387" s="86"/>
    </row>
    <row r="388" spans="1:12">
      <c r="A388" s="15"/>
      <c r="B388" s="15"/>
      <c r="F388" s="16"/>
      <c r="H388" s="82" t="str">
        <f>'04-22-Master'!AJ11</f>
        <v>Sy.No 42,Pocharam Village,Gatkesar Mandal</v>
      </c>
      <c r="I388" s="2"/>
      <c r="J388" s="2"/>
      <c r="K388" s="2"/>
      <c r="L388" s="86"/>
    </row>
    <row r="389" spans="1:12" ht="15.75" thickBot="1">
      <c r="A389" s="15"/>
      <c r="B389" s="27"/>
      <c r="C389" s="25"/>
      <c r="D389" s="25"/>
      <c r="E389" s="25"/>
      <c r="F389" s="26"/>
      <c r="H389" s="87"/>
      <c r="I389" s="88"/>
      <c r="J389" s="88"/>
      <c r="K389" s="88"/>
      <c r="L389" s="89"/>
    </row>
    <row r="390" spans="1:12">
      <c r="A390" s="90"/>
      <c r="B390" s="1419" t="s">
        <v>204</v>
      </c>
      <c r="C390" s="1419"/>
      <c r="D390" s="1419"/>
      <c r="E390" s="1419"/>
      <c r="F390" s="1419"/>
      <c r="G390" s="1419"/>
      <c r="H390" s="1422" t="e">
        <f>'04-22-Master'!#REF!</f>
        <v>#REF!</v>
      </c>
      <c r="I390" s="1421"/>
      <c r="J390" s="1421"/>
      <c r="K390" s="1421"/>
      <c r="L390" s="1224"/>
    </row>
    <row r="391" spans="1:12">
      <c r="A391" s="90"/>
      <c r="B391" s="1423" t="s">
        <v>205</v>
      </c>
      <c r="C391" s="1423"/>
      <c r="D391" s="1423"/>
      <c r="E391" s="1423"/>
      <c r="F391" s="1423"/>
      <c r="G391" s="1423"/>
      <c r="H391" s="1422" t="e">
        <f>'04-22-Master'!#REF!</f>
        <v>#REF!</v>
      </c>
      <c r="I391" s="1421"/>
      <c r="J391" s="1421"/>
      <c r="K391" s="1421"/>
      <c r="L391" s="1224"/>
    </row>
    <row r="392" spans="1:12">
      <c r="A392" s="90"/>
      <c r="B392" s="1419" t="s">
        <v>206</v>
      </c>
      <c r="C392" s="1419"/>
      <c r="D392" s="1419"/>
      <c r="E392" s="1419"/>
      <c r="F392" s="1419"/>
      <c r="G392" s="1419"/>
      <c r="H392" s="1422" t="e">
        <f>'04-22-Master'!#REF!</f>
        <v>#REF!</v>
      </c>
      <c r="I392" s="1421"/>
      <c r="J392" s="1421"/>
      <c r="K392" s="1421"/>
      <c r="L392" s="1224"/>
    </row>
    <row r="393" spans="1:12">
      <c r="A393" s="90"/>
      <c r="B393" s="1419" t="s">
        <v>207</v>
      </c>
      <c r="C393" s="1419"/>
      <c r="D393" s="1419"/>
      <c r="E393" s="1419"/>
      <c r="F393" s="1419"/>
      <c r="G393" s="1419"/>
      <c r="H393" s="1424" t="e">
        <f>'04-22-Master'!#REF!</f>
        <v>#REF!</v>
      </c>
      <c r="I393" s="1421"/>
      <c r="J393" s="1421"/>
      <c r="K393" s="1421"/>
      <c r="L393" s="1224"/>
    </row>
    <row r="394" spans="1:12">
      <c r="A394" s="90"/>
      <c r="B394" s="91" t="s">
        <v>209</v>
      </c>
      <c r="C394" s="92"/>
      <c r="D394" s="92"/>
      <c r="E394" s="92"/>
      <c r="F394" s="92"/>
      <c r="G394" s="92"/>
      <c r="H394" s="1416" t="s">
        <v>210</v>
      </c>
      <c r="I394" s="1417"/>
      <c r="J394" s="1417"/>
      <c r="K394" s="1417"/>
      <c r="L394" s="1418"/>
    </row>
    <row r="395" spans="1:12">
      <c r="A395" s="90"/>
      <c r="B395" s="91" t="s">
        <v>211</v>
      </c>
      <c r="C395" s="92"/>
      <c r="D395" s="92"/>
      <c r="E395" s="92"/>
      <c r="F395" s="92"/>
      <c r="G395" s="92"/>
      <c r="H395" s="93"/>
      <c r="I395" s="94"/>
      <c r="J395" s="174"/>
      <c r="K395" s="94"/>
      <c r="L395" s="99"/>
    </row>
    <row r="396" spans="1:12">
      <c r="A396" s="90"/>
      <c r="B396" s="1234" t="s">
        <v>212</v>
      </c>
      <c r="C396" s="1234"/>
      <c r="D396" s="1234"/>
      <c r="E396" s="1234"/>
      <c r="F396" s="1234"/>
      <c r="G396" s="1234"/>
      <c r="H396" s="1227" t="e">
        <f>'04-22-Master'!#REF!</f>
        <v>#REF!</v>
      </c>
      <c r="I396" s="1228"/>
      <c r="J396" s="1228"/>
      <c r="K396" s="1228"/>
      <c r="L396" s="1229"/>
    </row>
    <row r="397" spans="1:12">
      <c r="A397" s="90"/>
      <c r="B397" s="1419"/>
      <c r="C397" s="1419"/>
      <c r="D397" s="1419"/>
      <c r="E397" s="1419"/>
      <c r="F397" s="1419"/>
      <c r="G397" s="1419"/>
      <c r="H397" s="1420" t="e">
        <f>'04-22-Master'!#REF!</f>
        <v>#REF!</v>
      </c>
      <c r="I397" s="1421"/>
      <c r="J397" s="1421"/>
      <c r="K397" s="1421"/>
      <c r="L397" s="1224"/>
    </row>
    <row r="398" spans="1:12">
      <c r="A398" s="15"/>
      <c r="B398" s="1419"/>
      <c r="C398" s="1419"/>
      <c r="D398" s="1419"/>
      <c r="E398" s="1419"/>
      <c r="F398" s="1419"/>
      <c r="G398" s="1419"/>
      <c r="H398" s="1422" t="e">
        <f>'04-22-Master'!#REF!</f>
        <v>#REF!</v>
      </c>
      <c r="I398" s="1421"/>
      <c r="J398" s="1421"/>
      <c r="K398" s="1421"/>
      <c r="L398" s="1224"/>
    </row>
    <row r="399" spans="1:12" ht="27.95" customHeight="1">
      <c r="A399" s="15"/>
      <c r="B399" s="91" t="s">
        <v>213</v>
      </c>
      <c r="C399" s="92"/>
      <c r="D399" s="92"/>
      <c r="E399" s="92"/>
      <c r="F399" s="92"/>
      <c r="G399" s="95"/>
      <c r="H399" s="1408" t="e">
        <f>'04-22-Master'!#REF!</f>
        <v>#REF!</v>
      </c>
      <c r="I399" s="1409"/>
      <c r="J399" s="1409"/>
      <c r="K399" s="1409"/>
      <c r="L399" s="1410"/>
    </row>
    <row r="400" spans="1:12" ht="27.95" customHeight="1">
      <c r="A400" s="15"/>
      <c r="B400" s="91"/>
      <c r="C400" s="92"/>
      <c r="D400" s="92"/>
      <c r="E400" s="92"/>
      <c r="F400" s="92"/>
      <c r="G400" s="95"/>
      <c r="H400" s="1408" t="e">
        <f>'04-22-Master'!#REF!</f>
        <v>#REF!</v>
      </c>
      <c r="I400" s="1409"/>
      <c r="J400" s="1409"/>
      <c r="K400" s="1409"/>
      <c r="L400" s="1410"/>
    </row>
    <row r="401" spans="1:12" ht="27.95" customHeight="1">
      <c r="A401" s="15"/>
      <c r="B401" s="91"/>
      <c r="C401" s="92"/>
      <c r="D401" s="92"/>
      <c r="E401" s="92"/>
      <c r="F401" s="92"/>
      <c r="G401" s="95"/>
      <c r="H401" s="1408" t="e">
        <f>'04-22-Master'!#REF!</f>
        <v>#REF!</v>
      </c>
      <c r="I401" s="1409"/>
      <c r="J401" s="1409"/>
      <c r="K401" s="1409"/>
      <c r="L401" s="1410"/>
    </row>
    <row r="402" spans="1:12" ht="27.95" customHeight="1">
      <c r="A402" s="15"/>
      <c r="B402" s="91" t="s">
        <v>220</v>
      </c>
      <c r="C402" s="92"/>
      <c r="D402" s="92"/>
      <c r="E402" s="92"/>
      <c r="F402" s="92"/>
      <c r="G402" s="95"/>
      <c r="H402" s="93"/>
      <c r="I402" s="94"/>
      <c r="J402" s="94"/>
      <c r="K402" s="94"/>
      <c r="L402" s="99"/>
    </row>
    <row r="403" spans="1:12" ht="27.95" customHeight="1">
      <c r="A403" s="15"/>
      <c r="B403" s="101" t="s">
        <v>221</v>
      </c>
      <c r="C403" s="155"/>
      <c r="D403" s="155"/>
      <c r="E403" s="155"/>
      <c r="F403" s="155"/>
      <c r="G403" s="156"/>
      <c r="H403" s="157"/>
      <c r="I403" s="158"/>
      <c r="J403" s="159"/>
      <c r="K403" s="158"/>
      <c r="L403" s="160"/>
    </row>
    <row r="404" spans="1:12" ht="27.95" customHeight="1">
      <c r="A404" s="15"/>
      <c r="B404" s="91" t="s">
        <v>224</v>
      </c>
      <c r="C404" s="92"/>
      <c r="D404" s="94"/>
      <c r="E404" s="167" t="s">
        <v>226</v>
      </c>
      <c r="F404" s="66"/>
      <c r="G404" s="1411" t="s">
        <v>225</v>
      </c>
      <c r="H404" s="1412"/>
      <c r="I404" s="171" t="s">
        <v>222</v>
      </c>
      <c r="J404" s="169" t="s">
        <v>227</v>
      </c>
      <c r="K404" s="1411" t="s">
        <v>223</v>
      </c>
      <c r="L404" s="1413"/>
    </row>
    <row r="405" spans="1:12" ht="27.95" customHeight="1">
      <c r="A405" s="15"/>
      <c r="B405" s="170">
        <v>1</v>
      </c>
      <c r="C405" s="92"/>
      <c r="D405" s="92"/>
      <c r="E405" s="173">
        <v>2</v>
      </c>
      <c r="F405" s="95"/>
      <c r="G405" s="173">
        <v>3</v>
      </c>
      <c r="H405" s="189"/>
      <c r="I405" s="189">
        <v>4</v>
      </c>
      <c r="J405" s="110">
        <v>5</v>
      </c>
      <c r="K405" s="97"/>
      <c r="L405" s="98">
        <v>6</v>
      </c>
    </row>
    <row r="406" spans="1:12" ht="27.95" customHeight="1">
      <c r="A406" s="15"/>
      <c r="B406" s="286" t="e">
        <f>'04-22-Master'!#REF!</f>
        <v>#REF!</v>
      </c>
      <c r="C406" s="185"/>
      <c r="D406" s="186"/>
      <c r="E406" s="188" t="s">
        <v>383</v>
      </c>
      <c r="F406" s="186"/>
      <c r="G406" s="188" t="s">
        <v>384</v>
      </c>
      <c r="H406" s="66"/>
      <c r="I406" s="13" t="s">
        <v>385</v>
      </c>
      <c r="J406" s="285">
        <v>1</v>
      </c>
      <c r="K406" s="1414" t="s">
        <v>37</v>
      </c>
      <c r="L406" s="1425"/>
    </row>
    <row r="407" spans="1:12" ht="27.95" customHeight="1">
      <c r="A407" s="15"/>
      <c r="B407" s="91"/>
      <c r="C407" s="185"/>
      <c r="D407" s="186"/>
      <c r="E407" s="187"/>
      <c r="F407" s="186"/>
      <c r="G407" s="187"/>
      <c r="H407" s="66"/>
      <c r="I407" s="13"/>
      <c r="J407" s="13"/>
      <c r="K407" s="188"/>
      <c r="L407" s="66"/>
    </row>
    <row r="408" spans="1:12" ht="27.95" customHeight="1">
      <c r="A408" s="15"/>
      <c r="B408" s="91"/>
      <c r="C408" s="185"/>
      <c r="D408" s="186"/>
      <c r="E408" s="187"/>
      <c r="F408" s="186"/>
      <c r="G408" s="187"/>
      <c r="H408" s="66"/>
      <c r="I408" s="13"/>
      <c r="J408" s="13"/>
      <c r="K408" s="188"/>
      <c r="L408" s="66"/>
    </row>
    <row r="409" spans="1:12" ht="27.95" customHeight="1">
      <c r="A409" s="15"/>
      <c r="B409" s="73"/>
      <c r="C409" s="19"/>
      <c r="D409" s="74"/>
      <c r="E409" s="187"/>
      <c r="F409" s="186"/>
      <c r="G409" s="187"/>
      <c r="H409" s="66"/>
      <c r="I409" s="13"/>
      <c r="J409" s="13"/>
      <c r="K409" s="188"/>
      <c r="L409" s="66"/>
    </row>
    <row r="410" spans="1:12" ht="27.95" customHeight="1">
      <c r="A410" s="15"/>
      <c r="B410" t="s">
        <v>228</v>
      </c>
      <c r="L410" s="16"/>
    </row>
    <row r="411" spans="1:12" ht="27.95" customHeight="1">
      <c r="A411" s="15"/>
      <c r="B411" t="s">
        <v>229</v>
      </c>
      <c r="L411" s="16"/>
    </row>
    <row r="412" spans="1:12" ht="27.95" customHeight="1">
      <c r="A412" s="15"/>
      <c r="B412" t="s">
        <v>230</v>
      </c>
      <c r="L412" s="16"/>
    </row>
    <row r="413" spans="1:12" ht="27.95" customHeight="1">
      <c r="A413" s="15"/>
      <c r="I413" t="s">
        <v>231</v>
      </c>
      <c r="L413" s="16"/>
    </row>
    <row r="414" spans="1:12" ht="27.95" customHeight="1">
      <c r="A414" s="15"/>
      <c r="F414" s="175" t="s">
        <v>214</v>
      </c>
      <c r="L414" s="16"/>
    </row>
    <row r="415" spans="1:12" ht="27.95" customHeight="1">
      <c r="A415" s="15" t="s">
        <v>215</v>
      </c>
      <c r="K415" s="225" t="e">
        <f>'04-22-Master'!#REF!</f>
        <v>#REF!</v>
      </c>
      <c r="L415" s="16"/>
    </row>
    <row r="416" spans="1:12">
      <c r="A416" s="15" t="s">
        <v>216</v>
      </c>
      <c r="L416" s="16"/>
    </row>
    <row r="417" spans="1:12">
      <c r="A417" s="15"/>
      <c r="L417" s="16"/>
    </row>
    <row r="418" spans="1:12">
      <c r="A418" s="15"/>
      <c r="L418" s="16"/>
    </row>
    <row r="419" spans="1:12">
      <c r="A419" s="15"/>
      <c r="F419" t="s">
        <v>217</v>
      </c>
      <c r="L419" s="16"/>
    </row>
    <row r="420" spans="1:12">
      <c r="A420" s="15" t="s">
        <v>218</v>
      </c>
      <c r="B420" t="s">
        <v>382</v>
      </c>
      <c r="F420" t="str">
        <f>'04-22-Master'!F5</f>
        <v>Burgeon IT Services Pvt.Ltd.</v>
      </c>
      <c r="L420" s="16"/>
    </row>
    <row r="421" spans="1:12">
      <c r="A421" s="15" t="s">
        <v>219</v>
      </c>
      <c r="B421" s="284" t="e">
        <f>'04-22-Master'!#REF!</f>
        <v>#REF!</v>
      </c>
      <c r="F421" t="str">
        <f>'04-22-Master'!F6</f>
        <v>Siri Mansion LIGB 436 Dr.A S Rao Nagar,Hyderabad</v>
      </c>
      <c r="L421" s="16"/>
    </row>
    <row r="422" spans="1:12" ht="15" customHeight="1" thickBot="1">
      <c r="A422" s="27"/>
      <c r="B422" s="25"/>
      <c r="C422" s="25"/>
      <c r="D422" s="25"/>
      <c r="E422" s="25"/>
      <c r="F422" s="25"/>
      <c r="G422" s="25"/>
      <c r="H422" s="25"/>
      <c r="I422" s="25"/>
      <c r="J422" s="25"/>
      <c r="K422" s="25"/>
      <c r="L422" s="26"/>
    </row>
    <row r="423" spans="1:12" ht="15.75" thickBot="1">
      <c r="B423" s="176"/>
      <c r="C423" s="172"/>
      <c r="D423" s="172"/>
      <c r="E423" s="172"/>
      <c r="F423" s="172"/>
      <c r="G423" s="172"/>
      <c r="H423" s="161"/>
      <c r="I423" s="161"/>
      <c r="J423" s="162"/>
      <c r="K423" s="161"/>
      <c r="L423" s="161"/>
    </row>
    <row r="424" spans="1:12" ht="32.25">
      <c r="A424" s="79"/>
      <c r="B424" s="1257" t="s">
        <v>201</v>
      </c>
      <c r="C424" s="1426"/>
      <c r="D424" s="1426"/>
      <c r="E424" s="1426"/>
      <c r="F424" s="1426"/>
      <c r="G424" s="1426"/>
      <c r="H424" s="1426"/>
      <c r="I424" s="1426"/>
      <c r="J424" s="1426"/>
      <c r="K424" s="1426"/>
      <c r="L424" s="1427"/>
    </row>
    <row r="425" spans="1:12" ht="23.25">
      <c r="A425" s="15"/>
      <c r="B425" s="1407" t="s">
        <v>202</v>
      </c>
      <c r="C425" s="1407"/>
      <c r="D425" s="1407"/>
      <c r="E425" s="1407"/>
      <c r="F425" s="1407"/>
      <c r="G425" s="1407"/>
      <c r="H425" s="1407"/>
      <c r="I425" s="1407"/>
      <c r="J425" s="1407"/>
      <c r="K425" s="1407"/>
      <c r="L425" s="1239"/>
    </row>
    <row r="426" spans="1:12" ht="16.5" thickBot="1">
      <c r="A426" s="27"/>
      <c r="B426" s="1241" t="s">
        <v>203</v>
      </c>
      <c r="C426" s="1241"/>
      <c r="D426" s="1241"/>
      <c r="E426" s="1241"/>
      <c r="F426" s="1241"/>
      <c r="G426" s="1241"/>
      <c r="H426" s="1241"/>
      <c r="I426" s="1241"/>
      <c r="J426" s="1241"/>
      <c r="K426" s="1241"/>
      <c r="L426" s="1242"/>
    </row>
    <row r="427" spans="1:12">
      <c r="A427" s="15"/>
      <c r="B427" s="1404" t="s">
        <v>120</v>
      </c>
      <c r="C427" s="1404"/>
      <c r="D427" s="1404"/>
      <c r="E427" s="1404"/>
      <c r="F427" s="1404"/>
      <c r="H427" s="1397" t="s">
        <v>121</v>
      </c>
      <c r="I427" s="1397"/>
      <c r="J427" s="1397"/>
      <c r="K427" s="1397"/>
      <c r="L427" s="1428"/>
    </row>
    <row r="428" spans="1:12" ht="15.75" thickBot="1">
      <c r="A428" s="15"/>
      <c r="B428" s="1404"/>
      <c r="C428" s="1404"/>
      <c r="D428" s="1404"/>
      <c r="E428" s="1404"/>
      <c r="F428" s="1404"/>
      <c r="H428" s="1397"/>
      <c r="I428" s="1397"/>
      <c r="J428" s="1397"/>
      <c r="K428" s="1397"/>
      <c r="L428" s="1428"/>
    </row>
    <row r="429" spans="1:12">
      <c r="A429" s="15"/>
      <c r="B429" s="79"/>
      <c r="C429" s="80"/>
      <c r="D429" s="80"/>
      <c r="E429" s="80"/>
      <c r="F429" s="81"/>
      <c r="H429" s="79"/>
      <c r="I429" s="80"/>
      <c r="J429" s="80"/>
      <c r="K429" s="80"/>
      <c r="L429" s="81"/>
    </row>
    <row r="430" spans="1:12">
      <c r="A430" s="15"/>
      <c r="B430" s="82" t="str">
        <f>'04-22-Master'!F5</f>
        <v>Burgeon IT Services Pvt.Ltd.</v>
      </c>
      <c r="F430" s="16"/>
      <c r="H430" s="82" t="str">
        <f>'04-22-Master'!AJ5</f>
        <v>Burgeon IT Services Pvt.Ltd.</v>
      </c>
      <c r="L430" s="16"/>
    </row>
    <row r="431" spans="1:12">
      <c r="A431" s="15"/>
      <c r="B431" s="15"/>
      <c r="F431" s="16"/>
      <c r="H431" s="15"/>
      <c r="L431" s="16"/>
    </row>
    <row r="432" spans="1:12">
      <c r="A432" s="15"/>
      <c r="B432" s="82" t="str">
        <f>'04-22-Master'!F6</f>
        <v>Siri Mansion LIGB 436 Dr.A S Rao Nagar,Hyderabad</v>
      </c>
      <c r="F432" s="16"/>
      <c r="H432" s="82" t="str">
        <f>'04-22-Master'!AJ6</f>
        <v>Siri Mansion LIGB 436 Dr.A S Rao Nagar,Hyderabad</v>
      </c>
      <c r="L432" s="16"/>
    </row>
    <row r="433" spans="1:12" ht="15.75" thickBot="1">
      <c r="A433" s="15"/>
      <c r="B433" s="27"/>
      <c r="C433" s="25"/>
      <c r="D433" s="25"/>
      <c r="E433" s="25"/>
      <c r="F433" s="26"/>
      <c r="H433" s="27"/>
      <c r="I433" s="25"/>
      <c r="J433" s="25"/>
      <c r="K433" s="25"/>
      <c r="L433" s="26"/>
    </row>
    <row r="434" spans="1:12">
      <c r="A434" s="15"/>
      <c r="J434" t="s">
        <v>122</v>
      </c>
      <c r="L434" s="16"/>
    </row>
    <row r="435" spans="1:12">
      <c r="A435" s="15"/>
      <c r="B435" s="1405" t="s">
        <v>123</v>
      </c>
      <c r="C435" s="1405"/>
      <c r="D435" s="1405"/>
      <c r="E435" s="1405"/>
      <c r="F435" s="1405"/>
      <c r="H435" s="1405" t="s">
        <v>4</v>
      </c>
      <c r="I435" s="1405"/>
      <c r="J435" s="1405"/>
      <c r="K435" s="1405"/>
      <c r="L435" s="1251"/>
    </row>
    <row r="436" spans="1:12" ht="15.75" thickBot="1">
      <c r="A436" s="15"/>
      <c r="L436" s="16"/>
    </row>
    <row r="437" spans="1:12" ht="15" customHeight="1">
      <c r="A437" s="15"/>
      <c r="B437" s="79"/>
      <c r="C437" s="80"/>
      <c r="D437" s="80"/>
      <c r="E437" s="80"/>
      <c r="F437" s="81"/>
      <c r="H437" s="83"/>
      <c r="I437" s="84"/>
      <c r="J437" s="84"/>
      <c r="K437" s="84"/>
      <c r="L437" s="85"/>
    </row>
    <row r="438" spans="1:12" ht="15" customHeight="1">
      <c r="A438" s="15"/>
      <c r="B438" s="15"/>
      <c r="F438" s="16"/>
      <c r="H438" s="82" t="str">
        <f>'04-22-Master'!AJ10</f>
        <v>INFOSYS  LTD.IL Hyderabad SEZ</v>
      </c>
      <c r="I438" s="2"/>
      <c r="J438" s="2"/>
      <c r="K438" s="2"/>
      <c r="L438" s="86"/>
    </row>
    <row r="439" spans="1:12" ht="15" customHeight="1">
      <c r="A439" s="15"/>
      <c r="B439" s="82" t="str">
        <f>'04-22-Master'!F8</f>
        <v>IT SUPPORTIVE SERVICES &amp; HYDERABAD SEZ</v>
      </c>
      <c r="F439" s="16"/>
      <c r="H439" s="82"/>
      <c r="I439" s="2"/>
      <c r="J439" s="2"/>
      <c r="K439" s="2"/>
      <c r="L439" s="86"/>
    </row>
    <row r="440" spans="1:12" ht="15" customHeight="1">
      <c r="A440" s="15"/>
      <c r="B440" s="15"/>
      <c r="F440" s="16"/>
      <c r="H440" s="82" t="str">
        <f>'04-22-Master'!AJ11</f>
        <v>Sy.No 42,Pocharam Village,Gatkesar Mandal</v>
      </c>
      <c r="I440" s="2"/>
      <c r="J440" s="2"/>
      <c r="K440" s="2"/>
      <c r="L440" s="86"/>
    </row>
    <row r="441" spans="1:12" ht="15" customHeight="1" thickBot="1">
      <c r="A441" s="15"/>
      <c r="B441" s="27"/>
      <c r="C441" s="25"/>
      <c r="D441" s="25"/>
      <c r="E441" s="25"/>
      <c r="F441" s="26"/>
      <c r="H441" s="87"/>
      <c r="I441" s="88"/>
      <c r="J441" s="88"/>
      <c r="K441" s="88"/>
      <c r="L441" s="89"/>
    </row>
    <row r="442" spans="1:12" ht="27.95" customHeight="1">
      <c r="A442" s="90"/>
      <c r="B442" s="1419" t="s">
        <v>204</v>
      </c>
      <c r="C442" s="1419"/>
      <c r="D442" s="1419"/>
      <c r="E442" s="1419"/>
      <c r="F442" s="1419"/>
      <c r="G442" s="1419"/>
      <c r="H442" s="1422" t="e">
        <f>'04-22-Master'!#REF!</f>
        <v>#REF!</v>
      </c>
      <c r="I442" s="1421"/>
      <c r="J442" s="1421"/>
      <c r="K442" s="1421"/>
      <c r="L442" s="1224"/>
    </row>
    <row r="443" spans="1:12" ht="27.95" customHeight="1">
      <c r="A443" s="90"/>
      <c r="B443" s="1423" t="s">
        <v>205</v>
      </c>
      <c r="C443" s="1423"/>
      <c r="D443" s="1423"/>
      <c r="E443" s="1423"/>
      <c r="F443" s="1423"/>
      <c r="G443" s="1423"/>
      <c r="H443" s="1422" t="e">
        <f>'04-22-Master'!#REF!</f>
        <v>#REF!</v>
      </c>
      <c r="I443" s="1421"/>
      <c r="J443" s="1421"/>
      <c r="K443" s="1421"/>
      <c r="L443" s="1224"/>
    </row>
    <row r="444" spans="1:12" ht="27.95" customHeight="1">
      <c r="A444" s="90"/>
      <c r="B444" s="1419" t="s">
        <v>206</v>
      </c>
      <c r="C444" s="1419"/>
      <c r="D444" s="1419"/>
      <c r="E444" s="1419"/>
      <c r="F444" s="1419"/>
      <c r="G444" s="1419"/>
      <c r="H444" s="1422" t="e">
        <f>'04-22-Master'!#REF!</f>
        <v>#REF!</v>
      </c>
      <c r="I444" s="1421"/>
      <c r="J444" s="1421"/>
      <c r="K444" s="1421"/>
      <c r="L444" s="1224"/>
    </row>
    <row r="445" spans="1:12" ht="27.95" customHeight="1">
      <c r="A445" s="90"/>
      <c r="B445" s="1419" t="s">
        <v>207</v>
      </c>
      <c r="C445" s="1419"/>
      <c r="D445" s="1419"/>
      <c r="E445" s="1419"/>
      <c r="F445" s="1419"/>
      <c r="G445" s="1419"/>
      <c r="H445" s="1424" t="e">
        <f>'04-22-Master'!#REF!</f>
        <v>#REF!</v>
      </c>
      <c r="I445" s="1421"/>
      <c r="J445" s="1421"/>
      <c r="K445" s="1421"/>
      <c r="L445" s="1224"/>
    </row>
    <row r="446" spans="1:12" ht="27.95" customHeight="1">
      <c r="A446" s="90"/>
      <c r="B446" s="91" t="s">
        <v>209</v>
      </c>
      <c r="C446" s="92"/>
      <c r="D446" s="92"/>
      <c r="E446" s="92"/>
      <c r="F446" s="92"/>
      <c r="G446" s="92"/>
      <c r="H446" s="1416" t="s">
        <v>210</v>
      </c>
      <c r="I446" s="1417"/>
      <c r="J446" s="1417"/>
      <c r="K446" s="1417"/>
      <c r="L446" s="1418"/>
    </row>
    <row r="447" spans="1:12" ht="27.95" customHeight="1">
      <c r="A447" s="90"/>
      <c r="B447" s="91" t="s">
        <v>211</v>
      </c>
      <c r="C447" s="92"/>
      <c r="D447" s="92"/>
      <c r="E447" s="92"/>
      <c r="F447" s="92"/>
      <c r="G447" s="92"/>
      <c r="H447" s="93"/>
      <c r="I447" s="94"/>
      <c r="J447" s="174"/>
      <c r="K447" s="94"/>
      <c r="L447" s="99"/>
    </row>
    <row r="448" spans="1:12" ht="27.95" customHeight="1">
      <c r="A448" s="90"/>
      <c r="B448" s="1234" t="s">
        <v>212</v>
      </c>
      <c r="C448" s="1234"/>
      <c r="D448" s="1234"/>
      <c r="E448" s="1234"/>
      <c r="F448" s="1234"/>
      <c r="G448" s="1234"/>
      <c r="H448" s="1227" t="e">
        <f>'04-22-Master'!#REF!</f>
        <v>#REF!</v>
      </c>
      <c r="I448" s="1228"/>
      <c r="J448" s="1228"/>
      <c r="K448" s="1228"/>
      <c r="L448" s="1229"/>
    </row>
    <row r="449" spans="1:12" ht="27.95" customHeight="1">
      <c r="A449" s="90"/>
      <c r="B449" s="1419"/>
      <c r="C449" s="1419"/>
      <c r="D449" s="1419"/>
      <c r="E449" s="1419"/>
      <c r="F449" s="1419"/>
      <c r="G449" s="1419"/>
      <c r="H449" s="1420" t="e">
        <f>'04-22-Master'!#REF!</f>
        <v>#REF!</v>
      </c>
      <c r="I449" s="1421"/>
      <c r="J449" s="1421"/>
      <c r="K449" s="1421"/>
      <c r="L449" s="1224"/>
    </row>
    <row r="450" spans="1:12" ht="27.95" customHeight="1">
      <c r="A450" s="15"/>
      <c r="B450" s="1419"/>
      <c r="C450" s="1419"/>
      <c r="D450" s="1419"/>
      <c r="E450" s="1419"/>
      <c r="F450" s="1419"/>
      <c r="G450" s="1419"/>
      <c r="H450" s="1422" t="e">
        <f>'04-22-Master'!#REF!</f>
        <v>#REF!</v>
      </c>
      <c r="I450" s="1421"/>
      <c r="J450" s="1421"/>
      <c r="K450" s="1421"/>
      <c r="L450" s="1224"/>
    </row>
    <row r="451" spans="1:12" ht="27.95" customHeight="1">
      <c r="A451" s="15"/>
      <c r="B451" s="91" t="s">
        <v>213</v>
      </c>
      <c r="C451" s="92"/>
      <c r="D451" s="92"/>
      <c r="E451" s="92"/>
      <c r="F451" s="92"/>
      <c r="G451" s="95"/>
      <c r="H451" s="1408" t="e">
        <f>'04-22-Master'!#REF!</f>
        <v>#REF!</v>
      </c>
      <c r="I451" s="1409"/>
      <c r="J451" s="1409"/>
      <c r="K451" s="1409"/>
      <c r="L451" s="1410"/>
    </row>
    <row r="452" spans="1:12" ht="27.95" customHeight="1">
      <c r="A452" s="15"/>
      <c r="B452" s="91"/>
      <c r="C452" s="92"/>
      <c r="D452" s="92"/>
      <c r="E452" s="92"/>
      <c r="F452" s="92"/>
      <c r="G452" s="95"/>
      <c r="H452" s="1408" t="e">
        <f>'04-22-Master'!#REF!</f>
        <v>#REF!</v>
      </c>
      <c r="I452" s="1409"/>
      <c r="J452" s="1409"/>
      <c r="K452" s="1409"/>
      <c r="L452" s="1410"/>
    </row>
    <row r="453" spans="1:12" ht="27.95" customHeight="1">
      <c r="A453" s="15"/>
      <c r="B453" s="91"/>
      <c r="C453" s="92"/>
      <c r="D453" s="92"/>
      <c r="E453" s="92"/>
      <c r="F453" s="92"/>
      <c r="G453" s="95"/>
      <c r="H453" s="1408" t="e">
        <f>'04-22-Master'!#REF!</f>
        <v>#REF!</v>
      </c>
      <c r="I453" s="1409"/>
      <c r="J453" s="1409"/>
      <c r="K453" s="1409"/>
      <c r="L453" s="1410"/>
    </row>
    <row r="454" spans="1:12" ht="27.95" customHeight="1">
      <c r="A454" s="15"/>
      <c r="B454" s="91" t="s">
        <v>220</v>
      </c>
      <c r="C454" s="92"/>
      <c r="D454" s="92"/>
      <c r="E454" s="92"/>
      <c r="F454" s="92"/>
      <c r="G454" s="95"/>
      <c r="H454" s="93"/>
      <c r="I454" s="94"/>
      <c r="J454" s="94"/>
      <c r="K454" s="94"/>
      <c r="L454" s="99"/>
    </row>
    <row r="455" spans="1:12">
      <c r="A455" s="15"/>
      <c r="B455" s="101" t="s">
        <v>221</v>
      </c>
      <c r="C455" s="155"/>
      <c r="D455" s="155"/>
      <c r="E455" s="155"/>
      <c r="F455" s="155"/>
      <c r="G455" s="156"/>
      <c r="H455" s="157"/>
      <c r="I455" s="158"/>
      <c r="J455" s="159"/>
      <c r="K455" s="158"/>
      <c r="L455" s="160"/>
    </row>
    <row r="456" spans="1:12" ht="45">
      <c r="A456" s="15"/>
      <c r="B456" s="91" t="s">
        <v>224</v>
      </c>
      <c r="C456" s="92"/>
      <c r="D456" s="94"/>
      <c r="E456" s="167" t="s">
        <v>226</v>
      </c>
      <c r="F456" s="66"/>
      <c r="G456" s="1411" t="s">
        <v>225</v>
      </c>
      <c r="H456" s="1412"/>
      <c r="I456" s="171" t="s">
        <v>222</v>
      </c>
      <c r="J456" s="169" t="s">
        <v>227</v>
      </c>
      <c r="K456" s="1411" t="s">
        <v>223</v>
      </c>
      <c r="L456" s="1413"/>
    </row>
    <row r="457" spans="1:12">
      <c r="A457" s="15"/>
      <c r="B457" s="170">
        <v>1</v>
      </c>
      <c r="C457" s="92"/>
      <c r="D457" s="92"/>
      <c r="E457" s="173">
        <v>2</v>
      </c>
      <c r="F457" s="95"/>
      <c r="G457" s="173">
        <v>3</v>
      </c>
      <c r="H457" s="189"/>
      <c r="I457" s="189">
        <v>4</v>
      </c>
      <c r="J457" s="110">
        <v>5</v>
      </c>
      <c r="K457" s="97"/>
      <c r="L457" s="98">
        <v>6</v>
      </c>
    </row>
    <row r="458" spans="1:12">
      <c r="A458" s="15"/>
      <c r="B458" s="286" t="e">
        <f>'04-22-Master'!#REF!</f>
        <v>#REF!</v>
      </c>
      <c r="C458" s="185"/>
      <c r="D458" s="186"/>
      <c r="E458" s="188" t="s">
        <v>383</v>
      </c>
      <c r="F458" s="186"/>
      <c r="G458" s="188" t="s">
        <v>384</v>
      </c>
      <c r="H458" s="66"/>
      <c r="I458" s="13" t="s">
        <v>385</v>
      </c>
      <c r="J458" s="285">
        <v>1</v>
      </c>
      <c r="K458" s="1414" t="s">
        <v>37</v>
      </c>
      <c r="L458" s="1425"/>
    </row>
    <row r="459" spans="1:12">
      <c r="A459" s="15"/>
      <c r="B459" s="91"/>
      <c r="C459" s="185"/>
      <c r="D459" s="186"/>
      <c r="E459" s="187"/>
      <c r="F459" s="186"/>
      <c r="G459" s="187"/>
      <c r="H459" s="66"/>
      <c r="I459" s="13"/>
      <c r="J459" s="13"/>
      <c r="K459" s="188"/>
      <c r="L459" s="66"/>
    </row>
    <row r="460" spans="1:12" ht="15" customHeight="1">
      <c r="A460" s="15"/>
      <c r="B460" s="91"/>
      <c r="C460" s="185"/>
      <c r="D460" s="186"/>
      <c r="E460" s="187"/>
      <c r="F460" s="186"/>
      <c r="G460" s="187"/>
      <c r="H460" s="66"/>
      <c r="I460" s="13"/>
      <c r="J460" s="13"/>
      <c r="K460" s="188"/>
      <c r="L460" s="66"/>
    </row>
    <row r="461" spans="1:12">
      <c r="A461" s="15"/>
      <c r="B461" s="73"/>
      <c r="C461" s="19"/>
      <c r="D461" s="74"/>
      <c r="E461" s="187"/>
      <c r="F461" s="186"/>
      <c r="G461" s="187"/>
      <c r="H461" s="66"/>
      <c r="I461" s="13"/>
      <c r="J461" s="13"/>
      <c r="K461" s="188"/>
      <c r="L461" s="66"/>
    </row>
    <row r="462" spans="1:12" ht="24.95" customHeight="1">
      <c r="A462" s="15"/>
      <c r="B462" t="s">
        <v>228</v>
      </c>
      <c r="L462" s="16"/>
    </row>
    <row r="463" spans="1:12" ht="24.95" customHeight="1">
      <c r="A463" s="15"/>
      <c r="B463" t="s">
        <v>229</v>
      </c>
      <c r="L463" s="16"/>
    </row>
    <row r="464" spans="1:12" ht="24.95" customHeight="1">
      <c r="A464" s="15"/>
      <c r="B464" t="s">
        <v>230</v>
      </c>
      <c r="L464" s="16"/>
    </row>
    <row r="465" spans="1:12">
      <c r="A465" s="15"/>
      <c r="L465" s="16"/>
    </row>
    <row r="466" spans="1:12">
      <c r="A466" s="15"/>
      <c r="I466" t="s">
        <v>231</v>
      </c>
      <c r="L466" s="16"/>
    </row>
    <row r="467" spans="1:12" ht="18.75">
      <c r="A467" s="15"/>
      <c r="F467" s="175" t="s">
        <v>214</v>
      </c>
      <c r="L467" s="16"/>
    </row>
    <row r="468" spans="1:12">
      <c r="A468" s="15" t="s">
        <v>215</v>
      </c>
      <c r="K468" s="225" t="e">
        <f>'04-22-Master'!#REF!</f>
        <v>#REF!</v>
      </c>
      <c r="L468" s="16"/>
    </row>
    <row r="469" spans="1:12">
      <c r="A469" s="15" t="s">
        <v>216</v>
      </c>
      <c r="L469" s="16"/>
    </row>
    <row r="470" spans="1:12">
      <c r="A470" s="15"/>
      <c r="L470" s="16"/>
    </row>
    <row r="471" spans="1:12">
      <c r="A471" s="15"/>
      <c r="L471" s="16"/>
    </row>
    <row r="472" spans="1:12">
      <c r="A472" s="15"/>
      <c r="F472" t="s">
        <v>217</v>
      </c>
      <c r="L472" s="16"/>
    </row>
    <row r="473" spans="1:12">
      <c r="A473" s="15" t="s">
        <v>218</v>
      </c>
      <c r="B473" t="s">
        <v>382</v>
      </c>
      <c r="F473" t="str">
        <f>'04-22-Master'!F5</f>
        <v>Burgeon IT Services Pvt.Ltd.</v>
      </c>
      <c r="L473" s="16"/>
    </row>
    <row r="474" spans="1:12">
      <c r="A474" s="15" t="s">
        <v>219</v>
      </c>
      <c r="B474" s="284" t="e">
        <f>'04-22-Master'!#REF!</f>
        <v>#REF!</v>
      </c>
      <c r="F474" t="str">
        <f>'04-22-Master'!F6</f>
        <v>Siri Mansion LIGB 436 Dr.A S Rao Nagar,Hyderabad</v>
      </c>
      <c r="L474" s="16"/>
    </row>
    <row r="475" spans="1:12">
      <c r="A475" s="15"/>
      <c r="B475" s="284"/>
      <c r="L475" s="16"/>
    </row>
    <row r="476" spans="1:12">
      <c r="A476" s="15"/>
      <c r="B476" s="284"/>
      <c r="L476" s="16"/>
    </row>
    <row r="477" spans="1:12" ht="15.75" thickBot="1">
      <c r="A477" s="27"/>
      <c r="B477" s="25"/>
      <c r="C477" s="25"/>
      <c r="D477" s="25"/>
      <c r="E477" s="25"/>
      <c r="F477" s="25"/>
      <c r="G477" s="25"/>
      <c r="H477" s="25"/>
      <c r="I477" s="25"/>
      <c r="J477" s="25"/>
      <c r="K477" s="25"/>
      <c r="L477" s="26"/>
    </row>
    <row r="478" spans="1:12" ht="27.95" customHeight="1">
      <c r="A478" s="79"/>
      <c r="B478" s="1257" t="s">
        <v>201</v>
      </c>
      <c r="C478" s="1426"/>
      <c r="D478" s="1426"/>
      <c r="E478" s="1426"/>
      <c r="F478" s="1426"/>
      <c r="G478" s="1426"/>
      <c r="H478" s="1426"/>
      <c r="I478" s="1426"/>
      <c r="J478" s="1426"/>
      <c r="K478" s="1426"/>
      <c r="L478" s="1427"/>
    </row>
    <row r="479" spans="1:12" ht="27.95" customHeight="1">
      <c r="A479" s="15"/>
      <c r="B479" s="1407" t="s">
        <v>202</v>
      </c>
      <c r="C479" s="1407"/>
      <c r="D479" s="1407"/>
      <c r="E479" s="1407"/>
      <c r="F479" s="1407"/>
      <c r="G479" s="1407"/>
      <c r="H479" s="1407"/>
      <c r="I479" s="1407"/>
      <c r="J479" s="1407"/>
      <c r="K479" s="1407"/>
      <c r="L479" s="1239"/>
    </row>
    <row r="480" spans="1:12" ht="27.95" customHeight="1" thickBot="1">
      <c r="A480" s="27"/>
      <c r="B480" s="1241" t="s">
        <v>203</v>
      </c>
      <c r="C480" s="1241"/>
      <c r="D480" s="1241"/>
      <c r="E480" s="1241"/>
      <c r="F480" s="1241"/>
      <c r="G480" s="1241"/>
      <c r="H480" s="1241"/>
      <c r="I480" s="1241"/>
      <c r="J480" s="1241"/>
      <c r="K480" s="1241"/>
      <c r="L480" s="1242"/>
    </row>
    <row r="481" spans="1:12" ht="27.95" customHeight="1">
      <c r="A481" s="15"/>
      <c r="B481" s="1404" t="s">
        <v>120</v>
      </c>
      <c r="C481" s="1404"/>
      <c r="D481" s="1404"/>
      <c r="E481" s="1404"/>
      <c r="F481" s="1404"/>
      <c r="H481" s="1397" t="s">
        <v>121</v>
      </c>
      <c r="I481" s="1397"/>
      <c r="J481" s="1397"/>
      <c r="K481" s="1397"/>
      <c r="L481" s="1428"/>
    </row>
    <row r="482" spans="1:12" ht="27.95" customHeight="1" thickBot="1">
      <c r="A482" s="15"/>
      <c r="B482" s="1404"/>
      <c r="C482" s="1404"/>
      <c r="D482" s="1404"/>
      <c r="E482" s="1404"/>
      <c r="F482" s="1404"/>
      <c r="H482" s="1397"/>
      <c r="I482" s="1397"/>
      <c r="J482" s="1397"/>
      <c r="K482" s="1397"/>
      <c r="L482" s="1428"/>
    </row>
    <row r="483" spans="1:12" ht="27.95" customHeight="1">
      <c r="A483" s="15"/>
      <c r="B483" s="79"/>
      <c r="C483" s="80"/>
      <c r="D483" s="80"/>
      <c r="E483" s="80"/>
      <c r="F483" s="81"/>
      <c r="H483" s="79"/>
      <c r="I483" s="80"/>
      <c r="J483" s="80"/>
      <c r="K483" s="80"/>
      <c r="L483" s="81"/>
    </row>
    <row r="484" spans="1:12" ht="27.95" customHeight="1">
      <c r="A484" s="15"/>
      <c r="B484" s="82" t="e">
        <f>#REF!</f>
        <v>#REF!</v>
      </c>
      <c r="F484" s="16"/>
      <c r="H484" s="82" t="e">
        <f>#REF!</f>
        <v>#REF!</v>
      </c>
      <c r="L484" s="16"/>
    </row>
    <row r="485" spans="1:12" ht="27.95" customHeight="1">
      <c r="A485" s="15"/>
      <c r="B485" s="15"/>
      <c r="F485" s="16"/>
      <c r="H485" s="15"/>
      <c r="L485" s="16"/>
    </row>
    <row r="486" spans="1:12" ht="27.95" customHeight="1">
      <c r="A486" s="15"/>
      <c r="B486" s="82" t="e">
        <f>#REF!</f>
        <v>#REF!</v>
      </c>
      <c r="F486" s="16"/>
      <c r="H486" s="82" t="e">
        <f>#REF!</f>
        <v>#REF!</v>
      </c>
      <c r="L486" s="16"/>
    </row>
    <row r="487" spans="1:12" ht="27.95" customHeight="1" thickBot="1">
      <c r="A487" s="15"/>
      <c r="B487" s="27"/>
      <c r="C487" s="25"/>
      <c r="D487" s="25"/>
      <c r="E487" s="25"/>
      <c r="F487" s="26"/>
      <c r="H487" s="27"/>
      <c r="I487" s="25"/>
      <c r="J487" s="25"/>
      <c r="K487" s="25"/>
      <c r="L487" s="26"/>
    </row>
    <row r="488" spans="1:12" ht="27.95" customHeight="1">
      <c r="A488" s="15"/>
      <c r="J488" t="s">
        <v>122</v>
      </c>
      <c r="L488" s="16"/>
    </row>
    <row r="489" spans="1:12" ht="27.95" customHeight="1">
      <c r="A489" s="15"/>
      <c r="B489" s="1405" t="s">
        <v>123</v>
      </c>
      <c r="C489" s="1405"/>
      <c r="D489" s="1405"/>
      <c r="E489" s="1405"/>
      <c r="F489" s="1405"/>
      <c r="H489" s="1405" t="s">
        <v>4</v>
      </c>
      <c r="I489" s="1405"/>
      <c r="J489" s="1405"/>
      <c r="K489" s="1405"/>
      <c r="L489" s="1251"/>
    </row>
    <row r="490" spans="1:12" ht="27.95" customHeight="1" thickBot="1">
      <c r="A490" s="15"/>
      <c r="L490" s="16"/>
    </row>
    <row r="491" spans="1:12" ht="15" customHeight="1">
      <c r="A491" s="15"/>
      <c r="B491" s="79"/>
      <c r="C491" s="80"/>
      <c r="D491" s="80"/>
      <c r="E491" s="80"/>
      <c r="F491" s="81"/>
      <c r="H491" s="83"/>
      <c r="I491" s="84"/>
      <c r="J491" s="84"/>
      <c r="K491" s="84"/>
      <c r="L491" s="85"/>
    </row>
    <row r="492" spans="1:12" ht="15" customHeight="1">
      <c r="A492" s="15"/>
      <c r="B492" s="15"/>
      <c r="F492" s="16"/>
      <c r="H492" s="82" t="e">
        <f>#REF!</f>
        <v>#REF!</v>
      </c>
      <c r="I492" s="2"/>
      <c r="J492" s="2"/>
      <c r="K492" s="2"/>
      <c r="L492" s="86"/>
    </row>
    <row r="493" spans="1:12" ht="15" customHeight="1">
      <c r="A493" s="15"/>
      <c r="B493" s="82" t="e">
        <f>#REF!</f>
        <v>#REF!</v>
      </c>
      <c r="F493" s="16"/>
      <c r="H493" s="82"/>
      <c r="I493" s="2"/>
      <c r="J493" s="2"/>
      <c r="K493" s="2"/>
      <c r="L493" s="86"/>
    </row>
    <row r="494" spans="1:12" ht="15" customHeight="1">
      <c r="A494" s="15"/>
      <c r="B494" s="15"/>
      <c r="F494" s="16"/>
      <c r="H494" s="82" t="e">
        <f>#REF!</f>
        <v>#REF!</v>
      </c>
      <c r="I494" s="2"/>
      <c r="J494" s="2"/>
      <c r="K494" s="2"/>
      <c r="L494" s="86"/>
    </row>
    <row r="495" spans="1:12" ht="15" customHeight="1" thickBot="1">
      <c r="A495" s="15"/>
      <c r="B495" s="27"/>
      <c r="C495" s="25"/>
      <c r="D495" s="25"/>
      <c r="E495" s="25"/>
      <c r="F495" s="26"/>
      <c r="H495" s="87"/>
      <c r="I495" s="88"/>
      <c r="J495" s="88"/>
      <c r="K495" s="88"/>
      <c r="L495" s="89"/>
    </row>
    <row r="496" spans="1:12">
      <c r="A496" s="90"/>
      <c r="B496" s="1419" t="s">
        <v>204</v>
      </c>
      <c r="C496" s="1419"/>
      <c r="D496" s="1419"/>
      <c r="E496" s="1419"/>
      <c r="F496" s="1419"/>
      <c r="G496" s="1419"/>
      <c r="H496" s="1422">
        <f>'04-22-Master'!B398</f>
        <v>0</v>
      </c>
      <c r="I496" s="1421"/>
      <c r="J496" s="1421"/>
      <c r="K496" s="1421"/>
      <c r="L496" s="1224"/>
    </row>
    <row r="497" spans="1:12" ht="15" customHeight="1">
      <c r="A497" s="90"/>
      <c r="B497" s="1423" t="s">
        <v>205</v>
      </c>
      <c r="C497" s="1423"/>
      <c r="D497" s="1423"/>
      <c r="E497" s="1423"/>
      <c r="F497" s="1423"/>
      <c r="G497" s="1423"/>
      <c r="H497" s="1422">
        <f>'04-22-Master'!E398</f>
        <v>0</v>
      </c>
      <c r="I497" s="1421"/>
      <c r="J497" s="1421"/>
      <c r="K497" s="1421"/>
      <c r="L497" s="1224"/>
    </row>
    <row r="498" spans="1:12">
      <c r="A498" s="90"/>
      <c r="B498" s="1419" t="s">
        <v>206</v>
      </c>
      <c r="C498" s="1419"/>
      <c r="D498" s="1419"/>
      <c r="E498" s="1419"/>
      <c r="F498" s="1419"/>
      <c r="G498" s="1419"/>
      <c r="H498" s="1422">
        <f>'04-22-Master'!C398</f>
        <v>0</v>
      </c>
      <c r="I498" s="1421"/>
      <c r="J498" s="1421"/>
      <c r="K498" s="1421"/>
      <c r="L498" s="1224"/>
    </row>
    <row r="499" spans="1:12">
      <c r="A499" s="90"/>
      <c r="B499" s="1419" t="s">
        <v>207</v>
      </c>
      <c r="C499" s="1419"/>
      <c r="D499" s="1419"/>
      <c r="E499" s="1419"/>
      <c r="F499" s="1419"/>
      <c r="G499" s="1419"/>
      <c r="H499" s="1424">
        <f>'04-22-Master'!D398</f>
        <v>0</v>
      </c>
      <c r="I499" s="1421"/>
      <c r="J499" s="1421"/>
      <c r="K499" s="1421"/>
      <c r="L499" s="1224"/>
    </row>
    <row r="500" spans="1:12">
      <c r="A500" s="90"/>
      <c r="B500" s="91" t="s">
        <v>209</v>
      </c>
      <c r="C500" s="92"/>
      <c r="D500" s="92"/>
      <c r="E500" s="92"/>
      <c r="F500" s="92"/>
      <c r="G500" s="92"/>
      <c r="H500" s="1416" t="s">
        <v>210</v>
      </c>
      <c r="I500" s="1417"/>
      <c r="J500" s="1417"/>
      <c r="K500" s="1417"/>
      <c r="L500" s="1418"/>
    </row>
    <row r="501" spans="1:12" ht="15" customHeight="1">
      <c r="A501" s="90"/>
      <c r="B501" s="91" t="s">
        <v>211</v>
      </c>
      <c r="C501" s="92"/>
      <c r="D501" s="92"/>
      <c r="E501" s="92"/>
      <c r="F501" s="92"/>
      <c r="G501" s="92"/>
      <c r="H501" s="93"/>
      <c r="I501" s="94"/>
      <c r="J501" s="174"/>
      <c r="K501" s="94"/>
      <c r="L501" s="99"/>
    </row>
    <row r="502" spans="1:12" ht="15" customHeight="1">
      <c r="A502" s="90"/>
      <c r="B502" s="1234" t="s">
        <v>212</v>
      </c>
      <c r="C502" s="1234"/>
      <c r="D502" s="1234"/>
      <c r="E502" s="1234"/>
      <c r="F502" s="1234"/>
      <c r="G502" s="1234"/>
      <c r="H502" s="1227">
        <f>'04-22-Master'!G398</f>
        <v>0</v>
      </c>
      <c r="I502" s="1228"/>
      <c r="J502" s="1228"/>
      <c r="K502" s="1228"/>
      <c r="L502" s="1229"/>
    </row>
    <row r="503" spans="1:12">
      <c r="A503" s="90"/>
      <c r="B503" s="1419"/>
      <c r="C503" s="1419"/>
      <c r="D503" s="1419"/>
      <c r="E503" s="1419"/>
      <c r="F503" s="1419"/>
      <c r="G503" s="1419"/>
      <c r="H503" s="1420">
        <f>'04-22-Master'!H398</f>
        <v>0</v>
      </c>
      <c r="I503" s="1421"/>
      <c r="J503" s="1421"/>
      <c r="K503" s="1421"/>
      <c r="L503" s="1224"/>
    </row>
    <row r="504" spans="1:12">
      <c r="A504" s="15"/>
      <c r="B504" s="1419"/>
      <c r="C504" s="1419"/>
      <c r="D504" s="1419"/>
      <c r="E504" s="1419"/>
      <c r="F504" s="1419"/>
      <c r="G504" s="1419"/>
      <c r="H504" s="1422" t="e">
        <f>'04-22-Master'!#REF!</f>
        <v>#REF!</v>
      </c>
      <c r="I504" s="1421"/>
      <c r="J504" s="1421"/>
      <c r="K504" s="1421"/>
      <c r="L504" s="1224"/>
    </row>
    <row r="505" spans="1:12">
      <c r="A505" s="15"/>
      <c r="B505" s="91" t="s">
        <v>213</v>
      </c>
      <c r="C505" s="92"/>
      <c r="D505" s="92"/>
      <c r="E505" s="92"/>
      <c r="F505" s="92"/>
      <c r="G505" s="95"/>
      <c r="H505" s="1408" t="e">
        <f>'04-22-Master'!#REF!</f>
        <v>#REF!</v>
      </c>
      <c r="I505" s="1409"/>
      <c r="J505" s="1409"/>
      <c r="K505" s="1409"/>
      <c r="L505" s="1410"/>
    </row>
    <row r="506" spans="1:12">
      <c r="A506" s="15"/>
      <c r="B506" s="91"/>
      <c r="C506" s="92"/>
      <c r="D506" s="92"/>
      <c r="E506" s="92"/>
      <c r="F506" s="92"/>
      <c r="G506" s="95"/>
      <c r="H506" s="1408" t="e">
        <f>'04-22-Master'!#REF!</f>
        <v>#REF!</v>
      </c>
      <c r="I506" s="1409"/>
      <c r="J506" s="1409"/>
      <c r="K506" s="1409"/>
      <c r="L506" s="1410"/>
    </row>
    <row r="507" spans="1:12">
      <c r="A507" s="15"/>
      <c r="B507" s="91"/>
      <c r="C507" s="92"/>
      <c r="D507" s="92"/>
      <c r="E507" s="92"/>
      <c r="F507" s="92"/>
      <c r="G507" s="95"/>
      <c r="H507" s="1408" t="e">
        <f>'04-22-Master'!#REF!</f>
        <v>#REF!</v>
      </c>
      <c r="I507" s="1409"/>
      <c r="J507" s="1409"/>
      <c r="K507" s="1409"/>
      <c r="L507" s="1410"/>
    </row>
    <row r="508" spans="1:12">
      <c r="A508" s="15"/>
      <c r="B508" s="91" t="s">
        <v>220</v>
      </c>
      <c r="C508" s="92"/>
      <c r="D508" s="92"/>
      <c r="E508" s="92"/>
      <c r="F508" s="92"/>
      <c r="G508" s="95"/>
      <c r="H508" s="93"/>
      <c r="I508" s="94"/>
      <c r="J508" s="94"/>
      <c r="K508" s="94"/>
      <c r="L508" s="99"/>
    </row>
    <row r="509" spans="1:12">
      <c r="A509" s="15"/>
      <c r="B509" s="101" t="s">
        <v>221</v>
      </c>
      <c r="C509" s="155"/>
      <c r="D509" s="155"/>
      <c r="E509" s="155"/>
      <c r="F509" s="155"/>
      <c r="G509" s="156"/>
      <c r="H509" s="157"/>
      <c r="I509" s="158"/>
      <c r="J509" s="159"/>
      <c r="K509" s="158"/>
      <c r="L509" s="160"/>
    </row>
    <row r="510" spans="1:12" ht="45" customHeight="1">
      <c r="A510" s="15"/>
      <c r="B510" s="91" t="s">
        <v>224</v>
      </c>
      <c r="C510" s="92"/>
      <c r="D510" s="94"/>
      <c r="E510" s="167" t="s">
        <v>226</v>
      </c>
      <c r="F510" s="66"/>
      <c r="G510" s="1411" t="s">
        <v>225</v>
      </c>
      <c r="H510" s="1412"/>
      <c r="I510" s="171" t="s">
        <v>222</v>
      </c>
      <c r="J510" s="169" t="s">
        <v>227</v>
      </c>
      <c r="K510" s="1411" t="s">
        <v>223</v>
      </c>
      <c r="L510" s="1413"/>
    </row>
    <row r="511" spans="1:12">
      <c r="A511" s="15"/>
      <c r="B511" s="170">
        <v>1</v>
      </c>
      <c r="C511" s="92"/>
      <c r="D511" s="92"/>
      <c r="E511" s="173">
        <v>2</v>
      </c>
      <c r="F511" s="95"/>
      <c r="G511" s="173">
        <v>3</v>
      </c>
      <c r="H511" s="189"/>
      <c r="I511" s="189">
        <v>4</v>
      </c>
      <c r="J511" s="110">
        <v>5</v>
      </c>
      <c r="K511" s="97"/>
      <c r="L511" s="98">
        <v>6</v>
      </c>
    </row>
    <row r="512" spans="1:12">
      <c r="A512" s="15"/>
      <c r="B512" s="286">
        <f>'04-22-Master'!E398</f>
        <v>0</v>
      </c>
      <c r="C512" s="185"/>
      <c r="D512" s="186"/>
      <c r="E512" s="188" t="s">
        <v>383</v>
      </c>
      <c r="F512" s="186"/>
      <c r="G512" s="188" t="s">
        <v>384</v>
      </c>
      <c r="H512" s="66"/>
      <c r="I512" s="13" t="s">
        <v>385</v>
      </c>
      <c r="J512" s="285">
        <v>1</v>
      </c>
      <c r="K512" s="1414" t="s">
        <v>37</v>
      </c>
      <c r="L512" s="1425"/>
    </row>
    <row r="513" spans="1:12">
      <c r="A513" s="15"/>
      <c r="B513" s="91"/>
      <c r="C513" s="185"/>
      <c r="D513" s="186"/>
      <c r="E513" s="187"/>
      <c r="F513" s="186"/>
      <c r="G513" s="187"/>
      <c r="H513" s="66"/>
      <c r="I513" s="13"/>
      <c r="J513" s="13"/>
      <c r="K513" s="188"/>
      <c r="L513" s="66"/>
    </row>
    <row r="514" spans="1:12">
      <c r="A514" s="15"/>
      <c r="B514" s="91"/>
      <c r="C514" s="185"/>
      <c r="D514" s="186"/>
      <c r="E514" s="187"/>
      <c r="F514" s="186"/>
      <c r="G514" s="187"/>
      <c r="H514" s="66"/>
      <c r="I514" s="13"/>
      <c r="J514" s="13"/>
      <c r="K514" s="188"/>
      <c r="L514" s="66"/>
    </row>
    <row r="515" spans="1:12">
      <c r="A515" s="15"/>
      <c r="B515" s="73"/>
      <c r="C515" s="19"/>
      <c r="D515" s="74"/>
      <c r="E515" s="187"/>
      <c r="F515" s="186"/>
      <c r="G515" s="187"/>
      <c r="H515" s="66"/>
      <c r="I515" s="13"/>
      <c r="J515" s="13"/>
      <c r="K515" s="188"/>
      <c r="L515" s="66"/>
    </row>
    <row r="516" spans="1:12" ht="27.95" customHeight="1">
      <c r="A516" s="15"/>
      <c r="B516" t="s">
        <v>228</v>
      </c>
      <c r="L516" s="16"/>
    </row>
    <row r="517" spans="1:12" ht="27.95" customHeight="1">
      <c r="A517" s="15"/>
      <c r="B517" t="s">
        <v>229</v>
      </c>
      <c r="L517" s="16"/>
    </row>
    <row r="518" spans="1:12" ht="27.95" customHeight="1">
      <c r="A518" s="15"/>
      <c r="B518" t="s">
        <v>230</v>
      </c>
      <c r="L518" s="16"/>
    </row>
    <row r="519" spans="1:12" ht="27.95" customHeight="1">
      <c r="A519" s="15"/>
      <c r="I519" t="s">
        <v>231</v>
      </c>
      <c r="L519" s="16"/>
    </row>
    <row r="520" spans="1:12" ht="27.95" customHeight="1">
      <c r="A520" s="15"/>
      <c r="F520" s="175" t="s">
        <v>214</v>
      </c>
      <c r="L520" s="16"/>
    </row>
    <row r="521" spans="1:12" ht="27.95" customHeight="1">
      <c r="A521" s="15" t="s">
        <v>215</v>
      </c>
      <c r="K521" s="225">
        <f>'04-22-Master'!B398</f>
        <v>0</v>
      </c>
      <c r="L521" s="16"/>
    </row>
    <row r="522" spans="1:12" ht="27.95" customHeight="1">
      <c r="A522" s="15" t="s">
        <v>216</v>
      </c>
      <c r="L522" s="16"/>
    </row>
    <row r="523" spans="1:12" ht="27.95" customHeight="1">
      <c r="A523" s="15"/>
      <c r="F523" t="s">
        <v>217</v>
      </c>
      <c r="L523" s="16"/>
    </row>
    <row r="524" spans="1:12" ht="27.95" customHeight="1">
      <c r="A524" s="15" t="s">
        <v>218</v>
      </c>
      <c r="B524" t="s">
        <v>382</v>
      </c>
      <c r="F524">
        <f>'04-22-Master'!AJ388</f>
        <v>0</v>
      </c>
      <c r="L524" s="16"/>
    </row>
    <row r="525" spans="1:12" ht="27.95" customHeight="1">
      <c r="A525" s="15" t="s">
        <v>219</v>
      </c>
      <c r="B525" s="284">
        <f>'04-22-Master'!I398</f>
        <v>0</v>
      </c>
      <c r="F525">
        <f>'04-22-Master'!AJ389</f>
        <v>0</v>
      </c>
      <c r="L525" s="16"/>
    </row>
    <row r="526" spans="1:12" ht="27.95" customHeight="1" thickBot="1">
      <c r="A526" s="27"/>
      <c r="B526" s="25"/>
      <c r="C526" s="25"/>
      <c r="D526" s="25"/>
      <c r="E526" s="25"/>
      <c r="F526" s="25"/>
      <c r="G526" s="25"/>
      <c r="H526" s="25"/>
      <c r="I526" s="25"/>
      <c r="J526" s="25"/>
      <c r="K526" s="25"/>
      <c r="L526" s="26"/>
    </row>
    <row r="527" spans="1:12" ht="27.95" customHeight="1">
      <c r="A527" s="79"/>
      <c r="B527" s="1257" t="s">
        <v>201</v>
      </c>
      <c r="C527" s="1426"/>
      <c r="D527" s="1426"/>
      <c r="E527" s="1426"/>
      <c r="F527" s="1426"/>
      <c r="G527" s="1426"/>
      <c r="H527" s="1426"/>
      <c r="I527" s="1426"/>
      <c r="J527" s="1426"/>
      <c r="K527" s="1426"/>
      <c r="L527" s="1427"/>
    </row>
    <row r="528" spans="1:12" ht="27.95" customHeight="1">
      <c r="A528" s="15"/>
      <c r="B528" s="1407" t="s">
        <v>202</v>
      </c>
      <c r="C528" s="1407"/>
      <c r="D528" s="1407"/>
      <c r="E528" s="1407"/>
      <c r="F528" s="1407"/>
      <c r="G528" s="1407"/>
      <c r="H528" s="1407"/>
      <c r="I528" s="1407"/>
      <c r="J528" s="1407"/>
      <c r="K528" s="1407"/>
      <c r="L528" s="1239"/>
    </row>
    <row r="529" spans="1:12" ht="27.95" customHeight="1" thickBot="1">
      <c r="A529" s="27"/>
      <c r="B529" s="1241" t="s">
        <v>203</v>
      </c>
      <c r="C529" s="1241"/>
      <c r="D529" s="1241"/>
      <c r="E529" s="1241"/>
      <c r="F529" s="1241"/>
      <c r="G529" s="1241"/>
      <c r="H529" s="1241"/>
      <c r="I529" s="1241"/>
      <c r="J529" s="1241"/>
      <c r="K529" s="1241"/>
      <c r="L529" s="1242"/>
    </row>
    <row r="530" spans="1:12" ht="27.95" customHeight="1">
      <c r="A530" s="15"/>
      <c r="B530" s="1404" t="s">
        <v>120</v>
      </c>
      <c r="C530" s="1404"/>
      <c r="D530" s="1404"/>
      <c r="E530" s="1404"/>
      <c r="F530" s="1404"/>
      <c r="H530" s="1397" t="s">
        <v>121</v>
      </c>
      <c r="I530" s="1397"/>
      <c r="J530" s="1397"/>
      <c r="K530" s="1397"/>
      <c r="L530" s="1428"/>
    </row>
    <row r="531" spans="1:12" ht="27.95" customHeight="1" thickBot="1">
      <c r="A531" s="15"/>
      <c r="B531" s="1404"/>
      <c r="C531" s="1404"/>
      <c r="D531" s="1404"/>
      <c r="E531" s="1404"/>
      <c r="F531" s="1404"/>
      <c r="H531" s="1397"/>
      <c r="I531" s="1397"/>
      <c r="J531" s="1397"/>
      <c r="K531" s="1397"/>
      <c r="L531" s="1428"/>
    </row>
    <row r="532" spans="1:12">
      <c r="A532" s="15"/>
      <c r="B532" s="79"/>
      <c r="C532" s="80"/>
      <c r="D532" s="80"/>
      <c r="E532" s="80"/>
      <c r="F532" s="81"/>
      <c r="H532" s="79"/>
      <c r="I532" s="80"/>
      <c r="J532" s="80"/>
      <c r="K532" s="80"/>
      <c r="L532" s="81"/>
    </row>
    <row r="533" spans="1:12">
      <c r="A533" s="15"/>
      <c r="B533" s="82" t="e">
        <f>#REF!</f>
        <v>#REF!</v>
      </c>
      <c r="F533" s="16"/>
      <c r="H533" s="82" t="e">
        <f>#REF!</f>
        <v>#REF!</v>
      </c>
      <c r="L533" s="16"/>
    </row>
    <row r="534" spans="1:12">
      <c r="A534" s="15"/>
      <c r="B534" s="15"/>
      <c r="F534" s="16"/>
      <c r="H534" s="15"/>
      <c r="L534" s="16"/>
    </row>
    <row r="535" spans="1:12">
      <c r="A535" s="15"/>
      <c r="B535" s="82" t="e">
        <f>#REF!</f>
        <v>#REF!</v>
      </c>
      <c r="F535" s="16"/>
      <c r="H535" s="82" t="e">
        <f>#REF!</f>
        <v>#REF!</v>
      </c>
      <c r="L535" s="16"/>
    </row>
    <row r="536" spans="1:12" ht="15.75" thickBot="1">
      <c r="A536" s="15"/>
      <c r="B536" s="27"/>
      <c r="C536" s="25"/>
      <c r="D536" s="25"/>
      <c r="E536" s="25"/>
      <c r="F536" s="26"/>
      <c r="H536" s="27"/>
      <c r="I536" s="25"/>
      <c r="J536" s="25"/>
      <c r="K536" s="25"/>
      <c r="L536" s="26"/>
    </row>
    <row r="537" spans="1:12" ht="15" customHeight="1">
      <c r="A537" s="15"/>
      <c r="J537" t="s">
        <v>122</v>
      </c>
      <c r="L537" s="16"/>
    </row>
    <row r="538" spans="1:12">
      <c r="A538" s="15"/>
      <c r="B538" s="1405" t="s">
        <v>123</v>
      </c>
      <c r="C538" s="1405"/>
      <c r="D538" s="1405"/>
      <c r="E538" s="1405"/>
      <c r="F538" s="1405"/>
      <c r="H538" s="1405" t="s">
        <v>4</v>
      </c>
      <c r="I538" s="1405"/>
      <c r="J538" s="1405"/>
      <c r="K538" s="1405"/>
      <c r="L538" s="1251"/>
    </row>
    <row r="539" spans="1:12" ht="15.75" thickBot="1">
      <c r="A539" s="15"/>
      <c r="L539" s="16"/>
    </row>
    <row r="540" spans="1:12">
      <c r="A540" s="15"/>
      <c r="B540" s="79"/>
      <c r="C540" s="80"/>
      <c r="D540" s="80"/>
      <c r="E540" s="80"/>
      <c r="F540" s="81"/>
      <c r="H540" s="83"/>
      <c r="I540" s="84"/>
      <c r="J540" s="84"/>
      <c r="K540" s="84"/>
      <c r="L540" s="85"/>
    </row>
    <row r="541" spans="1:12">
      <c r="A541" s="15"/>
      <c r="B541" s="15"/>
      <c r="F541" s="16"/>
      <c r="H541" s="82" t="e">
        <f>#REF!</f>
        <v>#REF!</v>
      </c>
      <c r="I541" s="2"/>
      <c r="J541" s="2"/>
      <c r="K541" s="2"/>
      <c r="L541" s="86"/>
    </row>
    <row r="542" spans="1:12">
      <c r="A542" s="15"/>
      <c r="B542" s="82" t="e">
        <f>#REF!</f>
        <v>#REF!</v>
      </c>
      <c r="F542" s="16"/>
      <c r="H542" s="82"/>
      <c r="I542" s="2"/>
      <c r="J542" s="2"/>
      <c r="K542" s="2"/>
      <c r="L542" s="86"/>
    </row>
    <row r="543" spans="1:12">
      <c r="A543" s="15"/>
      <c r="B543" s="15"/>
      <c r="F543" s="16"/>
      <c r="H543" s="82" t="e">
        <f>#REF!</f>
        <v>#REF!</v>
      </c>
      <c r="I543" s="2"/>
      <c r="J543" s="2"/>
      <c r="K543" s="2"/>
      <c r="L543" s="86"/>
    </row>
    <row r="544" spans="1:12" ht="15.75" thickBot="1">
      <c r="A544" s="15"/>
      <c r="B544" s="27"/>
      <c r="C544" s="25"/>
      <c r="D544" s="25"/>
      <c r="E544" s="25"/>
      <c r="F544" s="26"/>
      <c r="H544" s="87"/>
      <c r="I544" s="88"/>
      <c r="J544" s="88"/>
      <c r="K544" s="88"/>
      <c r="L544" s="89"/>
    </row>
    <row r="545" spans="1:12">
      <c r="A545" s="90"/>
      <c r="B545" s="1419" t="s">
        <v>204</v>
      </c>
      <c r="C545" s="1419"/>
      <c r="D545" s="1419"/>
      <c r="E545" s="1419"/>
      <c r="F545" s="1419"/>
      <c r="G545" s="1419"/>
      <c r="H545" s="1422">
        <f>'04-22-Master'!B449</f>
        <v>0</v>
      </c>
      <c r="I545" s="1421"/>
      <c r="J545" s="1421"/>
      <c r="K545" s="1421"/>
      <c r="L545" s="1224"/>
    </row>
    <row r="546" spans="1:12">
      <c r="A546" s="90"/>
      <c r="B546" s="1423" t="s">
        <v>205</v>
      </c>
      <c r="C546" s="1423"/>
      <c r="D546" s="1423"/>
      <c r="E546" s="1423"/>
      <c r="F546" s="1423"/>
      <c r="G546" s="1423"/>
      <c r="H546" s="1422">
        <f>'04-22-Master'!E449</f>
        <v>0</v>
      </c>
      <c r="I546" s="1421"/>
      <c r="J546" s="1421"/>
      <c r="K546" s="1421"/>
      <c r="L546" s="1224"/>
    </row>
    <row r="547" spans="1:12">
      <c r="A547" s="90"/>
      <c r="B547" s="1419" t="s">
        <v>206</v>
      </c>
      <c r="C547" s="1419"/>
      <c r="D547" s="1419"/>
      <c r="E547" s="1419"/>
      <c r="F547" s="1419"/>
      <c r="G547" s="1419"/>
      <c r="H547" s="1422">
        <f>'04-22-Master'!C449</f>
        <v>0</v>
      </c>
      <c r="I547" s="1421"/>
      <c r="J547" s="1421"/>
      <c r="K547" s="1421"/>
      <c r="L547" s="1224"/>
    </row>
    <row r="548" spans="1:12">
      <c r="A548" s="90"/>
      <c r="B548" s="1419" t="s">
        <v>207</v>
      </c>
      <c r="C548" s="1419"/>
      <c r="D548" s="1419"/>
      <c r="E548" s="1419"/>
      <c r="F548" s="1419"/>
      <c r="G548" s="1419"/>
      <c r="H548" s="1424">
        <f>'04-22-Master'!D449</f>
        <v>0</v>
      </c>
      <c r="I548" s="1421"/>
      <c r="J548" s="1421"/>
      <c r="K548" s="1421"/>
      <c r="L548" s="1224"/>
    </row>
    <row r="549" spans="1:12">
      <c r="A549" s="90"/>
      <c r="B549" s="91" t="s">
        <v>209</v>
      </c>
      <c r="C549" s="92"/>
      <c r="D549" s="92"/>
      <c r="E549" s="92"/>
      <c r="F549" s="92"/>
      <c r="G549" s="92"/>
      <c r="H549" s="1416" t="s">
        <v>210</v>
      </c>
      <c r="I549" s="1417"/>
      <c r="J549" s="1417"/>
      <c r="K549" s="1417"/>
      <c r="L549" s="1418"/>
    </row>
    <row r="550" spans="1:12">
      <c r="A550" s="90"/>
      <c r="B550" s="91" t="s">
        <v>211</v>
      </c>
      <c r="C550" s="92"/>
      <c r="D550" s="92"/>
      <c r="E550" s="92"/>
      <c r="F550" s="92"/>
      <c r="G550" s="92"/>
      <c r="H550" s="93"/>
      <c r="I550" s="94"/>
      <c r="J550" s="174"/>
      <c r="K550" s="94"/>
      <c r="L550" s="99"/>
    </row>
    <row r="551" spans="1:12">
      <c r="A551" s="90"/>
      <c r="B551" s="1234" t="s">
        <v>212</v>
      </c>
      <c r="C551" s="1234"/>
      <c r="D551" s="1234"/>
      <c r="E551" s="1234"/>
      <c r="F551" s="1234"/>
      <c r="G551" s="1234"/>
      <c r="H551" s="1227">
        <f>'04-22-Master'!G449</f>
        <v>0</v>
      </c>
      <c r="I551" s="1228"/>
      <c r="J551" s="1228"/>
      <c r="K551" s="1228"/>
      <c r="L551" s="1229"/>
    </row>
    <row r="552" spans="1:12" ht="27.95" customHeight="1">
      <c r="A552" s="90"/>
      <c r="B552" s="1419"/>
      <c r="C552" s="1419"/>
      <c r="D552" s="1419"/>
      <c r="E552" s="1419"/>
      <c r="F552" s="1419"/>
      <c r="G552" s="1419"/>
      <c r="H552" s="1420">
        <f>'04-22-Master'!H449</f>
        <v>0</v>
      </c>
      <c r="I552" s="1421"/>
      <c r="J552" s="1421"/>
      <c r="K552" s="1421"/>
      <c r="L552" s="1224"/>
    </row>
    <row r="553" spans="1:12" ht="27.95" customHeight="1">
      <c r="A553" s="15"/>
      <c r="B553" s="1419"/>
      <c r="C553" s="1419"/>
      <c r="D553" s="1419"/>
      <c r="E553" s="1419"/>
      <c r="F553" s="1419"/>
      <c r="G553" s="1419"/>
      <c r="H553" s="1422" t="e">
        <f>'04-22-Master'!#REF!</f>
        <v>#REF!</v>
      </c>
      <c r="I553" s="1421"/>
      <c r="J553" s="1421"/>
      <c r="K553" s="1421"/>
      <c r="L553" s="1224"/>
    </row>
    <row r="554" spans="1:12" ht="27.95" customHeight="1">
      <c r="A554" s="15"/>
      <c r="B554" s="91" t="s">
        <v>213</v>
      </c>
      <c r="C554" s="92"/>
      <c r="D554" s="92"/>
      <c r="E554" s="92"/>
      <c r="F554" s="92"/>
      <c r="G554" s="95"/>
      <c r="H554" s="1408" t="e">
        <f>'04-22-Master'!#REF!</f>
        <v>#REF!</v>
      </c>
      <c r="I554" s="1409"/>
      <c r="J554" s="1409"/>
      <c r="K554" s="1409"/>
      <c r="L554" s="1410"/>
    </row>
    <row r="555" spans="1:12" ht="27.95" customHeight="1">
      <c r="A555" s="15"/>
      <c r="B555" s="91"/>
      <c r="C555" s="92"/>
      <c r="D555" s="92"/>
      <c r="E555" s="92"/>
      <c r="F555" s="92"/>
      <c r="G555" s="95"/>
      <c r="H555" s="1408" t="e">
        <f>'04-22-Master'!#REF!</f>
        <v>#REF!</v>
      </c>
      <c r="I555" s="1409"/>
      <c r="J555" s="1409"/>
      <c r="K555" s="1409"/>
      <c r="L555" s="1410"/>
    </row>
    <row r="556" spans="1:12" ht="27.95" customHeight="1">
      <c r="A556" s="15"/>
      <c r="B556" s="91"/>
      <c r="C556" s="92"/>
      <c r="D556" s="92"/>
      <c r="E556" s="92"/>
      <c r="F556" s="92"/>
      <c r="G556" s="95"/>
      <c r="H556" s="1408" t="e">
        <f>'04-22-Master'!#REF!</f>
        <v>#REF!</v>
      </c>
      <c r="I556" s="1409"/>
      <c r="J556" s="1409"/>
      <c r="K556" s="1409"/>
      <c r="L556" s="1410"/>
    </row>
    <row r="557" spans="1:12" ht="27.95" customHeight="1">
      <c r="A557" s="15"/>
      <c r="B557" s="91" t="s">
        <v>220</v>
      </c>
      <c r="C557" s="92"/>
      <c r="D557" s="92"/>
      <c r="E557" s="92"/>
      <c r="F557" s="92"/>
      <c r="G557" s="95"/>
      <c r="H557" s="93"/>
      <c r="I557" s="94"/>
      <c r="J557" s="94"/>
      <c r="K557" s="94"/>
      <c r="L557" s="99"/>
    </row>
    <row r="558" spans="1:12" ht="27.95" customHeight="1">
      <c r="A558" s="15"/>
      <c r="B558" s="101" t="s">
        <v>221</v>
      </c>
      <c r="C558" s="155"/>
      <c r="D558" s="155"/>
      <c r="E558" s="155"/>
      <c r="F558" s="155"/>
      <c r="G558" s="156"/>
      <c r="H558" s="157"/>
      <c r="I558" s="158"/>
      <c r="J558" s="159"/>
      <c r="K558" s="158"/>
      <c r="L558" s="160"/>
    </row>
    <row r="559" spans="1:12" ht="27.95" customHeight="1">
      <c r="A559" s="15"/>
      <c r="B559" s="91" t="s">
        <v>224</v>
      </c>
      <c r="C559" s="92"/>
      <c r="D559" s="94"/>
      <c r="E559" s="167" t="s">
        <v>226</v>
      </c>
      <c r="F559" s="66"/>
      <c r="G559" s="1411" t="s">
        <v>225</v>
      </c>
      <c r="H559" s="1412"/>
      <c r="I559" s="171" t="s">
        <v>222</v>
      </c>
      <c r="J559" s="169" t="s">
        <v>227</v>
      </c>
      <c r="K559" s="1411" t="s">
        <v>223</v>
      </c>
      <c r="L559" s="1413"/>
    </row>
    <row r="560" spans="1:12" ht="27.95" customHeight="1">
      <c r="A560" s="15"/>
      <c r="B560" s="170">
        <v>1</v>
      </c>
      <c r="C560" s="92"/>
      <c r="D560" s="92"/>
      <c r="E560" s="173">
        <v>2</v>
      </c>
      <c r="F560" s="95"/>
      <c r="G560" s="173">
        <v>3</v>
      </c>
      <c r="H560" s="189"/>
      <c r="I560" s="189">
        <v>4</v>
      </c>
      <c r="J560" s="110">
        <v>5</v>
      </c>
      <c r="K560" s="97"/>
      <c r="L560" s="98">
        <v>6</v>
      </c>
    </row>
    <row r="561" spans="1:12" ht="27.95" customHeight="1">
      <c r="A561" s="15"/>
      <c r="B561" s="286">
        <f>'04-22-Master'!E449</f>
        <v>0</v>
      </c>
      <c r="C561" s="185"/>
      <c r="D561" s="186"/>
      <c r="E561" s="188" t="s">
        <v>383</v>
      </c>
      <c r="F561" s="186"/>
      <c r="G561" s="188" t="s">
        <v>384</v>
      </c>
      <c r="H561" s="66"/>
      <c r="I561" s="13" t="s">
        <v>385</v>
      </c>
      <c r="J561" s="285">
        <v>1</v>
      </c>
      <c r="K561" s="1414" t="s">
        <v>37</v>
      </c>
      <c r="L561" s="1415"/>
    </row>
    <row r="562" spans="1:12" ht="27.95" customHeight="1">
      <c r="A562" s="15"/>
      <c r="B562" s="91"/>
      <c r="C562" s="185"/>
      <c r="D562" s="186"/>
      <c r="E562" s="187"/>
      <c r="F562" s="186"/>
      <c r="G562" s="187"/>
      <c r="H562" s="66"/>
      <c r="I562" s="13"/>
      <c r="J562" s="13"/>
      <c r="K562" s="188"/>
      <c r="L562" s="193"/>
    </row>
    <row r="563" spans="1:12" ht="27.95" customHeight="1">
      <c r="A563" s="15"/>
      <c r="B563" s="91"/>
      <c r="C563" s="185"/>
      <c r="D563" s="186"/>
      <c r="E563" s="187"/>
      <c r="F563" s="186"/>
      <c r="G563" s="187"/>
      <c r="H563" s="66"/>
      <c r="I563" s="13"/>
      <c r="J563" s="13"/>
      <c r="K563" s="188"/>
      <c r="L563" s="193"/>
    </row>
    <row r="564" spans="1:12" ht="27.95" customHeight="1">
      <c r="A564" s="15"/>
      <c r="B564" s="73"/>
      <c r="C564" s="19"/>
      <c r="D564" s="74"/>
      <c r="E564" s="187"/>
      <c r="F564" s="186"/>
      <c r="G564" s="187"/>
      <c r="H564" s="66"/>
      <c r="I564" s="13"/>
      <c r="J564" s="13"/>
      <c r="K564" s="188"/>
      <c r="L564" s="193"/>
    </row>
    <row r="565" spans="1:12" ht="27.95" customHeight="1">
      <c r="A565" s="15"/>
      <c r="B565" t="s">
        <v>228</v>
      </c>
      <c r="L565" s="16"/>
    </row>
    <row r="566" spans="1:12" ht="27.95" customHeight="1">
      <c r="A566" s="15"/>
      <c r="B566" t="s">
        <v>229</v>
      </c>
      <c r="L566" s="16"/>
    </row>
    <row r="567" spans="1:12" ht="27.95" customHeight="1">
      <c r="A567" s="15"/>
      <c r="B567" t="s">
        <v>230</v>
      </c>
      <c r="L567" s="16"/>
    </row>
    <row r="568" spans="1:12" ht="27.95" customHeight="1">
      <c r="A568" s="15"/>
      <c r="I568" t="s">
        <v>231</v>
      </c>
      <c r="L568" s="16"/>
    </row>
    <row r="569" spans="1:12" ht="27.95" customHeight="1">
      <c r="A569" s="15"/>
      <c r="F569" s="175" t="s">
        <v>214</v>
      </c>
      <c r="L569" s="16"/>
    </row>
    <row r="570" spans="1:12">
      <c r="A570" s="15" t="s">
        <v>215</v>
      </c>
      <c r="K570" s="225">
        <f>'04-22-Master'!B449</f>
        <v>0</v>
      </c>
      <c r="L570" s="16"/>
    </row>
    <row r="571" spans="1:12">
      <c r="A571" s="15" t="s">
        <v>216</v>
      </c>
      <c r="L571" s="16"/>
    </row>
    <row r="572" spans="1:12">
      <c r="A572" s="15"/>
      <c r="L572" s="16"/>
    </row>
    <row r="573" spans="1:12">
      <c r="A573" s="15"/>
      <c r="L573" s="16"/>
    </row>
    <row r="574" spans="1:12">
      <c r="A574" s="15"/>
      <c r="F574" t="s">
        <v>217</v>
      </c>
      <c r="L574" s="16"/>
    </row>
    <row r="575" spans="1:12">
      <c r="A575" s="15" t="s">
        <v>218</v>
      </c>
      <c r="B575" t="s">
        <v>382</v>
      </c>
      <c r="F575">
        <f>'04-22-Master'!AJ439</f>
        <v>0</v>
      </c>
      <c r="L575" s="16"/>
    </row>
    <row r="576" spans="1:12" ht="15" customHeight="1">
      <c r="A576" s="15" t="s">
        <v>219</v>
      </c>
      <c r="B576" s="284">
        <f>'04-22-Master'!I449</f>
        <v>0</v>
      </c>
      <c r="F576">
        <f>'04-22-Master'!AJ440</f>
        <v>0</v>
      </c>
      <c r="L576" s="16"/>
    </row>
    <row r="577" spans="1:12" ht="15.75" thickBot="1">
      <c r="A577" s="27"/>
      <c r="B577" s="25"/>
      <c r="C577" s="25"/>
      <c r="D577" s="25"/>
      <c r="E577" s="25"/>
      <c r="F577" s="25"/>
      <c r="G577" s="25"/>
      <c r="H577" s="25"/>
      <c r="I577" s="25"/>
      <c r="J577" s="25"/>
      <c r="K577" s="25"/>
      <c r="L577" s="26"/>
    </row>
    <row r="579" spans="1:12">
      <c r="B579" s="2"/>
      <c r="H579" s="2"/>
    </row>
    <row r="581" spans="1:12">
      <c r="B581" s="2"/>
      <c r="H581" s="2"/>
    </row>
    <row r="584" spans="1:12">
      <c r="B584" s="1405"/>
      <c r="C584" s="1405"/>
      <c r="D584" s="1405"/>
      <c r="E584" s="1405"/>
      <c r="F584" s="1405"/>
      <c r="H584" s="1405"/>
      <c r="I584" s="1405"/>
      <c r="J584" s="1405"/>
      <c r="K584" s="1405"/>
      <c r="L584" s="1405"/>
    </row>
    <row r="586" spans="1:12">
      <c r="H586" s="2"/>
      <c r="I586" s="2"/>
      <c r="J586" s="2"/>
      <c r="K586" s="2"/>
      <c r="L586" s="2"/>
    </row>
    <row r="587" spans="1:12">
      <c r="H587" s="2"/>
      <c r="I587" s="2"/>
      <c r="J587" s="2"/>
      <c r="K587" s="2"/>
      <c r="L587" s="2"/>
    </row>
    <row r="588" spans="1:12">
      <c r="B588" s="2"/>
      <c r="H588" s="2"/>
      <c r="I588" s="2"/>
      <c r="J588" s="2"/>
      <c r="K588" s="2"/>
      <c r="L588" s="2"/>
    </row>
    <row r="589" spans="1:12">
      <c r="H589" s="2"/>
      <c r="I589" s="2"/>
      <c r="J589" s="2"/>
      <c r="K589" s="2"/>
      <c r="L589" s="2"/>
    </row>
    <row r="590" spans="1:12">
      <c r="H590" s="2"/>
      <c r="I590" s="2"/>
      <c r="J590" s="2"/>
      <c r="K590" s="2"/>
      <c r="L590" s="2"/>
    </row>
    <row r="591" spans="1:12" ht="27.95" customHeight="1">
      <c r="A591" s="12"/>
      <c r="B591" s="1400"/>
      <c r="C591" s="1400"/>
      <c r="D591" s="1400"/>
      <c r="E591" s="1400"/>
      <c r="F591" s="1400"/>
      <c r="G591" s="1400"/>
      <c r="H591" s="1398"/>
      <c r="I591" s="1399"/>
      <c r="J591" s="1399"/>
      <c r="K591" s="1399"/>
      <c r="L591" s="1399"/>
    </row>
    <row r="592" spans="1:12" ht="27.95" customHeight="1">
      <c r="A592" s="12"/>
      <c r="B592" s="1397"/>
      <c r="C592" s="1397"/>
      <c r="D592" s="1397"/>
      <c r="E592" s="1397"/>
      <c r="F592" s="1397"/>
      <c r="G592" s="1397"/>
      <c r="H592" s="1398"/>
      <c r="I592" s="1399"/>
      <c r="J592" s="1399"/>
      <c r="K592" s="1399"/>
      <c r="L592" s="1399"/>
    </row>
    <row r="593" spans="1:12" ht="27.95" customHeight="1">
      <c r="A593" s="12"/>
      <c r="B593" s="1400"/>
      <c r="C593" s="1400"/>
      <c r="D593" s="1400"/>
      <c r="E593" s="1400"/>
      <c r="F593" s="1400"/>
      <c r="G593" s="1400"/>
      <c r="H593" s="1398"/>
      <c r="I593" s="1399"/>
      <c r="J593" s="1399"/>
      <c r="K593" s="1399"/>
      <c r="L593" s="1399"/>
    </row>
    <row r="594" spans="1:12" ht="27.95" customHeight="1">
      <c r="A594" s="12"/>
      <c r="B594" s="1400"/>
      <c r="C594" s="1400"/>
      <c r="D594" s="1400"/>
      <c r="E594" s="1400"/>
      <c r="F594" s="1400"/>
      <c r="G594" s="1400"/>
      <c r="H594" s="1402"/>
      <c r="I594" s="1399"/>
      <c r="J594" s="1399"/>
      <c r="K594" s="1399"/>
      <c r="L594" s="1399"/>
    </row>
    <row r="595" spans="1:12" ht="27.95" customHeight="1">
      <c r="A595" s="12"/>
      <c r="B595" s="176"/>
      <c r="C595" s="172"/>
      <c r="D595" s="172"/>
      <c r="E595" s="172"/>
      <c r="F595" s="172"/>
      <c r="G595" s="172"/>
      <c r="H595" s="161"/>
      <c r="I595" s="12"/>
      <c r="J595" s="154"/>
      <c r="K595" s="161"/>
      <c r="L595" s="161"/>
    </row>
    <row r="596" spans="1:12" ht="27.95" customHeight="1">
      <c r="A596" s="12"/>
      <c r="B596" s="176"/>
      <c r="C596" s="172"/>
      <c r="D596" s="172"/>
      <c r="E596" s="172"/>
      <c r="F596" s="172"/>
      <c r="G596" s="172"/>
      <c r="H596" s="161"/>
      <c r="I596" s="161"/>
      <c r="J596" s="154"/>
      <c r="K596" s="161"/>
      <c r="L596" s="161"/>
    </row>
    <row r="597" spans="1:12" ht="27.95" customHeight="1">
      <c r="A597" s="12"/>
      <c r="B597" s="1397"/>
      <c r="C597" s="1397"/>
      <c r="D597" s="1397"/>
      <c r="E597" s="1397"/>
      <c r="F597" s="1397"/>
      <c r="G597" s="1397"/>
      <c r="H597" s="1398"/>
      <c r="I597" s="1399"/>
      <c r="J597" s="1399"/>
      <c r="K597" s="1399"/>
      <c r="L597" s="1399"/>
    </row>
    <row r="598" spans="1:12" ht="27.95" customHeight="1">
      <c r="A598" s="12"/>
      <c r="B598" s="1400"/>
      <c r="C598" s="1400"/>
      <c r="D598" s="1400"/>
      <c r="E598" s="1400"/>
      <c r="F598" s="1400"/>
      <c r="G598" s="1400"/>
      <c r="H598" s="1401"/>
      <c r="I598" s="1399"/>
      <c r="J598" s="1399"/>
      <c r="K598" s="1399"/>
      <c r="L598" s="1399"/>
    </row>
    <row r="599" spans="1:12" ht="27.95" customHeight="1">
      <c r="B599" s="1400"/>
      <c r="C599" s="1400"/>
      <c r="D599" s="1400"/>
      <c r="E599" s="1400"/>
      <c r="F599" s="1400"/>
      <c r="G599" s="1400"/>
      <c r="H599" s="1399"/>
      <c r="I599" s="1399"/>
      <c r="J599" s="1399"/>
      <c r="K599" s="1399"/>
      <c r="L599" s="1399"/>
    </row>
    <row r="600" spans="1:12" ht="27.95" customHeight="1">
      <c r="B600" s="176"/>
      <c r="C600" s="172"/>
      <c r="D600" s="172"/>
      <c r="E600" s="172"/>
      <c r="F600" s="172"/>
      <c r="G600" s="172"/>
      <c r="H600" s="161"/>
      <c r="I600" s="161"/>
      <c r="J600" s="161"/>
      <c r="K600" s="161"/>
      <c r="L600" s="161"/>
    </row>
    <row r="601" spans="1:12" ht="27.95" customHeight="1">
      <c r="B601" s="176"/>
      <c r="C601" s="172"/>
      <c r="D601" s="172"/>
      <c r="E601" s="172"/>
      <c r="F601" s="172"/>
      <c r="G601" s="172"/>
      <c r="H601" s="161"/>
      <c r="I601" s="161"/>
      <c r="J601" s="161"/>
      <c r="K601" s="161"/>
      <c r="L601" s="161"/>
    </row>
    <row r="602" spans="1:12" ht="27.95" customHeight="1">
      <c r="B602" s="176"/>
      <c r="C602" s="172"/>
      <c r="D602" s="172"/>
      <c r="E602" s="172"/>
      <c r="F602" s="172"/>
      <c r="G602" s="172"/>
      <c r="H602" s="161"/>
      <c r="I602" s="161"/>
      <c r="J602" s="162"/>
      <c r="K602" s="161"/>
      <c r="L602" s="161"/>
    </row>
    <row r="603" spans="1:12" ht="27.95" customHeight="1">
      <c r="B603" s="176"/>
      <c r="C603" s="172"/>
      <c r="D603" s="172"/>
      <c r="E603" s="172"/>
      <c r="F603" s="172"/>
      <c r="G603" s="172"/>
      <c r="H603" s="161"/>
      <c r="I603" s="161"/>
      <c r="J603" s="161"/>
      <c r="K603" s="161"/>
      <c r="L603" s="161"/>
    </row>
    <row r="604" spans="1:12" ht="27.95" customHeight="1">
      <c r="B604" s="176"/>
      <c r="C604" s="172"/>
      <c r="D604" s="172"/>
      <c r="E604" s="172"/>
      <c r="F604" s="172"/>
      <c r="G604" s="172"/>
      <c r="H604" s="161"/>
      <c r="I604" s="161"/>
      <c r="J604" s="162"/>
      <c r="K604" s="161"/>
      <c r="L604" s="161"/>
    </row>
    <row r="605" spans="1:12" ht="27.95" customHeight="1">
      <c r="B605" s="176"/>
      <c r="C605" s="172"/>
      <c r="D605" s="161"/>
      <c r="E605" s="162"/>
      <c r="F605" s="161"/>
      <c r="G605" s="162"/>
      <c r="H605" s="161"/>
      <c r="I605" s="162"/>
      <c r="J605" s="161"/>
      <c r="K605" s="162"/>
      <c r="L605" s="162"/>
    </row>
    <row r="606" spans="1:12" ht="27.95" customHeight="1">
      <c r="B606" s="176"/>
      <c r="C606" s="172"/>
      <c r="D606" s="172"/>
      <c r="E606" s="172"/>
      <c r="F606" s="172"/>
      <c r="G606" s="172"/>
      <c r="H606" s="161"/>
      <c r="I606" s="161"/>
      <c r="J606" s="245"/>
      <c r="K606" s="161"/>
      <c r="L606" s="161"/>
    </row>
    <row r="607" spans="1:12" ht="27.95" customHeight="1">
      <c r="B607" s="176"/>
      <c r="C607" s="2"/>
      <c r="D607" s="2"/>
      <c r="E607" s="2"/>
      <c r="F607" s="2"/>
      <c r="G607" s="2"/>
    </row>
    <row r="608" spans="1:12" ht="27.95" customHeight="1">
      <c r="B608" s="176"/>
      <c r="C608" s="2"/>
      <c r="D608" s="2"/>
      <c r="E608" s="2"/>
      <c r="F608" s="2"/>
      <c r="G608" s="2"/>
    </row>
    <row r="611" spans="2:12" ht="32.25">
      <c r="B611" s="1406"/>
      <c r="C611" s="1274"/>
      <c r="D611" s="1274"/>
      <c r="E611" s="1274"/>
      <c r="F611" s="1274"/>
      <c r="G611" s="1274"/>
      <c r="H611" s="1274"/>
      <c r="I611" s="1274"/>
      <c r="J611" s="1274"/>
      <c r="K611" s="1274"/>
      <c r="L611" s="1274"/>
    </row>
    <row r="612" spans="2:12" ht="23.25">
      <c r="B612" s="1407"/>
      <c r="C612" s="1407"/>
      <c r="D612" s="1407"/>
      <c r="E612" s="1407"/>
      <c r="F612" s="1407"/>
      <c r="G612" s="1407"/>
      <c r="H612" s="1407"/>
      <c r="I612" s="1407"/>
      <c r="J612" s="1407"/>
      <c r="K612" s="1407"/>
      <c r="L612" s="1407"/>
    </row>
    <row r="613" spans="2:12" ht="15.75">
      <c r="B613" s="1403"/>
      <c r="C613" s="1403"/>
      <c r="D613" s="1403"/>
      <c r="E613" s="1403"/>
      <c r="F613" s="1403"/>
      <c r="G613" s="1403"/>
      <c r="H613" s="1403"/>
      <c r="I613" s="1403"/>
      <c r="J613" s="1403"/>
      <c r="K613" s="1403"/>
      <c r="L613" s="1403"/>
    </row>
    <row r="614" spans="2:12" ht="15" customHeight="1">
      <c r="B614" s="1404"/>
      <c r="C614" s="1404"/>
      <c r="D614" s="1404"/>
      <c r="E614" s="1404"/>
      <c r="F614" s="1404"/>
      <c r="H614" s="1397"/>
      <c r="I614" s="1397"/>
      <c r="J614" s="1397"/>
      <c r="K614" s="1397"/>
      <c r="L614" s="1397"/>
    </row>
    <row r="615" spans="2:12">
      <c r="B615" s="1404"/>
      <c r="C615" s="1404"/>
      <c r="D615" s="1404"/>
      <c r="E615" s="1404"/>
      <c r="F615" s="1404"/>
      <c r="H615" s="1397"/>
      <c r="I615" s="1397"/>
      <c r="J615" s="1397"/>
      <c r="K615" s="1397"/>
      <c r="L615" s="1397"/>
    </row>
    <row r="617" spans="2:12">
      <c r="B617" s="2"/>
      <c r="H617" s="2"/>
    </row>
    <row r="619" spans="2:12">
      <c r="B619" s="2"/>
      <c r="H619" s="2"/>
    </row>
    <row r="622" spans="2:12">
      <c r="B622" s="1405"/>
      <c r="C622" s="1405"/>
      <c r="D622" s="1405"/>
      <c r="E622" s="1405"/>
      <c r="F622" s="1405"/>
      <c r="H622" s="1405"/>
      <c r="I622" s="1405"/>
      <c r="J622" s="1405"/>
      <c r="K622" s="1405"/>
      <c r="L622" s="1405"/>
    </row>
    <row r="624" spans="2:12">
      <c r="H624" s="2"/>
      <c r="I624" s="2"/>
      <c r="J624" s="2"/>
      <c r="K624" s="2"/>
      <c r="L624" s="2"/>
    </row>
    <row r="625" spans="1:12">
      <c r="H625" s="2"/>
      <c r="I625" s="2"/>
      <c r="J625" s="2"/>
      <c r="K625" s="2"/>
      <c r="L625" s="2"/>
    </row>
    <row r="626" spans="1:12">
      <c r="B626" s="2"/>
      <c r="H626" s="2"/>
      <c r="I626" s="2"/>
      <c r="J626" s="2"/>
      <c r="K626" s="2"/>
      <c r="L626" s="2"/>
    </row>
    <row r="627" spans="1:12">
      <c r="H627" s="2"/>
      <c r="I627" s="2"/>
      <c r="J627" s="2"/>
      <c r="K627" s="2"/>
      <c r="L627" s="2"/>
    </row>
    <row r="628" spans="1:12">
      <c r="H628" s="2"/>
      <c r="I628" s="2"/>
      <c r="J628" s="2"/>
      <c r="K628" s="2"/>
      <c r="L628" s="2"/>
    </row>
    <row r="629" spans="1:12" ht="27.95" customHeight="1">
      <c r="A629" s="12"/>
      <c r="B629" s="1400"/>
      <c r="C629" s="1400"/>
      <c r="D629" s="1400"/>
      <c r="E629" s="1400"/>
      <c r="F629" s="1400"/>
      <c r="G629" s="1400"/>
      <c r="H629" s="1398"/>
      <c r="I629" s="1399"/>
      <c r="J629" s="1399"/>
      <c r="K629" s="1399"/>
      <c r="L629" s="1399"/>
    </row>
    <row r="630" spans="1:12" ht="27.95" customHeight="1">
      <c r="A630" s="12"/>
      <c r="B630" s="1397"/>
      <c r="C630" s="1397"/>
      <c r="D630" s="1397"/>
      <c r="E630" s="1397"/>
      <c r="F630" s="1397"/>
      <c r="G630" s="1397"/>
      <c r="H630" s="1398"/>
      <c r="I630" s="1399"/>
      <c r="J630" s="1399"/>
      <c r="K630" s="1399"/>
      <c r="L630" s="1399"/>
    </row>
    <row r="631" spans="1:12" ht="27.95" customHeight="1">
      <c r="A631" s="12"/>
      <c r="B631" s="1400"/>
      <c r="C631" s="1400"/>
      <c r="D631" s="1400"/>
      <c r="E631" s="1400"/>
      <c r="F631" s="1400"/>
      <c r="G631" s="1400"/>
      <c r="H631" s="1398"/>
      <c r="I631" s="1399"/>
      <c r="J631" s="1399"/>
      <c r="K631" s="1399"/>
      <c r="L631" s="1399"/>
    </row>
    <row r="632" spans="1:12" ht="27.95" customHeight="1">
      <c r="A632" s="12"/>
      <c r="B632" s="1400"/>
      <c r="C632" s="1400"/>
      <c r="D632" s="1400"/>
      <c r="E632" s="1400"/>
      <c r="F632" s="1400"/>
      <c r="G632" s="1400"/>
      <c r="H632" s="1402"/>
      <c r="I632" s="1399"/>
      <c r="J632" s="1399"/>
      <c r="K632" s="1399"/>
      <c r="L632" s="1399"/>
    </row>
    <row r="633" spans="1:12" ht="27.95" customHeight="1">
      <c r="A633" s="12"/>
      <c r="B633" s="176"/>
      <c r="C633" s="172"/>
      <c r="D633" s="172"/>
      <c r="E633" s="172"/>
      <c r="F633" s="172"/>
      <c r="G633" s="172"/>
      <c r="H633" s="161"/>
      <c r="I633" s="12"/>
      <c r="J633" s="154"/>
      <c r="K633" s="161"/>
      <c r="L633" s="161"/>
    </row>
    <row r="634" spans="1:12" ht="27.95" customHeight="1">
      <c r="A634" s="12"/>
      <c r="B634" s="176"/>
      <c r="C634" s="172"/>
      <c r="D634" s="172"/>
      <c r="E634" s="172"/>
      <c r="F634" s="172"/>
      <c r="G634" s="172"/>
      <c r="H634" s="161"/>
      <c r="I634" s="161"/>
      <c r="J634" s="154"/>
      <c r="K634" s="161"/>
      <c r="L634" s="161"/>
    </row>
    <row r="635" spans="1:12" ht="27.95" customHeight="1">
      <c r="A635" s="12"/>
      <c r="B635" s="1397"/>
      <c r="C635" s="1397"/>
      <c r="D635" s="1397"/>
      <c r="E635" s="1397"/>
      <c r="F635" s="1397"/>
      <c r="G635" s="1397"/>
      <c r="H635" s="1398"/>
      <c r="I635" s="1399"/>
      <c r="J635" s="1399"/>
      <c r="K635" s="1399"/>
      <c r="L635" s="1399"/>
    </row>
    <row r="636" spans="1:12" ht="27.95" customHeight="1">
      <c r="A636" s="12"/>
      <c r="B636" s="1400"/>
      <c r="C636" s="1400"/>
      <c r="D636" s="1400"/>
      <c r="E636" s="1400"/>
      <c r="F636" s="1400"/>
      <c r="G636" s="1400"/>
      <c r="H636" s="1401"/>
      <c r="I636" s="1399"/>
      <c r="J636" s="1399"/>
      <c r="K636" s="1399"/>
      <c r="L636" s="1399"/>
    </row>
    <row r="637" spans="1:12" ht="27.95" customHeight="1">
      <c r="B637" s="1400"/>
      <c r="C637" s="1400"/>
      <c r="D637" s="1400"/>
      <c r="E637" s="1400"/>
      <c r="F637" s="1400"/>
      <c r="G637" s="1400"/>
      <c r="H637" s="1399"/>
      <c r="I637" s="1399"/>
      <c r="J637" s="1399"/>
      <c r="K637" s="1399"/>
      <c r="L637" s="1399"/>
    </row>
    <row r="638" spans="1:12" ht="27.95" customHeight="1">
      <c r="B638" s="176"/>
      <c r="C638" s="172"/>
      <c r="D638" s="172"/>
      <c r="E638" s="172"/>
      <c r="F638" s="172"/>
      <c r="G638" s="172"/>
      <c r="H638" s="161"/>
      <c r="I638" s="161"/>
      <c r="J638" s="161"/>
      <c r="K638" s="161"/>
      <c r="L638" s="161"/>
    </row>
    <row r="639" spans="1:12" ht="27.95" customHeight="1">
      <c r="B639" s="176"/>
      <c r="C639" s="172"/>
      <c r="D639" s="172"/>
      <c r="E639" s="172"/>
      <c r="F639" s="172"/>
      <c r="G639" s="172"/>
      <c r="H639" s="161"/>
      <c r="I639" s="161"/>
      <c r="J639" s="161"/>
      <c r="K639" s="161"/>
      <c r="L639" s="161"/>
    </row>
    <row r="640" spans="1:12" ht="27.95" customHeight="1">
      <c r="B640" s="176"/>
      <c r="C640" s="172"/>
      <c r="D640" s="172"/>
      <c r="E640" s="172"/>
      <c r="F640" s="172"/>
      <c r="G640" s="172"/>
      <c r="H640" s="161"/>
      <c r="I640" s="161"/>
      <c r="J640" s="162"/>
      <c r="K640" s="161"/>
      <c r="L640" s="161"/>
    </row>
    <row r="641" spans="2:12" ht="27.95" customHeight="1">
      <c r="B641" s="176"/>
      <c r="C641" s="172"/>
      <c r="D641" s="172"/>
      <c r="E641" s="172"/>
      <c r="F641" s="172"/>
      <c r="G641" s="172"/>
      <c r="H641" s="161"/>
      <c r="I641" s="161"/>
      <c r="J641" s="161"/>
      <c r="K641" s="161"/>
      <c r="L641" s="161"/>
    </row>
    <row r="642" spans="2:12" ht="27.95" customHeight="1">
      <c r="B642" s="176"/>
      <c r="C642" s="172"/>
      <c r="D642" s="172"/>
      <c r="E642" s="172"/>
      <c r="F642" s="172"/>
      <c r="G642" s="172"/>
      <c r="H642" s="161"/>
      <c r="I642" s="161"/>
      <c r="J642" s="162"/>
      <c r="K642" s="161"/>
      <c r="L642" s="161"/>
    </row>
    <row r="643" spans="2:12" ht="27.95" customHeight="1">
      <c r="B643" s="176"/>
      <c r="C643" s="172"/>
      <c r="D643" s="161"/>
      <c r="E643" s="162"/>
      <c r="F643" s="161"/>
      <c r="G643" s="162"/>
      <c r="H643" s="161"/>
      <c r="I643" s="162"/>
      <c r="J643" s="161"/>
      <c r="K643" s="162"/>
      <c r="L643" s="162"/>
    </row>
    <row r="644" spans="2:12" ht="27.95" customHeight="1">
      <c r="B644" s="176"/>
      <c r="C644" s="172"/>
      <c r="D644" s="172"/>
      <c r="E644" s="172"/>
      <c r="F644" s="172"/>
      <c r="G644" s="172"/>
      <c r="H644" s="161"/>
      <c r="I644" s="161"/>
      <c r="J644" s="245"/>
      <c r="K644" s="161"/>
      <c r="L644" s="161"/>
    </row>
    <row r="645" spans="2:12" ht="27.95" customHeight="1">
      <c r="B645" s="176"/>
      <c r="C645" s="2"/>
      <c r="D645" s="2"/>
      <c r="E645" s="2"/>
      <c r="F645" s="2"/>
      <c r="G645" s="2"/>
    </row>
    <row r="646" spans="2:12" ht="27.95" customHeight="1">
      <c r="B646" s="176"/>
      <c r="C646" s="2"/>
      <c r="D646" s="2"/>
      <c r="E646" s="2"/>
      <c r="F646" s="2"/>
      <c r="G646" s="2"/>
    </row>
    <row r="650" spans="2:12" ht="32.25">
      <c r="B650" s="1406"/>
      <c r="C650" s="1274"/>
      <c r="D650" s="1274"/>
      <c r="E650" s="1274"/>
      <c r="F650" s="1274"/>
      <c r="G650" s="1274"/>
      <c r="H650" s="1274"/>
      <c r="I650" s="1274"/>
      <c r="J650" s="1274"/>
      <c r="K650" s="1274"/>
      <c r="L650" s="1274"/>
    </row>
    <row r="651" spans="2:12" ht="23.25">
      <c r="B651" s="1407"/>
      <c r="C651" s="1407"/>
      <c r="D651" s="1407"/>
      <c r="E651" s="1407"/>
      <c r="F651" s="1407"/>
      <c r="G651" s="1407"/>
      <c r="H651" s="1407"/>
      <c r="I651" s="1407"/>
      <c r="J651" s="1407"/>
      <c r="K651" s="1407"/>
      <c r="L651" s="1407"/>
    </row>
    <row r="652" spans="2:12" ht="15.75">
      <c r="B652" s="1403"/>
      <c r="C652" s="1403"/>
      <c r="D652" s="1403"/>
      <c r="E652" s="1403"/>
      <c r="F652" s="1403"/>
      <c r="G652" s="1403"/>
      <c r="H652" s="1403"/>
      <c r="I652" s="1403"/>
      <c r="J652" s="1403"/>
      <c r="K652" s="1403"/>
      <c r="L652" s="1403"/>
    </row>
    <row r="653" spans="2:12" ht="15" customHeight="1">
      <c r="B653" s="1404"/>
      <c r="C653" s="1404"/>
      <c r="D653" s="1404"/>
      <c r="E653" s="1404"/>
      <c r="F653" s="1404"/>
      <c r="H653" s="1397"/>
      <c r="I653" s="1397"/>
      <c r="J653" s="1397"/>
      <c r="K653" s="1397"/>
      <c r="L653" s="1397"/>
    </row>
    <row r="654" spans="2:12">
      <c r="B654" s="1404"/>
      <c r="C654" s="1404"/>
      <c r="D654" s="1404"/>
      <c r="E654" s="1404"/>
      <c r="F654" s="1404"/>
      <c r="H654" s="1397"/>
      <c r="I654" s="1397"/>
      <c r="J654" s="1397"/>
      <c r="K654" s="1397"/>
      <c r="L654" s="1397"/>
    </row>
    <row r="656" spans="2:12">
      <c r="B656" s="2"/>
      <c r="H656" s="2"/>
    </row>
    <row r="658" spans="1:12">
      <c r="B658" s="2"/>
      <c r="H658" s="2"/>
    </row>
    <row r="661" spans="1:12">
      <c r="B661" s="1405"/>
      <c r="C661" s="1405"/>
      <c r="D661" s="1405"/>
      <c r="E661" s="1405"/>
      <c r="F661" s="1405"/>
      <c r="H661" s="1405"/>
      <c r="I661" s="1405"/>
      <c r="J661" s="1405"/>
      <c r="K661" s="1405"/>
      <c r="L661" s="1405"/>
    </row>
    <row r="663" spans="1:12">
      <c r="H663" s="2"/>
      <c r="I663" s="2"/>
      <c r="J663" s="2"/>
      <c r="K663" s="2"/>
      <c r="L663" s="2"/>
    </row>
    <row r="664" spans="1:12">
      <c r="H664" s="2"/>
      <c r="I664" s="2"/>
      <c r="J664" s="2"/>
      <c r="K664" s="2"/>
      <c r="L664" s="2"/>
    </row>
    <row r="665" spans="1:12">
      <c r="B665" s="2"/>
      <c r="H665" s="2"/>
      <c r="I665" s="2"/>
      <c r="J665" s="2"/>
      <c r="K665" s="2"/>
      <c r="L665" s="2"/>
    </row>
    <row r="666" spans="1:12">
      <c r="H666" s="2"/>
      <c r="I666" s="2"/>
      <c r="J666" s="2"/>
      <c r="K666" s="2"/>
      <c r="L666" s="2"/>
    </row>
    <row r="667" spans="1:12">
      <c r="H667" s="2"/>
      <c r="I667" s="2"/>
      <c r="J667" s="2"/>
      <c r="K667" s="2"/>
      <c r="L667" s="2"/>
    </row>
    <row r="668" spans="1:12" ht="27.95" customHeight="1">
      <c r="A668" s="12"/>
      <c r="B668" s="1400"/>
      <c r="C668" s="1400"/>
      <c r="D668" s="1400"/>
      <c r="E668" s="1400"/>
      <c r="F668" s="1400"/>
      <c r="G668" s="1400"/>
      <c r="H668" s="1398"/>
      <c r="I668" s="1399"/>
      <c r="J668" s="1399"/>
      <c r="K668" s="1399"/>
      <c r="L668" s="1399"/>
    </row>
    <row r="669" spans="1:12" ht="27.95" customHeight="1">
      <c r="A669" s="12"/>
      <c r="B669" s="1397"/>
      <c r="C669" s="1397"/>
      <c r="D669" s="1397"/>
      <c r="E669" s="1397"/>
      <c r="F669" s="1397"/>
      <c r="G669" s="1397"/>
      <c r="H669" s="1398"/>
      <c r="I669" s="1399"/>
      <c r="J669" s="1399"/>
      <c r="K669" s="1399"/>
      <c r="L669" s="1399"/>
    </row>
    <row r="670" spans="1:12" ht="27.95" customHeight="1">
      <c r="A670" s="12"/>
      <c r="B670" s="1400"/>
      <c r="C670" s="1400"/>
      <c r="D670" s="1400"/>
      <c r="E670" s="1400"/>
      <c r="F670" s="1400"/>
      <c r="G670" s="1400"/>
      <c r="H670" s="1398"/>
      <c r="I670" s="1399"/>
      <c r="J670" s="1399"/>
      <c r="K670" s="1399"/>
      <c r="L670" s="1399"/>
    </row>
    <row r="671" spans="1:12" ht="27.95" customHeight="1">
      <c r="A671" s="12"/>
      <c r="B671" s="1400"/>
      <c r="C671" s="1400"/>
      <c r="D671" s="1400"/>
      <c r="E671" s="1400"/>
      <c r="F671" s="1400"/>
      <c r="G671" s="1400"/>
      <c r="H671" s="1402"/>
      <c r="I671" s="1399"/>
      <c r="J671" s="1399"/>
      <c r="K671" s="1399"/>
      <c r="L671" s="1399"/>
    </row>
    <row r="672" spans="1:12" ht="27.95" customHeight="1">
      <c r="A672" s="12"/>
      <c r="B672" s="176"/>
      <c r="C672" s="172"/>
      <c r="D672" s="172"/>
      <c r="E672" s="172"/>
      <c r="F672" s="172"/>
      <c r="G672" s="172"/>
      <c r="H672" s="161"/>
      <c r="I672" s="12"/>
      <c r="J672" s="154"/>
      <c r="K672" s="161"/>
      <c r="L672" s="161"/>
    </row>
    <row r="673" spans="1:12" ht="27.95" customHeight="1">
      <c r="A673" s="12"/>
      <c r="B673" s="176"/>
      <c r="C673" s="172"/>
      <c r="D673" s="172"/>
      <c r="E673" s="172"/>
      <c r="F673" s="172"/>
      <c r="G673" s="172"/>
      <c r="H673" s="161"/>
      <c r="I673" s="161"/>
      <c r="J673" s="154"/>
      <c r="K673" s="161"/>
      <c r="L673" s="161"/>
    </row>
    <row r="674" spans="1:12" ht="27.95" customHeight="1">
      <c r="A674" s="12"/>
      <c r="B674" s="1397"/>
      <c r="C674" s="1397"/>
      <c r="D674" s="1397"/>
      <c r="E674" s="1397"/>
      <c r="F674" s="1397"/>
      <c r="G674" s="1397"/>
      <c r="H674" s="1398"/>
      <c r="I674" s="1399"/>
      <c r="J674" s="1399"/>
      <c r="K674" s="1399"/>
      <c r="L674" s="1399"/>
    </row>
    <row r="675" spans="1:12" ht="27.95" customHeight="1">
      <c r="A675" s="12"/>
      <c r="B675" s="1400"/>
      <c r="C675" s="1400"/>
      <c r="D675" s="1400"/>
      <c r="E675" s="1400"/>
      <c r="F675" s="1400"/>
      <c r="G675" s="1400"/>
      <c r="H675" s="1401"/>
      <c r="I675" s="1399"/>
      <c r="J675" s="1399"/>
      <c r="K675" s="1399"/>
      <c r="L675" s="1399"/>
    </row>
    <row r="676" spans="1:12" ht="27.95" customHeight="1">
      <c r="B676" s="1400"/>
      <c r="C676" s="1400"/>
      <c r="D676" s="1400"/>
      <c r="E676" s="1400"/>
      <c r="F676" s="1400"/>
      <c r="G676" s="1400"/>
      <c r="H676" s="1399"/>
      <c r="I676" s="1399"/>
      <c r="J676" s="1399"/>
      <c r="K676" s="1399"/>
      <c r="L676" s="1399"/>
    </row>
    <row r="677" spans="1:12" ht="27.95" customHeight="1">
      <c r="B677" s="176"/>
      <c r="C677" s="172"/>
      <c r="D677" s="172"/>
      <c r="E677" s="172"/>
      <c r="F677" s="172"/>
      <c r="G677" s="172"/>
      <c r="H677" s="161"/>
      <c r="I677" s="161"/>
      <c r="J677" s="161"/>
      <c r="K677" s="161"/>
      <c r="L677" s="161"/>
    </row>
    <row r="678" spans="1:12" ht="27.95" customHeight="1">
      <c r="B678" s="176"/>
      <c r="C678" s="172"/>
      <c r="D678" s="172"/>
      <c r="E678" s="172"/>
      <c r="F678" s="172"/>
      <c r="G678" s="172"/>
      <c r="H678" s="161"/>
      <c r="I678" s="161"/>
      <c r="J678" s="161"/>
      <c r="K678" s="161"/>
      <c r="L678" s="161"/>
    </row>
    <row r="679" spans="1:12" ht="27.95" customHeight="1">
      <c r="B679" s="176"/>
      <c r="C679" s="172"/>
      <c r="D679" s="172"/>
      <c r="E679" s="172"/>
      <c r="F679" s="172"/>
      <c r="G679" s="172"/>
      <c r="H679" s="161"/>
      <c r="I679" s="161"/>
      <c r="J679" s="162"/>
      <c r="K679" s="161"/>
      <c r="L679" s="161"/>
    </row>
    <row r="680" spans="1:12" ht="27.95" customHeight="1">
      <c r="B680" s="176"/>
      <c r="C680" s="172"/>
      <c r="D680" s="172"/>
      <c r="E680" s="172"/>
      <c r="F680" s="172"/>
      <c r="G680" s="172"/>
      <c r="H680" s="161"/>
      <c r="I680" s="161"/>
      <c r="J680" s="161"/>
      <c r="K680" s="161"/>
      <c r="L680" s="161"/>
    </row>
    <row r="681" spans="1:12" ht="27.95" customHeight="1">
      <c r="B681" s="176"/>
      <c r="C681" s="172"/>
      <c r="D681" s="172"/>
      <c r="E681" s="172"/>
      <c r="F681" s="172"/>
      <c r="G681" s="172"/>
      <c r="H681" s="161"/>
      <c r="I681" s="161"/>
      <c r="J681" s="162"/>
      <c r="K681" s="161"/>
      <c r="L681" s="161"/>
    </row>
    <row r="682" spans="1:12" ht="27.95" customHeight="1">
      <c r="B682" s="176"/>
      <c r="C682" s="172"/>
      <c r="D682" s="161"/>
      <c r="E682" s="162"/>
      <c r="F682" s="161"/>
      <c r="G682" s="162"/>
      <c r="H682" s="161"/>
      <c r="I682" s="162"/>
      <c r="J682" s="161"/>
      <c r="K682" s="162"/>
      <c r="L682" s="162"/>
    </row>
    <row r="683" spans="1:12" ht="27.95" customHeight="1">
      <c r="B683" s="176"/>
      <c r="C683" s="172"/>
      <c r="D683" s="172"/>
      <c r="E683" s="172"/>
      <c r="F683" s="172"/>
      <c r="G683" s="172"/>
      <c r="H683" s="161"/>
      <c r="I683" s="161"/>
      <c r="J683" s="245"/>
      <c r="K683" s="161"/>
      <c r="L683" s="161"/>
    </row>
    <row r="684" spans="1:12" ht="27.95" customHeight="1">
      <c r="B684" s="176"/>
      <c r="C684" s="2"/>
      <c r="D684" s="2"/>
      <c r="E684" s="2"/>
      <c r="F684" s="2"/>
      <c r="G684" s="2"/>
    </row>
    <row r="685" spans="1:12" ht="27.95" customHeight="1">
      <c r="B685" s="176"/>
      <c r="C685" s="2"/>
      <c r="D685" s="2"/>
      <c r="E685" s="2"/>
      <c r="F685" s="2"/>
      <c r="G685" s="2"/>
    </row>
    <row r="689" spans="2:12" ht="32.25">
      <c r="B689" s="1406"/>
      <c r="C689" s="1274"/>
      <c r="D689" s="1274"/>
      <c r="E689" s="1274"/>
      <c r="F689" s="1274"/>
      <c r="G689" s="1274"/>
      <c r="H689" s="1274"/>
      <c r="I689" s="1274"/>
      <c r="J689" s="1274"/>
      <c r="K689" s="1274"/>
      <c r="L689" s="1274"/>
    </row>
    <row r="690" spans="2:12" ht="23.25">
      <c r="B690" s="1407"/>
      <c r="C690" s="1407"/>
      <c r="D690" s="1407"/>
      <c r="E690" s="1407"/>
      <c r="F690" s="1407"/>
      <c r="G690" s="1407"/>
      <c r="H690" s="1407"/>
      <c r="I690" s="1407"/>
      <c r="J690" s="1407"/>
      <c r="K690" s="1407"/>
      <c r="L690" s="1407"/>
    </row>
    <row r="691" spans="2:12" ht="15.75">
      <c r="B691" s="1403"/>
      <c r="C691" s="1403"/>
      <c r="D691" s="1403"/>
      <c r="E691" s="1403"/>
      <c r="F691" s="1403"/>
      <c r="G691" s="1403"/>
      <c r="H691" s="1403"/>
      <c r="I691" s="1403"/>
      <c r="J691" s="1403"/>
      <c r="K691" s="1403"/>
      <c r="L691" s="1403"/>
    </row>
    <row r="692" spans="2:12" ht="15" customHeight="1">
      <c r="B692" s="1404"/>
      <c r="C692" s="1404"/>
      <c r="D692" s="1404"/>
      <c r="E692" s="1404"/>
      <c r="F692" s="1404"/>
      <c r="H692" s="1397"/>
      <c r="I692" s="1397"/>
      <c r="J692" s="1397"/>
      <c r="K692" s="1397"/>
      <c r="L692" s="1397"/>
    </row>
    <row r="693" spans="2:12">
      <c r="B693" s="1404"/>
      <c r="C693" s="1404"/>
      <c r="D693" s="1404"/>
      <c r="E693" s="1404"/>
      <c r="F693" s="1404"/>
      <c r="H693" s="1397"/>
      <c r="I693" s="1397"/>
      <c r="J693" s="1397"/>
      <c r="K693" s="1397"/>
      <c r="L693" s="1397"/>
    </row>
    <row r="695" spans="2:12">
      <c r="B695" s="2"/>
      <c r="H695" s="2"/>
    </row>
    <row r="697" spans="2:12">
      <c r="B697" s="2"/>
      <c r="H697" s="2"/>
    </row>
    <row r="700" spans="2:12">
      <c r="B700" s="1405"/>
      <c r="C700" s="1405"/>
      <c r="D700" s="1405"/>
      <c r="E700" s="1405"/>
      <c r="F700" s="1405"/>
      <c r="H700" s="1405"/>
      <c r="I700" s="1405"/>
      <c r="J700" s="1405"/>
      <c r="K700" s="1405"/>
      <c r="L700" s="1405"/>
    </row>
    <row r="702" spans="2:12">
      <c r="H702" s="2"/>
      <c r="I702" s="2"/>
      <c r="J702" s="2"/>
      <c r="K702" s="2"/>
      <c r="L702" s="2"/>
    </row>
    <row r="703" spans="2:12">
      <c r="H703" s="2"/>
      <c r="I703" s="2"/>
      <c r="J703" s="2"/>
      <c r="K703" s="2"/>
      <c r="L703" s="2"/>
    </row>
    <row r="704" spans="2:12">
      <c r="B704" s="2"/>
      <c r="H704" s="2"/>
      <c r="I704" s="2"/>
      <c r="J704" s="2"/>
      <c r="K704" s="2"/>
      <c r="L704" s="2"/>
    </row>
    <row r="705" spans="1:12">
      <c r="H705" s="2"/>
      <c r="I705" s="2"/>
      <c r="J705" s="2"/>
      <c r="K705" s="2"/>
      <c r="L705" s="2"/>
    </row>
    <row r="706" spans="1:12">
      <c r="H706" s="2"/>
      <c r="I706" s="2"/>
      <c r="J706" s="2"/>
      <c r="K706" s="2"/>
      <c r="L706" s="2"/>
    </row>
    <row r="707" spans="1:12" ht="27.95" customHeight="1">
      <c r="A707" s="12"/>
      <c r="B707" s="1400"/>
      <c r="C707" s="1400"/>
      <c r="D707" s="1400"/>
      <c r="E707" s="1400"/>
      <c r="F707" s="1400"/>
      <c r="G707" s="1400"/>
      <c r="H707" s="1398"/>
      <c r="I707" s="1399"/>
      <c r="J707" s="1399"/>
      <c r="K707" s="1399"/>
      <c r="L707" s="1399"/>
    </row>
    <row r="708" spans="1:12" ht="27.95" customHeight="1">
      <c r="A708" s="12"/>
      <c r="B708" s="1397"/>
      <c r="C708" s="1397"/>
      <c r="D708" s="1397"/>
      <c r="E708" s="1397"/>
      <c r="F708" s="1397"/>
      <c r="G708" s="1397"/>
      <c r="H708" s="1398"/>
      <c r="I708" s="1399"/>
      <c r="J708" s="1399"/>
      <c r="K708" s="1399"/>
      <c r="L708" s="1399"/>
    </row>
    <row r="709" spans="1:12" ht="27.95" customHeight="1">
      <c r="A709" s="12"/>
      <c r="B709" s="1400"/>
      <c r="C709" s="1400"/>
      <c r="D709" s="1400"/>
      <c r="E709" s="1400"/>
      <c r="F709" s="1400"/>
      <c r="G709" s="1400"/>
      <c r="H709" s="1398"/>
      <c r="I709" s="1399"/>
      <c r="J709" s="1399"/>
      <c r="K709" s="1399"/>
      <c r="L709" s="1399"/>
    </row>
    <row r="710" spans="1:12" ht="27.95" customHeight="1">
      <c r="A710" s="12"/>
      <c r="B710" s="1400"/>
      <c r="C710" s="1400"/>
      <c r="D710" s="1400"/>
      <c r="E710" s="1400"/>
      <c r="F710" s="1400"/>
      <c r="G710" s="1400"/>
      <c r="H710" s="1402"/>
      <c r="I710" s="1399"/>
      <c r="J710" s="1399"/>
      <c r="K710" s="1399"/>
      <c r="L710" s="1399"/>
    </row>
    <row r="711" spans="1:12" ht="27.95" customHeight="1">
      <c r="A711" s="12"/>
      <c r="B711" s="176"/>
      <c r="C711" s="172"/>
      <c r="D711" s="172"/>
      <c r="E711" s="172"/>
      <c r="F711" s="172"/>
      <c r="G711" s="172"/>
      <c r="H711" s="161"/>
      <c r="I711" s="12"/>
      <c r="J711" s="154"/>
      <c r="K711" s="161"/>
      <c r="L711" s="161"/>
    </row>
    <row r="712" spans="1:12" ht="27.95" customHeight="1">
      <c r="A712" s="12"/>
      <c r="B712" s="176"/>
      <c r="C712" s="172"/>
      <c r="D712" s="172"/>
      <c r="E712" s="172"/>
      <c r="F712" s="172"/>
      <c r="G712" s="172"/>
      <c r="H712" s="161"/>
      <c r="I712" s="161"/>
      <c r="J712" s="154"/>
      <c r="K712" s="161"/>
      <c r="L712" s="161"/>
    </row>
    <row r="713" spans="1:12" ht="27.95" customHeight="1">
      <c r="A713" s="12"/>
      <c r="B713" s="1397"/>
      <c r="C713" s="1397"/>
      <c r="D713" s="1397"/>
      <c r="E713" s="1397"/>
      <c r="F713" s="1397"/>
      <c r="G713" s="1397"/>
      <c r="H713" s="1398"/>
      <c r="I713" s="1399"/>
      <c r="J713" s="1399"/>
      <c r="K713" s="1399"/>
      <c r="L713" s="1399"/>
    </row>
    <row r="714" spans="1:12" ht="27.95" customHeight="1">
      <c r="A714" s="12"/>
      <c r="B714" s="1400"/>
      <c r="C714" s="1400"/>
      <c r="D714" s="1400"/>
      <c r="E714" s="1400"/>
      <c r="F714" s="1400"/>
      <c r="G714" s="1400"/>
      <c r="H714" s="1401"/>
      <c r="I714" s="1399"/>
      <c r="J714" s="1399"/>
      <c r="K714" s="1399"/>
      <c r="L714" s="1399"/>
    </row>
    <row r="715" spans="1:12" ht="27.95" customHeight="1">
      <c r="B715" s="1400"/>
      <c r="C715" s="1400"/>
      <c r="D715" s="1400"/>
      <c r="E715" s="1400"/>
      <c r="F715" s="1400"/>
      <c r="G715" s="1400"/>
      <c r="H715" s="1399"/>
      <c r="I715" s="1399"/>
      <c r="J715" s="1399"/>
      <c r="K715" s="1399"/>
      <c r="L715" s="1399"/>
    </row>
    <row r="716" spans="1:12" ht="27.95" customHeight="1">
      <c r="B716" s="176"/>
      <c r="C716" s="172"/>
      <c r="D716" s="172"/>
      <c r="E716" s="172"/>
      <c r="F716" s="172"/>
      <c r="G716" s="172"/>
      <c r="H716" s="161"/>
      <c r="I716" s="161"/>
      <c r="J716" s="161"/>
      <c r="K716" s="161"/>
      <c r="L716" s="161"/>
    </row>
    <row r="717" spans="1:12" ht="27.95" customHeight="1">
      <c r="B717" s="176"/>
      <c r="C717" s="172"/>
      <c r="D717" s="172"/>
      <c r="E717" s="172"/>
      <c r="F717" s="172"/>
      <c r="G717" s="172"/>
      <c r="H717" s="161"/>
      <c r="I717" s="161"/>
      <c r="J717" s="161"/>
      <c r="K717" s="161"/>
      <c r="L717" s="161"/>
    </row>
    <row r="718" spans="1:12" ht="27.95" customHeight="1">
      <c r="B718" s="176"/>
      <c r="C718" s="172"/>
      <c r="D718" s="172"/>
      <c r="E718" s="172"/>
      <c r="F718" s="172"/>
      <c r="G718" s="172"/>
      <c r="H718" s="161"/>
      <c r="I718" s="161"/>
      <c r="J718" s="162"/>
      <c r="K718" s="161"/>
      <c r="L718" s="161"/>
    </row>
    <row r="719" spans="1:12" ht="27.95" customHeight="1">
      <c r="B719" s="176"/>
      <c r="C719" s="172"/>
      <c r="D719" s="172"/>
      <c r="E719" s="172"/>
      <c r="F719" s="172"/>
      <c r="G719" s="172"/>
      <c r="H719" s="161"/>
      <c r="I719" s="161"/>
      <c r="J719" s="161"/>
      <c r="K719" s="161"/>
      <c r="L719" s="161"/>
    </row>
    <row r="720" spans="1:12" ht="27.95" customHeight="1">
      <c r="B720" s="176"/>
      <c r="C720" s="172"/>
      <c r="D720" s="172"/>
      <c r="E720" s="172"/>
      <c r="F720" s="172"/>
      <c r="G720" s="172"/>
      <c r="H720" s="161"/>
      <c r="I720" s="161"/>
      <c r="J720" s="162"/>
      <c r="K720" s="161"/>
      <c r="L720" s="161"/>
    </row>
    <row r="721" spans="2:12" ht="27.95" customHeight="1">
      <c r="B721" s="176"/>
      <c r="C721" s="172"/>
      <c r="D721" s="161"/>
      <c r="E721" s="162"/>
      <c r="F721" s="161"/>
      <c r="G721" s="162"/>
      <c r="H721" s="161"/>
      <c r="I721" s="162"/>
      <c r="J721" s="161"/>
      <c r="K721" s="162"/>
      <c r="L721" s="162"/>
    </row>
    <row r="722" spans="2:12" ht="27.95" customHeight="1">
      <c r="B722" s="176"/>
      <c r="C722" s="172"/>
      <c r="D722" s="172"/>
      <c r="E722" s="172"/>
      <c r="F722" s="172"/>
      <c r="G722" s="172"/>
      <c r="H722" s="161"/>
      <c r="I722" s="161"/>
      <c r="J722" s="245"/>
      <c r="K722" s="161"/>
      <c r="L722" s="161"/>
    </row>
    <row r="723" spans="2:12" ht="27.95" customHeight="1">
      <c r="B723" s="176"/>
      <c r="C723" s="2"/>
      <c r="D723" s="2"/>
      <c r="E723" s="2"/>
      <c r="F723" s="2"/>
      <c r="G723" s="2"/>
    </row>
    <row r="724" spans="2:12" ht="27.95" customHeight="1">
      <c r="B724" s="176"/>
      <c r="C724" s="2"/>
      <c r="D724" s="2"/>
      <c r="E724" s="2"/>
      <c r="F724" s="2"/>
      <c r="G724" s="2"/>
    </row>
    <row r="728" spans="2:12" ht="32.25">
      <c r="B728" s="1406"/>
      <c r="C728" s="1274"/>
      <c r="D728" s="1274"/>
      <c r="E728" s="1274"/>
      <c r="F728" s="1274"/>
      <c r="G728" s="1274"/>
      <c r="H728" s="1274"/>
      <c r="I728" s="1274"/>
      <c r="J728" s="1274"/>
      <c r="K728" s="1274"/>
      <c r="L728" s="1274"/>
    </row>
    <row r="729" spans="2:12" ht="23.25">
      <c r="B729" s="1407"/>
      <c r="C729" s="1407"/>
      <c r="D729" s="1407"/>
      <c r="E729" s="1407"/>
      <c r="F729" s="1407"/>
      <c r="G729" s="1407"/>
      <c r="H729" s="1407"/>
      <c r="I729" s="1407"/>
      <c r="J729" s="1407"/>
      <c r="K729" s="1407"/>
      <c r="L729" s="1407"/>
    </row>
    <row r="730" spans="2:12" ht="15.75">
      <c r="B730" s="1403"/>
      <c r="C730" s="1403"/>
      <c r="D730" s="1403"/>
      <c r="E730" s="1403"/>
      <c r="F730" s="1403"/>
      <c r="G730" s="1403"/>
      <c r="H730" s="1403"/>
      <c r="I730" s="1403"/>
      <c r="J730" s="1403"/>
      <c r="K730" s="1403"/>
      <c r="L730" s="1403"/>
    </row>
    <row r="731" spans="2:12" ht="15" customHeight="1">
      <c r="B731" s="1404"/>
      <c r="C731" s="1404"/>
      <c r="D731" s="1404"/>
      <c r="E731" s="1404"/>
      <c r="F731" s="1404"/>
      <c r="H731" s="1397"/>
      <c r="I731" s="1397"/>
      <c r="J731" s="1397"/>
      <c r="K731" s="1397"/>
      <c r="L731" s="1397"/>
    </row>
    <row r="732" spans="2:12">
      <c r="B732" s="1404"/>
      <c r="C732" s="1404"/>
      <c r="D732" s="1404"/>
      <c r="E732" s="1404"/>
      <c r="F732" s="1404"/>
      <c r="H732" s="1397"/>
      <c r="I732" s="1397"/>
      <c r="J732" s="1397"/>
      <c r="K732" s="1397"/>
      <c r="L732" s="1397"/>
    </row>
    <row r="734" spans="2:12">
      <c r="B734" s="2"/>
      <c r="H734" s="2"/>
    </row>
    <row r="736" spans="2:12">
      <c r="B736" s="2"/>
      <c r="H736" s="2"/>
    </row>
    <row r="737" spans="1:12" ht="15" customHeight="1"/>
    <row r="739" spans="1:12">
      <c r="B739" s="1405"/>
      <c r="C739" s="1405"/>
      <c r="D739" s="1405"/>
      <c r="E739" s="1405"/>
      <c r="F739" s="1405"/>
      <c r="H739" s="1405"/>
      <c r="I739" s="1405"/>
      <c r="J739" s="1405"/>
      <c r="K739" s="1405"/>
      <c r="L739" s="1405"/>
    </row>
    <row r="741" spans="1:12">
      <c r="H741" s="2"/>
      <c r="I741" s="2"/>
      <c r="J741" s="2"/>
      <c r="K741" s="2"/>
      <c r="L741" s="2"/>
    </row>
    <row r="742" spans="1:12">
      <c r="H742" s="2"/>
      <c r="I742" s="2"/>
      <c r="J742" s="2"/>
      <c r="K742" s="2"/>
      <c r="L742" s="2"/>
    </row>
    <row r="743" spans="1:12">
      <c r="B743" s="2"/>
      <c r="H743" s="2"/>
      <c r="I743" s="2"/>
      <c r="J743" s="2"/>
      <c r="K743" s="2"/>
      <c r="L743" s="2"/>
    </row>
    <row r="744" spans="1:12">
      <c r="H744" s="2"/>
      <c r="I744" s="2"/>
      <c r="J744" s="2"/>
      <c r="K744" s="2"/>
      <c r="L744" s="2"/>
    </row>
    <row r="745" spans="1:12">
      <c r="H745" s="2"/>
      <c r="I745" s="2"/>
      <c r="J745" s="2"/>
      <c r="K745" s="2"/>
      <c r="L745" s="2"/>
    </row>
    <row r="746" spans="1:12" ht="27.95" customHeight="1">
      <c r="A746" s="12"/>
      <c r="B746" s="1400"/>
      <c r="C746" s="1400"/>
      <c r="D746" s="1400"/>
      <c r="E746" s="1400"/>
      <c r="F746" s="1400"/>
      <c r="G746" s="1400"/>
      <c r="H746" s="1398"/>
      <c r="I746" s="1399"/>
      <c r="J746" s="1399"/>
      <c r="K746" s="1399"/>
      <c r="L746" s="1399"/>
    </row>
    <row r="747" spans="1:12" ht="27.95" customHeight="1">
      <c r="A747" s="12"/>
      <c r="B747" s="1397"/>
      <c r="C747" s="1397"/>
      <c r="D747" s="1397"/>
      <c r="E747" s="1397"/>
      <c r="F747" s="1397"/>
      <c r="G747" s="1397"/>
      <c r="H747" s="1398"/>
      <c r="I747" s="1399"/>
      <c r="J747" s="1399"/>
      <c r="K747" s="1399"/>
      <c r="L747" s="1399"/>
    </row>
    <row r="748" spans="1:12" ht="27.95" customHeight="1">
      <c r="A748" s="12"/>
      <c r="B748" s="1400"/>
      <c r="C748" s="1400"/>
      <c r="D748" s="1400"/>
      <c r="E748" s="1400"/>
      <c r="F748" s="1400"/>
      <c r="G748" s="1400"/>
      <c r="H748" s="1398"/>
      <c r="I748" s="1399"/>
      <c r="J748" s="1399"/>
      <c r="K748" s="1399"/>
      <c r="L748" s="1399"/>
    </row>
    <row r="749" spans="1:12" ht="27.95" customHeight="1">
      <c r="A749" s="12"/>
      <c r="B749" s="1400"/>
      <c r="C749" s="1400"/>
      <c r="D749" s="1400"/>
      <c r="E749" s="1400"/>
      <c r="F749" s="1400"/>
      <c r="G749" s="1400"/>
      <c r="H749" s="1402"/>
      <c r="I749" s="1399"/>
      <c r="J749" s="1399"/>
      <c r="K749" s="1399"/>
      <c r="L749" s="1399"/>
    </row>
    <row r="750" spans="1:12" ht="27.95" customHeight="1">
      <c r="A750" s="12"/>
      <c r="B750" s="176"/>
      <c r="C750" s="172"/>
      <c r="D750" s="172"/>
      <c r="E750" s="172"/>
      <c r="F750" s="172"/>
      <c r="G750" s="172"/>
      <c r="H750" s="161"/>
      <c r="I750" s="12"/>
      <c r="J750" s="154"/>
      <c r="K750" s="161"/>
      <c r="L750" s="161"/>
    </row>
    <row r="751" spans="1:12" ht="27.95" customHeight="1">
      <c r="A751" s="12"/>
      <c r="B751" s="176"/>
      <c r="C751" s="172"/>
      <c r="D751" s="172"/>
      <c r="E751" s="172"/>
      <c r="F751" s="172"/>
      <c r="G751" s="172"/>
      <c r="H751" s="161"/>
      <c r="I751" s="161"/>
      <c r="J751" s="154"/>
      <c r="K751" s="161"/>
      <c r="L751" s="161"/>
    </row>
    <row r="752" spans="1:12" ht="27.95" customHeight="1">
      <c r="A752" s="12"/>
      <c r="B752" s="1397"/>
      <c r="C752" s="1397"/>
      <c r="D752" s="1397"/>
      <c r="E752" s="1397"/>
      <c r="F752" s="1397"/>
      <c r="G752" s="1397"/>
      <c r="H752" s="1398"/>
      <c r="I752" s="1399"/>
      <c r="J752" s="1399"/>
      <c r="K752" s="1399"/>
      <c r="L752" s="1399"/>
    </row>
    <row r="753" spans="1:12" ht="27.95" customHeight="1">
      <c r="A753" s="12"/>
      <c r="B753" s="1400"/>
      <c r="C753" s="1400"/>
      <c r="D753" s="1400"/>
      <c r="E753" s="1400"/>
      <c r="F753" s="1400"/>
      <c r="G753" s="1400"/>
      <c r="H753" s="1401"/>
      <c r="I753" s="1399"/>
      <c r="J753" s="1399"/>
      <c r="K753" s="1399"/>
      <c r="L753" s="1399"/>
    </row>
    <row r="754" spans="1:12" ht="27.95" customHeight="1">
      <c r="B754" s="1400"/>
      <c r="C754" s="1400"/>
      <c r="D754" s="1400"/>
      <c r="E754" s="1400"/>
      <c r="F754" s="1400"/>
      <c r="G754" s="1400"/>
      <c r="H754" s="1399"/>
      <c r="I754" s="1399"/>
      <c r="J754" s="1399"/>
      <c r="K754" s="1399"/>
      <c r="L754" s="1399"/>
    </row>
    <row r="755" spans="1:12" ht="27.95" customHeight="1">
      <c r="B755" s="176"/>
      <c r="C755" s="172"/>
      <c r="D755" s="172"/>
      <c r="E755" s="172"/>
      <c r="F755" s="172"/>
      <c r="G755" s="172"/>
      <c r="H755" s="161"/>
      <c r="I755" s="161"/>
      <c r="J755" s="161"/>
      <c r="K755" s="161"/>
      <c r="L755" s="161"/>
    </row>
    <row r="756" spans="1:12" ht="27.95" customHeight="1">
      <c r="B756" s="176"/>
      <c r="C756" s="172"/>
      <c r="D756" s="172"/>
      <c r="E756" s="172"/>
      <c r="F756" s="172"/>
      <c r="G756" s="172"/>
      <c r="H756" s="161"/>
      <c r="I756" s="161"/>
      <c r="J756" s="161"/>
      <c r="K756" s="161"/>
      <c r="L756" s="161"/>
    </row>
    <row r="757" spans="1:12" ht="27.95" customHeight="1">
      <c r="B757" s="176"/>
      <c r="C757" s="172"/>
      <c r="D757" s="172"/>
      <c r="E757" s="172"/>
      <c r="F757" s="172"/>
      <c r="G757" s="172"/>
      <c r="H757" s="161"/>
      <c r="I757" s="161"/>
      <c r="J757" s="162"/>
      <c r="K757" s="161"/>
      <c r="L757" s="161"/>
    </row>
    <row r="758" spans="1:12" ht="27.95" customHeight="1">
      <c r="B758" s="176"/>
      <c r="C758" s="172"/>
      <c r="D758" s="172"/>
      <c r="E758" s="172"/>
      <c r="F758" s="172"/>
      <c r="G758" s="172"/>
      <c r="H758" s="161"/>
      <c r="I758" s="161"/>
      <c r="J758" s="161"/>
      <c r="K758" s="161"/>
      <c r="L758" s="161"/>
    </row>
    <row r="759" spans="1:12" ht="27.95" customHeight="1">
      <c r="B759" s="176"/>
      <c r="C759" s="172"/>
      <c r="D759" s="172"/>
      <c r="E759" s="172"/>
      <c r="F759" s="172"/>
      <c r="G759" s="172"/>
      <c r="H759" s="161"/>
      <c r="I759" s="161"/>
      <c r="J759" s="162"/>
      <c r="K759" s="161"/>
      <c r="L759" s="161"/>
    </row>
    <row r="760" spans="1:12" ht="27.95" customHeight="1">
      <c r="B760" s="176"/>
      <c r="C760" s="172"/>
      <c r="D760" s="161"/>
      <c r="E760" s="162"/>
      <c r="F760" s="161"/>
      <c r="G760" s="162"/>
      <c r="H760" s="161"/>
      <c r="I760" s="162"/>
      <c r="J760" s="161"/>
      <c r="K760" s="162"/>
      <c r="L760" s="162"/>
    </row>
    <row r="761" spans="1:12" ht="27.95" customHeight="1">
      <c r="B761" s="176"/>
      <c r="C761" s="172"/>
      <c r="D761" s="172"/>
      <c r="E761" s="172"/>
      <c r="F761" s="172"/>
      <c r="G761" s="172"/>
      <c r="H761" s="161"/>
      <c r="I761" s="161"/>
      <c r="J761" s="245"/>
      <c r="K761" s="161"/>
      <c r="L761" s="161"/>
    </row>
    <row r="762" spans="1:12" ht="27.95" customHeight="1">
      <c r="B762" s="176"/>
      <c r="C762" s="2"/>
      <c r="D762" s="2"/>
      <c r="E762" s="2"/>
      <c r="F762" s="2"/>
      <c r="G762" s="2"/>
    </row>
    <row r="763" spans="1:12" ht="27.95" customHeight="1">
      <c r="B763" s="176"/>
      <c r="C763" s="2"/>
      <c r="D763" s="2"/>
      <c r="E763" s="2"/>
      <c r="F763" s="2"/>
      <c r="G763" s="2"/>
    </row>
  </sheetData>
  <mergeCells count="410">
    <mergeCell ref="B545:G545"/>
    <mergeCell ref="B527:L527"/>
    <mergeCell ref="H507:L507"/>
    <mergeCell ref="G510:H510"/>
    <mergeCell ref="K510:L510"/>
    <mergeCell ref="K512:L512"/>
    <mergeCell ref="B528:L528"/>
    <mergeCell ref="B529:L529"/>
    <mergeCell ref="B530:F531"/>
    <mergeCell ref="H530:L531"/>
    <mergeCell ref="B538:F538"/>
    <mergeCell ref="H538:L538"/>
    <mergeCell ref="K351:L351"/>
    <mergeCell ref="K353:L353"/>
    <mergeCell ref="B372:L372"/>
    <mergeCell ref="B393:G393"/>
    <mergeCell ref="H393:L393"/>
    <mergeCell ref="H394:L394"/>
    <mergeCell ref="B396:G396"/>
    <mergeCell ref="H396:L396"/>
    <mergeCell ref="B397:G397"/>
    <mergeCell ref="H397:L397"/>
    <mergeCell ref="B287:G287"/>
    <mergeCell ref="H287:L287"/>
    <mergeCell ref="H288:L288"/>
    <mergeCell ref="B290:G290"/>
    <mergeCell ref="H290:L290"/>
    <mergeCell ref="B291:G291"/>
    <mergeCell ref="H291:L291"/>
    <mergeCell ref="B292:G292"/>
    <mergeCell ref="H292:L292"/>
    <mergeCell ref="B269:F270"/>
    <mergeCell ref="H269:L270"/>
    <mergeCell ref="B277:F277"/>
    <mergeCell ref="H277:L277"/>
    <mergeCell ref="B284:G284"/>
    <mergeCell ref="H284:L284"/>
    <mergeCell ref="B285:G285"/>
    <mergeCell ref="H285:L285"/>
    <mergeCell ref="B286:G286"/>
    <mergeCell ref="H286:L286"/>
    <mergeCell ref="H240:L240"/>
    <mergeCell ref="H241:L241"/>
    <mergeCell ref="H242:L242"/>
    <mergeCell ref="G245:H245"/>
    <mergeCell ref="K245:L245"/>
    <mergeCell ref="K247:L247"/>
    <mergeCell ref="B266:L266"/>
    <mergeCell ref="B267:L267"/>
    <mergeCell ref="B268:L268"/>
    <mergeCell ref="H233:L233"/>
    <mergeCell ref="B234:G234"/>
    <mergeCell ref="H234:L234"/>
    <mergeCell ref="H235:L235"/>
    <mergeCell ref="B237:G237"/>
    <mergeCell ref="H237:L237"/>
    <mergeCell ref="B238:G238"/>
    <mergeCell ref="H238:L238"/>
    <mergeCell ref="B239:G239"/>
    <mergeCell ref="H239:L239"/>
    <mergeCell ref="B233:G233"/>
    <mergeCell ref="B186:G186"/>
    <mergeCell ref="H186:L186"/>
    <mergeCell ref="H187:L187"/>
    <mergeCell ref="H188:L188"/>
    <mergeCell ref="H189:L189"/>
    <mergeCell ref="G192:H192"/>
    <mergeCell ref="K192:L192"/>
    <mergeCell ref="K194:L194"/>
    <mergeCell ref="B213:L213"/>
    <mergeCell ref="B180:G180"/>
    <mergeCell ref="H180:L180"/>
    <mergeCell ref="B181:G181"/>
    <mergeCell ref="H181:L181"/>
    <mergeCell ref="H182:L182"/>
    <mergeCell ref="B184:G184"/>
    <mergeCell ref="H184:L184"/>
    <mergeCell ref="B185:G185"/>
    <mergeCell ref="H185:L185"/>
    <mergeCell ref="B127:G127"/>
    <mergeCell ref="H127:L127"/>
    <mergeCell ref="B128:G128"/>
    <mergeCell ref="H128:L128"/>
    <mergeCell ref="H129:L129"/>
    <mergeCell ref="B131:G131"/>
    <mergeCell ref="H131:L131"/>
    <mergeCell ref="B132:G132"/>
    <mergeCell ref="H132:L132"/>
    <mergeCell ref="B1:L1"/>
    <mergeCell ref="B2:L2"/>
    <mergeCell ref="B3:L3"/>
    <mergeCell ref="B4:F5"/>
    <mergeCell ref="H4:L5"/>
    <mergeCell ref="B12:F12"/>
    <mergeCell ref="H12:L12"/>
    <mergeCell ref="K35:L35"/>
    <mergeCell ref="B53:L53"/>
    <mergeCell ref="B22:G22"/>
    <mergeCell ref="H22:L22"/>
    <mergeCell ref="H23:L23"/>
    <mergeCell ref="B25:G25"/>
    <mergeCell ref="H25:L25"/>
    <mergeCell ref="B26:G26"/>
    <mergeCell ref="H26:L26"/>
    <mergeCell ref="B19:G19"/>
    <mergeCell ref="H19:L19"/>
    <mergeCell ref="B20:G20"/>
    <mergeCell ref="H20:L20"/>
    <mergeCell ref="B21:G21"/>
    <mergeCell ref="H21:L21"/>
    <mergeCell ref="B27:G27"/>
    <mergeCell ref="H27:L27"/>
    <mergeCell ref="H28:L28"/>
    <mergeCell ref="H29:L29"/>
    <mergeCell ref="H30:L30"/>
    <mergeCell ref="G33:H33"/>
    <mergeCell ref="K33:L33"/>
    <mergeCell ref="B54:L54"/>
    <mergeCell ref="B55:L55"/>
    <mergeCell ref="B56:F57"/>
    <mergeCell ref="H56:L57"/>
    <mergeCell ref="B64:F64"/>
    <mergeCell ref="H64:L64"/>
    <mergeCell ref="B71:G71"/>
    <mergeCell ref="H71:L71"/>
    <mergeCell ref="B72:G72"/>
    <mergeCell ref="H72:L72"/>
    <mergeCell ref="B73:G73"/>
    <mergeCell ref="H73:L73"/>
    <mergeCell ref="H80:L80"/>
    <mergeCell ref="B74:G74"/>
    <mergeCell ref="H74:L74"/>
    <mergeCell ref="H75:L75"/>
    <mergeCell ref="B77:G77"/>
    <mergeCell ref="H77:L77"/>
    <mergeCell ref="B78:G78"/>
    <mergeCell ref="H78:L78"/>
    <mergeCell ref="B79:G79"/>
    <mergeCell ref="H79:L79"/>
    <mergeCell ref="H81:L81"/>
    <mergeCell ref="H82:L82"/>
    <mergeCell ref="G85:H85"/>
    <mergeCell ref="K85:L85"/>
    <mergeCell ref="K87:L87"/>
    <mergeCell ref="H105:L105"/>
    <mergeCell ref="H106:L106"/>
    <mergeCell ref="B107:L107"/>
    <mergeCell ref="B108:L108"/>
    <mergeCell ref="B109:L109"/>
    <mergeCell ref="B110:F111"/>
    <mergeCell ref="H110:L111"/>
    <mergeCell ref="B118:F118"/>
    <mergeCell ref="H118:L118"/>
    <mergeCell ref="B125:G125"/>
    <mergeCell ref="H125:L125"/>
    <mergeCell ref="B126:G126"/>
    <mergeCell ref="H126:L126"/>
    <mergeCell ref="B133:G133"/>
    <mergeCell ref="H133:L133"/>
    <mergeCell ref="H134:L134"/>
    <mergeCell ref="H135:L135"/>
    <mergeCell ref="H136:L136"/>
    <mergeCell ref="G139:H139"/>
    <mergeCell ref="K139:L139"/>
    <mergeCell ref="K141:L141"/>
    <mergeCell ref="B160:L160"/>
    <mergeCell ref="B161:L161"/>
    <mergeCell ref="B162:L162"/>
    <mergeCell ref="B163:F164"/>
    <mergeCell ref="H163:L164"/>
    <mergeCell ref="B171:F171"/>
    <mergeCell ref="H171:L171"/>
    <mergeCell ref="B178:G178"/>
    <mergeCell ref="H178:L178"/>
    <mergeCell ref="B179:G179"/>
    <mergeCell ref="H179:L179"/>
    <mergeCell ref="B214:L214"/>
    <mergeCell ref="B215:L215"/>
    <mergeCell ref="B216:F217"/>
    <mergeCell ref="H216:L217"/>
    <mergeCell ref="B224:F224"/>
    <mergeCell ref="H224:L224"/>
    <mergeCell ref="B231:G231"/>
    <mergeCell ref="H231:L231"/>
    <mergeCell ref="B232:G232"/>
    <mergeCell ref="H232:L232"/>
    <mergeCell ref="H293:L293"/>
    <mergeCell ref="H294:L294"/>
    <mergeCell ref="H295:L295"/>
    <mergeCell ref="G298:H298"/>
    <mergeCell ref="K298:L298"/>
    <mergeCell ref="K300:L300"/>
    <mergeCell ref="B319:L319"/>
    <mergeCell ref="B320:L320"/>
    <mergeCell ref="B321:L321"/>
    <mergeCell ref="B322:F323"/>
    <mergeCell ref="H322:L323"/>
    <mergeCell ref="B330:F330"/>
    <mergeCell ref="H330:L330"/>
    <mergeCell ref="B337:G337"/>
    <mergeCell ref="H337:L337"/>
    <mergeCell ref="B338:G338"/>
    <mergeCell ref="H338:L338"/>
    <mergeCell ref="H392:L392"/>
    <mergeCell ref="B339:G339"/>
    <mergeCell ref="H339:L339"/>
    <mergeCell ref="B340:G340"/>
    <mergeCell ref="H340:L340"/>
    <mergeCell ref="H341:L341"/>
    <mergeCell ref="B343:G343"/>
    <mergeCell ref="H343:L343"/>
    <mergeCell ref="B344:G344"/>
    <mergeCell ref="H344:L344"/>
    <mergeCell ref="B345:G345"/>
    <mergeCell ref="H345:L345"/>
    <mergeCell ref="H346:L346"/>
    <mergeCell ref="H347:L347"/>
    <mergeCell ref="H348:L348"/>
    <mergeCell ref="G351:H351"/>
    <mergeCell ref="H399:L399"/>
    <mergeCell ref="B373:L373"/>
    <mergeCell ref="B374:L374"/>
    <mergeCell ref="B375:F376"/>
    <mergeCell ref="H375:L376"/>
    <mergeCell ref="B383:F383"/>
    <mergeCell ref="H383:L383"/>
    <mergeCell ref="B390:G390"/>
    <mergeCell ref="H390:L390"/>
    <mergeCell ref="B391:G391"/>
    <mergeCell ref="H391:L391"/>
    <mergeCell ref="B392:G392"/>
    <mergeCell ref="B398:G398"/>
    <mergeCell ref="H398:L398"/>
    <mergeCell ref="H400:L400"/>
    <mergeCell ref="H401:L401"/>
    <mergeCell ref="G404:H404"/>
    <mergeCell ref="K404:L404"/>
    <mergeCell ref="K406:L406"/>
    <mergeCell ref="B445:G445"/>
    <mergeCell ref="H445:L445"/>
    <mergeCell ref="B443:G443"/>
    <mergeCell ref="H443:L443"/>
    <mergeCell ref="B444:G444"/>
    <mergeCell ref="H444:L444"/>
    <mergeCell ref="B424:L424"/>
    <mergeCell ref="B425:L425"/>
    <mergeCell ref="B426:L426"/>
    <mergeCell ref="B427:F428"/>
    <mergeCell ref="H427:L428"/>
    <mergeCell ref="B435:F435"/>
    <mergeCell ref="H435:L435"/>
    <mergeCell ref="B442:G442"/>
    <mergeCell ref="H442:L442"/>
    <mergeCell ref="H446:L446"/>
    <mergeCell ref="B448:G448"/>
    <mergeCell ref="H448:L448"/>
    <mergeCell ref="B449:G449"/>
    <mergeCell ref="H449:L449"/>
    <mergeCell ref="B450:G450"/>
    <mergeCell ref="H450:L450"/>
    <mergeCell ref="H451:L451"/>
    <mergeCell ref="H452:L452"/>
    <mergeCell ref="H453:L453"/>
    <mergeCell ref="G456:H456"/>
    <mergeCell ref="B496:G496"/>
    <mergeCell ref="H496:L496"/>
    <mergeCell ref="B497:G497"/>
    <mergeCell ref="H497:L497"/>
    <mergeCell ref="B498:G498"/>
    <mergeCell ref="H498:L498"/>
    <mergeCell ref="B499:G499"/>
    <mergeCell ref="H499:L499"/>
    <mergeCell ref="K456:L456"/>
    <mergeCell ref="K458:L458"/>
    <mergeCell ref="B478:L478"/>
    <mergeCell ref="B479:L479"/>
    <mergeCell ref="B480:L480"/>
    <mergeCell ref="B481:F482"/>
    <mergeCell ref="H481:L482"/>
    <mergeCell ref="B489:F489"/>
    <mergeCell ref="H489:L489"/>
    <mergeCell ref="H500:L500"/>
    <mergeCell ref="B502:G502"/>
    <mergeCell ref="H502:L502"/>
    <mergeCell ref="B552:G552"/>
    <mergeCell ref="H552:L552"/>
    <mergeCell ref="B553:G553"/>
    <mergeCell ref="H553:L553"/>
    <mergeCell ref="H554:L554"/>
    <mergeCell ref="H545:L545"/>
    <mergeCell ref="B546:G546"/>
    <mergeCell ref="H546:L546"/>
    <mergeCell ref="B547:G547"/>
    <mergeCell ref="H547:L547"/>
    <mergeCell ref="B548:G548"/>
    <mergeCell ref="H548:L548"/>
    <mergeCell ref="H549:L549"/>
    <mergeCell ref="B551:G551"/>
    <mergeCell ref="H551:L551"/>
    <mergeCell ref="B503:G503"/>
    <mergeCell ref="H503:L503"/>
    <mergeCell ref="B504:G504"/>
    <mergeCell ref="H504:L504"/>
    <mergeCell ref="H505:L505"/>
    <mergeCell ref="H506:L506"/>
    <mergeCell ref="H555:L555"/>
    <mergeCell ref="H556:L556"/>
    <mergeCell ref="G559:H559"/>
    <mergeCell ref="K559:L559"/>
    <mergeCell ref="K561:L561"/>
    <mergeCell ref="B593:G593"/>
    <mergeCell ref="H593:L593"/>
    <mergeCell ref="B594:G594"/>
    <mergeCell ref="H594:L594"/>
    <mergeCell ref="B597:G597"/>
    <mergeCell ref="H597:L597"/>
    <mergeCell ref="B584:F584"/>
    <mergeCell ref="H584:L584"/>
    <mergeCell ref="B591:G591"/>
    <mergeCell ref="H591:L591"/>
    <mergeCell ref="B592:G592"/>
    <mergeCell ref="H592:L592"/>
    <mergeCell ref="B613:L613"/>
    <mergeCell ref="B614:F615"/>
    <mergeCell ref="H614:L615"/>
    <mergeCell ref="B622:F622"/>
    <mergeCell ref="H622:L622"/>
    <mergeCell ref="B629:G629"/>
    <mergeCell ref="H629:L629"/>
    <mergeCell ref="B598:G598"/>
    <mergeCell ref="H598:L598"/>
    <mergeCell ref="B599:G599"/>
    <mergeCell ref="H599:L599"/>
    <mergeCell ref="B611:L611"/>
    <mergeCell ref="B612:L612"/>
    <mergeCell ref="B635:G635"/>
    <mergeCell ref="H635:L635"/>
    <mergeCell ref="B636:G636"/>
    <mergeCell ref="H636:L636"/>
    <mergeCell ref="B637:G637"/>
    <mergeCell ref="H637:L637"/>
    <mergeCell ref="B630:G630"/>
    <mergeCell ref="H630:L630"/>
    <mergeCell ref="B631:G631"/>
    <mergeCell ref="H631:L631"/>
    <mergeCell ref="B632:G632"/>
    <mergeCell ref="H632:L632"/>
    <mergeCell ref="B668:G668"/>
    <mergeCell ref="H668:L668"/>
    <mergeCell ref="B669:G669"/>
    <mergeCell ref="H669:L669"/>
    <mergeCell ref="B670:G670"/>
    <mergeCell ref="H670:L670"/>
    <mergeCell ref="B650:L650"/>
    <mergeCell ref="B651:L651"/>
    <mergeCell ref="B652:L652"/>
    <mergeCell ref="B653:F654"/>
    <mergeCell ref="H653:L654"/>
    <mergeCell ref="B661:F661"/>
    <mergeCell ref="H661:L661"/>
    <mergeCell ref="B676:G676"/>
    <mergeCell ref="H676:L676"/>
    <mergeCell ref="B689:L689"/>
    <mergeCell ref="B690:L690"/>
    <mergeCell ref="B691:L691"/>
    <mergeCell ref="B692:F693"/>
    <mergeCell ref="H692:L693"/>
    <mergeCell ref="B671:G671"/>
    <mergeCell ref="H671:L671"/>
    <mergeCell ref="B674:G674"/>
    <mergeCell ref="H674:L674"/>
    <mergeCell ref="B675:G675"/>
    <mergeCell ref="H675:L675"/>
    <mergeCell ref="B709:G709"/>
    <mergeCell ref="H709:L709"/>
    <mergeCell ref="B710:G710"/>
    <mergeCell ref="H710:L710"/>
    <mergeCell ref="B713:G713"/>
    <mergeCell ref="H713:L713"/>
    <mergeCell ref="B700:F700"/>
    <mergeCell ref="H700:L700"/>
    <mergeCell ref="B707:G707"/>
    <mergeCell ref="H707:L707"/>
    <mergeCell ref="B708:G708"/>
    <mergeCell ref="H708:L708"/>
    <mergeCell ref="B730:L730"/>
    <mergeCell ref="B731:F732"/>
    <mergeCell ref="H731:L732"/>
    <mergeCell ref="B739:F739"/>
    <mergeCell ref="H739:L739"/>
    <mergeCell ref="B746:G746"/>
    <mergeCell ref="H746:L746"/>
    <mergeCell ref="B714:G714"/>
    <mergeCell ref="H714:L714"/>
    <mergeCell ref="B715:G715"/>
    <mergeCell ref="H715:L715"/>
    <mergeCell ref="B728:L728"/>
    <mergeCell ref="B729:L729"/>
    <mergeCell ref="B752:G752"/>
    <mergeCell ref="H752:L752"/>
    <mergeCell ref="B753:G753"/>
    <mergeCell ref="H753:L753"/>
    <mergeCell ref="B754:G754"/>
    <mergeCell ref="H754:L754"/>
    <mergeCell ref="B747:G747"/>
    <mergeCell ref="H747:L747"/>
    <mergeCell ref="B748:G748"/>
    <mergeCell ref="H748:L748"/>
    <mergeCell ref="B749:G749"/>
    <mergeCell ref="H749:L749"/>
  </mergeCells>
  <pageMargins left="0.70866141732283472" right="0.70866141732283472" top="0.74803149606299213" bottom="0.74803149606299213" header="0.31496062992125984" footer="0.31496062992125984"/>
  <pageSetup scale="65"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66"/>
  <sheetViews>
    <sheetView zoomScale="110" zoomScaleNormal="110" workbookViewId="0">
      <selection activeCell="K1" sqref="K1"/>
    </sheetView>
  </sheetViews>
  <sheetFormatPr defaultRowHeight="15"/>
  <cols>
    <col min="6" max="6" width="16.85546875" customWidth="1"/>
    <col min="10" max="10" width="14.5703125" customWidth="1"/>
    <col min="12" max="12" width="22.7109375" customWidth="1"/>
  </cols>
  <sheetData>
    <row r="1" spans="1:12" ht="32.25" customHeight="1">
      <c r="A1" s="79"/>
      <c r="B1" s="80"/>
      <c r="C1" s="80"/>
      <c r="D1" s="180"/>
      <c r="E1" s="180"/>
      <c r="F1" s="180"/>
      <c r="G1" s="180"/>
      <c r="H1" s="180"/>
      <c r="I1" s="180"/>
      <c r="J1" s="80"/>
      <c r="K1" s="182" t="s">
        <v>233</v>
      </c>
      <c r="L1" s="181"/>
    </row>
    <row r="2" spans="1:12" ht="21">
      <c r="A2" s="15"/>
      <c r="B2" s="1438" t="s">
        <v>232</v>
      </c>
      <c r="C2" s="1438"/>
      <c r="D2" s="1438"/>
      <c r="E2" s="1438"/>
      <c r="F2" s="1438"/>
      <c r="G2" s="1438"/>
      <c r="H2" s="1438"/>
      <c r="I2" s="1438"/>
      <c r="J2" s="1438"/>
      <c r="K2" s="1438"/>
      <c r="L2" s="1439"/>
    </row>
    <row r="3" spans="1:12" ht="15.75">
      <c r="A3" s="15"/>
      <c r="B3" s="1403" t="s">
        <v>234</v>
      </c>
      <c r="C3" s="1403"/>
      <c r="D3" s="1403"/>
      <c r="E3" s="1403"/>
      <c r="F3" s="1403"/>
      <c r="G3" s="1403"/>
      <c r="H3" s="1403"/>
      <c r="I3" s="1403"/>
      <c r="J3" s="1403"/>
      <c r="K3" s="1403"/>
      <c r="L3" s="1440"/>
    </row>
    <row r="4" spans="1:12" ht="15" customHeight="1">
      <c r="A4" s="15"/>
      <c r="B4" s="183" t="s">
        <v>235</v>
      </c>
      <c r="C4" s="183"/>
      <c r="D4" s="183"/>
      <c r="E4" s="183"/>
      <c r="F4" s="183"/>
      <c r="H4" s="184"/>
      <c r="I4" s="184"/>
      <c r="J4" s="184"/>
      <c r="K4" s="184"/>
      <c r="L4" s="192"/>
    </row>
    <row r="5" spans="1:12">
      <c r="A5" s="15"/>
      <c r="B5" s="183"/>
      <c r="C5" s="183"/>
      <c r="D5" s="183"/>
      <c r="E5" s="183"/>
      <c r="F5" s="183"/>
      <c r="H5" s="184"/>
      <c r="I5" s="184"/>
      <c r="J5" s="184"/>
      <c r="K5" s="184"/>
      <c r="L5" s="192"/>
    </row>
    <row r="6" spans="1:12">
      <c r="A6" s="15"/>
      <c r="B6" s="1419" t="s">
        <v>204</v>
      </c>
      <c r="C6" s="1419"/>
      <c r="D6" s="1419"/>
      <c r="E6" s="1419"/>
      <c r="F6" s="1419"/>
      <c r="G6" s="1419"/>
      <c r="H6" s="1422" t="e">
        <f>'04-22-Master'!#REF!</f>
        <v>#REF!</v>
      </c>
      <c r="I6" s="1421"/>
      <c r="J6" s="1421"/>
      <c r="K6" s="1421"/>
      <c r="L6" s="1224"/>
    </row>
    <row r="7" spans="1:12">
      <c r="A7" s="15"/>
      <c r="B7" s="1423" t="s">
        <v>205</v>
      </c>
      <c r="C7" s="1423"/>
      <c r="D7" s="1423"/>
      <c r="E7" s="1423"/>
      <c r="F7" s="1423"/>
      <c r="G7" s="1423"/>
      <c r="H7" s="1422" t="e">
        <f>'04-22-Master'!#REF!</f>
        <v>#REF!</v>
      </c>
      <c r="I7" s="1421"/>
      <c r="J7" s="1421"/>
      <c r="K7" s="1421"/>
      <c r="L7" s="1224"/>
    </row>
    <row r="8" spans="1:12">
      <c r="A8" s="15"/>
      <c r="B8" s="1419" t="s">
        <v>206</v>
      </c>
      <c r="C8" s="1419"/>
      <c r="D8" s="1419"/>
      <c r="E8" s="1419"/>
      <c r="F8" s="1419"/>
      <c r="G8" s="1419"/>
      <c r="H8" s="1422" t="e">
        <f>'04-22-Master'!#REF!</f>
        <v>#REF!</v>
      </c>
      <c r="I8" s="1421"/>
      <c r="J8" s="1421"/>
      <c r="K8" s="1421"/>
      <c r="L8" s="1224"/>
    </row>
    <row r="9" spans="1:12">
      <c r="A9" s="15"/>
      <c r="B9" s="1419" t="s">
        <v>207</v>
      </c>
      <c r="C9" s="1419"/>
      <c r="D9" s="1419"/>
      <c r="E9" s="1419"/>
      <c r="F9" s="1419"/>
      <c r="G9" s="1419"/>
      <c r="H9" s="1424" t="e">
        <f>'04-22-Master'!#REF!</f>
        <v>#REF!</v>
      </c>
      <c r="I9" s="1421"/>
      <c r="J9" s="1421"/>
      <c r="K9" s="1421"/>
      <c r="L9" s="1224"/>
    </row>
    <row r="10" spans="1:12">
      <c r="A10" s="15"/>
      <c r="B10" s="91" t="s">
        <v>209</v>
      </c>
      <c r="C10" s="92"/>
      <c r="D10" s="92"/>
      <c r="E10" s="92"/>
      <c r="F10" s="92"/>
      <c r="G10" s="92"/>
      <c r="H10" s="1416" t="s">
        <v>210</v>
      </c>
      <c r="I10" s="1417"/>
      <c r="J10" s="1417"/>
      <c r="K10" s="1417"/>
      <c r="L10" s="1418"/>
    </row>
    <row r="11" spans="1:12">
      <c r="A11" s="15"/>
      <c r="B11" s="91" t="s">
        <v>211</v>
      </c>
      <c r="C11" s="92"/>
      <c r="D11" s="92"/>
      <c r="E11" s="92"/>
      <c r="F11" s="92"/>
      <c r="G11" s="92"/>
      <c r="H11" s="93"/>
      <c r="I11" s="94"/>
      <c r="J11" s="174"/>
      <c r="K11" s="94"/>
      <c r="L11" s="99"/>
    </row>
    <row r="12" spans="1:12">
      <c r="A12" s="15"/>
      <c r="B12" s="1234" t="s">
        <v>212</v>
      </c>
      <c r="C12" s="1234"/>
      <c r="D12" s="1234"/>
      <c r="E12" s="1234"/>
      <c r="F12" s="1234"/>
      <c r="G12" s="1234"/>
      <c r="H12" s="1227" t="e">
        <f>'04-22-Master'!#REF!</f>
        <v>#REF!</v>
      </c>
      <c r="I12" s="1228"/>
      <c r="J12" s="1228"/>
      <c r="K12" s="1228"/>
      <c r="L12" s="1229"/>
    </row>
    <row r="13" spans="1:12">
      <c r="A13" s="15"/>
      <c r="B13" s="1419"/>
      <c r="C13" s="1419"/>
      <c r="D13" s="1419"/>
      <c r="E13" s="1419"/>
      <c r="F13" s="1419"/>
      <c r="G13" s="1419"/>
      <c r="H13" s="1420" t="e">
        <f>'04-22-Master'!#REF!</f>
        <v>#REF!</v>
      </c>
      <c r="I13" s="1421"/>
      <c r="J13" s="1421"/>
      <c r="K13" s="1421"/>
      <c r="L13" s="1224"/>
    </row>
    <row r="14" spans="1:12">
      <c r="A14" s="15"/>
      <c r="B14" s="1419"/>
      <c r="C14" s="1419"/>
      <c r="D14" s="1419"/>
      <c r="E14" s="1419"/>
      <c r="F14" s="1419"/>
      <c r="G14" s="1419"/>
      <c r="H14" s="1422" t="e">
        <f>'04-22-Master'!#REF!</f>
        <v>#REF!</v>
      </c>
      <c r="I14" s="1421"/>
      <c r="J14" s="1421"/>
      <c r="K14" s="1421"/>
      <c r="L14" s="1224"/>
    </row>
    <row r="15" spans="1:12">
      <c r="A15" s="15"/>
      <c r="G15" s="2" t="s">
        <v>236</v>
      </c>
      <c r="H15" s="2"/>
      <c r="I15" s="2"/>
      <c r="J15" s="2"/>
      <c r="K15" s="2"/>
      <c r="L15" s="86"/>
    </row>
    <row r="16" spans="1:12">
      <c r="A16" s="15"/>
      <c r="B16" s="176" t="s">
        <v>220</v>
      </c>
      <c r="C16" s="172"/>
      <c r="D16" s="172"/>
      <c r="E16" s="172"/>
      <c r="F16" s="172"/>
      <c r="G16" s="172"/>
      <c r="H16" s="161"/>
      <c r="I16" s="161"/>
      <c r="J16" s="161"/>
      <c r="K16" s="161"/>
      <c r="L16" s="179"/>
    </row>
    <row r="17" spans="1:12">
      <c r="A17" s="15"/>
      <c r="B17" s="176" t="s">
        <v>221</v>
      </c>
      <c r="C17" s="172"/>
      <c r="D17" s="172"/>
      <c r="E17" s="172"/>
      <c r="F17" s="172"/>
      <c r="G17" s="172"/>
      <c r="H17" s="161"/>
      <c r="I17" s="161"/>
      <c r="J17" s="162"/>
      <c r="K17" s="161"/>
      <c r="L17" s="179"/>
    </row>
    <row r="18" spans="1:12" ht="27.95" customHeight="1">
      <c r="A18" s="90"/>
      <c r="B18" s="91" t="s">
        <v>224</v>
      </c>
      <c r="C18" s="92"/>
      <c r="D18" s="189"/>
      <c r="E18" s="167" t="s">
        <v>226</v>
      </c>
      <c r="F18" s="66"/>
      <c r="G18" s="1411" t="s">
        <v>225</v>
      </c>
      <c r="H18" s="1412"/>
      <c r="I18" s="166" t="s">
        <v>222</v>
      </c>
      <c r="J18" s="169" t="s">
        <v>227</v>
      </c>
      <c r="K18" s="1411" t="s">
        <v>223</v>
      </c>
      <c r="L18" s="1413"/>
    </row>
    <row r="19" spans="1:12" ht="20.100000000000001" customHeight="1">
      <c r="A19" s="90"/>
      <c r="B19" s="170">
        <v>1</v>
      </c>
      <c r="C19" s="92"/>
      <c r="D19" s="92"/>
      <c r="E19" s="173">
        <v>2</v>
      </c>
      <c r="F19" s="95"/>
      <c r="G19" s="173">
        <v>3</v>
      </c>
      <c r="H19" s="189"/>
      <c r="I19" s="189">
        <v>4</v>
      </c>
      <c r="J19" s="110">
        <v>5</v>
      </c>
      <c r="K19" s="97"/>
      <c r="L19" s="98">
        <v>6</v>
      </c>
    </row>
    <row r="20" spans="1:12" ht="20.100000000000001" customHeight="1">
      <c r="A20" s="90"/>
      <c r="B20" s="91" t="e">
        <f>'04-22-Master'!#REF!</f>
        <v>#REF!</v>
      </c>
      <c r="C20" s="185"/>
      <c r="D20" s="186"/>
      <c r="E20" s="187" t="s">
        <v>386</v>
      </c>
      <c r="F20" s="186"/>
      <c r="G20" s="187" t="s">
        <v>384</v>
      </c>
      <c r="H20" s="66"/>
      <c r="I20" s="13" t="s">
        <v>387</v>
      </c>
      <c r="J20" s="285">
        <v>1</v>
      </c>
      <c r="K20" s="188" t="s">
        <v>37</v>
      </c>
      <c r="L20" s="193"/>
    </row>
    <row r="21" spans="1:12" ht="20.100000000000001" customHeight="1">
      <c r="A21" s="90"/>
      <c r="B21" s="91"/>
      <c r="C21" s="185"/>
      <c r="D21" s="186"/>
      <c r="E21" s="187"/>
      <c r="F21" s="186"/>
      <c r="G21" s="187"/>
      <c r="H21" s="66"/>
      <c r="I21" s="13"/>
      <c r="J21" s="13"/>
      <c r="K21" s="188"/>
      <c r="L21" s="193"/>
    </row>
    <row r="22" spans="1:12" ht="20.100000000000001" customHeight="1">
      <c r="A22" s="90"/>
      <c r="B22" s="91"/>
      <c r="C22" s="185"/>
      <c r="D22" s="186"/>
      <c r="E22" s="187"/>
      <c r="F22" s="186"/>
      <c r="G22" s="187"/>
      <c r="H22" s="66"/>
      <c r="I22" s="13"/>
      <c r="J22" s="13"/>
      <c r="K22" s="188"/>
      <c r="L22" s="193"/>
    </row>
    <row r="23" spans="1:12" ht="20.100000000000001" customHeight="1">
      <c r="A23" s="90"/>
      <c r="B23" s="73"/>
      <c r="C23" s="19"/>
      <c r="D23" s="74"/>
      <c r="E23" s="187"/>
      <c r="F23" s="186"/>
      <c r="G23" s="187"/>
      <c r="H23" s="66"/>
      <c r="I23" s="13"/>
      <c r="J23" s="13"/>
      <c r="K23" s="188"/>
      <c r="L23" s="193"/>
    </row>
    <row r="24" spans="1:12" ht="27.95" customHeight="1">
      <c r="A24" s="90"/>
      <c r="B24" t="s">
        <v>228</v>
      </c>
      <c r="L24" s="16"/>
    </row>
    <row r="25" spans="1:12" ht="27.95" customHeight="1">
      <c r="A25" s="15"/>
      <c r="B25" t="s">
        <v>229</v>
      </c>
      <c r="L25" s="16"/>
    </row>
    <row r="26" spans="1:12" ht="27.95" customHeight="1">
      <c r="A26" s="15"/>
      <c r="B26" t="s">
        <v>240</v>
      </c>
      <c r="J26" t="s">
        <v>239</v>
      </c>
      <c r="L26" s="16"/>
    </row>
    <row r="27" spans="1:12" ht="19.5" customHeight="1">
      <c r="A27" s="15"/>
      <c r="G27" s="2" t="s">
        <v>237</v>
      </c>
      <c r="H27" s="2"/>
      <c r="I27" s="2"/>
      <c r="J27" s="2"/>
      <c r="K27" s="2"/>
      <c r="L27" s="86"/>
    </row>
    <row r="28" spans="1:12" ht="11.25" customHeight="1">
      <c r="A28" s="15"/>
      <c r="B28" s="2"/>
      <c r="G28" t="s">
        <v>238</v>
      </c>
      <c r="H28" s="2"/>
      <c r="I28" s="2"/>
      <c r="J28" s="2"/>
      <c r="K28" s="2"/>
      <c r="L28" s="86"/>
    </row>
    <row r="29" spans="1:12" ht="27.95" customHeight="1">
      <c r="A29" s="15"/>
      <c r="B29" s="176" t="s">
        <v>241</v>
      </c>
      <c r="C29" s="172"/>
      <c r="D29" s="172"/>
      <c r="E29" s="172"/>
      <c r="F29" s="172"/>
      <c r="G29" s="172"/>
      <c r="H29" s="161"/>
      <c r="I29" s="161"/>
      <c r="J29" s="161"/>
      <c r="K29" s="161"/>
      <c r="L29" s="179"/>
    </row>
    <row r="30" spans="1:12" ht="27.95" customHeight="1">
      <c r="A30" s="15"/>
      <c r="B30" s="176" t="s">
        <v>242</v>
      </c>
      <c r="C30" s="172"/>
      <c r="D30" s="172"/>
      <c r="E30" s="172"/>
      <c r="F30" s="172"/>
      <c r="G30" s="172"/>
      <c r="H30" s="161"/>
      <c r="I30" s="161"/>
      <c r="J30" s="162"/>
      <c r="K30" s="161"/>
      <c r="L30" s="179"/>
    </row>
    <row r="31" spans="1:12" ht="27.95" customHeight="1">
      <c r="A31" s="15"/>
      <c r="B31" s="91" t="s">
        <v>5</v>
      </c>
      <c r="C31" s="1431" t="s">
        <v>243</v>
      </c>
      <c r="D31" s="1409"/>
      <c r="E31" s="1409"/>
      <c r="F31" s="1409"/>
      <c r="G31" s="1409"/>
      <c r="H31" s="1432"/>
      <c r="I31" s="168" t="s">
        <v>112</v>
      </c>
      <c r="J31" s="1433" t="s">
        <v>244</v>
      </c>
      <c r="K31" s="1434"/>
      <c r="L31" s="1435"/>
    </row>
    <row r="32" spans="1:12" ht="20.100000000000001" customHeight="1">
      <c r="A32" s="15"/>
      <c r="B32" s="170">
        <v>1</v>
      </c>
      <c r="C32" s="204"/>
      <c r="D32" s="94"/>
      <c r="E32" s="100">
        <v>2</v>
      </c>
      <c r="F32" s="65"/>
      <c r="G32" s="1430"/>
      <c r="H32" s="1412"/>
      <c r="I32" s="94">
        <v>3</v>
      </c>
      <c r="J32" s="191" t="s">
        <v>245</v>
      </c>
      <c r="K32" s="1436">
        <v>4</v>
      </c>
      <c r="L32" s="1437"/>
    </row>
    <row r="33" spans="1:12" ht="20.100000000000001" customHeight="1">
      <c r="A33" s="15"/>
      <c r="B33" s="91"/>
      <c r="C33" s="204"/>
      <c r="D33" s="94"/>
      <c r="E33" s="100"/>
      <c r="F33" s="65"/>
      <c r="G33" s="1430"/>
      <c r="H33" s="1412"/>
      <c r="I33" s="188"/>
      <c r="J33" s="204"/>
      <c r="K33" s="1430"/>
      <c r="L33" s="1413"/>
    </row>
    <row r="34" spans="1:12" ht="20.100000000000001" customHeight="1">
      <c r="A34" s="15"/>
      <c r="B34" s="91"/>
      <c r="C34" s="204"/>
      <c r="D34" s="94"/>
      <c r="E34" s="100"/>
      <c r="F34" s="65"/>
      <c r="G34" s="1430"/>
      <c r="H34" s="1412"/>
      <c r="I34" s="188"/>
      <c r="J34" s="190"/>
      <c r="K34" s="1430"/>
      <c r="L34" s="1413"/>
    </row>
    <row r="35" spans="1:12" ht="20.100000000000001" customHeight="1">
      <c r="A35" s="15"/>
      <c r="B35" s="91"/>
      <c r="C35" s="204"/>
      <c r="D35" s="94"/>
      <c r="E35" s="100"/>
      <c r="F35" s="65"/>
      <c r="G35" s="1430"/>
      <c r="H35" s="1412"/>
      <c r="I35" s="188"/>
      <c r="J35" s="190"/>
      <c r="K35" s="1430"/>
      <c r="L35" s="1413"/>
    </row>
    <row r="36" spans="1:12" ht="20.100000000000001" customHeight="1">
      <c r="A36" s="15"/>
      <c r="B36" s="73"/>
      <c r="C36" s="204"/>
      <c r="D36" s="94"/>
      <c r="E36" s="100"/>
      <c r="F36" s="65"/>
      <c r="G36" s="1430"/>
      <c r="H36" s="1412"/>
      <c r="I36" s="188"/>
      <c r="J36" s="190"/>
      <c r="K36" s="1430"/>
      <c r="L36" s="1413"/>
    </row>
    <row r="37" spans="1:12" ht="27.95" customHeight="1">
      <c r="A37" s="15"/>
      <c r="B37" t="s">
        <v>249</v>
      </c>
      <c r="L37" s="16"/>
    </row>
    <row r="38" spans="1:12" ht="19.5" customHeight="1">
      <c r="A38" s="15"/>
      <c r="B38" t="s">
        <v>250</v>
      </c>
      <c r="L38" s="16"/>
    </row>
    <row r="39" spans="1:12" ht="19.5" customHeight="1">
      <c r="A39" s="15"/>
      <c r="B39" t="s">
        <v>251</v>
      </c>
      <c r="L39" s="16"/>
    </row>
    <row r="40" spans="1:12" ht="15.75" customHeight="1">
      <c r="A40" s="15"/>
      <c r="B40" t="s">
        <v>252</v>
      </c>
      <c r="L40" s="16"/>
    </row>
    <row r="41" spans="1:12" ht="27.95" customHeight="1">
      <c r="A41" s="15"/>
      <c r="B41" s="187" t="s">
        <v>246</v>
      </c>
      <c r="C41" s="65"/>
      <c r="D41" s="65"/>
      <c r="E41" s="65"/>
      <c r="F41" s="66"/>
      <c r="G41" s="187" t="s">
        <v>222</v>
      </c>
      <c r="H41" s="66"/>
      <c r="I41" s="187" t="s">
        <v>247</v>
      </c>
      <c r="J41" s="65"/>
      <c r="K41" s="66"/>
      <c r="L41" s="16"/>
    </row>
    <row r="42" spans="1:12" ht="27.95" customHeight="1">
      <c r="A42" s="15"/>
      <c r="B42" s="1414"/>
      <c r="C42" s="1429"/>
      <c r="D42" s="1429"/>
      <c r="E42" s="1429"/>
      <c r="F42" s="1425"/>
      <c r="G42" s="1414"/>
      <c r="H42" s="1425"/>
      <c r="I42" s="1414"/>
      <c r="J42" s="1429"/>
      <c r="K42" s="1425"/>
      <c r="L42" s="16"/>
    </row>
    <row r="43" spans="1:12" ht="27.95" customHeight="1">
      <c r="A43" s="15"/>
      <c r="B43" s="1414"/>
      <c r="C43" s="1429"/>
      <c r="D43" s="1429"/>
      <c r="E43" s="1429"/>
      <c r="F43" s="1425"/>
      <c r="G43" s="1414"/>
      <c r="H43" s="1425"/>
      <c r="I43" s="1414"/>
      <c r="J43" s="1429"/>
      <c r="K43" s="1425"/>
      <c r="L43" s="16"/>
    </row>
    <row r="44" spans="1:12" ht="27.95" customHeight="1">
      <c r="A44" s="15"/>
      <c r="B44" s="1414"/>
      <c r="C44" s="1429"/>
      <c r="D44" s="1429"/>
      <c r="E44" s="1429"/>
      <c r="F44" s="1425"/>
      <c r="G44" s="1414"/>
      <c r="H44" s="1425"/>
      <c r="I44" s="1414"/>
      <c r="J44" s="1429"/>
      <c r="K44" s="1425"/>
      <c r="L44" s="16"/>
    </row>
    <row r="45" spans="1:12" ht="27.95" customHeight="1">
      <c r="A45" s="15"/>
      <c r="B45" s="1414"/>
      <c r="C45" s="1429"/>
      <c r="D45" s="1429"/>
      <c r="E45" s="1429"/>
      <c r="F45" s="1425"/>
      <c r="G45" s="1414"/>
      <c r="H45" s="1425"/>
      <c r="I45" s="1414"/>
      <c r="J45" s="1429"/>
      <c r="K45" s="1425"/>
      <c r="L45" s="16"/>
    </row>
    <row r="46" spans="1:12">
      <c r="A46" s="15"/>
      <c r="L46" s="16"/>
    </row>
    <row r="47" spans="1:12">
      <c r="A47" s="15"/>
      <c r="B47" t="s">
        <v>219</v>
      </c>
      <c r="C47" s="284" t="e">
        <f>'04-22-Master'!#REF!</f>
        <v>#REF!</v>
      </c>
      <c r="I47" t="s">
        <v>248</v>
      </c>
      <c r="L47" s="16"/>
    </row>
    <row r="48" spans="1:12" ht="18.75">
      <c r="A48" s="15"/>
      <c r="F48" s="175" t="s">
        <v>214</v>
      </c>
      <c r="L48" s="16"/>
    </row>
    <row r="49" spans="1:12">
      <c r="A49" s="15" t="s">
        <v>215</v>
      </c>
      <c r="K49" s="225" t="e">
        <f>'04-22-Master'!#REF!</f>
        <v>#REF!</v>
      </c>
      <c r="L49" s="16"/>
    </row>
    <row r="50" spans="1:12">
      <c r="A50" s="15" t="s">
        <v>216</v>
      </c>
      <c r="L50" s="16"/>
    </row>
    <row r="51" spans="1:12">
      <c r="A51" s="15"/>
      <c r="L51" s="16"/>
    </row>
    <row r="52" spans="1:12">
      <c r="A52" s="15"/>
      <c r="F52" t="s">
        <v>217</v>
      </c>
      <c r="L52" s="16"/>
    </row>
    <row r="53" spans="1:12">
      <c r="A53" s="15" t="s">
        <v>218</v>
      </c>
      <c r="B53" t="s">
        <v>382</v>
      </c>
      <c r="F53" t="str">
        <f>'04-22-Master'!F5</f>
        <v>Burgeon IT Services Pvt.Ltd.</v>
      </c>
      <c r="L53" s="16"/>
    </row>
    <row r="54" spans="1:12" ht="15.75" thickBot="1">
      <c r="A54" s="27" t="s">
        <v>219</v>
      </c>
      <c r="B54" s="287" t="e">
        <f>'04-22-Master'!#REF!</f>
        <v>#REF!</v>
      </c>
      <c r="C54" s="25"/>
      <c r="D54" s="25"/>
      <c r="E54" s="25"/>
      <c r="F54" s="25" t="str">
        <f>'04-22-Master'!F6</f>
        <v>Siri Mansion LIGB 436 Dr.A S Rao Nagar,Hyderabad</v>
      </c>
      <c r="G54" s="25"/>
      <c r="H54" s="25"/>
      <c r="I54" s="25"/>
      <c r="J54" s="25"/>
      <c r="K54" s="25"/>
      <c r="L54" s="26"/>
    </row>
    <row r="55" spans="1:12" ht="27.95" customHeight="1">
      <c r="A55" s="79"/>
      <c r="B55" s="80"/>
      <c r="C55" s="80"/>
      <c r="D55" s="180"/>
      <c r="E55" s="180"/>
      <c r="F55" s="180"/>
      <c r="G55" s="180"/>
      <c r="H55" s="180"/>
      <c r="I55" s="180"/>
      <c r="J55" s="80"/>
      <c r="K55" s="182" t="s">
        <v>233</v>
      </c>
      <c r="L55" s="181"/>
    </row>
    <row r="56" spans="1:12" ht="27.95" customHeight="1">
      <c r="A56" s="15"/>
      <c r="B56" s="1438" t="s">
        <v>232</v>
      </c>
      <c r="C56" s="1438"/>
      <c r="D56" s="1438"/>
      <c r="E56" s="1438"/>
      <c r="F56" s="1438"/>
      <c r="G56" s="1438"/>
      <c r="H56" s="1438"/>
      <c r="I56" s="1438"/>
      <c r="J56" s="1438"/>
      <c r="K56" s="1438"/>
      <c r="L56" s="1439"/>
    </row>
    <row r="57" spans="1:12" ht="27.95" customHeight="1">
      <c r="A57" s="15"/>
      <c r="B57" s="1403" t="s">
        <v>234</v>
      </c>
      <c r="C57" s="1403"/>
      <c r="D57" s="1403"/>
      <c r="E57" s="1403"/>
      <c r="F57" s="1403"/>
      <c r="G57" s="1403"/>
      <c r="H57" s="1403"/>
      <c r="I57" s="1403"/>
      <c r="J57" s="1403"/>
      <c r="K57" s="1403"/>
      <c r="L57" s="1440"/>
    </row>
    <row r="58" spans="1:12" ht="27.95" customHeight="1">
      <c r="A58" s="15"/>
      <c r="B58" s="183" t="s">
        <v>235</v>
      </c>
      <c r="C58" s="183"/>
      <c r="D58" s="183"/>
      <c r="E58" s="183"/>
      <c r="F58" s="183"/>
      <c r="H58" s="184"/>
      <c r="I58" s="184"/>
      <c r="J58" s="184"/>
      <c r="K58" s="184"/>
      <c r="L58" s="192"/>
    </row>
    <row r="59" spans="1:12" ht="27.95" customHeight="1">
      <c r="A59" s="15"/>
      <c r="B59" s="183"/>
      <c r="C59" s="183"/>
      <c r="D59" s="183"/>
      <c r="E59" s="183"/>
      <c r="F59" s="183"/>
      <c r="H59" s="184"/>
      <c r="I59" s="184"/>
      <c r="J59" s="184"/>
      <c r="K59" s="184"/>
      <c r="L59" s="192"/>
    </row>
    <row r="60" spans="1:12" ht="27.95" customHeight="1">
      <c r="A60" s="15"/>
      <c r="B60" s="1419" t="s">
        <v>204</v>
      </c>
      <c r="C60" s="1419"/>
      <c r="D60" s="1419"/>
      <c r="E60" s="1419"/>
      <c r="F60" s="1419"/>
      <c r="G60" s="1419"/>
      <c r="H60" s="1422" t="e">
        <f>'04-22-Master'!#REF!</f>
        <v>#REF!</v>
      </c>
      <c r="I60" s="1421"/>
      <c r="J60" s="1421"/>
      <c r="K60" s="1421"/>
      <c r="L60" s="1224"/>
    </row>
    <row r="61" spans="1:12" ht="27.95" customHeight="1">
      <c r="A61" s="15"/>
      <c r="B61" s="1423" t="s">
        <v>205</v>
      </c>
      <c r="C61" s="1423"/>
      <c r="D61" s="1423"/>
      <c r="E61" s="1423"/>
      <c r="F61" s="1423"/>
      <c r="G61" s="1423"/>
      <c r="H61" s="1422" t="e">
        <f>'04-22-Master'!#REF!</f>
        <v>#REF!</v>
      </c>
      <c r="I61" s="1421"/>
      <c r="J61" s="1421"/>
      <c r="K61" s="1421"/>
      <c r="L61" s="1224"/>
    </row>
    <row r="62" spans="1:12" ht="27.95" customHeight="1">
      <c r="A62" s="15"/>
      <c r="B62" s="1419" t="s">
        <v>206</v>
      </c>
      <c r="C62" s="1419"/>
      <c r="D62" s="1419"/>
      <c r="E62" s="1419"/>
      <c r="F62" s="1419"/>
      <c r="G62" s="1419"/>
      <c r="H62" s="1422" t="e">
        <f>'04-22-Master'!#REF!</f>
        <v>#REF!</v>
      </c>
      <c r="I62" s="1421"/>
      <c r="J62" s="1421"/>
      <c r="K62" s="1421"/>
      <c r="L62" s="1224"/>
    </row>
    <row r="63" spans="1:12" ht="27.95" customHeight="1">
      <c r="A63" s="15"/>
      <c r="B63" s="1419" t="s">
        <v>207</v>
      </c>
      <c r="C63" s="1419"/>
      <c r="D63" s="1419"/>
      <c r="E63" s="1419"/>
      <c r="F63" s="1419"/>
      <c r="G63" s="1419"/>
      <c r="H63" s="1424" t="e">
        <f>'04-22-Master'!#REF!</f>
        <v>#REF!</v>
      </c>
      <c r="I63" s="1421"/>
      <c r="J63" s="1421"/>
      <c r="K63" s="1421"/>
      <c r="L63" s="1224"/>
    </row>
    <row r="64" spans="1:12" ht="27.95" customHeight="1">
      <c r="A64" s="15"/>
      <c r="B64" s="91" t="s">
        <v>209</v>
      </c>
      <c r="C64" s="92"/>
      <c r="D64" s="92"/>
      <c r="E64" s="92"/>
      <c r="F64" s="92"/>
      <c r="G64" s="92"/>
      <c r="H64" s="1416" t="s">
        <v>210</v>
      </c>
      <c r="I64" s="1417"/>
      <c r="J64" s="1417"/>
      <c r="K64" s="1417"/>
      <c r="L64" s="1418"/>
    </row>
    <row r="65" spans="1:12" ht="27.95" customHeight="1">
      <c r="A65" s="15"/>
      <c r="B65" s="91" t="s">
        <v>211</v>
      </c>
      <c r="C65" s="92"/>
      <c r="D65" s="92"/>
      <c r="E65" s="92"/>
      <c r="F65" s="92"/>
      <c r="G65" s="92"/>
      <c r="H65" s="93"/>
      <c r="I65" s="94"/>
      <c r="J65" s="174"/>
      <c r="K65" s="94"/>
      <c r="L65" s="99"/>
    </row>
    <row r="66" spans="1:12">
      <c r="A66" s="15"/>
      <c r="B66" s="1234" t="s">
        <v>212</v>
      </c>
      <c r="C66" s="1234"/>
      <c r="D66" s="1234"/>
      <c r="E66" s="1234"/>
      <c r="F66" s="1234"/>
      <c r="G66" s="1234"/>
      <c r="H66" s="1227" t="e">
        <f>'04-22-Master'!#REF!</f>
        <v>#REF!</v>
      </c>
      <c r="I66" s="1228"/>
      <c r="J66" s="1228"/>
      <c r="K66" s="1228"/>
      <c r="L66" s="1229"/>
    </row>
    <row r="67" spans="1:12">
      <c r="A67" s="15"/>
      <c r="B67" s="1419"/>
      <c r="C67" s="1419"/>
      <c r="D67" s="1419"/>
      <c r="E67" s="1419"/>
      <c r="F67" s="1419"/>
      <c r="G67" s="1419"/>
      <c r="H67" s="1420" t="e">
        <f>'04-22-Master'!#REF!</f>
        <v>#REF!</v>
      </c>
      <c r="I67" s="1421"/>
      <c r="J67" s="1421"/>
      <c r="K67" s="1421"/>
      <c r="L67" s="1224"/>
    </row>
    <row r="68" spans="1:12">
      <c r="A68" s="15"/>
      <c r="B68" s="1419"/>
      <c r="C68" s="1419"/>
      <c r="D68" s="1419"/>
      <c r="E68" s="1419"/>
      <c r="F68" s="1419"/>
      <c r="G68" s="1419"/>
      <c r="H68" s="1422" t="e">
        <f>'04-22-Master'!#REF!</f>
        <v>#REF!</v>
      </c>
      <c r="I68" s="1421"/>
      <c r="J68" s="1421"/>
      <c r="K68" s="1421"/>
      <c r="L68" s="1224"/>
    </row>
    <row r="69" spans="1:12">
      <c r="A69" s="15"/>
      <c r="G69" s="2" t="s">
        <v>236</v>
      </c>
      <c r="H69" s="2"/>
      <c r="I69" s="2"/>
      <c r="J69" s="2"/>
      <c r="K69" s="2"/>
      <c r="L69" s="86"/>
    </row>
    <row r="70" spans="1:12">
      <c r="A70" s="15"/>
      <c r="B70" s="176" t="s">
        <v>220</v>
      </c>
      <c r="C70" s="172"/>
      <c r="D70" s="172"/>
      <c r="E70" s="172"/>
      <c r="F70" s="172"/>
      <c r="G70" s="172"/>
      <c r="H70" s="161"/>
      <c r="I70" s="161"/>
      <c r="J70" s="161"/>
      <c r="K70" s="161"/>
      <c r="L70" s="179"/>
    </row>
    <row r="71" spans="1:12">
      <c r="A71" s="15"/>
      <c r="B71" s="176" t="s">
        <v>221</v>
      </c>
      <c r="C71" s="172"/>
      <c r="D71" s="172"/>
      <c r="E71" s="172"/>
      <c r="F71" s="172"/>
      <c r="G71" s="172"/>
      <c r="H71" s="161"/>
      <c r="I71" s="161"/>
      <c r="J71" s="162"/>
      <c r="K71" s="161"/>
      <c r="L71" s="179"/>
    </row>
    <row r="72" spans="1:12" ht="45">
      <c r="A72" s="90"/>
      <c r="B72" s="91" t="s">
        <v>224</v>
      </c>
      <c r="C72" s="92"/>
      <c r="D72" s="189"/>
      <c r="E72" s="167" t="s">
        <v>226</v>
      </c>
      <c r="F72" s="66"/>
      <c r="G72" s="1411" t="s">
        <v>225</v>
      </c>
      <c r="H72" s="1412"/>
      <c r="I72" s="166" t="s">
        <v>222</v>
      </c>
      <c r="J72" s="169" t="s">
        <v>227</v>
      </c>
      <c r="K72" s="1411" t="s">
        <v>223</v>
      </c>
      <c r="L72" s="1413"/>
    </row>
    <row r="73" spans="1:12">
      <c r="A73" s="90"/>
      <c r="B73" s="170">
        <v>1</v>
      </c>
      <c r="C73" s="92"/>
      <c r="D73" s="92"/>
      <c r="E73" s="173">
        <v>2</v>
      </c>
      <c r="F73" s="95"/>
      <c r="G73" s="173">
        <v>3</v>
      </c>
      <c r="H73" s="189"/>
      <c r="I73" s="189">
        <v>4</v>
      </c>
      <c r="J73" s="110">
        <v>5</v>
      </c>
      <c r="K73" s="97"/>
      <c r="L73" s="98">
        <v>6</v>
      </c>
    </row>
    <row r="74" spans="1:12">
      <c r="A74" s="90"/>
      <c r="B74" s="91" t="e">
        <f>'04-22-Master'!#REF!</f>
        <v>#REF!</v>
      </c>
      <c r="C74" s="185"/>
      <c r="D74" s="186"/>
      <c r="E74" s="187" t="s">
        <v>386</v>
      </c>
      <c r="F74" s="186"/>
      <c r="G74" s="187" t="s">
        <v>384</v>
      </c>
      <c r="H74" s="66"/>
      <c r="I74" s="13" t="s">
        <v>387</v>
      </c>
      <c r="J74" s="285">
        <v>1</v>
      </c>
      <c r="K74" s="188" t="s">
        <v>37</v>
      </c>
      <c r="L74" s="193"/>
    </row>
    <row r="75" spans="1:12">
      <c r="A75" s="90"/>
      <c r="B75" s="91"/>
      <c r="C75" s="185"/>
      <c r="D75" s="186"/>
      <c r="E75" s="187"/>
      <c r="F75" s="186"/>
      <c r="G75" s="187"/>
      <c r="H75" s="66"/>
      <c r="I75" s="13"/>
      <c r="J75" s="13"/>
      <c r="K75" s="188"/>
      <c r="L75" s="193"/>
    </row>
    <row r="76" spans="1:12">
      <c r="A76" s="90"/>
      <c r="B76" s="91"/>
      <c r="C76" s="185"/>
      <c r="D76" s="186"/>
      <c r="E76" s="187"/>
      <c r="F76" s="186"/>
      <c r="G76" s="187"/>
      <c r="H76" s="66"/>
      <c r="I76" s="13"/>
      <c r="J76" s="13"/>
      <c r="K76" s="188"/>
      <c r="L76" s="193"/>
    </row>
    <row r="77" spans="1:12">
      <c r="A77" s="90"/>
      <c r="B77" s="73"/>
      <c r="C77" s="19"/>
      <c r="D77" s="74"/>
      <c r="E77" s="187"/>
      <c r="F77" s="186"/>
      <c r="G77" s="187"/>
      <c r="H77" s="66"/>
      <c r="I77" s="13"/>
      <c r="J77" s="13"/>
      <c r="K77" s="188"/>
      <c r="L77" s="193"/>
    </row>
    <row r="78" spans="1:12">
      <c r="A78" s="90"/>
      <c r="B78" t="s">
        <v>228</v>
      </c>
      <c r="L78" s="16"/>
    </row>
    <row r="79" spans="1:12">
      <c r="A79" s="15"/>
      <c r="B79" t="s">
        <v>229</v>
      </c>
      <c r="L79" s="16"/>
    </row>
    <row r="80" spans="1:12">
      <c r="A80" s="15"/>
      <c r="B80" t="s">
        <v>240</v>
      </c>
      <c r="J80" t="s">
        <v>239</v>
      </c>
      <c r="L80" s="16"/>
    </row>
    <row r="81" spans="1:12">
      <c r="A81" s="15"/>
      <c r="G81" s="2" t="s">
        <v>237</v>
      </c>
      <c r="H81" s="2"/>
      <c r="I81" s="2"/>
      <c r="J81" s="2"/>
      <c r="K81" s="2"/>
      <c r="L81" s="86"/>
    </row>
    <row r="82" spans="1:12">
      <c r="A82" s="15"/>
      <c r="B82" s="2"/>
      <c r="G82" t="s">
        <v>238</v>
      </c>
      <c r="H82" s="2"/>
      <c r="I82" s="2"/>
      <c r="J82" s="2"/>
      <c r="K82" s="2"/>
      <c r="L82" s="86"/>
    </row>
    <row r="83" spans="1:12">
      <c r="A83" s="15"/>
      <c r="B83" s="176" t="s">
        <v>241</v>
      </c>
      <c r="C83" s="172"/>
      <c r="D83" s="172"/>
      <c r="E83" s="172"/>
      <c r="F83" s="172"/>
      <c r="G83" s="172"/>
      <c r="H83" s="161"/>
      <c r="I83" s="161"/>
      <c r="J83" s="161"/>
      <c r="K83" s="161"/>
      <c r="L83" s="179"/>
    </row>
    <row r="84" spans="1:12">
      <c r="A84" s="15"/>
      <c r="B84" s="176" t="s">
        <v>242</v>
      </c>
      <c r="C84" s="172"/>
      <c r="D84" s="172"/>
      <c r="E84" s="172"/>
      <c r="F84" s="172"/>
      <c r="G84" s="172"/>
      <c r="H84" s="161"/>
      <c r="I84" s="161"/>
      <c r="J84" s="162"/>
      <c r="K84" s="161"/>
      <c r="L84" s="179"/>
    </row>
    <row r="85" spans="1:12">
      <c r="A85" s="15"/>
      <c r="B85" s="91" t="s">
        <v>5</v>
      </c>
      <c r="C85" s="1431" t="s">
        <v>243</v>
      </c>
      <c r="D85" s="1409"/>
      <c r="E85" s="1409"/>
      <c r="F85" s="1409"/>
      <c r="G85" s="1409"/>
      <c r="H85" s="1432"/>
      <c r="I85" s="168" t="s">
        <v>112</v>
      </c>
      <c r="J85" s="1433" t="s">
        <v>244</v>
      </c>
      <c r="K85" s="1434"/>
      <c r="L85" s="1435"/>
    </row>
    <row r="86" spans="1:12">
      <c r="A86" s="15"/>
      <c r="B86" s="170">
        <v>1</v>
      </c>
      <c r="C86" s="204"/>
      <c r="D86" s="94"/>
      <c r="E86" s="100">
        <v>2</v>
      </c>
      <c r="F86" s="65"/>
      <c r="G86" s="1430"/>
      <c r="H86" s="1412"/>
      <c r="I86" s="94">
        <v>3</v>
      </c>
      <c r="J86" s="191" t="s">
        <v>245</v>
      </c>
      <c r="K86" s="1436">
        <v>4</v>
      </c>
      <c r="L86" s="1437"/>
    </row>
    <row r="87" spans="1:12" ht="15" customHeight="1">
      <c r="A87" s="15"/>
      <c r="B87" s="91"/>
      <c r="C87" s="204"/>
      <c r="D87" s="94"/>
      <c r="E87" s="100"/>
      <c r="F87" s="65"/>
      <c r="G87" s="1430"/>
      <c r="H87" s="1412"/>
      <c r="I87" s="188"/>
      <c r="J87" s="190"/>
      <c r="K87" s="1430"/>
      <c r="L87" s="1413"/>
    </row>
    <row r="88" spans="1:12">
      <c r="A88" s="15"/>
      <c r="B88" s="91"/>
      <c r="C88" s="204"/>
      <c r="D88" s="94"/>
      <c r="E88" s="100"/>
      <c r="F88" s="65"/>
      <c r="G88" s="1430"/>
      <c r="H88" s="1412"/>
      <c r="I88" s="188"/>
      <c r="J88" s="190"/>
      <c r="K88" s="1430"/>
      <c r="L88" s="1413"/>
    </row>
    <row r="89" spans="1:12">
      <c r="A89" s="15"/>
      <c r="B89" s="91"/>
      <c r="C89" s="204"/>
      <c r="D89" s="94"/>
      <c r="E89" s="100"/>
      <c r="F89" s="65"/>
      <c r="G89" s="1430"/>
      <c r="H89" s="1412"/>
      <c r="I89" s="188"/>
      <c r="J89" s="190"/>
      <c r="K89" s="1430"/>
      <c r="L89" s="1413"/>
    </row>
    <row r="90" spans="1:12">
      <c r="A90" s="15"/>
      <c r="B90" s="73"/>
      <c r="C90" s="204"/>
      <c r="D90" s="94"/>
      <c r="E90" s="100"/>
      <c r="F90" s="65"/>
      <c r="G90" s="1430"/>
      <c r="H90" s="1412"/>
      <c r="I90" s="188"/>
      <c r="J90" s="190"/>
      <c r="K90" s="1430"/>
      <c r="L90" s="1413"/>
    </row>
    <row r="91" spans="1:12">
      <c r="A91" s="15"/>
      <c r="B91" t="s">
        <v>249</v>
      </c>
      <c r="L91" s="16"/>
    </row>
    <row r="92" spans="1:12">
      <c r="A92" s="15"/>
      <c r="B92" t="s">
        <v>250</v>
      </c>
      <c r="L92" s="16"/>
    </row>
    <row r="93" spans="1:12">
      <c r="A93" s="15"/>
      <c r="B93" t="s">
        <v>251</v>
      </c>
      <c r="L93" s="16"/>
    </row>
    <row r="94" spans="1:12">
      <c r="A94" s="15"/>
      <c r="B94" t="s">
        <v>252</v>
      </c>
      <c r="L94" s="16"/>
    </row>
    <row r="95" spans="1:12">
      <c r="A95" s="15"/>
      <c r="B95" s="187" t="s">
        <v>246</v>
      </c>
      <c r="C95" s="65"/>
      <c r="D95" s="65"/>
      <c r="E95" s="65"/>
      <c r="F95" s="66"/>
      <c r="G95" s="187" t="s">
        <v>222</v>
      </c>
      <c r="H95" s="66"/>
      <c r="I95" s="187" t="s">
        <v>247</v>
      </c>
      <c r="J95" s="65"/>
      <c r="K95" s="66"/>
      <c r="L95" s="16"/>
    </row>
    <row r="96" spans="1:12">
      <c r="A96" s="15"/>
      <c r="B96" s="1414"/>
      <c r="C96" s="1429"/>
      <c r="D96" s="1429"/>
      <c r="E96" s="1429"/>
      <c r="F96" s="1425"/>
      <c r="G96" s="1414"/>
      <c r="H96" s="1425"/>
      <c r="I96" s="1414"/>
      <c r="J96" s="1429"/>
      <c r="K96" s="1425"/>
      <c r="L96" s="16"/>
    </row>
    <row r="97" spans="1:12">
      <c r="A97" s="15"/>
      <c r="B97" s="1414"/>
      <c r="C97" s="1429"/>
      <c r="D97" s="1429"/>
      <c r="E97" s="1429"/>
      <c r="F97" s="1425"/>
      <c r="G97" s="1414"/>
      <c r="H97" s="1425"/>
      <c r="I97" s="1414"/>
      <c r="J97" s="1429"/>
      <c r="K97" s="1425"/>
      <c r="L97" s="16"/>
    </row>
    <row r="98" spans="1:12">
      <c r="A98" s="15"/>
      <c r="B98" s="1414"/>
      <c r="C98" s="1429"/>
      <c r="D98" s="1429"/>
      <c r="E98" s="1429"/>
      <c r="F98" s="1425"/>
      <c r="G98" s="1414"/>
      <c r="H98" s="1425"/>
      <c r="I98" s="1414"/>
      <c r="J98" s="1429"/>
      <c r="K98" s="1425"/>
      <c r="L98" s="16"/>
    </row>
    <row r="99" spans="1:12">
      <c r="A99" s="15"/>
      <c r="B99" s="1414"/>
      <c r="C99" s="1429"/>
      <c r="D99" s="1429"/>
      <c r="E99" s="1429"/>
      <c r="F99" s="1425"/>
      <c r="G99" s="1414"/>
      <c r="H99" s="1425"/>
      <c r="I99" s="1414"/>
      <c r="J99" s="1429"/>
      <c r="K99" s="1425"/>
      <c r="L99" s="16"/>
    </row>
    <row r="100" spans="1:12">
      <c r="A100" s="15"/>
      <c r="L100" s="16"/>
    </row>
    <row r="101" spans="1:12">
      <c r="A101" s="15"/>
      <c r="B101" t="s">
        <v>219</v>
      </c>
      <c r="C101" s="284" t="e">
        <f>'04-22-Master'!#REF!</f>
        <v>#REF!</v>
      </c>
      <c r="I101" t="s">
        <v>248</v>
      </c>
      <c r="L101" s="16"/>
    </row>
    <row r="102" spans="1:12" ht="27.95" customHeight="1">
      <c r="A102" s="15"/>
      <c r="F102" s="175" t="s">
        <v>214</v>
      </c>
      <c r="L102" s="16"/>
    </row>
    <row r="103" spans="1:12" ht="27.95" customHeight="1">
      <c r="A103" s="15" t="s">
        <v>215</v>
      </c>
      <c r="K103" s="225" t="e">
        <f>'04-22-Master'!#REF!</f>
        <v>#REF!</v>
      </c>
      <c r="L103" s="16"/>
    </row>
    <row r="104" spans="1:12" ht="27.95" customHeight="1">
      <c r="A104" s="15" t="s">
        <v>216</v>
      </c>
      <c r="L104" s="16"/>
    </row>
    <row r="105" spans="1:12" ht="27.95" customHeight="1">
      <c r="A105" s="15"/>
      <c r="L105" s="16"/>
    </row>
    <row r="106" spans="1:12" ht="27.95" customHeight="1">
      <c r="A106" s="15"/>
      <c r="F106" t="s">
        <v>217</v>
      </c>
      <c r="L106" s="16"/>
    </row>
    <row r="107" spans="1:12" ht="27.95" customHeight="1">
      <c r="A107" s="15" t="s">
        <v>218</v>
      </c>
      <c r="B107" t="s">
        <v>382</v>
      </c>
      <c r="F107" t="str">
        <f>'04-22-Master'!F5</f>
        <v>Burgeon IT Services Pvt.Ltd.</v>
      </c>
      <c r="L107" s="16"/>
    </row>
    <row r="108" spans="1:12" ht="27.95" customHeight="1" thickBot="1">
      <c r="A108" s="27" t="s">
        <v>219</v>
      </c>
      <c r="B108" s="287" t="e">
        <f>'04-22-Master'!#REF!</f>
        <v>#REF!</v>
      </c>
      <c r="C108" s="25"/>
      <c r="D108" s="25"/>
      <c r="E108" s="25"/>
      <c r="F108" s="25" t="str">
        <f>'04-22-Master'!F6</f>
        <v>Siri Mansion LIGB 436 Dr.A S Rao Nagar,Hyderabad</v>
      </c>
      <c r="G108" s="25"/>
      <c r="H108" s="25"/>
      <c r="I108" s="25"/>
      <c r="J108" s="25"/>
      <c r="K108" s="25"/>
      <c r="L108" s="26"/>
    </row>
    <row r="109" spans="1:12" ht="27.95" customHeight="1">
      <c r="A109" s="79"/>
      <c r="B109" s="80"/>
      <c r="C109" s="80"/>
      <c r="D109" s="180"/>
      <c r="E109" s="180"/>
      <c r="F109" s="180"/>
      <c r="G109" s="180"/>
      <c r="H109" s="180"/>
      <c r="I109" s="180"/>
      <c r="J109" s="80"/>
      <c r="K109" s="182" t="s">
        <v>233</v>
      </c>
      <c r="L109" s="181"/>
    </row>
    <row r="110" spans="1:12" ht="27.95" customHeight="1">
      <c r="A110" s="15"/>
      <c r="B110" s="1438" t="s">
        <v>232</v>
      </c>
      <c r="C110" s="1438"/>
      <c r="D110" s="1438"/>
      <c r="E110" s="1438"/>
      <c r="F110" s="1438"/>
      <c r="G110" s="1438"/>
      <c r="H110" s="1438"/>
      <c r="I110" s="1438"/>
      <c r="J110" s="1438"/>
      <c r="K110" s="1438"/>
      <c r="L110" s="1439"/>
    </row>
    <row r="111" spans="1:12" ht="27.95" customHeight="1">
      <c r="A111" s="15"/>
      <c r="B111" s="1403" t="s">
        <v>234</v>
      </c>
      <c r="C111" s="1403"/>
      <c r="D111" s="1403"/>
      <c r="E111" s="1403"/>
      <c r="F111" s="1403"/>
      <c r="G111" s="1403"/>
      <c r="H111" s="1403"/>
      <c r="I111" s="1403"/>
      <c r="J111" s="1403"/>
      <c r="K111" s="1403"/>
      <c r="L111" s="1440"/>
    </row>
    <row r="112" spans="1:12" ht="27.95" customHeight="1">
      <c r="A112" s="15"/>
      <c r="B112" s="183" t="s">
        <v>235</v>
      </c>
      <c r="C112" s="183"/>
      <c r="D112" s="183"/>
      <c r="E112" s="183"/>
      <c r="F112" s="183"/>
      <c r="H112" s="184"/>
      <c r="I112" s="184"/>
      <c r="J112" s="184"/>
      <c r="K112" s="184"/>
      <c r="L112" s="192"/>
    </row>
    <row r="113" spans="1:12" ht="27.95" customHeight="1">
      <c r="A113" s="15"/>
      <c r="B113" s="183"/>
      <c r="C113" s="183"/>
      <c r="D113" s="183"/>
      <c r="E113" s="183"/>
      <c r="F113" s="183"/>
      <c r="H113" s="184"/>
      <c r="I113" s="184"/>
      <c r="J113" s="184"/>
      <c r="K113" s="184"/>
      <c r="L113" s="192"/>
    </row>
    <row r="114" spans="1:12" ht="27.95" customHeight="1">
      <c r="A114" s="15"/>
      <c r="B114" s="1419" t="s">
        <v>204</v>
      </c>
      <c r="C114" s="1419"/>
      <c r="D114" s="1419"/>
      <c r="E114" s="1419"/>
      <c r="F114" s="1419"/>
      <c r="G114" s="1419"/>
      <c r="H114" s="1422" t="e">
        <f>'04-22-Master'!#REF!</f>
        <v>#REF!</v>
      </c>
      <c r="I114" s="1421"/>
      <c r="J114" s="1421"/>
      <c r="K114" s="1421"/>
      <c r="L114" s="1224"/>
    </row>
    <row r="115" spans="1:12" ht="27.95" customHeight="1">
      <c r="A115" s="15"/>
      <c r="B115" s="1423" t="s">
        <v>205</v>
      </c>
      <c r="C115" s="1423"/>
      <c r="D115" s="1423"/>
      <c r="E115" s="1423"/>
      <c r="F115" s="1423"/>
      <c r="G115" s="1423"/>
      <c r="H115" s="1422" t="e">
        <f>'04-22-Master'!#REF!</f>
        <v>#REF!</v>
      </c>
      <c r="I115" s="1421"/>
      <c r="J115" s="1421"/>
      <c r="K115" s="1421"/>
      <c r="L115" s="1224"/>
    </row>
    <row r="116" spans="1:12" ht="27.95" customHeight="1">
      <c r="A116" s="15"/>
      <c r="B116" s="1419" t="s">
        <v>206</v>
      </c>
      <c r="C116" s="1419"/>
      <c r="D116" s="1419"/>
      <c r="E116" s="1419"/>
      <c r="F116" s="1419"/>
      <c r="G116" s="1419"/>
      <c r="H116" s="1422" t="e">
        <f>'04-22-Master'!#REF!</f>
        <v>#REF!</v>
      </c>
      <c r="I116" s="1421"/>
      <c r="J116" s="1421"/>
      <c r="K116" s="1421"/>
      <c r="L116" s="1224"/>
    </row>
    <row r="117" spans="1:12" ht="27.95" customHeight="1">
      <c r="A117" s="15"/>
      <c r="B117" s="1419" t="s">
        <v>207</v>
      </c>
      <c r="C117" s="1419"/>
      <c r="D117" s="1419"/>
      <c r="E117" s="1419"/>
      <c r="F117" s="1419"/>
      <c r="G117" s="1419"/>
      <c r="H117" s="1424" t="e">
        <f>'04-22-Master'!#REF!</f>
        <v>#REF!</v>
      </c>
      <c r="I117" s="1421"/>
      <c r="J117" s="1421"/>
      <c r="K117" s="1421"/>
      <c r="L117" s="1224"/>
    </row>
    <row r="118" spans="1:12" ht="27.95" customHeight="1">
      <c r="A118" s="15"/>
      <c r="B118" s="91" t="s">
        <v>209</v>
      </c>
      <c r="C118" s="92"/>
      <c r="D118" s="92"/>
      <c r="E118" s="92"/>
      <c r="F118" s="92"/>
      <c r="G118" s="92"/>
      <c r="H118" s="1416" t="s">
        <v>210</v>
      </c>
      <c r="I118" s="1417"/>
      <c r="J118" s="1417"/>
      <c r="K118" s="1417"/>
      <c r="L118" s="1418"/>
    </row>
    <row r="119" spans="1:12">
      <c r="A119" s="15"/>
      <c r="B119" s="91" t="s">
        <v>211</v>
      </c>
      <c r="C119" s="92"/>
      <c r="D119" s="92"/>
      <c r="E119" s="92"/>
      <c r="F119" s="92"/>
      <c r="G119" s="92"/>
    </row>
    <row r="120" spans="1:12">
      <c r="A120" s="15"/>
      <c r="B120" s="1234" t="s">
        <v>212</v>
      </c>
      <c r="C120" s="1234"/>
      <c r="D120" s="1234"/>
      <c r="E120" s="1234"/>
      <c r="F120" s="1234"/>
      <c r="G120" s="1234"/>
      <c r="H120" s="1422" t="e">
        <f>'04-22-Master'!#REF!</f>
        <v>#REF!</v>
      </c>
      <c r="I120" s="1421"/>
      <c r="J120" s="1421"/>
      <c r="K120" s="1421"/>
      <c r="L120" s="1421"/>
    </row>
    <row r="121" spans="1:12">
      <c r="A121" s="15"/>
      <c r="B121" s="1419"/>
      <c r="C121" s="1419"/>
      <c r="D121" s="1419"/>
      <c r="E121" s="1419"/>
      <c r="F121" s="1419"/>
      <c r="G121" s="1419"/>
      <c r="H121" s="1422" t="e">
        <f>'04-22-Master'!#REF!</f>
        <v>#REF!</v>
      </c>
      <c r="I121" s="1421"/>
      <c r="J121" s="1421"/>
      <c r="K121" s="1421"/>
      <c r="L121" s="1421"/>
    </row>
    <row r="122" spans="1:12">
      <c r="A122" s="15"/>
      <c r="B122" s="1419"/>
      <c r="C122" s="1419"/>
      <c r="D122" s="1419"/>
      <c r="E122" s="1419"/>
      <c r="F122" s="1419"/>
      <c r="G122" s="1419"/>
      <c r="H122" s="1420" t="e">
        <f>'04-22-Master'!#REF!</f>
        <v>#REF!</v>
      </c>
      <c r="I122" s="1421"/>
      <c r="J122" s="1421"/>
      <c r="K122" s="1421"/>
      <c r="L122" s="1224"/>
    </row>
    <row r="123" spans="1:12">
      <c r="A123" s="15"/>
      <c r="G123" s="2" t="s">
        <v>236</v>
      </c>
      <c r="H123" s="2"/>
      <c r="I123" s="2"/>
      <c r="J123" s="2"/>
      <c r="K123" s="2"/>
      <c r="L123" s="86"/>
    </row>
    <row r="124" spans="1:12">
      <c r="A124" s="15"/>
      <c r="B124" s="176" t="s">
        <v>220</v>
      </c>
      <c r="C124" s="172"/>
      <c r="D124" s="172"/>
      <c r="E124" s="172"/>
      <c r="F124" s="172"/>
      <c r="G124" s="172"/>
      <c r="H124" s="161"/>
      <c r="I124" s="161"/>
      <c r="J124" s="161"/>
      <c r="K124" s="161"/>
      <c r="L124" s="179"/>
    </row>
    <row r="125" spans="1:12">
      <c r="A125" s="15"/>
      <c r="B125" s="176" t="s">
        <v>221</v>
      </c>
      <c r="C125" s="172"/>
      <c r="D125" s="172"/>
      <c r="E125" s="172"/>
      <c r="F125" s="172"/>
      <c r="G125" s="172"/>
      <c r="H125" s="161"/>
      <c r="I125" s="161"/>
      <c r="J125" s="162"/>
      <c r="K125" s="161"/>
      <c r="L125" s="179"/>
    </row>
    <row r="126" spans="1:12" ht="45">
      <c r="A126" s="90"/>
      <c r="B126" s="91" t="s">
        <v>224</v>
      </c>
      <c r="C126" s="92"/>
      <c r="D126" s="189"/>
      <c r="E126" s="167" t="s">
        <v>226</v>
      </c>
      <c r="F126" s="66"/>
      <c r="G126" s="1411" t="s">
        <v>225</v>
      </c>
      <c r="H126" s="1412"/>
      <c r="I126" s="166" t="s">
        <v>222</v>
      </c>
      <c r="J126" s="169" t="s">
        <v>227</v>
      </c>
      <c r="K126" s="1411" t="s">
        <v>223</v>
      </c>
      <c r="L126" s="1413"/>
    </row>
    <row r="127" spans="1:12">
      <c r="A127" s="90"/>
      <c r="B127" s="170">
        <v>1</v>
      </c>
      <c r="C127" s="92"/>
      <c r="D127" s="92"/>
      <c r="E127" s="173">
        <v>2</v>
      </c>
      <c r="F127" s="95"/>
      <c r="G127" s="173">
        <v>3</v>
      </c>
      <c r="H127" s="189"/>
      <c r="I127" s="189">
        <v>4</v>
      </c>
      <c r="J127" s="110">
        <v>5</v>
      </c>
      <c r="K127" s="97"/>
      <c r="L127" s="98">
        <v>6</v>
      </c>
    </row>
    <row r="128" spans="1:12">
      <c r="A128" s="90"/>
      <c r="B128" s="91" t="e">
        <f>'04-22-Master'!#REF!</f>
        <v>#REF!</v>
      </c>
      <c r="C128" s="185"/>
      <c r="D128" s="186"/>
      <c r="E128" s="187" t="s">
        <v>386</v>
      </c>
      <c r="F128" s="186"/>
      <c r="G128" s="187" t="s">
        <v>384</v>
      </c>
      <c r="H128" s="66"/>
      <c r="I128" s="13" t="s">
        <v>387</v>
      </c>
      <c r="J128" s="285">
        <v>1</v>
      </c>
      <c r="K128" s="188" t="s">
        <v>37</v>
      </c>
      <c r="L128" s="193"/>
    </row>
    <row r="129" spans="1:12">
      <c r="A129" s="90"/>
      <c r="B129" s="91"/>
      <c r="C129" s="185"/>
      <c r="D129" s="186"/>
      <c r="E129" s="187"/>
      <c r="F129" s="186"/>
      <c r="G129" s="187"/>
      <c r="H129" s="66"/>
      <c r="I129" s="13"/>
      <c r="J129" s="13"/>
      <c r="K129" s="188"/>
      <c r="L129" s="193"/>
    </row>
    <row r="130" spans="1:12">
      <c r="A130" s="90"/>
      <c r="B130" s="91"/>
      <c r="C130" s="185"/>
      <c r="D130" s="186"/>
      <c r="E130" s="187"/>
      <c r="F130" s="186"/>
      <c r="G130" s="187"/>
      <c r="H130" s="66"/>
      <c r="I130" s="13"/>
      <c r="J130" s="13"/>
      <c r="K130" s="188"/>
      <c r="L130" s="193"/>
    </row>
    <row r="131" spans="1:12">
      <c r="A131" s="90"/>
      <c r="B131" s="73"/>
      <c r="C131" s="19"/>
      <c r="D131" s="74"/>
      <c r="E131" s="187"/>
      <c r="F131" s="186"/>
      <c r="G131" s="187"/>
      <c r="H131" s="66"/>
      <c r="I131" s="13"/>
      <c r="J131" s="13"/>
      <c r="K131" s="188"/>
      <c r="L131" s="193"/>
    </row>
    <row r="132" spans="1:12">
      <c r="A132" s="90"/>
      <c r="B132" t="s">
        <v>228</v>
      </c>
      <c r="L132" s="16"/>
    </row>
    <row r="133" spans="1:12">
      <c r="A133" s="15"/>
      <c r="B133" t="s">
        <v>229</v>
      </c>
      <c r="L133" s="16"/>
    </row>
    <row r="134" spans="1:12">
      <c r="A134" s="15"/>
      <c r="B134" t="s">
        <v>240</v>
      </c>
      <c r="J134" t="s">
        <v>239</v>
      </c>
      <c r="L134" s="16"/>
    </row>
    <row r="135" spans="1:12">
      <c r="A135" s="15"/>
      <c r="G135" s="2" t="s">
        <v>237</v>
      </c>
      <c r="H135" s="2"/>
      <c r="I135" s="2"/>
      <c r="J135" s="2"/>
      <c r="K135" s="2"/>
      <c r="L135" s="86"/>
    </row>
    <row r="136" spans="1:12">
      <c r="A136" s="15"/>
      <c r="B136" s="2"/>
      <c r="G136" t="s">
        <v>238</v>
      </c>
      <c r="H136" s="2"/>
      <c r="I136" s="2"/>
      <c r="J136" s="2"/>
      <c r="K136" s="2"/>
      <c r="L136" s="86"/>
    </row>
    <row r="137" spans="1:12">
      <c r="A137" s="15"/>
      <c r="B137" s="176" t="s">
        <v>241</v>
      </c>
      <c r="C137" s="172"/>
      <c r="D137" s="172"/>
      <c r="E137" s="172"/>
      <c r="F137" s="172"/>
      <c r="G137" s="172"/>
      <c r="H137" s="161"/>
      <c r="I137" s="161"/>
      <c r="J137" s="161"/>
      <c r="K137" s="161"/>
      <c r="L137" s="179"/>
    </row>
    <row r="138" spans="1:12">
      <c r="A138" s="15"/>
      <c r="B138" s="176" t="s">
        <v>242</v>
      </c>
      <c r="C138" s="172"/>
      <c r="D138" s="172"/>
      <c r="E138" s="172"/>
      <c r="F138" s="172"/>
      <c r="G138" s="172"/>
      <c r="H138" s="161"/>
      <c r="I138" s="161"/>
      <c r="J138" s="162"/>
      <c r="K138" s="161"/>
      <c r="L138" s="179"/>
    </row>
    <row r="139" spans="1:12">
      <c r="A139" s="15"/>
      <c r="B139" s="91" t="s">
        <v>5</v>
      </c>
      <c r="C139" s="1431" t="s">
        <v>243</v>
      </c>
      <c r="D139" s="1409"/>
      <c r="E139" s="1409"/>
      <c r="F139" s="1409"/>
      <c r="G139" s="1409"/>
      <c r="H139" s="1432"/>
      <c r="I139" s="168" t="s">
        <v>112</v>
      </c>
      <c r="J139" s="1433" t="s">
        <v>244</v>
      </c>
      <c r="K139" s="1434"/>
      <c r="L139" s="1435"/>
    </row>
    <row r="140" spans="1:12">
      <c r="A140" s="15"/>
      <c r="B140" s="170">
        <v>1</v>
      </c>
      <c r="C140" s="204"/>
      <c r="D140" s="94"/>
      <c r="E140" s="100">
        <v>2</v>
      </c>
      <c r="F140" s="65"/>
      <c r="G140" s="1430"/>
      <c r="H140" s="1412"/>
      <c r="I140" s="94">
        <v>3</v>
      </c>
      <c r="J140" s="191" t="s">
        <v>245</v>
      </c>
      <c r="K140" s="1436">
        <v>4</v>
      </c>
      <c r="L140" s="1437"/>
    </row>
    <row r="141" spans="1:12">
      <c r="A141" s="15"/>
      <c r="B141" s="91"/>
      <c r="C141" s="204"/>
      <c r="D141" s="94"/>
      <c r="E141" s="100"/>
      <c r="F141" s="65"/>
      <c r="G141" s="1430"/>
      <c r="H141" s="1412"/>
      <c r="I141" s="188"/>
      <c r="J141" s="190"/>
      <c r="K141" s="1430"/>
      <c r="L141" s="1413"/>
    </row>
    <row r="142" spans="1:12">
      <c r="A142" s="15"/>
      <c r="B142" s="91"/>
      <c r="C142" s="204"/>
      <c r="D142" s="94"/>
      <c r="E142" s="100"/>
      <c r="F142" s="65"/>
      <c r="G142" s="1430"/>
      <c r="H142" s="1412"/>
      <c r="I142" s="188"/>
      <c r="J142" s="190"/>
      <c r="K142" s="1430"/>
      <c r="L142" s="1413"/>
    </row>
    <row r="143" spans="1:12">
      <c r="A143" s="15"/>
      <c r="B143" s="91"/>
      <c r="C143" s="204"/>
      <c r="D143" s="94"/>
      <c r="E143" s="100"/>
      <c r="F143" s="65"/>
      <c r="G143" s="1430"/>
      <c r="H143" s="1412"/>
      <c r="I143" s="188"/>
      <c r="J143" s="190"/>
      <c r="K143" s="1430"/>
      <c r="L143" s="1413"/>
    </row>
    <row r="144" spans="1:12">
      <c r="A144" s="15"/>
      <c r="B144" s="73"/>
      <c r="C144" s="204"/>
      <c r="D144" s="94"/>
      <c r="E144" s="100"/>
      <c r="F144" s="65"/>
      <c r="G144" s="1430"/>
      <c r="H144" s="1412"/>
      <c r="I144" s="188"/>
      <c r="J144" s="190"/>
      <c r="K144" s="1430"/>
      <c r="L144" s="1413"/>
    </row>
    <row r="145" spans="1:12">
      <c r="A145" s="15"/>
      <c r="B145" t="s">
        <v>249</v>
      </c>
      <c r="L145" s="16"/>
    </row>
    <row r="146" spans="1:12">
      <c r="A146" s="15"/>
      <c r="B146" t="s">
        <v>250</v>
      </c>
      <c r="L146" s="16"/>
    </row>
    <row r="147" spans="1:12">
      <c r="A147" s="15"/>
      <c r="B147" t="s">
        <v>251</v>
      </c>
      <c r="L147" s="16"/>
    </row>
    <row r="148" spans="1:12">
      <c r="A148" s="15"/>
      <c r="B148" t="s">
        <v>252</v>
      </c>
      <c r="L148" s="16"/>
    </row>
    <row r="149" spans="1:12">
      <c r="A149" s="15"/>
      <c r="B149" s="187" t="s">
        <v>246</v>
      </c>
      <c r="C149" s="65"/>
      <c r="D149" s="65"/>
      <c r="E149" s="65"/>
      <c r="F149" s="66"/>
      <c r="G149" s="187" t="s">
        <v>222</v>
      </c>
      <c r="H149" s="66"/>
      <c r="I149" s="187" t="s">
        <v>247</v>
      </c>
      <c r="J149" s="65"/>
      <c r="K149" s="66"/>
      <c r="L149" s="16"/>
    </row>
    <row r="150" spans="1:12">
      <c r="A150" s="15"/>
      <c r="B150" s="1414"/>
      <c r="C150" s="1429"/>
      <c r="D150" s="1429"/>
      <c r="E150" s="1429"/>
      <c r="F150" s="1425"/>
      <c r="G150" s="1414"/>
      <c r="H150" s="1425"/>
      <c r="I150" s="1414"/>
      <c r="J150" s="1429"/>
      <c r="K150" s="1425"/>
      <c r="L150" s="16"/>
    </row>
    <row r="151" spans="1:12">
      <c r="A151" s="15"/>
      <c r="B151" s="1414"/>
      <c r="C151" s="1429"/>
      <c r="D151" s="1429"/>
      <c r="E151" s="1429"/>
      <c r="F151" s="1425"/>
      <c r="G151" s="1414"/>
      <c r="H151" s="1425"/>
      <c r="I151" s="1414"/>
      <c r="J151" s="1429"/>
      <c r="K151" s="1425"/>
      <c r="L151" s="16"/>
    </row>
    <row r="152" spans="1:12">
      <c r="A152" s="15"/>
      <c r="B152" s="1414"/>
      <c r="C152" s="1429"/>
      <c r="D152" s="1429"/>
      <c r="E152" s="1429"/>
      <c r="F152" s="1425"/>
      <c r="G152" s="1414"/>
      <c r="H152" s="1425"/>
      <c r="I152" s="1414"/>
      <c r="J152" s="1429"/>
      <c r="K152" s="1425"/>
      <c r="L152" s="16"/>
    </row>
    <row r="153" spans="1:12">
      <c r="A153" s="15"/>
      <c r="B153" s="1414"/>
      <c r="C153" s="1429"/>
      <c r="D153" s="1429"/>
      <c r="E153" s="1429"/>
      <c r="F153" s="1425"/>
      <c r="G153" s="1414"/>
      <c r="H153" s="1425"/>
      <c r="I153" s="1414"/>
      <c r="J153" s="1429"/>
      <c r="K153" s="1425"/>
      <c r="L153" s="16"/>
    </row>
    <row r="154" spans="1:12" ht="27.95" customHeight="1">
      <c r="A154" s="15"/>
      <c r="L154" s="16"/>
    </row>
    <row r="155" spans="1:12" ht="27.95" customHeight="1">
      <c r="A155" s="15"/>
      <c r="B155" t="s">
        <v>219</v>
      </c>
      <c r="C155" s="284" t="e">
        <f>'04-22-Master'!#REF!</f>
        <v>#REF!</v>
      </c>
      <c r="I155" t="s">
        <v>248</v>
      </c>
      <c r="L155" s="16"/>
    </row>
    <row r="156" spans="1:12" ht="27.95" customHeight="1">
      <c r="A156" s="15"/>
      <c r="F156" s="175" t="s">
        <v>214</v>
      </c>
      <c r="L156" s="16"/>
    </row>
    <row r="157" spans="1:12" ht="27.95" customHeight="1">
      <c r="A157" s="15" t="s">
        <v>215</v>
      </c>
      <c r="L157" s="16"/>
    </row>
    <row r="158" spans="1:12" ht="27.95" customHeight="1">
      <c r="A158" s="15" t="s">
        <v>216</v>
      </c>
      <c r="L158" s="16"/>
    </row>
    <row r="159" spans="1:12" ht="27.95" customHeight="1">
      <c r="A159" s="15"/>
      <c r="L159" s="16"/>
    </row>
    <row r="160" spans="1:12" ht="27.95" customHeight="1">
      <c r="A160" s="15"/>
      <c r="F160" t="s">
        <v>217</v>
      </c>
      <c r="L160" s="16"/>
    </row>
    <row r="161" spans="1:12" ht="27.95" customHeight="1">
      <c r="A161" s="15" t="s">
        <v>218</v>
      </c>
      <c r="B161" t="s">
        <v>382</v>
      </c>
      <c r="F161" t="str">
        <f>'04-22-Master'!F5</f>
        <v>Burgeon IT Services Pvt.Ltd.</v>
      </c>
      <c r="L161" s="16"/>
    </row>
    <row r="162" spans="1:12" ht="27.95" customHeight="1" thickBot="1">
      <c r="A162" s="27" t="s">
        <v>219</v>
      </c>
      <c r="B162" s="287" t="e">
        <f>'04-22-Master'!#REF!</f>
        <v>#REF!</v>
      </c>
      <c r="C162" s="25"/>
      <c r="D162" s="25"/>
      <c r="E162" s="25"/>
      <c r="F162" s="25" t="str">
        <f>'04-22-Master'!F6</f>
        <v>Siri Mansion LIGB 436 Dr.A S Rao Nagar,Hyderabad</v>
      </c>
      <c r="G162" s="25"/>
      <c r="H162" s="25"/>
      <c r="I162" s="25"/>
      <c r="J162" s="25"/>
      <c r="K162" s="25"/>
      <c r="L162" s="26"/>
    </row>
    <row r="163" spans="1:12" ht="27.95" customHeight="1">
      <c r="A163" s="79"/>
      <c r="B163" s="80"/>
      <c r="C163" s="80"/>
      <c r="D163" s="180"/>
      <c r="E163" s="180"/>
      <c r="F163" s="180"/>
      <c r="G163" s="180"/>
      <c r="H163" s="180"/>
      <c r="I163" s="180"/>
      <c r="J163" s="80"/>
      <c r="K163" s="182" t="s">
        <v>233</v>
      </c>
      <c r="L163" s="181"/>
    </row>
    <row r="164" spans="1:12" ht="27.95" customHeight="1">
      <c r="A164" s="15"/>
      <c r="B164" s="1438" t="s">
        <v>232</v>
      </c>
      <c r="C164" s="1438"/>
      <c r="D164" s="1438"/>
      <c r="E164" s="1438"/>
      <c r="F164" s="1438"/>
      <c r="G164" s="1438"/>
      <c r="H164" s="1438"/>
      <c r="I164" s="1438"/>
      <c r="J164" s="1438"/>
      <c r="K164" s="1438"/>
      <c r="L164" s="1439"/>
    </row>
    <row r="165" spans="1:12" ht="27.95" customHeight="1">
      <c r="A165" s="15"/>
      <c r="B165" s="1403" t="s">
        <v>234</v>
      </c>
      <c r="C165" s="1403"/>
      <c r="D165" s="1403"/>
      <c r="E165" s="1403"/>
      <c r="F165" s="1403"/>
      <c r="G165" s="1403"/>
      <c r="H165" s="1403"/>
      <c r="I165" s="1403"/>
      <c r="J165" s="1403"/>
      <c r="K165" s="1403"/>
      <c r="L165" s="1440"/>
    </row>
    <row r="166" spans="1:12" ht="27.95" customHeight="1">
      <c r="A166" s="15"/>
      <c r="B166" s="183" t="s">
        <v>235</v>
      </c>
      <c r="C166" s="183"/>
      <c r="D166" s="183"/>
      <c r="E166" s="183"/>
      <c r="F166" s="183"/>
      <c r="H166" s="184"/>
      <c r="I166" s="184"/>
      <c r="J166" s="184"/>
      <c r="K166" s="184"/>
      <c r="L166" s="192"/>
    </row>
    <row r="167" spans="1:12" ht="27.95" customHeight="1">
      <c r="A167" s="15"/>
      <c r="B167" s="183"/>
      <c r="C167" s="183"/>
      <c r="D167" s="183"/>
      <c r="E167" s="183"/>
      <c r="F167" s="183"/>
      <c r="H167" s="184"/>
      <c r="I167" s="184"/>
      <c r="J167" s="184"/>
      <c r="K167" s="184"/>
      <c r="L167" s="192"/>
    </row>
    <row r="168" spans="1:12" ht="27.95" customHeight="1">
      <c r="A168" s="15"/>
      <c r="B168" s="1419" t="s">
        <v>204</v>
      </c>
      <c r="C168" s="1419"/>
      <c r="D168" s="1419"/>
      <c r="E168" s="1419"/>
      <c r="F168" s="1419"/>
      <c r="G168" s="1419"/>
      <c r="H168" s="1422" t="e">
        <f>'04-22-Master'!#REF!</f>
        <v>#REF!</v>
      </c>
      <c r="I168" s="1421"/>
      <c r="J168" s="1421"/>
      <c r="K168" s="1421"/>
      <c r="L168" s="1224"/>
    </row>
    <row r="169" spans="1:12" ht="27.95" customHeight="1">
      <c r="A169" s="15"/>
      <c r="B169" s="1423" t="s">
        <v>205</v>
      </c>
      <c r="C169" s="1423"/>
      <c r="D169" s="1423"/>
      <c r="E169" s="1423"/>
      <c r="F169" s="1423"/>
      <c r="G169" s="1423"/>
      <c r="H169" s="1422" t="e">
        <f>'04-22-Master'!#REF!</f>
        <v>#REF!</v>
      </c>
      <c r="I169" s="1421"/>
      <c r="J169" s="1421"/>
      <c r="K169" s="1421"/>
      <c r="L169" s="1224"/>
    </row>
    <row r="170" spans="1:12" ht="27.95" customHeight="1">
      <c r="A170" s="15"/>
      <c r="B170" s="1419" t="s">
        <v>206</v>
      </c>
      <c r="C170" s="1419"/>
      <c r="D170" s="1419"/>
      <c r="E170" s="1419"/>
      <c r="F170" s="1419"/>
      <c r="G170" s="1419"/>
      <c r="H170" s="1422" t="e">
        <f>'04-22-Master'!#REF!</f>
        <v>#REF!</v>
      </c>
      <c r="I170" s="1421"/>
      <c r="J170" s="1421"/>
      <c r="K170" s="1421"/>
      <c r="L170" s="1224"/>
    </row>
    <row r="171" spans="1:12" ht="27.95" customHeight="1">
      <c r="A171" s="15"/>
      <c r="B171" s="1419" t="s">
        <v>207</v>
      </c>
      <c r="C171" s="1419"/>
      <c r="D171" s="1419"/>
      <c r="E171" s="1419"/>
      <c r="F171" s="1419"/>
      <c r="G171" s="1419"/>
      <c r="H171" s="1424" t="e">
        <f>'04-22-Master'!#REF!</f>
        <v>#REF!</v>
      </c>
      <c r="I171" s="1421"/>
      <c r="J171" s="1421"/>
      <c r="K171" s="1421"/>
      <c r="L171" s="1224"/>
    </row>
    <row r="172" spans="1:12">
      <c r="A172" s="15"/>
      <c r="B172" s="91" t="s">
        <v>209</v>
      </c>
      <c r="C172" s="92"/>
      <c r="D172" s="92"/>
      <c r="E172" s="92"/>
      <c r="F172" s="92"/>
      <c r="G172" s="92"/>
      <c r="H172" s="1416" t="s">
        <v>210</v>
      </c>
      <c r="I172" s="1417"/>
      <c r="J172" s="1417"/>
      <c r="K172" s="1417"/>
      <c r="L172" s="1418"/>
    </row>
    <row r="173" spans="1:12">
      <c r="A173" s="15"/>
      <c r="B173" s="91" t="s">
        <v>211</v>
      </c>
      <c r="C173" s="92"/>
      <c r="D173" s="92"/>
      <c r="E173" s="92"/>
      <c r="F173" s="92"/>
      <c r="G173" s="92"/>
      <c r="H173" s="93"/>
      <c r="I173" s="94"/>
      <c r="J173" s="174"/>
      <c r="K173" s="94"/>
      <c r="L173" s="99"/>
    </row>
    <row r="174" spans="1:12">
      <c r="A174" s="15"/>
      <c r="B174" s="1234" t="s">
        <v>212</v>
      </c>
      <c r="C174" s="1234"/>
      <c r="D174" s="1234"/>
      <c r="E174" s="1234"/>
      <c r="F174" s="1234"/>
      <c r="G174" s="1234"/>
      <c r="H174" s="1227" t="e">
        <f>'04-22-Master'!#REF!</f>
        <v>#REF!</v>
      </c>
      <c r="I174" s="1228"/>
      <c r="J174" s="1228"/>
      <c r="K174" s="1228"/>
      <c r="L174" s="1229"/>
    </row>
    <row r="175" spans="1:12">
      <c r="A175" s="15"/>
      <c r="B175" s="1419"/>
      <c r="C175" s="1419"/>
      <c r="D175" s="1419"/>
      <c r="E175" s="1419"/>
      <c r="F175" s="1419"/>
      <c r="G175" s="1419"/>
      <c r="H175" s="1420" t="e">
        <f>'04-22-Master'!#REF!</f>
        <v>#REF!</v>
      </c>
      <c r="I175" s="1421"/>
      <c r="J175" s="1421"/>
      <c r="K175" s="1421"/>
      <c r="L175" s="1224"/>
    </row>
    <row r="176" spans="1:12">
      <c r="A176" s="15"/>
      <c r="B176" s="1419"/>
      <c r="C176" s="1419"/>
      <c r="D176" s="1419"/>
      <c r="E176" s="1419"/>
      <c r="F176" s="1419"/>
      <c r="G176" s="1419"/>
      <c r="H176" s="1422" t="e">
        <f>'04-22-Master'!#REF!</f>
        <v>#REF!</v>
      </c>
      <c r="I176" s="1421"/>
      <c r="J176" s="1421"/>
      <c r="K176" s="1421"/>
      <c r="L176" s="1224"/>
    </row>
    <row r="177" spans="1:12">
      <c r="A177" s="15"/>
      <c r="G177" s="2" t="s">
        <v>236</v>
      </c>
      <c r="H177" s="2"/>
      <c r="I177" s="2"/>
      <c r="J177" s="2"/>
      <c r="K177" s="2"/>
      <c r="L177" s="86"/>
    </row>
    <row r="178" spans="1:12">
      <c r="A178" s="15"/>
      <c r="B178" s="176" t="s">
        <v>220</v>
      </c>
      <c r="C178" s="172"/>
      <c r="D178" s="172"/>
      <c r="E178" s="172"/>
      <c r="F178" s="172"/>
      <c r="G178" s="172"/>
      <c r="H178" s="161"/>
      <c r="I178" s="161"/>
      <c r="J178" s="161"/>
      <c r="K178" s="161"/>
      <c r="L178" s="179"/>
    </row>
    <row r="179" spans="1:12">
      <c r="A179" s="15"/>
      <c r="B179" s="176" t="s">
        <v>221</v>
      </c>
      <c r="C179" s="172"/>
      <c r="D179" s="172"/>
      <c r="E179" s="172"/>
      <c r="F179" s="172"/>
      <c r="G179" s="172"/>
      <c r="H179" s="161"/>
      <c r="I179" s="161"/>
      <c r="J179" s="162"/>
      <c r="K179" s="161"/>
      <c r="L179" s="179"/>
    </row>
    <row r="180" spans="1:12" ht="45">
      <c r="A180" s="90"/>
      <c r="B180" s="91" t="s">
        <v>224</v>
      </c>
      <c r="C180" s="92"/>
      <c r="D180" s="189"/>
      <c r="E180" s="167" t="s">
        <v>226</v>
      </c>
      <c r="F180" s="66"/>
      <c r="G180" s="1411" t="s">
        <v>225</v>
      </c>
      <c r="H180" s="1412"/>
      <c r="I180" s="166" t="s">
        <v>222</v>
      </c>
      <c r="J180" s="169" t="s">
        <v>227</v>
      </c>
      <c r="K180" s="1411" t="s">
        <v>223</v>
      </c>
      <c r="L180" s="1413"/>
    </row>
    <row r="181" spans="1:12">
      <c r="A181" s="90"/>
      <c r="B181" s="170">
        <v>1</v>
      </c>
      <c r="C181" s="92"/>
      <c r="D181" s="92"/>
      <c r="E181" s="173">
        <v>2</v>
      </c>
      <c r="F181" s="95"/>
      <c r="G181" s="173">
        <v>3</v>
      </c>
      <c r="H181" s="189"/>
      <c r="I181" s="189">
        <v>4</v>
      </c>
      <c r="J181" s="110">
        <v>5</v>
      </c>
      <c r="K181" s="97"/>
      <c r="L181" s="98">
        <v>6</v>
      </c>
    </row>
    <row r="182" spans="1:12">
      <c r="A182" s="90"/>
      <c r="B182" s="91" t="e">
        <f>'04-22-Master'!#REF!</f>
        <v>#REF!</v>
      </c>
      <c r="C182" s="185"/>
      <c r="D182" s="186"/>
      <c r="E182" s="187" t="s">
        <v>386</v>
      </c>
      <c r="F182" s="186"/>
      <c r="G182" s="187" t="s">
        <v>384</v>
      </c>
      <c r="H182" s="66"/>
      <c r="I182" s="13" t="s">
        <v>387</v>
      </c>
      <c r="J182" s="285">
        <v>1</v>
      </c>
      <c r="K182" s="188" t="s">
        <v>37</v>
      </c>
      <c r="L182" s="193"/>
    </row>
    <row r="183" spans="1:12">
      <c r="A183" s="90"/>
      <c r="B183" s="91"/>
      <c r="C183" s="185"/>
      <c r="D183" s="186"/>
      <c r="E183" s="187"/>
      <c r="F183" s="186"/>
      <c r="G183" s="187"/>
      <c r="H183" s="66"/>
      <c r="I183" s="13"/>
      <c r="J183" s="13"/>
      <c r="K183" s="188"/>
      <c r="L183" s="193"/>
    </row>
    <row r="184" spans="1:12">
      <c r="A184" s="90"/>
      <c r="B184" s="91"/>
      <c r="C184" s="185"/>
      <c r="D184" s="186"/>
      <c r="E184" s="187"/>
      <c r="F184" s="186"/>
      <c r="G184" s="187"/>
      <c r="H184" s="66"/>
      <c r="I184" s="13"/>
      <c r="J184" s="13"/>
      <c r="K184" s="188"/>
      <c r="L184" s="193"/>
    </row>
    <row r="185" spans="1:12">
      <c r="A185" s="90"/>
      <c r="B185" s="73"/>
      <c r="C185" s="19"/>
      <c r="D185" s="74"/>
      <c r="E185" s="187"/>
      <c r="F185" s="186"/>
      <c r="G185" s="187"/>
      <c r="H185" s="66"/>
      <c r="I185" s="13"/>
      <c r="J185" s="13"/>
      <c r="K185" s="188"/>
      <c r="L185" s="193"/>
    </row>
    <row r="186" spans="1:12">
      <c r="A186" s="90"/>
      <c r="B186" t="s">
        <v>228</v>
      </c>
      <c r="L186" s="16"/>
    </row>
    <row r="187" spans="1:12">
      <c r="A187" s="15"/>
      <c r="B187" t="s">
        <v>229</v>
      </c>
      <c r="L187" s="16"/>
    </row>
    <row r="188" spans="1:12">
      <c r="A188" s="15"/>
      <c r="B188" t="s">
        <v>240</v>
      </c>
      <c r="J188" t="s">
        <v>239</v>
      </c>
      <c r="L188" s="16"/>
    </row>
    <row r="189" spans="1:12">
      <c r="A189" s="15"/>
      <c r="G189" s="2" t="s">
        <v>237</v>
      </c>
      <c r="H189" s="2"/>
      <c r="I189" s="2"/>
      <c r="J189" s="2"/>
      <c r="K189" s="2"/>
      <c r="L189" s="86"/>
    </row>
    <row r="190" spans="1:12">
      <c r="A190" s="15"/>
      <c r="B190" s="2"/>
      <c r="G190" t="s">
        <v>238</v>
      </c>
      <c r="H190" s="2"/>
      <c r="I190" s="2"/>
      <c r="J190" s="2"/>
      <c r="K190" s="2"/>
      <c r="L190" s="86"/>
    </row>
    <row r="191" spans="1:12">
      <c r="A191" s="15"/>
      <c r="B191" s="176" t="s">
        <v>241</v>
      </c>
      <c r="C191" s="172"/>
      <c r="D191" s="172"/>
      <c r="E191" s="172"/>
      <c r="F191" s="172"/>
      <c r="G191" s="172"/>
      <c r="H191" s="161"/>
      <c r="I191" s="161"/>
      <c r="J191" s="161"/>
      <c r="K191" s="161"/>
      <c r="L191" s="179"/>
    </row>
    <row r="192" spans="1:12">
      <c r="A192" s="15"/>
      <c r="B192" s="176" t="s">
        <v>242</v>
      </c>
      <c r="C192" s="172"/>
      <c r="D192" s="172"/>
      <c r="E192" s="172"/>
      <c r="F192" s="172"/>
      <c r="G192" s="172"/>
      <c r="H192" s="161"/>
      <c r="I192" s="161"/>
      <c r="J192" s="162"/>
      <c r="K192" s="161"/>
      <c r="L192" s="179"/>
    </row>
    <row r="193" spans="1:12">
      <c r="A193" s="15"/>
      <c r="B193" s="91" t="s">
        <v>5</v>
      </c>
      <c r="C193" s="1431" t="s">
        <v>243</v>
      </c>
      <c r="D193" s="1409"/>
      <c r="E193" s="1409"/>
      <c r="F193" s="1409"/>
      <c r="G193" s="1409"/>
      <c r="H193" s="1432"/>
      <c r="I193" s="168" t="s">
        <v>112</v>
      </c>
      <c r="J193" s="1433" t="s">
        <v>244</v>
      </c>
      <c r="K193" s="1434"/>
      <c r="L193" s="1435"/>
    </row>
    <row r="194" spans="1:12">
      <c r="A194" s="15"/>
      <c r="B194" s="170">
        <v>1</v>
      </c>
      <c r="C194" s="204"/>
      <c r="D194" s="94"/>
      <c r="E194" s="100">
        <v>2</v>
      </c>
      <c r="F194" s="65"/>
      <c r="G194" s="1430"/>
      <c r="H194" s="1412"/>
      <c r="I194" s="94">
        <v>3</v>
      </c>
      <c r="J194" s="191" t="s">
        <v>245</v>
      </c>
      <c r="K194" s="1436">
        <v>4</v>
      </c>
      <c r="L194" s="1437"/>
    </row>
    <row r="195" spans="1:12">
      <c r="A195" s="15"/>
      <c r="B195" s="91"/>
      <c r="C195" s="204"/>
      <c r="D195" s="94"/>
      <c r="E195" s="100"/>
      <c r="F195" s="65"/>
      <c r="G195" s="1430"/>
      <c r="H195" s="1412"/>
      <c r="I195" s="188"/>
      <c r="J195" s="190"/>
      <c r="K195" s="1430"/>
      <c r="L195" s="1413"/>
    </row>
    <row r="196" spans="1:12">
      <c r="A196" s="15"/>
      <c r="B196" s="91"/>
      <c r="C196" s="204"/>
      <c r="D196" s="94"/>
      <c r="E196" s="100"/>
      <c r="F196" s="65"/>
      <c r="G196" s="1430"/>
      <c r="H196" s="1412"/>
      <c r="I196" s="188"/>
      <c r="J196" s="190"/>
      <c r="K196" s="1430"/>
      <c r="L196" s="1413"/>
    </row>
    <row r="197" spans="1:12">
      <c r="A197" s="15"/>
      <c r="B197" s="91"/>
      <c r="C197" s="204"/>
      <c r="D197" s="94"/>
      <c r="E197" s="100"/>
      <c r="F197" s="65"/>
      <c r="G197" s="1430"/>
      <c r="H197" s="1412"/>
      <c r="I197" s="188"/>
      <c r="J197" s="190"/>
      <c r="K197" s="1430"/>
      <c r="L197" s="1413"/>
    </row>
    <row r="198" spans="1:12">
      <c r="A198" s="15"/>
      <c r="B198" s="73"/>
      <c r="C198" s="204"/>
      <c r="D198" s="94"/>
      <c r="E198" s="100"/>
      <c r="F198" s="65"/>
      <c r="G198" s="1430"/>
      <c r="H198" s="1412"/>
      <c r="I198" s="188"/>
      <c r="J198" s="190"/>
      <c r="K198" s="1430"/>
      <c r="L198" s="1413"/>
    </row>
    <row r="199" spans="1:12">
      <c r="A199" s="15"/>
      <c r="B199" t="s">
        <v>249</v>
      </c>
      <c r="L199" s="16"/>
    </row>
    <row r="200" spans="1:12">
      <c r="A200" s="15"/>
      <c r="B200" t="s">
        <v>250</v>
      </c>
      <c r="L200" s="16"/>
    </row>
    <row r="201" spans="1:12">
      <c r="A201" s="15"/>
      <c r="B201" t="s">
        <v>251</v>
      </c>
      <c r="L201" s="16"/>
    </row>
    <row r="202" spans="1:12">
      <c r="A202" s="15"/>
      <c r="B202" t="s">
        <v>252</v>
      </c>
      <c r="L202" s="16"/>
    </row>
    <row r="203" spans="1:12">
      <c r="A203" s="15"/>
      <c r="B203" s="187" t="s">
        <v>246</v>
      </c>
      <c r="C203" s="65"/>
      <c r="D203" s="65"/>
      <c r="E203" s="65"/>
      <c r="F203" s="66"/>
      <c r="G203" s="187" t="s">
        <v>222</v>
      </c>
      <c r="H203" s="66"/>
      <c r="I203" s="187" t="s">
        <v>247</v>
      </c>
      <c r="J203" s="65"/>
      <c r="K203" s="66"/>
      <c r="L203" s="16"/>
    </row>
    <row r="204" spans="1:12">
      <c r="A204" s="15"/>
      <c r="B204" s="1414"/>
      <c r="C204" s="1429"/>
      <c r="D204" s="1429"/>
      <c r="E204" s="1429"/>
      <c r="F204" s="1425"/>
      <c r="G204" s="1414"/>
      <c r="H204" s="1425"/>
      <c r="I204" s="1414"/>
      <c r="J204" s="1429"/>
      <c r="K204" s="1425"/>
      <c r="L204" s="16"/>
    </row>
    <row r="205" spans="1:12">
      <c r="A205" s="15"/>
      <c r="B205" s="1414"/>
      <c r="C205" s="1429"/>
      <c r="D205" s="1429"/>
      <c r="E205" s="1429"/>
      <c r="F205" s="1425"/>
      <c r="G205" s="1414"/>
      <c r="H205" s="1425"/>
      <c r="I205" s="1414"/>
      <c r="J205" s="1429"/>
      <c r="K205" s="1425"/>
      <c r="L205" s="16"/>
    </row>
    <row r="206" spans="1:12">
      <c r="A206" s="15"/>
      <c r="B206" s="1414"/>
      <c r="C206" s="1429"/>
      <c r="D206" s="1429"/>
      <c r="E206" s="1429"/>
      <c r="F206" s="1425"/>
      <c r="G206" s="1414"/>
      <c r="H206" s="1425"/>
      <c r="I206" s="1414"/>
      <c r="J206" s="1429"/>
      <c r="K206" s="1425"/>
      <c r="L206" s="16"/>
    </row>
    <row r="207" spans="1:12" ht="27.95" customHeight="1">
      <c r="A207" s="15"/>
      <c r="B207" s="1414"/>
      <c r="C207" s="1429"/>
      <c r="D207" s="1429"/>
      <c r="E207" s="1429"/>
      <c r="F207" s="1425"/>
      <c r="G207" s="1414"/>
      <c r="H207" s="1425"/>
      <c r="I207" s="1414"/>
      <c r="J207" s="1429"/>
      <c r="K207" s="1425"/>
      <c r="L207" s="16"/>
    </row>
    <row r="208" spans="1:12" ht="27.95" customHeight="1">
      <c r="A208" s="15"/>
      <c r="L208" s="16"/>
    </row>
    <row r="209" spans="1:12" ht="27.95" customHeight="1">
      <c r="A209" s="15"/>
      <c r="B209" t="s">
        <v>219</v>
      </c>
      <c r="C209" s="284" t="e">
        <f>'04-22-Master'!#REF!</f>
        <v>#REF!</v>
      </c>
      <c r="I209" t="s">
        <v>248</v>
      </c>
      <c r="L209" s="16"/>
    </row>
    <row r="210" spans="1:12" ht="27.95" customHeight="1">
      <c r="A210" s="15"/>
      <c r="F210" s="175" t="s">
        <v>214</v>
      </c>
      <c r="L210" s="16"/>
    </row>
    <row r="211" spans="1:12" ht="27.95" customHeight="1">
      <c r="A211" s="15" t="s">
        <v>215</v>
      </c>
      <c r="K211" s="225" t="e">
        <f>'04-22-Master'!#REF!</f>
        <v>#REF!</v>
      </c>
      <c r="L211" s="16"/>
    </row>
    <row r="212" spans="1:12" ht="27.95" customHeight="1">
      <c r="A212" s="15" t="s">
        <v>216</v>
      </c>
      <c r="L212" s="16"/>
    </row>
    <row r="213" spans="1:12" ht="27.95" customHeight="1">
      <c r="A213" s="15"/>
      <c r="L213" s="16"/>
    </row>
    <row r="214" spans="1:12" ht="27.95" customHeight="1">
      <c r="A214" s="15"/>
      <c r="F214" t="s">
        <v>217</v>
      </c>
      <c r="L214" s="16"/>
    </row>
    <row r="215" spans="1:12" ht="27.95" customHeight="1">
      <c r="A215" s="15" t="s">
        <v>218</v>
      </c>
      <c r="B215" t="s">
        <v>382</v>
      </c>
      <c r="F215" t="str">
        <f>'04-22-Master'!F5</f>
        <v>Burgeon IT Services Pvt.Ltd.</v>
      </c>
      <c r="L215" s="16"/>
    </row>
    <row r="216" spans="1:12" ht="27.95" customHeight="1" thickBot="1">
      <c r="A216" s="27" t="s">
        <v>219</v>
      </c>
      <c r="B216" s="287" t="e">
        <f>'04-22-Master'!#REF!</f>
        <v>#REF!</v>
      </c>
      <c r="C216" s="25"/>
      <c r="D216" s="25"/>
      <c r="E216" s="25"/>
      <c r="F216" s="25" t="str">
        <f>'04-22-Master'!F6</f>
        <v>Siri Mansion LIGB 436 Dr.A S Rao Nagar,Hyderabad</v>
      </c>
      <c r="G216" s="25"/>
      <c r="H216" s="25"/>
      <c r="I216" s="25"/>
      <c r="J216" s="25"/>
      <c r="K216" s="25"/>
      <c r="L216" s="26"/>
    </row>
    <row r="217" spans="1:12" ht="27.95" customHeight="1">
      <c r="A217" s="79"/>
      <c r="B217" s="80"/>
      <c r="C217" s="80"/>
      <c r="D217" s="180"/>
      <c r="E217" s="180"/>
      <c r="F217" s="180"/>
      <c r="G217" s="180"/>
      <c r="H217" s="180"/>
      <c r="I217" s="180"/>
      <c r="J217" s="80"/>
      <c r="K217" s="182" t="s">
        <v>233</v>
      </c>
      <c r="L217" s="181"/>
    </row>
    <row r="218" spans="1:12" ht="27.95" customHeight="1">
      <c r="A218" s="15"/>
      <c r="B218" s="1438" t="s">
        <v>232</v>
      </c>
      <c r="C218" s="1438"/>
      <c r="D218" s="1438"/>
      <c r="E218" s="1438"/>
      <c r="F218" s="1438"/>
      <c r="G218" s="1438"/>
      <c r="H218" s="1438"/>
      <c r="I218" s="1438"/>
      <c r="J218" s="1438"/>
      <c r="K218" s="1438"/>
      <c r="L218" s="1439"/>
    </row>
    <row r="219" spans="1:12" ht="27.95" customHeight="1">
      <c r="A219" s="15"/>
      <c r="B219" s="1403" t="s">
        <v>234</v>
      </c>
      <c r="C219" s="1403"/>
      <c r="D219" s="1403"/>
      <c r="E219" s="1403"/>
      <c r="F219" s="1403"/>
      <c r="G219" s="1403"/>
      <c r="H219" s="1403"/>
      <c r="I219" s="1403"/>
      <c r="J219" s="1403"/>
      <c r="K219" s="1403"/>
      <c r="L219" s="1440"/>
    </row>
    <row r="220" spans="1:12" ht="27.95" customHeight="1">
      <c r="A220" s="15"/>
      <c r="B220" s="183" t="s">
        <v>235</v>
      </c>
      <c r="C220" s="183"/>
      <c r="D220" s="183"/>
      <c r="E220" s="183"/>
      <c r="F220" s="183"/>
      <c r="H220" s="184"/>
      <c r="I220" s="184"/>
      <c r="J220" s="184"/>
      <c r="K220" s="184"/>
      <c r="L220" s="192"/>
    </row>
    <row r="221" spans="1:12" ht="27.95" customHeight="1">
      <c r="A221" s="15"/>
      <c r="B221" s="183"/>
      <c r="C221" s="183"/>
      <c r="D221" s="183"/>
      <c r="E221" s="183"/>
      <c r="F221" s="183"/>
      <c r="H221" s="184"/>
      <c r="I221" s="184"/>
      <c r="J221" s="184"/>
      <c r="K221" s="184"/>
      <c r="L221" s="192"/>
    </row>
    <row r="222" spans="1:12" ht="27.95" customHeight="1">
      <c r="A222" s="15"/>
      <c r="B222" s="1419" t="s">
        <v>204</v>
      </c>
      <c r="C222" s="1419"/>
      <c r="D222" s="1419"/>
      <c r="E222" s="1419"/>
      <c r="F222" s="1419"/>
      <c r="G222" s="1419"/>
      <c r="H222" s="1422" t="e">
        <f>'04-22-Master'!#REF!</f>
        <v>#REF!</v>
      </c>
      <c r="I222" s="1421"/>
      <c r="J222" s="1421"/>
      <c r="K222" s="1421"/>
      <c r="L222" s="1224"/>
    </row>
    <row r="223" spans="1:12" ht="27.95" customHeight="1">
      <c r="A223" s="15"/>
      <c r="B223" s="1423" t="s">
        <v>205</v>
      </c>
      <c r="C223" s="1423"/>
      <c r="D223" s="1423"/>
      <c r="E223" s="1423"/>
      <c r="F223" s="1423"/>
      <c r="G223" s="1423"/>
      <c r="H223" s="1422" t="e">
        <f>'04-22-Master'!#REF!</f>
        <v>#REF!</v>
      </c>
      <c r="I223" s="1421"/>
      <c r="J223" s="1421"/>
      <c r="K223" s="1421"/>
      <c r="L223" s="1224"/>
    </row>
    <row r="224" spans="1:12" ht="27.95" customHeight="1">
      <c r="A224" s="15"/>
      <c r="B224" s="1419" t="s">
        <v>206</v>
      </c>
      <c r="C224" s="1419"/>
      <c r="D224" s="1419"/>
      <c r="E224" s="1419"/>
      <c r="F224" s="1419"/>
      <c r="G224" s="1419"/>
      <c r="H224" s="1422" t="e">
        <f>'04-22-Master'!#REF!</f>
        <v>#REF!</v>
      </c>
      <c r="I224" s="1421"/>
      <c r="J224" s="1421"/>
      <c r="K224" s="1421"/>
      <c r="L224" s="1224"/>
    </row>
    <row r="225" spans="1:12">
      <c r="A225" s="15"/>
      <c r="B225" s="1419" t="s">
        <v>207</v>
      </c>
      <c r="C225" s="1419"/>
      <c r="D225" s="1419"/>
      <c r="E225" s="1419"/>
      <c r="F225" s="1419"/>
      <c r="G225" s="1419"/>
      <c r="H225" s="1424" t="e">
        <f>'04-22-Master'!#REF!</f>
        <v>#REF!</v>
      </c>
      <c r="I225" s="1421"/>
      <c r="J225" s="1421"/>
      <c r="K225" s="1421"/>
      <c r="L225" s="1224"/>
    </row>
    <row r="226" spans="1:12">
      <c r="A226" s="15"/>
      <c r="B226" s="91" t="s">
        <v>209</v>
      </c>
      <c r="C226" s="92"/>
      <c r="D226" s="92"/>
      <c r="E226" s="92"/>
      <c r="F226" s="92"/>
      <c r="G226" s="92"/>
      <c r="H226" s="1416" t="s">
        <v>210</v>
      </c>
      <c r="I226" s="1417"/>
      <c r="J226" s="1417"/>
      <c r="K226" s="1417"/>
      <c r="L226" s="1418"/>
    </row>
    <row r="227" spans="1:12">
      <c r="A227" s="15"/>
      <c r="B227" s="91" t="s">
        <v>211</v>
      </c>
      <c r="C227" s="92"/>
      <c r="D227" s="92"/>
      <c r="E227" s="92"/>
      <c r="F227" s="92"/>
      <c r="G227" s="92"/>
      <c r="H227" s="93"/>
      <c r="I227" s="94"/>
      <c r="J227" s="174"/>
      <c r="K227" s="94"/>
      <c r="L227" s="99"/>
    </row>
    <row r="228" spans="1:12">
      <c r="A228" s="15"/>
      <c r="B228" s="1234" t="s">
        <v>212</v>
      </c>
      <c r="C228" s="1234"/>
      <c r="D228" s="1234"/>
      <c r="E228" s="1234"/>
      <c r="F228" s="1234"/>
      <c r="G228" s="1234"/>
      <c r="H228" s="1227" t="e">
        <f>'04-22-Master'!#REF!</f>
        <v>#REF!</v>
      </c>
      <c r="I228" s="1228"/>
      <c r="J228" s="1228"/>
      <c r="K228" s="1228"/>
      <c r="L228" s="1229"/>
    </row>
    <row r="229" spans="1:12">
      <c r="A229" s="15"/>
      <c r="B229" s="1419"/>
      <c r="C229" s="1419"/>
      <c r="D229" s="1419"/>
      <c r="E229" s="1419"/>
      <c r="F229" s="1419"/>
      <c r="G229" s="1419"/>
      <c r="H229" s="1420" t="e">
        <f>'04-22-Master'!#REF!</f>
        <v>#REF!</v>
      </c>
      <c r="I229" s="1421"/>
      <c r="J229" s="1421"/>
      <c r="K229" s="1421"/>
      <c r="L229" s="1224"/>
    </row>
    <row r="230" spans="1:12">
      <c r="A230" s="15"/>
      <c r="B230" s="1419"/>
      <c r="C230" s="1419"/>
      <c r="D230" s="1419"/>
      <c r="E230" s="1419"/>
      <c r="F230" s="1419"/>
      <c r="G230" s="1419"/>
      <c r="H230" s="1422" t="e">
        <f>'04-22-Master'!#REF!</f>
        <v>#REF!</v>
      </c>
      <c r="I230" s="1421"/>
      <c r="J230" s="1421"/>
      <c r="K230" s="1421"/>
      <c r="L230" s="1224"/>
    </row>
    <row r="231" spans="1:12">
      <c r="A231" s="15"/>
      <c r="G231" s="2" t="s">
        <v>236</v>
      </c>
      <c r="H231" s="2"/>
      <c r="I231" s="2"/>
      <c r="J231" s="2"/>
      <c r="K231" s="2"/>
      <c r="L231" s="86"/>
    </row>
    <row r="232" spans="1:12">
      <c r="A232" s="15"/>
      <c r="B232" s="176" t="s">
        <v>220</v>
      </c>
      <c r="C232" s="172"/>
      <c r="D232" s="172"/>
      <c r="E232" s="172"/>
      <c r="F232" s="172"/>
      <c r="G232" s="172"/>
      <c r="H232" s="161"/>
      <c r="I232" s="161"/>
      <c r="J232" s="161"/>
      <c r="K232" s="161"/>
      <c r="L232" s="179"/>
    </row>
    <row r="233" spans="1:12">
      <c r="A233" s="15"/>
      <c r="B233" s="176" t="s">
        <v>221</v>
      </c>
      <c r="C233" s="172"/>
      <c r="D233" s="172"/>
      <c r="E233" s="172"/>
      <c r="F233" s="172"/>
      <c r="G233" s="172"/>
      <c r="H233" s="161"/>
      <c r="I233" s="161"/>
      <c r="J233" s="162"/>
      <c r="K233" s="161"/>
      <c r="L233" s="179"/>
    </row>
    <row r="234" spans="1:12" ht="45">
      <c r="A234" s="90"/>
      <c r="B234" s="91" t="s">
        <v>224</v>
      </c>
      <c r="C234" s="92"/>
      <c r="D234" s="189"/>
      <c r="E234" s="167" t="s">
        <v>226</v>
      </c>
      <c r="F234" s="66"/>
      <c r="G234" s="1411" t="s">
        <v>225</v>
      </c>
      <c r="H234" s="1412"/>
      <c r="I234" s="166" t="s">
        <v>222</v>
      </c>
      <c r="J234" s="169" t="s">
        <v>227</v>
      </c>
      <c r="K234" s="1411" t="s">
        <v>223</v>
      </c>
      <c r="L234" s="1413"/>
    </row>
    <row r="235" spans="1:12">
      <c r="A235" s="90"/>
      <c r="B235" s="170">
        <v>1</v>
      </c>
      <c r="C235" s="92"/>
      <c r="D235" s="92"/>
      <c r="E235" s="173">
        <v>2</v>
      </c>
      <c r="F235" s="95"/>
      <c r="G235" s="173">
        <v>3</v>
      </c>
      <c r="H235" s="189"/>
      <c r="I235" s="189">
        <v>4</v>
      </c>
      <c r="J235" s="110">
        <v>5</v>
      </c>
      <c r="K235" s="97"/>
      <c r="L235" s="98">
        <v>6</v>
      </c>
    </row>
    <row r="236" spans="1:12">
      <c r="A236" s="90"/>
      <c r="B236" s="91" t="e">
        <f>'04-22-Master'!#REF!</f>
        <v>#REF!</v>
      </c>
      <c r="C236" s="185"/>
      <c r="D236" s="186"/>
      <c r="E236" s="187" t="s">
        <v>386</v>
      </c>
      <c r="F236" s="186"/>
      <c r="G236" s="187" t="s">
        <v>384</v>
      </c>
      <c r="H236" s="66"/>
      <c r="I236" s="13" t="s">
        <v>387</v>
      </c>
      <c r="J236" s="285">
        <v>1</v>
      </c>
      <c r="K236" s="188" t="s">
        <v>37</v>
      </c>
      <c r="L236" s="193"/>
    </row>
    <row r="237" spans="1:12">
      <c r="A237" s="90"/>
      <c r="B237" s="91"/>
      <c r="C237" s="185"/>
      <c r="D237" s="186"/>
      <c r="E237" s="187"/>
      <c r="F237" s="186"/>
      <c r="G237" s="187"/>
      <c r="H237" s="66"/>
      <c r="I237" s="13"/>
      <c r="J237" s="13"/>
      <c r="K237" s="188"/>
      <c r="L237" s="193"/>
    </row>
    <row r="238" spans="1:12">
      <c r="A238" s="90"/>
      <c r="B238" s="91"/>
      <c r="C238" s="185"/>
      <c r="D238" s="186"/>
      <c r="E238" s="187"/>
      <c r="F238" s="186"/>
      <c r="G238" s="187"/>
      <c r="H238" s="66"/>
      <c r="I238" s="13"/>
      <c r="J238" s="13"/>
      <c r="K238" s="188"/>
      <c r="L238" s="193"/>
    </row>
    <row r="239" spans="1:12">
      <c r="A239" s="90"/>
      <c r="B239" s="73"/>
      <c r="C239" s="19"/>
      <c r="D239" s="74"/>
      <c r="E239" s="187"/>
      <c r="F239" s="186"/>
      <c r="G239" s="187"/>
      <c r="H239" s="66"/>
      <c r="I239" s="13"/>
      <c r="J239" s="13"/>
      <c r="K239" s="188"/>
      <c r="L239" s="193"/>
    </row>
    <row r="240" spans="1:12">
      <c r="A240" s="90"/>
      <c r="B240" t="s">
        <v>228</v>
      </c>
      <c r="L240" s="16"/>
    </row>
    <row r="241" spans="1:12">
      <c r="A241" s="15"/>
      <c r="B241" t="s">
        <v>229</v>
      </c>
      <c r="L241" s="16"/>
    </row>
    <row r="242" spans="1:12">
      <c r="A242" s="15"/>
      <c r="B242" t="s">
        <v>240</v>
      </c>
      <c r="J242" t="s">
        <v>239</v>
      </c>
      <c r="L242" s="16"/>
    </row>
    <row r="243" spans="1:12">
      <c r="A243" s="15"/>
      <c r="G243" s="2" t="s">
        <v>237</v>
      </c>
      <c r="H243" s="2"/>
      <c r="I243" s="2"/>
      <c r="J243" s="2"/>
      <c r="K243" s="2"/>
      <c r="L243" s="86"/>
    </row>
    <row r="244" spans="1:12">
      <c r="A244" s="15"/>
      <c r="B244" s="2"/>
      <c r="G244" t="s">
        <v>238</v>
      </c>
      <c r="H244" s="2"/>
      <c r="I244" s="2"/>
      <c r="J244" s="2"/>
      <c r="K244" s="2"/>
      <c r="L244" s="86"/>
    </row>
    <row r="245" spans="1:12">
      <c r="A245" s="15"/>
      <c r="B245" s="176" t="s">
        <v>241</v>
      </c>
      <c r="C245" s="172"/>
      <c r="D245" s="172"/>
      <c r="E245" s="172"/>
      <c r="F245" s="172"/>
      <c r="G245" s="172"/>
      <c r="H245" s="161"/>
      <c r="I245" s="161"/>
      <c r="J245" s="161"/>
      <c r="K245" s="161"/>
      <c r="L245" s="179"/>
    </row>
    <row r="246" spans="1:12">
      <c r="A246" s="15"/>
      <c r="B246" s="176" t="s">
        <v>242</v>
      </c>
      <c r="C246" s="172"/>
      <c r="D246" s="172"/>
      <c r="E246" s="172"/>
      <c r="F246" s="172"/>
      <c r="G246" s="172"/>
      <c r="H246" s="161"/>
      <c r="I246" s="161"/>
      <c r="J246" s="162"/>
      <c r="K246" s="161"/>
      <c r="L246" s="179"/>
    </row>
    <row r="247" spans="1:12">
      <c r="A247" s="15"/>
      <c r="B247" s="91" t="s">
        <v>5</v>
      </c>
      <c r="C247" s="1431" t="s">
        <v>243</v>
      </c>
      <c r="D247" s="1409"/>
      <c r="E247" s="1409"/>
      <c r="F247" s="1409"/>
      <c r="G247" s="1409"/>
      <c r="H247" s="1432"/>
      <c r="I247" s="168" t="s">
        <v>112</v>
      </c>
      <c r="J247" s="1433" t="s">
        <v>244</v>
      </c>
      <c r="K247" s="1434"/>
      <c r="L247" s="1435"/>
    </row>
    <row r="248" spans="1:12">
      <c r="A248" s="15"/>
      <c r="B248" s="170">
        <v>1</v>
      </c>
      <c r="C248" s="204"/>
      <c r="D248" s="94"/>
      <c r="E248" s="100">
        <v>2</v>
      </c>
      <c r="F248" s="65"/>
      <c r="G248" s="1430"/>
      <c r="H248" s="1412"/>
      <c r="I248" s="94">
        <v>3</v>
      </c>
      <c r="J248" s="191" t="s">
        <v>245</v>
      </c>
      <c r="K248" s="1436">
        <v>4</v>
      </c>
      <c r="L248" s="1437"/>
    </row>
    <row r="249" spans="1:12">
      <c r="A249" s="15"/>
      <c r="B249" s="91"/>
      <c r="C249" s="204"/>
      <c r="D249" s="94"/>
      <c r="E249" s="100"/>
      <c r="F249" s="65"/>
      <c r="G249" s="1430"/>
      <c r="H249" s="1412"/>
      <c r="I249" s="188"/>
      <c r="J249" s="190"/>
      <c r="K249" s="1430"/>
      <c r="L249" s="1413"/>
    </row>
    <row r="250" spans="1:12">
      <c r="A250" s="15"/>
      <c r="B250" s="91"/>
      <c r="C250" s="204"/>
      <c r="D250" s="94"/>
      <c r="E250" s="100"/>
      <c r="F250" s="65"/>
      <c r="G250" s="1430"/>
      <c r="H250" s="1412"/>
      <c r="I250" s="188"/>
      <c r="J250" s="190"/>
      <c r="K250" s="1430"/>
      <c r="L250" s="1413"/>
    </row>
    <row r="251" spans="1:12">
      <c r="A251" s="15"/>
      <c r="B251" s="91"/>
      <c r="C251" s="204"/>
      <c r="D251" s="94"/>
      <c r="E251" s="100"/>
      <c r="F251" s="65"/>
      <c r="G251" s="1430"/>
      <c r="H251" s="1412"/>
      <c r="I251" s="188"/>
      <c r="J251" s="190"/>
      <c r="K251" s="1430"/>
      <c r="L251" s="1413"/>
    </row>
    <row r="252" spans="1:12">
      <c r="A252" s="15"/>
      <c r="B252" s="73"/>
      <c r="C252" s="204"/>
      <c r="D252" s="94"/>
      <c r="E252" s="100"/>
      <c r="F252" s="65"/>
      <c r="G252" s="1430"/>
      <c r="H252" s="1412"/>
      <c r="I252" s="188"/>
      <c r="J252" s="190"/>
      <c r="K252" s="1430"/>
      <c r="L252" s="1413"/>
    </row>
    <row r="253" spans="1:12">
      <c r="A253" s="15"/>
      <c r="B253" t="s">
        <v>249</v>
      </c>
      <c r="L253" s="16"/>
    </row>
    <row r="254" spans="1:12">
      <c r="A254" s="15"/>
      <c r="B254" t="s">
        <v>250</v>
      </c>
      <c r="L254" s="16"/>
    </row>
    <row r="255" spans="1:12">
      <c r="A255" s="15"/>
      <c r="B255" t="s">
        <v>251</v>
      </c>
      <c r="L255" s="16"/>
    </row>
    <row r="256" spans="1:12">
      <c r="A256" s="15"/>
      <c r="B256" t="s">
        <v>252</v>
      </c>
      <c r="L256" s="16"/>
    </row>
    <row r="257" spans="1:12">
      <c r="A257" s="15"/>
      <c r="B257" s="187" t="s">
        <v>246</v>
      </c>
      <c r="C257" s="65"/>
      <c r="D257" s="65"/>
      <c r="E257" s="65"/>
      <c r="F257" s="66"/>
      <c r="G257" s="187" t="s">
        <v>222</v>
      </c>
      <c r="H257" s="66"/>
      <c r="I257" s="187" t="s">
        <v>247</v>
      </c>
      <c r="J257" s="65"/>
      <c r="K257" s="66"/>
      <c r="L257" s="16"/>
    </row>
    <row r="258" spans="1:12">
      <c r="A258" s="15"/>
      <c r="B258" s="1414"/>
      <c r="C258" s="1429"/>
      <c r="D258" s="1429"/>
      <c r="E258" s="1429"/>
      <c r="F258" s="1425"/>
      <c r="G258" s="1414"/>
      <c r="H258" s="1425"/>
      <c r="I258" s="1414"/>
      <c r="J258" s="1429"/>
      <c r="K258" s="1425"/>
      <c r="L258" s="16"/>
    </row>
    <row r="259" spans="1:12">
      <c r="A259" s="15"/>
      <c r="B259" s="1414"/>
      <c r="C259" s="1429"/>
      <c r="D259" s="1429"/>
      <c r="E259" s="1429"/>
      <c r="F259" s="1425"/>
      <c r="G259" s="1414"/>
      <c r="H259" s="1425"/>
      <c r="I259" s="1414"/>
      <c r="J259" s="1429"/>
      <c r="K259" s="1425"/>
      <c r="L259" s="16"/>
    </row>
    <row r="260" spans="1:12" ht="27.95" customHeight="1">
      <c r="A260" s="15"/>
      <c r="B260" s="1414"/>
      <c r="C260" s="1429"/>
      <c r="D260" s="1429"/>
      <c r="E260" s="1429"/>
      <c r="F260" s="1425"/>
      <c r="G260" s="1414"/>
      <c r="H260" s="1425"/>
      <c r="I260" s="1414"/>
      <c r="J260" s="1429"/>
      <c r="K260" s="1425"/>
      <c r="L260" s="16"/>
    </row>
    <row r="261" spans="1:12" ht="27.95" customHeight="1">
      <c r="A261" s="15"/>
      <c r="B261" s="1414"/>
      <c r="C261" s="1429"/>
      <c r="D261" s="1429"/>
      <c r="E261" s="1429"/>
      <c r="F261" s="1425"/>
      <c r="G261" s="1414"/>
      <c r="H261" s="1425"/>
      <c r="I261" s="1414"/>
      <c r="J261" s="1429"/>
      <c r="K261" s="1425"/>
      <c r="L261" s="16"/>
    </row>
    <row r="262" spans="1:12" ht="27.95" customHeight="1">
      <c r="A262" s="15"/>
      <c r="L262" s="16"/>
    </row>
    <row r="263" spans="1:12" ht="27.95" customHeight="1">
      <c r="A263" s="15"/>
      <c r="B263" t="s">
        <v>219</v>
      </c>
      <c r="C263" s="284" t="e">
        <f>'04-22-Master'!#REF!</f>
        <v>#REF!</v>
      </c>
      <c r="I263" t="s">
        <v>248</v>
      </c>
      <c r="L263" s="16"/>
    </row>
    <row r="264" spans="1:12" ht="27.95" customHeight="1">
      <c r="A264" s="15"/>
      <c r="F264" s="175" t="s">
        <v>214</v>
      </c>
      <c r="L264" s="16"/>
    </row>
    <row r="265" spans="1:12" ht="27.95" customHeight="1">
      <c r="A265" s="15" t="s">
        <v>215</v>
      </c>
      <c r="K265" s="225" t="e">
        <f>'04-22-Master'!#REF!</f>
        <v>#REF!</v>
      </c>
      <c r="L265" s="16"/>
    </row>
    <row r="266" spans="1:12" ht="27.95" customHeight="1">
      <c r="A266" s="15" t="s">
        <v>216</v>
      </c>
      <c r="L266" s="16"/>
    </row>
    <row r="267" spans="1:12" ht="27.95" customHeight="1">
      <c r="A267" s="15"/>
      <c r="L267" s="16"/>
    </row>
    <row r="268" spans="1:12" ht="27.95" customHeight="1">
      <c r="A268" s="15"/>
      <c r="F268" t="s">
        <v>217</v>
      </c>
      <c r="L268" s="16"/>
    </row>
    <row r="269" spans="1:12" ht="27.95" customHeight="1">
      <c r="A269" s="15" t="s">
        <v>218</v>
      </c>
      <c r="B269" t="s">
        <v>382</v>
      </c>
      <c r="F269" s="154" t="str">
        <f>'04-22-Master'!F5</f>
        <v>Burgeon IT Services Pvt.Ltd.</v>
      </c>
      <c r="L269" s="16"/>
    </row>
    <row r="270" spans="1:12" ht="27.95" customHeight="1" thickBot="1">
      <c r="A270" s="27" t="s">
        <v>219</v>
      </c>
      <c r="B270" s="287" t="e">
        <f>'04-22-Master'!#REF!</f>
        <v>#REF!</v>
      </c>
      <c r="C270" s="25"/>
      <c r="D270" s="25"/>
      <c r="E270" s="25"/>
      <c r="F270" s="25" t="str">
        <f>'04-22-Master'!F6</f>
        <v>Siri Mansion LIGB 436 Dr.A S Rao Nagar,Hyderabad</v>
      </c>
      <c r="G270" s="25"/>
      <c r="H270" s="25"/>
      <c r="I270" s="25"/>
      <c r="J270" s="25"/>
      <c r="K270" s="25"/>
      <c r="L270" s="26"/>
    </row>
    <row r="271" spans="1:12" ht="27.95" customHeight="1">
      <c r="A271" s="79"/>
      <c r="B271" s="80"/>
      <c r="C271" s="80"/>
      <c r="D271" s="180"/>
      <c r="E271" s="180"/>
      <c r="F271" s="180"/>
      <c r="G271" s="180"/>
      <c r="H271" s="180"/>
      <c r="I271" s="180"/>
      <c r="J271" s="80"/>
      <c r="K271" s="182" t="s">
        <v>233</v>
      </c>
      <c r="L271" s="181"/>
    </row>
    <row r="272" spans="1:12" ht="27.95" customHeight="1">
      <c r="A272" s="15"/>
      <c r="B272" s="1438" t="s">
        <v>232</v>
      </c>
      <c r="C272" s="1438"/>
      <c r="D272" s="1438"/>
      <c r="E272" s="1438"/>
      <c r="F272" s="1438"/>
      <c r="G272" s="1438"/>
      <c r="H272" s="1438"/>
      <c r="I272" s="1438"/>
      <c r="J272" s="1438"/>
      <c r="K272" s="1438"/>
      <c r="L272" s="1439"/>
    </row>
    <row r="273" spans="1:12" ht="27.95" customHeight="1">
      <c r="A273" s="15"/>
      <c r="B273" s="1403" t="s">
        <v>234</v>
      </c>
      <c r="C273" s="1403"/>
      <c r="D273" s="1403"/>
      <c r="E273" s="1403"/>
      <c r="F273" s="1403"/>
      <c r="G273" s="1403"/>
      <c r="H273" s="1403"/>
      <c r="I273" s="1403"/>
      <c r="J273" s="1403"/>
      <c r="K273" s="1403"/>
      <c r="L273" s="1440"/>
    </row>
    <row r="274" spans="1:12" ht="27.95" customHeight="1">
      <c r="A274" s="15"/>
      <c r="B274" s="183" t="s">
        <v>235</v>
      </c>
      <c r="C274" s="183"/>
      <c r="D274" s="183"/>
      <c r="E274" s="183"/>
      <c r="F274" s="183"/>
      <c r="H274" s="184"/>
      <c r="I274" s="184"/>
      <c r="J274" s="184"/>
      <c r="K274" s="184"/>
      <c r="L274" s="192"/>
    </row>
    <row r="275" spans="1:12" ht="27.95" customHeight="1">
      <c r="A275" s="15"/>
      <c r="B275" s="1419" t="s">
        <v>204</v>
      </c>
      <c r="C275" s="1419"/>
      <c r="D275" s="1419"/>
      <c r="E275" s="1419"/>
      <c r="F275" s="1419"/>
      <c r="G275" s="1419"/>
      <c r="H275" s="1422" t="e">
        <f>'04-22-Master'!#REF!</f>
        <v>#REF!</v>
      </c>
      <c r="I275" s="1421"/>
      <c r="J275" s="1421"/>
      <c r="K275" s="1421"/>
      <c r="L275" s="1224"/>
    </row>
    <row r="276" spans="1:12" ht="27.95" customHeight="1">
      <c r="A276" s="15"/>
      <c r="B276" s="1423" t="s">
        <v>205</v>
      </c>
      <c r="C276" s="1423"/>
      <c r="D276" s="1423"/>
      <c r="E276" s="1423"/>
      <c r="F276" s="1423"/>
      <c r="G276" s="1423"/>
      <c r="H276" s="1422" t="e">
        <f>'04-22-Master'!#REF!</f>
        <v>#REF!</v>
      </c>
      <c r="I276" s="1421"/>
      <c r="J276" s="1421"/>
      <c r="K276" s="1421"/>
      <c r="L276" s="1224"/>
    </row>
    <row r="277" spans="1:12">
      <c r="A277" s="15"/>
      <c r="B277" s="1419" t="s">
        <v>206</v>
      </c>
      <c r="C277" s="1419"/>
      <c r="D277" s="1419"/>
      <c r="E277" s="1419"/>
      <c r="F277" s="1419"/>
      <c r="G277" s="1419"/>
      <c r="H277" s="1422" t="e">
        <f>'04-22-Master'!#REF!</f>
        <v>#REF!</v>
      </c>
      <c r="I277" s="1421"/>
      <c r="J277" s="1421"/>
      <c r="K277" s="1421"/>
      <c r="L277" s="1224"/>
    </row>
    <row r="278" spans="1:12">
      <c r="A278" s="15"/>
      <c r="B278" s="1419" t="s">
        <v>207</v>
      </c>
      <c r="C278" s="1419"/>
      <c r="D278" s="1419"/>
      <c r="E278" s="1419"/>
      <c r="F278" s="1419"/>
      <c r="G278" s="1419"/>
      <c r="H278" s="1424" t="e">
        <f>'04-22-Master'!#REF!</f>
        <v>#REF!</v>
      </c>
      <c r="I278" s="1421"/>
      <c r="J278" s="1421"/>
      <c r="K278" s="1421"/>
      <c r="L278" s="1224"/>
    </row>
    <row r="279" spans="1:12">
      <c r="A279" s="15"/>
      <c r="B279" s="91" t="s">
        <v>209</v>
      </c>
      <c r="C279" s="92"/>
      <c r="D279" s="92"/>
      <c r="E279" s="92"/>
      <c r="F279" s="92"/>
      <c r="G279" s="92"/>
      <c r="H279" s="1416" t="s">
        <v>210</v>
      </c>
      <c r="I279" s="1417"/>
      <c r="J279" s="1417"/>
      <c r="K279" s="1417"/>
      <c r="L279" s="1418"/>
    </row>
    <row r="280" spans="1:12">
      <c r="A280" s="15"/>
      <c r="B280" s="91" t="s">
        <v>211</v>
      </c>
      <c r="C280" s="92"/>
      <c r="D280" s="92"/>
      <c r="E280" s="92"/>
      <c r="F280" s="92"/>
      <c r="G280" s="92"/>
      <c r="H280" s="93"/>
      <c r="I280" s="94"/>
      <c r="J280" s="174"/>
      <c r="K280" s="94"/>
      <c r="L280" s="99"/>
    </row>
    <row r="281" spans="1:12">
      <c r="A281" s="15"/>
      <c r="B281" s="1234" t="s">
        <v>212</v>
      </c>
      <c r="C281" s="1234"/>
      <c r="D281" s="1234"/>
      <c r="E281" s="1234"/>
      <c r="F281" s="1234"/>
      <c r="G281" s="1234"/>
      <c r="H281" s="1227" t="e">
        <f>'04-22-Master'!#REF!</f>
        <v>#REF!</v>
      </c>
      <c r="I281" s="1228"/>
      <c r="J281" s="1228"/>
      <c r="K281" s="1228"/>
      <c r="L281" s="1229"/>
    </row>
    <row r="282" spans="1:12">
      <c r="A282" s="15"/>
      <c r="B282" s="1419"/>
      <c r="C282" s="1419"/>
      <c r="D282" s="1419"/>
      <c r="E282" s="1419"/>
      <c r="F282" s="1419"/>
      <c r="G282" s="1419"/>
      <c r="H282" s="1420" t="e">
        <f>'04-22-Master'!#REF!</f>
        <v>#REF!</v>
      </c>
      <c r="I282" s="1421"/>
      <c r="J282" s="1421"/>
      <c r="K282" s="1421"/>
      <c r="L282" s="1224"/>
    </row>
    <row r="283" spans="1:12">
      <c r="A283" s="15"/>
      <c r="B283" s="1419"/>
      <c r="C283" s="1419"/>
      <c r="D283" s="1419"/>
      <c r="E283" s="1419"/>
      <c r="F283" s="1419"/>
      <c r="G283" s="1419"/>
      <c r="H283" s="1422" t="e">
        <f>'04-22-Master'!#REF!</f>
        <v>#REF!</v>
      </c>
      <c r="I283" s="1421"/>
      <c r="J283" s="1421"/>
      <c r="K283" s="1421"/>
      <c r="L283" s="1224"/>
    </row>
    <row r="284" spans="1:12">
      <c r="A284" s="15"/>
      <c r="G284" s="2" t="s">
        <v>236</v>
      </c>
      <c r="H284" s="2"/>
      <c r="I284" s="2"/>
      <c r="J284" s="2"/>
      <c r="K284" s="2"/>
      <c r="L284" s="86"/>
    </row>
    <row r="285" spans="1:12">
      <c r="A285" s="15"/>
      <c r="B285" s="176" t="s">
        <v>220</v>
      </c>
      <c r="C285" s="172"/>
      <c r="D285" s="172"/>
      <c r="E285" s="172"/>
      <c r="F285" s="172"/>
      <c r="G285" s="172"/>
      <c r="H285" s="161"/>
      <c r="I285" s="161"/>
      <c r="J285" s="161"/>
      <c r="K285" s="161"/>
      <c r="L285" s="179"/>
    </row>
    <row r="286" spans="1:12">
      <c r="A286" s="15"/>
      <c r="B286" s="176" t="s">
        <v>221</v>
      </c>
      <c r="C286" s="172"/>
      <c r="D286" s="172"/>
      <c r="E286" s="172"/>
      <c r="F286" s="172"/>
      <c r="G286" s="172"/>
      <c r="H286" s="161"/>
      <c r="I286" s="161"/>
      <c r="J286" s="162"/>
      <c r="K286" s="161"/>
      <c r="L286" s="179"/>
    </row>
    <row r="287" spans="1:12" ht="45">
      <c r="A287" s="90"/>
      <c r="B287" s="91" t="s">
        <v>224</v>
      </c>
      <c r="C287" s="92"/>
      <c r="D287" s="189"/>
      <c r="E287" s="167" t="s">
        <v>226</v>
      </c>
      <c r="F287" s="66"/>
      <c r="G287" s="1411" t="s">
        <v>225</v>
      </c>
      <c r="H287" s="1412"/>
      <c r="I287" s="166" t="s">
        <v>222</v>
      </c>
      <c r="J287" s="169" t="s">
        <v>227</v>
      </c>
      <c r="K287" s="1411" t="s">
        <v>223</v>
      </c>
      <c r="L287" s="1413"/>
    </row>
    <row r="288" spans="1:12">
      <c r="A288" s="90"/>
      <c r="B288" s="170">
        <v>1</v>
      </c>
      <c r="C288" s="92"/>
      <c r="D288" s="92"/>
      <c r="E288" s="173">
        <v>2</v>
      </c>
      <c r="F288" s="95"/>
      <c r="G288" s="173">
        <v>3</v>
      </c>
      <c r="H288" s="189"/>
      <c r="I288" s="189">
        <v>4</v>
      </c>
      <c r="J288" s="110">
        <v>5</v>
      </c>
      <c r="K288" s="97"/>
      <c r="L288" s="98">
        <v>6</v>
      </c>
    </row>
    <row r="289" spans="1:12">
      <c r="A289" s="90"/>
      <c r="B289" s="91" t="e">
        <f>'04-22-Master'!#REF!</f>
        <v>#REF!</v>
      </c>
      <c r="C289" s="185"/>
      <c r="D289" s="186"/>
      <c r="E289" s="187" t="s">
        <v>386</v>
      </c>
      <c r="F289" s="186"/>
      <c r="G289" s="187" t="s">
        <v>384</v>
      </c>
      <c r="H289" s="66"/>
      <c r="I289" s="13" t="s">
        <v>387</v>
      </c>
      <c r="J289" s="285">
        <v>1</v>
      </c>
      <c r="K289" s="188" t="s">
        <v>37</v>
      </c>
      <c r="L289" s="193"/>
    </row>
    <row r="290" spans="1:12">
      <c r="A290" s="90"/>
      <c r="B290" s="91"/>
      <c r="C290" s="185"/>
      <c r="D290" s="186"/>
      <c r="E290" s="187"/>
      <c r="F290" s="186"/>
      <c r="G290" s="187"/>
      <c r="H290" s="66"/>
      <c r="I290" s="13"/>
      <c r="J290" s="13"/>
      <c r="K290" s="188"/>
      <c r="L290" s="193"/>
    </row>
    <row r="291" spans="1:12">
      <c r="A291" s="90"/>
      <c r="B291" s="91"/>
      <c r="C291" s="185"/>
      <c r="D291" s="186"/>
      <c r="E291" s="187"/>
      <c r="F291" s="186"/>
      <c r="G291" s="187"/>
      <c r="H291" s="66"/>
      <c r="I291" s="13"/>
      <c r="J291" s="13"/>
      <c r="K291" s="188"/>
      <c r="L291" s="193"/>
    </row>
    <row r="292" spans="1:12">
      <c r="A292" s="90"/>
      <c r="B292" s="73"/>
      <c r="C292" s="19"/>
      <c r="D292" s="74"/>
      <c r="E292" s="187"/>
      <c r="F292" s="186"/>
      <c r="G292" s="187"/>
      <c r="H292" s="66"/>
      <c r="I292" s="13"/>
      <c r="J292" s="13"/>
      <c r="K292" s="188"/>
      <c r="L292" s="193"/>
    </row>
    <row r="293" spans="1:12">
      <c r="A293" s="90"/>
      <c r="B293" t="s">
        <v>228</v>
      </c>
      <c r="L293" s="16"/>
    </row>
    <row r="294" spans="1:12">
      <c r="A294" s="15"/>
      <c r="B294" t="s">
        <v>229</v>
      </c>
      <c r="L294" s="16"/>
    </row>
    <row r="295" spans="1:12">
      <c r="A295" s="15"/>
      <c r="B295" t="s">
        <v>240</v>
      </c>
      <c r="J295" t="s">
        <v>239</v>
      </c>
      <c r="L295" s="16"/>
    </row>
    <row r="296" spans="1:12">
      <c r="A296" s="15"/>
      <c r="G296" s="2" t="s">
        <v>237</v>
      </c>
      <c r="H296" s="2"/>
      <c r="I296" s="2"/>
      <c r="J296" s="2"/>
      <c r="K296" s="2"/>
      <c r="L296" s="86"/>
    </row>
    <row r="297" spans="1:12">
      <c r="A297" s="15"/>
      <c r="B297" s="2"/>
      <c r="G297" t="s">
        <v>238</v>
      </c>
      <c r="H297" s="2"/>
      <c r="I297" s="2"/>
      <c r="J297" s="2"/>
      <c r="K297" s="2"/>
      <c r="L297" s="86"/>
    </row>
    <row r="298" spans="1:12">
      <c r="A298" s="15"/>
      <c r="B298" s="176" t="s">
        <v>241</v>
      </c>
      <c r="C298" s="172"/>
      <c r="D298" s="172"/>
      <c r="E298" s="172"/>
      <c r="F298" s="172"/>
      <c r="G298" s="172"/>
      <c r="H298" s="161"/>
      <c r="I298" s="161"/>
      <c r="J298" s="161"/>
      <c r="K298" s="161"/>
      <c r="L298" s="179"/>
    </row>
    <row r="299" spans="1:12">
      <c r="A299" s="15"/>
      <c r="B299" s="176" t="s">
        <v>242</v>
      </c>
      <c r="C299" s="172"/>
      <c r="D299" s="172"/>
      <c r="E299" s="172"/>
      <c r="F299" s="172"/>
      <c r="G299" s="172"/>
      <c r="H299" s="161"/>
      <c r="I299" s="161"/>
      <c r="J299" s="162"/>
      <c r="K299" s="161"/>
      <c r="L299" s="179"/>
    </row>
    <row r="300" spans="1:12">
      <c r="A300" s="15"/>
      <c r="B300" s="91" t="s">
        <v>5</v>
      </c>
      <c r="C300" s="1431" t="s">
        <v>243</v>
      </c>
      <c r="D300" s="1409"/>
      <c r="E300" s="1409"/>
      <c r="F300" s="1409"/>
      <c r="G300" s="1409"/>
      <c r="H300" s="1432"/>
      <c r="I300" s="168" t="s">
        <v>112</v>
      </c>
      <c r="J300" s="1433" t="s">
        <v>244</v>
      </c>
      <c r="K300" s="1434"/>
      <c r="L300" s="1435"/>
    </row>
    <row r="301" spans="1:12">
      <c r="A301" s="15"/>
      <c r="B301" s="170">
        <v>1</v>
      </c>
      <c r="C301" s="204"/>
      <c r="D301" s="94"/>
      <c r="E301" s="100">
        <v>2</v>
      </c>
      <c r="F301" s="65"/>
      <c r="G301" s="1430"/>
      <c r="H301" s="1412"/>
      <c r="I301" s="94">
        <v>3</v>
      </c>
      <c r="J301" s="191" t="s">
        <v>245</v>
      </c>
      <c r="K301" s="1436">
        <v>4</v>
      </c>
      <c r="L301" s="1437"/>
    </row>
    <row r="302" spans="1:12">
      <c r="A302" s="15"/>
      <c r="B302" s="91"/>
      <c r="C302" s="204"/>
      <c r="D302" s="94"/>
      <c r="E302" s="100"/>
      <c r="F302" s="65"/>
      <c r="G302" s="1430"/>
      <c r="H302" s="1412"/>
      <c r="I302" s="188"/>
      <c r="J302" s="190"/>
      <c r="K302" s="1430"/>
      <c r="L302" s="1413"/>
    </row>
    <row r="303" spans="1:12">
      <c r="A303" s="15"/>
      <c r="B303" s="91"/>
      <c r="C303" s="204"/>
      <c r="D303" s="94"/>
      <c r="E303" s="100"/>
      <c r="F303" s="65"/>
      <c r="G303" s="1430"/>
      <c r="H303" s="1412"/>
      <c r="I303" s="188"/>
      <c r="J303" s="190"/>
      <c r="K303" s="1430"/>
      <c r="L303" s="1413"/>
    </row>
    <row r="304" spans="1:12">
      <c r="A304" s="15"/>
      <c r="B304" s="91"/>
      <c r="C304" s="204"/>
      <c r="D304" s="94"/>
      <c r="E304" s="100"/>
      <c r="F304" s="65"/>
      <c r="G304" s="1430"/>
      <c r="H304" s="1412"/>
      <c r="I304" s="188"/>
      <c r="J304" s="190"/>
      <c r="K304" s="1430"/>
      <c r="L304" s="1413"/>
    </row>
    <row r="305" spans="1:12">
      <c r="A305" s="15"/>
      <c r="B305" s="73"/>
      <c r="C305" s="204"/>
      <c r="D305" s="94"/>
      <c r="E305" s="100"/>
      <c r="F305" s="65"/>
      <c r="G305" s="1430"/>
      <c r="H305" s="1412"/>
      <c r="I305" s="188"/>
      <c r="J305" s="190"/>
      <c r="K305" s="1430"/>
      <c r="L305" s="1413"/>
    </row>
    <row r="306" spans="1:12">
      <c r="A306" s="15"/>
      <c r="B306" t="s">
        <v>249</v>
      </c>
      <c r="L306" s="16"/>
    </row>
    <row r="307" spans="1:12">
      <c r="A307" s="15"/>
      <c r="B307" t="s">
        <v>250</v>
      </c>
      <c r="L307" s="16"/>
    </row>
    <row r="308" spans="1:12">
      <c r="A308" s="15"/>
      <c r="B308" t="s">
        <v>251</v>
      </c>
      <c r="L308" s="16"/>
    </row>
    <row r="309" spans="1:12">
      <c r="A309" s="15"/>
      <c r="B309" t="s">
        <v>252</v>
      </c>
      <c r="L309" s="16"/>
    </row>
    <row r="310" spans="1:12">
      <c r="A310" s="15"/>
      <c r="B310" s="187" t="s">
        <v>246</v>
      </c>
      <c r="C310" s="65"/>
      <c r="D310" s="65"/>
      <c r="E310" s="65"/>
      <c r="F310" s="66"/>
      <c r="G310" s="187" t="s">
        <v>222</v>
      </c>
      <c r="H310" s="66"/>
      <c r="I310" s="187" t="s">
        <v>247</v>
      </c>
      <c r="J310" s="65"/>
      <c r="K310" s="66"/>
      <c r="L310" s="16"/>
    </row>
    <row r="311" spans="1:12">
      <c r="A311" s="15"/>
      <c r="B311" s="1414"/>
      <c r="C311" s="1429"/>
      <c r="D311" s="1429"/>
      <c r="E311" s="1429"/>
      <c r="F311" s="1425"/>
      <c r="G311" s="1414"/>
      <c r="H311" s="1425"/>
      <c r="I311" s="1414"/>
      <c r="J311" s="1429"/>
      <c r="K311" s="1425"/>
      <c r="L311" s="16"/>
    </row>
    <row r="312" spans="1:12" ht="27.95" customHeight="1">
      <c r="A312" s="15"/>
      <c r="B312" s="1414"/>
      <c r="C312" s="1429"/>
      <c r="D312" s="1429"/>
      <c r="E312" s="1429"/>
      <c r="F312" s="1425"/>
      <c r="G312" s="1414"/>
      <c r="H312" s="1425"/>
      <c r="I312" s="1414"/>
      <c r="J312" s="1429"/>
      <c r="K312" s="1425"/>
      <c r="L312" s="16"/>
    </row>
    <row r="313" spans="1:12" ht="27.95" customHeight="1">
      <c r="A313" s="15"/>
      <c r="B313" s="1414"/>
      <c r="C313" s="1429"/>
      <c r="D313" s="1429"/>
      <c r="E313" s="1429"/>
      <c r="F313" s="1425"/>
      <c r="G313" s="1414"/>
      <c r="H313" s="1425"/>
      <c r="I313" s="1414"/>
      <c r="J313" s="1429"/>
      <c r="K313" s="1425"/>
      <c r="L313" s="16"/>
    </row>
    <row r="314" spans="1:12" ht="27.95" customHeight="1">
      <c r="A314" s="15"/>
      <c r="B314" s="1414"/>
      <c r="C314" s="1429"/>
      <c r="D314" s="1429"/>
      <c r="E314" s="1429"/>
      <c r="F314" s="1425"/>
      <c r="G314" s="1414"/>
      <c r="H314" s="1425"/>
      <c r="I314" s="1414"/>
      <c r="J314" s="1429"/>
      <c r="K314" s="1425"/>
      <c r="L314" s="16"/>
    </row>
    <row r="315" spans="1:12" ht="27.95" customHeight="1">
      <c r="A315" s="15"/>
      <c r="L315" s="16"/>
    </row>
    <row r="316" spans="1:12" ht="27.95" customHeight="1">
      <c r="A316" s="15"/>
      <c r="B316" t="s">
        <v>219</v>
      </c>
      <c r="C316" s="284" t="e">
        <f>'04-22-Master'!#REF!</f>
        <v>#REF!</v>
      </c>
      <c r="I316" t="s">
        <v>248</v>
      </c>
      <c r="L316" s="16"/>
    </row>
    <row r="317" spans="1:12" ht="27.95" customHeight="1">
      <c r="A317" s="15"/>
      <c r="F317" s="175" t="s">
        <v>214</v>
      </c>
      <c r="L317" s="16"/>
    </row>
    <row r="318" spans="1:12" ht="27.95" customHeight="1">
      <c r="A318" s="15" t="s">
        <v>215</v>
      </c>
      <c r="K318" s="225" t="e">
        <f>'04-22-Master'!#REF!</f>
        <v>#REF!</v>
      </c>
      <c r="L318" s="16"/>
    </row>
    <row r="319" spans="1:12" ht="27.95" customHeight="1">
      <c r="A319" s="15" t="s">
        <v>216</v>
      </c>
      <c r="L319" s="16"/>
    </row>
    <row r="320" spans="1:12" ht="27.95" customHeight="1">
      <c r="A320" s="15"/>
      <c r="L320" s="16"/>
    </row>
    <row r="321" spans="1:12" ht="27.95" customHeight="1">
      <c r="A321" s="15"/>
      <c r="F321" t="s">
        <v>217</v>
      </c>
      <c r="L321" s="16"/>
    </row>
    <row r="322" spans="1:12" ht="27.95" customHeight="1">
      <c r="A322" s="15" t="s">
        <v>218</v>
      </c>
      <c r="B322" t="s">
        <v>382</v>
      </c>
      <c r="F322" t="str">
        <f>'04-22-Master'!F5</f>
        <v>Burgeon IT Services Pvt.Ltd.</v>
      </c>
      <c r="L322" s="16"/>
    </row>
    <row r="323" spans="1:12" ht="27.95" customHeight="1" thickBot="1">
      <c r="A323" s="27" t="s">
        <v>219</v>
      </c>
      <c r="B323" s="287" t="e">
        <f>'04-22-Master'!#REF!</f>
        <v>#REF!</v>
      </c>
      <c r="C323" s="25"/>
      <c r="D323" s="25"/>
      <c r="E323" s="25"/>
      <c r="F323" s="25" t="str">
        <f>'04-22-Master'!F6</f>
        <v>Siri Mansion LIGB 436 Dr.A S Rao Nagar,Hyderabad</v>
      </c>
      <c r="G323" s="25"/>
      <c r="H323" s="25"/>
      <c r="I323" s="25"/>
      <c r="J323" s="25"/>
      <c r="K323" s="25"/>
      <c r="L323" s="26"/>
    </row>
    <row r="324" spans="1:12" ht="27.95" customHeight="1" thickBot="1">
      <c r="A324" s="15"/>
      <c r="B324" s="284"/>
      <c r="L324" s="16"/>
    </row>
    <row r="325" spans="1:12" ht="27.95" customHeight="1">
      <c r="A325" s="79"/>
      <c r="B325" s="80"/>
      <c r="C325" s="80"/>
      <c r="D325" s="180"/>
      <c r="E325" s="180"/>
      <c r="F325" s="180"/>
      <c r="G325" s="180"/>
      <c r="H325" s="180"/>
      <c r="I325" s="180"/>
      <c r="J325" s="80"/>
      <c r="K325" s="182" t="s">
        <v>233</v>
      </c>
      <c r="L325" s="181"/>
    </row>
    <row r="326" spans="1:12" ht="27.95" customHeight="1">
      <c r="A326" s="15"/>
      <c r="B326" s="1438" t="s">
        <v>232</v>
      </c>
      <c r="C326" s="1438"/>
      <c r="D326" s="1438"/>
      <c r="E326" s="1438"/>
      <c r="F326" s="1438"/>
      <c r="G326" s="1438"/>
      <c r="H326" s="1438"/>
      <c r="I326" s="1438"/>
      <c r="J326" s="1438"/>
      <c r="K326" s="1438"/>
      <c r="L326" s="1439"/>
    </row>
    <row r="327" spans="1:12" ht="27.95" customHeight="1">
      <c r="A327" s="15"/>
      <c r="B327" s="1403" t="s">
        <v>234</v>
      </c>
      <c r="C327" s="1403"/>
      <c r="D327" s="1403"/>
      <c r="E327" s="1403"/>
      <c r="F327" s="1403"/>
      <c r="G327" s="1403"/>
      <c r="H327" s="1403"/>
      <c r="I327" s="1403"/>
      <c r="J327" s="1403"/>
      <c r="K327" s="1403"/>
      <c r="L327" s="1440"/>
    </row>
    <row r="328" spans="1:12" ht="27.95" customHeight="1">
      <c r="A328" s="15"/>
      <c r="B328" s="183" t="s">
        <v>235</v>
      </c>
      <c r="C328" s="183"/>
      <c r="D328" s="183"/>
      <c r="E328" s="183"/>
      <c r="F328" s="183"/>
      <c r="H328" s="184"/>
      <c r="I328" s="184"/>
      <c r="J328" s="184"/>
      <c r="K328" s="184"/>
      <c r="L328" s="192"/>
    </row>
    <row r="329" spans="1:12" ht="27.95" customHeight="1">
      <c r="A329" s="15"/>
      <c r="B329" s="183"/>
      <c r="C329" s="183"/>
      <c r="D329" s="183"/>
      <c r="E329" s="183"/>
      <c r="F329" s="183"/>
      <c r="H329" s="184"/>
      <c r="I329" s="184"/>
      <c r="J329" s="184"/>
      <c r="K329" s="184"/>
      <c r="L329" s="192"/>
    </row>
    <row r="330" spans="1:12" ht="27.95" customHeight="1">
      <c r="A330" s="15"/>
      <c r="B330" s="1419" t="s">
        <v>204</v>
      </c>
      <c r="C330" s="1419"/>
      <c r="D330" s="1419"/>
      <c r="E330" s="1419"/>
      <c r="F330" s="1419"/>
      <c r="G330" s="1419"/>
      <c r="H330" s="1422" t="e">
        <f>'04-22-Master'!#REF!</f>
        <v>#REF!</v>
      </c>
      <c r="I330" s="1421"/>
      <c r="J330" s="1421"/>
      <c r="K330" s="1421"/>
      <c r="L330" s="1224"/>
    </row>
    <row r="331" spans="1:12">
      <c r="A331" s="15"/>
      <c r="B331" s="1423" t="s">
        <v>205</v>
      </c>
      <c r="C331" s="1423"/>
      <c r="D331" s="1423"/>
      <c r="E331" s="1423"/>
      <c r="F331" s="1423"/>
      <c r="G331" s="1423"/>
      <c r="H331" s="1422" t="e">
        <f>'04-22-Master'!#REF!</f>
        <v>#REF!</v>
      </c>
      <c r="I331" s="1421"/>
      <c r="J331" s="1421"/>
      <c r="K331" s="1421"/>
      <c r="L331" s="1224"/>
    </row>
    <row r="332" spans="1:12">
      <c r="A332" s="15"/>
      <c r="B332" s="1419" t="s">
        <v>206</v>
      </c>
      <c r="C332" s="1419"/>
      <c r="D332" s="1419"/>
      <c r="E332" s="1419"/>
      <c r="F332" s="1419"/>
      <c r="G332" s="1419"/>
      <c r="H332" s="1422" t="e">
        <f>'04-22-Master'!#REF!</f>
        <v>#REF!</v>
      </c>
      <c r="I332" s="1421"/>
      <c r="J332" s="1421"/>
      <c r="K332" s="1421"/>
      <c r="L332" s="1224"/>
    </row>
    <row r="333" spans="1:12">
      <c r="A333" s="15"/>
      <c r="B333" s="1419" t="s">
        <v>207</v>
      </c>
      <c r="C333" s="1419"/>
      <c r="D333" s="1419"/>
      <c r="E333" s="1419"/>
      <c r="F333" s="1419"/>
      <c r="G333" s="1419"/>
      <c r="H333" s="1424" t="e">
        <f>'04-22-Master'!#REF!</f>
        <v>#REF!</v>
      </c>
      <c r="I333" s="1421"/>
      <c r="J333" s="1421"/>
      <c r="K333" s="1421"/>
      <c r="L333" s="1224"/>
    </row>
    <row r="334" spans="1:12">
      <c r="A334" s="15"/>
      <c r="B334" s="91" t="s">
        <v>209</v>
      </c>
      <c r="C334" s="92"/>
      <c r="D334" s="92"/>
      <c r="E334" s="92"/>
      <c r="F334" s="92"/>
      <c r="G334" s="92"/>
      <c r="H334" s="1416" t="s">
        <v>210</v>
      </c>
      <c r="I334" s="1417"/>
      <c r="J334" s="1417"/>
      <c r="K334" s="1417"/>
      <c r="L334" s="1418"/>
    </row>
    <row r="335" spans="1:12">
      <c r="A335" s="15"/>
      <c r="B335" s="91" t="s">
        <v>211</v>
      </c>
      <c r="C335" s="92"/>
      <c r="D335" s="92"/>
      <c r="E335" s="92"/>
      <c r="F335" s="92"/>
      <c r="G335" s="92"/>
      <c r="H335" s="93"/>
      <c r="I335" s="94"/>
      <c r="J335" s="174"/>
      <c r="K335" s="94"/>
      <c r="L335" s="99"/>
    </row>
    <row r="336" spans="1:12">
      <c r="A336" s="15"/>
      <c r="B336" s="1234" t="s">
        <v>212</v>
      </c>
      <c r="C336" s="1234"/>
      <c r="D336" s="1234"/>
      <c r="E336" s="1234"/>
      <c r="F336" s="1234"/>
      <c r="G336" s="1234"/>
      <c r="H336" s="1227" t="e">
        <f>'04-22-Master'!#REF!</f>
        <v>#REF!</v>
      </c>
      <c r="I336" s="1228"/>
      <c r="J336" s="1228"/>
      <c r="K336" s="1228"/>
      <c r="L336" s="1229"/>
    </row>
    <row r="337" spans="1:12">
      <c r="A337" s="15"/>
      <c r="B337" s="1419"/>
      <c r="C337" s="1419"/>
      <c r="D337" s="1419"/>
      <c r="E337" s="1419"/>
      <c r="F337" s="1419"/>
      <c r="G337" s="1419"/>
      <c r="H337" s="1420" t="e">
        <f>'04-22-Master'!#REF!</f>
        <v>#REF!</v>
      </c>
      <c r="I337" s="1421"/>
      <c r="J337" s="1421"/>
      <c r="K337" s="1421"/>
      <c r="L337" s="1224"/>
    </row>
    <row r="338" spans="1:12">
      <c r="A338" s="15"/>
      <c r="B338" s="1419"/>
      <c r="C338" s="1419"/>
      <c r="D338" s="1419"/>
      <c r="E338" s="1419"/>
      <c r="F338" s="1419"/>
      <c r="G338" s="1419"/>
      <c r="H338" s="1422" t="e">
        <f>'04-22-Master'!#REF!</f>
        <v>#REF!</v>
      </c>
      <c r="I338" s="1421"/>
      <c r="J338" s="1421"/>
      <c r="K338" s="1421"/>
      <c r="L338" s="1224"/>
    </row>
    <row r="339" spans="1:12">
      <c r="A339" s="15"/>
      <c r="G339" s="2" t="s">
        <v>236</v>
      </c>
      <c r="H339" s="2"/>
      <c r="I339" s="2"/>
      <c r="J339" s="2"/>
      <c r="K339" s="2"/>
      <c r="L339" s="86"/>
    </row>
    <row r="340" spans="1:12">
      <c r="A340" s="15"/>
      <c r="B340" s="176" t="s">
        <v>220</v>
      </c>
      <c r="C340" s="172"/>
      <c r="D340" s="172"/>
      <c r="E340" s="172"/>
      <c r="F340" s="172"/>
      <c r="G340" s="172"/>
      <c r="H340" s="161"/>
      <c r="I340" s="161"/>
      <c r="J340" s="161"/>
      <c r="K340" s="161"/>
      <c r="L340" s="179"/>
    </row>
    <row r="341" spans="1:12">
      <c r="A341" s="15"/>
      <c r="B341" s="176" t="s">
        <v>221</v>
      </c>
      <c r="C341" s="172"/>
      <c r="D341" s="172"/>
      <c r="E341" s="172"/>
      <c r="F341" s="172"/>
      <c r="G341" s="172"/>
      <c r="H341" s="161"/>
      <c r="I341" s="161"/>
      <c r="J341" s="162"/>
      <c r="K341" s="161"/>
      <c r="L341" s="179"/>
    </row>
    <row r="342" spans="1:12" ht="45">
      <c r="A342" s="90"/>
      <c r="B342" s="91" t="s">
        <v>224</v>
      </c>
      <c r="C342" s="92"/>
      <c r="D342" s="189"/>
      <c r="E342" s="167" t="s">
        <v>226</v>
      </c>
      <c r="F342" s="66"/>
      <c r="G342" s="1411" t="s">
        <v>225</v>
      </c>
      <c r="H342" s="1412"/>
      <c r="I342" s="166" t="s">
        <v>222</v>
      </c>
      <c r="J342" s="169" t="s">
        <v>227</v>
      </c>
      <c r="K342" s="1411" t="s">
        <v>223</v>
      </c>
      <c r="L342" s="1413"/>
    </row>
    <row r="343" spans="1:12">
      <c r="A343" s="90"/>
      <c r="B343" s="170">
        <v>1</v>
      </c>
      <c r="C343" s="92"/>
      <c r="D343" s="92"/>
      <c r="E343" s="173">
        <v>2</v>
      </c>
      <c r="F343" s="95"/>
      <c r="G343" s="173">
        <v>3</v>
      </c>
      <c r="H343" s="189"/>
      <c r="I343" s="189">
        <v>4</v>
      </c>
      <c r="J343" s="110">
        <v>5</v>
      </c>
      <c r="K343" s="97"/>
      <c r="L343" s="98">
        <v>6</v>
      </c>
    </row>
    <row r="344" spans="1:12">
      <c r="A344" s="90"/>
      <c r="B344" s="91" t="e">
        <f>'04-22-Master'!#REF!</f>
        <v>#REF!</v>
      </c>
      <c r="C344" s="185"/>
      <c r="D344" s="186"/>
      <c r="E344" s="187" t="s">
        <v>386</v>
      </c>
      <c r="F344" s="186"/>
      <c r="G344" s="187" t="s">
        <v>384</v>
      </c>
      <c r="H344" s="66"/>
      <c r="I344" s="13" t="s">
        <v>387</v>
      </c>
      <c r="J344" s="285">
        <v>1</v>
      </c>
      <c r="K344" s="188" t="s">
        <v>37</v>
      </c>
      <c r="L344" s="193"/>
    </row>
    <row r="345" spans="1:12">
      <c r="A345" s="90"/>
      <c r="B345" s="91"/>
      <c r="C345" s="185"/>
      <c r="D345" s="186"/>
      <c r="E345" s="187"/>
      <c r="F345" s="186"/>
      <c r="G345" s="187"/>
      <c r="H345" s="66"/>
      <c r="I345" s="13"/>
      <c r="J345" s="13"/>
      <c r="K345" s="188"/>
      <c r="L345" s="193"/>
    </row>
    <row r="346" spans="1:12">
      <c r="A346" s="90"/>
      <c r="B346" s="91"/>
      <c r="C346" s="185"/>
      <c r="D346" s="186"/>
      <c r="E346" s="187"/>
      <c r="F346" s="186"/>
      <c r="G346" s="187"/>
      <c r="H346" s="66"/>
      <c r="I346" s="13"/>
      <c r="J346" s="13"/>
      <c r="K346" s="188"/>
      <c r="L346" s="193"/>
    </row>
    <row r="347" spans="1:12">
      <c r="A347" s="90"/>
      <c r="B347" s="73"/>
      <c r="C347" s="19"/>
      <c r="D347" s="74"/>
      <c r="E347" s="187"/>
      <c r="F347" s="186"/>
      <c r="G347" s="187"/>
      <c r="H347" s="66"/>
      <c r="I347" s="13"/>
      <c r="J347" s="13"/>
      <c r="K347" s="188"/>
      <c r="L347" s="193"/>
    </row>
    <row r="348" spans="1:12">
      <c r="A348" s="90"/>
      <c r="B348" t="s">
        <v>228</v>
      </c>
      <c r="L348" s="16"/>
    </row>
    <row r="349" spans="1:12">
      <c r="A349" s="15"/>
      <c r="B349" t="s">
        <v>229</v>
      </c>
      <c r="L349" s="16"/>
    </row>
    <row r="350" spans="1:12">
      <c r="A350" s="15"/>
      <c r="B350" t="s">
        <v>240</v>
      </c>
      <c r="J350" t="s">
        <v>239</v>
      </c>
      <c r="L350" s="16"/>
    </row>
    <row r="351" spans="1:12">
      <c r="A351" s="15"/>
      <c r="G351" s="2" t="s">
        <v>237</v>
      </c>
      <c r="H351" s="2"/>
      <c r="I351" s="2"/>
      <c r="J351" s="2"/>
      <c r="K351" s="2"/>
      <c r="L351" s="86"/>
    </row>
    <row r="352" spans="1:12">
      <c r="A352" s="15"/>
      <c r="B352" s="2"/>
      <c r="G352" t="s">
        <v>238</v>
      </c>
      <c r="H352" s="2"/>
      <c r="I352" s="2"/>
      <c r="J352" s="2"/>
      <c r="K352" s="2"/>
      <c r="L352" s="86"/>
    </row>
    <row r="353" spans="1:12">
      <c r="A353" s="15"/>
      <c r="B353" s="176" t="s">
        <v>241</v>
      </c>
      <c r="C353" s="172"/>
      <c r="D353" s="172"/>
      <c r="E353" s="172"/>
      <c r="F353" s="172"/>
      <c r="G353" s="172"/>
      <c r="H353" s="161"/>
      <c r="I353" s="161"/>
      <c r="J353" s="161"/>
      <c r="K353" s="161"/>
      <c r="L353" s="179"/>
    </row>
    <row r="354" spans="1:12">
      <c r="A354" s="15"/>
      <c r="B354" s="176" t="s">
        <v>242</v>
      </c>
      <c r="C354" s="172"/>
      <c r="D354" s="172"/>
      <c r="E354" s="172"/>
      <c r="F354" s="172"/>
      <c r="G354" s="172"/>
      <c r="H354" s="161"/>
      <c r="I354" s="161"/>
      <c r="J354" s="162"/>
      <c r="K354" s="161"/>
      <c r="L354" s="179"/>
    </row>
    <row r="355" spans="1:12">
      <c r="A355" s="15"/>
      <c r="B355" s="91" t="s">
        <v>5</v>
      </c>
      <c r="C355" s="1431" t="s">
        <v>243</v>
      </c>
      <c r="D355" s="1409"/>
      <c r="E355" s="1409"/>
      <c r="F355" s="1409"/>
      <c r="G355" s="1409"/>
      <c r="H355" s="1432"/>
      <c r="I355" s="168" t="s">
        <v>112</v>
      </c>
      <c r="J355" s="1433" t="s">
        <v>244</v>
      </c>
      <c r="K355" s="1434"/>
      <c r="L355" s="1435"/>
    </row>
    <row r="356" spans="1:12">
      <c r="A356" s="15"/>
      <c r="B356" s="170">
        <v>1</v>
      </c>
      <c r="C356" s="204"/>
      <c r="D356" s="94"/>
      <c r="E356" s="100">
        <v>2</v>
      </c>
      <c r="F356" s="65"/>
      <c r="G356" s="1430"/>
      <c r="H356" s="1412"/>
      <c r="I356" s="94">
        <v>3</v>
      </c>
      <c r="J356" s="191" t="s">
        <v>245</v>
      </c>
      <c r="K356" s="1436">
        <v>4</v>
      </c>
      <c r="L356" s="1437"/>
    </row>
    <row r="357" spans="1:12">
      <c r="A357" s="15"/>
      <c r="B357" s="91"/>
      <c r="C357" s="204"/>
      <c r="D357" s="94"/>
      <c r="E357" s="100"/>
      <c r="F357" s="65"/>
      <c r="G357" s="1430"/>
      <c r="H357" s="1412"/>
      <c r="I357" s="188"/>
      <c r="J357" s="190"/>
      <c r="K357" s="1430"/>
      <c r="L357" s="1413"/>
    </row>
    <row r="358" spans="1:12">
      <c r="A358" s="15"/>
      <c r="B358" s="91"/>
      <c r="C358" s="204"/>
      <c r="D358" s="94"/>
      <c r="E358" s="100"/>
      <c r="F358" s="65"/>
      <c r="G358" s="1430"/>
      <c r="H358" s="1412"/>
      <c r="I358" s="188"/>
      <c r="J358" s="190"/>
      <c r="K358" s="1430"/>
      <c r="L358" s="1413"/>
    </row>
    <row r="359" spans="1:12">
      <c r="A359" s="15"/>
      <c r="B359" s="91"/>
      <c r="C359" s="204"/>
      <c r="D359" s="94"/>
      <c r="E359" s="100"/>
      <c r="F359" s="65"/>
      <c r="G359" s="1430"/>
      <c r="H359" s="1412"/>
      <c r="I359" s="188"/>
      <c r="J359" s="190"/>
      <c r="K359" s="1430"/>
      <c r="L359" s="1413"/>
    </row>
    <row r="360" spans="1:12">
      <c r="A360" s="15"/>
      <c r="B360" s="73"/>
      <c r="C360" s="204"/>
      <c r="D360" s="94"/>
      <c r="E360" s="100"/>
      <c r="F360" s="65"/>
      <c r="G360" s="1430"/>
      <c r="H360" s="1412"/>
      <c r="I360" s="188"/>
      <c r="J360" s="190"/>
      <c r="K360" s="1430"/>
      <c r="L360" s="1413"/>
    </row>
    <row r="361" spans="1:12">
      <c r="A361" s="15"/>
      <c r="B361" t="s">
        <v>249</v>
      </c>
      <c r="L361" s="16"/>
    </row>
    <row r="362" spans="1:12">
      <c r="A362" s="15"/>
      <c r="B362" t="s">
        <v>250</v>
      </c>
      <c r="L362" s="16"/>
    </row>
    <row r="363" spans="1:12">
      <c r="A363" s="15"/>
      <c r="B363" t="s">
        <v>251</v>
      </c>
      <c r="L363" s="16"/>
    </row>
    <row r="364" spans="1:12">
      <c r="A364" s="15"/>
      <c r="B364" t="s">
        <v>252</v>
      </c>
      <c r="L364" s="16"/>
    </row>
    <row r="365" spans="1:12">
      <c r="A365" s="15"/>
      <c r="B365" s="187" t="s">
        <v>246</v>
      </c>
      <c r="C365" s="65"/>
      <c r="D365" s="65"/>
      <c r="E365" s="65"/>
      <c r="F365" s="66"/>
      <c r="G365" s="187" t="s">
        <v>222</v>
      </c>
      <c r="H365" s="66"/>
      <c r="I365" s="187" t="s">
        <v>247</v>
      </c>
      <c r="J365" s="65"/>
      <c r="K365" s="66"/>
      <c r="L365" s="16"/>
    </row>
    <row r="366" spans="1:12" ht="27.95" customHeight="1">
      <c r="A366" s="15"/>
      <c r="B366" s="1414"/>
      <c r="C366" s="1429"/>
      <c r="D366" s="1429"/>
      <c r="E366" s="1429"/>
      <c r="F366" s="1425"/>
      <c r="G366" s="1414"/>
      <c r="H366" s="1425"/>
      <c r="I366" s="1414"/>
      <c r="J366" s="1429"/>
      <c r="K366" s="1425"/>
      <c r="L366" s="16"/>
    </row>
    <row r="367" spans="1:12" ht="27.95" customHeight="1">
      <c r="A367" s="15"/>
      <c r="B367" s="1414"/>
      <c r="C367" s="1429"/>
      <c r="D367" s="1429"/>
      <c r="E367" s="1429"/>
      <c r="F367" s="1425"/>
      <c r="G367" s="1414"/>
      <c r="H367" s="1425"/>
      <c r="I367" s="1414"/>
      <c r="J367" s="1429"/>
      <c r="K367" s="1425"/>
      <c r="L367" s="16"/>
    </row>
    <row r="368" spans="1:12" ht="27.95" customHeight="1">
      <c r="A368" s="15"/>
      <c r="B368" s="1414"/>
      <c r="C368" s="1429"/>
      <c r="D368" s="1429"/>
      <c r="E368" s="1429"/>
      <c r="F368" s="1425"/>
      <c r="G368" s="1414"/>
      <c r="H368" s="1425"/>
      <c r="I368" s="1414"/>
      <c r="J368" s="1429"/>
      <c r="K368" s="1425"/>
      <c r="L368" s="16"/>
    </row>
    <row r="369" spans="1:12" ht="27.95" customHeight="1">
      <c r="A369" s="15"/>
      <c r="B369" s="1414"/>
      <c r="C369" s="1429"/>
      <c r="D369" s="1429"/>
      <c r="E369" s="1429"/>
      <c r="F369" s="1425"/>
      <c r="G369" s="1414"/>
      <c r="H369" s="1425"/>
      <c r="I369" s="1414"/>
      <c r="J369" s="1429"/>
      <c r="K369" s="1425"/>
      <c r="L369" s="16"/>
    </row>
    <row r="370" spans="1:12" ht="27.95" customHeight="1">
      <c r="A370" s="15"/>
      <c r="L370" s="16"/>
    </row>
    <row r="371" spans="1:12" ht="27.95" customHeight="1">
      <c r="A371" s="15"/>
      <c r="B371" t="s">
        <v>219</v>
      </c>
      <c r="C371" s="284" t="e">
        <f>'04-22-Master'!#REF!</f>
        <v>#REF!</v>
      </c>
      <c r="I371" t="s">
        <v>248</v>
      </c>
      <c r="L371" s="16"/>
    </row>
    <row r="372" spans="1:12" ht="27.95" customHeight="1">
      <c r="A372" s="15"/>
      <c r="F372" s="175" t="s">
        <v>214</v>
      </c>
      <c r="L372" s="16"/>
    </row>
    <row r="373" spans="1:12" ht="27.95" customHeight="1">
      <c r="A373" s="15" t="s">
        <v>215</v>
      </c>
      <c r="K373" s="225" t="e">
        <f>'04-22-Master'!#REF!</f>
        <v>#REF!</v>
      </c>
      <c r="L373" s="16"/>
    </row>
    <row r="374" spans="1:12" ht="27.95" customHeight="1">
      <c r="A374" s="15" t="s">
        <v>216</v>
      </c>
      <c r="L374" s="16"/>
    </row>
    <row r="375" spans="1:12" ht="27.95" customHeight="1">
      <c r="A375" s="15"/>
      <c r="L375" s="16"/>
    </row>
    <row r="376" spans="1:12" ht="27.95" customHeight="1">
      <c r="A376" s="15"/>
      <c r="F376" t="s">
        <v>217</v>
      </c>
      <c r="L376" s="16"/>
    </row>
    <row r="377" spans="1:12" ht="27.95" customHeight="1">
      <c r="A377" s="15" t="s">
        <v>218</v>
      </c>
      <c r="B377" t="s">
        <v>382</v>
      </c>
      <c r="F377" t="str">
        <f>'04-22-Master'!F5</f>
        <v>Burgeon IT Services Pvt.Ltd.</v>
      </c>
      <c r="L377" s="16"/>
    </row>
    <row r="378" spans="1:12" ht="27.95" customHeight="1" thickBot="1">
      <c r="A378" s="27" t="s">
        <v>219</v>
      </c>
      <c r="B378" s="287" t="e">
        <f>'04-22-Master'!#REF!</f>
        <v>#REF!</v>
      </c>
      <c r="C378" s="25"/>
      <c r="D378" s="25"/>
      <c r="E378" s="25"/>
      <c r="F378" s="25" t="str">
        <f>'04-22-Master'!F6</f>
        <v>Siri Mansion LIGB 436 Dr.A S Rao Nagar,Hyderabad</v>
      </c>
      <c r="G378" s="25"/>
      <c r="H378" s="25"/>
      <c r="I378" s="25"/>
      <c r="J378" s="25"/>
      <c r="K378" s="25"/>
      <c r="L378" s="26"/>
    </row>
    <row r="379" spans="1:12" ht="27.95" customHeight="1">
      <c r="A379" s="79"/>
      <c r="B379" s="80"/>
      <c r="C379" s="80"/>
      <c r="D379" s="180"/>
      <c r="E379" s="180"/>
      <c r="F379" s="180"/>
      <c r="G379" s="180"/>
      <c r="H379" s="180"/>
      <c r="I379" s="180"/>
      <c r="J379" s="80"/>
      <c r="K379" s="182" t="s">
        <v>233</v>
      </c>
      <c r="L379" s="181"/>
    </row>
    <row r="380" spans="1:12" ht="27.95" customHeight="1">
      <c r="A380" s="15"/>
      <c r="B380" s="1438" t="s">
        <v>232</v>
      </c>
      <c r="C380" s="1438"/>
      <c r="D380" s="1438"/>
      <c r="E380" s="1438"/>
      <c r="F380" s="1438"/>
      <c r="G380" s="1438"/>
      <c r="H380" s="1438"/>
      <c r="I380" s="1438"/>
      <c r="J380" s="1438"/>
      <c r="K380" s="1438"/>
      <c r="L380" s="1439"/>
    </row>
    <row r="381" spans="1:12" ht="27.95" customHeight="1">
      <c r="A381" s="15"/>
      <c r="B381" s="1403" t="s">
        <v>234</v>
      </c>
      <c r="C381" s="1403"/>
      <c r="D381" s="1403"/>
      <c r="E381" s="1403"/>
      <c r="F381" s="1403"/>
      <c r="G381" s="1403"/>
      <c r="H381" s="1403"/>
      <c r="I381" s="1403"/>
      <c r="J381" s="1403"/>
      <c r="K381" s="1403"/>
      <c r="L381" s="1440"/>
    </row>
    <row r="382" spans="1:12" ht="27.95" customHeight="1">
      <c r="A382" s="15"/>
      <c r="B382" s="183" t="s">
        <v>235</v>
      </c>
      <c r="C382" s="183"/>
      <c r="D382" s="183"/>
      <c r="E382" s="183"/>
      <c r="F382" s="183"/>
      <c r="H382" s="184"/>
      <c r="I382" s="184"/>
      <c r="J382" s="184"/>
      <c r="K382" s="184"/>
      <c r="L382" s="192"/>
    </row>
    <row r="383" spans="1:12" ht="27.95" customHeight="1">
      <c r="A383" s="15"/>
      <c r="B383" s="183"/>
      <c r="C383" s="183"/>
      <c r="D383" s="183"/>
      <c r="E383" s="183"/>
      <c r="F383" s="183"/>
      <c r="H383" s="184"/>
      <c r="I383" s="184"/>
      <c r="J383" s="184"/>
      <c r="K383" s="184"/>
      <c r="L383" s="192"/>
    </row>
    <row r="384" spans="1:12">
      <c r="A384" s="15"/>
      <c r="B384" s="1419" t="s">
        <v>204</v>
      </c>
      <c r="C384" s="1419"/>
      <c r="D384" s="1419"/>
      <c r="E384" s="1419"/>
      <c r="F384" s="1419"/>
      <c r="G384" s="1419"/>
      <c r="H384" s="1422" t="e">
        <f>'04-22-Master'!#REF!</f>
        <v>#REF!</v>
      </c>
      <c r="I384" s="1421"/>
      <c r="J384" s="1421"/>
      <c r="K384" s="1421"/>
      <c r="L384" s="1224"/>
    </row>
    <row r="385" spans="1:12">
      <c r="A385" s="15"/>
      <c r="B385" s="1423" t="s">
        <v>205</v>
      </c>
      <c r="C385" s="1423"/>
      <c r="D385" s="1423"/>
      <c r="E385" s="1423"/>
      <c r="F385" s="1423"/>
      <c r="G385" s="1423"/>
      <c r="H385" s="1422" t="e">
        <f>'04-22-Master'!#REF!</f>
        <v>#REF!</v>
      </c>
      <c r="I385" s="1421"/>
      <c r="J385" s="1421"/>
      <c r="K385" s="1421"/>
      <c r="L385" s="1224"/>
    </row>
    <row r="386" spans="1:12">
      <c r="A386" s="15"/>
      <c r="B386" s="1419" t="s">
        <v>206</v>
      </c>
      <c r="C386" s="1419"/>
      <c r="D386" s="1419"/>
      <c r="E386" s="1419"/>
      <c r="F386" s="1419"/>
      <c r="G386" s="1419"/>
      <c r="H386" s="1422" t="e">
        <f>'04-22-Master'!#REF!</f>
        <v>#REF!</v>
      </c>
      <c r="I386" s="1421"/>
      <c r="J386" s="1421"/>
      <c r="K386" s="1421"/>
      <c r="L386" s="1224"/>
    </row>
    <row r="387" spans="1:12">
      <c r="A387" s="15"/>
      <c r="B387" s="1419" t="s">
        <v>207</v>
      </c>
      <c r="C387" s="1419"/>
      <c r="D387" s="1419"/>
      <c r="E387" s="1419"/>
      <c r="F387" s="1419"/>
      <c r="G387" s="1419"/>
      <c r="H387" s="1424" t="e">
        <f>'04-22-Master'!#REF!</f>
        <v>#REF!</v>
      </c>
      <c r="I387" s="1421"/>
      <c r="J387" s="1421"/>
      <c r="K387" s="1421"/>
      <c r="L387" s="1224"/>
    </row>
    <row r="388" spans="1:12">
      <c r="A388" s="15"/>
      <c r="B388" s="91" t="s">
        <v>209</v>
      </c>
      <c r="C388" s="92"/>
      <c r="D388" s="92"/>
      <c r="E388" s="92"/>
      <c r="F388" s="92"/>
      <c r="G388" s="92"/>
      <c r="H388" s="1416" t="s">
        <v>210</v>
      </c>
      <c r="I388" s="1417"/>
      <c r="J388" s="1417"/>
      <c r="K388" s="1417"/>
      <c r="L388" s="1418"/>
    </row>
    <row r="389" spans="1:12">
      <c r="A389" s="15"/>
      <c r="B389" s="91" t="s">
        <v>211</v>
      </c>
      <c r="C389" s="92"/>
      <c r="D389" s="92"/>
      <c r="E389" s="92"/>
      <c r="F389" s="92"/>
      <c r="G389" s="92"/>
      <c r="H389" s="93"/>
      <c r="I389" s="94"/>
      <c r="J389" s="174"/>
      <c r="K389" s="94"/>
      <c r="L389" s="99"/>
    </row>
    <row r="390" spans="1:12" ht="15" customHeight="1">
      <c r="A390" s="15"/>
      <c r="B390" s="1234" t="s">
        <v>212</v>
      </c>
      <c r="C390" s="1234"/>
      <c r="D390" s="1234"/>
      <c r="E390" s="1234"/>
      <c r="F390" s="1234"/>
      <c r="G390" s="1234"/>
      <c r="H390" s="1227" t="e">
        <f>'04-22-Master'!#REF!</f>
        <v>#REF!</v>
      </c>
      <c r="I390" s="1228"/>
      <c r="J390" s="1228"/>
      <c r="K390" s="1228"/>
      <c r="L390" s="1229"/>
    </row>
    <row r="391" spans="1:12">
      <c r="A391" s="15"/>
      <c r="B391" s="1419"/>
      <c r="C391" s="1419"/>
      <c r="D391" s="1419"/>
      <c r="E391" s="1419"/>
      <c r="F391" s="1419"/>
      <c r="G391" s="1419"/>
      <c r="H391" s="1420" t="e">
        <f>'04-22-Master'!#REF!</f>
        <v>#REF!</v>
      </c>
      <c r="I391" s="1421"/>
      <c r="J391" s="1421"/>
      <c r="K391" s="1421"/>
      <c r="L391" s="1224"/>
    </row>
    <row r="392" spans="1:12">
      <c r="A392" s="15"/>
      <c r="B392" s="1419"/>
      <c r="C392" s="1419"/>
      <c r="D392" s="1419"/>
      <c r="E392" s="1419"/>
      <c r="F392" s="1419"/>
      <c r="G392" s="1419"/>
      <c r="H392" s="1422" t="e">
        <f>'04-22-Master'!#REF!</f>
        <v>#REF!</v>
      </c>
      <c r="I392" s="1421"/>
      <c r="J392" s="1421"/>
      <c r="K392" s="1421"/>
      <c r="L392" s="1224"/>
    </row>
    <row r="393" spans="1:12">
      <c r="A393" s="15"/>
      <c r="G393" s="2" t="s">
        <v>236</v>
      </c>
      <c r="H393" s="2"/>
      <c r="I393" s="2"/>
      <c r="J393" s="2"/>
      <c r="K393" s="2"/>
      <c r="L393" s="86"/>
    </row>
    <row r="394" spans="1:12">
      <c r="A394" s="15"/>
      <c r="B394" s="176" t="s">
        <v>220</v>
      </c>
      <c r="C394" s="172"/>
      <c r="D394" s="172"/>
      <c r="E394" s="172"/>
      <c r="F394" s="172"/>
      <c r="G394" s="172"/>
      <c r="H394" s="161"/>
      <c r="I394" s="161"/>
      <c r="J394" s="161"/>
      <c r="K394" s="161"/>
      <c r="L394" s="179"/>
    </row>
    <row r="395" spans="1:12">
      <c r="A395" s="15"/>
      <c r="B395" s="176" t="s">
        <v>221</v>
      </c>
      <c r="C395" s="172"/>
      <c r="D395" s="172"/>
      <c r="E395" s="172"/>
      <c r="F395" s="172"/>
      <c r="G395" s="172"/>
      <c r="H395" s="161"/>
      <c r="I395" s="161"/>
      <c r="J395" s="162"/>
      <c r="K395" s="161"/>
      <c r="L395" s="179"/>
    </row>
    <row r="396" spans="1:12" ht="45">
      <c r="A396" s="90"/>
      <c r="B396" s="91" t="s">
        <v>224</v>
      </c>
      <c r="C396" s="92"/>
      <c r="D396" s="189"/>
      <c r="E396" s="167" t="s">
        <v>226</v>
      </c>
      <c r="F396" s="66"/>
      <c r="G396" s="1411" t="s">
        <v>225</v>
      </c>
      <c r="H396" s="1412"/>
      <c r="I396" s="166" t="s">
        <v>222</v>
      </c>
      <c r="J396" s="169" t="s">
        <v>227</v>
      </c>
      <c r="K396" s="1411" t="s">
        <v>223</v>
      </c>
      <c r="L396" s="1413"/>
    </row>
    <row r="397" spans="1:12">
      <c r="A397" s="90"/>
      <c r="B397" s="170">
        <v>1</v>
      </c>
      <c r="C397" s="92"/>
      <c r="D397" s="92"/>
      <c r="E397" s="173">
        <v>2</v>
      </c>
      <c r="F397" s="95"/>
      <c r="G397" s="173">
        <v>3</v>
      </c>
      <c r="H397" s="189"/>
      <c r="I397" s="189">
        <v>4</v>
      </c>
      <c r="J397" s="110">
        <v>5</v>
      </c>
      <c r="K397" s="97"/>
      <c r="L397" s="98">
        <v>6</v>
      </c>
    </row>
    <row r="398" spans="1:12">
      <c r="A398" s="90"/>
      <c r="B398" s="91" t="e">
        <f>'04-22-Master'!#REF!</f>
        <v>#REF!</v>
      </c>
      <c r="C398" s="185"/>
      <c r="D398" s="186"/>
      <c r="E398" s="187" t="s">
        <v>386</v>
      </c>
      <c r="F398" s="186"/>
      <c r="G398" s="187" t="s">
        <v>384</v>
      </c>
      <c r="H398" s="66"/>
      <c r="I398" s="13" t="s">
        <v>387</v>
      </c>
      <c r="J398" s="285">
        <v>1</v>
      </c>
      <c r="K398" s="188" t="s">
        <v>37</v>
      </c>
      <c r="L398" s="193"/>
    </row>
    <row r="399" spans="1:12">
      <c r="A399" s="90"/>
      <c r="B399" s="91"/>
      <c r="C399" s="185"/>
      <c r="D399" s="186"/>
      <c r="E399" s="187"/>
      <c r="F399" s="186"/>
      <c r="G399" s="187"/>
      <c r="H399" s="66"/>
      <c r="I399" s="13"/>
      <c r="J399" s="13"/>
      <c r="K399" s="188"/>
      <c r="L399" s="193"/>
    </row>
    <row r="400" spans="1:12">
      <c r="A400" s="90"/>
      <c r="B400" s="91"/>
      <c r="C400" s="185"/>
      <c r="D400" s="186"/>
      <c r="E400" s="187"/>
      <c r="F400" s="186"/>
      <c r="G400" s="187"/>
      <c r="H400" s="66"/>
      <c r="I400" s="13"/>
      <c r="J400" s="13"/>
      <c r="K400" s="188"/>
      <c r="L400" s="193"/>
    </row>
    <row r="401" spans="1:12">
      <c r="A401" s="90"/>
      <c r="B401" s="73"/>
      <c r="C401" s="19"/>
      <c r="D401" s="74"/>
      <c r="E401" s="187"/>
      <c r="F401" s="186"/>
      <c r="G401" s="187"/>
      <c r="H401" s="66"/>
      <c r="I401" s="13"/>
      <c r="J401" s="13"/>
      <c r="K401" s="188"/>
      <c r="L401" s="193"/>
    </row>
    <row r="402" spans="1:12">
      <c r="A402" s="90"/>
      <c r="B402" t="s">
        <v>228</v>
      </c>
      <c r="L402" s="16"/>
    </row>
    <row r="403" spans="1:12">
      <c r="A403" s="15"/>
      <c r="B403" t="s">
        <v>229</v>
      </c>
      <c r="L403" s="16"/>
    </row>
    <row r="404" spans="1:12">
      <c r="A404" s="15"/>
      <c r="B404" t="s">
        <v>240</v>
      </c>
      <c r="J404" t="s">
        <v>239</v>
      </c>
      <c r="L404" s="16"/>
    </row>
    <row r="405" spans="1:12" ht="21" customHeight="1">
      <c r="A405" s="15"/>
      <c r="G405" s="2" t="s">
        <v>237</v>
      </c>
      <c r="H405" s="2"/>
      <c r="I405" s="2"/>
      <c r="J405" s="2"/>
      <c r="K405" s="2"/>
      <c r="L405" s="86"/>
    </row>
    <row r="406" spans="1:12" ht="15" customHeight="1">
      <c r="A406" s="15"/>
      <c r="B406" s="2"/>
      <c r="G406" t="s">
        <v>238</v>
      </c>
      <c r="H406" s="2"/>
      <c r="I406" s="2"/>
      <c r="J406" s="2"/>
      <c r="K406" s="2"/>
      <c r="L406" s="86"/>
    </row>
    <row r="407" spans="1:12" ht="20.25" customHeight="1">
      <c r="A407" s="15"/>
      <c r="B407" s="176" t="s">
        <v>241</v>
      </c>
      <c r="C407" s="172"/>
      <c r="D407" s="172"/>
      <c r="E407" s="172"/>
      <c r="F407" s="172"/>
      <c r="G407" s="172"/>
      <c r="H407" s="161"/>
      <c r="I407" s="161"/>
      <c r="J407" s="161"/>
      <c r="K407" s="161"/>
      <c r="L407" s="179"/>
    </row>
    <row r="408" spans="1:12" ht="18.75" customHeight="1">
      <c r="A408" s="15"/>
      <c r="B408" s="176" t="s">
        <v>242</v>
      </c>
      <c r="C408" s="172"/>
      <c r="D408" s="172"/>
      <c r="E408" s="172"/>
      <c r="F408" s="172"/>
      <c r="G408" s="172"/>
      <c r="H408" s="161"/>
      <c r="I408" s="161"/>
      <c r="J408" s="162"/>
      <c r="K408" s="161"/>
      <c r="L408" s="179"/>
    </row>
    <row r="409" spans="1:12" ht="27.95" customHeight="1">
      <c r="A409" s="15"/>
      <c r="B409" s="91" t="s">
        <v>5</v>
      </c>
      <c r="C409" s="1431" t="s">
        <v>243</v>
      </c>
      <c r="D409" s="1409"/>
      <c r="E409" s="1409"/>
      <c r="F409" s="1409"/>
      <c r="G409" s="1409"/>
      <c r="H409" s="1432"/>
      <c r="I409" s="168" t="s">
        <v>112</v>
      </c>
      <c r="J409" s="1433" t="s">
        <v>244</v>
      </c>
      <c r="K409" s="1434"/>
      <c r="L409" s="1435"/>
    </row>
    <row r="410" spans="1:12" ht="27.95" customHeight="1">
      <c r="A410" s="15"/>
      <c r="B410" s="170">
        <v>1</v>
      </c>
      <c r="C410" s="204"/>
      <c r="D410" s="94"/>
      <c r="E410" s="100">
        <v>2</v>
      </c>
      <c r="F410" s="65"/>
      <c r="G410" s="1430"/>
      <c r="H410" s="1412"/>
      <c r="I410" s="94">
        <v>3</v>
      </c>
      <c r="J410" s="191" t="s">
        <v>245</v>
      </c>
      <c r="K410" s="1436">
        <v>4</v>
      </c>
      <c r="L410" s="1437"/>
    </row>
    <row r="411" spans="1:12" ht="27.95" customHeight="1">
      <c r="A411" s="15"/>
      <c r="B411" s="91"/>
      <c r="C411" s="204"/>
      <c r="D411" s="94"/>
      <c r="E411" s="100"/>
      <c r="F411" s="65"/>
      <c r="G411" s="1430"/>
      <c r="H411" s="1412"/>
      <c r="I411" s="188"/>
      <c r="J411" s="190"/>
      <c r="K411" s="1430"/>
      <c r="L411" s="1413"/>
    </row>
    <row r="412" spans="1:12" ht="27.95" customHeight="1">
      <c r="A412" s="15"/>
      <c r="B412" s="91"/>
      <c r="C412" s="204"/>
      <c r="D412" s="94"/>
      <c r="E412" s="100"/>
      <c r="F412" s="65"/>
      <c r="G412" s="1430"/>
      <c r="H412" s="1412"/>
      <c r="I412" s="188"/>
      <c r="J412" s="190"/>
      <c r="K412" s="1430"/>
      <c r="L412" s="1413"/>
    </row>
    <row r="413" spans="1:12" ht="27.95" customHeight="1">
      <c r="A413" s="15"/>
      <c r="B413" s="91"/>
      <c r="C413" s="204"/>
      <c r="D413" s="94"/>
      <c r="E413" s="100"/>
      <c r="F413" s="65"/>
      <c r="G413" s="1430"/>
      <c r="H413" s="1412"/>
      <c r="I413" s="188"/>
      <c r="J413" s="190"/>
      <c r="K413" s="1430"/>
      <c r="L413" s="1413"/>
    </row>
    <row r="414" spans="1:12" ht="27.95" customHeight="1">
      <c r="A414" s="15"/>
      <c r="B414" s="73"/>
      <c r="C414" s="204"/>
      <c r="D414" s="94"/>
      <c r="E414" s="100"/>
      <c r="F414" s="65"/>
      <c r="G414" s="1430"/>
      <c r="H414" s="1412"/>
      <c r="I414" s="188"/>
      <c r="J414" s="190"/>
      <c r="K414" s="1430"/>
      <c r="L414" s="1413"/>
    </row>
    <row r="415" spans="1:12" ht="27.95" customHeight="1">
      <c r="A415" s="15"/>
      <c r="B415" t="s">
        <v>249</v>
      </c>
      <c r="L415" s="16"/>
    </row>
    <row r="416" spans="1:12" ht="21" customHeight="1">
      <c r="A416" s="15"/>
      <c r="B416" t="s">
        <v>250</v>
      </c>
      <c r="L416" s="16"/>
    </row>
    <row r="417" spans="1:12" ht="18" customHeight="1">
      <c r="A417" s="15"/>
      <c r="B417" t="s">
        <v>251</v>
      </c>
      <c r="L417" s="16"/>
    </row>
    <row r="418" spans="1:12" ht="23.25" customHeight="1">
      <c r="A418" s="15"/>
      <c r="B418" t="s">
        <v>252</v>
      </c>
      <c r="L418" s="16"/>
    </row>
    <row r="419" spans="1:12" ht="27.95" customHeight="1">
      <c r="A419" s="15"/>
      <c r="B419" s="187" t="s">
        <v>246</v>
      </c>
      <c r="C419" s="65"/>
      <c r="D419" s="65"/>
      <c r="E419" s="65"/>
      <c r="F419" s="66"/>
      <c r="G419" s="187" t="s">
        <v>222</v>
      </c>
      <c r="H419" s="66"/>
      <c r="I419" s="187" t="s">
        <v>247</v>
      </c>
      <c r="J419" s="65"/>
      <c r="K419" s="66"/>
      <c r="L419" s="16"/>
    </row>
    <row r="420" spans="1:12" ht="27.95" customHeight="1">
      <c r="A420" s="15"/>
      <c r="B420" s="1414"/>
      <c r="C420" s="1429"/>
      <c r="D420" s="1429"/>
      <c r="E420" s="1429"/>
      <c r="F420" s="1425"/>
      <c r="G420" s="1414"/>
      <c r="H420" s="1425"/>
      <c r="I420" s="1414"/>
      <c r="J420" s="1429"/>
      <c r="K420" s="1425"/>
      <c r="L420" s="16"/>
    </row>
    <row r="421" spans="1:12" ht="27.95" customHeight="1">
      <c r="A421" s="15"/>
      <c r="B421" s="1414"/>
      <c r="C421" s="1429"/>
      <c r="D421" s="1429"/>
      <c r="E421" s="1429"/>
      <c r="F421" s="1425"/>
      <c r="G421" s="1414"/>
      <c r="H421" s="1425"/>
      <c r="I421" s="1414"/>
      <c r="J421" s="1429"/>
      <c r="K421" s="1425"/>
      <c r="L421" s="16"/>
    </row>
    <row r="422" spans="1:12" ht="27.95" customHeight="1">
      <c r="A422" s="15"/>
      <c r="B422" s="1414"/>
      <c r="C422" s="1429"/>
      <c r="D422" s="1429"/>
      <c r="E422" s="1429"/>
      <c r="F422" s="1425"/>
      <c r="G422" s="1414"/>
      <c r="H422" s="1425"/>
      <c r="I422" s="1414"/>
      <c r="J422" s="1429"/>
      <c r="K422" s="1425"/>
      <c r="L422" s="16"/>
    </row>
    <row r="423" spans="1:12">
      <c r="A423" s="15"/>
      <c r="B423" s="1414"/>
      <c r="C423" s="1429"/>
      <c r="D423" s="1429"/>
      <c r="E423" s="1429"/>
      <c r="F423" s="1425"/>
      <c r="G423" s="1414"/>
      <c r="H423" s="1425"/>
      <c r="I423" s="1414"/>
      <c r="J423" s="1429"/>
      <c r="K423" s="1425"/>
      <c r="L423" s="16"/>
    </row>
    <row r="424" spans="1:12">
      <c r="A424" s="15"/>
      <c r="L424" s="16"/>
    </row>
    <row r="425" spans="1:12">
      <c r="A425" s="15"/>
      <c r="B425" t="s">
        <v>219</v>
      </c>
      <c r="C425" s="284" t="e">
        <f>'04-22-Master'!#REF!</f>
        <v>#REF!</v>
      </c>
      <c r="I425" t="s">
        <v>248</v>
      </c>
      <c r="L425" s="16"/>
    </row>
    <row r="426" spans="1:12" ht="18.75">
      <c r="A426" s="15"/>
      <c r="F426" s="175" t="s">
        <v>214</v>
      </c>
      <c r="L426" s="16"/>
    </row>
    <row r="427" spans="1:12">
      <c r="A427" s="15" t="s">
        <v>215</v>
      </c>
      <c r="K427" s="225" t="e">
        <f>'04-22-Master'!#REF!</f>
        <v>#REF!</v>
      </c>
      <c r="L427" s="16"/>
    </row>
    <row r="428" spans="1:12">
      <c r="A428" s="15" t="s">
        <v>216</v>
      </c>
      <c r="L428" s="16"/>
    </row>
    <row r="429" spans="1:12" ht="15" customHeight="1">
      <c r="A429" s="15"/>
      <c r="L429" s="16"/>
    </row>
    <row r="430" spans="1:12">
      <c r="A430" s="15"/>
      <c r="F430" t="s">
        <v>217</v>
      </c>
      <c r="L430" s="16"/>
    </row>
    <row r="431" spans="1:12">
      <c r="A431" s="15" t="s">
        <v>218</v>
      </c>
      <c r="B431" t="s">
        <v>382</v>
      </c>
      <c r="F431" t="str">
        <f>'04-22-Master'!F5</f>
        <v>Burgeon IT Services Pvt.Ltd.</v>
      </c>
      <c r="L431" s="16"/>
    </row>
    <row r="432" spans="1:12" ht="15.75" thickBot="1">
      <c r="A432" s="27" t="s">
        <v>219</v>
      </c>
      <c r="B432" s="287" t="e">
        <f>'04-22-Master'!#REF!</f>
        <v>#REF!</v>
      </c>
      <c r="C432" s="25"/>
      <c r="D432" s="25"/>
      <c r="E432" s="25"/>
      <c r="F432" s="25" t="str">
        <f>'04-22-Master'!F6</f>
        <v>Siri Mansion LIGB 436 Dr.A S Rao Nagar,Hyderabad</v>
      </c>
      <c r="G432" s="25"/>
      <c r="H432" s="25"/>
      <c r="I432" s="25"/>
      <c r="J432" s="25"/>
      <c r="K432" s="25"/>
      <c r="L432" s="26"/>
    </row>
    <row r="433" spans="1:12" ht="32.25">
      <c r="A433" s="79"/>
      <c r="B433" s="80"/>
      <c r="C433" s="80"/>
      <c r="D433" s="180"/>
      <c r="E433" s="180"/>
      <c r="F433" s="180"/>
      <c r="G433" s="180"/>
      <c r="H433" s="180"/>
      <c r="I433" s="180"/>
      <c r="J433" s="80"/>
      <c r="K433" s="182" t="s">
        <v>233</v>
      </c>
      <c r="L433" s="181"/>
    </row>
    <row r="434" spans="1:12" ht="21">
      <c r="A434" s="15"/>
      <c r="B434" s="1438" t="s">
        <v>232</v>
      </c>
      <c r="C434" s="1438"/>
      <c r="D434" s="1438"/>
      <c r="E434" s="1438"/>
      <c r="F434" s="1438"/>
      <c r="G434" s="1438"/>
      <c r="H434" s="1438"/>
      <c r="I434" s="1438"/>
      <c r="J434" s="1438"/>
      <c r="K434" s="1438"/>
      <c r="L434" s="1439"/>
    </row>
    <row r="435" spans="1:12" ht="15.75">
      <c r="A435" s="15"/>
      <c r="B435" s="1403" t="s">
        <v>234</v>
      </c>
      <c r="C435" s="1403"/>
      <c r="D435" s="1403"/>
      <c r="E435" s="1403"/>
      <c r="F435" s="1403"/>
      <c r="G435" s="1403"/>
      <c r="H435" s="1403"/>
      <c r="I435" s="1403"/>
      <c r="J435" s="1403"/>
      <c r="K435" s="1403"/>
      <c r="L435" s="1440"/>
    </row>
    <row r="436" spans="1:12">
      <c r="A436" s="15"/>
      <c r="B436" s="183" t="s">
        <v>235</v>
      </c>
      <c r="C436" s="183"/>
      <c r="D436" s="183"/>
      <c r="E436" s="183"/>
      <c r="F436" s="183"/>
      <c r="H436" s="184"/>
      <c r="I436" s="184"/>
      <c r="J436" s="184"/>
      <c r="K436" s="184"/>
      <c r="L436" s="192"/>
    </row>
    <row r="437" spans="1:12">
      <c r="A437" s="15"/>
      <c r="B437" s="183"/>
      <c r="C437" s="183"/>
      <c r="D437" s="183"/>
      <c r="E437" s="183"/>
      <c r="F437" s="183"/>
      <c r="H437" s="184"/>
      <c r="I437" s="184"/>
      <c r="J437" s="184"/>
      <c r="K437" s="184"/>
      <c r="L437" s="192"/>
    </row>
    <row r="438" spans="1:12">
      <c r="A438" s="15"/>
      <c r="B438" s="1419" t="s">
        <v>204</v>
      </c>
      <c r="C438" s="1419"/>
      <c r="D438" s="1419"/>
      <c r="E438" s="1419"/>
      <c r="F438" s="1419"/>
      <c r="G438" s="1419"/>
      <c r="H438" s="1422" t="e">
        <f>'04-22-Master'!#REF!</f>
        <v>#REF!</v>
      </c>
      <c r="I438" s="1421"/>
      <c r="J438" s="1421"/>
      <c r="K438" s="1421"/>
      <c r="L438" s="1224"/>
    </row>
    <row r="439" spans="1:12">
      <c r="A439" s="15"/>
      <c r="B439" s="1423" t="s">
        <v>205</v>
      </c>
      <c r="C439" s="1423"/>
      <c r="D439" s="1423"/>
      <c r="E439" s="1423"/>
      <c r="F439" s="1423"/>
      <c r="G439" s="1423"/>
      <c r="H439" s="1422" t="e">
        <f>'04-22-Master'!#REF!</f>
        <v>#REF!</v>
      </c>
      <c r="I439" s="1421"/>
      <c r="J439" s="1421"/>
      <c r="K439" s="1421"/>
      <c r="L439" s="1224"/>
    </row>
    <row r="440" spans="1:12">
      <c r="A440" s="15"/>
      <c r="B440" s="1419" t="s">
        <v>206</v>
      </c>
      <c r="C440" s="1419"/>
      <c r="D440" s="1419"/>
      <c r="E440" s="1419"/>
      <c r="F440" s="1419"/>
      <c r="G440" s="1419"/>
      <c r="H440" s="1422" t="e">
        <f>'04-22-Master'!#REF!</f>
        <v>#REF!</v>
      </c>
      <c r="I440" s="1421"/>
      <c r="J440" s="1421"/>
      <c r="K440" s="1421"/>
      <c r="L440" s="1224"/>
    </row>
    <row r="441" spans="1:12">
      <c r="A441" s="15"/>
      <c r="B441" s="1419" t="s">
        <v>207</v>
      </c>
      <c r="C441" s="1419"/>
      <c r="D441" s="1419"/>
      <c r="E441" s="1419"/>
      <c r="F441" s="1419"/>
      <c r="G441" s="1419"/>
      <c r="H441" s="1424" t="e">
        <f>'04-22-Master'!#REF!</f>
        <v>#REF!</v>
      </c>
      <c r="I441" s="1421"/>
      <c r="J441" s="1421"/>
      <c r="K441" s="1421"/>
      <c r="L441" s="1224"/>
    </row>
    <row r="442" spans="1:12">
      <c r="A442" s="15"/>
      <c r="B442" s="91" t="s">
        <v>209</v>
      </c>
      <c r="C442" s="92"/>
      <c r="D442" s="92"/>
      <c r="E442" s="92"/>
      <c r="F442" s="92"/>
      <c r="G442" s="92"/>
      <c r="H442" s="1416" t="s">
        <v>210</v>
      </c>
      <c r="I442" s="1417"/>
      <c r="J442" s="1417"/>
      <c r="K442" s="1417"/>
      <c r="L442" s="1418"/>
    </row>
    <row r="443" spans="1:12">
      <c r="A443" s="15"/>
      <c r="B443" s="91" t="s">
        <v>211</v>
      </c>
      <c r="C443" s="92"/>
      <c r="D443" s="92"/>
      <c r="E443" s="92"/>
      <c r="F443" s="92"/>
      <c r="G443" s="92"/>
      <c r="H443" s="93"/>
      <c r="I443" s="94"/>
      <c r="J443" s="174"/>
      <c r="K443" s="94"/>
      <c r="L443" s="99"/>
    </row>
    <row r="444" spans="1:12" ht="27.95" customHeight="1">
      <c r="A444" s="15"/>
      <c r="B444" s="1234" t="s">
        <v>212</v>
      </c>
      <c r="C444" s="1234"/>
      <c r="D444" s="1234"/>
      <c r="E444" s="1234"/>
      <c r="F444" s="1234"/>
      <c r="G444" s="1234"/>
      <c r="H444" s="1227" t="e">
        <f>'04-22-Master'!#REF!</f>
        <v>#REF!</v>
      </c>
      <c r="I444" s="1228"/>
      <c r="J444" s="1228"/>
      <c r="K444" s="1228"/>
      <c r="L444" s="1229"/>
    </row>
    <row r="445" spans="1:12" ht="27.95" customHeight="1">
      <c r="A445" s="15"/>
      <c r="B445" s="1419"/>
      <c r="C445" s="1419"/>
      <c r="D445" s="1419"/>
      <c r="E445" s="1419"/>
      <c r="F445" s="1419"/>
      <c r="G445" s="1419"/>
      <c r="H445" s="1420" t="e">
        <f>'04-22-Master'!#REF!</f>
        <v>#REF!</v>
      </c>
      <c r="I445" s="1421"/>
      <c r="J445" s="1421"/>
      <c r="K445" s="1421"/>
      <c r="L445" s="1224"/>
    </row>
    <row r="446" spans="1:12" ht="27.95" customHeight="1">
      <c r="A446" s="15"/>
      <c r="B446" s="1419"/>
      <c r="C446" s="1419"/>
      <c r="D446" s="1419"/>
      <c r="E446" s="1419"/>
      <c r="F446" s="1419"/>
      <c r="G446" s="1419"/>
      <c r="H446" s="1422" t="e">
        <f>'04-22-Master'!#REF!</f>
        <v>#REF!</v>
      </c>
      <c r="I446" s="1421"/>
      <c r="J446" s="1421"/>
      <c r="K446" s="1421"/>
      <c r="L446" s="1224"/>
    </row>
    <row r="447" spans="1:12" ht="27.95" customHeight="1">
      <c r="A447" s="15"/>
      <c r="G447" s="2" t="s">
        <v>236</v>
      </c>
      <c r="H447" s="2"/>
      <c r="I447" s="2"/>
      <c r="J447" s="2"/>
      <c r="K447" s="2"/>
      <c r="L447" s="86"/>
    </row>
    <row r="448" spans="1:12" ht="27.95" customHeight="1">
      <c r="A448" s="15"/>
      <c r="B448" s="176" t="s">
        <v>220</v>
      </c>
      <c r="C448" s="172"/>
      <c r="D448" s="172"/>
      <c r="E448" s="172"/>
      <c r="F448" s="172"/>
      <c r="G448" s="172"/>
      <c r="H448" s="161"/>
      <c r="I448" s="161"/>
      <c r="J448" s="161"/>
      <c r="K448" s="161"/>
      <c r="L448" s="179"/>
    </row>
    <row r="449" spans="1:12" ht="27.95" customHeight="1">
      <c r="A449" s="15"/>
      <c r="B449" s="176" t="s">
        <v>221</v>
      </c>
      <c r="C449" s="172"/>
      <c r="D449" s="172"/>
      <c r="E449" s="172"/>
      <c r="F449" s="172"/>
      <c r="G449" s="172"/>
      <c r="H449" s="161"/>
      <c r="I449" s="161"/>
      <c r="J449" s="162"/>
      <c r="K449" s="161"/>
      <c r="L449" s="179"/>
    </row>
    <row r="450" spans="1:12" ht="27.95" customHeight="1">
      <c r="A450" s="90"/>
      <c r="B450" s="91" t="s">
        <v>224</v>
      </c>
      <c r="C450" s="92"/>
      <c r="D450" s="189"/>
      <c r="E450" s="167" t="s">
        <v>226</v>
      </c>
      <c r="F450" s="66"/>
      <c r="G450" s="1411" t="s">
        <v>225</v>
      </c>
      <c r="H450" s="1412"/>
      <c r="I450" s="166" t="s">
        <v>222</v>
      </c>
      <c r="J450" s="169" t="s">
        <v>227</v>
      </c>
      <c r="K450" s="1411" t="s">
        <v>223</v>
      </c>
      <c r="L450" s="1413"/>
    </row>
    <row r="451" spans="1:12" ht="27.95" customHeight="1">
      <c r="A451" s="90"/>
      <c r="B451" s="170">
        <v>1</v>
      </c>
      <c r="C451" s="92"/>
      <c r="D451" s="92"/>
      <c r="E451" s="173">
        <v>2</v>
      </c>
      <c r="F451" s="95"/>
      <c r="G451" s="173">
        <v>3</v>
      </c>
      <c r="H451" s="189"/>
      <c r="I451" s="189">
        <v>4</v>
      </c>
      <c r="J451" s="110">
        <v>5</v>
      </c>
      <c r="K451" s="97"/>
      <c r="L451" s="98">
        <v>6</v>
      </c>
    </row>
    <row r="452" spans="1:12" ht="27.95" customHeight="1">
      <c r="A452" s="90"/>
      <c r="B452" s="91" t="e">
        <f>'04-22-Master'!#REF!</f>
        <v>#REF!</v>
      </c>
      <c r="C452" s="185"/>
      <c r="D452" s="186"/>
      <c r="E452" s="187" t="s">
        <v>386</v>
      </c>
      <c r="F452" s="186"/>
      <c r="G452" s="187" t="s">
        <v>384</v>
      </c>
      <c r="H452" s="66"/>
      <c r="I452" s="13" t="s">
        <v>387</v>
      </c>
      <c r="J452" s="285">
        <v>1</v>
      </c>
      <c r="K452" s="188" t="s">
        <v>37</v>
      </c>
      <c r="L452" s="193"/>
    </row>
    <row r="453" spans="1:12" ht="27.95" customHeight="1">
      <c r="A453" s="90"/>
      <c r="B453" s="91"/>
      <c r="C453" s="185"/>
      <c r="D453" s="186"/>
      <c r="E453" s="187"/>
      <c r="F453" s="186"/>
      <c r="G453" s="187"/>
      <c r="H453" s="66"/>
      <c r="I453" s="13"/>
      <c r="J453" s="13"/>
      <c r="K453" s="188"/>
      <c r="L453" s="193"/>
    </row>
    <row r="454" spans="1:12" ht="27.95" customHeight="1">
      <c r="A454" s="90"/>
      <c r="B454" s="91"/>
      <c r="C454" s="185"/>
      <c r="D454" s="186"/>
      <c r="E454" s="187"/>
      <c r="F454" s="186"/>
      <c r="G454" s="187"/>
      <c r="H454" s="66"/>
      <c r="I454" s="13"/>
      <c r="J454" s="13"/>
      <c r="K454" s="188"/>
      <c r="L454" s="193"/>
    </row>
    <row r="455" spans="1:12" ht="27.95" customHeight="1">
      <c r="A455" s="90"/>
      <c r="B455" s="73"/>
      <c r="C455" s="19"/>
      <c r="D455" s="74"/>
      <c r="E455" s="187"/>
      <c r="F455" s="186"/>
      <c r="G455" s="187"/>
      <c r="H455" s="66"/>
      <c r="I455" s="13"/>
      <c r="J455" s="13"/>
      <c r="K455" s="188"/>
      <c r="L455" s="193"/>
    </row>
    <row r="456" spans="1:12" ht="27.95" customHeight="1">
      <c r="A456" s="90"/>
      <c r="B456" t="s">
        <v>228</v>
      </c>
      <c r="L456" s="16"/>
    </row>
    <row r="457" spans="1:12" ht="27.95" customHeight="1">
      <c r="A457" s="15"/>
      <c r="B457" t="s">
        <v>229</v>
      </c>
      <c r="L457" s="16"/>
    </row>
    <row r="458" spans="1:12" ht="27.95" customHeight="1">
      <c r="A458" s="15"/>
      <c r="B458" t="s">
        <v>240</v>
      </c>
      <c r="J458" t="s">
        <v>239</v>
      </c>
      <c r="L458" s="16"/>
    </row>
    <row r="459" spans="1:12" ht="24" customHeight="1">
      <c r="A459" s="15"/>
      <c r="G459" s="2" t="s">
        <v>237</v>
      </c>
      <c r="H459" s="2"/>
      <c r="I459" s="2"/>
      <c r="J459" s="2"/>
      <c r="K459" s="2"/>
      <c r="L459" s="86"/>
    </row>
    <row r="460" spans="1:12" ht="18" customHeight="1">
      <c r="A460" s="15"/>
      <c r="B460" s="2"/>
      <c r="G460" t="s">
        <v>238</v>
      </c>
      <c r="H460" s="2"/>
      <c r="I460" s="2"/>
      <c r="J460" s="2"/>
      <c r="K460" s="2"/>
      <c r="L460" s="86"/>
    </row>
    <row r="461" spans="1:12" ht="18.75" customHeight="1">
      <c r="A461" s="15"/>
      <c r="B461" s="176" t="s">
        <v>241</v>
      </c>
      <c r="C461" s="172"/>
      <c r="D461" s="172"/>
      <c r="E461" s="172"/>
      <c r="F461" s="172"/>
      <c r="G461" s="172"/>
      <c r="H461" s="161"/>
      <c r="I461" s="161"/>
      <c r="J461" s="161"/>
      <c r="K461" s="161"/>
      <c r="L461" s="179"/>
    </row>
    <row r="462" spans="1:12">
      <c r="A462" s="15"/>
      <c r="B462" s="176" t="s">
        <v>242</v>
      </c>
      <c r="C462" s="172"/>
      <c r="D462" s="172"/>
      <c r="E462" s="172"/>
      <c r="F462" s="172"/>
      <c r="G462" s="172"/>
      <c r="H462" s="161"/>
      <c r="I462" s="161"/>
      <c r="J462" s="162"/>
      <c r="K462" s="161"/>
      <c r="L462" s="179"/>
    </row>
    <row r="463" spans="1:12">
      <c r="A463" s="15"/>
      <c r="B463" s="91" t="s">
        <v>5</v>
      </c>
      <c r="C463" s="1431" t="s">
        <v>243</v>
      </c>
      <c r="D463" s="1409"/>
      <c r="E463" s="1409"/>
      <c r="F463" s="1409"/>
      <c r="G463" s="1409"/>
      <c r="H463" s="1432"/>
      <c r="I463" s="168" t="s">
        <v>112</v>
      </c>
      <c r="J463" s="1433" t="s">
        <v>244</v>
      </c>
      <c r="K463" s="1434"/>
      <c r="L463" s="1435"/>
    </row>
    <row r="464" spans="1:12">
      <c r="A464" s="15"/>
      <c r="B464" s="170">
        <v>1</v>
      </c>
      <c r="C464" s="204"/>
      <c r="D464" s="94"/>
      <c r="E464" s="100">
        <v>2</v>
      </c>
      <c r="F464" s="65"/>
      <c r="G464" s="1430"/>
      <c r="H464" s="1412"/>
      <c r="I464" s="94">
        <v>3</v>
      </c>
      <c r="J464" s="191" t="s">
        <v>245</v>
      </c>
      <c r="K464" s="1436">
        <v>4</v>
      </c>
      <c r="L464" s="1437"/>
    </row>
    <row r="465" spans="1:12">
      <c r="A465" s="15"/>
      <c r="B465" s="91"/>
      <c r="C465" s="204"/>
      <c r="D465" s="94"/>
      <c r="E465" s="100"/>
      <c r="F465" s="65"/>
      <c r="G465" s="1430"/>
      <c r="H465" s="1412"/>
      <c r="I465" s="188"/>
      <c r="J465" s="190"/>
      <c r="K465" s="1430"/>
      <c r="L465" s="1413"/>
    </row>
    <row r="466" spans="1:12">
      <c r="A466" s="15"/>
      <c r="B466" s="91"/>
      <c r="C466" s="204"/>
      <c r="D466" s="94"/>
      <c r="E466" s="100"/>
      <c r="F466" s="65"/>
      <c r="G466" s="1430"/>
      <c r="H466" s="1412"/>
      <c r="I466" s="188"/>
      <c r="J466" s="190"/>
      <c r="K466" s="1430"/>
      <c r="L466" s="1413"/>
    </row>
    <row r="467" spans="1:12" ht="15" customHeight="1">
      <c r="A467" s="15"/>
      <c r="B467" s="91"/>
      <c r="C467" s="204"/>
      <c r="D467" s="94"/>
      <c r="E467" s="100"/>
      <c r="F467" s="65"/>
      <c r="G467" s="1430"/>
      <c r="H467" s="1412"/>
      <c r="I467" s="188"/>
      <c r="J467" s="190"/>
      <c r="K467" s="1430"/>
      <c r="L467" s="1413"/>
    </row>
    <row r="468" spans="1:12">
      <c r="A468" s="15"/>
      <c r="B468" s="73"/>
      <c r="C468" s="204"/>
      <c r="D468" s="94"/>
      <c r="E468" s="100"/>
      <c r="F468" s="65"/>
      <c r="G468" s="1430"/>
      <c r="H468" s="1412"/>
      <c r="I468" s="188"/>
      <c r="J468" s="190"/>
      <c r="K468" s="1430"/>
      <c r="L468" s="1413"/>
    </row>
    <row r="469" spans="1:12">
      <c r="A469" s="15"/>
      <c r="B469" t="s">
        <v>249</v>
      </c>
      <c r="L469" s="16"/>
    </row>
    <row r="470" spans="1:12">
      <c r="A470" s="15"/>
      <c r="B470" t="s">
        <v>250</v>
      </c>
      <c r="L470" s="16"/>
    </row>
    <row r="471" spans="1:12">
      <c r="A471" s="15"/>
      <c r="B471" t="s">
        <v>251</v>
      </c>
      <c r="L471" s="16"/>
    </row>
    <row r="472" spans="1:12">
      <c r="A472" s="15"/>
      <c r="B472" t="s">
        <v>252</v>
      </c>
      <c r="L472" s="16"/>
    </row>
    <row r="473" spans="1:12">
      <c r="A473" s="15"/>
      <c r="B473" s="187" t="s">
        <v>246</v>
      </c>
      <c r="C473" s="65"/>
      <c r="D473" s="65"/>
      <c r="E473" s="65"/>
      <c r="F473" s="66"/>
      <c r="G473" s="187" t="s">
        <v>222</v>
      </c>
      <c r="H473" s="66"/>
      <c r="I473" s="187" t="s">
        <v>247</v>
      </c>
      <c r="J473" s="65"/>
      <c r="K473" s="66"/>
      <c r="L473" s="16"/>
    </row>
    <row r="474" spans="1:12">
      <c r="A474" s="15"/>
      <c r="B474" s="1414"/>
      <c r="C474" s="1429"/>
      <c r="D474" s="1429"/>
      <c r="E474" s="1429"/>
      <c r="F474" s="1425"/>
      <c r="G474" s="1414"/>
      <c r="H474" s="1425"/>
      <c r="I474" s="1414"/>
      <c r="J474" s="1429"/>
      <c r="K474" s="1425"/>
      <c r="L474" s="16"/>
    </row>
    <row r="475" spans="1:12">
      <c r="A475" s="15"/>
      <c r="B475" s="1414"/>
      <c r="C475" s="1429"/>
      <c r="D475" s="1429"/>
      <c r="E475" s="1429"/>
      <c r="F475" s="1425"/>
      <c r="G475" s="1414"/>
      <c r="H475" s="1425"/>
      <c r="I475" s="1414"/>
      <c r="J475" s="1429"/>
      <c r="K475" s="1425"/>
      <c r="L475" s="16"/>
    </row>
    <row r="476" spans="1:12">
      <c r="A476" s="15"/>
      <c r="B476" s="1414"/>
      <c r="C476" s="1429"/>
      <c r="D476" s="1429"/>
      <c r="E476" s="1429"/>
      <c r="F476" s="1425"/>
      <c r="G476" s="1414"/>
      <c r="H476" s="1425"/>
      <c r="I476" s="1414"/>
      <c r="J476" s="1429"/>
      <c r="K476" s="1425"/>
      <c r="L476" s="16"/>
    </row>
    <row r="477" spans="1:12">
      <c r="A477" s="15"/>
      <c r="B477" s="1414"/>
      <c r="C477" s="1429"/>
      <c r="D477" s="1429"/>
      <c r="E477" s="1429"/>
      <c r="F477" s="1425"/>
      <c r="G477" s="1414"/>
      <c r="H477" s="1425"/>
      <c r="I477" s="1414"/>
      <c r="J477" s="1429"/>
      <c r="K477" s="1425"/>
      <c r="L477" s="16"/>
    </row>
    <row r="478" spans="1:12">
      <c r="A478" s="15"/>
      <c r="L478" s="16"/>
    </row>
    <row r="479" spans="1:12">
      <c r="A479" s="15"/>
      <c r="B479" t="s">
        <v>219</v>
      </c>
      <c r="C479" s="284" t="e">
        <f>'04-22-Master'!#REF!</f>
        <v>#REF!</v>
      </c>
      <c r="I479" t="s">
        <v>248</v>
      </c>
      <c r="L479" s="16"/>
    </row>
    <row r="480" spans="1:12" ht="18.75">
      <c r="A480" s="15"/>
      <c r="F480" s="175" t="s">
        <v>214</v>
      </c>
      <c r="L480" s="16"/>
    </row>
    <row r="481" spans="1:12">
      <c r="A481" s="15" t="s">
        <v>215</v>
      </c>
      <c r="K481" s="225" t="e">
        <f>'04-22-Master'!#REF!</f>
        <v>#REF!</v>
      </c>
      <c r="L481" s="16"/>
    </row>
    <row r="482" spans="1:12" ht="27.95" customHeight="1">
      <c r="A482" s="15" t="s">
        <v>216</v>
      </c>
      <c r="L482" s="16"/>
    </row>
    <row r="483" spans="1:12" ht="27.95" customHeight="1">
      <c r="A483" s="15"/>
      <c r="F483" t="s">
        <v>217</v>
      </c>
      <c r="L483" s="16"/>
    </row>
    <row r="484" spans="1:12" ht="27.95" customHeight="1">
      <c r="A484" s="15" t="s">
        <v>218</v>
      </c>
      <c r="B484" t="s">
        <v>382</v>
      </c>
      <c r="F484" t="str">
        <f>'04-22-Master'!F5</f>
        <v>Burgeon IT Services Pvt.Ltd.</v>
      </c>
      <c r="L484" s="16"/>
    </row>
    <row r="485" spans="1:12" ht="27.95" customHeight="1" thickBot="1">
      <c r="A485" s="27" t="s">
        <v>219</v>
      </c>
      <c r="B485" s="287" t="e">
        <f>'04-22-Master'!#REF!</f>
        <v>#REF!</v>
      </c>
      <c r="C485" s="25"/>
      <c r="D485" s="25"/>
      <c r="E485" s="25"/>
      <c r="F485" s="25" t="str">
        <f>'04-22-Master'!F6</f>
        <v>Siri Mansion LIGB 436 Dr.A S Rao Nagar,Hyderabad</v>
      </c>
      <c r="G485" s="25"/>
      <c r="H485" s="25"/>
      <c r="I485" s="25"/>
      <c r="J485" s="25"/>
      <c r="K485" s="25"/>
      <c r="L485" s="26"/>
    </row>
    <row r="486" spans="1:12" ht="27.95" customHeight="1">
      <c r="A486" s="79"/>
      <c r="B486" s="80"/>
      <c r="C486" s="80"/>
      <c r="D486" s="180"/>
      <c r="E486" s="180"/>
      <c r="F486" s="180"/>
      <c r="G486" s="180"/>
      <c r="H486" s="180"/>
      <c r="I486" s="180"/>
      <c r="J486" s="80"/>
      <c r="K486" s="182" t="s">
        <v>233</v>
      </c>
      <c r="L486" s="181"/>
    </row>
    <row r="487" spans="1:12" ht="27.95" customHeight="1">
      <c r="A487" s="15"/>
      <c r="B487" s="1438" t="s">
        <v>232</v>
      </c>
      <c r="C487" s="1438"/>
      <c r="D487" s="1438"/>
      <c r="E487" s="1438"/>
      <c r="F487" s="1438"/>
      <c r="G487" s="1438"/>
      <c r="H487" s="1438"/>
      <c r="I487" s="1438"/>
      <c r="J487" s="1438"/>
      <c r="K487" s="1438"/>
      <c r="L487" s="1439"/>
    </row>
    <row r="488" spans="1:12" ht="21.75" customHeight="1">
      <c r="A488" s="15"/>
      <c r="B488" s="1403" t="s">
        <v>234</v>
      </c>
      <c r="C488" s="1403"/>
      <c r="D488" s="1403"/>
      <c r="E488" s="1403"/>
      <c r="F488" s="1403"/>
      <c r="G488" s="1403"/>
      <c r="H488" s="1403"/>
      <c r="I488" s="1403"/>
      <c r="J488" s="1403"/>
      <c r="K488" s="1403"/>
      <c r="L488" s="1440"/>
    </row>
    <row r="489" spans="1:12" ht="27.95" customHeight="1">
      <c r="A489" s="15"/>
      <c r="B489" s="183" t="s">
        <v>235</v>
      </c>
      <c r="C489" s="183"/>
      <c r="D489" s="183"/>
      <c r="E489" s="183"/>
      <c r="F489" s="183"/>
      <c r="H489" s="184"/>
      <c r="I489" s="184"/>
      <c r="J489" s="184"/>
      <c r="K489" s="184"/>
      <c r="L489" s="192"/>
    </row>
    <row r="490" spans="1:12" ht="27.95" customHeight="1">
      <c r="A490" s="15"/>
      <c r="B490" s="1419" t="s">
        <v>204</v>
      </c>
      <c r="C490" s="1419"/>
      <c r="D490" s="1419"/>
      <c r="E490" s="1419"/>
      <c r="F490" s="1419"/>
      <c r="G490" s="1419"/>
      <c r="H490" s="1422">
        <f>'04-22-Master'!B410</f>
        <v>0</v>
      </c>
      <c r="I490" s="1421"/>
      <c r="J490" s="1421"/>
      <c r="K490" s="1421"/>
      <c r="L490" s="1224"/>
    </row>
    <row r="491" spans="1:12" ht="24" customHeight="1">
      <c r="A491" s="15"/>
      <c r="B491" s="1423" t="s">
        <v>205</v>
      </c>
      <c r="C491" s="1423"/>
      <c r="D491" s="1423"/>
      <c r="E491" s="1423"/>
      <c r="F491" s="1423"/>
      <c r="G491" s="1423"/>
      <c r="H491" s="1422">
        <f>'04-22-Master'!E410</f>
        <v>0</v>
      </c>
      <c r="I491" s="1421"/>
      <c r="J491" s="1421"/>
      <c r="K491" s="1421"/>
      <c r="L491" s="1224"/>
    </row>
    <row r="492" spans="1:12" ht="24.75" customHeight="1">
      <c r="A492" s="15"/>
      <c r="B492" s="1419" t="s">
        <v>206</v>
      </c>
      <c r="C492" s="1419"/>
      <c r="D492" s="1419"/>
      <c r="E492" s="1419"/>
      <c r="F492" s="1419"/>
      <c r="G492" s="1419"/>
      <c r="H492" s="1422">
        <f>'04-22-Master'!C410</f>
        <v>0</v>
      </c>
      <c r="I492" s="1421"/>
      <c r="J492" s="1421"/>
      <c r="K492" s="1421"/>
      <c r="L492" s="1224"/>
    </row>
    <row r="493" spans="1:12" ht="26.25" customHeight="1">
      <c r="A493" s="15"/>
      <c r="B493" s="1419" t="s">
        <v>207</v>
      </c>
      <c r="C493" s="1419"/>
      <c r="D493" s="1419"/>
      <c r="E493" s="1419"/>
      <c r="F493" s="1419"/>
      <c r="G493" s="1419"/>
      <c r="H493" s="1424">
        <f>'04-22-Master'!D410</f>
        <v>0</v>
      </c>
      <c r="I493" s="1421"/>
      <c r="J493" s="1421"/>
      <c r="K493" s="1421"/>
      <c r="L493" s="1224"/>
    </row>
    <row r="494" spans="1:12" ht="25.5" customHeight="1">
      <c r="A494" s="15"/>
      <c r="B494" s="91" t="s">
        <v>209</v>
      </c>
      <c r="C494" s="92"/>
      <c r="D494" s="92"/>
      <c r="E494" s="92"/>
      <c r="F494" s="92"/>
      <c r="G494" s="92"/>
      <c r="H494" s="1416" t="s">
        <v>210</v>
      </c>
      <c r="I494" s="1417"/>
      <c r="J494" s="1417"/>
      <c r="K494" s="1417"/>
      <c r="L494" s="1418"/>
    </row>
    <row r="495" spans="1:12" ht="27.95" customHeight="1">
      <c r="A495" s="15"/>
      <c r="B495" s="91" t="s">
        <v>211</v>
      </c>
      <c r="C495" s="92"/>
      <c r="D495" s="92"/>
      <c r="E495" s="92"/>
      <c r="F495" s="92"/>
      <c r="G495" s="92"/>
      <c r="H495" s="93"/>
      <c r="I495" s="94"/>
      <c r="J495" s="174"/>
      <c r="K495" s="94"/>
      <c r="L495" s="99"/>
    </row>
    <row r="496" spans="1:12" ht="24" customHeight="1">
      <c r="A496" s="15"/>
      <c r="B496" s="1234" t="s">
        <v>212</v>
      </c>
      <c r="C496" s="1234"/>
      <c r="D496" s="1234"/>
      <c r="E496" s="1234"/>
      <c r="F496" s="1234"/>
      <c r="G496" s="1234"/>
      <c r="H496" s="1227">
        <f>'04-22-Master'!G410</f>
        <v>0</v>
      </c>
      <c r="I496" s="1228"/>
      <c r="J496" s="1228"/>
      <c r="K496" s="1228"/>
      <c r="L496" s="1229"/>
    </row>
    <row r="497" spans="1:12" ht="22.5" customHeight="1">
      <c r="A497" s="15"/>
      <c r="B497" s="1419"/>
      <c r="C497" s="1419"/>
      <c r="D497" s="1419"/>
      <c r="E497" s="1419"/>
      <c r="F497" s="1419"/>
      <c r="G497" s="1419"/>
      <c r="H497" s="1420">
        <f>'04-22-Master'!H410</f>
        <v>0</v>
      </c>
      <c r="I497" s="1421"/>
      <c r="J497" s="1421"/>
      <c r="K497" s="1421"/>
      <c r="L497" s="1224"/>
    </row>
    <row r="498" spans="1:12" ht="18.75" customHeight="1">
      <c r="A498" s="15"/>
      <c r="B498" s="1419"/>
      <c r="C498" s="1419"/>
      <c r="D498" s="1419"/>
      <c r="E498" s="1419"/>
      <c r="F498" s="1419"/>
      <c r="G498" s="1419"/>
      <c r="H498" s="1422" t="e">
        <f>'04-22-Master'!#REF!</f>
        <v>#REF!</v>
      </c>
      <c r="I498" s="1421"/>
      <c r="J498" s="1421"/>
      <c r="K498" s="1421"/>
      <c r="L498" s="1224"/>
    </row>
    <row r="499" spans="1:12">
      <c r="A499" s="15"/>
      <c r="G499" s="2" t="s">
        <v>236</v>
      </c>
      <c r="H499" s="2"/>
      <c r="I499" s="2"/>
      <c r="J499" s="2"/>
      <c r="K499" s="2"/>
      <c r="L499" s="86"/>
    </row>
    <row r="500" spans="1:12">
      <c r="A500" s="15"/>
      <c r="B500" s="176" t="s">
        <v>220</v>
      </c>
      <c r="C500" s="172"/>
      <c r="D500" s="172"/>
      <c r="E500" s="172"/>
      <c r="F500" s="172"/>
      <c r="G500" s="172"/>
      <c r="H500" s="161"/>
      <c r="I500" s="161"/>
      <c r="J500" s="161"/>
      <c r="K500" s="161"/>
      <c r="L500" s="179"/>
    </row>
    <row r="501" spans="1:12">
      <c r="A501" s="15"/>
      <c r="B501" s="176" t="s">
        <v>221</v>
      </c>
      <c r="C501" s="172"/>
      <c r="D501" s="172"/>
      <c r="E501" s="172"/>
      <c r="F501" s="172"/>
      <c r="G501" s="172"/>
      <c r="H501" s="161"/>
      <c r="I501" s="161"/>
      <c r="J501" s="162"/>
      <c r="K501" s="161"/>
      <c r="L501" s="179"/>
    </row>
    <row r="502" spans="1:12" ht="45">
      <c r="A502" s="90"/>
      <c r="B502" s="91" t="s">
        <v>224</v>
      </c>
      <c r="C502" s="92"/>
      <c r="D502" s="189"/>
      <c r="E502" s="167" t="s">
        <v>226</v>
      </c>
      <c r="F502" s="66"/>
      <c r="G502" s="1411" t="s">
        <v>225</v>
      </c>
      <c r="H502" s="1412"/>
      <c r="I502" s="166" t="s">
        <v>222</v>
      </c>
      <c r="J502" s="169" t="s">
        <v>227</v>
      </c>
      <c r="K502" s="1411" t="s">
        <v>223</v>
      </c>
      <c r="L502" s="1413"/>
    </row>
    <row r="503" spans="1:12" ht="15" customHeight="1">
      <c r="A503" s="90"/>
      <c r="B503" s="170">
        <v>1</v>
      </c>
      <c r="C503" s="92"/>
      <c r="D503" s="92"/>
      <c r="E503" s="173">
        <v>2</v>
      </c>
      <c r="F503" s="95"/>
      <c r="G503" s="173">
        <v>3</v>
      </c>
      <c r="H503" s="189"/>
      <c r="I503" s="189">
        <v>4</v>
      </c>
      <c r="J503" s="110">
        <v>5</v>
      </c>
      <c r="K503" s="97"/>
      <c r="L503" s="98">
        <v>6</v>
      </c>
    </row>
    <row r="504" spans="1:12">
      <c r="A504" s="90"/>
      <c r="B504" s="91"/>
      <c r="C504" s="185"/>
      <c r="D504" s="186"/>
      <c r="E504" s="187" t="s">
        <v>386</v>
      </c>
      <c r="F504" s="186"/>
      <c r="G504" s="187" t="s">
        <v>384</v>
      </c>
      <c r="H504" s="66"/>
      <c r="I504" s="13" t="s">
        <v>387</v>
      </c>
      <c r="J504" s="285">
        <v>1</v>
      </c>
      <c r="K504" s="188" t="s">
        <v>37</v>
      </c>
      <c r="L504" s="193"/>
    </row>
    <row r="505" spans="1:12">
      <c r="A505" s="90"/>
      <c r="B505" s="91"/>
      <c r="C505" s="185"/>
      <c r="D505" s="186"/>
      <c r="E505" s="187"/>
      <c r="F505" s="186"/>
      <c r="G505" s="187"/>
      <c r="H505" s="66"/>
      <c r="I505" s="13"/>
      <c r="J505" s="13"/>
      <c r="K505" s="188"/>
      <c r="L505" s="193"/>
    </row>
    <row r="506" spans="1:12">
      <c r="A506" s="90"/>
      <c r="B506" s="91"/>
      <c r="C506" s="185"/>
      <c r="D506" s="186"/>
      <c r="E506" s="187"/>
      <c r="F506" s="186"/>
      <c r="G506" s="187"/>
      <c r="H506" s="66"/>
      <c r="I506" s="13"/>
      <c r="J506" s="13"/>
      <c r="K506" s="188"/>
      <c r="L506" s="193"/>
    </row>
    <row r="507" spans="1:12">
      <c r="A507" s="90"/>
      <c r="B507" s="73"/>
      <c r="C507" s="19"/>
      <c r="D507" s="74"/>
      <c r="E507" s="187"/>
      <c r="F507" s="186"/>
      <c r="G507" s="187"/>
      <c r="H507" s="66"/>
      <c r="I507" s="13"/>
      <c r="J507" s="13"/>
      <c r="K507" s="188"/>
      <c r="L507" s="193"/>
    </row>
    <row r="508" spans="1:12">
      <c r="A508" s="90"/>
      <c r="B508" t="s">
        <v>228</v>
      </c>
      <c r="L508" s="16"/>
    </row>
    <row r="509" spans="1:12">
      <c r="A509" s="15"/>
      <c r="B509" t="s">
        <v>229</v>
      </c>
      <c r="L509" s="16"/>
    </row>
    <row r="510" spans="1:12">
      <c r="A510" s="15"/>
      <c r="B510" t="s">
        <v>240</v>
      </c>
      <c r="J510" t="s">
        <v>239</v>
      </c>
      <c r="L510" s="16"/>
    </row>
    <row r="511" spans="1:12">
      <c r="A511" s="15"/>
      <c r="G511" s="2" t="s">
        <v>237</v>
      </c>
      <c r="H511" s="2"/>
      <c r="I511" s="2"/>
      <c r="J511" s="2"/>
      <c r="K511" s="2"/>
      <c r="L511" s="86"/>
    </row>
    <row r="512" spans="1:12">
      <c r="A512" s="15"/>
      <c r="B512" s="2"/>
      <c r="G512" t="s">
        <v>238</v>
      </c>
      <c r="H512" s="2"/>
      <c r="I512" s="2"/>
      <c r="J512" s="2"/>
      <c r="K512" s="2"/>
      <c r="L512" s="86"/>
    </row>
    <row r="513" spans="1:12">
      <c r="A513" s="15"/>
      <c r="B513" s="176" t="s">
        <v>241</v>
      </c>
      <c r="C513" s="172"/>
      <c r="D513" s="172"/>
      <c r="E513" s="172"/>
      <c r="F513" s="172"/>
      <c r="G513" s="172"/>
      <c r="H513" s="161"/>
      <c r="I513" s="161"/>
      <c r="J513" s="161"/>
      <c r="K513" s="161"/>
      <c r="L513" s="179"/>
    </row>
    <row r="514" spans="1:12">
      <c r="A514" s="15"/>
      <c r="B514" s="176" t="s">
        <v>242</v>
      </c>
      <c r="C514" s="172"/>
      <c r="D514" s="172"/>
      <c r="E514" s="172"/>
      <c r="F514" s="172"/>
      <c r="G514" s="172"/>
      <c r="H514" s="161"/>
      <c r="I514" s="161"/>
      <c r="J514" s="162"/>
      <c r="K514" s="161"/>
      <c r="L514" s="179"/>
    </row>
    <row r="515" spans="1:12">
      <c r="A515" s="15"/>
      <c r="B515" s="91" t="s">
        <v>5</v>
      </c>
      <c r="C515" s="1431" t="s">
        <v>243</v>
      </c>
      <c r="D515" s="1409"/>
      <c r="E515" s="1409"/>
      <c r="F515" s="1409"/>
      <c r="G515" s="1409"/>
      <c r="H515" s="1432"/>
      <c r="I515" s="168" t="s">
        <v>112</v>
      </c>
      <c r="J515" s="1433" t="s">
        <v>244</v>
      </c>
      <c r="K515" s="1434"/>
      <c r="L515" s="1435"/>
    </row>
    <row r="516" spans="1:12">
      <c r="A516" s="15"/>
      <c r="B516" s="170">
        <v>1</v>
      </c>
      <c r="C516" s="204"/>
      <c r="D516" s="94"/>
      <c r="E516" s="100">
        <v>2</v>
      </c>
      <c r="F516" s="65"/>
      <c r="G516" s="1430"/>
      <c r="H516" s="1412"/>
      <c r="I516" s="94">
        <v>3</v>
      </c>
      <c r="J516" s="191" t="s">
        <v>245</v>
      </c>
      <c r="K516" s="1436">
        <v>4</v>
      </c>
      <c r="L516" s="1437"/>
    </row>
    <row r="517" spans="1:12">
      <c r="A517" s="15"/>
      <c r="B517" s="91"/>
      <c r="C517" s="204"/>
      <c r="D517" s="94"/>
      <c r="E517" s="100"/>
      <c r="F517" s="65"/>
      <c r="G517" s="1430"/>
      <c r="H517" s="1412"/>
      <c r="I517" s="188"/>
      <c r="J517" s="190"/>
      <c r="K517" s="1430"/>
      <c r="L517" s="1413"/>
    </row>
    <row r="518" spans="1:12" ht="27.95" customHeight="1">
      <c r="A518" s="15"/>
      <c r="B518" s="91"/>
      <c r="C518" s="204"/>
      <c r="D518" s="94"/>
      <c r="E518" s="100"/>
      <c r="F518" s="65"/>
      <c r="G518" s="1430"/>
      <c r="H518" s="1412"/>
      <c r="I518" s="188"/>
      <c r="J518" s="190"/>
      <c r="K518" s="1430"/>
      <c r="L518" s="1413"/>
    </row>
    <row r="519" spans="1:12" ht="27.95" customHeight="1">
      <c r="A519" s="15"/>
      <c r="B519" s="91"/>
      <c r="C519" s="204"/>
      <c r="D519" s="94"/>
      <c r="E519" s="100"/>
      <c r="F519" s="65"/>
      <c r="G519" s="1430"/>
      <c r="H519" s="1412"/>
      <c r="I519" s="188"/>
      <c r="J519" s="190"/>
      <c r="K519" s="1430"/>
      <c r="L519" s="1413"/>
    </row>
    <row r="520" spans="1:12" ht="27.95" customHeight="1">
      <c r="A520" s="15"/>
      <c r="B520" s="73"/>
      <c r="C520" s="204"/>
      <c r="D520" s="94"/>
      <c r="E520" s="100"/>
      <c r="F520" s="65"/>
      <c r="G520" s="1430"/>
      <c r="H520" s="1412"/>
      <c r="I520" s="188"/>
      <c r="J520" s="190"/>
      <c r="K520" s="1430"/>
      <c r="L520" s="1413"/>
    </row>
    <row r="521" spans="1:12" ht="25.5" customHeight="1">
      <c r="A521" s="15"/>
      <c r="B521" t="s">
        <v>249</v>
      </c>
      <c r="L521" s="16"/>
    </row>
    <row r="522" spans="1:12" ht="18" customHeight="1">
      <c r="A522" s="15"/>
      <c r="B522" t="s">
        <v>250</v>
      </c>
      <c r="L522" s="16"/>
    </row>
    <row r="523" spans="1:12" ht="16.5" customHeight="1">
      <c r="A523" s="15"/>
      <c r="B523" t="s">
        <v>251</v>
      </c>
      <c r="L523" s="16"/>
    </row>
    <row r="524" spans="1:12" ht="16.5" customHeight="1">
      <c r="A524" s="15"/>
      <c r="B524" t="s">
        <v>252</v>
      </c>
      <c r="L524" s="16"/>
    </row>
    <row r="525" spans="1:12" ht="27.95" customHeight="1">
      <c r="A525" s="15"/>
      <c r="B525" s="187" t="s">
        <v>246</v>
      </c>
      <c r="C525" s="65"/>
      <c r="D525" s="65"/>
      <c r="E525" s="65"/>
      <c r="F525" s="66"/>
      <c r="G525" s="187" t="s">
        <v>222</v>
      </c>
      <c r="H525" s="66"/>
      <c r="I525" s="187" t="s">
        <v>247</v>
      </c>
      <c r="J525" s="65"/>
      <c r="K525" s="66"/>
      <c r="L525" s="16"/>
    </row>
    <row r="526" spans="1:12" ht="24.75" customHeight="1">
      <c r="A526" s="15"/>
      <c r="B526" s="1414"/>
      <c r="C526" s="1429"/>
      <c r="D526" s="1429"/>
      <c r="E526" s="1429"/>
      <c r="F526" s="1425"/>
      <c r="G526" s="1414"/>
      <c r="H526" s="1425"/>
      <c r="I526" s="1414"/>
      <c r="J526" s="1429"/>
      <c r="K526" s="1425"/>
      <c r="L526" s="16"/>
    </row>
    <row r="527" spans="1:12" ht="23.25" customHeight="1">
      <c r="A527" s="15"/>
      <c r="B527" s="1414"/>
      <c r="C527" s="1429"/>
      <c r="D527" s="1429"/>
      <c r="E527" s="1429"/>
      <c r="F527" s="1425"/>
      <c r="G527" s="1414"/>
      <c r="H527" s="1425"/>
      <c r="I527" s="1414"/>
      <c r="J527" s="1429"/>
      <c r="K527" s="1425"/>
      <c r="L527" s="16"/>
    </row>
    <row r="528" spans="1:12" ht="21.75" customHeight="1">
      <c r="A528" s="15"/>
      <c r="B528" s="1414"/>
      <c r="C528" s="1429"/>
      <c r="D528" s="1429"/>
      <c r="E528" s="1429"/>
      <c r="F528" s="1425"/>
      <c r="G528" s="1414"/>
      <c r="H528" s="1425"/>
      <c r="I528" s="1414"/>
      <c r="J528" s="1429"/>
      <c r="K528" s="1425"/>
      <c r="L528" s="16"/>
    </row>
    <row r="529" spans="1:12" ht="19.5" customHeight="1">
      <c r="A529" s="15"/>
      <c r="B529" s="1414"/>
      <c r="C529" s="1429"/>
      <c r="D529" s="1429"/>
      <c r="E529" s="1429"/>
      <c r="F529" s="1425"/>
      <c r="G529" s="1414"/>
      <c r="H529" s="1425"/>
      <c r="I529" s="1414"/>
      <c r="J529" s="1429"/>
      <c r="K529" s="1425"/>
      <c r="L529" s="16"/>
    </row>
    <row r="530" spans="1:12" ht="27.95" customHeight="1">
      <c r="A530" s="15"/>
      <c r="B530" t="s">
        <v>219</v>
      </c>
      <c r="I530" t="s">
        <v>248</v>
      </c>
      <c r="L530" s="16"/>
    </row>
    <row r="531" spans="1:12" ht="24" customHeight="1">
      <c r="A531" s="15"/>
      <c r="F531" s="175" t="s">
        <v>214</v>
      </c>
      <c r="L531" s="16"/>
    </row>
    <row r="532" spans="1:12" ht="27.95" customHeight="1">
      <c r="A532" s="15" t="s">
        <v>215</v>
      </c>
      <c r="L532" s="16"/>
    </row>
    <row r="533" spans="1:12" ht="27.95" customHeight="1">
      <c r="A533" s="15" t="s">
        <v>216</v>
      </c>
      <c r="L533" s="16"/>
    </row>
    <row r="534" spans="1:12" ht="27.95" customHeight="1">
      <c r="A534" s="15"/>
      <c r="F534" t="s">
        <v>217</v>
      </c>
      <c r="L534" s="16"/>
    </row>
    <row r="535" spans="1:12">
      <c r="A535" s="15" t="s">
        <v>218</v>
      </c>
      <c r="F535">
        <f>'04-22-Master'!F400</f>
        <v>0</v>
      </c>
      <c r="L535" s="16"/>
    </row>
    <row r="536" spans="1:12" ht="15.75" thickBot="1">
      <c r="A536" s="27" t="s">
        <v>219</v>
      </c>
      <c r="B536" s="25"/>
      <c r="C536" s="25"/>
      <c r="D536" s="25"/>
      <c r="E536" s="25"/>
      <c r="F536" s="25">
        <f>'04-22-Master'!F401</f>
        <v>0</v>
      </c>
      <c r="G536" s="25"/>
      <c r="H536" s="25"/>
      <c r="I536" s="25"/>
      <c r="J536" s="25"/>
      <c r="K536" s="25"/>
      <c r="L536" s="26"/>
    </row>
    <row r="537" spans="1:12" ht="32.25">
      <c r="A537" s="79"/>
      <c r="B537" s="80"/>
      <c r="C537" s="80"/>
      <c r="D537" s="180"/>
      <c r="E537" s="180"/>
      <c r="F537" s="180"/>
      <c r="G537" s="180"/>
      <c r="H537" s="180"/>
      <c r="I537" s="180"/>
      <c r="J537" s="80"/>
      <c r="K537" s="182" t="s">
        <v>233</v>
      </c>
      <c r="L537" s="181"/>
    </row>
    <row r="538" spans="1:12" ht="21">
      <c r="A538" s="15"/>
      <c r="B538" s="1438" t="s">
        <v>232</v>
      </c>
      <c r="C538" s="1438"/>
      <c r="D538" s="1438"/>
      <c r="E538" s="1438"/>
      <c r="F538" s="1438"/>
      <c r="G538" s="1438"/>
      <c r="H538" s="1438"/>
      <c r="I538" s="1438"/>
      <c r="J538" s="1438"/>
      <c r="K538" s="1438"/>
      <c r="L538" s="1439"/>
    </row>
    <row r="539" spans="1:12" ht="15.75">
      <c r="A539" s="15"/>
      <c r="B539" s="1403" t="s">
        <v>234</v>
      </c>
      <c r="C539" s="1403"/>
      <c r="D539" s="1403"/>
      <c r="E539" s="1403"/>
      <c r="F539" s="1403"/>
      <c r="G539" s="1403"/>
      <c r="H539" s="1403"/>
      <c r="I539" s="1403"/>
      <c r="J539" s="1403"/>
      <c r="K539" s="1403"/>
      <c r="L539" s="1440"/>
    </row>
    <row r="540" spans="1:12" ht="15" customHeight="1">
      <c r="A540" s="15"/>
      <c r="B540" s="183" t="s">
        <v>235</v>
      </c>
      <c r="C540" s="183"/>
      <c r="D540" s="183"/>
      <c r="E540" s="183"/>
      <c r="F540" s="183"/>
      <c r="H540" s="184"/>
      <c r="I540" s="184"/>
      <c r="J540" s="184"/>
      <c r="K540" s="184"/>
      <c r="L540" s="192"/>
    </row>
    <row r="541" spans="1:12">
      <c r="A541" s="15"/>
      <c r="B541" s="1419" t="s">
        <v>204</v>
      </c>
      <c r="C541" s="1419"/>
      <c r="D541" s="1419"/>
      <c r="E541" s="1419"/>
      <c r="F541" s="1419"/>
      <c r="G541" s="1419"/>
      <c r="H541" s="1422">
        <f>'04-22-Master'!B461</f>
        <v>0</v>
      </c>
      <c r="I541" s="1421"/>
      <c r="J541" s="1421"/>
      <c r="K541" s="1421"/>
      <c r="L541" s="1224"/>
    </row>
    <row r="542" spans="1:12">
      <c r="A542" s="15"/>
      <c r="B542" s="1423" t="s">
        <v>205</v>
      </c>
      <c r="C542" s="1423"/>
      <c r="D542" s="1423"/>
      <c r="E542" s="1423"/>
      <c r="F542" s="1423"/>
      <c r="G542" s="1423"/>
      <c r="H542" s="1422">
        <f>'04-22-Master'!E461</f>
        <v>0</v>
      </c>
      <c r="I542" s="1421"/>
      <c r="J542" s="1421"/>
      <c r="K542" s="1421"/>
      <c r="L542" s="1224"/>
    </row>
    <row r="543" spans="1:12">
      <c r="A543" s="15"/>
      <c r="B543" s="1419" t="s">
        <v>206</v>
      </c>
      <c r="C543" s="1419"/>
      <c r="D543" s="1419"/>
      <c r="E543" s="1419"/>
      <c r="F543" s="1419"/>
      <c r="G543" s="1419"/>
      <c r="H543" s="1422">
        <f>'04-22-Master'!C461</f>
        <v>0</v>
      </c>
      <c r="I543" s="1421"/>
      <c r="J543" s="1421"/>
      <c r="K543" s="1421"/>
      <c r="L543" s="1224"/>
    </row>
    <row r="544" spans="1:12">
      <c r="A544" s="15"/>
      <c r="B544" s="1419" t="s">
        <v>207</v>
      </c>
      <c r="C544" s="1419"/>
      <c r="D544" s="1419"/>
      <c r="E544" s="1419"/>
      <c r="F544" s="1419"/>
      <c r="G544" s="1419"/>
      <c r="H544" s="1424">
        <f>'04-22-Master'!D461</f>
        <v>0</v>
      </c>
      <c r="I544" s="1421"/>
      <c r="J544" s="1421"/>
      <c r="K544" s="1421"/>
      <c r="L544" s="1224"/>
    </row>
    <row r="545" spans="1:12">
      <c r="A545" s="15"/>
      <c r="B545" s="91" t="s">
        <v>209</v>
      </c>
      <c r="C545" s="92"/>
      <c r="D545" s="92"/>
      <c r="E545" s="92"/>
      <c r="F545" s="92"/>
      <c r="G545" s="92"/>
      <c r="H545" s="1416" t="s">
        <v>210</v>
      </c>
      <c r="I545" s="1417"/>
      <c r="J545" s="1417"/>
      <c r="K545" s="1417"/>
      <c r="L545" s="1418"/>
    </row>
    <row r="546" spans="1:12">
      <c r="A546" s="15"/>
      <c r="B546" s="91" t="s">
        <v>211</v>
      </c>
      <c r="C546" s="92"/>
      <c r="D546" s="92"/>
      <c r="E546" s="92"/>
      <c r="F546" s="92"/>
      <c r="G546" s="92"/>
      <c r="H546" s="93"/>
      <c r="I546" s="94"/>
      <c r="J546" s="174"/>
      <c r="K546" s="94"/>
      <c r="L546" s="99"/>
    </row>
    <row r="547" spans="1:12">
      <c r="A547" s="15"/>
      <c r="B547" s="1234" t="s">
        <v>212</v>
      </c>
      <c r="C547" s="1234"/>
      <c r="D547" s="1234"/>
      <c r="E547" s="1234"/>
      <c r="F547" s="1234"/>
      <c r="G547" s="1234"/>
      <c r="H547" s="1227">
        <f>'04-22-Master'!G461</f>
        <v>0</v>
      </c>
      <c r="I547" s="1228"/>
      <c r="J547" s="1228"/>
      <c r="K547" s="1228"/>
      <c r="L547" s="1229"/>
    </row>
    <row r="548" spans="1:12">
      <c r="A548" s="15"/>
      <c r="B548" s="1419"/>
      <c r="C548" s="1419"/>
      <c r="D548" s="1419"/>
      <c r="E548" s="1419"/>
      <c r="F548" s="1419"/>
      <c r="G548" s="1419"/>
      <c r="H548" s="1420">
        <f>'04-22-Master'!H461</f>
        <v>0</v>
      </c>
      <c r="I548" s="1421"/>
      <c r="J548" s="1421"/>
      <c r="K548" s="1421"/>
      <c r="L548" s="1224"/>
    </row>
    <row r="549" spans="1:12">
      <c r="A549" s="15"/>
      <c r="B549" s="1419"/>
      <c r="C549" s="1419"/>
      <c r="D549" s="1419"/>
      <c r="E549" s="1419"/>
      <c r="F549" s="1419"/>
      <c r="G549" s="1419"/>
      <c r="H549" s="1422" t="e">
        <f>'04-22-Master'!#REF!</f>
        <v>#REF!</v>
      </c>
      <c r="I549" s="1421"/>
      <c r="J549" s="1421"/>
      <c r="K549" s="1421"/>
      <c r="L549" s="1224"/>
    </row>
    <row r="550" spans="1:12">
      <c r="A550" s="15"/>
      <c r="G550" s="2" t="s">
        <v>236</v>
      </c>
      <c r="H550" s="2"/>
      <c r="I550" s="2"/>
      <c r="J550" s="2"/>
      <c r="K550" s="2"/>
      <c r="L550" s="86"/>
    </row>
    <row r="551" spans="1:12">
      <c r="A551" s="15"/>
      <c r="B551" s="176" t="s">
        <v>220</v>
      </c>
      <c r="C551" s="172"/>
      <c r="D551" s="172"/>
      <c r="E551" s="172"/>
      <c r="F551" s="172"/>
      <c r="G551" s="172"/>
      <c r="H551" s="161"/>
      <c r="I551" s="161"/>
      <c r="J551" s="161"/>
      <c r="K551" s="161"/>
      <c r="L551" s="179"/>
    </row>
    <row r="552" spans="1:12">
      <c r="A552" s="15"/>
      <c r="B552" s="176" t="s">
        <v>221</v>
      </c>
      <c r="C552" s="172"/>
      <c r="D552" s="172"/>
      <c r="E552" s="172"/>
      <c r="F552" s="172"/>
      <c r="G552" s="172"/>
      <c r="H552" s="161"/>
      <c r="I552" s="161"/>
      <c r="J552" s="162"/>
      <c r="K552" s="161"/>
      <c r="L552" s="179"/>
    </row>
    <row r="553" spans="1:12" ht="45">
      <c r="A553" s="90"/>
      <c r="B553" s="91" t="s">
        <v>224</v>
      </c>
      <c r="C553" s="92"/>
      <c r="D553" s="189"/>
      <c r="E553" s="167" t="s">
        <v>226</v>
      </c>
      <c r="F553" s="66"/>
      <c r="G553" s="1411" t="s">
        <v>225</v>
      </c>
      <c r="H553" s="1412"/>
      <c r="I553" s="166" t="s">
        <v>222</v>
      </c>
      <c r="J553" s="169" t="s">
        <v>227</v>
      </c>
      <c r="K553" s="1411" t="s">
        <v>223</v>
      </c>
      <c r="L553" s="1413"/>
    </row>
    <row r="554" spans="1:12">
      <c r="A554" s="90"/>
      <c r="B554" s="170">
        <v>1</v>
      </c>
      <c r="C554" s="92"/>
      <c r="D554" s="92"/>
      <c r="E554" s="173">
        <v>2</v>
      </c>
      <c r="F554" s="95"/>
      <c r="G554" s="173">
        <v>3</v>
      </c>
      <c r="H554" s="189"/>
      <c r="I554" s="189">
        <v>4</v>
      </c>
      <c r="J554" s="110">
        <v>5</v>
      </c>
      <c r="K554" s="97"/>
      <c r="L554" s="98">
        <v>6</v>
      </c>
    </row>
    <row r="555" spans="1:12" ht="27.95" customHeight="1">
      <c r="A555" s="90"/>
      <c r="B555" s="91"/>
      <c r="C555" s="185"/>
      <c r="D555" s="186"/>
      <c r="E555" s="187" t="s">
        <v>386</v>
      </c>
      <c r="F555" s="186"/>
      <c r="G555" s="187" t="s">
        <v>384</v>
      </c>
      <c r="H555" s="66"/>
      <c r="I555" s="13" t="s">
        <v>387</v>
      </c>
      <c r="J555" s="285">
        <v>1</v>
      </c>
      <c r="K555" s="188" t="s">
        <v>37</v>
      </c>
      <c r="L555" s="193"/>
    </row>
    <row r="556" spans="1:12" ht="27.95" customHeight="1">
      <c r="A556" s="90"/>
      <c r="B556" s="91"/>
      <c r="C556" s="185"/>
      <c r="D556" s="186"/>
      <c r="E556" s="187"/>
      <c r="F556" s="186"/>
      <c r="G556" s="187"/>
      <c r="H556" s="66"/>
      <c r="I556" s="13"/>
      <c r="J556" s="13"/>
      <c r="K556" s="188"/>
      <c r="L556" s="193"/>
    </row>
    <row r="557" spans="1:12" ht="27.95" customHeight="1">
      <c r="A557" s="90"/>
      <c r="B557" s="91"/>
      <c r="C557" s="185"/>
      <c r="D557" s="186"/>
      <c r="E557" s="187"/>
      <c r="F557" s="186"/>
      <c r="G557" s="187"/>
      <c r="H557" s="66"/>
      <c r="I557" s="13"/>
      <c r="J557" s="13"/>
      <c r="K557" s="188"/>
      <c r="L557" s="193"/>
    </row>
    <row r="558" spans="1:12" ht="27.95" customHeight="1">
      <c r="A558" s="90"/>
      <c r="B558" s="73"/>
      <c r="C558" s="19"/>
      <c r="D558" s="74"/>
      <c r="E558" s="187"/>
      <c r="F558" s="186"/>
      <c r="G558" s="187"/>
      <c r="H558" s="66"/>
      <c r="I558" s="13"/>
      <c r="J558" s="13"/>
      <c r="K558" s="188"/>
      <c r="L558" s="193"/>
    </row>
    <row r="559" spans="1:12" ht="27.95" customHeight="1">
      <c r="A559" s="90"/>
      <c r="B559" t="s">
        <v>228</v>
      </c>
      <c r="L559" s="16"/>
    </row>
    <row r="560" spans="1:12" ht="27.95" customHeight="1">
      <c r="A560" s="15"/>
      <c r="B560" t="s">
        <v>229</v>
      </c>
      <c r="L560" s="16"/>
    </row>
    <row r="561" spans="1:12" ht="27.95" customHeight="1">
      <c r="A561" s="15"/>
      <c r="B561" t="s">
        <v>240</v>
      </c>
      <c r="J561" t="s">
        <v>239</v>
      </c>
      <c r="L561" s="16"/>
    </row>
    <row r="562" spans="1:12" ht="27.95" customHeight="1">
      <c r="A562" s="15"/>
      <c r="G562" s="2" t="s">
        <v>237</v>
      </c>
      <c r="H562" s="2"/>
      <c r="I562" s="2"/>
      <c r="J562" s="2"/>
      <c r="K562" s="2"/>
      <c r="L562" s="86"/>
    </row>
    <row r="563" spans="1:12" ht="27.95" customHeight="1">
      <c r="A563" s="15"/>
      <c r="B563" s="2"/>
      <c r="G563" t="s">
        <v>238</v>
      </c>
      <c r="H563" s="2"/>
      <c r="I563" s="2"/>
      <c r="J563" s="2"/>
      <c r="K563" s="2"/>
      <c r="L563" s="86"/>
    </row>
    <row r="564" spans="1:12" ht="27.95" customHeight="1">
      <c r="A564" s="15"/>
      <c r="B564" s="176" t="s">
        <v>241</v>
      </c>
      <c r="C564" s="172"/>
      <c r="D564" s="172"/>
      <c r="E564" s="172"/>
      <c r="F564" s="172"/>
      <c r="G564" s="172"/>
      <c r="H564" s="161"/>
      <c r="I564" s="161"/>
      <c r="J564" s="161"/>
      <c r="K564" s="161"/>
      <c r="L564" s="179"/>
    </row>
    <row r="565" spans="1:12" ht="27.95" customHeight="1">
      <c r="A565" s="15"/>
      <c r="B565" s="176" t="s">
        <v>242</v>
      </c>
      <c r="C565" s="172"/>
      <c r="D565" s="172"/>
      <c r="E565" s="172"/>
      <c r="F565" s="172"/>
      <c r="G565" s="172"/>
      <c r="H565" s="161"/>
      <c r="I565" s="161"/>
      <c r="J565" s="162"/>
      <c r="K565" s="161"/>
      <c r="L565" s="179"/>
    </row>
    <row r="566" spans="1:12" ht="27.95" customHeight="1">
      <c r="A566" s="15"/>
      <c r="B566" s="91" t="s">
        <v>5</v>
      </c>
      <c r="C566" s="1431" t="s">
        <v>243</v>
      </c>
      <c r="D566" s="1409"/>
      <c r="E566" s="1409"/>
      <c r="F566" s="1409"/>
      <c r="G566" s="1409"/>
      <c r="H566" s="1432"/>
      <c r="I566" s="168" t="s">
        <v>112</v>
      </c>
      <c r="J566" s="1433" t="s">
        <v>244</v>
      </c>
      <c r="K566" s="1434"/>
      <c r="L566" s="1435"/>
    </row>
    <row r="567" spans="1:12" ht="27.95" customHeight="1">
      <c r="A567" s="15"/>
      <c r="B567" s="170">
        <v>1</v>
      </c>
      <c r="C567" s="204"/>
      <c r="D567" s="94"/>
      <c r="E567" s="100">
        <v>2</v>
      </c>
      <c r="F567" s="65"/>
      <c r="G567" s="1430"/>
      <c r="H567" s="1412"/>
      <c r="I567" s="94">
        <v>3</v>
      </c>
      <c r="J567" s="191" t="s">
        <v>245</v>
      </c>
      <c r="K567" s="1436">
        <v>4</v>
      </c>
      <c r="L567" s="1437"/>
    </row>
    <row r="568" spans="1:12" ht="27.95" customHeight="1">
      <c r="A568" s="15"/>
      <c r="B568" s="91"/>
      <c r="C568" s="204"/>
      <c r="D568" s="94"/>
      <c r="E568" s="100"/>
      <c r="F568" s="65"/>
      <c r="G568" s="1430"/>
      <c r="H568" s="1412"/>
      <c r="I568" s="188"/>
      <c r="J568" s="190"/>
      <c r="K568" s="1430"/>
      <c r="L568" s="1413"/>
    </row>
    <row r="569" spans="1:12" ht="27.95" customHeight="1">
      <c r="A569" s="15"/>
      <c r="B569" s="91"/>
      <c r="C569" s="204"/>
      <c r="D569" s="94"/>
      <c r="E569" s="100"/>
      <c r="F569" s="65"/>
      <c r="G569" s="1430"/>
      <c r="H569" s="1412"/>
      <c r="I569" s="188"/>
      <c r="J569" s="190"/>
      <c r="K569" s="1430"/>
      <c r="L569" s="1413"/>
    </row>
    <row r="570" spans="1:12" ht="27.95" customHeight="1">
      <c r="A570" s="15"/>
      <c r="B570" s="91"/>
      <c r="C570" s="204"/>
      <c r="D570" s="94"/>
      <c r="E570" s="100"/>
      <c r="F570" s="65"/>
      <c r="G570" s="1430"/>
      <c r="H570" s="1412"/>
      <c r="I570" s="188"/>
      <c r="J570" s="190"/>
      <c r="K570" s="1430"/>
      <c r="L570" s="1413"/>
    </row>
    <row r="571" spans="1:12" ht="27.95" customHeight="1">
      <c r="A571" s="15"/>
      <c r="B571" s="73"/>
      <c r="C571" s="204"/>
      <c r="D571" s="94"/>
      <c r="E571" s="100"/>
      <c r="F571" s="65"/>
      <c r="G571" s="1430"/>
      <c r="H571" s="1412"/>
      <c r="I571" s="188"/>
      <c r="J571" s="190"/>
      <c r="K571" s="1430"/>
      <c r="L571" s="1413"/>
    </row>
    <row r="572" spans="1:12" ht="27.95" customHeight="1">
      <c r="A572" s="15"/>
      <c r="B572" t="s">
        <v>249</v>
      </c>
      <c r="L572" s="16"/>
    </row>
    <row r="573" spans="1:12">
      <c r="A573" s="15"/>
      <c r="B573" t="s">
        <v>250</v>
      </c>
      <c r="L573" s="16"/>
    </row>
    <row r="574" spans="1:12">
      <c r="A574" s="15"/>
      <c r="B574" t="s">
        <v>251</v>
      </c>
      <c r="L574" s="16"/>
    </row>
    <row r="575" spans="1:12">
      <c r="A575" s="15"/>
      <c r="B575" t="s">
        <v>252</v>
      </c>
      <c r="L575" s="16"/>
    </row>
    <row r="576" spans="1:12">
      <c r="A576" s="15"/>
      <c r="B576" s="187" t="s">
        <v>246</v>
      </c>
      <c r="C576" s="65"/>
      <c r="D576" s="65"/>
      <c r="E576" s="65"/>
      <c r="F576" s="66"/>
      <c r="G576" s="187" t="s">
        <v>222</v>
      </c>
      <c r="H576" s="66"/>
      <c r="I576" s="187" t="s">
        <v>247</v>
      </c>
      <c r="J576" s="65"/>
      <c r="K576" s="66"/>
      <c r="L576" s="16"/>
    </row>
    <row r="577" spans="1:12">
      <c r="A577" s="15"/>
      <c r="B577" s="1414"/>
      <c r="C577" s="1429"/>
      <c r="D577" s="1429"/>
      <c r="E577" s="1429"/>
      <c r="F577" s="1425"/>
      <c r="G577" s="1414"/>
      <c r="H577" s="1425"/>
      <c r="I577" s="1414"/>
      <c r="J577" s="1429"/>
      <c r="K577" s="1425"/>
      <c r="L577" s="16"/>
    </row>
    <row r="578" spans="1:12">
      <c r="A578" s="15"/>
      <c r="B578" s="1414"/>
      <c r="C578" s="1429"/>
      <c r="D578" s="1429"/>
      <c r="E578" s="1429"/>
      <c r="F578" s="1425"/>
      <c r="G578" s="1414"/>
      <c r="H578" s="1425"/>
      <c r="I578" s="1414"/>
      <c r="J578" s="1429"/>
      <c r="K578" s="1425"/>
      <c r="L578" s="16"/>
    </row>
    <row r="579" spans="1:12" ht="15" customHeight="1">
      <c r="A579" s="15"/>
      <c r="B579" s="1414"/>
      <c r="C579" s="1429"/>
      <c r="D579" s="1429"/>
      <c r="E579" s="1429"/>
      <c r="F579" s="1425"/>
      <c r="G579" s="1414"/>
      <c r="H579" s="1425"/>
      <c r="I579" s="1414"/>
      <c r="J579" s="1429"/>
      <c r="K579" s="1425"/>
      <c r="L579" s="16"/>
    </row>
    <row r="580" spans="1:12">
      <c r="A580" s="15"/>
      <c r="B580" s="1414"/>
      <c r="C580" s="1429"/>
      <c r="D580" s="1429"/>
      <c r="E580" s="1429"/>
      <c r="F580" s="1425"/>
      <c r="G580" s="1414"/>
      <c r="H580" s="1425"/>
      <c r="I580" s="1414"/>
      <c r="J580" s="1429"/>
      <c r="K580" s="1425"/>
      <c r="L580" s="16"/>
    </row>
    <row r="581" spans="1:12">
      <c r="A581" s="15"/>
      <c r="B581" t="s">
        <v>219</v>
      </c>
      <c r="I581" t="s">
        <v>248</v>
      </c>
      <c r="L581" s="16"/>
    </row>
    <row r="582" spans="1:12" ht="18.75">
      <c r="A582" s="15"/>
      <c r="F582" s="175" t="s">
        <v>214</v>
      </c>
      <c r="L582" s="16"/>
    </row>
    <row r="583" spans="1:12">
      <c r="A583" s="15" t="s">
        <v>215</v>
      </c>
      <c r="L583" s="16"/>
    </row>
    <row r="584" spans="1:12">
      <c r="A584" s="15" t="s">
        <v>216</v>
      </c>
      <c r="L584" s="16"/>
    </row>
    <row r="585" spans="1:12">
      <c r="A585" s="15"/>
      <c r="F585" t="s">
        <v>217</v>
      </c>
      <c r="L585" s="16"/>
    </row>
    <row r="586" spans="1:12">
      <c r="A586" s="15" t="s">
        <v>218</v>
      </c>
      <c r="F586">
        <f>'04-22-Master'!F451</f>
        <v>0</v>
      </c>
      <c r="L586" s="16"/>
    </row>
    <row r="587" spans="1:12" ht="15.75" thickBot="1">
      <c r="A587" s="27" t="s">
        <v>219</v>
      </c>
      <c r="B587" s="25"/>
      <c r="C587" s="25"/>
      <c r="D587" s="25"/>
      <c r="E587" s="25"/>
      <c r="F587" s="25">
        <f>'04-22-Master'!F452</f>
        <v>0</v>
      </c>
      <c r="G587" s="25"/>
      <c r="H587" s="25"/>
      <c r="I587" s="25"/>
      <c r="J587" s="25"/>
      <c r="K587" s="25"/>
      <c r="L587" s="26"/>
    </row>
    <row r="589" spans="1:12">
      <c r="H589" s="2"/>
      <c r="I589" s="2"/>
      <c r="J589" s="2"/>
      <c r="K589" s="2"/>
      <c r="L589" s="2"/>
    </row>
    <row r="590" spans="1:12">
      <c r="H590" s="2"/>
      <c r="I590" s="2"/>
      <c r="J590" s="2"/>
      <c r="K590" s="2"/>
      <c r="L590" s="2"/>
    </row>
    <row r="591" spans="1:12">
      <c r="B591" s="2"/>
      <c r="H591" s="2"/>
      <c r="I591" s="2"/>
      <c r="J591" s="2"/>
      <c r="K591" s="2"/>
      <c r="L591" s="2"/>
    </row>
    <row r="592" spans="1:12">
      <c r="H592" s="2"/>
      <c r="I592" s="2"/>
      <c r="J592" s="2"/>
      <c r="K592" s="2"/>
      <c r="L592" s="2"/>
    </row>
    <row r="593" spans="1:12">
      <c r="H593" s="2"/>
      <c r="I593" s="2"/>
      <c r="J593" s="2"/>
      <c r="K593" s="2"/>
      <c r="L593" s="2"/>
    </row>
    <row r="594" spans="1:12" ht="27.95" customHeight="1">
      <c r="A594" s="12"/>
      <c r="B594" s="1400"/>
      <c r="C594" s="1400"/>
      <c r="D594" s="1400"/>
      <c r="E594" s="1400"/>
      <c r="F594" s="1400"/>
      <c r="G594" s="1400"/>
      <c r="H594" s="1398"/>
      <c r="I594" s="1399"/>
      <c r="J594" s="1399"/>
      <c r="K594" s="1399"/>
      <c r="L594" s="1399"/>
    </row>
    <row r="595" spans="1:12" ht="27.95" customHeight="1">
      <c r="A595" s="12"/>
      <c r="B595" s="1397"/>
      <c r="C595" s="1397"/>
      <c r="D595" s="1397"/>
      <c r="E595" s="1397"/>
      <c r="F595" s="1397"/>
      <c r="G595" s="1397"/>
      <c r="H595" s="1398"/>
      <c r="I595" s="1399"/>
      <c r="J595" s="1399"/>
      <c r="K595" s="1399"/>
      <c r="L595" s="1399"/>
    </row>
    <row r="596" spans="1:12" ht="27.95" customHeight="1">
      <c r="A596" s="12"/>
      <c r="B596" s="1400"/>
      <c r="C596" s="1400"/>
      <c r="D596" s="1400"/>
      <c r="E596" s="1400"/>
      <c r="F596" s="1400"/>
      <c r="G596" s="1400"/>
      <c r="H596" s="1398"/>
      <c r="I596" s="1399"/>
      <c r="J596" s="1399"/>
      <c r="K596" s="1399"/>
      <c r="L596" s="1399"/>
    </row>
    <row r="597" spans="1:12" ht="27.95" customHeight="1">
      <c r="A597" s="12"/>
      <c r="B597" s="1400"/>
      <c r="C597" s="1400"/>
      <c r="D597" s="1400"/>
      <c r="E597" s="1400"/>
      <c r="F597" s="1400"/>
      <c r="G597" s="1400"/>
      <c r="H597" s="1402"/>
      <c r="I597" s="1399"/>
      <c r="J597" s="1399"/>
      <c r="K597" s="1399"/>
      <c r="L597" s="1399"/>
    </row>
    <row r="598" spans="1:12" ht="27.95" customHeight="1">
      <c r="A598" s="12"/>
      <c r="B598" s="176"/>
      <c r="C598" s="172"/>
      <c r="D598" s="172"/>
      <c r="E598" s="172"/>
      <c r="F598" s="172"/>
      <c r="G598" s="172"/>
      <c r="H598" s="161"/>
      <c r="I598" s="12"/>
      <c r="J598" s="154"/>
      <c r="K598" s="161"/>
      <c r="L598" s="161"/>
    </row>
    <row r="599" spans="1:12" ht="27.95" customHeight="1">
      <c r="A599" s="12"/>
      <c r="B599" s="176"/>
      <c r="C599" s="172"/>
      <c r="D599" s="172"/>
      <c r="E599" s="172"/>
      <c r="F599" s="172"/>
      <c r="G599" s="172"/>
      <c r="H599" s="161"/>
      <c r="I599" s="161"/>
      <c r="J599" s="154"/>
      <c r="K599" s="161"/>
      <c r="L599" s="161"/>
    </row>
    <row r="600" spans="1:12" ht="27.95" customHeight="1">
      <c r="A600" s="12"/>
      <c r="B600" s="1397"/>
      <c r="C600" s="1397"/>
      <c r="D600" s="1397"/>
      <c r="E600" s="1397"/>
      <c r="F600" s="1397"/>
      <c r="G600" s="1397"/>
      <c r="H600" s="1398"/>
      <c r="I600" s="1399"/>
      <c r="J600" s="1399"/>
      <c r="K600" s="1399"/>
      <c r="L600" s="1399"/>
    </row>
    <row r="601" spans="1:12" ht="27.95" customHeight="1">
      <c r="A601" s="12"/>
      <c r="B601" s="1400"/>
      <c r="C601" s="1400"/>
      <c r="D601" s="1400"/>
      <c r="E601" s="1400"/>
      <c r="F601" s="1400"/>
      <c r="G601" s="1400"/>
      <c r="H601" s="1401"/>
      <c r="I601" s="1399"/>
      <c r="J601" s="1399"/>
      <c r="K601" s="1399"/>
      <c r="L601" s="1399"/>
    </row>
    <row r="602" spans="1:12" ht="27.95" customHeight="1">
      <c r="B602" s="1400"/>
      <c r="C602" s="1400"/>
      <c r="D602" s="1400"/>
      <c r="E602" s="1400"/>
      <c r="F602" s="1400"/>
      <c r="G602" s="1400"/>
      <c r="H602" s="1399"/>
      <c r="I602" s="1399"/>
      <c r="J602" s="1399"/>
      <c r="K602" s="1399"/>
      <c r="L602" s="1399"/>
    </row>
    <row r="603" spans="1:12" ht="27.95" customHeight="1">
      <c r="B603" s="176"/>
      <c r="C603" s="172"/>
      <c r="D603" s="172"/>
      <c r="E603" s="172"/>
      <c r="F603" s="172"/>
      <c r="G603" s="172"/>
      <c r="H603" s="161"/>
      <c r="I603" s="161"/>
      <c r="J603" s="161"/>
      <c r="K603" s="161"/>
      <c r="L603" s="161"/>
    </row>
    <row r="604" spans="1:12" ht="27.95" customHeight="1">
      <c r="B604" s="176"/>
      <c r="C604" s="172"/>
      <c r="D604" s="172"/>
      <c r="E604" s="172"/>
      <c r="F604" s="172"/>
      <c r="G604" s="172"/>
      <c r="H604" s="161"/>
      <c r="I604" s="161"/>
      <c r="J604" s="161"/>
      <c r="K604" s="161"/>
      <c r="L604" s="161"/>
    </row>
    <row r="605" spans="1:12" ht="27.95" customHeight="1">
      <c r="B605" s="176"/>
      <c r="C605" s="172"/>
      <c r="D605" s="172"/>
      <c r="E605" s="172"/>
      <c r="F605" s="172"/>
      <c r="G605" s="172"/>
      <c r="H605" s="161"/>
      <c r="I605" s="161"/>
      <c r="J605" s="162"/>
      <c r="K605" s="161"/>
      <c r="L605" s="161"/>
    </row>
    <row r="606" spans="1:12" ht="27.95" customHeight="1">
      <c r="B606" s="176"/>
      <c r="C606" s="172"/>
      <c r="D606" s="172"/>
      <c r="E606" s="172"/>
      <c r="F606" s="172"/>
      <c r="G606" s="172"/>
      <c r="H606" s="161"/>
      <c r="I606" s="161"/>
      <c r="J606" s="161"/>
      <c r="K606" s="161"/>
      <c r="L606" s="161"/>
    </row>
    <row r="607" spans="1:12" ht="27.95" customHeight="1">
      <c r="B607" s="176"/>
      <c r="C607" s="172"/>
      <c r="D607" s="172"/>
      <c r="E607" s="172"/>
      <c r="F607" s="172"/>
      <c r="G607" s="172"/>
      <c r="H607" s="161"/>
      <c r="I607" s="161"/>
      <c r="J607" s="162"/>
      <c r="K607" s="161"/>
      <c r="L607" s="161"/>
    </row>
    <row r="608" spans="1:12" ht="27.95" customHeight="1">
      <c r="B608" s="176"/>
      <c r="C608" s="172"/>
      <c r="D608" s="161"/>
      <c r="E608" s="162"/>
      <c r="F608" s="161"/>
      <c r="G608" s="162"/>
      <c r="H608" s="161"/>
      <c r="I608" s="162"/>
      <c r="J608" s="161"/>
      <c r="K608" s="162"/>
      <c r="L608" s="162"/>
    </row>
    <row r="609" spans="2:12" ht="27.95" customHeight="1">
      <c r="B609" s="176"/>
      <c r="C609" s="172"/>
      <c r="D609" s="172"/>
      <c r="E609" s="172"/>
      <c r="F609" s="172"/>
      <c r="G609" s="172"/>
      <c r="H609" s="161"/>
      <c r="I609" s="161"/>
      <c r="J609" s="245"/>
      <c r="K609" s="161"/>
      <c r="L609" s="161"/>
    </row>
    <row r="610" spans="2:12" ht="27.95" customHeight="1">
      <c r="B610" s="176"/>
      <c r="C610" s="2"/>
      <c r="D610" s="2"/>
      <c r="E610" s="2"/>
      <c r="F610" s="2"/>
      <c r="G610" s="2"/>
    </row>
    <row r="611" spans="2:12" ht="27.95" customHeight="1">
      <c r="B611" s="176"/>
      <c r="C611" s="2"/>
      <c r="D611" s="2"/>
      <c r="E611" s="2"/>
      <c r="F611" s="2"/>
      <c r="G611" s="2"/>
    </row>
    <row r="614" spans="2:12" ht="32.25">
      <c r="B614" s="1406"/>
      <c r="C614" s="1274"/>
      <c r="D614" s="1274"/>
      <c r="E614" s="1274"/>
      <c r="F614" s="1274"/>
      <c r="G614" s="1274"/>
      <c r="H614" s="1274"/>
      <c r="I614" s="1274"/>
      <c r="J614" s="1274"/>
      <c r="K614" s="1274"/>
      <c r="L614" s="1274"/>
    </row>
    <row r="615" spans="2:12" ht="23.25">
      <c r="B615" s="1407"/>
      <c r="C615" s="1407"/>
      <c r="D615" s="1407"/>
      <c r="E615" s="1407"/>
      <c r="F615" s="1407"/>
      <c r="G615" s="1407"/>
      <c r="H615" s="1407"/>
      <c r="I615" s="1407"/>
      <c r="J615" s="1407"/>
      <c r="K615" s="1407"/>
      <c r="L615" s="1407"/>
    </row>
    <row r="616" spans="2:12" ht="15.75">
      <c r="B616" s="1403"/>
      <c r="C616" s="1403"/>
      <c r="D616" s="1403"/>
      <c r="E616" s="1403"/>
      <c r="F616" s="1403"/>
      <c r="G616" s="1403"/>
      <c r="H616" s="1403"/>
      <c r="I616" s="1403"/>
      <c r="J616" s="1403"/>
      <c r="K616" s="1403"/>
      <c r="L616" s="1403"/>
    </row>
    <row r="617" spans="2:12" ht="15" customHeight="1">
      <c r="B617" s="1404"/>
      <c r="C617" s="1404"/>
      <c r="D617" s="1404"/>
      <c r="E617" s="1404"/>
      <c r="F617" s="1404"/>
      <c r="H617" s="1397"/>
      <c r="I617" s="1397"/>
      <c r="J617" s="1397"/>
      <c r="K617" s="1397"/>
      <c r="L617" s="1397"/>
    </row>
    <row r="618" spans="2:12">
      <c r="B618" s="1404"/>
      <c r="C618" s="1404"/>
      <c r="D618" s="1404"/>
      <c r="E618" s="1404"/>
      <c r="F618" s="1404"/>
      <c r="H618" s="1397"/>
      <c r="I618" s="1397"/>
      <c r="J618" s="1397"/>
      <c r="K618" s="1397"/>
      <c r="L618" s="1397"/>
    </row>
    <row r="620" spans="2:12">
      <c r="B620" s="2"/>
      <c r="H620" s="2"/>
    </row>
    <row r="622" spans="2:12">
      <c r="B622" s="2"/>
      <c r="H622" s="2"/>
    </row>
    <row r="625" spans="1:12">
      <c r="B625" s="1405"/>
      <c r="C625" s="1405"/>
      <c r="D625" s="1405"/>
      <c r="E625" s="1405"/>
      <c r="F625" s="1405"/>
      <c r="H625" s="1405"/>
      <c r="I625" s="1405"/>
      <c r="J625" s="1405"/>
      <c r="K625" s="1405"/>
      <c r="L625" s="1405"/>
    </row>
    <row r="627" spans="1:12">
      <c r="H627" s="2"/>
      <c r="I627" s="2"/>
      <c r="J627" s="2"/>
      <c r="K627" s="2"/>
      <c r="L627" s="2"/>
    </row>
    <row r="628" spans="1:12">
      <c r="H628" s="2"/>
      <c r="I628" s="2"/>
      <c r="J628" s="2"/>
      <c r="K628" s="2"/>
      <c r="L628" s="2"/>
    </row>
    <row r="629" spans="1:12">
      <c r="B629" s="2"/>
      <c r="H629" s="2"/>
      <c r="I629" s="2"/>
      <c r="J629" s="2"/>
      <c r="K629" s="2"/>
      <c r="L629" s="2"/>
    </row>
    <row r="630" spans="1:12">
      <c r="H630" s="2"/>
      <c r="I630" s="2"/>
      <c r="J630" s="2"/>
      <c r="K630" s="2"/>
      <c r="L630" s="2"/>
    </row>
    <row r="631" spans="1:12">
      <c r="H631" s="2"/>
      <c r="I631" s="2"/>
      <c r="J631" s="2"/>
      <c r="K631" s="2"/>
      <c r="L631" s="2"/>
    </row>
    <row r="632" spans="1:12" ht="27.95" customHeight="1">
      <c r="A632" s="12"/>
      <c r="B632" s="1400"/>
      <c r="C632" s="1400"/>
      <c r="D632" s="1400"/>
      <c r="E632" s="1400"/>
      <c r="F632" s="1400"/>
      <c r="G632" s="1400"/>
      <c r="H632" s="1398"/>
      <c r="I632" s="1399"/>
      <c r="J632" s="1399"/>
      <c r="K632" s="1399"/>
      <c r="L632" s="1399"/>
    </row>
    <row r="633" spans="1:12" ht="27.95" customHeight="1">
      <c r="A633" s="12"/>
      <c r="B633" s="1397"/>
      <c r="C633" s="1397"/>
      <c r="D633" s="1397"/>
      <c r="E633" s="1397"/>
      <c r="F633" s="1397"/>
      <c r="G633" s="1397"/>
      <c r="H633" s="1398"/>
      <c r="I633" s="1399"/>
      <c r="J633" s="1399"/>
      <c r="K633" s="1399"/>
      <c r="L633" s="1399"/>
    </row>
    <row r="634" spans="1:12" ht="27.95" customHeight="1">
      <c r="A634" s="12"/>
      <c r="B634" s="1400"/>
      <c r="C634" s="1400"/>
      <c r="D634" s="1400"/>
      <c r="E634" s="1400"/>
      <c r="F634" s="1400"/>
      <c r="G634" s="1400"/>
      <c r="H634" s="1398"/>
      <c r="I634" s="1399"/>
      <c r="J634" s="1399"/>
      <c r="K634" s="1399"/>
      <c r="L634" s="1399"/>
    </row>
    <row r="635" spans="1:12" ht="27.95" customHeight="1">
      <c r="A635" s="12"/>
      <c r="B635" s="1400"/>
      <c r="C635" s="1400"/>
      <c r="D635" s="1400"/>
      <c r="E635" s="1400"/>
      <c r="F635" s="1400"/>
      <c r="G635" s="1400"/>
      <c r="H635" s="1402"/>
      <c r="I635" s="1399"/>
      <c r="J635" s="1399"/>
      <c r="K635" s="1399"/>
      <c r="L635" s="1399"/>
    </row>
    <row r="636" spans="1:12" ht="27.95" customHeight="1">
      <c r="A636" s="12"/>
      <c r="B636" s="176"/>
      <c r="C636" s="172"/>
      <c r="D636" s="172"/>
      <c r="E636" s="172"/>
      <c r="F636" s="172"/>
      <c r="G636" s="172"/>
      <c r="H636" s="161"/>
      <c r="I636" s="12"/>
      <c r="J636" s="154"/>
      <c r="K636" s="161"/>
      <c r="L636" s="161"/>
    </row>
    <row r="637" spans="1:12" ht="27.95" customHeight="1">
      <c r="A637" s="12"/>
      <c r="B637" s="176"/>
      <c r="C637" s="172"/>
      <c r="D637" s="172"/>
      <c r="E637" s="172"/>
      <c r="F637" s="172"/>
      <c r="G637" s="172"/>
      <c r="H637" s="161"/>
      <c r="I637" s="161"/>
      <c r="J637" s="154"/>
      <c r="K637" s="161"/>
      <c r="L637" s="161"/>
    </row>
    <row r="638" spans="1:12" ht="27.95" customHeight="1">
      <c r="A638" s="12"/>
      <c r="B638" s="1397"/>
      <c r="C638" s="1397"/>
      <c r="D638" s="1397"/>
      <c r="E638" s="1397"/>
      <c r="F638" s="1397"/>
      <c r="G638" s="1397"/>
      <c r="H638" s="1398"/>
      <c r="I638" s="1399"/>
      <c r="J638" s="1399"/>
      <c r="K638" s="1399"/>
      <c r="L638" s="1399"/>
    </row>
    <row r="639" spans="1:12" ht="27.95" customHeight="1">
      <c r="A639" s="12"/>
      <c r="B639" s="1400"/>
      <c r="C639" s="1400"/>
      <c r="D639" s="1400"/>
      <c r="E639" s="1400"/>
      <c r="F639" s="1400"/>
      <c r="G639" s="1400"/>
      <c r="H639" s="1401"/>
      <c r="I639" s="1399"/>
      <c r="J639" s="1399"/>
      <c r="K639" s="1399"/>
      <c r="L639" s="1399"/>
    </row>
    <row r="640" spans="1:12" ht="27.95" customHeight="1">
      <c r="B640" s="1400"/>
      <c r="C640" s="1400"/>
      <c r="D640" s="1400"/>
      <c r="E640" s="1400"/>
      <c r="F640" s="1400"/>
      <c r="G640" s="1400"/>
      <c r="H640" s="1399"/>
      <c r="I640" s="1399"/>
      <c r="J640" s="1399"/>
      <c r="K640" s="1399"/>
      <c r="L640" s="1399"/>
    </row>
    <row r="641" spans="2:12" ht="27.95" customHeight="1">
      <c r="B641" s="176"/>
      <c r="C641" s="172"/>
      <c r="D641" s="172"/>
      <c r="E641" s="172"/>
      <c r="F641" s="172"/>
      <c r="G641" s="172"/>
      <c r="H641" s="161"/>
      <c r="I641" s="161"/>
      <c r="J641" s="161"/>
      <c r="K641" s="161"/>
      <c r="L641" s="161"/>
    </row>
    <row r="642" spans="2:12" ht="27.95" customHeight="1">
      <c r="B642" s="176"/>
      <c r="C642" s="172"/>
      <c r="D642" s="172"/>
      <c r="E642" s="172"/>
      <c r="F642" s="172"/>
      <c r="G642" s="172"/>
      <c r="H642" s="161"/>
      <c r="I642" s="161"/>
      <c r="J642" s="161"/>
      <c r="K642" s="161"/>
      <c r="L642" s="161"/>
    </row>
    <row r="643" spans="2:12" ht="27.95" customHeight="1">
      <c r="B643" s="176"/>
      <c r="C643" s="172"/>
      <c r="D643" s="172"/>
      <c r="E643" s="172"/>
      <c r="F643" s="172"/>
      <c r="G643" s="172"/>
      <c r="H643" s="161"/>
      <c r="I643" s="161"/>
      <c r="J643" s="162"/>
      <c r="K643" s="161"/>
      <c r="L643" s="161"/>
    </row>
    <row r="644" spans="2:12" ht="27.95" customHeight="1">
      <c r="B644" s="176"/>
      <c r="C644" s="172"/>
      <c r="D644" s="172"/>
      <c r="E644" s="172"/>
      <c r="F644" s="172"/>
      <c r="G644" s="172"/>
      <c r="H644" s="161"/>
      <c r="I644" s="161"/>
      <c r="J644" s="161"/>
      <c r="K644" s="161"/>
      <c r="L644" s="161"/>
    </row>
    <row r="645" spans="2:12" ht="27.95" customHeight="1">
      <c r="B645" s="176"/>
      <c r="C645" s="172"/>
      <c r="D645" s="172"/>
      <c r="E645" s="172"/>
      <c r="F645" s="172"/>
      <c r="G645" s="172"/>
      <c r="H645" s="161"/>
      <c r="I645" s="161"/>
      <c r="J645" s="162"/>
      <c r="K645" s="161"/>
      <c r="L645" s="161"/>
    </row>
    <row r="646" spans="2:12" ht="27.95" customHeight="1">
      <c r="B646" s="176"/>
      <c r="C646" s="172"/>
      <c r="D646" s="161"/>
      <c r="E646" s="162"/>
      <c r="F646" s="161"/>
      <c r="G646" s="162"/>
      <c r="H646" s="161"/>
      <c r="I646" s="162"/>
      <c r="J646" s="161"/>
      <c r="K646" s="162"/>
      <c r="L646" s="162"/>
    </row>
    <row r="647" spans="2:12" ht="27.95" customHeight="1">
      <c r="B647" s="176"/>
      <c r="C647" s="172"/>
      <c r="D647" s="172"/>
      <c r="E647" s="172"/>
      <c r="F647" s="172"/>
      <c r="G647" s="172"/>
      <c r="H647" s="161"/>
      <c r="I647" s="161"/>
      <c r="J647" s="245"/>
      <c r="K647" s="161"/>
      <c r="L647" s="161"/>
    </row>
    <row r="648" spans="2:12" ht="27.95" customHeight="1">
      <c r="B648" s="176"/>
      <c r="C648" s="2"/>
      <c r="D648" s="2"/>
      <c r="E648" s="2"/>
      <c r="F648" s="2"/>
      <c r="G648" s="2"/>
    </row>
    <row r="649" spans="2:12" ht="27.95" customHeight="1">
      <c r="B649" s="176"/>
      <c r="C649" s="2"/>
      <c r="D649" s="2"/>
      <c r="E649" s="2"/>
      <c r="F649" s="2"/>
      <c r="G649" s="2"/>
    </row>
    <row r="653" spans="2:12" ht="32.25">
      <c r="B653" s="1406"/>
      <c r="C653" s="1274"/>
      <c r="D653" s="1274"/>
      <c r="E653" s="1274"/>
      <c r="F653" s="1274"/>
      <c r="G653" s="1274"/>
      <c r="H653" s="1274"/>
      <c r="I653" s="1274"/>
      <c r="J653" s="1274"/>
      <c r="K653" s="1274"/>
      <c r="L653" s="1274"/>
    </row>
    <row r="654" spans="2:12" ht="23.25">
      <c r="B654" s="1407"/>
      <c r="C654" s="1407"/>
      <c r="D654" s="1407"/>
      <c r="E654" s="1407"/>
      <c r="F654" s="1407"/>
      <c r="G654" s="1407"/>
      <c r="H654" s="1407"/>
      <c r="I654" s="1407"/>
      <c r="J654" s="1407"/>
      <c r="K654" s="1407"/>
      <c r="L654" s="1407"/>
    </row>
    <row r="655" spans="2:12" ht="15.75">
      <c r="B655" s="1403"/>
      <c r="C655" s="1403"/>
      <c r="D655" s="1403"/>
      <c r="E655" s="1403"/>
      <c r="F655" s="1403"/>
      <c r="G655" s="1403"/>
      <c r="H655" s="1403"/>
      <c r="I655" s="1403"/>
      <c r="J655" s="1403"/>
      <c r="K655" s="1403"/>
      <c r="L655" s="1403"/>
    </row>
    <row r="656" spans="2:12" ht="15" customHeight="1">
      <c r="B656" s="1404"/>
      <c r="C656" s="1404"/>
      <c r="D656" s="1404"/>
      <c r="E656" s="1404"/>
      <c r="F656" s="1404"/>
      <c r="H656" s="1397"/>
      <c r="I656" s="1397"/>
      <c r="J656" s="1397"/>
      <c r="K656" s="1397"/>
      <c r="L656" s="1397"/>
    </row>
    <row r="657" spans="1:12">
      <c r="B657" s="1404"/>
      <c r="C657" s="1404"/>
      <c r="D657" s="1404"/>
      <c r="E657" s="1404"/>
      <c r="F657" s="1404"/>
      <c r="H657" s="1397"/>
      <c r="I657" s="1397"/>
      <c r="J657" s="1397"/>
      <c r="K657" s="1397"/>
      <c r="L657" s="1397"/>
    </row>
    <row r="659" spans="1:12">
      <c r="B659" s="2"/>
      <c r="H659" s="2"/>
    </row>
    <row r="661" spans="1:12">
      <c r="B661" s="2"/>
      <c r="H661" s="2"/>
    </row>
    <row r="664" spans="1:12">
      <c r="B664" s="1405"/>
      <c r="C664" s="1405"/>
      <c r="D664" s="1405"/>
      <c r="E664" s="1405"/>
      <c r="F664" s="1405"/>
      <c r="H664" s="1405"/>
      <c r="I664" s="1405"/>
      <c r="J664" s="1405"/>
      <c r="K664" s="1405"/>
      <c r="L664" s="1405"/>
    </row>
    <row r="666" spans="1:12">
      <c r="H666" s="2"/>
      <c r="I666" s="2"/>
      <c r="J666" s="2"/>
      <c r="K666" s="2"/>
      <c r="L666" s="2"/>
    </row>
    <row r="667" spans="1:12">
      <c r="H667" s="2"/>
      <c r="I667" s="2"/>
      <c r="J667" s="2"/>
      <c r="K667" s="2"/>
      <c r="L667" s="2"/>
    </row>
    <row r="668" spans="1:12">
      <c r="B668" s="2"/>
      <c r="H668" s="2"/>
      <c r="I668" s="2"/>
      <c r="J668" s="2"/>
      <c r="K668" s="2"/>
      <c r="L668" s="2"/>
    </row>
    <row r="669" spans="1:12">
      <c r="H669" s="2"/>
      <c r="I669" s="2"/>
      <c r="J669" s="2"/>
      <c r="K669" s="2"/>
      <c r="L669" s="2"/>
    </row>
    <row r="670" spans="1:12">
      <c r="H670" s="2"/>
      <c r="I670" s="2"/>
      <c r="J670" s="2"/>
      <c r="K670" s="2"/>
      <c r="L670" s="2"/>
    </row>
    <row r="671" spans="1:12" ht="27.95" customHeight="1">
      <c r="A671" s="12"/>
      <c r="B671" s="1400"/>
      <c r="C671" s="1400"/>
      <c r="D671" s="1400"/>
      <c r="E671" s="1400"/>
      <c r="F671" s="1400"/>
      <c r="G671" s="1400"/>
      <c r="H671" s="1398"/>
      <c r="I671" s="1399"/>
      <c r="J671" s="1399"/>
      <c r="K671" s="1399"/>
      <c r="L671" s="1399"/>
    </row>
    <row r="672" spans="1:12" ht="27.95" customHeight="1">
      <c r="A672" s="12"/>
      <c r="B672" s="1397"/>
      <c r="C672" s="1397"/>
      <c r="D672" s="1397"/>
      <c r="E672" s="1397"/>
      <c r="F672" s="1397"/>
      <c r="G672" s="1397"/>
      <c r="H672" s="1398"/>
      <c r="I672" s="1399"/>
      <c r="J672" s="1399"/>
      <c r="K672" s="1399"/>
      <c r="L672" s="1399"/>
    </row>
    <row r="673" spans="1:12" ht="27.95" customHeight="1">
      <c r="A673" s="12"/>
      <c r="B673" s="1400"/>
      <c r="C673" s="1400"/>
      <c r="D673" s="1400"/>
      <c r="E673" s="1400"/>
      <c r="F673" s="1400"/>
      <c r="G673" s="1400"/>
      <c r="H673" s="1398"/>
      <c r="I673" s="1399"/>
      <c r="J673" s="1399"/>
      <c r="K673" s="1399"/>
      <c r="L673" s="1399"/>
    </row>
    <row r="674" spans="1:12" ht="27.95" customHeight="1">
      <c r="A674" s="12"/>
      <c r="B674" s="1400"/>
      <c r="C674" s="1400"/>
      <c r="D674" s="1400"/>
      <c r="E674" s="1400"/>
      <c r="F674" s="1400"/>
      <c r="G674" s="1400"/>
      <c r="H674" s="1402"/>
      <c r="I674" s="1399"/>
      <c r="J674" s="1399"/>
      <c r="K674" s="1399"/>
      <c r="L674" s="1399"/>
    </row>
    <row r="675" spans="1:12" ht="27.95" customHeight="1">
      <c r="A675" s="12"/>
      <c r="B675" s="176"/>
      <c r="C675" s="172"/>
      <c r="D675" s="172"/>
      <c r="E675" s="172"/>
      <c r="F675" s="172"/>
      <c r="G675" s="172"/>
      <c r="H675" s="161"/>
      <c r="I675" s="12"/>
      <c r="J675" s="154"/>
      <c r="K675" s="161"/>
      <c r="L675" s="161"/>
    </row>
    <row r="676" spans="1:12" ht="27.95" customHeight="1">
      <c r="A676" s="12"/>
      <c r="B676" s="176"/>
      <c r="C676" s="172"/>
      <c r="D676" s="172"/>
      <c r="E676" s="172"/>
      <c r="F676" s="172"/>
      <c r="G676" s="172"/>
      <c r="H676" s="161"/>
      <c r="I676" s="161"/>
      <c r="J676" s="154"/>
      <c r="K676" s="161"/>
      <c r="L676" s="161"/>
    </row>
    <row r="677" spans="1:12" ht="27.95" customHeight="1">
      <c r="A677" s="12"/>
      <c r="B677" s="1397"/>
      <c r="C677" s="1397"/>
      <c r="D677" s="1397"/>
      <c r="E677" s="1397"/>
      <c r="F677" s="1397"/>
      <c r="G677" s="1397"/>
      <c r="H677" s="1398"/>
      <c r="I677" s="1399"/>
      <c r="J677" s="1399"/>
      <c r="K677" s="1399"/>
      <c r="L677" s="1399"/>
    </row>
    <row r="678" spans="1:12" ht="27.95" customHeight="1">
      <c r="A678" s="12"/>
      <c r="B678" s="1400"/>
      <c r="C678" s="1400"/>
      <c r="D678" s="1400"/>
      <c r="E678" s="1400"/>
      <c r="F678" s="1400"/>
      <c r="G678" s="1400"/>
      <c r="H678" s="1401"/>
      <c r="I678" s="1399"/>
      <c r="J678" s="1399"/>
      <c r="K678" s="1399"/>
      <c r="L678" s="1399"/>
    </row>
    <row r="679" spans="1:12" ht="27.95" customHeight="1">
      <c r="B679" s="1400"/>
      <c r="C679" s="1400"/>
      <c r="D679" s="1400"/>
      <c r="E679" s="1400"/>
      <c r="F679" s="1400"/>
      <c r="G679" s="1400"/>
      <c r="H679" s="1399"/>
      <c r="I679" s="1399"/>
      <c r="J679" s="1399"/>
      <c r="K679" s="1399"/>
      <c r="L679" s="1399"/>
    </row>
    <row r="680" spans="1:12" ht="27.95" customHeight="1">
      <c r="B680" s="176"/>
      <c r="C680" s="172"/>
      <c r="D680" s="172"/>
      <c r="E680" s="172"/>
      <c r="F680" s="172"/>
      <c r="G680" s="172"/>
      <c r="H680" s="161"/>
      <c r="I680" s="161"/>
      <c r="J680" s="161"/>
      <c r="K680" s="161"/>
      <c r="L680" s="161"/>
    </row>
    <row r="681" spans="1:12" ht="27.95" customHeight="1">
      <c r="B681" s="176"/>
      <c r="C681" s="172"/>
      <c r="D681" s="172"/>
      <c r="E681" s="172"/>
      <c r="F681" s="172"/>
      <c r="G681" s="172"/>
      <c r="H681" s="161"/>
      <c r="I681" s="161"/>
      <c r="J681" s="161"/>
      <c r="K681" s="161"/>
      <c r="L681" s="161"/>
    </row>
    <row r="682" spans="1:12" ht="27.95" customHeight="1">
      <c r="B682" s="176"/>
      <c r="C682" s="172"/>
      <c r="D682" s="172"/>
      <c r="E682" s="172"/>
      <c r="F682" s="172"/>
      <c r="G682" s="172"/>
      <c r="H682" s="161"/>
      <c r="I682" s="161"/>
      <c r="J682" s="162"/>
      <c r="K682" s="161"/>
      <c r="L682" s="161"/>
    </row>
    <row r="683" spans="1:12" ht="27.95" customHeight="1">
      <c r="B683" s="176"/>
      <c r="C683" s="172"/>
      <c r="D683" s="172"/>
      <c r="E683" s="172"/>
      <c r="F683" s="172"/>
      <c r="G683" s="172"/>
      <c r="H683" s="161"/>
      <c r="I683" s="161"/>
      <c r="J683" s="161"/>
      <c r="K683" s="161"/>
      <c r="L683" s="161"/>
    </row>
    <row r="684" spans="1:12" ht="27.95" customHeight="1">
      <c r="B684" s="176"/>
      <c r="C684" s="172"/>
      <c r="D684" s="172"/>
      <c r="E684" s="172"/>
      <c r="F684" s="172"/>
      <c r="G684" s="172"/>
      <c r="H684" s="161"/>
      <c r="I684" s="161"/>
      <c r="J684" s="162"/>
      <c r="K684" s="161"/>
      <c r="L684" s="161"/>
    </row>
    <row r="685" spans="1:12" ht="27.95" customHeight="1">
      <c r="B685" s="176"/>
      <c r="C685" s="172"/>
      <c r="D685" s="161"/>
      <c r="E685" s="162"/>
      <c r="F685" s="161"/>
      <c r="G685" s="162"/>
      <c r="H685" s="161"/>
      <c r="I685" s="162"/>
      <c r="J685" s="161"/>
      <c r="K685" s="162"/>
      <c r="L685" s="162"/>
    </row>
    <row r="686" spans="1:12" ht="27.95" customHeight="1">
      <c r="B686" s="176"/>
      <c r="C686" s="172"/>
      <c r="D686" s="172"/>
      <c r="E686" s="172"/>
      <c r="F686" s="172"/>
      <c r="G686" s="172"/>
      <c r="H686" s="161"/>
      <c r="I686" s="161"/>
      <c r="J686" s="245"/>
      <c r="K686" s="161"/>
      <c r="L686" s="161"/>
    </row>
    <row r="687" spans="1:12" ht="27.95" customHeight="1">
      <c r="B687" s="176"/>
      <c r="C687" s="2"/>
      <c r="D687" s="2"/>
      <c r="E687" s="2"/>
      <c r="F687" s="2"/>
      <c r="G687" s="2"/>
    </row>
    <row r="688" spans="1:12" ht="27.95" customHeight="1">
      <c r="B688" s="176"/>
      <c r="C688" s="2"/>
      <c r="D688" s="2"/>
      <c r="E688" s="2"/>
      <c r="F688" s="2"/>
      <c r="G688" s="2"/>
    </row>
    <row r="692" spans="2:12" ht="32.25">
      <c r="B692" s="1406"/>
      <c r="C692" s="1274"/>
      <c r="D692" s="1274"/>
      <c r="E692" s="1274"/>
      <c r="F692" s="1274"/>
      <c r="G692" s="1274"/>
      <c r="H692" s="1274"/>
      <c r="I692" s="1274"/>
      <c r="J692" s="1274"/>
      <c r="K692" s="1274"/>
      <c r="L692" s="1274"/>
    </row>
    <row r="693" spans="2:12" ht="23.25">
      <c r="B693" s="1407"/>
      <c r="C693" s="1407"/>
      <c r="D693" s="1407"/>
      <c r="E693" s="1407"/>
      <c r="F693" s="1407"/>
      <c r="G693" s="1407"/>
      <c r="H693" s="1407"/>
      <c r="I693" s="1407"/>
      <c r="J693" s="1407"/>
      <c r="K693" s="1407"/>
      <c r="L693" s="1407"/>
    </row>
    <row r="694" spans="2:12" ht="15.75">
      <c r="B694" s="1403"/>
      <c r="C694" s="1403"/>
      <c r="D694" s="1403"/>
      <c r="E694" s="1403"/>
      <c r="F694" s="1403"/>
      <c r="G694" s="1403"/>
      <c r="H694" s="1403"/>
      <c r="I694" s="1403"/>
      <c r="J694" s="1403"/>
      <c r="K694" s="1403"/>
      <c r="L694" s="1403"/>
    </row>
    <row r="695" spans="2:12" ht="15" customHeight="1">
      <c r="B695" s="1404"/>
      <c r="C695" s="1404"/>
      <c r="D695" s="1404"/>
      <c r="E695" s="1404"/>
      <c r="F695" s="1404"/>
      <c r="H695" s="1397"/>
      <c r="I695" s="1397"/>
      <c r="J695" s="1397"/>
      <c r="K695" s="1397"/>
      <c r="L695" s="1397"/>
    </row>
    <row r="696" spans="2:12">
      <c r="B696" s="1404"/>
      <c r="C696" s="1404"/>
      <c r="D696" s="1404"/>
      <c r="E696" s="1404"/>
      <c r="F696" s="1404"/>
      <c r="H696" s="1397"/>
      <c r="I696" s="1397"/>
      <c r="J696" s="1397"/>
      <c r="K696" s="1397"/>
      <c r="L696" s="1397"/>
    </row>
    <row r="698" spans="2:12">
      <c r="B698" s="2"/>
      <c r="H698" s="2"/>
    </row>
    <row r="700" spans="2:12">
      <c r="B700" s="2"/>
      <c r="H700" s="2"/>
    </row>
    <row r="703" spans="2:12">
      <c r="B703" s="1405"/>
      <c r="C703" s="1405"/>
      <c r="D703" s="1405"/>
      <c r="E703" s="1405"/>
      <c r="F703" s="1405"/>
      <c r="H703" s="1405"/>
      <c r="I703" s="1405"/>
      <c r="J703" s="1405"/>
      <c r="K703" s="1405"/>
      <c r="L703" s="1405"/>
    </row>
    <row r="705" spans="1:12">
      <c r="H705" s="2"/>
      <c r="I705" s="2"/>
      <c r="J705" s="2"/>
      <c r="K705" s="2"/>
      <c r="L705" s="2"/>
    </row>
    <row r="706" spans="1:12">
      <c r="H706" s="2"/>
      <c r="I706" s="2"/>
      <c r="J706" s="2"/>
      <c r="K706" s="2"/>
      <c r="L706" s="2"/>
    </row>
    <row r="707" spans="1:12">
      <c r="B707" s="2"/>
      <c r="H707" s="2"/>
      <c r="I707" s="2"/>
      <c r="J707" s="2"/>
      <c r="K707" s="2"/>
      <c r="L707" s="2"/>
    </row>
    <row r="708" spans="1:12">
      <c r="H708" s="2"/>
      <c r="I708" s="2"/>
      <c r="J708" s="2"/>
      <c r="K708" s="2"/>
      <c r="L708" s="2"/>
    </row>
    <row r="709" spans="1:12">
      <c r="H709" s="2"/>
      <c r="I709" s="2"/>
      <c r="J709" s="2"/>
      <c r="K709" s="2"/>
      <c r="L709" s="2"/>
    </row>
    <row r="710" spans="1:12" ht="27.95" customHeight="1">
      <c r="A710" s="12"/>
      <c r="B710" s="1400"/>
      <c r="C710" s="1400"/>
      <c r="D710" s="1400"/>
      <c r="E710" s="1400"/>
      <c r="F710" s="1400"/>
      <c r="G710" s="1400"/>
      <c r="H710" s="1398"/>
      <c r="I710" s="1399"/>
      <c r="J710" s="1399"/>
      <c r="K710" s="1399"/>
      <c r="L710" s="1399"/>
    </row>
    <row r="711" spans="1:12" ht="27.95" customHeight="1">
      <c r="A711" s="12"/>
      <c r="B711" s="1397"/>
      <c r="C711" s="1397"/>
      <c r="D711" s="1397"/>
      <c r="E711" s="1397"/>
      <c r="F711" s="1397"/>
      <c r="G711" s="1397"/>
      <c r="H711" s="1398"/>
      <c r="I711" s="1399"/>
      <c r="J711" s="1399"/>
      <c r="K711" s="1399"/>
      <c r="L711" s="1399"/>
    </row>
    <row r="712" spans="1:12" ht="27.95" customHeight="1">
      <c r="A712" s="12"/>
      <c r="B712" s="1400"/>
      <c r="C712" s="1400"/>
      <c r="D712" s="1400"/>
      <c r="E712" s="1400"/>
      <c r="F712" s="1400"/>
      <c r="G712" s="1400"/>
      <c r="H712" s="1398"/>
      <c r="I712" s="1399"/>
      <c r="J712" s="1399"/>
      <c r="K712" s="1399"/>
      <c r="L712" s="1399"/>
    </row>
    <row r="713" spans="1:12" ht="27.95" customHeight="1">
      <c r="A713" s="12"/>
      <c r="B713" s="1400"/>
      <c r="C713" s="1400"/>
      <c r="D713" s="1400"/>
      <c r="E713" s="1400"/>
      <c r="F713" s="1400"/>
      <c r="G713" s="1400"/>
      <c r="H713" s="1402"/>
      <c r="I713" s="1399"/>
      <c r="J713" s="1399"/>
      <c r="K713" s="1399"/>
      <c r="L713" s="1399"/>
    </row>
    <row r="714" spans="1:12" ht="27.95" customHeight="1">
      <c r="A714" s="12"/>
      <c r="B714" s="176"/>
      <c r="C714" s="172"/>
      <c r="D714" s="172"/>
      <c r="E714" s="172"/>
      <c r="F714" s="172"/>
      <c r="G714" s="172"/>
      <c r="H714" s="161"/>
      <c r="I714" s="12"/>
      <c r="J714" s="154"/>
      <c r="K714" s="161"/>
      <c r="L714" s="161"/>
    </row>
    <row r="715" spans="1:12" ht="27.95" customHeight="1">
      <c r="A715" s="12"/>
      <c r="B715" s="176"/>
      <c r="C715" s="172"/>
      <c r="D715" s="172"/>
      <c r="E715" s="172"/>
      <c r="F715" s="172"/>
      <c r="G715" s="172"/>
      <c r="H715" s="161"/>
      <c r="I715" s="161"/>
      <c r="J715" s="154"/>
      <c r="K715" s="161"/>
      <c r="L715" s="161"/>
    </row>
    <row r="716" spans="1:12" ht="27.95" customHeight="1">
      <c r="A716" s="12"/>
      <c r="B716" s="1397"/>
      <c r="C716" s="1397"/>
      <c r="D716" s="1397"/>
      <c r="E716" s="1397"/>
      <c r="F716" s="1397"/>
      <c r="G716" s="1397"/>
      <c r="H716" s="1398"/>
      <c r="I716" s="1399"/>
      <c r="J716" s="1399"/>
      <c r="K716" s="1399"/>
      <c r="L716" s="1399"/>
    </row>
    <row r="717" spans="1:12" ht="27.95" customHeight="1">
      <c r="A717" s="12"/>
      <c r="B717" s="1400"/>
      <c r="C717" s="1400"/>
      <c r="D717" s="1400"/>
      <c r="E717" s="1400"/>
      <c r="F717" s="1400"/>
      <c r="G717" s="1400"/>
      <c r="H717" s="1401"/>
      <c r="I717" s="1399"/>
      <c r="J717" s="1399"/>
      <c r="K717" s="1399"/>
      <c r="L717" s="1399"/>
    </row>
    <row r="718" spans="1:12" ht="27.95" customHeight="1">
      <c r="B718" s="1400"/>
      <c r="C718" s="1400"/>
      <c r="D718" s="1400"/>
      <c r="E718" s="1400"/>
      <c r="F718" s="1400"/>
      <c r="G718" s="1400"/>
      <c r="H718" s="1399"/>
      <c r="I718" s="1399"/>
      <c r="J718" s="1399"/>
      <c r="K718" s="1399"/>
      <c r="L718" s="1399"/>
    </row>
    <row r="719" spans="1:12" ht="27.95" customHeight="1">
      <c r="B719" s="176"/>
      <c r="C719" s="172"/>
      <c r="D719" s="172"/>
      <c r="E719" s="172"/>
      <c r="F719" s="172"/>
      <c r="G719" s="172"/>
      <c r="H719" s="161"/>
      <c r="I719" s="161"/>
      <c r="J719" s="161"/>
      <c r="K719" s="161"/>
      <c r="L719" s="161"/>
    </row>
    <row r="720" spans="1:12" ht="27.95" customHeight="1">
      <c r="B720" s="176"/>
      <c r="C720" s="172"/>
      <c r="D720" s="172"/>
      <c r="E720" s="172"/>
      <c r="F720" s="172"/>
      <c r="G720" s="172"/>
      <c r="H720" s="161"/>
      <c r="I720" s="161"/>
      <c r="J720" s="161"/>
      <c r="K720" s="161"/>
      <c r="L720" s="161"/>
    </row>
    <row r="721" spans="2:12" ht="27.95" customHeight="1">
      <c r="B721" s="176"/>
      <c r="C721" s="172"/>
      <c r="D721" s="172"/>
      <c r="E721" s="172"/>
      <c r="F721" s="172"/>
      <c r="G721" s="172"/>
      <c r="H721" s="161"/>
      <c r="I721" s="161"/>
      <c r="J721" s="162"/>
      <c r="K721" s="161"/>
      <c r="L721" s="161"/>
    </row>
    <row r="722" spans="2:12" ht="27.95" customHeight="1">
      <c r="B722" s="176"/>
      <c r="C722" s="172"/>
      <c r="D722" s="172"/>
      <c r="E722" s="172"/>
      <c r="F722" s="172"/>
      <c r="G722" s="172"/>
      <c r="H722" s="161"/>
      <c r="I722" s="161"/>
      <c r="J722" s="161"/>
      <c r="K722" s="161"/>
      <c r="L722" s="161"/>
    </row>
    <row r="723" spans="2:12" ht="27.95" customHeight="1">
      <c r="B723" s="176"/>
      <c r="C723" s="172"/>
      <c r="D723" s="172"/>
      <c r="E723" s="172"/>
      <c r="F723" s="172"/>
      <c r="G723" s="172"/>
      <c r="H723" s="161"/>
      <c r="I723" s="161"/>
      <c r="J723" s="162"/>
      <c r="K723" s="161"/>
      <c r="L723" s="161"/>
    </row>
    <row r="724" spans="2:12" ht="27.95" customHeight="1">
      <c r="B724" s="176"/>
      <c r="C724" s="172"/>
      <c r="D724" s="161"/>
      <c r="E724" s="162"/>
      <c r="F724" s="161"/>
      <c r="G724" s="162"/>
      <c r="H724" s="161"/>
      <c r="I724" s="162"/>
      <c r="J724" s="161"/>
      <c r="K724" s="162"/>
      <c r="L724" s="162"/>
    </row>
    <row r="725" spans="2:12" ht="27.95" customHeight="1">
      <c r="B725" s="176"/>
      <c r="C725" s="172"/>
      <c r="D725" s="172"/>
      <c r="E725" s="172"/>
      <c r="F725" s="172"/>
      <c r="G725" s="172"/>
      <c r="H725" s="161"/>
      <c r="I725" s="161"/>
      <c r="J725" s="245"/>
      <c r="K725" s="161"/>
      <c r="L725" s="161"/>
    </row>
    <row r="726" spans="2:12" ht="27.95" customHeight="1">
      <c r="B726" s="176"/>
      <c r="C726" s="2"/>
      <c r="D726" s="2"/>
      <c r="E726" s="2"/>
      <c r="F726" s="2"/>
      <c r="G726" s="2"/>
    </row>
    <row r="727" spans="2:12" ht="27.95" customHeight="1">
      <c r="B727" s="176"/>
      <c r="C727" s="2"/>
      <c r="D727" s="2"/>
      <c r="E727" s="2"/>
      <c r="F727" s="2"/>
      <c r="G727" s="2"/>
    </row>
    <row r="731" spans="2:12" ht="32.25">
      <c r="B731" s="1406"/>
      <c r="C731" s="1274"/>
      <c r="D731" s="1274"/>
      <c r="E731" s="1274"/>
      <c r="F731" s="1274"/>
      <c r="G731" s="1274"/>
      <c r="H731" s="1274"/>
      <c r="I731" s="1274"/>
      <c r="J731" s="1274"/>
      <c r="K731" s="1274"/>
      <c r="L731" s="1274"/>
    </row>
    <row r="732" spans="2:12" ht="23.25">
      <c r="B732" s="1407"/>
      <c r="C732" s="1407"/>
      <c r="D732" s="1407"/>
      <c r="E732" s="1407"/>
      <c r="F732" s="1407"/>
      <c r="G732" s="1407"/>
      <c r="H732" s="1407"/>
      <c r="I732" s="1407"/>
      <c r="J732" s="1407"/>
      <c r="K732" s="1407"/>
      <c r="L732" s="1407"/>
    </row>
    <row r="733" spans="2:12" ht="15.75">
      <c r="B733" s="1403"/>
      <c r="C733" s="1403"/>
      <c r="D733" s="1403"/>
      <c r="E733" s="1403"/>
      <c r="F733" s="1403"/>
      <c r="G733" s="1403"/>
      <c r="H733" s="1403"/>
      <c r="I733" s="1403"/>
      <c r="J733" s="1403"/>
      <c r="K733" s="1403"/>
      <c r="L733" s="1403"/>
    </row>
    <row r="734" spans="2:12" ht="15" customHeight="1">
      <c r="B734" s="1404"/>
      <c r="C734" s="1404"/>
      <c r="D734" s="1404"/>
      <c r="E734" s="1404"/>
      <c r="F734" s="1404"/>
      <c r="H734" s="1397"/>
      <c r="I734" s="1397"/>
      <c r="J734" s="1397"/>
      <c r="K734" s="1397"/>
      <c r="L734" s="1397"/>
    </row>
    <row r="735" spans="2:12">
      <c r="B735" s="1404"/>
      <c r="C735" s="1404"/>
      <c r="D735" s="1404"/>
      <c r="E735" s="1404"/>
      <c r="F735" s="1404"/>
      <c r="H735" s="1397"/>
      <c r="I735" s="1397"/>
      <c r="J735" s="1397"/>
      <c r="K735" s="1397"/>
      <c r="L735" s="1397"/>
    </row>
    <row r="737" spans="1:12">
      <c r="B737" s="2"/>
      <c r="H737" s="2"/>
    </row>
    <row r="739" spans="1:12">
      <c r="B739" s="2"/>
      <c r="H739" s="2"/>
    </row>
    <row r="740" spans="1:12" ht="15" customHeight="1"/>
    <row r="742" spans="1:12">
      <c r="B742" s="1405"/>
      <c r="C742" s="1405"/>
      <c r="D742" s="1405"/>
      <c r="E742" s="1405"/>
      <c r="F742" s="1405"/>
      <c r="H742" s="1405"/>
      <c r="I742" s="1405"/>
      <c r="J742" s="1405"/>
      <c r="K742" s="1405"/>
      <c r="L742" s="1405"/>
    </row>
    <row r="744" spans="1:12">
      <c r="H744" s="2"/>
      <c r="I744" s="2"/>
      <c r="J744" s="2"/>
      <c r="K744" s="2"/>
      <c r="L744" s="2"/>
    </row>
    <row r="745" spans="1:12">
      <c r="H745" s="2"/>
      <c r="I745" s="2"/>
      <c r="J745" s="2"/>
      <c r="K745" s="2"/>
      <c r="L745" s="2"/>
    </row>
    <row r="746" spans="1:12">
      <c r="B746" s="2"/>
      <c r="H746" s="2"/>
      <c r="I746" s="2"/>
      <c r="J746" s="2"/>
      <c r="K746" s="2"/>
      <c r="L746" s="2"/>
    </row>
    <row r="747" spans="1:12">
      <c r="H747" s="2"/>
      <c r="I747" s="2"/>
      <c r="J747" s="2"/>
      <c r="K747" s="2"/>
      <c r="L747" s="2"/>
    </row>
    <row r="748" spans="1:12">
      <c r="H748" s="2"/>
      <c r="I748" s="2"/>
      <c r="J748" s="2"/>
      <c r="K748" s="2"/>
      <c r="L748" s="2"/>
    </row>
    <row r="749" spans="1:12" ht="27.95" customHeight="1">
      <c r="A749" s="12"/>
      <c r="B749" s="1400"/>
      <c r="C749" s="1400"/>
      <c r="D749" s="1400"/>
      <c r="E749" s="1400"/>
      <c r="F749" s="1400"/>
      <c r="G749" s="1400"/>
      <c r="H749" s="1398"/>
      <c r="I749" s="1399"/>
      <c r="J749" s="1399"/>
      <c r="K749" s="1399"/>
      <c r="L749" s="1399"/>
    </row>
    <row r="750" spans="1:12" ht="27.95" customHeight="1">
      <c r="A750" s="12"/>
      <c r="B750" s="1397"/>
      <c r="C750" s="1397"/>
      <c r="D750" s="1397"/>
      <c r="E750" s="1397"/>
      <c r="F750" s="1397"/>
      <c r="G750" s="1397"/>
      <c r="H750" s="1398"/>
      <c r="I750" s="1399"/>
      <c r="J750" s="1399"/>
      <c r="K750" s="1399"/>
      <c r="L750" s="1399"/>
    </row>
    <row r="751" spans="1:12" ht="27.95" customHeight="1">
      <c r="A751" s="12"/>
      <c r="B751" s="1400"/>
      <c r="C751" s="1400"/>
      <c r="D751" s="1400"/>
      <c r="E751" s="1400"/>
      <c r="F751" s="1400"/>
      <c r="G751" s="1400"/>
      <c r="H751" s="1398"/>
      <c r="I751" s="1399"/>
      <c r="J751" s="1399"/>
      <c r="K751" s="1399"/>
      <c r="L751" s="1399"/>
    </row>
    <row r="752" spans="1:12" ht="27.95" customHeight="1">
      <c r="A752" s="12"/>
      <c r="B752" s="1400"/>
      <c r="C752" s="1400"/>
      <c r="D752" s="1400"/>
      <c r="E752" s="1400"/>
      <c r="F752" s="1400"/>
      <c r="G752" s="1400"/>
      <c r="H752" s="1402"/>
      <c r="I752" s="1399"/>
      <c r="J752" s="1399"/>
      <c r="K752" s="1399"/>
      <c r="L752" s="1399"/>
    </row>
    <row r="753" spans="1:12" ht="27.95" customHeight="1">
      <c r="A753" s="12"/>
      <c r="B753" s="176"/>
      <c r="C753" s="172"/>
      <c r="D753" s="172"/>
      <c r="E753" s="172"/>
      <c r="F753" s="172"/>
      <c r="G753" s="172"/>
      <c r="H753" s="161"/>
      <c r="I753" s="12"/>
      <c r="J753" s="154"/>
      <c r="K753" s="161"/>
      <c r="L753" s="161"/>
    </row>
    <row r="754" spans="1:12" ht="27.95" customHeight="1">
      <c r="A754" s="12"/>
      <c r="B754" s="176"/>
      <c r="C754" s="172"/>
      <c r="D754" s="172"/>
      <c r="E754" s="172"/>
      <c r="F754" s="172"/>
      <c r="G754" s="172"/>
      <c r="H754" s="161"/>
      <c r="I754" s="161"/>
      <c r="J754" s="154"/>
      <c r="K754" s="161"/>
      <c r="L754" s="161"/>
    </row>
    <row r="755" spans="1:12" ht="27.95" customHeight="1">
      <c r="A755" s="12"/>
      <c r="B755" s="1397"/>
      <c r="C755" s="1397"/>
      <c r="D755" s="1397"/>
      <c r="E755" s="1397"/>
      <c r="F755" s="1397"/>
      <c r="G755" s="1397"/>
      <c r="H755" s="1398"/>
      <c r="I755" s="1399"/>
      <c r="J755" s="1399"/>
      <c r="K755" s="1399"/>
      <c r="L755" s="1399"/>
    </row>
    <row r="756" spans="1:12" ht="27.95" customHeight="1">
      <c r="A756" s="12"/>
      <c r="B756" s="1400"/>
      <c r="C756" s="1400"/>
      <c r="D756" s="1400"/>
      <c r="E756" s="1400"/>
      <c r="F756" s="1400"/>
      <c r="G756" s="1400"/>
      <c r="H756" s="1401"/>
      <c r="I756" s="1399"/>
      <c r="J756" s="1399"/>
      <c r="K756" s="1399"/>
      <c r="L756" s="1399"/>
    </row>
    <row r="757" spans="1:12" ht="27.95" customHeight="1">
      <c r="B757" s="1400"/>
      <c r="C757" s="1400"/>
      <c r="D757" s="1400"/>
      <c r="E757" s="1400"/>
      <c r="F757" s="1400"/>
      <c r="G757" s="1400"/>
      <c r="H757" s="1399"/>
      <c r="I757" s="1399"/>
      <c r="J757" s="1399"/>
      <c r="K757" s="1399"/>
      <c r="L757" s="1399"/>
    </row>
    <row r="758" spans="1:12" ht="27.95" customHeight="1">
      <c r="B758" s="176"/>
      <c r="C758" s="172"/>
      <c r="D758" s="172"/>
      <c r="E758" s="172"/>
      <c r="F758" s="172"/>
      <c r="G758" s="172"/>
      <c r="H758" s="161"/>
      <c r="I758" s="161"/>
      <c r="J758" s="161"/>
      <c r="K758" s="161"/>
      <c r="L758" s="161"/>
    </row>
    <row r="759" spans="1:12" ht="27.95" customHeight="1">
      <c r="B759" s="176"/>
      <c r="C759" s="172"/>
      <c r="D759" s="172"/>
      <c r="E759" s="172"/>
      <c r="F759" s="172"/>
      <c r="G759" s="172"/>
      <c r="H759" s="161"/>
      <c r="I759" s="161"/>
      <c r="J759" s="161"/>
      <c r="K759" s="161"/>
      <c r="L759" s="161"/>
    </row>
    <row r="760" spans="1:12" ht="27.95" customHeight="1">
      <c r="B760" s="176"/>
      <c r="C760" s="172"/>
      <c r="D760" s="172"/>
      <c r="E760" s="172"/>
      <c r="F760" s="172"/>
      <c r="G760" s="172"/>
      <c r="H760" s="161"/>
      <c r="I760" s="161"/>
      <c r="J760" s="162"/>
      <c r="K760" s="161"/>
      <c r="L760" s="161"/>
    </row>
    <row r="761" spans="1:12" ht="27.95" customHeight="1">
      <c r="B761" s="176"/>
      <c r="C761" s="172"/>
      <c r="D761" s="172"/>
      <c r="E761" s="172"/>
      <c r="F761" s="172"/>
      <c r="G761" s="172"/>
      <c r="H761" s="161"/>
      <c r="I761" s="161"/>
      <c r="J761" s="161"/>
      <c r="K761" s="161"/>
      <c r="L761" s="161"/>
    </row>
    <row r="762" spans="1:12" ht="27.95" customHeight="1">
      <c r="B762" s="176"/>
      <c r="C762" s="172"/>
      <c r="D762" s="172"/>
      <c r="E762" s="172"/>
      <c r="F762" s="172"/>
      <c r="G762" s="172"/>
      <c r="H762" s="161"/>
      <c r="I762" s="161"/>
      <c r="J762" s="162"/>
      <c r="K762" s="161"/>
      <c r="L762" s="161"/>
    </row>
    <row r="763" spans="1:12" ht="27.95" customHeight="1">
      <c r="B763" s="176"/>
      <c r="C763" s="172"/>
      <c r="D763" s="161"/>
      <c r="E763" s="162"/>
      <c r="F763" s="161"/>
      <c r="G763" s="162"/>
      <c r="H763" s="161"/>
      <c r="I763" s="162"/>
      <c r="J763" s="161"/>
      <c r="K763" s="162"/>
      <c r="L763" s="162"/>
    </row>
    <row r="764" spans="1:12" ht="27.95" customHeight="1">
      <c r="B764" s="176"/>
      <c r="C764" s="172"/>
      <c r="D764" s="172"/>
      <c r="E764" s="172"/>
      <c r="F764" s="172"/>
      <c r="G764" s="172"/>
      <c r="H764" s="161"/>
      <c r="I764" s="161"/>
      <c r="J764" s="245"/>
      <c r="K764" s="161"/>
      <c r="L764" s="161"/>
    </row>
    <row r="765" spans="1:12" ht="27.95" customHeight="1">
      <c r="B765" s="176"/>
      <c r="C765" s="2"/>
      <c r="D765" s="2"/>
      <c r="E765" s="2"/>
      <c r="F765" s="2"/>
      <c r="G765" s="2"/>
    </row>
    <row r="766" spans="1:12" ht="27.95" customHeight="1">
      <c r="B766" s="176"/>
      <c r="C766" s="2"/>
      <c r="D766" s="2"/>
      <c r="E766" s="2"/>
      <c r="F766" s="2"/>
      <c r="G766" s="2"/>
    </row>
  </sheetData>
  <mergeCells count="571">
    <mergeCell ref="B527:F527"/>
    <mergeCell ref="G527:H527"/>
    <mergeCell ref="I527:K527"/>
    <mergeCell ref="B528:F528"/>
    <mergeCell ref="H548:L548"/>
    <mergeCell ref="B541:G541"/>
    <mergeCell ref="H541:L541"/>
    <mergeCell ref="B542:G542"/>
    <mergeCell ref="H542:L542"/>
    <mergeCell ref="B543:G543"/>
    <mergeCell ref="H543:L543"/>
    <mergeCell ref="B544:G544"/>
    <mergeCell ref="H544:L544"/>
    <mergeCell ref="H545:L545"/>
    <mergeCell ref="B547:G547"/>
    <mergeCell ref="H547:L547"/>
    <mergeCell ref="B548:G548"/>
    <mergeCell ref="G519:H519"/>
    <mergeCell ref="K519:L519"/>
    <mergeCell ref="G520:H520"/>
    <mergeCell ref="K520:L520"/>
    <mergeCell ref="B526:F526"/>
    <mergeCell ref="G526:H526"/>
    <mergeCell ref="I526:K526"/>
    <mergeCell ref="H120:L120"/>
    <mergeCell ref="H121:L121"/>
    <mergeCell ref="B476:F476"/>
    <mergeCell ref="G476:H476"/>
    <mergeCell ref="I476:K476"/>
    <mergeCell ref="G467:H467"/>
    <mergeCell ref="B475:F475"/>
    <mergeCell ref="B497:G497"/>
    <mergeCell ref="H497:L497"/>
    <mergeCell ref="B498:G498"/>
    <mergeCell ref="H498:L498"/>
    <mergeCell ref="B439:G439"/>
    <mergeCell ref="H439:L439"/>
    <mergeCell ref="K467:L467"/>
    <mergeCell ref="G468:H468"/>
    <mergeCell ref="K468:L468"/>
    <mergeCell ref="B474:F474"/>
    <mergeCell ref="G474:H474"/>
    <mergeCell ref="I474:K474"/>
    <mergeCell ref="G475:H475"/>
    <mergeCell ref="I475:K475"/>
    <mergeCell ref="B422:F422"/>
    <mergeCell ref="G422:H422"/>
    <mergeCell ref="I422:K422"/>
    <mergeCell ref="B423:F423"/>
    <mergeCell ref="G423:H423"/>
    <mergeCell ref="I423:K423"/>
    <mergeCell ref="B434:L434"/>
    <mergeCell ref="B435:L435"/>
    <mergeCell ref="B438:G438"/>
    <mergeCell ref="H438:L438"/>
    <mergeCell ref="G450:H450"/>
    <mergeCell ref="K450:L450"/>
    <mergeCell ref="C463:H463"/>
    <mergeCell ref="J463:L463"/>
    <mergeCell ref="G464:H464"/>
    <mergeCell ref="K464:L464"/>
    <mergeCell ref="G465:H465"/>
    <mergeCell ref="K465:L465"/>
    <mergeCell ref="G466:H466"/>
    <mergeCell ref="K466:L466"/>
    <mergeCell ref="K412:L412"/>
    <mergeCell ref="G414:H414"/>
    <mergeCell ref="K414:L414"/>
    <mergeCell ref="B420:F420"/>
    <mergeCell ref="G420:H420"/>
    <mergeCell ref="I420:K420"/>
    <mergeCell ref="B421:F421"/>
    <mergeCell ref="G421:H421"/>
    <mergeCell ref="I421:K421"/>
    <mergeCell ref="B369:F369"/>
    <mergeCell ref="G369:H369"/>
    <mergeCell ref="I369:K369"/>
    <mergeCell ref="B380:L380"/>
    <mergeCell ref="B381:L381"/>
    <mergeCell ref="B384:G384"/>
    <mergeCell ref="H384:L384"/>
    <mergeCell ref="B385:G385"/>
    <mergeCell ref="H385:L385"/>
    <mergeCell ref="B282:G282"/>
    <mergeCell ref="H282:L282"/>
    <mergeCell ref="B283:G283"/>
    <mergeCell ref="H283:L283"/>
    <mergeCell ref="G287:H287"/>
    <mergeCell ref="K287:L287"/>
    <mergeCell ref="K305:L305"/>
    <mergeCell ref="B311:F311"/>
    <mergeCell ref="G311:H311"/>
    <mergeCell ref="I311:K311"/>
    <mergeCell ref="G303:H303"/>
    <mergeCell ref="K303:L303"/>
    <mergeCell ref="G304:H304"/>
    <mergeCell ref="K304:L304"/>
    <mergeCell ref="G305:H305"/>
    <mergeCell ref="B276:G276"/>
    <mergeCell ref="H276:L276"/>
    <mergeCell ref="B277:G277"/>
    <mergeCell ref="H277:L277"/>
    <mergeCell ref="B278:G278"/>
    <mergeCell ref="H278:L278"/>
    <mergeCell ref="H279:L279"/>
    <mergeCell ref="B281:G281"/>
    <mergeCell ref="H281:L281"/>
    <mergeCell ref="B259:F259"/>
    <mergeCell ref="G259:H259"/>
    <mergeCell ref="I259:K259"/>
    <mergeCell ref="B260:F260"/>
    <mergeCell ref="G260:H260"/>
    <mergeCell ref="I260:K260"/>
    <mergeCell ref="B272:L272"/>
    <mergeCell ref="B273:L273"/>
    <mergeCell ref="B275:G275"/>
    <mergeCell ref="H275:L275"/>
    <mergeCell ref="G250:H250"/>
    <mergeCell ref="K250:L250"/>
    <mergeCell ref="G251:H251"/>
    <mergeCell ref="K251:L251"/>
    <mergeCell ref="G252:H252"/>
    <mergeCell ref="K252:L252"/>
    <mergeCell ref="B258:F258"/>
    <mergeCell ref="G258:H258"/>
    <mergeCell ref="I258:K258"/>
    <mergeCell ref="G196:H196"/>
    <mergeCell ref="K196:L196"/>
    <mergeCell ref="G197:H197"/>
    <mergeCell ref="K197:L197"/>
    <mergeCell ref="G198:H198"/>
    <mergeCell ref="K198:L198"/>
    <mergeCell ref="B204:F204"/>
    <mergeCell ref="G204:H204"/>
    <mergeCell ref="I204:K204"/>
    <mergeCell ref="B176:G176"/>
    <mergeCell ref="H176:L176"/>
    <mergeCell ref="G180:H180"/>
    <mergeCell ref="K180:L180"/>
    <mergeCell ref="C193:H193"/>
    <mergeCell ref="J193:L193"/>
    <mergeCell ref="G194:H194"/>
    <mergeCell ref="K194:L194"/>
    <mergeCell ref="G195:H195"/>
    <mergeCell ref="K195:L195"/>
    <mergeCell ref="B2:L2"/>
    <mergeCell ref="B3:L3"/>
    <mergeCell ref="B6:G6"/>
    <mergeCell ref="H6:L6"/>
    <mergeCell ref="B7:G7"/>
    <mergeCell ref="H7:L7"/>
    <mergeCell ref="B56:L56"/>
    <mergeCell ref="B57:L57"/>
    <mergeCell ref="B60:G60"/>
    <mergeCell ref="H60:L60"/>
    <mergeCell ref="B13:G13"/>
    <mergeCell ref="H13:L13"/>
    <mergeCell ref="B14:G14"/>
    <mergeCell ref="H14:L14"/>
    <mergeCell ref="G18:H18"/>
    <mergeCell ref="K18:L18"/>
    <mergeCell ref="B8:G8"/>
    <mergeCell ref="H8:L8"/>
    <mergeCell ref="B9:G9"/>
    <mergeCell ref="H9:L9"/>
    <mergeCell ref="H10:L10"/>
    <mergeCell ref="B12:G12"/>
    <mergeCell ref="H12:L12"/>
    <mergeCell ref="G34:H34"/>
    <mergeCell ref="K34:L34"/>
    <mergeCell ref="G35:H35"/>
    <mergeCell ref="K35:L35"/>
    <mergeCell ref="G36:H36"/>
    <mergeCell ref="K36:L36"/>
    <mergeCell ref="C31:H31"/>
    <mergeCell ref="J31:L31"/>
    <mergeCell ref="G32:H32"/>
    <mergeCell ref="K32:L32"/>
    <mergeCell ref="G33:H33"/>
    <mergeCell ref="K33:L33"/>
    <mergeCell ref="B44:F44"/>
    <mergeCell ref="G44:H44"/>
    <mergeCell ref="I44:K44"/>
    <mergeCell ref="B45:F45"/>
    <mergeCell ref="G45:H45"/>
    <mergeCell ref="I45:K45"/>
    <mergeCell ref="B42:F42"/>
    <mergeCell ref="G42:H42"/>
    <mergeCell ref="I42:K42"/>
    <mergeCell ref="B43:F43"/>
    <mergeCell ref="G43:H43"/>
    <mergeCell ref="I43:K43"/>
    <mergeCell ref="B61:G61"/>
    <mergeCell ref="H61:L61"/>
    <mergeCell ref="B62:G62"/>
    <mergeCell ref="H62:L62"/>
    <mergeCell ref="B63:G63"/>
    <mergeCell ref="H63:L63"/>
    <mergeCell ref="H64:L64"/>
    <mergeCell ref="B66:G66"/>
    <mergeCell ref="H66:L66"/>
    <mergeCell ref="B67:G67"/>
    <mergeCell ref="H67:L67"/>
    <mergeCell ref="B68:G68"/>
    <mergeCell ref="G88:H88"/>
    <mergeCell ref="K88:L88"/>
    <mergeCell ref="G89:H89"/>
    <mergeCell ref="K89:L89"/>
    <mergeCell ref="G90:H90"/>
    <mergeCell ref="K90:L90"/>
    <mergeCell ref="H68:L68"/>
    <mergeCell ref="G72:H72"/>
    <mergeCell ref="K72:L72"/>
    <mergeCell ref="C85:H85"/>
    <mergeCell ref="J85:L85"/>
    <mergeCell ref="G86:H86"/>
    <mergeCell ref="K86:L86"/>
    <mergeCell ref="G87:H87"/>
    <mergeCell ref="K87:L87"/>
    <mergeCell ref="B96:F96"/>
    <mergeCell ref="G96:H96"/>
    <mergeCell ref="I96:K96"/>
    <mergeCell ref="B97:F97"/>
    <mergeCell ref="G97:H97"/>
    <mergeCell ref="I97:K97"/>
    <mergeCell ref="B115:G115"/>
    <mergeCell ref="H115:L115"/>
    <mergeCell ref="B116:G116"/>
    <mergeCell ref="H116:L116"/>
    <mergeCell ref="B98:F98"/>
    <mergeCell ref="G98:H98"/>
    <mergeCell ref="I98:K98"/>
    <mergeCell ref="B99:F99"/>
    <mergeCell ref="G99:H99"/>
    <mergeCell ref="I99:K99"/>
    <mergeCell ref="B110:L110"/>
    <mergeCell ref="B111:L111"/>
    <mergeCell ref="B114:G114"/>
    <mergeCell ref="H114:L114"/>
    <mergeCell ref="B117:G117"/>
    <mergeCell ref="H117:L117"/>
    <mergeCell ref="H118:L118"/>
    <mergeCell ref="B120:G120"/>
    <mergeCell ref="B121:G121"/>
    <mergeCell ref="H122:L122"/>
    <mergeCell ref="G142:H142"/>
    <mergeCell ref="K142:L142"/>
    <mergeCell ref="G143:H143"/>
    <mergeCell ref="K143:L143"/>
    <mergeCell ref="B122:G122"/>
    <mergeCell ref="G126:H126"/>
    <mergeCell ref="K126:L126"/>
    <mergeCell ref="C139:H139"/>
    <mergeCell ref="J139:L139"/>
    <mergeCell ref="G140:H140"/>
    <mergeCell ref="K140:L140"/>
    <mergeCell ref="G141:H141"/>
    <mergeCell ref="K141:L141"/>
    <mergeCell ref="G144:H144"/>
    <mergeCell ref="K144:L144"/>
    <mergeCell ref="B150:F150"/>
    <mergeCell ref="G150:H150"/>
    <mergeCell ref="I150:K150"/>
    <mergeCell ref="B151:F151"/>
    <mergeCell ref="G151:H151"/>
    <mergeCell ref="I151:K151"/>
    <mergeCell ref="B169:G169"/>
    <mergeCell ref="H169:L169"/>
    <mergeCell ref="B152:F152"/>
    <mergeCell ref="G152:H152"/>
    <mergeCell ref="I152:K152"/>
    <mergeCell ref="B153:F153"/>
    <mergeCell ref="G153:H153"/>
    <mergeCell ref="I153:K153"/>
    <mergeCell ref="B164:L164"/>
    <mergeCell ref="B165:L165"/>
    <mergeCell ref="B168:G168"/>
    <mergeCell ref="H168:L168"/>
    <mergeCell ref="B170:G170"/>
    <mergeCell ref="H170:L170"/>
    <mergeCell ref="B171:G171"/>
    <mergeCell ref="H171:L171"/>
    <mergeCell ref="H172:L172"/>
    <mergeCell ref="B174:G174"/>
    <mergeCell ref="H174:L174"/>
    <mergeCell ref="B175:G175"/>
    <mergeCell ref="H175:L175"/>
    <mergeCell ref="B205:F205"/>
    <mergeCell ref="G205:H205"/>
    <mergeCell ref="I205:K205"/>
    <mergeCell ref="B206:F206"/>
    <mergeCell ref="G206:H206"/>
    <mergeCell ref="I206:K206"/>
    <mergeCell ref="B207:F207"/>
    <mergeCell ref="G207:H207"/>
    <mergeCell ref="I207:K207"/>
    <mergeCell ref="B218:L218"/>
    <mergeCell ref="B219:L219"/>
    <mergeCell ref="B222:G222"/>
    <mergeCell ref="H222:L222"/>
    <mergeCell ref="B223:G223"/>
    <mergeCell ref="H223:L223"/>
    <mergeCell ref="B224:G224"/>
    <mergeCell ref="H224:L224"/>
    <mergeCell ref="B225:G225"/>
    <mergeCell ref="H225:L225"/>
    <mergeCell ref="H226:L226"/>
    <mergeCell ref="B261:F261"/>
    <mergeCell ref="G261:H261"/>
    <mergeCell ref="I261:K261"/>
    <mergeCell ref="C300:H300"/>
    <mergeCell ref="J300:L300"/>
    <mergeCell ref="G301:H301"/>
    <mergeCell ref="K301:L301"/>
    <mergeCell ref="G302:H302"/>
    <mergeCell ref="K302:L302"/>
    <mergeCell ref="B228:G228"/>
    <mergeCell ref="H228:L228"/>
    <mergeCell ref="B229:G229"/>
    <mergeCell ref="H229:L229"/>
    <mergeCell ref="B230:G230"/>
    <mergeCell ref="H230:L230"/>
    <mergeCell ref="G234:H234"/>
    <mergeCell ref="K234:L234"/>
    <mergeCell ref="C247:H247"/>
    <mergeCell ref="J247:L247"/>
    <mergeCell ref="G248:H248"/>
    <mergeCell ref="K248:L248"/>
    <mergeCell ref="G249:H249"/>
    <mergeCell ref="K249:L249"/>
    <mergeCell ref="B332:G332"/>
    <mergeCell ref="H332:L332"/>
    <mergeCell ref="B333:G333"/>
    <mergeCell ref="H333:L333"/>
    <mergeCell ref="B312:F312"/>
    <mergeCell ref="G312:H312"/>
    <mergeCell ref="I312:K312"/>
    <mergeCell ref="B313:F313"/>
    <mergeCell ref="G313:H313"/>
    <mergeCell ref="I313:K313"/>
    <mergeCell ref="B314:F314"/>
    <mergeCell ref="G314:H314"/>
    <mergeCell ref="I314:K314"/>
    <mergeCell ref="B326:L326"/>
    <mergeCell ref="B327:L327"/>
    <mergeCell ref="B330:G330"/>
    <mergeCell ref="H330:L330"/>
    <mergeCell ref="B331:G331"/>
    <mergeCell ref="H331:L331"/>
    <mergeCell ref="H334:L334"/>
    <mergeCell ref="B336:G336"/>
    <mergeCell ref="H336:L336"/>
    <mergeCell ref="B337:G337"/>
    <mergeCell ref="H337:L337"/>
    <mergeCell ref="B338:G338"/>
    <mergeCell ref="H338:L338"/>
    <mergeCell ref="G359:H359"/>
    <mergeCell ref="K359:L359"/>
    <mergeCell ref="G342:H342"/>
    <mergeCell ref="K342:L342"/>
    <mergeCell ref="C355:H355"/>
    <mergeCell ref="J355:L355"/>
    <mergeCell ref="G356:H356"/>
    <mergeCell ref="K356:L356"/>
    <mergeCell ref="G357:H357"/>
    <mergeCell ref="K357:L357"/>
    <mergeCell ref="G358:H358"/>
    <mergeCell ref="K358:L358"/>
    <mergeCell ref="G360:H360"/>
    <mergeCell ref="K360:L360"/>
    <mergeCell ref="B366:F366"/>
    <mergeCell ref="G366:H366"/>
    <mergeCell ref="I366:K366"/>
    <mergeCell ref="B367:F367"/>
    <mergeCell ref="G367:H367"/>
    <mergeCell ref="I367:K367"/>
    <mergeCell ref="B368:F368"/>
    <mergeCell ref="G368:H368"/>
    <mergeCell ref="I368:K368"/>
    <mergeCell ref="B386:G386"/>
    <mergeCell ref="H386:L386"/>
    <mergeCell ref="B387:G387"/>
    <mergeCell ref="H387:L387"/>
    <mergeCell ref="H388:L388"/>
    <mergeCell ref="B390:G390"/>
    <mergeCell ref="H390:L390"/>
    <mergeCell ref="B391:G391"/>
    <mergeCell ref="H391:L391"/>
    <mergeCell ref="B392:G392"/>
    <mergeCell ref="H392:L392"/>
    <mergeCell ref="G413:H413"/>
    <mergeCell ref="K413:L413"/>
    <mergeCell ref="B444:G444"/>
    <mergeCell ref="H444:L444"/>
    <mergeCell ref="B445:G445"/>
    <mergeCell ref="H445:L445"/>
    <mergeCell ref="B446:G446"/>
    <mergeCell ref="H446:L446"/>
    <mergeCell ref="B440:G440"/>
    <mergeCell ref="H440:L440"/>
    <mergeCell ref="B441:G441"/>
    <mergeCell ref="H441:L441"/>
    <mergeCell ref="H442:L442"/>
    <mergeCell ref="G396:H396"/>
    <mergeCell ref="K396:L396"/>
    <mergeCell ref="C409:H409"/>
    <mergeCell ref="J409:L409"/>
    <mergeCell ref="G410:H410"/>
    <mergeCell ref="K410:L410"/>
    <mergeCell ref="G411:H411"/>
    <mergeCell ref="K411:L411"/>
    <mergeCell ref="G412:H412"/>
    <mergeCell ref="B477:F477"/>
    <mergeCell ref="G477:H477"/>
    <mergeCell ref="I477:K477"/>
    <mergeCell ref="B487:L487"/>
    <mergeCell ref="B488:L488"/>
    <mergeCell ref="B490:G490"/>
    <mergeCell ref="H490:L490"/>
    <mergeCell ref="B491:G491"/>
    <mergeCell ref="H491:L491"/>
    <mergeCell ref="B492:G492"/>
    <mergeCell ref="H492:L492"/>
    <mergeCell ref="B493:G493"/>
    <mergeCell ref="H493:L493"/>
    <mergeCell ref="H494:L494"/>
    <mergeCell ref="B496:G496"/>
    <mergeCell ref="H496:L496"/>
    <mergeCell ref="B538:L538"/>
    <mergeCell ref="B539:L539"/>
    <mergeCell ref="G502:H502"/>
    <mergeCell ref="K502:L502"/>
    <mergeCell ref="C515:H515"/>
    <mergeCell ref="J515:L515"/>
    <mergeCell ref="G516:H516"/>
    <mergeCell ref="K516:L516"/>
    <mergeCell ref="G528:H528"/>
    <mergeCell ref="I528:K528"/>
    <mergeCell ref="B529:F529"/>
    <mergeCell ref="G529:H529"/>
    <mergeCell ref="I529:K529"/>
    <mergeCell ref="G517:H517"/>
    <mergeCell ref="K517:L517"/>
    <mergeCell ref="G518:H518"/>
    <mergeCell ref="K518:L518"/>
    <mergeCell ref="G568:H568"/>
    <mergeCell ref="K568:L568"/>
    <mergeCell ref="G569:H569"/>
    <mergeCell ref="K569:L569"/>
    <mergeCell ref="G570:H570"/>
    <mergeCell ref="K570:L570"/>
    <mergeCell ref="G571:H571"/>
    <mergeCell ref="K571:L571"/>
    <mergeCell ref="B549:G549"/>
    <mergeCell ref="H549:L549"/>
    <mergeCell ref="G553:H553"/>
    <mergeCell ref="K553:L553"/>
    <mergeCell ref="C566:H566"/>
    <mergeCell ref="J566:L566"/>
    <mergeCell ref="G567:H567"/>
    <mergeCell ref="K567:L567"/>
    <mergeCell ref="B577:F577"/>
    <mergeCell ref="G577:H577"/>
    <mergeCell ref="I577:K577"/>
    <mergeCell ref="B596:G596"/>
    <mergeCell ref="H596:L596"/>
    <mergeCell ref="B597:G597"/>
    <mergeCell ref="H597:L597"/>
    <mergeCell ref="B600:G600"/>
    <mergeCell ref="H600:L600"/>
    <mergeCell ref="B594:G594"/>
    <mergeCell ref="H594:L594"/>
    <mergeCell ref="B595:G595"/>
    <mergeCell ref="H595:L595"/>
    <mergeCell ref="B578:F578"/>
    <mergeCell ref="G578:H578"/>
    <mergeCell ref="I578:K578"/>
    <mergeCell ref="B579:F579"/>
    <mergeCell ref="G579:H579"/>
    <mergeCell ref="I579:K579"/>
    <mergeCell ref="B580:F580"/>
    <mergeCell ref="G580:H580"/>
    <mergeCell ref="I580:K580"/>
    <mergeCell ref="B616:L616"/>
    <mergeCell ref="B617:F618"/>
    <mergeCell ref="H617:L618"/>
    <mergeCell ref="B625:F625"/>
    <mergeCell ref="H625:L625"/>
    <mergeCell ref="B632:G632"/>
    <mergeCell ref="H632:L632"/>
    <mergeCell ref="B601:G601"/>
    <mergeCell ref="H601:L601"/>
    <mergeCell ref="B602:G602"/>
    <mergeCell ref="H602:L602"/>
    <mergeCell ref="B614:L614"/>
    <mergeCell ref="B615:L615"/>
    <mergeCell ref="B638:G638"/>
    <mergeCell ref="H638:L638"/>
    <mergeCell ref="B639:G639"/>
    <mergeCell ref="H639:L639"/>
    <mergeCell ref="B640:G640"/>
    <mergeCell ref="H640:L640"/>
    <mergeCell ref="B633:G633"/>
    <mergeCell ref="H633:L633"/>
    <mergeCell ref="B634:G634"/>
    <mergeCell ref="H634:L634"/>
    <mergeCell ref="B635:G635"/>
    <mergeCell ref="H635:L635"/>
    <mergeCell ref="B671:G671"/>
    <mergeCell ref="H671:L671"/>
    <mergeCell ref="B672:G672"/>
    <mergeCell ref="H672:L672"/>
    <mergeCell ref="B673:G673"/>
    <mergeCell ref="H673:L673"/>
    <mergeCell ref="B653:L653"/>
    <mergeCell ref="B654:L654"/>
    <mergeCell ref="B655:L655"/>
    <mergeCell ref="B656:F657"/>
    <mergeCell ref="H656:L657"/>
    <mergeCell ref="B664:F664"/>
    <mergeCell ref="H664:L664"/>
    <mergeCell ref="B679:G679"/>
    <mergeCell ref="H679:L679"/>
    <mergeCell ref="B692:L692"/>
    <mergeCell ref="B693:L693"/>
    <mergeCell ref="B694:L694"/>
    <mergeCell ref="B695:F696"/>
    <mergeCell ref="H695:L696"/>
    <mergeCell ref="B674:G674"/>
    <mergeCell ref="H674:L674"/>
    <mergeCell ref="B677:G677"/>
    <mergeCell ref="H677:L677"/>
    <mergeCell ref="B678:G678"/>
    <mergeCell ref="H678:L678"/>
    <mergeCell ref="B712:G712"/>
    <mergeCell ref="H712:L712"/>
    <mergeCell ref="B713:G713"/>
    <mergeCell ref="H713:L713"/>
    <mergeCell ref="B716:G716"/>
    <mergeCell ref="H716:L716"/>
    <mergeCell ref="B703:F703"/>
    <mergeCell ref="H703:L703"/>
    <mergeCell ref="B710:G710"/>
    <mergeCell ref="H710:L710"/>
    <mergeCell ref="B711:G711"/>
    <mergeCell ref="H711:L711"/>
    <mergeCell ref="B733:L733"/>
    <mergeCell ref="B734:F735"/>
    <mergeCell ref="H734:L735"/>
    <mergeCell ref="B742:F742"/>
    <mergeCell ref="H742:L742"/>
    <mergeCell ref="B749:G749"/>
    <mergeCell ref="H749:L749"/>
    <mergeCell ref="B717:G717"/>
    <mergeCell ref="H717:L717"/>
    <mergeCell ref="B718:G718"/>
    <mergeCell ref="H718:L718"/>
    <mergeCell ref="B731:L731"/>
    <mergeCell ref="B732:L732"/>
    <mergeCell ref="B755:G755"/>
    <mergeCell ref="H755:L755"/>
    <mergeCell ref="B756:G756"/>
    <mergeCell ref="H756:L756"/>
    <mergeCell ref="B757:G757"/>
    <mergeCell ref="H757:L757"/>
    <mergeCell ref="B750:G750"/>
    <mergeCell ref="H750:L750"/>
    <mergeCell ref="B751:G751"/>
    <mergeCell ref="H751:L751"/>
    <mergeCell ref="B752:G752"/>
    <mergeCell ref="H752:L752"/>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775"/>
  <sheetViews>
    <sheetView zoomScale="110" zoomScaleNormal="110" workbookViewId="0">
      <selection activeCell="E4" sqref="E4"/>
    </sheetView>
  </sheetViews>
  <sheetFormatPr defaultRowHeight="15"/>
  <cols>
    <col min="6" max="6" width="16.85546875" customWidth="1"/>
    <col min="10" max="10" width="14.5703125" customWidth="1"/>
    <col min="12" max="12" width="22.7109375" customWidth="1"/>
  </cols>
  <sheetData>
    <row r="1" spans="1:14" ht="15" customHeight="1">
      <c r="A1" s="79"/>
      <c r="B1" s="80"/>
      <c r="C1" s="80"/>
      <c r="D1" s="80"/>
      <c r="E1" s="80"/>
      <c r="F1" s="80"/>
      <c r="G1" s="80"/>
      <c r="H1" s="80"/>
      <c r="I1" s="84" t="s">
        <v>253</v>
      </c>
      <c r="J1" s="80"/>
      <c r="K1" s="80"/>
      <c r="L1" s="81"/>
    </row>
    <row r="2" spans="1:14" ht="16.5" customHeight="1">
      <c r="A2" s="15"/>
      <c r="B2" s="1452" t="s">
        <v>308</v>
      </c>
      <c r="C2" s="1452"/>
      <c r="D2" s="1452"/>
      <c r="E2" s="1452"/>
      <c r="F2" s="1452"/>
      <c r="G2" s="1452"/>
      <c r="H2" s="1452"/>
      <c r="I2" s="1452"/>
      <c r="J2" s="1452"/>
      <c r="K2" s="1452"/>
      <c r="L2" s="1453"/>
    </row>
    <row r="3" spans="1:14" ht="23.25">
      <c r="A3" s="15"/>
      <c r="B3" s="205"/>
      <c r="C3" s="205"/>
      <c r="D3" s="213" t="s">
        <v>255</v>
      </c>
      <c r="E3" s="205"/>
      <c r="F3" s="205"/>
      <c r="G3" s="205"/>
      <c r="H3" s="205"/>
      <c r="I3" s="207" t="s">
        <v>309</v>
      </c>
      <c r="J3" s="208"/>
      <c r="K3" s="288" t="e">
        <f>'04-22-Master'!#REF!</f>
        <v>#REF!</v>
      </c>
      <c r="L3" s="238"/>
    </row>
    <row r="4" spans="1:14" ht="15.75">
      <c r="A4" s="15"/>
      <c r="B4" s="1"/>
      <c r="C4" s="1" t="s">
        <v>256</v>
      </c>
      <c r="E4" s="1"/>
      <c r="F4" s="1"/>
      <c r="G4" s="1"/>
      <c r="H4" s="1"/>
      <c r="I4" s="206" t="s">
        <v>310</v>
      </c>
      <c r="J4" s="227" t="str">
        <f>'04-22-Master'!F5</f>
        <v>Burgeon IT Services Pvt.Ltd.</v>
      </c>
      <c r="K4" s="209"/>
      <c r="L4" s="239"/>
    </row>
    <row r="5" spans="1:14" ht="15" customHeight="1">
      <c r="A5" s="15"/>
      <c r="B5" s="214"/>
      <c r="C5" s="183" t="s">
        <v>257</v>
      </c>
      <c r="E5" s="214"/>
      <c r="F5" s="214"/>
      <c r="H5" s="184"/>
      <c r="I5" s="230" t="str">
        <f>'04-22-Master'!F6</f>
        <v>Siri Mansion LIGB 436 Dr.A S Rao Nagar,Hyderabad</v>
      </c>
      <c r="J5" s="228"/>
      <c r="K5" s="229"/>
      <c r="L5" s="193"/>
    </row>
    <row r="6" spans="1:14" ht="15" customHeight="1">
      <c r="A6" s="15"/>
      <c r="B6" s="214"/>
      <c r="C6" s="183"/>
      <c r="E6" s="214"/>
      <c r="F6" s="214"/>
      <c r="H6" s="184"/>
      <c r="I6" s="231"/>
      <c r="J6" s="237"/>
      <c r="K6" s="237"/>
      <c r="L6" s="16"/>
    </row>
    <row r="7" spans="1:14">
      <c r="A7" s="15"/>
      <c r="L7" s="16"/>
    </row>
    <row r="8" spans="1:14" ht="26.25" customHeight="1">
      <c r="A8" s="15">
        <v>1</v>
      </c>
      <c r="B8" s="210" t="s">
        <v>258</v>
      </c>
      <c r="C8" s="65"/>
      <c r="D8" s="65"/>
      <c r="E8" s="65"/>
      <c r="F8" s="65"/>
      <c r="G8" s="66"/>
      <c r="H8" s="1416" t="e">
        <f>'04-22-Master'!#REF!</f>
        <v>#REF!</v>
      </c>
      <c r="I8" s="1434"/>
      <c r="J8" s="1434"/>
      <c r="K8" s="1434"/>
      <c r="L8" s="1435"/>
    </row>
    <row r="9" spans="1:14">
      <c r="A9" s="15">
        <v>2</v>
      </c>
      <c r="B9" s="1454" t="s">
        <v>259</v>
      </c>
      <c r="C9" s="1455"/>
      <c r="D9" s="1455"/>
      <c r="E9" s="1455"/>
      <c r="F9" s="211" t="s">
        <v>260</v>
      </c>
      <c r="G9" s="195"/>
      <c r="H9" s="1456" t="e">
        <f>'04-22-Master'!#REF!</f>
        <v>#REF!</v>
      </c>
      <c r="I9" s="1457"/>
      <c r="J9" s="1457"/>
      <c r="K9" s="1457"/>
      <c r="L9" s="1458"/>
      <c r="M9" s="200" t="s">
        <v>254</v>
      </c>
      <c r="N9" s="200" t="s">
        <v>254</v>
      </c>
    </row>
    <row r="10" spans="1:14" ht="10.5" customHeight="1">
      <c r="A10" s="15"/>
      <c r="B10" s="196" t="s">
        <v>261</v>
      </c>
      <c r="C10" s="197"/>
      <c r="D10" s="197"/>
      <c r="E10" s="197"/>
      <c r="F10" s="197" t="s">
        <v>254</v>
      </c>
      <c r="G10" s="198"/>
      <c r="H10" s="1459"/>
      <c r="I10" s="1460"/>
      <c r="J10" s="1460"/>
      <c r="K10" s="1460"/>
      <c r="L10" s="1461"/>
      <c r="M10" s="199"/>
      <c r="N10" s="199"/>
    </row>
    <row r="11" spans="1:14">
      <c r="A11" s="15">
        <v>3</v>
      </c>
      <c r="B11" s="212" t="s">
        <v>262</v>
      </c>
      <c r="C11" s="202"/>
      <c r="D11" s="202"/>
      <c r="E11" s="202"/>
      <c r="F11" s="202"/>
      <c r="G11" s="203"/>
      <c r="H11" s="1441" t="e">
        <f>'04-22-Master'!#REF!</f>
        <v>#REF!</v>
      </c>
      <c r="I11" s="1442"/>
      <c r="J11" s="1442"/>
      <c r="K11" s="1442"/>
      <c r="L11" s="1443"/>
      <c r="M11" s="199"/>
      <c r="N11" s="199"/>
    </row>
    <row r="12" spans="1:14">
      <c r="A12" s="15">
        <v>4</v>
      </c>
      <c r="B12" s="188" t="s">
        <v>263</v>
      </c>
      <c r="C12" s="65"/>
      <c r="D12" s="65"/>
      <c r="E12" s="65"/>
      <c r="F12" s="65"/>
      <c r="G12" s="66"/>
      <c r="H12" s="1414" t="e">
        <f>'04-22-Master'!#REF!</f>
        <v>#REF!</v>
      </c>
      <c r="I12" s="1429"/>
      <c r="J12" s="1429"/>
      <c r="K12" s="1429"/>
      <c r="L12" s="1415"/>
    </row>
    <row r="13" spans="1:14">
      <c r="A13" s="15">
        <v>5</v>
      </c>
      <c r="B13" s="1444" t="s">
        <v>311</v>
      </c>
      <c r="C13" s="1445"/>
      <c r="D13" s="1445"/>
      <c r="E13" s="1445"/>
      <c r="F13" s="1445"/>
      <c r="G13" s="66"/>
      <c r="H13" s="1433" t="s">
        <v>388</v>
      </c>
      <c r="I13" s="1434"/>
      <c r="J13" s="1434"/>
      <c r="K13" s="1434"/>
      <c r="L13" s="1435"/>
    </row>
    <row r="14" spans="1:14" ht="15" customHeight="1">
      <c r="A14" s="15">
        <v>6</v>
      </c>
      <c r="B14" s="201" t="s">
        <v>264</v>
      </c>
      <c r="C14" s="202" t="s">
        <v>265</v>
      </c>
      <c r="D14" s="202"/>
      <c r="E14" s="202"/>
      <c r="F14" s="202"/>
      <c r="G14" s="203"/>
      <c r="H14" s="212"/>
      <c r="I14" s="202"/>
      <c r="J14" s="202"/>
      <c r="K14" s="202"/>
      <c r="L14" s="240"/>
      <c r="M14" s="199"/>
      <c r="N14" s="199"/>
    </row>
    <row r="15" spans="1:14">
      <c r="A15" s="15"/>
      <c r="B15" s="201" t="s">
        <v>266</v>
      </c>
      <c r="C15" s="202" t="s">
        <v>267</v>
      </c>
      <c r="D15" s="202"/>
      <c r="E15" s="202"/>
      <c r="F15" s="202"/>
      <c r="G15" s="203"/>
      <c r="H15" s="212"/>
      <c r="I15" s="194"/>
      <c r="J15" s="194"/>
      <c r="K15" s="202"/>
      <c r="L15" s="240"/>
      <c r="M15" s="199"/>
      <c r="N15" s="199"/>
    </row>
    <row r="16" spans="1:14" ht="15" customHeight="1">
      <c r="A16" s="15">
        <v>7</v>
      </c>
      <c r="B16" s="1441" t="s">
        <v>268</v>
      </c>
      <c r="C16" s="1442"/>
      <c r="D16" s="1442"/>
      <c r="E16" s="1442"/>
      <c r="F16" s="1442"/>
      <c r="G16" s="1446"/>
      <c r="H16" s="216" t="s">
        <v>269</v>
      </c>
      <c r="I16" s="217"/>
      <c r="J16" s="218"/>
      <c r="K16" s="216" t="s">
        <v>270</v>
      </c>
      <c r="L16" s="241"/>
      <c r="M16" s="215"/>
      <c r="N16" s="215"/>
    </row>
    <row r="17" spans="1:14">
      <c r="A17" s="15">
        <v>8</v>
      </c>
      <c r="B17" s="1441" t="s">
        <v>312</v>
      </c>
      <c r="C17" s="1442"/>
      <c r="D17" s="1442"/>
      <c r="E17" s="1442"/>
      <c r="F17" s="1442"/>
      <c r="G17" s="1446"/>
      <c r="H17" s="216" t="s">
        <v>269</v>
      </c>
      <c r="I17" s="217"/>
      <c r="J17" s="218"/>
      <c r="K17" s="216" t="s">
        <v>270</v>
      </c>
      <c r="L17" s="241"/>
      <c r="M17" s="215"/>
      <c r="N17" s="215"/>
    </row>
    <row r="18" spans="1:14">
      <c r="A18" s="15"/>
      <c r="B18" s="188"/>
      <c r="C18" s="220"/>
      <c r="D18" s="220"/>
      <c r="E18" s="220"/>
      <c r="F18" s="220" t="s">
        <v>271</v>
      </c>
      <c r="G18" s="220"/>
      <c r="H18" s="220"/>
      <c r="I18" s="220"/>
      <c r="J18" s="220"/>
      <c r="K18" s="220"/>
      <c r="L18" s="242"/>
      <c r="M18" s="219"/>
      <c r="N18" s="219"/>
    </row>
    <row r="19" spans="1:14">
      <c r="A19" s="15">
        <v>9</v>
      </c>
      <c r="B19" s="201" t="s">
        <v>272</v>
      </c>
      <c r="C19" s="202" t="s">
        <v>273</v>
      </c>
      <c r="D19" s="202"/>
      <c r="E19" s="202"/>
      <c r="F19" s="202"/>
      <c r="G19" s="203"/>
      <c r="H19" s="212"/>
      <c r="I19" s="202"/>
      <c r="J19" s="202"/>
      <c r="K19" s="202"/>
      <c r="L19" s="240"/>
      <c r="M19" s="199"/>
      <c r="N19" s="199"/>
    </row>
    <row r="20" spans="1:14" ht="21.75" customHeight="1">
      <c r="A20" s="90"/>
      <c r="B20" s="201" t="s">
        <v>274</v>
      </c>
      <c r="C20" s="202" t="s">
        <v>275</v>
      </c>
      <c r="D20" s="202"/>
      <c r="E20" s="202"/>
      <c r="F20" s="202"/>
      <c r="G20" s="203"/>
      <c r="H20" s="212"/>
      <c r="I20" s="202"/>
      <c r="J20" s="202"/>
      <c r="K20" s="202"/>
      <c r="L20" s="240"/>
      <c r="M20" s="199"/>
      <c r="N20" s="199"/>
    </row>
    <row r="21" spans="1:14" ht="27.95" customHeight="1">
      <c r="A21" s="90"/>
      <c r="B21" s="201" t="s">
        <v>313</v>
      </c>
      <c r="C21" s="202" t="s">
        <v>314</v>
      </c>
      <c r="D21" s="202"/>
      <c r="E21" s="202"/>
      <c r="F21" s="202"/>
      <c r="G21" s="203"/>
      <c r="H21" s="212"/>
      <c r="I21" s="202"/>
      <c r="J21" s="202"/>
      <c r="K21" s="202"/>
      <c r="L21" s="240"/>
    </row>
    <row r="22" spans="1:14" ht="27.95" customHeight="1">
      <c r="A22" s="90"/>
      <c r="B22" s="201" t="s">
        <v>277</v>
      </c>
      <c r="C22" s="202" t="s">
        <v>278</v>
      </c>
      <c r="D22" s="202"/>
      <c r="E22" s="202"/>
      <c r="F22" s="202"/>
      <c r="G22" s="203"/>
      <c r="H22" s="212"/>
      <c r="I22" s="202"/>
      <c r="J22" s="202"/>
      <c r="K22" s="202"/>
      <c r="L22" s="240"/>
    </row>
    <row r="23" spans="1:14" ht="27.95" customHeight="1">
      <c r="A23" s="90"/>
      <c r="B23" s="201" t="s">
        <v>279</v>
      </c>
      <c r="C23" s="202" t="s">
        <v>280</v>
      </c>
      <c r="D23" s="202"/>
      <c r="E23" s="202"/>
      <c r="F23" s="202"/>
      <c r="G23" s="203"/>
      <c r="H23" s="212"/>
      <c r="I23" s="202"/>
      <c r="J23" s="202"/>
      <c r="K23" s="202"/>
      <c r="L23" s="240"/>
    </row>
    <row r="24" spans="1:14" ht="27.95" customHeight="1">
      <c r="A24" s="90">
        <v>10</v>
      </c>
      <c r="B24" s="201" t="s">
        <v>272</v>
      </c>
      <c r="C24" s="202" t="s">
        <v>315</v>
      </c>
      <c r="D24" s="202"/>
      <c r="E24" s="202"/>
      <c r="F24" s="202"/>
      <c r="G24" s="203"/>
      <c r="H24" s="216" t="s">
        <v>269</v>
      </c>
      <c r="I24" s="217"/>
      <c r="J24" s="218"/>
      <c r="K24" s="216" t="s">
        <v>270</v>
      </c>
      <c r="L24" s="241"/>
    </row>
    <row r="25" spans="1:14" ht="27.95" customHeight="1">
      <c r="A25" s="90"/>
      <c r="B25" s="201" t="s">
        <v>274</v>
      </c>
      <c r="C25" s="202" t="s">
        <v>316</v>
      </c>
      <c r="D25" s="202"/>
      <c r="E25" s="202"/>
      <c r="F25" s="202"/>
      <c r="G25" s="203"/>
      <c r="H25" s="212"/>
      <c r="I25" s="202"/>
      <c r="J25" s="202"/>
      <c r="K25" s="202"/>
      <c r="L25" s="240"/>
    </row>
    <row r="26" spans="1:14" ht="27.95" customHeight="1">
      <c r="A26" s="90"/>
      <c r="B26" s="201" t="s">
        <v>313</v>
      </c>
      <c r="C26" s="202" t="s">
        <v>281</v>
      </c>
      <c r="D26" s="202"/>
      <c r="E26" s="202"/>
      <c r="F26" s="202"/>
      <c r="G26" s="203"/>
      <c r="H26" s="212"/>
      <c r="I26" s="202"/>
      <c r="J26" s="202"/>
      <c r="K26" s="202"/>
      <c r="L26" s="240"/>
    </row>
    <row r="27" spans="1:14" ht="27.95" customHeight="1">
      <c r="A27" s="90"/>
      <c r="B27" s="201" t="s">
        <v>277</v>
      </c>
      <c r="C27" s="202" t="s">
        <v>317</v>
      </c>
      <c r="D27" s="202"/>
      <c r="E27" s="202"/>
      <c r="F27" s="202"/>
      <c r="G27" s="203"/>
      <c r="H27" s="212"/>
      <c r="I27" s="202"/>
      <c r="J27" s="202"/>
      <c r="K27" s="202"/>
      <c r="L27" s="240"/>
    </row>
    <row r="28" spans="1:14" ht="27.95" customHeight="1">
      <c r="A28" s="15"/>
      <c r="B28" s="188"/>
      <c r="C28" s="220"/>
      <c r="D28" s="220"/>
      <c r="E28" s="220" t="s">
        <v>318</v>
      </c>
      <c r="F28" s="220"/>
      <c r="G28" s="220"/>
      <c r="H28" s="220"/>
      <c r="I28" s="220"/>
      <c r="J28" s="220"/>
      <c r="K28" s="220"/>
      <c r="L28" s="242"/>
    </row>
    <row r="29" spans="1:14" ht="27.95" customHeight="1">
      <c r="A29" s="15">
        <v>11</v>
      </c>
      <c r="B29" s="201" t="s">
        <v>272</v>
      </c>
      <c r="C29" s="202" t="s">
        <v>282</v>
      </c>
      <c r="D29" s="202"/>
      <c r="E29" s="202"/>
      <c r="F29" s="202"/>
      <c r="G29" s="203"/>
      <c r="H29" s="212"/>
      <c r="I29" s="202"/>
      <c r="J29" s="202"/>
      <c r="K29" s="202"/>
      <c r="L29" s="240"/>
    </row>
    <row r="30" spans="1:14" ht="27.95" customHeight="1">
      <c r="A30" s="15"/>
      <c r="B30" s="201" t="s">
        <v>274</v>
      </c>
      <c r="C30" s="202" t="s">
        <v>283</v>
      </c>
      <c r="D30" s="202"/>
      <c r="E30" s="202"/>
      <c r="F30" s="202"/>
      <c r="G30" s="203"/>
      <c r="H30" s="212"/>
      <c r="I30" s="202"/>
      <c r="J30" s="202"/>
      <c r="K30" s="202"/>
      <c r="L30" s="240"/>
    </row>
    <row r="31" spans="1:14" ht="27.95" customHeight="1">
      <c r="A31" s="15"/>
      <c r="B31" s="201" t="s">
        <v>276</v>
      </c>
      <c r="C31" s="202" t="s">
        <v>284</v>
      </c>
      <c r="D31" s="202"/>
      <c r="E31" s="202"/>
      <c r="F31" s="202"/>
      <c r="G31" s="203"/>
      <c r="H31" s="212"/>
      <c r="I31" s="202"/>
      <c r="J31" s="202"/>
      <c r="K31" s="202"/>
      <c r="L31" s="240"/>
    </row>
    <row r="32" spans="1:14" ht="20.25" customHeight="1">
      <c r="A32" s="15"/>
      <c r="B32" s="176"/>
      <c r="C32" s="172"/>
      <c r="D32" s="172"/>
      <c r="E32" s="172"/>
      <c r="F32" s="221" t="s">
        <v>285</v>
      </c>
      <c r="G32" s="172"/>
      <c r="H32" s="161"/>
      <c r="I32" s="161"/>
      <c r="J32" s="161"/>
      <c r="K32" s="161"/>
      <c r="L32" s="179"/>
    </row>
    <row r="33" spans="1:32" ht="27.95" customHeight="1">
      <c r="A33" s="15"/>
      <c r="B33" s="233" t="s">
        <v>286</v>
      </c>
      <c r="C33" s="232" t="s">
        <v>287</v>
      </c>
      <c r="D33" s="172"/>
      <c r="E33" s="172"/>
      <c r="F33" s="172"/>
      <c r="G33" s="172"/>
      <c r="H33" s="161"/>
      <c r="I33" s="161"/>
      <c r="J33" s="162"/>
      <c r="K33" s="161"/>
      <c r="L33" s="179"/>
    </row>
    <row r="34" spans="1:32" ht="19.5" customHeight="1">
      <c r="A34" s="15"/>
      <c r="B34" s="233" t="s">
        <v>288</v>
      </c>
      <c r="C34" s="231" t="s">
        <v>289</v>
      </c>
      <c r="D34" s="161"/>
      <c r="E34" s="162"/>
      <c r="G34" s="1447"/>
      <c r="H34" s="1447"/>
      <c r="I34" s="177"/>
      <c r="J34" s="178"/>
      <c r="K34" s="1447"/>
      <c r="L34" s="1448"/>
    </row>
    <row r="35" spans="1:32" ht="26.25" customHeight="1">
      <c r="A35" s="15"/>
      <c r="B35" s="234" t="s">
        <v>290</v>
      </c>
      <c r="C35" s="1449" t="s">
        <v>319</v>
      </c>
      <c r="D35" s="1449"/>
      <c r="E35" s="1449"/>
      <c r="F35" s="1449"/>
      <c r="G35" s="1449"/>
      <c r="H35" s="1449"/>
      <c r="I35" s="1449"/>
      <c r="J35" s="1449"/>
      <c r="K35" s="1449"/>
      <c r="L35" s="1450"/>
    </row>
    <row r="36" spans="1:32" ht="19.5" customHeight="1">
      <c r="A36" s="15"/>
      <c r="B36" s="233" t="s">
        <v>291</v>
      </c>
      <c r="C36" s="232" t="s">
        <v>292</v>
      </c>
      <c r="D36" s="224"/>
      <c r="E36" s="224"/>
      <c r="F36" s="224"/>
      <c r="G36" s="224"/>
      <c r="H36" s="224"/>
      <c r="I36" s="224"/>
      <c r="J36" s="224"/>
      <c r="K36" s="224"/>
      <c r="L36" s="243"/>
    </row>
    <row r="37" spans="1:32" ht="27.95" customHeight="1">
      <c r="A37" s="15"/>
      <c r="B37" s="176"/>
      <c r="C37" t="s">
        <v>320</v>
      </c>
      <c r="D37" s="284" t="e">
        <f>'04-22-Master'!#REF!</f>
        <v>#REF!</v>
      </c>
      <c r="E37" s="2"/>
      <c r="F37" s="2"/>
      <c r="G37" s="2"/>
      <c r="L37" s="16"/>
    </row>
    <row r="38" spans="1:32" ht="15" customHeight="1">
      <c r="A38" s="15"/>
      <c r="C38" t="s">
        <v>293</v>
      </c>
      <c r="D38" t="s">
        <v>382</v>
      </c>
      <c r="J38" t="s">
        <v>321</v>
      </c>
      <c r="L38" s="16"/>
    </row>
    <row r="39" spans="1:32" ht="15.75" customHeight="1">
      <c r="A39" s="15"/>
      <c r="L39" s="16"/>
    </row>
    <row r="40" spans="1:32">
      <c r="A40" s="15"/>
      <c r="F40" s="222" t="s">
        <v>294</v>
      </c>
      <c r="L40" s="16"/>
    </row>
    <row r="41" spans="1:32" ht="12.75" customHeight="1">
      <c r="A41" s="15" t="s">
        <v>322</v>
      </c>
      <c r="B41" t="s">
        <v>295</v>
      </c>
      <c r="E41" s="225" t="e">
        <f>'04-22-Master'!#REF!</f>
        <v>#REF!</v>
      </c>
      <c r="H41" s="1451" t="s">
        <v>296</v>
      </c>
      <c r="I41" s="1451"/>
      <c r="J41" s="226" t="e">
        <f>'04-22-Master'!#REF!</f>
        <v>#REF!</v>
      </c>
      <c r="K41" t="s">
        <v>297</v>
      </c>
      <c r="L41" s="16"/>
    </row>
    <row r="42" spans="1:32" ht="12.75" customHeight="1">
      <c r="A42" s="15"/>
      <c r="B42" s="1462" t="e">
        <f>'04-22-Master'!#REF!</f>
        <v>#REF!</v>
      </c>
      <c r="C42" s="1463"/>
      <c r="D42" s="223"/>
      <c r="E42" s="223"/>
      <c r="F42" s="223"/>
      <c r="G42" s="223"/>
      <c r="H42" s="223"/>
      <c r="I42" s="223"/>
      <c r="J42" s="223"/>
      <c r="K42" s="223"/>
      <c r="L42" s="244"/>
      <c r="M42" s="223"/>
      <c r="N42" s="223"/>
      <c r="O42" s="223"/>
      <c r="P42" s="223"/>
      <c r="Q42" s="223"/>
      <c r="R42" s="223"/>
      <c r="S42" s="223"/>
      <c r="T42" s="223"/>
      <c r="U42" s="223"/>
      <c r="V42" s="223"/>
      <c r="W42" s="223"/>
      <c r="X42" s="223"/>
      <c r="Y42" s="223"/>
      <c r="Z42" s="223"/>
      <c r="AA42" s="223"/>
      <c r="AB42" s="223"/>
      <c r="AC42" s="223"/>
      <c r="AD42" s="223"/>
      <c r="AE42" s="223"/>
      <c r="AF42" s="223"/>
    </row>
    <row r="43" spans="1:32" ht="12.75" customHeight="1">
      <c r="A43" s="15" t="s">
        <v>324</v>
      </c>
      <c r="B43" s="223" t="s">
        <v>298</v>
      </c>
      <c r="C43" s="223"/>
      <c r="D43" s="223"/>
      <c r="E43" s="223"/>
      <c r="F43" s="223"/>
      <c r="G43" s="223"/>
      <c r="H43" s="223"/>
      <c r="I43" s="223"/>
      <c r="J43" s="223"/>
      <c r="K43" s="223"/>
      <c r="L43" s="244"/>
      <c r="M43" s="223"/>
      <c r="N43" s="223"/>
      <c r="O43" s="223"/>
      <c r="P43" s="223"/>
      <c r="Q43" s="223"/>
      <c r="R43" s="223"/>
      <c r="S43" s="223"/>
      <c r="T43" s="223"/>
      <c r="U43" s="223"/>
      <c r="V43" s="223"/>
      <c r="W43" s="223"/>
      <c r="X43" s="223"/>
      <c r="Y43" s="223"/>
      <c r="Z43" s="223"/>
      <c r="AA43" s="223"/>
      <c r="AB43" s="223"/>
      <c r="AC43" s="223"/>
      <c r="AD43" s="223"/>
      <c r="AE43" s="223"/>
      <c r="AF43" s="223"/>
    </row>
    <row r="44" spans="1:32" ht="12.75" customHeight="1">
      <c r="A44" s="15"/>
      <c r="B44" s="223" t="s">
        <v>323</v>
      </c>
      <c r="C44" s="223"/>
      <c r="D44" s="223"/>
      <c r="E44" s="223"/>
      <c r="F44" s="223"/>
      <c r="G44" s="223"/>
      <c r="H44" s="223"/>
      <c r="I44" s="223"/>
      <c r="J44" s="223"/>
      <c r="K44" s="223"/>
      <c r="L44" s="244"/>
      <c r="M44" s="223"/>
      <c r="N44" s="223"/>
      <c r="O44" s="223"/>
      <c r="P44" s="223"/>
      <c r="Q44" s="223"/>
      <c r="R44" s="223"/>
      <c r="S44" s="223"/>
      <c r="T44" s="223"/>
      <c r="U44" s="223"/>
      <c r="V44" s="223"/>
      <c r="W44" s="223"/>
      <c r="X44" s="223"/>
      <c r="Y44" s="223"/>
      <c r="Z44" s="223"/>
      <c r="AA44" s="223"/>
      <c r="AB44" s="223"/>
      <c r="AC44" s="223"/>
      <c r="AD44" s="223"/>
      <c r="AE44" s="223"/>
      <c r="AF44" s="223"/>
    </row>
    <row r="45" spans="1:32" ht="12.75" customHeight="1">
      <c r="A45" s="15"/>
      <c r="B45" t="s">
        <v>299</v>
      </c>
      <c r="L45" s="16"/>
    </row>
    <row r="46" spans="1:32" ht="12.75" customHeight="1">
      <c r="A46" s="15"/>
      <c r="B46" s="2" t="s">
        <v>300</v>
      </c>
      <c r="F46" s="175"/>
      <c r="L46" s="16"/>
    </row>
    <row r="47" spans="1:32" ht="12.75" customHeight="1">
      <c r="A47" s="15"/>
      <c r="B47" s="2" t="s">
        <v>301</v>
      </c>
      <c r="L47" s="16"/>
    </row>
    <row r="48" spans="1:32" ht="12.75" customHeight="1">
      <c r="A48" s="15"/>
      <c r="B48" t="s">
        <v>302</v>
      </c>
      <c r="L48" s="16"/>
    </row>
    <row r="49" spans="1:12" ht="12.75" customHeight="1">
      <c r="A49" s="15"/>
      <c r="B49" t="s">
        <v>303</v>
      </c>
      <c r="L49" s="16"/>
    </row>
    <row r="50" spans="1:12" ht="12.75" customHeight="1">
      <c r="A50" s="15" t="s">
        <v>313</v>
      </c>
      <c r="B50" t="s">
        <v>304</v>
      </c>
      <c r="L50" s="16"/>
    </row>
    <row r="51" spans="1:12" ht="12.75" customHeight="1">
      <c r="A51" s="15"/>
      <c r="B51" s="235" t="s">
        <v>325</v>
      </c>
      <c r="L51" s="16"/>
    </row>
    <row r="52" spans="1:12" ht="12.75" customHeight="1">
      <c r="A52" s="15"/>
      <c r="B52" t="s">
        <v>299</v>
      </c>
      <c r="L52" s="16"/>
    </row>
    <row r="53" spans="1:12" ht="12.75" customHeight="1">
      <c r="A53" s="15"/>
      <c r="B53" t="s">
        <v>305</v>
      </c>
      <c r="L53" s="16"/>
    </row>
    <row r="54" spans="1:12" ht="12.75" customHeight="1">
      <c r="A54" s="15"/>
      <c r="B54" t="s">
        <v>306</v>
      </c>
      <c r="L54" s="16"/>
    </row>
    <row r="55" spans="1:12" ht="15.75" customHeight="1">
      <c r="A55" s="15"/>
      <c r="B55" s="1464" t="s">
        <v>307</v>
      </c>
      <c r="C55" s="1464"/>
      <c r="D55" s="1464"/>
      <c r="E55" s="1464"/>
      <c r="F55" s="1464"/>
      <c r="G55" s="1464"/>
      <c r="H55" s="1464"/>
      <c r="I55" s="1464"/>
      <c r="J55" s="1464"/>
      <c r="K55" s="1464"/>
      <c r="L55" s="1465"/>
    </row>
    <row r="56" spans="1:12" ht="23.25">
      <c r="A56" s="15"/>
      <c r="B56" t="s">
        <v>219</v>
      </c>
      <c r="C56" s="284" t="e">
        <f>D37</f>
        <v>#REF!</v>
      </c>
      <c r="D56" s="205"/>
      <c r="E56" s="205"/>
      <c r="F56" s="205"/>
      <c r="G56" s="205"/>
      <c r="H56" s="205"/>
      <c r="I56" t="s">
        <v>326</v>
      </c>
      <c r="J56" s="205"/>
      <c r="K56" s="205"/>
      <c r="L56" s="236"/>
    </row>
    <row r="57" spans="1:12" ht="16.5" thickBot="1">
      <c r="A57" s="27"/>
      <c r="B57" s="1241"/>
      <c r="C57" s="1241"/>
      <c r="D57" s="1241"/>
      <c r="E57" s="1241"/>
      <c r="F57" s="1241"/>
      <c r="G57" s="1241"/>
      <c r="H57" s="1241"/>
      <c r="I57" s="1241"/>
      <c r="J57" s="1241"/>
      <c r="K57" s="1241"/>
      <c r="L57" s="1242"/>
    </row>
    <row r="58" spans="1:12" ht="27.95" customHeight="1" thickBot="1">
      <c r="A58" s="12"/>
      <c r="B58" s="1400"/>
      <c r="C58" s="1400"/>
      <c r="D58" s="1400"/>
      <c r="E58" s="1400"/>
      <c r="F58" s="1400"/>
      <c r="G58" s="1400"/>
      <c r="H58" s="1398"/>
      <c r="I58" s="1398"/>
      <c r="J58" s="1398"/>
      <c r="K58" s="1398"/>
      <c r="L58" s="1398"/>
    </row>
    <row r="59" spans="1:12" ht="27.95" customHeight="1">
      <c r="A59" s="79"/>
      <c r="B59" s="80"/>
      <c r="C59" s="80"/>
      <c r="D59" s="80"/>
      <c r="E59" s="80"/>
      <c r="F59" s="80"/>
      <c r="G59" s="80"/>
      <c r="H59" s="80"/>
      <c r="I59" s="84" t="s">
        <v>253</v>
      </c>
      <c r="J59" s="80"/>
      <c r="K59" s="80"/>
      <c r="L59" s="81"/>
    </row>
    <row r="60" spans="1:12" ht="27.95" customHeight="1">
      <c r="A60" s="15"/>
      <c r="B60" s="1452" t="s">
        <v>308</v>
      </c>
      <c r="C60" s="1452"/>
      <c r="D60" s="1452"/>
      <c r="E60" s="1452"/>
      <c r="F60" s="1452"/>
      <c r="G60" s="1452"/>
      <c r="H60" s="1452"/>
      <c r="I60" s="1452"/>
      <c r="J60" s="1452"/>
      <c r="K60" s="1452"/>
      <c r="L60" s="1453"/>
    </row>
    <row r="61" spans="1:12" ht="27.95" customHeight="1">
      <c r="A61" s="15"/>
      <c r="B61" s="205"/>
      <c r="C61" s="205"/>
      <c r="D61" s="213" t="s">
        <v>255</v>
      </c>
      <c r="E61" s="205"/>
      <c r="F61" s="205"/>
      <c r="G61" s="205"/>
      <c r="H61" s="205"/>
      <c r="I61" s="207" t="s">
        <v>309</v>
      </c>
      <c r="J61" s="208"/>
      <c r="K61" s="288" t="e">
        <f>'04-22-Master'!#REF!</f>
        <v>#REF!</v>
      </c>
      <c r="L61" s="238"/>
    </row>
    <row r="62" spans="1:12" ht="21.75" customHeight="1">
      <c r="A62" s="15"/>
      <c r="B62" s="1"/>
      <c r="C62" s="1" t="s">
        <v>256</v>
      </c>
      <c r="E62" s="1"/>
      <c r="F62" s="1"/>
      <c r="G62" s="1"/>
      <c r="H62" s="1"/>
      <c r="I62" s="206" t="s">
        <v>310</v>
      </c>
      <c r="J62" s="227" t="str">
        <f>'04-22-Master'!F5</f>
        <v>Burgeon IT Services Pvt.Ltd.</v>
      </c>
      <c r="K62" s="209"/>
      <c r="L62" s="239"/>
    </row>
    <row r="63" spans="1:12" ht="20.25" customHeight="1">
      <c r="A63" s="15"/>
      <c r="B63" s="214"/>
      <c r="C63" s="183" t="s">
        <v>257</v>
      </c>
      <c r="E63" s="214"/>
      <c r="F63" s="214"/>
      <c r="H63" s="184"/>
      <c r="I63" s="230" t="str">
        <f>'04-22-Master'!F6</f>
        <v>Siri Mansion LIGB 436 Dr.A S Rao Nagar,Hyderabad</v>
      </c>
      <c r="J63" s="228"/>
      <c r="K63" s="229"/>
      <c r="L63" s="193"/>
    </row>
    <row r="64" spans="1:12" ht="18.75" customHeight="1">
      <c r="A64" s="15"/>
      <c r="L64" s="16"/>
    </row>
    <row r="65" spans="1:12" ht="27.95" customHeight="1">
      <c r="A65" s="15">
        <v>1</v>
      </c>
      <c r="B65" s="210" t="s">
        <v>258</v>
      </c>
      <c r="C65" s="65"/>
      <c r="D65" s="65"/>
      <c r="E65" s="65"/>
      <c r="F65" s="65"/>
      <c r="G65" s="66"/>
      <c r="H65" s="1416" t="e">
        <f>'04-22-Master'!#REF!</f>
        <v>#REF!</v>
      </c>
      <c r="I65" s="1434"/>
      <c r="J65" s="1434"/>
      <c r="K65" s="1434"/>
      <c r="L65" s="1435"/>
    </row>
    <row r="66" spans="1:12" ht="21.75" customHeight="1">
      <c r="A66" s="15">
        <v>2</v>
      </c>
      <c r="B66" s="1454" t="s">
        <v>259</v>
      </c>
      <c r="C66" s="1455"/>
      <c r="D66" s="1455"/>
      <c r="E66" s="1455"/>
      <c r="F66" s="211" t="s">
        <v>260</v>
      </c>
      <c r="G66" s="195"/>
      <c r="H66" s="1456" t="e">
        <f>'04-22-Master'!#REF!</f>
        <v>#REF!</v>
      </c>
      <c r="I66" s="1457"/>
      <c r="J66" s="1457"/>
      <c r="K66" s="1457"/>
      <c r="L66" s="1458"/>
    </row>
    <row r="67" spans="1:12" ht="12.75" customHeight="1">
      <c r="A67" s="15"/>
      <c r="B67" s="196" t="s">
        <v>261</v>
      </c>
      <c r="C67" s="197"/>
      <c r="D67" s="197"/>
      <c r="E67" s="197"/>
      <c r="F67" s="197" t="s">
        <v>254</v>
      </c>
      <c r="G67" s="198"/>
      <c r="H67" s="1459"/>
      <c r="I67" s="1460"/>
      <c r="J67" s="1460"/>
      <c r="K67" s="1460"/>
      <c r="L67" s="1461"/>
    </row>
    <row r="68" spans="1:12" ht="27.95" customHeight="1">
      <c r="A68" s="15">
        <v>3</v>
      </c>
      <c r="B68" s="212" t="s">
        <v>262</v>
      </c>
      <c r="C68" s="202"/>
      <c r="D68" s="202"/>
      <c r="E68" s="202"/>
      <c r="F68" s="202"/>
      <c r="G68" s="203"/>
      <c r="H68" s="1441" t="e">
        <f>'04-22-Master'!#REF!</f>
        <v>#REF!</v>
      </c>
      <c r="I68" s="1442"/>
      <c r="J68" s="1442"/>
      <c r="K68" s="1442"/>
      <c r="L68" s="1446"/>
    </row>
    <row r="69" spans="1:12" ht="27.95" customHeight="1">
      <c r="A69" s="15">
        <v>4</v>
      </c>
      <c r="B69" s="188" t="s">
        <v>263</v>
      </c>
      <c r="C69" s="65"/>
      <c r="D69" s="65"/>
      <c r="E69" s="65"/>
      <c r="F69" s="65"/>
      <c r="G69" s="66"/>
      <c r="H69" s="1414" t="e">
        <f>'04-22-Master'!#REF!</f>
        <v>#REF!</v>
      </c>
      <c r="I69" s="1429"/>
      <c r="J69" s="1429"/>
      <c r="K69" s="1429"/>
      <c r="L69" s="1425"/>
    </row>
    <row r="70" spans="1:12" ht="27.95" customHeight="1">
      <c r="A70" s="15">
        <v>5</v>
      </c>
      <c r="B70" s="1444" t="s">
        <v>311</v>
      </c>
      <c r="C70" s="1445"/>
      <c r="D70" s="1445"/>
      <c r="E70" s="1445"/>
      <c r="F70" s="1445"/>
      <c r="G70" s="66"/>
      <c r="H70" s="1433" t="s">
        <v>389</v>
      </c>
      <c r="I70" s="1434"/>
      <c r="J70" s="1434"/>
      <c r="K70" s="1434"/>
      <c r="L70" s="1435"/>
    </row>
    <row r="71" spans="1:12" ht="21.75" customHeight="1">
      <c r="A71" s="15">
        <v>6</v>
      </c>
      <c r="B71" s="201" t="s">
        <v>264</v>
      </c>
      <c r="C71" s="202" t="s">
        <v>265</v>
      </c>
      <c r="D71" s="202"/>
      <c r="E71" s="202"/>
      <c r="F71" s="202"/>
      <c r="G71" s="203"/>
      <c r="H71" s="212"/>
      <c r="I71" s="202"/>
      <c r="J71" s="202"/>
      <c r="K71" s="202"/>
      <c r="L71" s="240"/>
    </row>
    <row r="72" spans="1:12" ht="22.5" customHeight="1">
      <c r="A72" s="15"/>
      <c r="B72" s="201" t="s">
        <v>266</v>
      </c>
      <c r="C72" s="202" t="s">
        <v>267</v>
      </c>
      <c r="D72" s="202"/>
      <c r="E72" s="202"/>
      <c r="F72" s="202"/>
      <c r="G72" s="203"/>
      <c r="H72" s="212"/>
      <c r="I72" s="194"/>
      <c r="J72" s="194"/>
      <c r="K72" s="202"/>
      <c r="L72" s="240"/>
    </row>
    <row r="73" spans="1:12">
      <c r="A73" s="15">
        <v>7</v>
      </c>
      <c r="B73" s="1441" t="s">
        <v>268</v>
      </c>
      <c r="C73" s="1442"/>
      <c r="D73" s="1442"/>
      <c r="E73" s="1442"/>
      <c r="F73" s="1442"/>
      <c r="G73" s="1446"/>
      <c r="H73" s="216" t="s">
        <v>269</v>
      </c>
      <c r="I73" s="217"/>
      <c r="J73" s="218"/>
      <c r="K73" s="216" t="s">
        <v>270</v>
      </c>
      <c r="L73" s="241"/>
    </row>
    <row r="74" spans="1:12">
      <c r="A74" s="15">
        <v>8</v>
      </c>
      <c r="B74" s="1441" t="s">
        <v>312</v>
      </c>
      <c r="C74" s="1442"/>
      <c r="D74" s="1442"/>
      <c r="E74" s="1442"/>
      <c r="F74" s="1442"/>
      <c r="G74" s="1446"/>
      <c r="H74" s="216" t="s">
        <v>269</v>
      </c>
      <c r="I74" s="217"/>
      <c r="J74" s="218"/>
      <c r="K74" s="216" t="s">
        <v>270</v>
      </c>
      <c r="L74" s="241"/>
    </row>
    <row r="75" spans="1:12">
      <c r="A75" s="15"/>
      <c r="B75" s="188"/>
      <c r="C75" s="220"/>
      <c r="D75" s="220"/>
      <c r="E75" s="220"/>
      <c r="F75" s="220" t="s">
        <v>271</v>
      </c>
      <c r="G75" s="220"/>
      <c r="H75" s="220"/>
      <c r="I75" s="220"/>
      <c r="J75" s="220"/>
      <c r="K75" s="220"/>
      <c r="L75" s="242"/>
    </row>
    <row r="76" spans="1:12">
      <c r="A76" s="15">
        <v>9</v>
      </c>
      <c r="B76" s="201" t="s">
        <v>272</v>
      </c>
      <c r="C76" s="202" t="s">
        <v>273</v>
      </c>
      <c r="D76" s="202"/>
      <c r="E76" s="202"/>
      <c r="F76" s="202"/>
      <c r="G76" s="203"/>
      <c r="H76" s="212"/>
      <c r="I76" s="202"/>
      <c r="J76" s="202"/>
      <c r="K76" s="202"/>
      <c r="L76" s="240"/>
    </row>
    <row r="77" spans="1:12">
      <c r="A77" s="90"/>
      <c r="B77" s="201" t="s">
        <v>274</v>
      </c>
      <c r="C77" s="202" t="s">
        <v>275</v>
      </c>
      <c r="D77" s="202"/>
      <c r="E77" s="202"/>
      <c r="F77" s="202"/>
      <c r="G77" s="203"/>
      <c r="H77" s="212"/>
      <c r="I77" s="202"/>
      <c r="J77" s="202"/>
      <c r="K77" s="202"/>
      <c r="L77" s="240"/>
    </row>
    <row r="78" spans="1:12">
      <c r="A78" s="90"/>
      <c r="B78" s="201" t="s">
        <v>313</v>
      </c>
      <c r="C78" s="202" t="s">
        <v>314</v>
      </c>
      <c r="D78" s="202"/>
      <c r="E78" s="202"/>
      <c r="F78" s="202"/>
      <c r="G78" s="203"/>
      <c r="H78" s="212"/>
      <c r="I78" s="202"/>
      <c r="J78" s="202"/>
      <c r="K78" s="202"/>
      <c r="L78" s="240"/>
    </row>
    <row r="79" spans="1:12">
      <c r="A79" s="90"/>
      <c r="B79" s="201" t="s">
        <v>277</v>
      </c>
      <c r="C79" s="202" t="s">
        <v>278</v>
      </c>
      <c r="D79" s="202"/>
      <c r="E79" s="202"/>
      <c r="F79" s="202"/>
      <c r="G79" s="203"/>
      <c r="H79" s="212"/>
      <c r="I79" s="202"/>
      <c r="J79" s="202"/>
      <c r="K79" s="202"/>
      <c r="L79" s="240"/>
    </row>
    <row r="80" spans="1:12">
      <c r="A80" s="90"/>
      <c r="B80" s="201" t="s">
        <v>279</v>
      </c>
      <c r="C80" s="202" t="s">
        <v>280</v>
      </c>
      <c r="D80" s="202"/>
      <c r="E80" s="202"/>
      <c r="F80" s="202"/>
      <c r="G80" s="203"/>
      <c r="H80" s="212"/>
      <c r="I80" s="202"/>
      <c r="J80" s="202"/>
      <c r="K80" s="202"/>
      <c r="L80" s="240"/>
    </row>
    <row r="81" spans="1:12">
      <c r="A81" s="90">
        <v>10</v>
      </c>
      <c r="B81" s="201" t="s">
        <v>272</v>
      </c>
      <c r="C81" s="202" t="s">
        <v>315</v>
      </c>
      <c r="D81" s="202"/>
      <c r="E81" s="202"/>
      <c r="F81" s="202"/>
      <c r="G81" s="203"/>
      <c r="H81" s="216" t="s">
        <v>269</v>
      </c>
      <c r="I81" s="217"/>
      <c r="J81" s="218"/>
      <c r="K81" s="216" t="s">
        <v>270</v>
      </c>
      <c r="L81" s="241"/>
    </row>
    <row r="82" spans="1:12">
      <c r="A82" s="90"/>
      <c r="B82" s="201" t="s">
        <v>274</v>
      </c>
      <c r="C82" s="202" t="s">
        <v>316</v>
      </c>
      <c r="D82" s="202"/>
      <c r="E82" s="202"/>
      <c r="F82" s="202"/>
      <c r="G82" s="203"/>
      <c r="H82" s="212"/>
      <c r="I82" s="202"/>
      <c r="J82" s="202"/>
      <c r="K82" s="202"/>
      <c r="L82" s="240"/>
    </row>
    <row r="83" spans="1:12">
      <c r="A83" s="90"/>
      <c r="B83" s="201" t="s">
        <v>313</v>
      </c>
      <c r="C83" s="202" t="s">
        <v>281</v>
      </c>
      <c r="D83" s="202"/>
      <c r="E83" s="202"/>
      <c r="F83" s="202"/>
      <c r="G83" s="203"/>
      <c r="H83" s="212"/>
      <c r="I83" s="202"/>
      <c r="J83" s="202"/>
      <c r="K83" s="202"/>
      <c r="L83" s="240"/>
    </row>
    <row r="84" spans="1:12">
      <c r="A84" s="90"/>
      <c r="B84" s="201" t="s">
        <v>277</v>
      </c>
      <c r="C84" s="202" t="s">
        <v>317</v>
      </c>
      <c r="D84" s="202"/>
      <c r="E84" s="202"/>
      <c r="F84" s="202"/>
      <c r="G84" s="203"/>
      <c r="H84" s="212"/>
      <c r="I84" s="202"/>
      <c r="J84" s="202"/>
      <c r="K84" s="202"/>
      <c r="L84" s="240"/>
    </row>
    <row r="85" spans="1:12">
      <c r="A85" s="15"/>
      <c r="B85" s="188"/>
      <c r="C85" s="220"/>
      <c r="D85" s="220"/>
      <c r="E85" s="220" t="s">
        <v>318</v>
      </c>
      <c r="F85" s="220"/>
      <c r="G85" s="220"/>
      <c r="H85" s="220"/>
      <c r="I85" s="220"/>
      <c r="J85" s="220"/>
      <c r="K85" s="220"/>
      <c r="L85" s="242"/>
    </row>
    <row r="86" spans="1:12">
      <c r="A86" s="15">
        <v>11</v>
      </c>
      <c r="B86" s="201" t="s">
        <v>272</v>
      </c>
      <c r="C86" s="202" t="s">
        <v>282</v>
      </c>
      <c r="D86" s="202"/>
      <c r="E86" s="202"/>
      <c r="F86" s="202"/>
      <c r="G86" s="203"/>
      <c r="H86" s="212"/>
      <c r="I86" s="202"/>
      <c r="J86" s="202"/>
      <c r="K86" s="202"/>
      <c r="L86" s="240"/>
    </row>
    <row r="87" spans="1:12">
      <c r="A87" s="15"/>
      <c r="B87" s="201" t="s">
        <v>274</v>
      </c>
      <c r="C87" s="202" t="s">
        <v>283</v>
      </c>
      <c r="D87" s="202"/>
      <c r="E87" s="202"/>
      <c r="F87" s="202"/>
      <c r="G87" s="203"/>
      <c r="H87" s="212"/>
      <c r="I87" s="202"/>
      <c r="J87" s="202"/>
      <c r="K87" s="202"/>
      <c r="L87" s="240"/>
    </row>
    <row r="88" spans="1:12">
      <c r="A88" s="15"/>
      <c r="B88" s="201" t="s">
        <v>276</v>
      </c>
      <c r="C88" s="202" t="s">
        <v>284</v>
      </c>
      <c r="D88" s="202"/>
      <c r="E88" s="202"/>
      <c r="F88" s="202"/>
      <c r="G88" s="203"/>
      <c r="H88" s="212"/>
      <c r="I88" s="202"/>
      <c r="J88" s="202"/>
      <c r="K88" s="202"/>
      <c r="L88" s="240"/>
    </row>
    <row r="89" spans="1:12">
      <c r="A89" s="15"/>
      <c r="B89" s="176"/>
      <c r="C89" s="172"/>
      <c r="D89" s="172"/>
      <c r="E89" s="172"/>
      <c r="F89" s="221" t="s">
        <v>285</v>
      </c>
      <c r="G89" s="172"/>
      <c r="H89" s="161"/>
      <c r="I89" s="161"/>
      <c r="J89" s="161"/>
      <c r="K89" s="161"/>
      <c r="L89" s="179"/>
    </row>
    <row r="90" spans="1:12">
      <c r="A90" s="15"/>
      <c r="B90" s="233" t="s">
        <v>286</v>
      </c>
      <c r="C90" s="232" t="s">
        <v>287</v>
      </c>
      <c r="D90" s="172"/>
      <c r="E90" s="172"/>
      <c r="F90" s="172"/>
      <c r="G90" s="172"/>
      <c r="H90" s="161"/>
      <c r="I90" s="161"/>
      <c r="J90" s="162"/>
      <c r="K90" s="161"/>
      <c r="L90" s="179"/>
    </row>
    <row r="91" spans="1:12">
      <c r="A91" s="15"/>
      <c r="B91" s="233" t="s">
        <v>288</v>
      </c>
      <c r="C91" s="231" t="s">
        <v>289</v>
      </c>
      <c r="D91" s="161"/>
      <c r="E91" s="162"/>
      <c r="G91" s="1447"/>
      <c r="H91" s="1447"/>
      <c r="I91" s="177"/>
      <c r="J91" s="178"/>
      <c r="K91" s="1447"/>
      <c r="L91" s="1448"/>
    </row>
    <row r="92" spans="1:12">
      <c r="A92" s="15"/>
      <c r="B92" s="234" t="s">
        <v>290</v>
      </c>
      <c r="C92" s="1449" t="s">
        <v>319</v>
      </c>
      <c r="D92" s="1449"/>
      <c r="E92" s="1449"/>
      <c r="F92" s="1449"/>
      <c r="G92" s="1449"/>
      <c r="H92" s="1449"/>
      <c r="I92" s="1449"/>
      <c r="J92" s="1449"/>
      <c r="K92" s="1449"/>
      <c r="L92" s="1450"/>
    </row>
    <row r="93" spans="1:12">
      <c r="A93" s="15"/>
      <c r="B93" s="233" t="s">
        <v>291</v>
      </c>
      <c r="C93" s="232" t="s">
        <v>292</v>
      </c>
      <c r="D93" s="224"/>
      <c r="E93" s="224"/>
      <c r="F93" s="224"/>
      <c r="G93" s="224"/>
      <c r="H93" s="224"/>
      <c r="I93" s="224"/>
      <c r="J93" s="224"/>
      <c r="K93" s="224"/>
      <c r="L93" s="243"/>
    </row>
    <row r="94" spans="1:12" ht="15" customHeight="1">
      <c r="A94" s="15"/>
      <c r="B94" s="176"/>
      <c r="C94" t="s">
        <v>320</v>
      </c>
      <c r="D94" s="284" t="e">
        <f>'04-22-Master'!#REF!</f>
        <v>#REF!</v>
      </c>
      <c r="E94" s="2"/>
      <c r="F94" s="2"/>
      <c r="G94" s="2"/>
      <c r="L94" s="16"/>
    </row>
    <row r="95" spans="1:12">
      <c r="A95" s="15"/>
      <c r="C95" t="s">
        <v>293</v>
      </c>
      <c r="D95" t="s">
        <v>382</v>
      </c>
      <c r="J95" t="s">
        <v>321</v>
      </c>
      <c r="L95" s="16"/>
    </row>
    <row r="96" spans="1:12">
      <c r="A96" s="15"/>
      <c r="L96" s="16"/>
    </row>
    <row r="97" spans="1:12">
      <c r="A97" s="15"/>
      <c r="F97" s="222" t="s">
        <v>294</v>
      </c>
      <c r="L97" s="16"/>
    </row>
    <row r="98" spans="1:12">
      <c r="A98" s="15" t="s">
        <v>322</v>
      </c>
      <c r="B98" t="s">
        <v>295</v>
      </c>
      <c r="E98" s="225" t="e">
        <f>'04-22-Master'!#REF!</f>
        <v>#REF!</v>
      </c>
      <c r="H98" s="1451" t="s">
        <v>296</v>
      </c>
      <c r="I98" s="1451"/>
      <c r="J98" s="226" t="e">
        <f>'04-22-Master'!#REF!</f>
        <v>#REF!</v>
      </c>
      <c r="K98" t="s">
        <v>297</v>
      </c>
      <c r="L98" s="16"/>
    </row>
    <row r="99" spans="1:12">
      <c r="A99" s="15"/>
      <c r="B99" s="1462" t="e">
        <f>'04-22-Master'!#REF!</f>
        <v>#REF!</v>
      </c>
      <c r="C99" s="1463"/>
      <c r="D99" s="223"/>
      <c r="E99" s="223"/>
      <c r="F99" s="223"/>
      <c r="G99" s="223"/>
      <c r="H99" s="223"/>
      <c r="I99" s="223"/>
      <c r="J99" s="223"/>
      <c r="K99" s="223"/>
      <c r="L99" s="244"/>
    </row>
    <row r="100" spans="1:12">
      <c r="A100" s="15" t="s">
        <v>324</v>
      </c>
      <c r="B100" s="223" t="s">
        <v>298</v>
      </c>
      <c r="C100" s="223"/>
      <c r="D100" s="223"/>
      <c r="E100" s="223"/>
      <c r="F100" s="223"/>
      <c r="G100" s="223"/>
      <c r="H100" s="223"/>
      <c r="I100" s="223"/>
      <c r="J100" s="223"/>
      <c r="K100" s="223"/>
      <c r="L100" s="244"/>
    </row>
    <row r="101" spans="1:12">
      <c r="A101" s="15"/>
      <c r="B101" s="223" t="s">
        <v>323</v>
      </c>
      <c r="C101" s="223"/>
      <c r="D101" s="223"/>
      <c r="E101" s="223"/>
      <c r="F101" s="223"/>
      <c r="G101" s="223"/>
      <c r="H101" s="223"/>
      <c r="I101" s="223"/>
      <c r="J101" s="223"/>
      <c r="K101" s="223"/>
      <c r="L101" s="244"/>
    </row>
    <row r="102" spans="1:12">
      <c r="A102" s="15"/>
      <c r="B102" t="s">
        <v>299</v>
      </c>
      <c r="L102" s="16"/>
    </row>
    <row r="103" spans="1:12" ht="18.75">
      <c r="A103" s="15"/>
      <c r="B103" s="2" t="s">
        <v>300</v>
      </c>
      <c r="F103" s="175"/>
      <c r="L103" s="16"/>
    </row>
    <row r="104" spans="1:12">
      <c r="A104" s="15"/>
      <c r="B104" s="2" t="s">
        <v>301</v>
      </c>
      <c r="L104" s="16"/>
    </row>
    <row r="105" spans="1:12">
      <c r="A105" s="15"/>
      <c r="B105" t="s">
        <v>302</v>
      </c>
      <c r="L105" s="16"/>
    </row>
    <row r="106" spans="1:12">
      <c r="A106" s="15"/>
      <c r="B106" t="s">
        <v>303</v>
      </c>
      <c r="L106" s="16"/>
    </row>
    <row r="107" spans="1:12">
      <c r="A107" s="15" t="s">
        <v>313</v>
      </c>
      <c r="B107" t="s">
        <v>304</v>
      </c>
      <c r="L107" s="16"/>
    </row>
    <row r="108" spans="1:12">
      <c r="A108" s="15"/>
      <c r="B108" s="235" t="s">
        <v>325</v>
      </c>
      <c r="L108" s="16"/>
    </row>
    <row r="109" spans="1:12" ht="27.95" customHeight="1">
      <c r="A109" s="15"/>
      <c r="B109" t="s">
        <v>299</v>
      </c>
      <c r="L109" s="16"/>
    </row>
    <row r="110" spans="1:12" ht="27.95" customHeight="1">
      <c r="A110" s="15"/>
      <c r="B110" t="s">
        <v>305</v>
      </c>
      <c r="L110" s="16"/>
    </row>
    <row r="111" spans="1:12" ht="27.95" customHeight="1">
      <c r="A111" s="15"/>
      <c r="B111" t="s">
        <v>306</v>
      </c>
      <c r="L111" s="16"/>
    </row>
    <row r="112" spans="1:12" ht="27.95" customHeight="1">
      <c r="A112" s="15"/>
      <c r="B112" s="1464" t="s">
        <v>307</v>
      </c>
      <c r="C112" s="1464"/>
      <c r="D112" s="1464"/>
      <c r="E112" s="1464"/>
      <c r="F112" s="1464"/>
      <c r="G112" s="1464"/>
      <c r="H112" s="1464"/>
      <c r="I112" s="1464"/>
      <c r="J112" s="1464"/>
      <c r="K112" s="1464"/>
      <c r="L112" s="1465"/>
    </row>
    <row r="113" spans="1:12" ht="27.95" customHeight="1">
      <c r="A113" s="15"/>
      <c r="B113" t="s">
        <v>219</v>
      </c>
      <c r="C113" s="284" t="e">
        <f>D94</f>
        <v>#REF!</v>
      </c>
      <c r="D113" s="205"/>
      <c r="E113" s="205"/>
      <c r="F113" s="205"/>
      <c r="G113" s="205"/>
      <c r="H113" s="205"/>
      <c r="I113" t="s">
        <v>326</v>
      </c>
      <c r="J113" s="205"/>
      <c r="K113" s="205"/>
      <c r="L113" s="236"/>
    </row>
    <row r="114" spans="1:12" ht="27.95" customHeight="1" thickBot="1">
      <c r="A114" s="27"/>
      <c r="B114" s="1241"/>
      <c r="C114" s="1241"/>
      <c r="D114" s="1241"/>
      <c r="E114" s="1241"/>
      <c r="F114" s="1241"/>
      <c r="G114" s="1241"/>
      <c r="H114" s="1241"/>
      <c r="I114" s="1241"/>
      <c r="J114" s="1241"/>
      <c r="K114" s="1241"/>
      <c r="L114" s="1242"/>
    </row>
    <row r="115" spans="1:12" ht="27.95" customHeight="1" thickBot="1">
      <c r="A115" s="12"/>
      <c r="B115" s="1400"/>
      <c r="C115" s="1400"/>
      <c r="D115" s="1400"/>
      <c r="E115" s="1400"/>
      <c r="F115" s="1400"/>
      <c r="G115" s="1400"/>
      <c r="H115" s="1398"/>
      <c r="I115" s="1398"/>
      <c r="J115" s="1398"/>
      <c r="K115" s="1398"/>
      <c r="L115" s="1398"/>
    </row>
    <row r="116" spans="1:12" ht="27.95" customHeight="1">
      <c r="A116" s="79"/>
      <c r="B116" s="80"/>
      <c r="C116" s="80"/>
      <c r="D116" s="80"/>
      <c r="E116" s="80"/>
      <c r="F116" s="80"/>
      <c r="G116" s="80"/>
      <c r="H116" s="80"/>
      <c r="I116" s="84" t="s">
        <v>253</v>
      </c>
      <c r="J116" s="80"/>
      <c r="K116" s="80"/>
      <c r="L116" s="81"/>
    </row>
    <row r="117" spans="1:12" ht="27.95" customHeight="1">
      <c r="A117" s="15"/>
      <c r="B117" s="1452" t="s">
        <v>308</v>
      </c>
      <c r="C117" s="1452"/>
      <c r="D117" s="1452"/>
      <c r="E117" s="1452"/>
      <c r="F117" s="1452"/>
      <c r="G117" s="1452"/>
      <c r="H117" s="1452"/>
      <c r="I117" s="1452"/>
      <c r="J117" s="1452"/>
      <c r="K117" s="1452"/>
      <c r="L117" s="1453"/>
    </row>
    <row r="118" spans="1:12" ht="27.95" customHeight="1">
      <c r="A118" s="15"/>
      <c r="B118" s="205"/>
      <c r="C118" s="205"/>
      <c r="D118" s="213" t="s">
        <v>255</v>
      </c>
      <c r="E118" s="205"/>
      <c r="F118" s="205"/>
      <c r="G118" s="205"/>
      <c r="H118" s="205"/>
      <c r="I118" s="207" t="s">
        <v>309</v>
      </c>
      <c r="J118" s="208"/>
      <c r="K118" s="288" t="e">
        <f>'04-22-Master'!#REF!</f>
        <v>#REF!</v>
      </c>
      <c r="L118" s="238"/>
    </row>
    <row r="119" spans="1:12" ht="27.95" customHeight="1">
      <c r="A119" s="15"/>
      <c r="B119" s="1"/>
      <c r="C119" s="1" t="s">
        <v>256</v>
      </c>
      <c r="E119" s="1"/>
      <c r="F119" s="1"/>
      <c r="G119" s="1"/>
      <c r="H119" s="1"/>
      <c r="I119" s="206" t="s">
        <v>310</v>
      </c>
      <c r="J119" s="227" t="str">
        <f>'04-22-Master'!F5</f>
        <v>Burgeon IT Services Pvt.Ltd.</v>
      </c>
      <c r="K119" s="209"/>
      <c r="L119" s="239"/>
    </row>
    <row r="120" spans="1:12" ht="27.95" customHeight="1">
      <c r="A120" s="15"/>
      <c r="B120" s="214"/>
      <c r="C120" s="183" t="s">
        <v>257</v>
      </c>
      <c r="E120" s="214"/>
      <c r="F120" s="214"/>
      <c r="H120" s="184"/>
      <c r="I120" s="230" t="str">
        <f>'04-22-Master'!F6</f>
        <v>Siri Mansion LIGB 436 Dr.A S Rao Nagar,Hyderabad</v>
      </c>
      <c r="J120" s="228"/>
      <c r="K120" s="229"/>
      <c r="L120" s="193"/>
    </row>
    <row r="121" spans="1:12" ht="27.95" customHeight="1">
      <c r="A121" s="15"/>
      <c r="L121" s="16"/>
    </row>
    <row r="122" spans="1:12" ht="27.95" customHeight="1">
      <c r="A122" s="15">
        <v>1</v>
      </c>
      <c r="B122" s="210" t="s">
        <v>258</v>
      </c>
      <c r="C122" s="65"/>
      <c r="D122" s="65"/>
      <c r="E122" s="65"/>
      <c r="F122" s="65"/>
      <c r="G122" s="66"/>
      <c r="H122" s="1416" t="e">
        <f>'04-22-Master'!#REF!</f>
        <v>#REF!</v>
      </c>
      <c r="I122" s="1434"/>
      <c r="J122" s="1434"/>
      <c r="K122" s="1434"/>
      <c r="L122" s="1435"/>
    </row>
    <row r="123" spans="1:12" ht="22.5" customHeight="1">
      <c r="A123" s="15">
        <v>2</v>
      </c>
      <c r="B123" s="1454" t="s">
        <v>259</v>
      </c>
      <c r="C123" s="1455"/>
      <c r="D123" s="1455"/>
      <c r="E123" s="1455"/>
      <c r="F123" s="211" t="s">
        <v>260</v>
      </c>
      <c r="G123" s="195"/>
      <c r="H123" s="1456" t="e">
        <f>'04-22-Master'!#REF!</f>
        <v>#REF!</v>
      </c>
      <c r="I123" s="1457"/>
      <c r="J123" s="1457"/>
      <c r="K123" s="1457"/>
      <c r="L123" s="1458"/>
    </row>
    <row r="124" spans="1:12" ht="9.75" customHeight="1">
      <c r="A124" s="15"/>
      <c r="B124" s="196" t="s">
        <v>261</v>
      </c>
      <c r="C124" s="197"/>
      <c r="D124" s="197"/>
      <c r="E124" s="197"/>
      <c r="F124" s="197" t="s">
        <v>254</v>
      </c>
      <c r="G124" s="198"/>
      <c r="H124" s="1459"/>
      <c r="I124" s="1460"/>
      <c r="J124" s="1460"/>
      <c r="K124" s="1460"/>
      <c r="L124" s="1461"/>
    </row>
    <row r="125" spans="1:12" ht="22.5" customHeight="1">
      <c r="A125" s="15">
        <v>3</v>
      </c>
      <c r="B125" s="212" t="s">
        <v>262</v>
      </c>
      <c r="C125" s="202"/>
      <c r="D125" s="202"/>
      <c r="E125" s="202"/>
      <c r="F125" s="202"/>
      <c r="G125" s="203"/>
      <c r="H125" s="1441" t="e">
        <f>'04-22-Master'!#REF!</f>
        <v>#REF!</v>
      </c>
      <c r="I125" s="1442"/>
      <c r="J125" s="1442"/>
      <c r="K125" s="1442"/>
      <c r="L125" s="1443"/>
    </row>
    <row r="126" spans="1:12" ht="20.25" customHeight="1">
      <c r="A126" s="15">
        <v>4</v>
      </c>
      <c r="B126" s="188" t="s">
        <v>263</v>
      </c>
      <c r="C126" s="65"/>
      <c r="D126" s="65"/>
      <c r="E126" s="65"/>
      <c r="F126" s="65"/>
      <c r="G126" s="66"/>
      <c r="H126" s="1414" t="e">
        <f>'04-22-Master'!#REF!</f>
        <v>#REF!</v>
      </c>
      <c r="I126" s="1429"/>
      <c r="J126" s="1429"/>
      <c r="K126" s="1429"/>
      <c r="L126" s="1415"/>
    </row>
    <row r="127" spans="1:12">
      <c r="A127" s="15">
        <v>5</v>
      </c>
      <c r="B127" s="1444" t="s">
        <v>311</v>
      </c>
      <c r="C127" s="1445"/>
      <c r="D127" s="1445"/>
      <c r="E127" s="1445"/>
      <c r="F127" s="1445"/>
      <c r="G127" s="66"/>
      <c r="H127" s="1433" t="s">
        <v>390</v>
      </c>
      <c r="I127" s="1434"/>
      <c r="J127" s="1434"/>
      <c r="K127" s="1434"/>
      <c r="L127" s="1435"/>
    </row>
    <row r="128" spans="1:12">
      <c r="A128" s="15">
        <v>6</v>
      </c>
      <c r="B128" s="201" t="s">
        <v>264</v>
      </c>
      <c r="C128" s="202" t="s">
        <v>265</v>
      </c>
      <c r="D128" s="202"/>
      <c r="E128" s="202"/>
      <c r="F128" s="202"/>
      <c r="G128" s="203"/>
      <c r="H128" s="212"/>
      <c r="I128" s="202"/>
      <c r="J128" s="202"/>
      <c r="K128" s="202"/>
      <c r="L128" s="240"/>
    </row>
    <row r="129" spans="1:12">
      <c r="A129" s="15"/>
      <c r="B129" s="201" t="s">
        <v>266</v>
      </c>
      <c r="C129" s="202" t="s">
        <v>267</v>
      </c>
      <c r="D129" s="202"/>
      <c r="E129" s="202"/>
      <c r="F129" s="202"/>
      <c r="G129" s="203"/>
      <c r="H129" s="212"/>
      <c r="I129" s="194"/>
      <c r="J129" s="194"/>
      <c r="K129" s="202"/>
      <c r="L129" s="240"/>
    </row>
    <row r="130" spans="1:12">
      <c r="A130" s="15">
        <v>7</v>
      </c>
      <c r="B130" s="1441" t="s">
        <v>268</v>
      </c>
      <c r="C130" s="1442"/>
      <c r="D130" s="1442"/>
      <c r="E130" s="1442"/>
      <c r="F130" s="1442"/>
      <c r="G130" s="1446"/>
      <c r="H130" s="216" t="s">
        <v>269</v>
      </c>
      <c r="I130" s="217"/>
      <c r="J130" s="218"/>
      <c r="K130" s="216" t="s">
        <v>270</v>
      </c>
      <c r="L130" s="241"/>
    </row>
    <row r="131" spans="1:12">
      <c r="A131" s="15">
        <v>8</v>
      </c>
      <c r="B131" s="1441" t="s">
        <v>312</v>
      </c>
      <c r="C131" s="1442"/>
      <c r="D131" s="1442"/>
      <c r="E131" s="1442"/>
      <c r="F131" s="1442"/>
      <c r="G131" s="1446"/>
      <c r="H131" s="216" t="s">
        <v>269</v>
      </c>
      <c r="I131" s="217"/>
      <c r="J131" s="218"/>
      <c r="K131" s="216" t="s">
        <v>270</v>
      </c>
      <c r="L131" s="241"/>
    </row>
    <row r="132" spans="1:12">
      <c r="A132" s="15"/>
      <c r="B132" s="188"/>
      <c r="C132" s="220"/>
      <c r="D132" s="220"/>
      <c r="E132" s="220"/>
      <c r="F132" s="220" t="s">
        <v>271</v>
      </c>
      <c r="G132" s="220"/>
      <c r="H132" s="220"/>
      <c r="I132" s="220"/>
      <c r="J132" s="220"/>
      <c r="K132" s="220"/>
      <c r="L132" s="242"/>
    </row>
    <row r="133" spans="1:12">
      <c r="A133" s="15">
        <v>9</v>
      </c>
      <c r="B133" s="201" t="s">
        <v>272</v>
      </c>
      <c r="C133" s="202" t="s">
        <v>273</v>
      </c>
      <c r="D133" s="202"/>
      <c r="E133" s="202"/>
      <c r="F133" s="202"/>
      <c r="G133" s="203"/>
      <c r="H133" s="212"/>
      <c r="I133" s="202"/>
      <c r="J133" s="202"/>
      <c r="K133" s="202"/>
      <c r="L133" s="240"/>
    </row>
    <row r="134" spans="1:12">
      <c r="A134" s="90"/>
      <c r="B134" s="201" t="s">
        <v>274</v>
      </c>
      <c r="C134" s="202" t="s">
        <v>275</v>
      </c>
      <c r="D134" s="202"/>
      <c r="E134" s="202"/>
      <c r="F134" s="202"/>
      <c r="G134" s="203"/>
      <c r="H134" s="212"/>
      <c r="I134" s="202"/>
      <c r="J134" s="202"/>
      <c r="K134" s="202"/>
      <c r="L134" s="240"/>
    </row>
    <row r="135" spans="1:12">
      <c r="A135" s="90"/>
      <c r="B135" s="201" t="s">
        <v>313</v>
      </c>
      <c r="C135" s="202" t="s">
        <v>314</v>
      </c>
      <c r="D135" s="202"/>
      <c r="E135" s="202"/>
      <c r="F135" s="202"/>
      <c r="G135" s="203"/>
      <c r="H135" s="212"/>
      <c r="I135" s="202"/>
      <c r="J135" s="202"/>
      <c r="K135" s="202"/>
      <c r="L135" s="240"/>
    </row>
    <row r="136" spans="1:12">
      <c r="A136" s="90"/>
      <c r="B136" s="201" t="s">
        <v>277</v>
      </c>
      <c r="C136" s="202" t="s">
        <v>278</v>
      </c>
      <c r="D136" s="202"/>
      <c r="E136" s="202"/>
      <c r="F136" s="202"/>
      <c r="G136" s="203"/>
      <c r="H136" s="212"/>
      <c r="I136" s="202"/>
      <c r="J136" s="202"/>
      <c r="K136" s="202"/>
      <c r="L136" s="240"/>
    </row>
    <row r="137" spans="1:12">
      <c r="A137" s="90"/>
      <c r="B137" s="201" t="s">
        <v>279</v>
      </c>
      <c r="C137" s="202" t="s">
        <v>280</v>
      </c>
      <c r="D137" s="202"/>
      <c r="E137" s="202"/>
      <c r="F137" s="202"/>
      <c r="G137" s="203"/>
      <c r="H137" s="212"/>
      <c r="I137" s="202"/>
      <c r="J137" s="202"/>
      <c r="K137" s="202"/>
      <c r="L137" s="240"/>
    </row>
    <row r="138" spans="1:12">
      <c r="A138" s="90">
        <v>10</v>
      </c>
      <c r="B138" s="201" t="s">
        <v>272</v>
      </c>
      <c r="C138" s="202" t="s">
        <v>315</v>
      </c>
      <c r="D138" s="202"/>
      <c r="E138" s="202"/>
      <c r="F138" s="202"/>
      <c r="G138" s="203"/>
      <c r="H138" s="216" t="s">
        <v>269</v>
      </c>
      <c r="I138" s="217"/>
      <c r="J138" s="218"/>
      <c r="K138" s="216" t="s">
        <v>270</v>
      </c>
      <c r="L138" s="241"/>
    </row>
    <row r="139" spans="1:12">
      <c r="A139" s="90"/>
      <c r="B139" s="201" t="s">
        <v>274</v>
      </c>
      <c r="C139" s="202" t="s">
        <v>316</v>
      </c>
      <c r="D139" s="202"/>
      <c r="E139" s="202"/>
      <c r="F139" s="202"/>
      <c r="G139" s="203"/>
      <c r="H139" s="212"/>
      <c r="I139" s="202"/>
      <c r="J139" s="202"/>
      <c r="K139" s="202"/>
      <c r="L139" s="240"/>
    </row>
    <row r="140" spans="1:12">
      <c r="A140" s="90"/>
      <c r="B140" s="201" t="s">
        <v>313</v>
      </c>
      <c r="C140" s="202" t="s">
        <v>281</v>
      </c>
      <c r="D140" s="202"/>
      <c r="E140" s="202"/>
      <c r="F140" s="202"/>
      <c r="G140" s="203"/>
      <c r="H140" s="212"/>
      <c r="I140" s="202"/>
      <c r="J140" s="202"/>
      <c r="K140" s="202"/>
      <c r="L140" s="240"/>
    </row>
    <row r="141" spans="1:12">
      <c r="A141" s="90"/>
      <c r="B141" s="201" t="s">
        <v>277</v>
      </c>
      <c r="C141" s="202" t="s">
        <v>317</v>
      </c>
      <c r="D141" s="202"/>
      <c r="E141" s="202"/>
      <c r="F141" s="202"/>
      <c r="G141" s="203"/>
      <c r="H141" s="212"/>
      <c r="I141" s="202"/>
      <c r="J141" s="202"/>
      <c r="K141" s="202"/>
      <c r="L141" s="240"/>
    </row>
    <row r="142" spans="1:12">
      <c r="A142" s="15"/>
      <c r="B142" s="188"/>
      <c r="C142" s="220"/>
      <c r="D142" s="220"/>
      <c r="E142" s="220" t="s">
        <v>318</v>
      </c>
      <c r="F142" s="220"/>
      <c r="G142" s="220"/>
      <c r="H142" s="220"/>
      <c r="I142" s="220"/>
      <c r="J142" s="220"/>
      <c r="K142" s="220"/>
      <c r="L142" s="242"/>
    </row>
    <row r="143" spans="1:12">
      <c r="A143" s="15">
        <v>11</v>
      </c>
      <c r="B143" s="201" t="s">
        <v>272</v>
      </c>
      <c r="C143" s="202" t="s">
        <v>282</v>
      </c>
      <c r="D143" s="202"/>
      <c r="E143" s="202"/>
      <c r="F143" s="202"/>
      <c r="G143" s="203"/>
      <c r="H143" s="212"/>
      <c r="I143" s="202"/>
      <c r="J143" s="202"/>
      <c r="K143" s="202"/>
      <c r="L143" s="240"/>
    </row>
    <row r="144" spans="1:12">
      <c r="A144" s="15"/>
      <c r="B144" s="201" t="s">
        <v>274</v>
      </c>
      <c r="C144" s="202" t="s">
        <v>283</v>
      </c>
      <c r="D144" s="202"/>
      <c r="E144" s="202"/>
      <c r="F144" s="202"/>
      <c r="G144" s="203"/>
      <c r="H144" s="212"/>
      <c r="I144" s="202"/>
      <c r="J144" s="202"/>
      <c r="K144" s="202"/>
      <c r="L144" s="240"/>
    </row>
    <row r="145" spans="1:12">
      <c r="A145" s="15"/>
      <c r="B145" s="201" t="s">
        <v>276</v>
      </c>
      <c r="C145" s="202" t="s">
        <v>284</v>
      </c>
      <c r="D145" s="202"/>
      <c r="E145" s="202"/>
      <c r="F145" s="202"/>
      <c r="G145" s="203"/>
      <c r="H145" s="212"/>
      <c r="I145" s="202"/>
      <c r="J145" s="202"/>
      <c r="K145" s="202"/>
      <c r="L145" s="240"/>
    </row>
    <row r="146" spans="1:12">
      <c r="A146" s="15"/>
      <c r="B146" s="176"/>
      <c r="C146" s="172"/>
      <c r="D146" s="172"/>
      <c r="E146" s="172"/>
      <c r="F146" s="221" t="s">
        <v>285</v>
      </c>
      <c r="G146" s="172"/>
      <c r="H146" s="161"/>
      <c r="I146" s="161"/>
      <c r="J146" s="161"/>
      <c r="K146" s="161"/>
      <c r="L146" s="179"/>
    </row>
    <row r="147" spans="1:12">
      <c r="A147" s="15"/>
      <c r="B147" s="233" t="s">
        <v>286</v>
      </c>
      <c r="C147" s="232" t="s">
        <v>287</v>
      </c>
      <c r="D147" s="172"/>
      <c r="E147" s="172"/>
      <c r="F147" s="172"/>
      <c r="G147" s="172"/>
      <c r="H147" s="161"/>
      <c r="I147" s="161"/>
      <c r="J147" s="162"/>
      <c r="K147" s="161"/>
      <c r="L147" s="179"/>
    </row>
    <row r="148" spans="1:12">
      <c r="A148" s="15"/>
      <c r="B148" s="233" t="s">
        <v>288</v>
      </c>
      <c r="C148" s="231" t="s">
        <v>289</v>
      </c>
      <c r="D148" s="161"/>
      <c r="E148" s="162"/>
      <c r="G148" s="1447"/>
      <c r="H148" s="1447"/>
      <c r="I148" s="177"/>
      <c r="J148" s="178"/>
      <c r="K148" s="1447"/>
      <c r="L148" s="1448"/>
    </row>
    <row r="149" spans="1:12">
      <c r="A149" s="15"/>
      <c r="B149" s="234" t="s">
        <v>290</v>
      </c>
      <c r="C149" s="1449" t="s">
        <v>319</v>
      </c>
      <c r="D149" s="1449"/>
      <c r="E149" s="1449"/>
      <c r="F149" s="1449"/>
      <c r="G149" s="1449"/>
      <c r="H149" s="1449"/>
      <c r="I149" s="1449"/>
      <c r="J149" s="1449"/>
      <c r="K149" s="1449"/>
      <c r="L149" s="1450"/>
    </row>
    <row r="150" spans="1:12">
      <c r="A150" s="15"/>
      <c r="B150" s="233" t="s">
        <v>291</v>
      </c>
      <c r="C150" s="232" t="s">
        <v>292</v>
      </c>
      <c r="D150" s="224"/>
      <c r="E150" s="224"/>
      <c r="F150" s="224"/>
      <c r="G150" s="224"/>
      <c r="H150" s="224"/>
      <c r="I150" s="224"/>
      <c r="J150" s="224"/>
      <c r="K150" s="224"/>
      <c r="L150" s="243"/>
    </row>
    <row r="151" spans="1:12">
      <c r="A151" s="15"/>
      <c r="B151" s="176"/>
      <c r="C151" t="s">
        <v>320</v>
      </c>
      <c r="D151" s="289" t="e">
        <f>'04-22-Master'!#REF!</f>
        <v>#REF!</v>
      </c>
      <c r="E151" s="2"/>
      <c r="F151" s="2"/>
      <c r="G151" s="2"/>
      <c r="L151" s="16"/>
    </row>
    <row r="152" spans="1:12">
      <c r="A152" s="15"/>
      <c r="C152" t="s">
        <v>293</v>
      </c>
      <c r="D152" t="s">
        <v>382</v>
      </c>
      <c r="J152" t="s">
        <v>321</v>
      </c>
      <c r="L152" s="16"/>
    </row>
    <row r="153" spans="1:12">
      <c r="A153" s="15"/>
      <c r="L153" s="16"/>
    </row>
    <row r="154" spans="1:12">
      <c r="A154" s="15"/>
      <c r="F154" s="222" t="s">
        <v>294</v>
      </c>
      <c r="L154" s="16"/>
    </row>
    <row r="155" spans="1:12">
      <c r="A155" s="15" t="s">
        <v>322</v>
      </c>
      <c r="B155" t="s">
        <v>295</v>
      </c>
      <c r="E155" s="225" t="e">
        <f>'04-22-Master'!#REF!</f>
        <v>#REF!</v>
      </c>
      <c r="H155" s="1451" t="s">
        <v>296</v>
      </c>
      <c r="I155" s="1451"/>
      <c r="J155" s="226" t="e">
        <f>'04-22-Master'!#REF!</f>
        <v>#REF!</v>
      </c>
      <c r="K155" t="s">
        <v>297</v>
      </c>
      <c r="L155" s="16"/>
    </row>
    <row r="156" spans="1:12">
      <c r="A156" s="15"/>
      <c r="B156" s="1462" t="e">
        <f>'04-22-Master'!#REF!</f>
        <v>#REF!</v>
      </c>
      <c r="C156" s="1463"/>
      <c r="D156" s="223"/>
      <c r="E156" s="223"/>
      <c r="F156" s="223"/>
      <c r="G156" s="223"/>
      <c r="H156" s="223"/>
      <c r="I156" s="223"/>
      <c r="J156" s="223"/>
      <c r="K156" s="223"/>
      <c r="L156" s="244"/>
    </row>
    <row r="157" spans="1:12">
      <c r="A157" s="15" t="s">
        <v>324</v>
      </c>
      <c r="B157" s="223" t="s">
        <v>298</v>
      </c>
      <c r="C157" s="223"/>
      <c r="D157" s="223"/>
      <c r="E157" s="223"/>
      <c r="F157" s="223"/>
      <c r="G157" s="223"/>
      <c r="H157" s="223"/>
      <c r="I157" s="223"/>
      <c r="J157" s="223"/>
      <c r="K157" s="223"/>
      <c r="L157" s="244"/>
    </row>
    <row r="158" spans="1:12">
      <c r="A158" s="15"/>
      <c r="B158" s="223" t="s">
        <v>323</v>
      </c>
      <c r="C158" s="223"/>
      <c r="D158" s="223"/>
      <c r="E158" s="223"/>
      <c r="F158" s="223"/>
      <c r="G158" s="223"/>
      <c r="H158" s="223"/>
      <c r="I158" s="223"/>
      <c r="J158" s="223"/>
      <c r="K158" s="223"/>
      <c r="L158" s="244"/>
    </row>
    <row r="159" spans="1:12">
      <c r="A159" s="15"/>
      <c r="B159" t="s">
        <v>299</v>
      </c>
      <c r="L159" s="16"/>
    </row>
    <row r="160" spans="1:12" ht="18.75">
      <c r="A160" s="15"/>
      <c r="B160" s="2" t="s">
        <v>300</v>
      </c>
      <c r="F160" s="175"/>
      <c r="L160" s="16"/>
    </row>
    <row r="161" spans="1:12">
      <c r="A161" s="15"/>
      <c r="B161" s="2" t="s">
        <v>301</v>
      </c>
      <c r="L161" s="16"/>
    </row>
    <row r="162" spans="1:12" ht="27.95" customHeight="1">
      <c r="A162" s="15"/>
      <c r="B162" t="s">
        <v>302</v>
      </c>
      <c r="L162" s="16"/>
    </row>
    <row r="163" spans="1:12" ht="27.95" customHeight="1">
      <c r="A163" s="15"/>
      <c r="B163" t="s">
        <v>303</v>
      </c>
      <c r="L163" s="16"/>
    </row>
    <row r="164" spans="1:12" ht="27.95" customHeight="1">
      <c r="A164" s="15" t="s">
        <v>313</v>
      </c>
      <c r="B164" t="s">
        <v>304</v>
      </c>
      <c r="L164" s="16"/>
    </row>
    <row r="165" spans="1:12" ht="27.95" customHeight="1">
      <c r="A165" s="15"/>
      <c r="B165" s="235" t="s">
        <v>325</v>
      </c>
      <c r="L165" s="16"/>
    </row>
    <row r="166" spans="1:12" ht="27.95" customHeight="1">
      <c r="A166" s="15"/>
      <c r="B166" t="s">
        <v>299</v>
      </c>
      <c r="L166" s="16"/>
    </row>
    <row r="167" spans="1:12" ht="27.95" customHeight="1">
      <c r="A167" s="15"/>
      <c r="B167" t="s">
        <v>305</v>
      </c>
      <c r="L167" s="16"/>
    </row>
    <row r="168" spans="1:12" ht="27.95" customHeight="1">
      <c r="A168" s="15"/>
      <c r="B168" t="s">
        <v>306</v>
      </c>
      <c r="L168" s="16"/>
    </row>
    <row r="169" spans="1:12" ht="27.95" customHeight="1">
      <c r="A169" s="15"/>
      <c r="B169" s="1464" t="s">
        <v>307</v>
      </c>
      <c r="C169" s="1464"/>
      <c r="D169" s="1464"/>
      <c r="E169" s="1464"/>
      <c r="F169" s="1464"/>
      <c r="G169" s="1464"/>
      <c r="H169" s="1464"/>
      <c r="I169" s="1464"/>
      <c r="J169" s="1464"/>
      <c r="K169" s="1464"/>
      <c r="L169" s="1465"/>
    </row>
    <row r="170" spans="1:12" ht="27.95" customHeight="1">
      <c r="A170" s="15"/>
      <c r="B170" t="s">
        <v>219</v>
      </c>
      <c r="C170" s="284" t="e">
        <f>D151</f>
        <v>#REF!</v>
      </c>
      <c r="D170" s="205"/>
      <c r="E170" s="205"/>
      <c r="F170" s="205"/>
      <c r="G170" s="205"/>
      <c r="H170" s="205"/>
      <c r="I170" t="s">
        <v>326</v>
      </c>
      <c r="J170" s="205"/>
      <c r="K170" s="205"/>
      <c r="L170" s="236"/>
    </row>
    <row r="171" spans="1:12" ht="27.95" customHeight="1" thickBot="1">
      <c r="A171" s="27"/>
      <c r="B171" s="1241"/>
      <c r="C171" s="1241"/>
      <c r="D171" s="1241"/>
      <c r="E171" s="1241"/>
      <c r="F171" s="1241"/>
      <c r="G171" s="1241"/>
      <c r="H171" s="1241"/>
      <c r="I171" s="1241"/>
      <c r="J171" s="1241"/>
      <c r="K171" s="1241"/>
      <c r="L171" s="1242"/>
    </row>
    <row r="172" spans="1:12" ht="27.95" customHeight="1">
      <c r="A172" s="79"/>
      <c r="B172" s="80"/>
      <c r="C172" s="80"/>
      <c r="D172" s="80"/>
      <c r="E172" s="80"/>
      <c r="F172" s="80"/>
      <c r="G172" s="80"/>
      <c r="H172" s="80"/>
      <c r="I172" s="84" t="s">
        <v>253</v>
      </c>
      <c r="J172" s="80"/>
      <c r="K172" s="80"/>
      <c r="L172" s="81"/>
    </row>
    <row r="173" spans="1:12" ht="27.95" customHeight="1">
      <c r="A173" s="15"/>
      <c r="B173" s="1452" t="s">
        <v>308</v>
      </c>
      <c r="C173" s="1452"/>
      <c r="D173" s="1452"/>
      <c r="E173" s="1452"/>
      <c r="F173" s="1452"/>
      <c r="G173" s="1452"/>
      <c r="H173" s="1452"/>
      <c r="I173" s="1452"/>
      <c r="J173" s="1452"/>
      <c r="K173" s="1452"/>
      <c r="L173" s="1453"/>
    </row>
    <row r="174" spans="1:12" ht="27.95" customHeight="1">
      <c r="A174" s="15"/>
      <c r="B174" s="205"/>
      <c r="C174" s="205"/>
      <c r="D174" s="213" t="s">
        <v>255</v>
      </c>
      <c r="E174" s="205"/>
      <c r="F174" s="205"/>
      <c r="G174" s="205"/>
      <c r="H174" s="205"/>
      <c r="I174" s="207" t="s">
        <v>309</v>
      </c>
      <c r="J174" s="208"/>
      <c r="K174" s="288" t="e">
        <f>'04-22-Master'!#REF!</f>
        <v>#REF!</v>
      </c>
      <c r="L174" s="238"/>
    </row>
    <row r="175" spans="1:12" ht="27.95" customHeight="1">
      <c r="A175" s="15"/>
      <c r="B175" s="1"/>
      <c r="C175" s="1" t="s">
        <v>256</v>
      </c>
      <c r="E175" s="1"/>
      <c r="F175" s="1"/>
      <c r="G175" s="1"/>
      <c r="H175" s="1"/>
      <c r="I175" s="206" t="s">
        <v>310</v>
      </c>
      <c r="J175" s="290" t="str">
        <f>'04-22-Master'!F5</f>
        <v>Burgeon IT Services Pvt.Ltd.</v>
      </c>
      <c r="K175" s="209"/>
      <c r="L175" s="239"/>
    </row>
    <row r="176" spans="1:12" ht="27.95" customHeight="1">
      <c r="A176" s="15"/>
      <c r="B176" s="214"/>
      <c r="C176" s="183" t="s">
        <v>257</v>
      </c>
      <c r="E176" s="214"/>
      <c r="F176" s="214"/>
      <c r="H176" s="184"/>
      <c r="I176" s="230" t="str">
        <f>'04-22-Master'!F6</f>
        <v>Siri Mansion LIGB 436 Dr.A S Rao Nagar,Hyderabad</v>
      </c>
      <c r="J176" s="228"/>
      <c r="K176" s="229"/>
      <c r="L176" s="193"/>
    </row>
    <row r="177" spans="1:12" ht="15.75" customHeight="1">
      <c r="A177" s="15"/>
      <c r="L177" s="16"/>
    </row>
    <row r="178" spans="1:12" ht="27" customHeight="1">
      <c r="A178" s="15">
        <v>1</v>
      </c>
      <c r="B178" s="210" t="s">
        <v>258</v>
      </c>
      <c r="C178" s="65"/>
      <c r="D178" s="65"/>
      <c r="E178" s="65"/>
      <c r="F178" s="65"/>
      <c r="G178" s="66"/>
      <c r="H178" s="1416" t="e">
        <f>'04-22-Master'!#REF!</f>
        <v>#REF!</v>
      </c>
      <c r="I178" s="1434"/>
      <c r="J178" s="1434"/>
      <c r="K178" s="1434"/>
      <c r="L178" s="1435"/>
    </row>
    <row r="179" spans="1:12" ht="17.25" customHeight="1">
      <c r="A179" s="15">
        <v>2</v>
      </c>
      <c r="B179" s="1454" t="s">
        <v>259</v>
      </c>
      <c r="C179" s="1455"/>
      <c r="D179" s="1455"/>
      <c r="E179" s="1455"/>
      <c r="F179" s="211" t="s">
        <v>260</v>
      </c>
      <c r="G179" s="195"/>
      <c r="H179" s="1456" t="e">
        <f>'04-22-Master'!#REF!</f>
        <v>#REF!</v>
      </c>
      <c r="I179" s="1457"/>
      <c r="J179" s="1457"/>
      <c r="K179" s="1457"/>
      <c r="L179" s="1458"/>
    </row>
    <row r="180" spans="1:12" ht="11.25" customHeight="1">
      <c r="A180" s="15"/>
      <c r="B180" s="196" t="s">
        <v>261</v>
      </c>
      <c r="C180" s="197"/>
      <c r="D180" s="197"/>
      <c r="E180" s="197"/>
      <c r="F180" s="197" t="s">
        <v>254</v>
      </c>
      <c r="G180" s="198"/>
      <c r="H180" s="1459"/>
      <c r="I180" s="1460"/>
      <c r="J180" s="1460"/>
      <c r="K180" s="1460"/>
      <c r="L180" s="1461"/>
    </row>
    <row r="181" spans="1:12">
      <c r="A181" s="15">
        <v>3</v>
      </c>
      <c r="B181" s="212" t="s">
        <v>262</v>
      </c>
      <c r="C181" s="202"/>
      <c r="D181" s="202"/>
      <c r="E181" s="202"/>
      <c r="F181" s="202"/>
      <c r="G181" s="203"/>
      <c r="H181" s="1441" t="e">
        <f>'04-22-Master'!#REF!</f>
        <v>#REF!</v>
      </c>
      <c r="I181" s="1442"/>
      <c r="J181" s="1442"/>
      <c r="K181" s="1442"/>
      <c r="L181" s="1443"/>
    </row>
    <row r="182" spans="1:12">
      <c r="A182" s="15">
        <v>4</v>
      </c>
      <c r="B182" s="188" t="s">
        <v>263</v>
      </c>
      <c r="C182" s="65"/>
      <c r="D182" s="65"/>
      <c r="E182" s="65"/>
      <c r="F182" s="65"/>
      <c r="G182" s="66"/>
      <c r="H182" s="1414" t="e">
        <f>'04-22-Master'!#REF!</f>
        <v>#REF!</v>
      </c>
      <c r="I182" s="1429"/>
      <c r="J182" s="1429"/>
      <c r="K182" s="1429"/>
      <c r="L182" s="1415"/>
    </row>
    <row r="183" spans="1:12">
      <c r="A183" s="15">
        <v>5</v>
      </c>
      <c r="B183" s="1444" t="s">
        <v>311</v>
      </c>
      <c r="C183" s="1445"/>
      <c r="D183" s="1445"/>
      <c r="E183" s="1445"/>
      <c r="F183" s="1445"/>
      <c r="G183" s="66"/>
      <c r="H183" s="1433" t="s">
        <v>390</v>
      </c>
      <c r="I183" s="1434"/>
      <c r="J183" s="1434"/>
      <c r="K183" s="1434"/>
      <c r="L183" s="1435"/>
    </row>
    <row r="184" spans="1:12">
      <c r="A184" s="15">
        <v>6</v>
      </c>
      <c r="B184" s="201" t="s">
        <v>264</v>
      </c>
      <c r="C184" s="202" t="s">
        <v>265</v>
      </c>
      <c r="D184" s="202"/>
      <c r="E184" s="202"/>
      <c r="F184" s="202"/>
      <c r="G184" s="203"/>
      <c r="H184" s="212"/>
      <c r="I184" s="202"/>
      <c r="J184" s="202"/>
      <c r="K184" s="202"/>
      <c r="L184" s="240"/>
    </row>
    <row r="185" spans="1:12">
      <c r="A185" s="15"/>
      <c r="B185" s="201" t="s">
        <v>266</v>
      </c>
      <c r="C185" s="202" t="s">
        <v>267</v>
      </c>
      <c r="D185" s="202"/>
      <c r="E185" s="202"/>
      <c r="F185" s="202"/>
      <c r="G185" s="203"/>
      <c r="H185" s="212"/>
      <c r="I185" s="194"/>
      <c r="J185" s="194"/>
      <c r="K185" s="202"/>
      <c r="L185" s="240"/>
    </row>
    <row r="186" spans="1:12">
      <c r="A186" s="15">
        <v>7</v>
      </c>
      <c r="B186" s="1441" t="s">
        <v>268</v>
      </c>
      <c r="C186" s="1442"/>
      <c r="D186" s="1442"/>
      <c r="E186" s="1442"/>
      <c r="F186" s="1442"/>
      <c r="G186" s="1446"/>
      <c r="H186" s="216" t="s">
        <v>269</v>
      </c>
      <c r="I186" s="217"/>
      <c r="J186" s="218"/>
      <c r="K186" s="216" t="s">
        <v>270</v>
      </c>
      <c r="L186" s="241"/>
    </row>
    <row r="187" spans="1:12">
      <c r="A187" s="15">
        <v>8</v>
      </c>
      <c r="B187" s="1441" t="s">
        <v>312</v>
      </c>
      <c r="C187" s="1442"/>
      <c r="D187" s="1442"/>
      <c r="E187" s="1442"/>
      <c r="F187" s="1442"/>
      <c r="G187" s="1446"/>
      <c r="H187" s="216" t="s">
        <v>269</v>
      </c>
      <c r="I187" s="217"/>
      <c r="J187" s="218"/>
      <c r="K187" s="216" t="s">
        <v>270</v>
      </c>
      <c r="L187" s="241"/>
    </row>
    <row r="188" spans="1:12">
      <c r="A188" s="15"/>
      <c r="B188" s="188"/>
      <c r="C188" s="220"/>
      <c r="D188" s="220"/>
      <c r="E188" s="220"/>
      <c r="F188" s="220" t="s">
        <v>271</v>
      </c>
      <c r="G188" s="220"/>
      <c r="H188" s="220"/>
      <c r="I188" s="220"/>
      <c r="J188" s="220"/>
      <c r="K188" s="220"/>
      <c r="L188" s="242"/>
    </row>
    <row r="189" spans="1:12">
      <c r="A189" s="15">
        <v>9</v>
      </c>
      <c r="B189" s="201" t="s">
        <v>272</v>
      </c>
      <c r="C189" s="202" t="s">
        <v>273</v>
      </c>
      <c r="D189" s="202"/>
      <c r="E189" s="202"/>
      <c r="F189" s="202"/>
      <c r="G189" s="203"/>
      <c r="H189" s="212"/>
      <c r="I189" s="202"/>
      <c r="J189" s="202"/>
      <c r="K189" s="202"/>
      <c r="L189" s="240"/>
    </row>
    <row r="190" spans="1:12">
      <c r="A190" s="90"/>
      <c r="B190" s="201" t="s">
        <v>274</v>
      </c>
      <c r="C190" s="202" t="s">
        <v>275</v>
      </c>
      <c r="D190" s="202"/>
      <c r="E190" s="202"/>
      <c r="F190" s="202"/>
      <c r="G190" s="203"/>
      <c r="H190" s="212"/>
      <c r="I190" s="202"/>
      <c r="J190" s="202"/>
      <c r="K190" s="202"/>
      <c r="L190" s="240"/>
    </row>
    <row r="191" spans="1:12">
      <c r="A191" s="90"/>
      <c r="B191" s="201" t="s">
        <v>313</v>
      </c>
      <c r="C191" s="202" t="s">
        <v>314</v>
      </c>
      <c r="D191" s="202"/>
      <c r="E191" s="202"/>
      <c r="F191" s="202"/>
      <c r="G191" s="203"/>
      <c r="H191" s="212"/>
      <c r="I191" s="202"/>
      <c r="J191" s="202"/>
      <c r="K191" s="202"/>
      <c r="L191" s="240"/>
    </row>
    <row r="192" spans="1:12">
      <c r="A192" s="90"/>
      <c r="B192" s="201" t="s">
        <v>277</v>
      </c>
      <c r="C192" s="202" t="s">
        <v>278</v>
      </c>
      <c r="D192" s="202"/>
      <c r="E192" s="202"/>
      <c r="F192" s="202"/>
      <c r="G192" s="203"/>
      <c r="H192" s="212"/>
      <c r="I192" s="202"/>
      <c r="J192" s="202"/>
      <c r="K192" s="202"/>
      <c r="L192" s="240"/>
    </row>
    <row r="193" spans="1:12">
      <c r="A193" s="90"/>
      <c r="B193" s="201" t="s">
        <v>279</v>
      </c>
      <c r="C193" s="202" t="s">
        <v>280</v>
      </c>
      <c r="D193" s="202"/>
      <c r="E193" s="202"/>
      <c r="F193" s="202"/>
      <c r="G193" s="203"/>
      <c r="H193" s="212"/>
      <c r="I193" s="202"/>
      <c r="J193" s="202"/>
      <c r="K193" s="202"/>
      <c r="L193" s="240"/>
    </row>
    <row r="194" spans="1:12">
      <c r="A194" s="90">
        <v>10</v>
      </c>
      <c r="B194" s="201" t="s">
        <v>272</v>
      </c>
      <c r="C194" s="202" t="s">
        <v>315</v>
      </c>
      <c r="D194" s="202"/>
      <c r="E194" s="202"/>
      <c r="F194" s="202"/>
      <c r="G194" s="203"/>
      <c r="H194" s="216" t="s">
        <v>269</v>
      </c>
      <c r="I194" s="217"/>
      <c r="J194" s="218"/>
      <c r="K194" s="216" t="s">
        <v>270</v>
      </c>
      <c r="L194" s="241"/>
    </row>
    <row r="195" spans="1:12">
      <c r="A195" s="90"/>
      <c r="B195" s="201" t="s">
        <v>274</v>
      </c>
      <c r="C195" s="202" t="s">
        <v>316</v>
      </c>
      <c r="D195" s="202"/>
      <c r="E195" s="202"/>
      <c r="F195" s="202"/>
      <c r="G195" s="203"/>
      <c r="H195" s="212"/>
      <c r="I195" s="202"/>
      <c r="J195" s="202"/>
      <c r="K195" s="202"/>
      <c r="L195" s="240"/>
    </row>
    <row r="196" spans="1:12">
      <c r="A196" s="90"/>
      <c r="B196" s="201" t="s">
        <v>313</v>
      </c>
      <c r="C196" s="202" t="s">
        <v>281</v>
      </c>
      <c r="D196" s="202"/>
      <c r="E196" s="202"/>
      <c r="F196" s="202"/>
      <c r="G196" s="203"/>
      <c r="H196" s="212"/>
      <c r="I196" s="202"/>
      <c r="J196" s="202"/>
      <c r="K196" s="202"/>
      <c r="L196" s="240"/>
    </row>
    <row r="197" spans="1:12">
      <c r="A197" s="90"/>
      <c r="B197" s="201" t="s">
        <v>277</v>
      </c>
      <c r="C197" s="202" t="s">
        <v>317</v>
      </c>
      <c r="D197" s="202"/>
      <c r="E197" s="202"/>
      <c r="F197" s="202"/>
      <c r="G197" s="203"/>
      <c r="H197" s="212"/>
      <c r="I197" s="202"/>
      <c r="J197" s="202"/>
      <c r="K197" s="202"/>
      <c r="L197" s="240"/>
    </row>
    <row r="198" spans="1:12">
      <c r="A198" s="15"/>
      <c r="B198" s="188"/>
      <c r="C198" s="220"/>
      <c r="D198" s="220"/>
      <c r="E198" s="220" t="s">
        <v>318</v>
      </c>
      <c r="F198" s="220"/>
      <c r="G198" s="220"/>
      <c r="H198" s="220"/>
      <c r="I198" s="220"/>
      <c r="J198" s="220"/>
      <c r="K198" s="220"/>
      <c r="L198" s="242"/>
    </row>
    <row r="199" spans="1:12">
      <c r="A199" s="15">
        <v>11</v>
      </c>
      <c r="B199" s="201" t="s">
        <v>272</v>
      </c>
      <c r="C199" s="202" t="s">
        <v>282</v>
      </c>
      <c r="D199" s="202"/>
      <c r="E199" s="202"/>
      <c r="F199" s="202"/>
      <c r="G199" s="203"/>
      <c r="H199" s="212"/>
      <c r="I199" s="202"/>
      <c r="J199" s="202"/>
      <c r="K199" s="202"/>
      <c r="L199" s="240"/>
    </row>
    <row r="200" spans="1:12">
      <c r="A200" s="15"/>
      <c r="B200" s="201" t="s">
        <v>274</v>
      </c>
      <c r="C200" s="202" t="s">
        <v>283</v>
      </c>
      <c r="D200" s="202"/>
      <c r="E200" s="202"/>
      <c r="F200" s="202"/>
      <c r="G200" s="203"/>
      <c r="H200" s="212"/>
      <c r="I200" s="202"/>
      <c r="J200" s="202"/>
      <c r="K200" s="202"/>
      <c r="L200" s="240"/>
    </row>
    <row r="201" spans="1:12">
      <c r="A201" s="15"/>
      <c r="B201" s="201" t="s">
        <v>276</v>
      </c>
      <c r="C201" s="202" t="s">
        <v>284</v>
      </c>
      <c r="D201" s="202"/>
      <c r="E201" s="202"/>
      <c r="F201" s="202"/>
      <c r="G201" s="203"/>
      <c r="H201" s="212"/>
      <c r="I201" s="202"/>
      <c r="J201" s="202"/>
      <c r="K201" s="202"/>
      <c r="L201" s="240"/>
    </row>
    <row r="202" spans="1:12">
      <c r="A202" s="15"/>
      <c r="B202" s="176"/>
      <c r="C202" s="172"/>
      <c r="D202" s="172"/>
      <c r="E202" s="172"/>
      <c r="F202" s="221" t="s">
        <v>285</v>
      </c>
      <c r="G202" s="172"/>
      <c r="H202" s="161"/>
      <c r="I202" s="161"/>
      <c r="J202" s="161"/>
      <c r="K202" s="161"/>
      <c r="L202" s="179"/>
    </row>
    <row r="203" spans="1:12">
      <c r="A203" s="15"/>
      <c r="B203" s="233" t="s">
        <v>286</v>
      </c>
      <c r="C203" s="232" t="s">
        <v>287</v>
      </c>
      <c r="D203" s="172"/>
      <c r="E203" s="172"/>
      <c r="F203" s="172"/>
      <c r="G203" s="172"/>
      <c r="H203" s="161"/>
      <c r="I203" s="161"/>
      <c r="J203" s="162"/>
      <c r="K203" s="161"/>
      <c r="L203" s="179"/>
    </row>
    <row r="204" spans="1:12">
      <c r="A204" s="15"/>
      <c r="B204" s="233" t="s">
        <v>288</v>
      </c>
      <c r="C204" s="231" t="s">
        <v>289</v>
      </c>
      <c r="D204" s="161"/>
      <c r="E204" s="162"/>
      <c r="G204" s="1447"/>
      <c r="H204" s="1447"/>
      <c r="I204" s="177"/>
      <c r="J204" s="178"/>
      <c r="K204" s="1447"/>
      <c r="L204" s="1448"/>
    </row>
    <row r="205" spans="1:12">
      <c r="A205" s="15"/>
      <c r="B205" s="234" t="s">
        <v>290</v>
      </c>
      <c r="C205" s="1449" t="s">
        <v>319</v>
      </c>
      <c r="D205" s="1449"/>
      <c r="E205" s="1449"/>
      <c r="F205" s="1449"/>
      <c r="G205" s="1449"/>
      <c r="H205" s="1449"/>
      <c r="I205" s="1449"/>
      <c r="J205" s="1449"/>
      <c r="K205" s="1449"/>
      <c r="L205" s="1450"/>
    </row>
    <row r="206" spans="1:12">
      <c r="A206" s="15"/>
      <c r="B206" s="233" t="s">
        <v>291</v>
      </c>
      <c r="C206" s="232" t="s">
        <v>292</v>
      </c>
      <c r="D206" s="224"/>
      <c r="E206" s="224"/>
      <c r="F206" s="224"/>
      <c r="G206" s="224"/>
      <c r="H206" s="224"/>
      <c r="I206" s="224"/>
      <c r="J206" s="224"/>
      <c r="K206" s="224"/>
      <c r="L206" s="243"/>
    </row>
    <row r="207" spans="1:12">
      <c r="A207" s="15"/>
      <c r="B207" s="176"/>
      <c r="C207" t="s">
        <v>320</v>
      </c>
      <c r="D207" s="289" t="e">
        <f>'04-22-Master'!#REF!</f>
        <v>#REF!</v>
      </c>
      <c r="E207" s="2"/>
      <c r="F207" s="2"/>
      <c r="G207" s="2"/>
      <c r="L207" s="16"/>
    </row>
    <row r="208" spans="1:12">
      <c r="A208" s="15"/>
      <c r="C208" t="s">
        <v>293</v>
      </c>
      <c r="D208" t="s">
        <v>382</v>
      </c>
      <c r="J208" t="s">
        <v>321</v>
      </c>
      <c r="L208" s="16"/>
    </row>
    <row r="209" spans="1:12">
      <c r="A209" s="15"/>
      <c r="L209" s="16"/>
    </row>
    <row r="210" spans="1:12">
      <c r="A210" s="15"/>
      <c r="F210" s="222" t="s">
        <v>294</v>
      </c>
      <c r="L210" s="16"/>
    </row>
    <row r="211" spans="1:12">
      <c r="A211" s="15" t="s">
        <v>322</v>
      </c>
      <c r="B211" t="s">
        <v>295</v>
      </c>
      <c r="E211" s="225" t="e">
        <f>'04-22-Master'!#REF!</f>
        <v>#REF!</v>
      </c>
      <c r="H211" s="1451" t="s">
        <v>296</v>
      </c>
      <c r="I211" s="1451"/>
      <c r="J211" s="226" t="e">
        <f>'04-22-Master'!#REF!</f>
        <v>#REF!</v>
      </c>
      <c r="K211" t="s">
        <v>297</v>
      </c>
      <c r="L211" s="16"/>
    </row>
    <row r="212" spans="1:12">
      <c r="A212" s="15"/>
      <c r="B212" s="1462" t="e">
        <f>'04-22-Master'!#REF!</f>
        <v>#REF!</v>
      </c>
      <c r="C212" s="1463"/>
      <c r="D212" s="223"/>
      <c r="E212" s="223"/>
      <c r="F212" s="223"/>
      <c r="G212" s="223"/>
      <c r="H212" s="223"/>
      <c r="I212" s="223"/>
      <c r="J212" s="223"/>
      <c r="K212" s="223"/>
      <c r="L212" s="244"/>
    </row>
    <row r="213" spans="1:12">
      <c r="A213" s="15" t="s">
        <v>324</v>
      </c>
      <c r="B213" s="223" t="s">
        <v>298</v>
      </c>
      <c r="C213" s="223"/>
      <c r="D213" s="223"/>
      <c r="E213" s="223"/>
      <c r="F213" s="223"/>
      <c r="G213" s="223"/>
      <c r="H213" s="223"/>
      <c r="I213" s="223"/>
      <c r="J213" s="223"/>
      <c r="K213" s="223"/>
      <c r="L213" s="244"/>
    </row>
    <row r="214" spans="1:12">
      <c r="A214" s="15"/>
      <c r="B214" s="223" t="s">
        <v>323</v>
      </c>
      <c r="C214" s="223"/>
      <c r="D214" s="223"/>
      <c r="E214" s="223"/>
      <c r="F214" s="223"/>
      <c r="G214" s="223"/>
      <c r="H214" s="223"/>
      <c r="I214" s="223"/>
      <c r="J214" s="223"/>
      <c r="K214" s="223"/>
      <c r="L214" s="244"/>
    </row>
    <row r="215" spans="1:12" ht="27.95" customHeight="1">
      <c r="A215" s="15"/>
      <c r="B215" t="s">
        <v>299</v>
      </c>
      <c r="L215" s="16"/>
    </row>
    <row r="216" spans="1:12" ht="27.95" customHeight="1">
      <c r="A216" s="15"/>
      <c r="B216" s="2" t="s">
        <v>300</v>
      </c>
      <c r="F216" s="175"/>
      <c r="L216" s="16"/>
    </row>
    <row r="217" spans="1:12" ht="27.95" customHeight="1">
      <c r="A217" s="15"/>
      <c r="B217" s="2" t="s">
        <v>301</v>
      </c>
      <c r="L217" s="16"/>
    </row>
    <row r="218" spans="1:12" ht="27.95" customHeight="1">
      <c r="A218" s="15"/>
      <c r="B218" t="s">
        <v>302</v>
      </c>
      <c r="L218" s="16"/>
    </row>
    <row r="219" spans="1:12" ht="27.95" customHeight="1">
      <c r="A219" s="15"/>
      <c r="B219" t="s">
        <v>303</v>
      </c>
      <c r="L219" s="16"/>
    </row>
    <row r="220" spans="1:12" ht="27.95" customHeight="1">
      <c r="A220" s="15" t="s">
        <v>313</v>
      </c>
      <c r="B220" t="s">
        <v>304</v>
      </c>
      <c r="L220" s="16"/>
    </row>
    <row r="221" spans="1:12" ht="27.95" customHeight="1">
      <c r="A221" s="15"/>
      <c r="B221" s="235" t="s">
        <v>325</v>
      </c>
      <c r="L221" s="16"/>
    </row>
    <row r="222" spans="1:12" ht="27.95" customHeight="1">
      <c r="A222" s="15"/>
      <c r="B222" t="s">
        <v>299</v>
      </c>
      <c r="L222" s="16"/>
    </row>
    <row r="223" spans="1:12" ht="27.95" customHeight="1">
      <c r="A223" s="15"/>
      <c r="B223" t="s">
        <v>305</v>
      </c>
      <c r="L223" s="16"/>
    </row>
    <row r="224" spans="1:12" ht="27.95" customHeight="1">
      <c r="A224" s="15"/>
      <c r="B224" t="s">
        <v>306</v>
      </c>
      <c r="L224" s="16"/>
    </row>
    <row r="225" spans="1:12" ht="27.95" customHeight="1">
      <c r="A225" s="15"/>
      <c r="B225" s="1464" t="s">
        <v>307</v>
      </c>
      <c r="C225" s="1464"/>
      <c r="D225" s="1464"/>
      <c r="E225" s="1464"/>
      <c r="F225" s="1464"/>
      <c r="G225" s="1464"/>
      <c r="H225" s="1464"/>
      <c r="I225" s="1464"/>
      <c r="J225" s="1464"/>
      <c r="K225" s="1464"/>
      <c r="L225" s="1465"/>
    </row>
    <row r="226" spans="1:12" ht="27.95" customHeight="1">
      <c r="A226" s="15"/>
      <c r="B226" t="s">
        <v>219</v>
      </c>
      <c r="C226" s="284" t="e">
        <f>D207</f>
        <v>#REF!</v>
      </c>
      <c r="D226" s="205"/>
      <c r="E226" s="205"/>
      <c r="F226" s="205"/>
      <c r="G226" s="205"/>
      <c r="H226" s="205"/>
      <c r="I226" t="s">
        <v>326</v>
      </c>
      <c r="J226" s="205"/>
      <c r="K226" s="205"/>
      <c r="L226" s="236"/>
    </row>
    <row r="227" spans="1:12" ht="27.95" customHeight="1" thickBot="1">
      <c r="A227" s="27"/>
      <c r="B227" s="1241"/>
      <c r="C227" s="1241"/>
      <c r="D227" s="1241"/>
      <c r="E227" s="1241"/>
      <c r="F227" s="1241"/>
      <c r="G227" s="1241"/>
      <c r="H227" s="1241"/>
      <c r="I227" s="1241"/>
      <c r="J227" s="1241"/>
      <c r="K227" s="1241"/>
      <c r="L227" s="1242"/>
    </row>
    <row r="228" spans="1:12" ht="27.95" customHeight="1">
      <c r="A228" s="79"/>
      <c r="B228" s="80"/>
      <c r="C228" s="80"/>
      <c r="D228" s="80"/>
      <c r="E228" s="80"/>
      <c r="F228" s="80"/>
      <c r="G228" s="80"/>
      <c r="H228" s="80"/>
      <c r="I228" s="84" t="s">
        <v>253</v>
      </c>
      <c r="J228" s="80"/>
      <c r="K228" s="80"/>
      <c r="L228" s="81"/>
    </row>
    <row r="229" spans="1:12" ht="27.95" customHeight="1">
      <c r="A229" s="15"/>
      <c r="B229" s="1452" t="s">
        <v>308</v>
      </c>
      <c r="C229" s="1452"/>
      <c r="D229" s="1452"/>
      <c r="E229" s="1452"/>
      <c r="F229" s="1452"/>
      <c r="G229" s="1452"/>
      <c r="H229" s="1452"/>
      <c r="I229" s="1452"/>
      <c r="J229" s="1452"/>
      <c r="K229" s="1452"/>
      <c r="L229" s="1453"/>
    </row>
    <row r="230" spans="1:12" ht="27.95" customHeight="1">
      <c r="A230" s="15"/>
      <c r="B230" s="205"/>
      <c r="C230" s="205"/>
      <c r="D230" s="213" t="s">
        <v>255</v>
      </c>
      <c r="E230" s="205"/>
      <c r="F230" s="205"/>
      <c r="G230" s="205"/>
      <c r="H230" s="205"/>
      <c r="I230" s="207" t="s">
        <v>309</v>
      </c>
      <c r="J230" s="208"/>
      <c r="K230" s="288" t="e">
        <f>'04-22-Master'!#REF!</f>
        <v>#REF!</v>
      </c>
      <c r="L230" s="238"/>
    </row>
    <row r="231" spans="1:12" ht="27.95" customHeight="1">
      <c r="A231" s="15"/>
      <c r="B231" s="1"/>
      <c r="C231" s="1" t="s">
        <v>256</v>
      </c>
      <c r="E231" s="1"/>
      <c r="F231" s="1"/>
      <c r="G231" s="1"/>
      <c r="H231" s="1"/>
      <c r="I231" s="206" t="s">
        <v>310</v>
      </c>
      <c r="J231" s="227" t="str">
        <f>'04-22-Master'!F5</f>
        <v>Burgeon IT Services Pvt.Ltd.</v>
      </c>
      <c r="K231" s="209"/>
      <c r="L231" s="239"/>
    </row>
    <row r="232" spans="1:12" ht="27.95" customHeight="1">
      <c r="A232" s="15"/>
      <c r="B232" s="214"/>
      <c r="C232" s="183" t="s">
        <v>257</v>
      </c>
      <c r="E232" s="214"/>
      <c r="F232" s="214"/>
      <c r="H232" s="184"/>
      <c r="I232" s="230" t="str">
        <f>'04-22-Master'!F6</f>
        <v>Siri Mansion LIGB 436 Dr.A S Rao Nagar,Hyderabad</v>
      </c>
      <c r="J232" s="228"/>
      <c r="K232" s="229"/>
      <c r="L232" s="193"/>
    </row>
    <row r="233" spans="1:12">
      <c r="A233" s="15"/>
      <c r="L233" s="16"/>
    </row>
    <row r="234" spans="1:12" ht="19.5" customHeight="1">
      <c r="A234" s="15">
        <v>1</v>
      </c>
      <c r="B234" s="210" t="s">
        <v>258</v>
      </c>
      <c r="C234" s="65"/>
      <c r="D234" s="65"/>
      <c r="E234" s="65"/>
      <c r="F234" s="65"/>
      <c r="G234" s="66"/>
      <c r="H234" s="1416" t="e">
        <f>'04-22-Master'!#REF!</f>
        <v>#REF!</v>
      </c>
      <c r="I234" s="1434"/>
      <c r="J234" s="1434"/>
      <c r="K234" s="1434"/>
      <c r="L234" s="1435"/>
    </row>
    <row r="235" spans="1:12">
      <c r="A235" s="15">
        <v>2</v>
      </c>
      <c r="B235" s="1454" t="s">
        <v>259</v>
      </c>
      <c r="C235" s="1455"/>
      <c r="D235" s="1455"/>
      <c r="E235" s="1455"/>
      <c r="F235" s="211" t="s">
        <v>260</v>
      </c>
      <c r="G235" s="195"/>
      <c r="H235" s="1456" t="e">
        <f>'04-22-Master'!#REF!</f>
        <v>#REF!</v>
      </c>
      <c r="I235" s="1457"/>
      <c r="J235" s="1457"/>
      <c r="K235" s="1457"/>
      <c r="L235" s="1458"/>
    </row>
    <row r="236" spans="1:12" ht="12" customHeight="1">
      <c r="A236" s="15"/>
      <c r="B236" s="196" t="s">
        <v>261</v>
      </c>
      <c r="C236" s="197"/>
      <c r="D236" s="197"/>
      <c r="E236" s="197"/>
      <c r="F236" s="197" t="s">
        <v>254</v>
      </c>
      <c r="G236" s="198"/>
      <c r="H236" s="1459"/>
      <c r="I236" s="1460"/>
      <c r="J236" s="1460"/>
      <c r="K236" s="1460"/>
      <c r="L236" s="1461"/>
    </row>
    <row r="237" spans="1:12">
      <c r="A237" s="15">
        <v>3</v>
      </c>
      <c r="B237" s="212" t="s">
        <v>262</v>
      </c>
      <c r="C237" s="202"/>
      <c r="D237" s="202"/>
      <c r="E237" s="202"/>
      <c r="F237" s="202"/>
      <c r="G237" s="203"/>
      <c r="H237" s="1441" t="e">
        <f>'04-22-Master'!#REF!</f>
        <v>#REF!</v>
      </c>
      <c r="I237" s="1442"/>
      <c r="J237" s="1442"/>
      <c r="K237" s="1442"/>
      <c r="L237" s="1443"/>
    </row>
    <row r="238" spans="1:12">
      <c r="A238" s="15">
        <v>4</v>
      </c>
      <c r="B238" s="188" t="s">
        <v>263</v>
      </c>
      <c r="C238" s="65"/>
      <c r="D238" s="65"/>
      <c r="E238" s="65"/>
      <c r="F238" s="65"/>
      <c r="G238" s="66"/>
      <c r="H238" s="1414" t="e">
        <f>'04-22-Master'!#REF!</f>
        <v>#REF!</v>
      </c>
      <c r="I238" s="1429"/>
      <c r="J238" s="1429"/>
      <c r="K238" s="1429"/>
      <c r="L238" s="1415"/>
    </row>
    <row r="239" spans="1:12">
      <c r="A239" s="15">
        <v>5</v>
      </c>
      <c r="B239" s="1444" t="s">
        <v>311</v>
      </c>
      <c r="C239" s="1445"/>
      <c r="D239" s="1445"/>
      <c r="E239" s="1445"/>
      <c r="F239" s="1445"/>
      <c r="G239" s="66"/>
      <c r="H239" s="1433" t="s">
        <v>390</v>
      </c>
      <c r="I239" s="1434"/>
      <c r="J239" s="1434"/>
      <c r="K239" s="1434"/>
      <c r="L239" s="1435"/>
    </row>
    <row r="240" spans="1:12">
      <c r="A240" s="15">
        <v>6</v>
      </c>
      <c r="B240" s="201" t="s">
        <v>264</v>
      </c>
      <c r="C240" s="202" t="s">
        <v>265</v>
      </c>
      <c r="D240" s="202"/>
      <c r="E240" s="202"/>
      <c r="F240" s="202"/>
      <c r="G240" s="203"/>
      <c r="H240" s="212"/>
      <c r="I240" s="202"/>
      <c r="J240" s="202"/>
      <c r="K240" s="202"/>
      <c r="L240" s="240"/>
    </row>
    <row r="241" spans="1:12">
      <c r="A241" s="15"/>
      <c r="B241" s="201" t="s">
        <v>266</v>
      </c>
      <c r="C241" s="202" t="s">
        <v>267</v>
      </c>
      <c r="D241" s="202"/>
      <c r="E241" s="202"/>
      <c r="F241" s="202"/>
      <c r="G241" s="203"/>
      <c r="H241" s="212"/>
      <c r="I241" s="194"/>
      <c r="J241" s="194"/>
      <c r="K241" s="202"/>
      <c r="L241" s="240"/>
    </row>
    <row r="242" spans="1:12">
      <c r="A242" s="15">
        <v>7</v>
      </c>
      <c r="B242" s="1441" t="s">
        <v>268</v>
      </c>
      <c r="C242" s="1442"/>
      <c r="D242" s="1442"/>
      <c r="E242" s="1442"/>
      <c r="F242" s="1442"/>
      <c r="G242" s="1446"/>
      <c r="H242" s="216" t="s">
        <v>269</v>
      </c>
      <c r="I242" s="217"/>
      <c r="J242" s="218"/>
      <c r="K242" s="216" t="s">
        <v>270</v>
      </c>
      <c r="L242" s="241"/>
    </row>
    <row r="243" spans="1:12">
      <c r="A243" s="15">
        <v>8</v>
      </c>
      <c r="B243" s="1441" t="s">
        <v>312</v>
      </c>
      <c r="C243" s="1442"/>
      <c r="D243" s="1442"/>
      <c r="E243" s="1442"/>
      <c r="F243" s="1442"/>
      <c r="G243" s="1446"/>
      <c r="H243" s="216" t="s">
        <v>269</v>
      </c>
      <c r="I243" s="217"/>
      <c r="J243" s="218"/>
      <c r="K243" s="216" t="s">
        <v>270</v>
      </c>
      <c r="L243" s="241"/>
    </row>
    <row r="244" spans="1:12">
      <c r="A244" s="15"/>
      <c r="B244" s="188"/>
      <c r="C244" s="220"/>
      <c r="D244" s="220"/>
      <c r="E244" s="220"/>
      <c r="F244" s="220" t="s">
        <v>271</v>
      </c>
      <c r="G244" s="220"/>
      <c r="H244" s="220"/>
      <c r="I244" s="220"/>
      <c r="J244" s="220"/>
      <c r="K244" s="220"/>
      <c r="L244" s="242"/>
    </row>
    <row r="245" spans="1:12">
      <c r="A245" s="15">
        <v>9</v>
      </c>
      <c r="B245" s="201" t="s">
        <v>272</v>
      </c>
      <c r="C245" s="202" t="s">
        <v>273</v>
      </c>
      <c r="D245" s="202"/>
      <c r="E245" s="202"/>
      <c r="F245" s="202"/>
      <c r="G245" s="203"/>
      <c r="H245" s="212"/>
      <c r="I245" s="202"/>
      <c r="J245" s="202"/>
      <c r="K245" s="202"/>
      <c r="L245" s="240"/>
    </row>
    <row r="246" spans="1:12">
      <c r="A246" s="90"/>
      <c r="B246" s="201" t="s">
        <v>274</v>
      </c>
      <c r="C246" s="202" t="s">
        <v>275</v>
      </c>
      <c r="D246" s="202"/>
      <c r="E246" s="202"/>
      <c r="F246" s="202"/>
      <c r="G246" s="203"/>
      <c r="H246" s="212"/>
      <c r="I246" s="202"/>
      <c r="J246" s="202"/>
      <c r="K246" s="202"/>
      <c r="L246" s="240"/>
    </row>
    <row r="247" spans="1:12">
      <c r="A247" s="90"/>
      <c r="B247" s="201" t="s">
        <v>313</v>
      </c>
      <c r="C247" s="202" t="s">
        <v>314</v>
      </c>
      <c r="D247" s="202"/>
      <c r="E247" s="202"/>
      <c r="F247" s="202"/>
      <c r="G247" s="203"/>
      <c r="H247" s="212"/>
      <c r="I247" s="202"/>
      <c r="J247" s="202"/>
      <c r="K247" s="202"/>
      <c r="L247" s="240"/>
    </row>
    <row r="248" spans="1:12">
      <c r="A248" s="90"/>
      <c r="B248" s="201" t="s">
        <v>277</v>
      </c>
      <c r="C248" s="202" t="s">
        <v>278</v>
      </c>
      <c r="D248" s="202"/>
      <c r="E248" s="202"/>
      <c r="F248" s="202"/>
      <c r="G248" s="203"/>
      <c r="H248" s="212"/>
      <c r="I248" s="202"/>
      <c r="J248" s="202"/>
      <c r="K248" s="202"/>
      <c r="L248" s="240"/>
    </row>
    <row r="249" spans="1:12">
      <c r="A249" s="90"/>
      <c r="B249" s="201" t="s">
        <v>279</v>
      </c>
      <c r="C249" s="202" t="s">
        <v>280</v>
      </c>
      <c r="D249" s="202"/>
      <c r="E249" s="202"/>
      <c r="F249" s="202"/>
      <c r="G249" s="203"/>
      <c r="H249" s="212"/>
      <c r="I249" s="202"/>
      <c r="J249" s="202"/>
      <c r="K249" s="202"/>
      <c r="L249" s="240"/>
    </row>
    <row r="250" spans="1:12">
      <c r="A250" s="90">
        <v>10</v>
      </c>
      <c r="B250" s="201" t="s">
        <v>272</v>
      </c>
      <c r="C250" s="202" t="s">
        <v>315</v>
      </c>
      <c r="D250" s="202"/>
      <c r="E250" s="202"/>
      <c r="F250" s="202"/>
      <c r="G250" s="203"/>
      <c r="H250" s="216" t="s">
        <v>269</v>
      </c>
      <c r="I250" s="217"/>
      <c r="J250" s="218"/>
      <c r="K250" s="216" t="s">
        <v>270</v>
      </c>
      <c r="L250" s="241"/>
    </row>
    <row r="251" spans="1:12">
      <c r="A251" s="90"/>
      <c r="B251" s="201" t="s">
        <v>274</v>
      </c>
      <c r="C251" s="202" t="s">
        <v>316</v>
      </c>
      <c r="D251" s="202"/>
      <c r="E251" s="202"/>
      <c r="F251" s="202"/>
      <c r="G251" s="203"/>
      <c r="H251" s="212"/>
      <c r="I251" s="202"/>
      <c r="J251" s="202"/>
      <c r="K251" s="202"/>
      <c r="L251" s="240"/>
    </row>
    <row r="252" spans="1:12">
      <c r="A252" s="90"/>
      <c r="B252" s="201" t="s">
        <v>313</v>
      </c>
      <c r="C252" s="202" t="s">
        <v>281</v>
      </c>
      <c r="D252" s="202"/>
      <c r="E252" s="202"/>
      <c r="F252" s="202"/>
      <c r="G252" s="203"/>
      <c r="H252" s="212"/>
      <c r="I252" s="202"/>
      <c r="J252" s="202"/>
      <c r="K252" s="202"/>
      <c r="L252" s="240"/>
    </row>
    <row r="253" spans="1:12">
      <c r="A253" s="90"/>
      <c r="B253" s="201" t="s">
        <v>277</v>
      </c>
      <c r="C253" s="202" t="s">
        <v>317</v>
      </c>
      <c r="D253" s="202"/>
      <c r="E253" s="202"/>
      <c r="F253" s="202"/>
      <c r="G253" s="203"/>
      <c r="H253" s="212"/>
      <c r="I253" s="202"/>
      <c r="J253" s="202"/>
      <c r="K253" s="202"/>
      <c r="L253" s="240"/>
    </row>
    <row r="254" spans="1:12">
      <c r="A254" s="15"/>
      <c r="B254" s="188"/>
      <c r="C254" s="220"/>
      <c r="D254" s="220"/>
      <c r="E254" s="220" t="s">
        <v>318</v>
      </c>
      <c r="F254" s="220"/>
      <c r="G254" s="220"/>
      <c r="H254" s="220"/>
      <c r="I254" s="220"/>
      <c r="J254" s="220"/>
      <c r="K254" s="220"/>
      <c r="L254" s="242"/>
    </row>
    <row r="255" spans="1:12">
      <c r="A255" s="15">
        <v>11</v>
      </c>
      <c r="B255" s="201" t="s">
        <v>272</v>
      </c>
      <c r="C255" s="202" t="s">
        <v>282</v>
      </c>
      <c r="D255" s="202"/>
      <c r="E255" s="202"/>
      <c r="F255" s="202"/>
      <c r="G255" s="203"/>
      <c r="H255" s="212"/>
      <c r="I255" s="202"/>
      <c r="J255" s="202"/>
      <c r="K255" s="202"/>
      <c r="L255" s="240"/>
    </row>
    <row r="256" spans="1:12">
      <c r="A256" s="15"/>
      <c r="B256" s="201" t="s">
        <v>274</v>
      </c>
      <c r="C256" s="202" t="s">
        <v>283</v>
      </c>
      <c r="D256" s="202"/>
      <c r="E256" s="202"/>
      <c r="F256" s="202"/>
      <c r="G256" s="203"/>
      <c r="H256" s="212"/>
      <c r="I256" s="202"/>
      <c r="J256" s="202"/>
      <c r="K256" s="202"/>
      <c r="L256" s="240"/>
    </row>
    <row r="257" spans="1:12">
      <c r="A257" s="15"/>
      <c r="B257" s="201" t="s">
        <v>276</v>
      </c>
      <c r="C257" s="202" t="s">
        <v>284</v>
      </c>
      <c r="D257" s="202"/>
      <c r="E257" s="202"/>
      <c r="F257" s="202"/>
      <c r="G257" s="203"/>
      <c r="H257" s="212"/>
      <c r="I257" s="202"/>
      <c r="J257" s="202"/>
      <c r="K257" s="202"/>
      <c r="L257" s="240"/>
    </row>
    <row r="258" spans="1:12">
      <c r="A258" s="15"/>
      <c r="B258" s="176"/>
      <c r="C258" s="172"/>
      <c r="D258" s="172"/>
      <c r="E258" s="172"/>
      <c r="F258" s="221" t="s">
        <v>285</v>
      </c>
      <c r="G258" s="172"/>
      <c r="H258" s="161"/>
      <c r="I258" s="161"/>
      <c r="J258" s="161"/>
      <c r="K258" s="161"/>
      <c r="L258" s="179"/>
    </row>
    <row r="259" spans="1:12">
      <c r="A259" s="15"/>
      <c r="B259" s="233" t="s">
        <v>286</v>
      </c>
      <c r="C259" s="232" t="s">
        <v>287</v>
      </c>
      <c r="D259" s="172"/>
      <c r="E259" s="172"/>
      <c r="F259" s="172"/>
      <c r="G259" s="172"/>
      <c r="H259" s="161"/>
      <c r="I259" s="161"/>
      <c r="J259" s="162"/>
      <c r="K259" s="161"/>
      <c r="L259" s="179"/>
    </row>
    <row r="260" spans="1:12">
      <c r="A260" s="15"/>
      <c r="B260" s="233" t="s">
        <v>288</v>
      </c>
      <c r="C260" s="231" t="s">
        <v>289</v>
      </c>
      <c r="D260" s="161"/>
      <c r="E260" s="162"/>
      <c r="G260" s="1447"/>
      <c r="H260" s="1447"/>
      <c r="I260" s="177"/>
      <c r="J260" s="178"/>
      <c r="K260" s="1447"/>
      <c r="L260" s="1448"/>
    </row>
    <row r="261" spans="1:12">
      <c r="A261" s="15"/>
      <c r="B261" s="234" t="s">
        <v>290</v>
      </c>
      <c r="C261" s="1449" t="s">
        <v>319</v>
      </c>
      <c r="D261" s="1449"/>
      <c r="E261" s="1449"/>
      <c r="F261" s="1449"/>
      <c r="G261" s="1449"/>
      <c r="H261" s="1449"/>
      <c r="I261" s="1449"/>
      <c r="J261" s="1449"/>
      <c r="K261" s="1449"/>
      <c r="L261" s="1450"/>
    </row>
    <row r="262" spans="1:12">
      <c r="A262" s="15"/>
      <c r="B262" s="233" t="s">
        <v>291</v>
      </c>
      <c r="C262" s="232" t="s">
        <v>292</v>
      </c>
      <c r="D262" s="224"/>
      <c r="E262" s="224"/>
      <c r="F262" s="224"/>
      <c r="G262" s="224"/>
      <c r="H262" s="224"/>
      <c r="I262" s="224"/>
      <c r="J262" s="224"/>
      <c r="K262" s="224"/>
      <c r="L262" s="243"/>
    </row>
    <row r="263" spans="1:12">
      <c r="A263" s="15"/>
      <c r="B263" s="176"/>
      <c r="C263" t="s">
        <v>320</v>
      </c>
      <c r="D263" s="289" t="e">
        <f>'04-22-Master'!#REF!</f>
        <v>#REF!</v>
      </c>
      <c r="E263" s="2"/>
      <c r="F263" s="2"/>
      <c r="G263" s="2"/>
      <c r="L263" s="16"/>
    </row>
    <row r="264" spans="1:12">
      <c r="A264" s="15"/>
      <c r="C264" t="s">
        <v>293</v>
      </c>
      <c r="D264" t="s">
        <v>382</v>
      </c>
      <c r="J264" t="s">
        <v>321</v>
      </c>
      <c r="L264" s="16"/>
    </row>
    <row r="265" spans="1:12">
      <c r="A265" s="15"/>
      <c r="L265" s="16"/>
    </row>
    <row r="266" spans="1:12">
      <c r="A266" s="15"/>
      <c r="F266" s="222" t="s">
        <v>294</v>
      </c>
      <c r="L266" s="16"/>
    </row>
    <row r="267" spans="1:12">
      <c r="A267" s="15" t="s">
        <v>322</v>
      </c>
      <c r="B267" t="s">
        <v>295</v>
      </c>
      <c r="E267" s="225" t="e">
        <f>'04-22-Master'!#REF!</f>
        <v>#REF!</v>
      </c>
      <c r="H267" s="1451" t="s">
        <v>296</v>
      </c>
      <c r="I267" s="1451"/>
      <c r="J267" s="226" t="e">
        <f>'04-22-Master'!#REF!</f>
        <v>#REF!</v>
      </c>
      <c r="K267" t="s">
        <v>297</v>
      </c>
      <c r="L267" s="16"/>
    </row>
    <row r="268" spans="1:12" ht="24" customHeight="1">
      <c r="A268" s="15"/>
      <c r="B268" s="1462" t="e">
        <f>'04-22-Master'!#REF!</f>
        <v>#REF!</v>
      </c>
      <c r="C268" s="1463"/>
      <c r="D268" s="223"/>
      <c r="E268" s="223"/>
      <c r="F268" s="223"/>
      <c r="G268" s="223"/>
      <c r="H268" s="223"/>
      <c r="I268" s="223"/>
      <c r="J268" s="223"/>
      <c r="K268" s="223"/>
      <c r="L268" s="244"/>
    </row>
    <row r="269" spans="1:12" ht="24" customHeight="1">
      <c r="A269" s="15" t="s">
        <v>324</v>
      </c>
      <c r="B269" s="223" t="s">
        <v>298</v>
      </c>
      <c r="C269" s="223"/>
      <c r="D269" s="223"/>
      <c r="E269" s="223"/>
      <c r="F269" s="223"/>
      <c r="G269" s="223"/>
      <c r="H269" s="223"/>
      <c r="I269" s="223"/>
      <c r="J269" s="223"/>
      <c r="K269" s="223"/>
      <c r="L269" s="244"/>
    </row>
    <row r="270" spans="1:12" ht="23.25" customHeight="1">
      <c r="A270" s="15"/>
      <c r="B270" s="223" t="s">
        <v>323</v>
      </c>
      <c r="C270" s="223"/>
      <c r="D270" s="223"/>
      <c r="E270" s="223"/>
      <c r="F270" s="223"/>
      <c r="G270" s="223"/>
      <c r="H270" s="223"/>
      <c r="I270" s="223"/>
      <c r="J270" s="223"/>
      <c r="K270" s="223"/>
      <c r="L270" s="244"/>
    </row>
    <row r="271" spans="1:12" ht="21.75" customHeight="1">
      <c r="A271" s="15"/>
      <c r="B271" t="s">
        <v>299</v>
      </c>
      <c r="L271" s="16"/>
    </row>
    <row r="272" spans="1:12" ht="27.95" customHeight="1">
      <c r="A272" s="15"/>
      <c r="B272" s="2" t="s">
        <v>300</v>
      </c>
      <c r="F272" s="175"/>
      <c r="L272" s="16"/>
    </row>
    <row r="273" spans="1:12" ht="21" customHeight="1">
      <c r="A273" s="15"/>
      <c r="B273" s="2" t="s">
        <v>301</v>
      </c>
      <c r="L273" s="16"/>
    </row>
    <row r="274" spans="1:12" ht="27.95" customHeight="1">
      <c r="A274" s="15"/>
      <c r="B274" t="s">
        <v>302</v>
      </c>
      <c r="L274" s="16"/>
    </row>
    <row r="275" spans="1:12" ht="27.95" customHeight="1">
      <c r="A275" s="15"/>
      <c r="B275" t="s">
        <v>303</v>
      </c>
      <c r="L275" s="16"/>
    </row>
    <row r="276" spans="1:12" ht="27.95" customHeight="1">
      <c r="A276" s="15" t="s">
        <v>313</v>
      </c>
      <c r="B276" t="s">
        <v>304</v>
      </c>
      <c r="L276" s="16"/>
    </row>
    <row r="277" spans="1:12" ht="27.95" customHeight="1">
      <c r="A277" s="15"/>
      <c r="B277" s="235" t="s">
        <v>325</v>
      </c>
      <c r="L277" s="16"/>
    </row>
    <row r="278" spans="1:12" ht="27.95" customHeight="1">
      <c r="A278" s="15"/>
      <c r="B278" t="s">
        <v>299</v>
      </c>
      <c r="L278" s="16"/>
    </row>
    <row r="279" spans="1:12" ht="19.5" customHeight="1">
      <c r="A279" s="15"/>
      <c r="B279" t="s">
        <v>305</v>
      </c>
      <c r="L279" s="16"/>
    </row>
    <row r="280" spans="1:12" ht="21.75" customHeight="1">
      <c r="A280" s="15"/>
      <c r="B280" t="s">
        <v>306</v>
      </c>
      <c r="L280" s="16"/>
    </row>
    <row r="281" spans="1:12" ht="18.75" customHeight="1">
      <c r="A281" s="15"/>
      <c r="B281" s="1464" t="s">
        <v>307</v>
      </c>
      <c r="C281" s="1464"/>
      <c r="D281" s="1464"/>
      <c r="E281" s="1464"/>
      <c r="F281" s="1464"/>
      <c r="G281" s="1464"/>
      <c r="H281" s="1464"/>
      <c r="I281" s="1464"/>
      <c r="J281" s="1464"/>
      <c r="K281" s="1464"/>
      <c r="L281" s="1465"/>
    </row>
    <row r="282" spans="1:12" ht="27.95" customHeight="1">
      <c r="A282" s="15"/>
      <c r="B282" t="s">
        <v>219</v>
      </c>
      <c r="C282" s="284" t="e">
        <f>'04-22-Master'!#REF!</f>
        <v>#REF!</v>
      </c>
      <c r="D282" s="205"/>
      <c r="E282" s="205"/>
      <c r="F282" s="205"/>
      <c r="G282" s="205"/>
      <c r="H282" s="205"/>
      <c r="I282" t="s">
        <v>326</v>
      </c>
      <c r="J282" s="205"/>
      <c r="K282" s="205"/>
      <c r="L282" s="236"/>
    </row>
    <row r="283" spans="1:12" ht="27.95" customHeight="1" thickBot="1">
      <c r="A283" s="27"/>
      <c r="B283" s="1241"/>
      <c r="C283" s="1241"/>
      <c r="D283" s="1241"/>
      <c r="E283" s="1241"/>
      <c r="F283" s="1241"/>
      <c r="G283" s="1241"/>
      <c r="H283" s="1241"/>
      <c r="I283" s="1241"/>
      <c r="J283" s="1241"/>
      <c r="K283" s="1241"/>
      <c r="L283" s="1242"/>
    </row>
    <row r="284" spans="1:12" ht="27.95" customHeight="1">
      <c r="A284" s="79"/>
      <c r="B284" s="80"/>
      <c r="C284" s="80"/>
      <c r="D284" s="80"/>
      <c r="E284" s="80"/>
      <c r="F284" s="80"/>
      <c r="G284" s="80"/>
      <c r="H284" s="80"/>
      <c r="I284" s="84" t="s">
        <v>253</v>
      </c>
      <c r="J284" s="80"/>
      <c r="K284" s="80"/>
      <c r="L284" s="81"/>
    </row>
    <row r="285" spans="1:12" ht="27.95" customHeight="1">
      <c r="A285" s="15"/>
      <c r="B285" s="1452" t="s">
        <v>308</v>
      </c>
      <c r="C285" s="1452"/>
      <c r="D285" s="1452"/>
      <c r="E285" s="1452"/>
      <c r="F285" s="1452"/>
      <c r="G285" s="1452"/>
      <c r="H285" s="1452"/>
      <c r="I285" s="1452"/>
      <c r="J285" s="1452"/>
      <c r="K285" s="1452"/>
      <c r="L285" s="1453"/>
    </row>
    <row r="286" spans="1:12" ht="23.25">
      <c r="A286" s="15"/>
      <c r="B286" s="205"/>
      <c r="C286" s="205"/>
      <c r="D286" s="213" t="s">
        <v>255</v>
      </c>
      <c r="E286" s="205"/>
      <c r="F286" s="205"/>
      <c r="G286" s="205"/>
      <c r="H286" s="205"/>
      <c r="I286" s="207" t="s">
        <v>309</v>
      </c>
      <c r="J286" s="208"/>
      <c r="K286" s="288" t="e">
        <f>'04-22-Master'!#REF!</f>
        <v>#REF!</v>
      </c>
      <c r="L286" s="238"/>
    </row>
    <row r="287" spans="1:12" ht="15.75">
      <c r="A287" s="15"/>
      <c r="B287" s="1"/>
      <c r="C287" s="1" t="s">
        <v>256</v>
      </c>
      <c r="E287" s="1"/>
      <c r="F287" s="1"/>
      <c r="G287" s="1"/>
      <c r="H287" s="1"/>
      <c r="I287" s="206" t="s">
        <v>310</v>
      </c>
      <c r="J287" s="227" t="str">
        <f>'04-22-Master'!F5</f>
        <v>Burgeon IT Services Pvt.Ltd.</v>
      </c>
      <c r="K287" s="209"/>
      <c r="L287" s="239"/>
    </row>
    <row r="288" spans="1:12">
      <c r="A288" s="15"/>
      <c r="B288" s="214"/>
      <c r="C288" s="183" t="s">
        <v>257</v>
      </c>
      <c r="E288" s="214"/>
      <c r="F288" s="214"/>
      <c r="H288" s="184"/>
      <c r="I288" s="230" t="str">
        <f>'04-22-Master'!F6</f>
        <v>Siri Mansion LIGB 436 Dr.A S Rao Nagar,Hyderabad</v>
      </c>
      <c r="J288" s="228"/>
      <c r="K288" s="229"/>
      <c r="L288" s="193"/>
    </row>
    <row r="289" spans="1:12">
      <c r="A289" s="15"/>
      <c r="L289" s="16"/>
    </row>
    <row r="290" spans="1:12">
      <c r="A290" s="15">
        <v>1</v>
      </c>
      <c r="B290" s="210" t="s">
        <v>258</v>
      </c>
      <c r="C290" s="65"/>
      <c r="D290" s="65"/>
      <c r="E290" s="65"/>
      <c r="F290" s="65"/>
      <c r="G290" s="66"/>
      <c r="H290" s="1416" t="e">
        <f>'04-22-Master'!#REF!</f>
        <v>#REF!</v>
      </c>
      <c r="I290" s="1434"/>
      <c r="J290" s="1434"/>
      <c r="K290" s="1434"/>
      <c r="L290" s="1435"/>
    </row>
    <row r="291" spans="1:12">
      <c r="A291" s="15">
        <v>2</v>
      </c>
      <c r="B291" s="1454" t="s">
        <v>259</v>
      </c>
      <c r="C291" s="1455"/>
      <c r="D291" s="1455"/>
      <c r="E291" s="1455"/>
      <c r="F291" s="211" t="s">
        <v>260</v>
      </c>
      <c r="G291" s="195"/>
      <c r="H291" s="1456" t="e">
        <f>'04-22-Master'!#REF!</f>
        <v>#REF!</v>
      </c>
      <c r="I291" s="1457"/>
      <c r="J291" s="1457"/>
      <c r="K291" s="1457"/>
      <c r="L291" s="1458"/>
    </row>
    <row r="292" spans="1:12">
      <c r="A292" s="15"/>
      <c r="B292" s="196" t="s">
        <v>261</v>
      </c>
      <c r="C292" s="197"/>
      <c r="D292" s="197"/>
      <c r="E292" s="197"/>
      <c r="F292" s="197" t="s">
        <v>254</v>
      </c>
      <c r="G292" s="198"/>
      <c r="H292" s="1459"/>
      <c r="I292" s="1460"/>
      <c r="J292" s="1460"/>
      <c r="K292" s="1460"/>
      <c r="L292" s="1461"/>
    </row>
    <row r="293" spans="1:12">
      <c r="A293" s="15">
        <v>3</v>
      </c>
      <c r="B293" s="212" t="s">
        <v>262</v>
      </c>
      <c r="C293" s="202"/>
      <c r="D293" s="202"/>
      <c r="E293" s="202"/>
      <c r="F293" s="202"/>
      <c r="G293" s="203"/>
      <c r="H293" s="1441" t="e">
        <f>'04-22-Master'!#REF!</f>
        <v>#REF!</v>
      </c>
      <c r="I293" s="1442"/>
      <c r="J293" s="1442"/>
      <c r="K293" s="1442"/>
      <c r="L293" s="1443"/>
    </row>
    <row r="294" spans="1:12">
      <c r="A294" s="15">
        <v>4</v>
      </c>
      <c r="B294" s="188" t="s">
        <v>263</v>
      </c>
      <c r="C294" s="65"/>
      <c r="D294" s="65"/>
      <c r="E294" s="65"/>
      <c r="F294" s="65"/>
      <c r="G294" s="66"/>
      <c r="H294" s="1414" t="e">
        <f>'04-22-Master'!#REF!</f>
        <v>#REF!</v>
      </c>
      <c r="I294" s="1429"/>
      <c r="J294" s="1429"/>
      <c r="K294" s="1429"/>
      <c r="L294" s="1415"/>
    </row>
    <row r="295" spans="1:12">
      <c r="A295" s="15">
        <v>5</v>
      </c>
      <c r="B295" s="1444" t="s">
        <v>311</v>
      </c>
      <c r="C295" s="1445"/>
      <c r="D295" s="1445"/>
      <c r="E295" s="1445"/>
      <c r="F295" s="1445"/>
      <c r="G295" s="66"/>
      <c r="H295" s="1433" t="s">
        <v>390</v>
      </c>
      <c r="I295" s="1434"/>
      <c r="J295" s="1434"/>
      <c r="K295" s="1434"/>
      <c r="L295" s="1435"/>
    </row>
    <row r="296" spans="1:12">
      <c r="A296" s="15">
        <v>6</v>
      </c>
      <c r="B296" s="201" t="s">
        <v>264</v>
      </c>
      <c r="C296" s="202" t="s">
        <v>265</v>
      </c>
      <c r="D296" s="202"/>
      <c r="E296" s="202"/>
      <c r="F296" s="202"/>
      <c r="G296" s="203"/>
      <c r="H296" s="212"/>
      <c r="I296" s="202"/>
      <c r="J296" s="202"/>
      <c r="K296" s="202"/>
      <c r="L296" s="240"/>
    </row>
    <row r="297" spans="1:12">
      <c r="A297" s="15"/>
      <c r="B297" s="201" t="s">
        <v>266</v>
      </c>
      <c r="C297" s="202" t="s">
        <v>267</v>
      </c>
      <c r="D297" s="202"/>
      <c r="E297" s="202"/>
      <c r="F297" s="202"/>
      <c r="G297" s="203"/>
      <c r="H297" s="212"/>
      <c r="I297" s="194"/>
      <c r="J297" s="194"/>
      <c r="K297" s="202"/>
      <c r="L297" s="240"/>
    </row>
    <row r="298" spans="1:12">
      <c r="A298" s="15">
        <v>7</v>
      </c>
      <c r="B298" s="1441" t="s">
        <v>268</v>
      </c>
      <c r="C298" s="1442"/>
      <c r="D298" s="1442"/>
      <c r="E298" s="1442"/>
      <c r="F298" s="1442"/>
      <c r="G298" s="1446"/>
      <c r="H298" s="216" t="s">
        <v>269</v>
      </c>
      <c r="I298" s="217"/>
      <c r="J298" s="218"/>
      <c r="K298" s="216" t="s">
        <v>270</v>
      </c>
      <c r="L298" s="241"/>
    </row>
    <row r="299" spans="1:12">
      <c r="A299" s="15">
        <v>8</v>
      </c>
      <c r="B299" s="1441" t="s">
        <v>312</v>
      </c>
      <c r="C299" s="1442"/>
      <c r="D299" s="1442"/>
      <c r="E299" s="1442"/>
      <c r="F299" s="1442"/>
      <c r="G299" s="1446"/>
      <c r="H299" s="216" t="s">
        <v>269</v>
      </c>
      <c r="I299" s="217"/>
      <c r="J299" s="218"/>
      <c r="K299" s="216" t="s">
        <v>270</v>
      </c>
      <c r="L299" s="241"/>
    </row>
    <row r="300" spans="1:12">
      <c r="A300" s="15"/>
      <c r="B300" s="188"/>
      <c r="C300" s="220"/>
      <c r="D300" s="220"/>
      <c r="E300" s="220"/>
      <c r="F300" s="220" t="s">
        <v>271</v>
      </c>
      <c r="G300" s="220"/>
      <c r="H300" s="220"/>
      <c r="I300" s="220"/>
      <c r="J300" s="220"/>
      <c r="K300" s="220"/>
      <c r="L300" s="242"/>
    </row>
    <row r="301" spans="1:12">
      <c r="A301" s="15">
        <v>9</v>
      </c>
      <c r="B301" s="201" t="s">
        <v>272</v>
      </c>
      <c r="C301" s="202" t="s">
        <v>273</v>
      </c>
      <c r="D301" s="202"/>
      <c r="E301" s="202"/>
      <c r="F301" s="202"/>
      <c r="G301" s="203"/>
      <c r="H301" s="212"/>
      <c r="I301" s="202"/>
      <c r="J301" s="202"/>
      <c r="K301" s="202"/>
      <c r="L301" s="240"/>
    </row>
    <row r="302" spans="1:12">
      <c r="A302" s="90"/>
      <c r="B302" s="201" t="s">
        <v>274</v>
      </c>
      <c r="C302" s="202" t="s">
        <v>275</v>
      </c>
      <c r="D302" s="202"/>
      <c r="E302" s="202"/>
      <c r="F302" s="202"/>
      <c r="G302" s="203"/>
      <c r="H302" s="212"/>
      <c r="I302" s="202"/>
      <c r="J302" s="202"/>
      <c r="K302" s="202"/>
      <c r="L302" s="240"/>
    </row>
    <row r="303" spans="1:12">
      <c r="A303" s="90"/>
      <c r="B303" s="201" t="s">
        <v>313</v>
      </c>
      <c r="C303" s="202" t="s">
        <v>314</v>
      </c>
      <c r="D303" s="202"/>
      <c r="E303" s="202"/>
      <c r="F303" s="202"/>
      <c r="G303" s="203"/>
      <c r="H303" s="212"/>
      <c r="I303" s="202"/>
      <c r="J303" s="202"/>
      <c r="K303" s="202"/>
      <c r="L303" s="240"/>
    </row>
    <row r="304" spans="1:12">
      <c r="A304" s="90"/>
      <c r="B304" s="201" t="s">
        <v>277</v>
      </c>
      <c r="C304" s="202" t="s">
        <v>278</v>
      </c>
      <c r="D304" s="202"/>
      <c r="E304" s="202"/>
      <c r="F304" s="202"/>
      <c r="G304" s="203"/>
      <c r="H304" s="212"/>
      <c r="I304" s="202"/>
      <c r="J304" s="202"/>
      <c r="K304" s="202"/>
      <c r="L304" s="240"/>
    </row>
    <row r="305" spans="1:12">
      <c r="A305" s="90"/>
      <c r="B305" s="201" t="s">
        <v>279</v>
      </c>
      <c r="C305" s="202" t="s">
        <v>280</v>
      </c>
      <c r="D305" s="202"/>
      <c r="E305" s="202"/>
      <c r="F305" s="202"/>
      <c r="G305" s="203"/>
      <c r="H305" s="212"/>
      <c r="I305" s="202"/>
      <c r="J305" s="202"/>
      <c r="K305" s="202"/>
      <c r="L305" s="240"/>
    </row>
    <row r="306" spans="1:12">
      <c r="A306" s="90">
        <v>10</v>
      </c>
      <c r="B306" s="201" t="s">
        <v>272</v>
      </c>
      <c r="C306" s="202" t="s">
        <v>315</v>
      </c>
      <c r="D306" s="202"/>
      <c r="E306" s="202"/>
      <c r="F306" s="202"/>
      <c r="G306" s="203"/>
      <c r="H306" s="216" t="s">
        <v>269</v>
      </c>
      <c r="I306" s="217"/>
      <c r="J306" s="218"/>
      <c r="K306" s="216" t="s">
        <v>270</v>
      </c>
      <c r="L306" s="241"/>
    </row>
    <row r="307" spans="1:12">
      <c r="A307" s="90"/>
      <c r="B307" s="201" t="s">
        <v>274</v>
      </c>
      <c r="C307" s="202" t="s">
        <v>316</v>
      </c>
      <c r="D307" s="202"/>
      <c r="E307" s="202"/>
      <c r="F307" s="202"/>
      <c r="G307" s="203"/>
      <c r="H307" s="212"/>
      <c r="I307" s="202"/>
      <c r="J307" s="202"/>
      <c r="K307" s="202"/>
      <c r="L307" s="240"/>
    </row>
    <row r="308" spans="1:12">
      <c r="A308" s="90"/>
      <c r="B308" s="201" t="s">
        <v>313</v>
      </c>
      <c r="C308" s="202" t="s">
        <v>281</v>
      </c>
      <c r="D308" s="202"/>
      <c r="E308" s="202"/>
      <c r="F308" s="202"/>
      <c r="G308" s="203"/>
      <c r="H308" s="212"/>
      <c r="I308" s="202"/>
      <c r="J308" s="202"/>
      <c r="K308" s="202"/>
      <c r="L308" s="240"/>
    </row>
    <row r="309" spans="1:12">
      <c r="A309" s="90"/>
      <c r="B309" s="201" t="s">
        <v>277</v>
      </c>
      <c r="C309" s="202" t="s">
        <v>317</v>
      </c>
      <c r="D309" s="202"/>
      <c r="E309" s="202"/>
      <c r="F309" s="202"/>
      <c r="G309" s="203"/>
      <c r="H309" s="212"/>
      <c r="I309" s="202"/>
      <c r="J309" s="202"/>
      <c r="K309" s="202"/>
      <c r="L309" s="240"/>
    </row>
    <row r="310" spans="1:12">
      <c r="A310" s="15"/>
      <c r="B310" s="188"/>
      <c r="C310" s="220"/>
      <c r="D310" s="220"/>
      <c r="E310" s="220" t="s">
        <v>318</v>
      </c>
      <c r="F310" s="220"/>
      <c r="G310" s="220"/>
      <c r="H310" s="220"/>
      <c r="I310" s="220"/>
      <c r="J310" s="220"/>
      <c r="K310" s="220"/>
      <c r="L310" s="242"/>
    </row>
    <row r="311" spans="1:12">
      <c r="A311" s="15">
        <v>11</v>
      </c>
      <c r="B311" s="201" t="s">
        <v>272</v>
      </c>
      <c r="C311" s="202" t="s">
        <v>282</v>
      </c>
      <c r="D311" s="202"/>
      <c r="E311" s="202"/>
      <c r="F311" s="202"/>
      <c r="G311" s="203"/>
      <c r="H311" s="212"/>
      <c r="I311" s="202"/>
      <c r="J311" s="202"/>
      <c r="K311" s="202"/>
      <c r="L311" s="240"/>
    </row>
    <row r="312" spans="1:12">
      <c r="A312" s="15"/>
      <c r="B312" s="201" t="s">
        <v>274</v>
      </c>
      <c r="C312" s="202" t="s">
        <v>283</v>
      </c>
      <c r="D312" s="202"/>
      <c r="E312" s="202"/>
      <c r="F312" s="202"/>
      <c r="G312" s="203"/>
      <c r="H312" s="212"/>
      <c r="I312" s="202"/>
      <c r="J312" s="202"/>
      <c r="K312" s="202"/>
      <c r="L312" s="240"/>
    </row>
    <row r="313" spans="1:12">
      <c r="A313" s="15"/>
      <c r="B313" s="201" t="s">
        <v>276</v>
      </c>
      <c r="C313" s="202" t="s">
        <v>284</v>
      </c>
      <c r="D313" s="202"/>
      <c r="E313" s="202"/>
      <c r="F313" s="202"/>
      <c r="G313" s="203"/>
      <c r="H313" s="212"/>
      <c r="I313" s="202"/>
      <c r="J313" s="202"/>
      <c r="K313" s="202"/>
      <c r="L313" s="240"/>
    </row>
    <row r="314" spans="1:12">
      <c r="A314" s="15"/>
      <c r="B314" s="176"/>
      <c r="C314" s="172"/>
      <c r="D314" s="172"/>
      <c r="E314" s="172"/>
      <c r="F314" s="221" t="s">
        <v>285</v>
      </c>
      <c r="G314" s="172"/>
      <c r="H314" s="161"/>
      <c r="I314" s="161"/>
      <c r="J314" s="161"/>
      <c r="K314" s="161"/>
      <c r="L314" s="179"/>
    </row>
    <row r="315" spans="1:12">
      <c r="A315" s="15"/>
      <c r="B315" s="233" t="s">
        <v>286</v>
      </c>
      <c r="C315" s="232" t="s">
        <v>287</v>
      </c>
      <c r="D315" s="172"/>
      <c r="E315" s="172"/>
      <c r="F315" s="172"/>
      <c r="G315" s="172"/>
      <c r="H315" s="161"/>
      <c r="I315" s="161"/>
      <c r="J315" s="162"/>
      <c r="K315" s="161"/>
      <c r="L315" s="179"/>
    </row>
    <row r="316" spans="1:12">
      <c r="A316" s="15"/>
      <c r="B316" s="233" t="s">
        <v>288</v>
      </c>
      <c r="C316" s="231" t="s">
        <v>289</v>
      </c>
      <c r="D316" s="161"/>
      <c r="E316" s="162"/>
      <c r="G316" s="1447"/>
      <c r="H316" s="1447"/>
      <c r="I316" s="177"/>
      <c r="J316" s="178"/>
      <c r="K316" s="1447"/>
      <c r="L316" s="1448"/>
    </row>
    <row r="317" spans="1:12">
      <c r="A317" s="15"/>
      <c r="B317" s="234" t="s">
        <v>290</v>
      </c>
      <c r="C317" s="1449" t="s">
        <v>319</v>
      </c>
      <c r="D317" s="1449"/>
      <c r="E317" s="1449"/>
      <c r="F317" s="1449"/>
      <c r="G317" s="1449"/>
      <c r="H317" s="1449"/>
      <c r="I317" s="1449"/>
      <c r="J317" s="1449"/>
      <c r="K317" s="1449"/>
      <c r="L317" s="1450"/>
    </row>
    <row r="318" spans="1:12">
      <c r="A318" s="15"/>
      <c r="B318" s="233" t="s">
        <v>291</v>
      </c>
      <c r="C318" s="232" t="s">
        <v>292</v>
      </c>
      <c r="D318" s="224"/>
      <c r="E318" s="224"/>
      <c r="F318" s="224"/>
      <c r="G318" s="224"/>
      <c r="H318" s="224"/>
      <c r="I318" s="224"/>
      <c r="J318" s="224"/>
      <c r="K318" s="224"/>
      <c r="L318" s="243"/>
    </row>
    <row r="319" spans="1:12">
      <c r="A319" s="15"/>
      <c r="B319" s="176"/>
      <c r="C319" t="s">
        <v>320</v>
      </c>
      <c r="D319" s="289" t="e">
        <f>'04-22-Master'!#REF!</f>
        <v>#REF!</v>
      </c>
      <c r="E319" s="2"/>
      <c r="F319" s="2"/>
      <c r="G319" s="2"/>
      <c r="L319" s="16"/>
    </row>
    <row r="320" spans="1:12">
      <c r="A320" s="15"/>
      <c r="C320" t="s">
        <v>293</v>
      </c>
      <c r="D320" t="s">
        <v>382</v>
      </c>
      <c r="J320" t="s">
        <v>321</v>
      </c>
      <c r="L320" s="16"/>
    </row>
    <row r="321" spans="1:12" ht="16.5" customHeight="1">
      <c r="A321" s="15"/>
      <c r="L321" s="16"/>
    </row>
    <row r="322" spans="1:12" ht="21.75" customHeight="1">
      <c r="A322" s="15"/>
      <c r="F322" s="222" t="s">
        <v>294</v>
      </c>
      <c r="L322" s="16"/>
    </row>
    <row r="323" spans="1:12" ht="27.95" customHeight="1">
      <c r="A323" s="15" t="s">
        <v>322</v>
      </c>
      <c r="B323" t="s">
        <v>295</v>
      </c>
      <c r="E323" s="225" t="e">
        <f>'04-22-Master'!#REF!</f>
        <v>#REF!</v>
      </c>
      <c r="H323" s="1451" t="s">
        <v>296</v>
      </c>
      <c r="I323" s="1451"/>
      <c r="J323" s="226" t="e">
        <f>'04-22-Master'!#REF!</f>
        <v>#REF!</v>
      </c>
      <c r="K323" t="s">
        <v>297</v>
      </c>
      <c r="L323" s="16"/>
    </row>
    <row r="324" spans="1:12" ht="25.5" customHeight="1">
      <c r="A324" s="15"/>
      <c r="B324" s="1462" t="e">
        <f>'04-22-Master'!#REF!</f>
        <v>#REF!</v>
      </c>
      <c r="C324" s="1463"/>
      <c r="D324" s="223"/>
      <c r="E324" s="223"/>
      <c r="F324" s="223"/>
      <c r="G324" s="223"/>
      <c r="H324" s="223"/>
      <c r="I324" s="223"/>
      <c r="J324" s="223"/>
      <c r="K324" s="223"/>
      <c r="L324" s="244"/>
    </row>
    <row r="325" spans="1:12" ht="24.75" customHeight="1">
      <c r="A325" s="15" t="s">
        <v>324</v>
      </c>
      <c r="B325" s="223" t="s">
        <v>298</v>
      </c>
      <c r="C325" s="223"/>
      <c r="D325" s="223"/>
      <c r="E325" s="223"/>
      <c r="F325" s="223"/>
      <c r="G325" s="223"/>
      <c r="H325" s="223"/>
      <c r="I325" s="223"/>
      <c r="J325" s="223"/>
      <c r="K325" s="223"/>
      <c r="L325" s="244"/>
    </row>
    <row r="326" spans="1:12" ht="27.95" customHeight="1">
      <c r="A326" s="15"/>
      <c r="B326" s="223" t="s">
        <v>323</v>
      </c>
      <c r="C326" s="223"/>
      <c r="D326" s="223"/>
      <c r="E326" s="223"/>
      <c r="F326" s="223"/>
      <c r="G326" s="223"/>
      <c r="H326" s="223"/>
      <c r="I326" s="223"/>
      <c r="J326" s="223"/>
      <c r="K326" s="223"/>
      <c r="L326" s="244"/>
    </row>
    <row r="327" spans="1:12" ht="27.95" customHeight="1">
      <c r="A327" s="15"/>
      <c r="B327" t="s">
        <v>299</v>
      </c>
      <c r="L327" s="16"/>
    </row>
    <row r="328" spans="1:12" ht="27.95" customHeight="1">
      <c r="A328" s="15"/>
      <c r="B328" s="2" t="s">
        <v>300</v>
      </c>
      <c r="F328" s="175"/>
      <c r="L328" s="16"/>
    </row>
    <row r="329" spans="1:12" ht="27.95" customHeight="1">
      <c r="A329" s="15"/>
      <c r="B329" s="2" t="s">
        <v>301</v>
      </c>
      <c r="L329" s="16"/>
    </row>
    <row r="330" spans="1:12" ht="27.95" customHeight="1">
      <c r="A330" s="15"/>
      <c r="B330" t="s">
        <v>302</v>
      </c>
      <c r="L330" s="16"/>
    </row>
    <row r="331" spans="1:12" ht="27.95" customHeight="1">
      <c r="A331" s="15"/>
      <c r="B331" t="s">
        <v>303</v>
      </c>
      <c r="L331" s="16"/>
    </row>
    <row r="332" spans="1:12" ht="27.95" customHeight="1">
      <c r="A332" s="15" t="s">
        <v>313</v>
      </c>
      <c r="B332" t="s">
        <v>304</v>
      </c>
      <c r="L332" s="16"/>
    </row>
    <row r="333" spans="1:12" ht="27.95" customHeight="1">
      <c r="A333" s="15"/>
      <c r="B333" s="235" t="s">
        <v>325</v>
      </c>
      <c r="L333" s="16"/>
    </row>
    <row r="334" spans="1:12" ht="27.95" customHeight="1">
      <c r="A334" s="15"/>
      <c r="B334" t="s">
        <v>299</v>
      </c>
      <c r="L334" s="16"/>
    </row>
    <row r="335" spans="1:12" ht="27.95" customHeight="1">
      <c r="A335" s="15"/>
      <c r="B335" t="s">
        <v>305</v>
      </c>
      <c r="L335" s="16"/>
    </row>
    <row r="336" spans="1:12" ht="27.95" customHeight="1">
      <c r="A336" s="15"/>
      <c r="B336" t="s">
        <v>306</v>
      </c>
      <c r="L336" s="16"/>
    </row>
    <row r="337" spans="1:12" ht="27.95" customHeight="1">
      <c r="A337" s="15"/>
      <c r="B337" s="1464" t="s">
        <v>307</v>
      </c>
      <c r="C337" s="1464"/>
      <c r="D337" s="1464"/>
      <c r="E337" s="1464"/>
      <c r="F337" s="1464"/>
      <c r="G337" s="1464"/>
      <c r="H337" s="1464"/>
      <c r="I337" s="1464"/>
      <c r="J337" s="1464"/>
      <c r="K337" s="1464"/>
      <c r="L337" s="1465"/>
    </row>
    <row r="338" spans="1:12" ht="27.95" customHeight="1">
      <c r="A338" s="15"/>
      <c r="B338" t="s">
        <v>219</v>
      </c>
      <c r="C338" s="284" t="e">
        <f>'04-22-Master'!#REF!</f>
        <v>#REF!</v>
      </c>
      <c r="D338" s="205"/>
      <c r="E338" s="205"/>
      <c r="F338" s="205"/>
      <c r="G338" s="205"/>
      <c r="H338" s="205"/>
      <c r="I338" t="s">
        <v>326</v>
      </c>
      <c r="J338" s="205"/>
      <c r="K338" s="205"/>
      <c r="L338" s="236"/>
    </row>
    <row r="339" spans="1:12" ht="16.5" thickBot="1">
      <c r="A339" s="27"/>
      <c r="B339" s="1241"/>
      <c r="C339" s="1241"/>
      <c r="D339" s="1241"/>
      <c r="E339" s="1241"/>
      <c r="F339" s="1241"/>
      <c r="G339" s="1241"/>
      <c r="H339" s="1241"/>
      <c r="I339" s="1241"/>
      <c r="J339" s="1241"/>
      <c r="K339" s="1241"/>
      <c r="L339" s="1242"/>
    </row>
    <row r="340" spans="1:12">
      <c r="A340" s="79"/>
      <c r="B340" s="80"/>
      <c r="C340" s="80"/>
      <c r="D340" s="80"/>
      <c r="E340" s="80"/>
      <c r="F340" s="80"/>
      <c r="G340" s="80"/>
      <c r="H340" s="80"/>
      <c r="I340" s="84" t="s">
        <v>253</v>
      </c>
      <c r="J340" s="80"/>
      <c r="K340" s="80"/>
      <c r="L340" s="81"/>
    </row>
    <row r="341" spans="1:12">
      <c r="A341" s="15"/>
      <c r="B341" s="1452" t="s">
        <v>308</v>
      </c>
      <c r="C341" s="1452"/>
      <c r="D341" s="1452"/>
      <c r="E341" s="1452"/>
      <c r="F341" s="1452"/>
      <c r="G341" s="1452"/>
      <c r="H341" s="1452"/>
      <c r="I341" s="1452"/>
      <c r="J341" s="1452"/>
      <c r="K341" s="1452"/>
      <c r="L341" s="1453"/>
    </row>
    <row r="342" spans="1:12" ht="23.25">
      <c r="A342" s="15"/>
      <c r="B342" s="205"/>
      <c r="C342" s="205"/>
      <c r="D342" s="213" t="s">
        <v>255</v>
      </c>
      <c r="E342" s="205"/>
      <c r="F342" s="205"/>
      <c r="G342" s="205"/>
      <c r="H342" s="205"/>
      <c r="I342" s="207" t="s">
        <v>309</v>
      </c>
      <c r="J342" s="208"/>
      <c r="K342" s="288" t="e">
        <f>'04-22-Master'!#REF!</f>
        <v>#REF!</v>
      </c>
      <c r="L342" s="238"/>
    </row>
    <row r="343" spans="1:12" ht="15.75">
      <c r="A343" s="15"/>
      <c r="B343" s="1"/>
      <c r="C343" s="1" t="s">
        <v>256</v>
      </c>
      <c r="E343" s="1"/>
      <c r="F343" s="1"/>
      <c r="G343" s="1"/>
      <c r="H343" s="1"/>
      <c r="I343" s="206" t="s">
        <v>310</v>
      </c>
      <c r="J343" s="227" t="str">
        <f>'04-22-Master'!F5</f>
        <v>Burgeon IT Services Pvt.Ltd.</v>
      </c>
      <c r="K343" s="209"/>
      <c r="L343" s="239"/>
    </row>
    <row r="344" spans="1:12">
      <c r="A344" s="15"/>
      <c r="B344" s="214"/>
      <c r="C344" s="183" t="s">
        <v>257</v>
      </c>
      <c r="E344" s="214"/>
      <c r="F344" s="214"/>
      <c r="H344" s="184"/>
      <c r="I344" s="230" t="str">
        <f>'04-22-Master'!F6</f>
        <v>Siri Mansion LIGB 436 Dr.A S Rao Nagar,Hyderabad</v>
      </c>
      <c r="J344" s="228"/>
      <c r="K344" s="229"/>
      <c r="L344" s="193"/>
    </row>
    <row r="345" spans="1:12">
      <c r="A345" s="15"/>
      <c r="L345" s="16"/>
    </row>
    <row r="346" spans="1:12" ht="20.25" customHeight="1">
      <c r="A346" s="15">
        <v>1</v>
      </c>
      <c r="B346" s="210" t="s">
        <v>258</v>
      </c>
      <c r="C346" s="65"/>
      <c r="D346" s="65"/>
      <c r="E346" s="65"/>
      <c r="F346" s="65"/>
      <c r="G346" s="66"/>
      <c r="H346" s="1416" t="e">
        <f>'04-22-Master'!#REF!</f>
        <v>#REF!</v>
      </c>
      <c r="I346" s="1434"/>
      <c r="J346" s="1434"/>
      <c r="K346" s="1434"/>
      <c r="L346" s="1435"/>
    </row>
    <row r="347" spans="1:12" ht="11.25" customHeight="1">
      <c r="A347" s="15">
        <v>2</v>
      </c>
      <c r="B347" s="1454" t="s">
        <v>259</v>
      </c>
      <c r="C347" s="1455"/>
      <c r="D347" s="1455"/>
      <c r="E347" s="1455"/>
      <c r="F347" s="211" t="s">
        <v>260</v>
      </c>
      <c r="G347" s="195"/>
      <c r="H347" s="1456" t="e">
        <f>'04-22-Master'!#REF!</f>
        <v>#REF!</v>
      </c>
      <c r="I347" s="1457"/>
      <c r="J347" s="1457"/>
      <c r="K347" s="1457"/>
      <c r="L347" s="1458"/>
    </row>
    <row r="348" spans="1:12" ht="11.25" customHeight="1">
      <c r="A348" s="15"/>
      <c r="B348" s="196" t="s">
        <v>261</v>
      </c>
      <c r="C348" s="197"/>
      <c r="D348" s="197"/>
      <c r="E348" s="197"/>
      <c r="F348" s="197" t="s">
        <v>254</v>
      </c>
      <c r="G348" s="198"/>
      <c r="H348" s="1459"/>
      <c r="I348" s="1460"/>
      <c r="J348" s="1460"/>
      <c r="K348" s="1460"/>
      <c r="L348" s="1461"/>
    </row>
    <row r="349" spans="1:12">
      <c r="A349" s="15">
        <v>3</v>
      </c>
      <c r="B349" s="212" t="s">
        <v>262</v>
      </c>
      <c r="C349" s="202"/>
      <c r="D349" s="202"/>
      <c r="E349" s="202"/>
      <c r="F349" s="202"/>
      <c r="G349" s="203"/>
      <c r="H349" s="1441" t="e">
        <f>'04-22-Master'!#REF!</f>
        <v>#REF!</v>
      </c>
      <c r="I349" s="1442"/>
      <c r="J349" s="1442"/>
      <c r="K349" s="1442"/>
      <c r="L349" s="1443"/>
    </row>
    <row r="350" spans="1:12">
      <c r="A350" s="15">
        <v>4</v>
      </c>
      <c r="B350" s="188" t="s">
        <v>263</v>
      </c>
      <c r="C350" s="65"/>
      <c r="D350" s="65"/>
      <c r="E350" s="65"/>
      <c r="F350" s="65"/>
      <c r="G350" s="66"/>
      <c r="H350" s="1414" t="e">
        <f>'04-22-Master'!#REF!</f>
        <v>#REF!</v>
      </c>
      <c r="I350" s="1429"/>
      <c r="J350" s="1429"/>
      <c r="K350" s="1429"/>
      <c r="L350" s="1415"/>
    </row>
    <row r="351" spans="1:12">
      <c r="A351" s="15">
        <v>5</v>
      </c>
      <c r="B351" s="1444" t="s">
        <v>311</v>
      </c>
      <c r="C351" s="1445"/>
      <c r="D351" s="1445"/>
      <c r="E351" s="1445"/>
      <c r="F351" s="1445"/>
      <c r="G351" s="66"/>
      <c r="H351" s="1433" t="s">
        <v>390</v>
      </c>
      <c r="I351" s="1434"/>
      <c r="J351" s="1434"/>
      <c r="K351" s="1434"/>
      <c r="L351" s="1435"/>
    </row>
    <row r="352" spans="1:12">
      <c r="A352" s="15">
        <v>6</v>
      </c>
      <c r="B352" s="201" t="s">
        <v>264</v>
      </c>
      <c r="C352" s="202" t="s">
        <v>265</v>
      </c>
      <c r="D352" s="202"/>
      <c r="E352" s="202"/>
      <c r="F352" s="202"/>
      <c r="G352" s="203"/>
      <c r="H352" s="212"/>
      <c r="I352" s="202"/>
      <c r="J352" s="202"/>
      <c r="K352" s="202"/>
      <c r="L352" s="240"/>
    </row>
    <row r="353" spans="1:12">
      <c r="A353" s="15"/>
      <c r="B353" s="201" t="s">
        <v>266</v>
      </c>
      <c r="C353" s="202" t="s">
        <v>267</v>
      </c>
      <c r="D353" s="202"/>
      <c r="E353" s="202"/>
      <c r="F353" s="202"/>
      <c r="G353" s="203"/>
      <c r="H353" s="212"/>
      <c r="I353" s="194"/>
      <c r="J353" s="194"/>
      <c r="K353" s="202"/>
      <c r="L353" s="240"/>
    </row>
    <row r="354" spans="1:12">
      <c r="A354" s="15">
        <v>7</v>
      </c>
      <c r="B354" s="1441" t="s">
        <v>268</v>
      </c>
      <c r="C354" s="1442"/>
      <c r="D354" s="1442"/>
      <c r="E354" s="1442"/>
      <c r="F354" s="1442"/>
      <c r="G354" s="1446"/>
      <c r="H354" s="216" t="s">
        <v>269</v>
      </c>
      <c r="I354" s="217"/>
      <c r="J354" s="218"/>
      <c r="K354" s="216" t="s">
        <v>270</v>
      </c>
      <c r="L354" s="241"/>
    </row>
    <row r="355" spans="1:12">
      <c r="A355" s="15">
        <v>8</v>
      </c>
      <c r="B355" s="1441" t="s">
        <v>312</v>
      </c>
      <c r="C355" s="1442"/>
      <c r="D355" s="1442"/>
      <c r="E355" s="1442"/>
      <c r="F355" s="1442"/>
      <c r="G355" s="1446"/>
      <c r="H355" s="216" t="s">
        <v>269</v>
      </c>
      <c r="I355" s="217"/>
      <c r="J355" s="218"/>
      <c r="K355" s="216" t="s">
        <v>270</v>
      </c>
      <c r="L355" s="241"/>
    </row>
    <row r="356" spans="1:12">
      <c r="A356" s="15"/>
      <c r="B356" s="188"/>
      <c r="C356" s="220"/>
      <c r="D356" s="220"/>
      <c r="E356" s="220"/>
      <c r="F356" s="220" t="s">
        <v>271</v>
      </c>
      <c r="G356" s="220"/>
      <c r="H356" s="220"/>
      <c r="I356" s="220"/>
      <c r="J356" s="220"/>
      <c r="K356" s="220"/>
      <c r="L356" s="242"/>
    </row>
    <row r="357" spans="1:12">
      <c r="A357" s="15">
        <v>9</v>
      </c>
      <c r="B357" s="201" t="s">
        <v>272</v>
      </c>
      <c r="C357" s="202" t="s">
        <v>273</v>
      </c>
      <c r="D357" s="202"/>
      <c r="E357" s="202"/>
      <c r="F357" s="202"/>
      <c r="G357" s="203"/>
      <c r="H357" s="212"/>
      <c r="I357" s="202"/>
      <c r="J357" s="202"/>
      <c r="K357" s="202"/>
      <c r="L357" s="240"/>
    </row>
    <row r="358" spans="1:12">
      <c r="A358" s="90"/>
      <c r="B358" s="201" t="s">
        <v>274</v>
      </c>
      <c r="C358" s="202" t="s">
        <v>275</v>
      </c>
      <c r="D358" s="202"/>
      <c r="E358" s="202"/>
      <c r="F358" s="202"/>
      <c r="G358" s="203"/>
      <c r="H358" s="212"/>
      <c r="I358" s="202"/>
      <c r="J358" s="202"/>
      <c r="K358" s="202"/>
      <c r="L358" s="240"/>
    </row>
    <row r="359" spans="1:12">
      <c r="A359" s="90"/>
      <c r="B359" s="201" t="s">
        <v>313</v>
      </c>
      <c r="C359" s="202" t="s">
        <v>314</v>
      </c>
      <c r="D359" s="202"/>
      <c r="E359" s="202"/>
      <c r="F359" s="202"/>
      <c r="G359" s="203"/>
      <c r="H359" s="212"/>
      <c r="I359" s="202"/>
      <c r="J359" s="202"/>
      <c r="K359" s="202"/>
      <c r="L359" s="240"/>
    </row>
    <row r="360" spans="1:12">
      <c r="A360" s="90"/>
      <c r="B360" s="201" t="s">
        <v>277</v>
      </c>
      <c r="C360" s="202" t="s">
        <v>278</v>
      </c>
      <c r="D360" s="202"/>
      <c r="E360" s="202"/>
      <c r="F360" s="202"/>
      <c r="G360" s="203"/>
      <c r="H360" s="212"/>
      <c r="I360" s="202"/>
      <c r="J360" s="202"/>
      <c r="K360" s="202"/>
      <c r="L360" s="240"/>
    </row>
    <row r="361" spans="1:12">
      <c r="A361" s="90"/>
      <c r="B361" s="201" t="s">
        <v>279</v>
      </c>
      <c r="C361" s="202" t="s">
        <v>280</v>
      </c>
      <c r="D361" s="202"/>
      <c r="E361" s="202"/>
      <c r="F361" s="202"/>
      <c r="G361" s="203"/>
      <c r="H361" s="212"/>
      <c r="I361" s="202"/>
      <c r="J361" s="202"/>
      <c r="K361" s="202"/>
      <c r="L361" s="240"/>
    </row>
    <row r="362" spans="1:12">
      <c r="A362" s="90">
        <v>10</v>
      </c>
      <c r="B362" s="201" t="s">
        <v>272</v>
      </c>
      <c r="C362" s="202" t="s">
        <v>315</v>
      </c>
      <c r="D362" s="202"/>
      <c r="E362" s="202"/>
      <c r="F362" s="202"/>
      <c r="G362" s="203"/>
      <c r="H362" s="216" t="s">
        <v>269</v>
      </c>
      <c r="I362" s="217"/>
      <c r="J362" s="218"/>
      <c r="K362" s="216" t="s">
        <v>270</v>
      </c>
      <c r="L362" s="241"/>
    </row>
    <row r="363" spans="1:12">
      <c r="A363" s="90"/>
      <c r="B363" s="201" t="s">
        <v>274</v>
      </c>
      <c r="C363" s="202" t="s">
        <v>316</v>
      </c>
      <c r="D363" s="202"/>
      <c r="E363" s="202"/>
      <c r="F363" s="202"/>
      <c r="G363" s="203"/>
      <c r="H363" s="212"/>
      <c r="I363" s="202"/>
      <c r="J363" s="202"/>
      <c r="K363" s="202"/>
      <c r="L363" s="240"/>
    </row>
    <row r="364" spans="1:12">
      <c r="A364" s="90"/>
      <c r="B364" s="201" t="s">
        <v>313</v>
      </c>
      <c r="C364" s="202" t="s">
        <v>281</v>
      </c>
      <c r="D364" s="202"/>
      <c r="E364" s="202"/>
      <c r="F364" s="202"/>
      <c r="G364" s="203"/>
      <c r="H364" s="212"/>
      <c r="I364" s="202"/>
      <c r="J364" s="202"/>
      <c r="K364" s="202"/>
      <c r="L364" s="240"/>
    </row>
    <row r="365" spans="1:12">
      <c r="A365" s="90"/>
      <c r="B365" s="201" t="s">
        <v>277</v>
      </c>
      <c r="C365" s="202" t="s">
        <v>317</v>
      </c>
      <c r="D365" s="202"/>
      <c r="E365" s="202"/>
      <c r="F365" s="202"/>
      <c r="G365" s="203"/>
      <c r="H365" s="212"/>
      <c r="I365" s="202"/>
      <c r="J365" s="202"/>
      <c r="K365" s="202"/>
      <c r="L365" s="240"/>
    </row>
    <row r="366" spans="1:12">
      <c r="A366" s="15"/>
      <c r="B366" s="188"/>
      <c r="C366" s="220"/>
      <c r="D366" s="220"/>
      <c r="E366" s="220" t="s">
        <v>318</v>
      </c>
      <c r="F366" s="220"/>
      <c r="G366" s="220"/>
      <c r="H366" s="220"/>
      <c r="I366" s="220"/>
      <c r="J366" s="220"/>
      <c r="K366" s="220"/>
      <c r="L366" s="242"/>
    </row>
    <row r="367" spans="1:12">
      <c r="A367" s="15">
        <v>11</v>
      </c>
      <c r="B367" s="201" t="s">
        <v>272</v>
      </c>
      <c r="C367" s="202" t="s">
        <v>282</v>
      </c>
      <c r="D367" s="202"/>
      <c r="E367" s="202"/>
      <c r="F367" s="202"/>
      <c r="G367" s="203"/>
      <c r="H367" s="212"/>
      <c r="I367" s="202"/>
      <c r="J367" s="202"/>
      <c r="K367" s="202"/>
      <c r="L367" s="240"/>
    </row>
    <row r="368" spans="1:12">
      <c r="A368" s="15"/>
      <c r="B368" s="201" t="s">
        <v>274</v>
      </c>
      <c r="C368" s="202" t="s">
        <v>283</v>
      </c>
      <c r="D368" s="202"/>
      <c r="E368" s="202"/>
      <c r="F368" s="202"/>
      <c r="G368" s="203"/>
      <c r="H368" s="212"/>
      <c r="I368" s="202"/>
      <c r="J368" s="202"/>
      <c r="K368" s="202"/>
      <c r="L368" s="240"/>
    </row>
    <row r="369" spans="1:12">
      <c r="A369" s="15"/>
      <c r="B369" s="201" t="s">
        <v>276</v>
      </c>
      <c r="C369" s="202" t="s">
        <v>284</v>
      </c>
      <c r="D369" s="202"/>
      <c r="E369" s="202"/>
      <c r="F369" s="202"/>
      <c r="G369" s="203"/>
      <c r="H369" s="212"/>
      <c r="I369" s="202"/>
      <c r="J369" s="202"/>
      <c r="K369" s="202"/>
      <c r="L369" s="240"/>
    </row>
    <row r="370" spans="1:12">
      <c r="A370" s="15"/>
      <c r="B370" s="176"/>
      <c r="C370" s="172"/>
      <c r="D370" s="172"/>
      <c r="E370" s="172"/>
      <c r="F370" s="221" t="s">
        <v>285</v>
      </c>
      <c r="G370" s="172"/>
      <c r="H370" s="161"/>
      <c r="I370" s="161"/>
      <c r="J370" s="161"/>
      <c r="K370" s="161"/>
      <c r="L370" s="179"/>
    </row>
    <row r="371" spans="1:12">
      <c r="A371" s="15"/>
      <c r="B371" s="233" t="s">
        <v>286</v>
      </c>
      <c r="C371" s="232" t="s">
        <v>287</v>
      </c>
      <c r="D371" s="172"/>
      <c r="E371" s="172"/>
      <c r="F371" s="172"/>
      <c r="G371" s="172"/>
      <c r="H371" s="161"/>
      <c r="I371" s="161"/>
      <c r="J371" s="162"/>
      <c r="K371" s="161"/>
      <c r="L371" s="179"/>
    </row>
    <row r="372" spans="1:12">
      <c r="A372" s="15"/>
      <c r="B372" s="233" t="s">
        <v>288</v>
      </c>
      <c r="C372" s="231" t="s">
        <v>289</v>
      </c>
      <c r="D372" s="161"/>
      <c r="E372" s="162"/>
      <c r="G372" s="1447"/>
      <c r="H372" s="1447"/>
      <c r="I372" s="177"/>
      <c r="J372" s="178"/>
      <c r="K372" s="1447"/>
      <c r="L372" s="1448"/>
    </row>
    <row r="373" spans="1:12">
      <c r="A373" s="15"/>
      <c r="B373" s="234" t="s">
        <v>290</v>
      </c>
      <c r="C373" s="1449" t="s">
        <v>319</v>
      </c>
      <c r="D373" s="1449"/>
      <c r="E373" s="1449"/>
      <c r="F373" s="1449"/>
      <c r="G373" s="1449"/>
      <c r="H373" s="1449"/>
      <c r="I373" s="1449"/>
      <c r="J373" s="1449"/>
      <c r="K373" s="1449"/>
      <c r="L373" s="1450"/>
    </row>
    <row r="374" spans="1:12" ht="27.95" customHeight="1">
      <c r="A374" s="15"/>
      <c r="B374" s="233" t="s">
        <v>291</v>
      </c>
      <c r="C374" s="232" t="s">
        <v>292</v>
      </c>
      <c r="D374" s="224"/>
      <c r="E374" s="224"/>
      <c r="F374" s="224"/>
      <c r="G374" s="224"/>
      <c r="H374" s="224"/>
      <c r="I374" s="224"/>
      <c r="J374" s="224"/>
      <c r="K374" s="224"/>
      <c r="L374" s="243"/>
    </row>
    <row r="375" spans="1:12" ht="27.95" customHeight="1">
      <c r="A375" s="15"/>
      <c r="B375" s="176"/>
      <c r="C375" t="s">
        <v>320</v>
      </c>
      <c r="D375" s="289" t="e">
        <f>'04-22-Master'!#REF!</f>
        <v>#REF!</v>
      </c>
      <c r="E375" s="2"/>
      <c r="F375" s="2"/>
      <c r="G375" s="2"/>
      <c r="L375" s="16"/>
    </row>
    <row r="376" spans="1:12" ht="27.95" customHeight="1">
      <c r="A376" s="15"/>
      <c r="C376" t="s">
        <v>293</v>
      </c>
      <c r="D376" t="s">
        <v>382</v>
      </c>
      <c r="J376" t="s">
        <v>321</v>
      </c>
      <c r="L376" s="16"/>
    </row>
    <row r="377" spans="1:12" ht="27.95" customHeight="1">
      <c r="A377" s="15"/>
      <c r="F377" s="222" t="s">
        <v>294</v>
      </c>
      <c r="L377" s="16"/>
    </row>
    <row r="378" spans="1:12" ht="27.95" customHeight="1">
      <c r="A378" s="15" t="s">
        <v>322</v>
      </c>
      <c r="B378" t="s">
        <v>295</v>
      </c>
      <c r="E378" s="225" t="e">
        <f>'04-22-Master'!#REF!</f>
        <v>#REF!</v>
      </c>
      <c r="H378" s="1451" t="s">
        <v>296</v>
      </c>
      <c r="I378" s="1451"/>
      <c r="J378" s="226" t="e">
        <f>'04-22-Master'!#REF!</f>
        <v>#REF!</v>
      </c>
      <c r="K378" t="s">
        <v>297</v>
      </c>
      <c r="L378" s="16"/>
    </row>
    <row r="379" spans="1:12" ht="27.95" customHeight="1">
      <c r="A379" s="15"/>
      <c r="B379" s="1462" t="e">
        <f>'04-22-Master'!#REF!</f>
        <v>#REF!</v>
      </c>
      <c r="C379" s="1463"/>
      <c r="D379" s="223"/>
      <c r="E379" s="223"/>
      <c r="F379" s="223"/>
      <c r="G379" s="223"/>
      <c r="H379" s="223"/>
      <c r="I379" s="223"/>
      <c r="J379" s="223"/>
      <c r="K379" s="223"/>
      <c r="L379" s="244"/>
    </row>
    <row r="380" spans="1:12" ht="27.95" customHeight="1">
      <c r="A380" s="15" t="s">
        <v>324</v>
      </c>
      <c r="B380" s="223" t="s">
        <v>298</v>
      </c>
      <c r="C380" s="223"/>
      <c r="D380" s="223"/>
      <c r="E380" s="223"/>
      <c r="F380" s="223"/>
      <c r="G380" s="223"/>
      <c r="H380" s="223"/>
      <c r="I380" s="223"/>
      <c r="J380" s="223"/>
      <c r="K380" s="223"/>
      <c r="L380" s="244"/>
    </row>
    <row r="381" spans="1:12" ht="27.95" customHeight="1">
      <c r="A381" s="15"/>
      <c r="B381" s="223" t="s">
        <v>323</v>
      </c>
      <c r="C381" s="223"/>
      <c r="D381" s="223"/>
      <c r="E381" s="223"/>
      <c r="F381" s="223"/>
      <c r="G381" s="223"/>
      <c r="H381" s="223"/>
      <c r="I381" s="223"/>
      <c r="J381" s="223"/>
      <c r="K381" s="223"/>
      <c r="L381" s="244"/>
    </row>
    <row r="382" spans="1:12" ht="27.95" customHeight="1">
      <c r="A382" s="15"/>
      <c r="B382" t="s">
        <v>299</v>
      </c>
      <c r="L382" s="16"/>
    </row>
    <row r="383" spans="1:12" ht="27.95" customHeight="1">
      <c r="A383" s="15"/>
      <c r="B383" s="2" t="s">
        <v>300</v>
      </c>
      <c r="F383" s="175"/>
      <c r="L383" s="16"/>
    </row>
    <row r="384" spans="1:12" ht="27.95" customHeight="1">
      <c r="A384" s="15"/>
      <c r="B384" s="2" t="s">
        <v>301</v>
      </c>
      <c r="L384" s="16"/>
    </row>
    <row r="385" spans="1:12" ht="27.95" customHeight="1">
      <c r="A385" s="15"/>
      <c r="B385" t="s">
        <v>302</v>
      </c>
      <c r="L385" s="16"/>
    </row>
    <row r="386" spans="1:12" ht="27.95" customHeight="1">
      <c r="A386" s="15"/>
      <c r="B386" t="s">
        <v>303</v>
      </c>
      <c r="L386" s="16"/>
    </row>
    <row r="387" spans="1:12" ht="27.95" customHeight="1">
      <c r="A387" s="15" t="s">
        <v>313</v>
      </c>
      <c r="B387" t="s">
        <v>304</v>
      </c>
      <c r="L387" s="16"/>
    </row>
    <row r="388" spans="1:12" ht="27.95" customHeight="1">
      <c r="A388" s="15"/>
      <c r="B388" s="235" t="s">
        <v>325</v>
      </c>
      <c r="L388" s="16"/>
    </row>
    <row r="389" spans="1:12" ht="27.95" customHeight="1">
      <c r="A389" s="15"/>
      <c r="B389" t="s">
        <v>299</v>
      </c>
      <c r="L389" s="16"/>
    </row>
    <row r="390" spans="1:12" ht="27.95" customHeight="1">
      <c r="A390" s="15"/>
      <c r="B390" t="s">
        <v>305</v>
      </c>
      <c r="L390" s="16"/>
    </row>
    <row r="391" spans="1:12">
      <c r="A391" s="15"/>
      <c r="B391" t="s">
        <v>306</v>
      </c>
      <c r="L391" s="16"/>
    </row>
    <row r="392" spans="1:12">
      <c r="A392" s="15"/>
      <c r="B392" s="1464" t="s">
        <v>307</v>
      </c>
      <c r="C392" s="1464"/>
      <c r="D392" s="1464"/>
      <c r="E392" s="1464"/>
      <c r="F392" s="1464"/>
      <c r="G392" s="1464"/>
      <c r="H392" s="1464"/>
      <c r="I392" s="1464"/>
      <c r="J392" s="1464"/>
      <c r="K392" s="1464"/>
      <c r="L392" s="1465"/>
    </row>
    <row r="393" spans="1:12" ht="23.25">
      <c r="A393" s="15"/>
      <c r="B393" t="s">
        <v>219</v>
      </c>
      <c r="C393" s="284" t="e">
        <f>'04-22-Master'!#REF!</f>
        <v>#REF!</v>
      </c>
      <c r="D393" s="205"/>
      <c r="E393" s="205"/>
      <c r="F393" s="205"/>
      <c r="G393" s="205"/>
      <c r="H393" s="205"/>
      <c r="I393" t="s">
        <v>326</v>
      </c>
      <c r="J393" s="205"/>
      <c r="K393" s="205"/>
      <c r="L393" s="236"/>
    </row>
    <row r="394" spans="1:12" ht="16.5" thickBot="1">
      <c r="A394" s="27"/>
      <c r="B394" s="1241"/>
      <c r="C394" s="1241"/>
      <c r="D394" s="1241"/>
      <c r="E394" s="1241"/>
      <c r="F394" s="1241"/>
      <c r="G394" s="1241"/>
      <c r="H394" s="1241"/>
      <c r="I394" s="1241"/>
      <c r="J394" s="1241"/>
      <c r="K394" s="1241"/>
      <c r="L394" s="1242"/>
    </row>
    <row r="395" spans="1:12" ht="24" thickBot="1">
      <c r="B395" s="1407"/>
      <c r="C395" s="1407"/>
      <c r="D395" s="1407"/>
      <c r="E395" s="1407"/>
      <c r="F395" s="1407"/>
      <c r="G395" s="1407"/>
      <c r="H395" s="1407"/>
      <c r="I395" s="1407"/>
      <c r="J395" s="1407"/>
      <c r="K395" s="1407"/>
      <c r="L395" s="1407"/>
    </row>
    <row r="396" spans="1:12">
      <c r="A396" s="79"/>
      <c r="B396" s="80"/>
      <c r="C396" s="80"/>
      <c r="D396" s="80"/>
      <c r="E396" s="80"/>
      <c r="F396" s="80"/>
      <c r="G396" s="80"/>
      <c r="H396" s="80"/>
      <c r="I396" s="84" t="s">
        <v>253</v>
      </c>
      <c r="J396" s="80"/>
      <c r="K396" s="80"/>
      <c r="L396" s="81"/>
    </row>
    <row r="397" spans="1:12" ht="15" customHeight="1">
      <c r="A397" s="15"/>
      <c r="B397" s="1452" t="s">
        <v>308</v>
      </c>
      <c r="C397" s="1452"/>
      <c r="D397" s="1452"/>
      <c r="E397" s="1452"/>
      <c r="F397" s="1452"/>
      <c r="G397" s="1452"/>
      <c r="H397" s="1452"/>
      <c r="I397" s="1452"/>
      <c r="J397" s="1452"/>
      <c r="K397" s="1452"/>
      <c r="L397" s="1453"/>
    </row>
    <row r="398" spans="1:12" ht="23.25">
      <c r="A398" s="15"/>
      <c r="B398" s="205"/>
      <c r="C398" s="205"/>
      <c r="D398" s="213" t="s">
        <v>255</v>
      </c>
      <c r="E398" s="205"/>
      <c r="F398" s="205"/>
      <c r="G398" s="205"/>
      <c r="H398" s="205"/>
      <c r="I398" s="207" t="s">
        <v>309</v>
      </c>
      <c r="J398" s="208"/>
      <c r="K398" s="288" t="e">
        <f>'04-22-Master'!#REF!</f>
        <v>#REF!</v>
      </c>
      <c r="L398" s="238"/>
    </row>
    <row r="399" spans="1:12" ht="15.75">
      <c r="A399" s="15"/>
      <c r="B399" s="1"/>
      <c r="C399" s="1" t="s">
        <v>256</v>
      </c>
      <c r="E399" s="1"/>
      <c r="F399" s="1"/>
      <c r="G399" s="1"/>
      <c r="H399" s="1"/>
      <c r="I399" s="206" t="s">
        <v>310</v>
      </c>
      <c r="J399" s="227" t="str">
        <f>'04-22-Master'!F5</f>
        <v>Burgeon IT Services Pvt.Ltd.</v>
      </c>
      <c r="K399" s="209"/>
      <c r="L399" s="239"/>
    </row>
    <row r="400" spans="1:12">
      <c r="A400" s="15"/>
      <c r="B400" s="214"/>
      <c r="C400" s="183" t="s">
        <v>257</v>
      </c>
      <c r="E400" s="214"/>
      <c r="F400" s="214"/>
      <c r="H400" s="184"/>
      <c r="I400" s="230" t="str">
        <f>'04-22-Master'!F6</f>
        <v>Siri Mansion LIGB 436 Dr.A S Rao Nagar,Hyderabad</v>
      </c>
      <c r="J400" s="228"/>
      <c r="K400" s="229"/>
      <c r="L400" s="193"/>
    </row>
    <row r="401" spans="1:12">
      <c r="A401" s="15"/>
      <c r="L401" s="16"/>
    </row>
    <row r="402" spans="1:12">
      <c r="A402" s="15">
        <v>1</v>
      </c>
      <c r="B402" s="210" t="s">
        <v>258</v>
      </c>
      <c r="C402" s="65"/>
      <c r="D402" s="65"/>
      <c r="E402" s="65"/>
      <c r="F402" s="65"/>
      <c r="G402" s="66"/>
      <c r="H402" s="1416" t="e">
        <f>'04-22-Master'!#REF!</f>
        <v>#REF!</v>
      </c>
      <c r="I402" s="1434"/>
      <c r="J402" s="1434"/>
      <c r="K402" s="1434"/>
      <c r="L402" s="1435"/>
    </row>
    <row r="403" spans="1:12">
      <c r="A403" s="15">
        <v>2</v>
      </c>
      <c r="B403" s="1454" t="s">
        <v>259</v>
      </c>
      <c r="C403" s="1455"/>
      <c r="D403" s="1455"/>
      <c r="E403" s="1455"/>
      <c r="F403" s="211" t="s">
        <v>260</v>
      </c>
      <c r="G403" s="195"/>
      <c r="H403" s="1456" t="e">
        <f>'04-22-Master'!#REF!</f>
        <v>#REF!</v>
      </c>
      <c r="I403" s="1457"/>
      <c r="J403" s="1457"/>
      <c r="K403" s="1457"/>
      <c r="L403" s="1458"/>
    </row>
    <row r="404" spans="1:12">
      <c r="A404" s="15"/>
      <c r="B404" s="196" t="s">
        <v>261</v>
      </c>
      <c r="C404" s="197"/>
      <c r="D404" s="197"/>
      <c r="E404" s="197"/>
      <c r="F404" s="197" t="s">
        <v>254</v>
      </c>
      <c r="G404" s="198"/>
      <c r="H404" s="1459"/>
      <c r="I404" s="1460"/>
      <c r="J404" s="1460"/>
      <c r="K404" s="1460"/>
      <c r="L404" s="1461"/>
    </row>
    <row r="405" spans="1:12">
      <c r="A405" s="15">
        <v>3</v>
      </c>
      <c r="B405" s="212" t="s">
        <v>262</v>
      </c>
      <c r="C405" s="202"/>
      <c r="D405" s="202"/>
      <c r="E405" s="202"/>
      <c r="F405" s="202"/>
      <c r="G405" s="203"/>
      <c r="H405" s="1441" t="e">
        <f>'04-22-Master'!#REF!</f>
        <v>#REF!</v>
      </c>
      <c r="I405" s="1442"/>
      <c r="J405" s="1442"/>
      <c r="K405" s="1442"/>
      <c r="L405" s="1443"/>
    </row>
    <row r="406" spans="1:12">
      <c r="A406" s="15">
        <v>4</v>
      </c>
      <c r="B406" s="188" t="s">
        <v>263</v>
      </c>
      <c r="C406" s="65"/>
      <c r="D406" s="65"/>
      <c r="E406" s="65"/>
      <c r="F406" s="65"/>
      <c r="G406" s="66"/>
      <c r="H406" s="1414" t="e">
        <f>'04-22-Master'!#REF!</f>
        <v>#REF!</v>
      </c>
      <c r="I406" s="1429"/>
      <c r="J406" s="1429"/>
      <c r="K406" s="1429"/>
      <c r="L406" s="1415"/>
    </row>
    <row r="407" spans="1:12">
      <c r="A407" s="15">
        <v>5</v>
      </c>
      <c r="B407" s="1444" t="s">
        <v>311</v>
      </c>
      <c r="C407" s="1445"/>
      <c r="D407" s="1445"/>
      <c r="E407" s="1445"/>
      <c r="F407" s="1445"/>
      <c r="G407" s="66"/>
      <c r="H407" s="1433" t="s">
        <v>390</v>
      </c>
      <c r="I407" s="1434"/>
      <c r="J407" s="1434"/>
      <c r="K407" s="1434"/>
      <c r="L407" s="1435"/>
    </row>
    <row r="408" spans="1:12">
      <c r="A408" s="15">
        <v>6</v>
      </c>
      <c r="B408" s="201" t="s">
        <v>264</v>
      </c>
      <c r="C408" s="202" t="s">
        <v>265</v>
      </c>
      <c r="D408" s="202"/>
      <c r="E408" s="202"/>
      <c r="F408" s="202"/>
      <c r="G408" s="203"/>
      <c r="H408" s="212"/>
      <c r="I408" s="202"/>
      <c r="J408" s="202"/>
      <c r="K408" s="202"/>
      <c r="L408" s="240"/>
    </row>
    <row r="409" spans="1:12">
      <c r="A409" s="15"/>
      <c r="B409" s="201" t="s">
        <v>266</v>
      </c>
      <c r="C409" s="202" t="s">
        <v>267</v>
      </c>
      <c r="D409" s="202"/>
      <c r="E409" s="202"/>
      <c r="F409" s="202"/>
      <c r="G409" s="203"/>
      <c r="H409" s="212"/>
      <c r="I409" s="194"/>
      <c r="J409" s="194"/>
      <c r="K409" s="202"/>
      <c r="L409" s="240"/>
    </row>
    <row r="410" spans="1:12">
      <c r="A410" s="15">
        <v>7</v>
      </c>
      <c r="B410" s="1441" t="s">
        <v>268</v>
      </c>
      <c r="C410" s="1442"/>
      <c r="D410" s="1442"/>
      <c r="E410" s="1442"/>
      <c r="F410" s="1442"/>
      <c r="G410" s="1446"/>
      <c r="H410" s="216" t="s">
        <v>269</v>
      </c>
      <c r="I410" s="217"/>
      <c r="J410" s="218"/>
      <c r="K410" s="216" t="s">
        <v>270</v>
      </c>
      <c r="L410" s="241"/>
    </row>
    <row r="411" spans="1:12">
      <c r="A411" s="15">
        <v>8</v>
      </c>
      <c r="B411" s="1441" t="s">
        <v>312</v>
      </c>
      <c r="C411" s="1442"/>
      <c r="D411" s="1442"/>
      <c r="E411" s="1442"/>
      <c r="F411" s="1442"/>
      <c r="G411" s="1446"/>
      <c r="H411" s="216" t="s">
        <v>269</v>
      </c>
      <c r="I411" s="217"/>
      <c r="J411" s="218"/>
      <c r="K411" s="216" t="s">
        <v>270</v>
      </c>
      <c r="L411" s="241"/>
    </row>
    <row r="412" spans="1:12" ht="27.95" customHeight="1">
      <c r="A412" s="15"/>
      <c r="B412" s="188"/>
      <c r="C412" s="220"/>
      <c r="D412" s="220"/>
      <c r="E412" s="220"/>
      <c r="F412" s="220" t="s">
        <v>271</v>
      </c>
      <c r="G412" s="220"/>
      <c r="H412" s="220"/>
      <c r="I412" s="220"/>
      <c r="J412" s="220"/>
      <c r="K412" s="220"/>
      <c r="L412" s="242"/>
    </row>
    <row r="413" spans="1:12" ht="27.95" customHeight="1">
      <c r="A413" s="15">
        <v>9</v>
      </c>
      <c r="B413" s="201" t="s">
        <v>272</v>
      </c>
      <c r="C413" s="202" t="s">
        <v>273</v>
      </c>
      <c r="D413" s="202"/>
      <c r="E413" s="202"/>
      <c r="F413" s="202"/>
      <c r="G413" s="203"/>
      <c r="H413" s="212"/>
      <c r="I413" s="202"/>
      <c r="J413" s="202"/>
      <c r="K413" s="202"/>
      <c r="L413" s="240"/>
    </row>
    <row r="414" spans="1:12" ht="27.95" customHeight="1">
      <c r="A414" s="90"/>
      <c r="B414" s="201" t="s">
        <v>274</v>
      </c>
      <c r="C414" s="202" t="s">
        <v>275</v>
      </c>
      <c r="D414" s="202"/>
      <c r="E414" s="202"/>
      <c r="F414" s="202"/>
      <c r="G414" s="203"/>
      <c r="H414" s="212"/>
      <c r="I414" s="202"/>
      <c r="J414" s="202"/>
      <c r="K414" s="202"/>
      <c r="L414" s="240"/>
    </row>
    <row r="415" spans="1:12" ht="27.95" customHeight="1">
      <c r="A415" s="90"/>
      <c r="B415" s="201" t="s">
        <v>313</v>
      </c>
      <c r="C415" s="202" t="s">
        <v>314</v>
      </c>
      <c r="D415" s="202"/>
      <c r="E415" s="202"/>
      <c r="F415" s="202"/>
      <c r="G415" s="203"/>
      <c r="H415" s="212"/>
      <c r="I415" s="202"/>
      <c r="J415" s="202"/>
      <c r="K415" s="202"/>
      <c r="L415" s="240"/>
    </row>
    <row r="416" spans="1:12" ht="27.95" customHeight="1">
      <c r="A416" s="90"/>
      <c r="B416" s="201" t="s">
        <v>277</v>
      </c>
      <c r="C416" s="202" t="s">
        <v>278</v>
      </c>
      <c r="D416" s="202"/>
      <c r="E416" s="202"/>
      <c r="F416" s="202"/>
      <c r="G416" s="203"/>
      <c r="H416" s="212"/>
      <c r="I416" s="202"/>
      <c r="J416" s="202"/>
      <c r="K416" s="202"/>
      <c r="L416" s="240"/>
    </row>
    <row r="417" spans="1:12" ht="27.95" customHeight="1">
      <c r="A417" s="90"/>
      <c r="B417" s="201" t="s">
        <v>279</v>
      </c>
      <c r="C417" s="202" t="s">
        <v>280</v>
      </c>
      <c r="D417" s="202"/>
      <c r="E417" s="202"/>
      <c r="F417" s="202"/>
      <c r="G417" s="203"/>
      <c r="H417" s="212"/>
      <c r="I417" s="202"/>
      <c r="J417" s="202"/>
      <c r="K417" s="202"/>
      <c r="L417" s="240"/>
    </row>
    <row r="418" spans="1:12" ht="27.95" customHeight="1">
      <c r="A418" s="90">
        <v>10</v>
      </c>
      <c r="B418" s="201" t="s">
        <v>272</v>
      </c>
      <c r="C418" s="202" t="s">
        <v>315</v>
      </c>
      <c r="D418" s="202"/>
      <c r="E418" s="202"/>
      <c r="F418" s="202"/>
      <c r="G418" s="203"/>
      <c r="H418" s="216" t="s">
        <v>269</v>
      </c>
      <c r="I418" s="217"/>
      <c r="J418" s="218"/>
      <c r="K418" s="216" t="s">
        <v>270</v>
      </c>
      <c r="L418" s="241"/>
    </row>
    <row r="419" spans="1:12" ht="27.95" customHeight="1">
      <c r="A419" s="90"/>
      <c r="B419" s="201" t="s">
        <v>274</v>
      </c>
      <c r="C419" s="202" t="s">
        <v>316</v>
      </c>
      <c r="D419" s="202"/>
      <c r="E419" s="202"/>
      <c r="F419" s="202"/>
      <c r="G419" s="203"/>
      <c r="H419" s="212"/>
      <c r="I419" s="202"/>
      <c r="J419" s="202"/>
      <c r="K419" s="202"/>
      <c r="L419" s="240"/>
    </row>
    <row r="420" spans="1:12" ht="27.95" customHeight="1">
      <c r="A420" s="90"/>
      <c r="B420" s="201" t="s">
        <v>313</v>
      </c>
      <c r="C420" s="202" t="s">
        <v>281</v>
      </c>
      <c r="D420" s="202"/>
      <c r="E420" s="202"/>
      <c r="F420" s="202"/>
      <c r="G420" s="203"/>
      <c r="H420" s="212"/>
      <c r="I420" s="202"/>
      <c r="J420" s="202"/>
      <c r="K420" s="202"/>
      <c r="L420" s="240"/>
    </row>
    <row r="421" spans="1:12" ht="27.95" customHeight="1">
      <c r="A421" s="90"/>
      <c r="B421" s="201" t="s">
        <v>277</v>
      </c>
      <c r="C421" s="202" t="s">
        <v>317</v>
      </c>
      <c r="D421" s="202"/>
      <c r="E421" s="202"/>
      <c r="F421" s="202"/>
      <c r="G421" s="203"/>
      <c r="H421" s="212"/>
      <c r="I421" s="202"/>
      <c r="J421" s="202"/>
      <c r="K421" s="202"/>
      <c r="L421" s="240"/>
    </row>
    <row r="422" spans="1:12" ht="27.95" customHeight="1">
      <c r="A422" s="15"/>
      <c r="B422" s="188"/>
      <c r="C422" s="220"/>
      <c r="D422" s="220"/>
      <c r="E422" s="220" t="s">
        <v>318</v>
      </c>
      <c r="F422" s="220"/>
      <c r="G422" s="220"/>
      <c r="H422" s="220"/>
      <c r="I422" s="220"/>
      <c r="J422" s="220"/>
      <c r="K422" s="220"/>
      <c r="L422" s="242"/>
    </row>
    <row r="423" spans="1:12" ht="27.95" customHeight="1">
      <c r="A423" s="15">
        <v>11</v>
      </c>
      <c r="B423" s="201" t="s">
        <v>272</v>
      </c>
      <c r="C423" s="202" t="s">
        <v>282</v>
      </c>
      <c r="D423" s="202"/>
      <c r="E423" s="202"/>
      <c r="F423" s="202"/>
      <c r="G423" s="203"/>
      <c r="H423" s="212"/>
      <c r="I423" s="202"/>
      <c r="J423" s="202"/>
      <c r="K423" s="202"/>
      <c r="L423" s="240"/>
    </row>
    <row r="424" spans="1:12" ht="27.95" customHeight="1">
      <c r="A424" s="15"/>
      <c r="B424" s="201" t="s">
        <v>274</v>
      </c>
      <c r="C424" s="202" t="s">
        <v>283</v>
      </c>
      <c r="D424" s="202"/>
      <c r="E424" s="202"/>
      <c r="F424" s="202"/>
      <c r="G424" s="203"/>
      <c r="H424" s="212"/>
      <c r="I424" s="202"/>
      <c r="J424" s="202"/>
      <c r="K424" s="202"/>
      <c r="L424" s="240"/>
    </row>
    <row r="425" spans="1:12" ht="27.95" customHeight="1">
      <c r="A425" s="15"/>
      <c r="B425" s="201" t="s">
        <v>276</v>
      </c>
      <c r="C425" s="202" t="s">
        <v>284</v>
      </c>
      <c r="D425" s="202"/>
      <c r="E425" s="202"/>
      <c r="F425" s="202"/>
      <c r="G425" s="203"/>
      <c r="H425" s="212"/>
      <c r="I425" s="202"/>
      <c r="J425" s="202"/>
      <c r="K425" s="202"/>
      <c r="L425" s="240"/>
    </row>
    <row r="426" spans="1:12" ht="27.95" customHeight="1">
      <c r="A426" s="15"/>
      <c r="B426" s="176"/>
      <c r="C426" s="172"/>
      <c r="D426" s="172"/>
      <c r="E426" s="172"/>
      <c r="F426" s="221" t="s">
        <v>285</v>
      </c>
      <c r="G426" s="172"/>
      <c r="H426" s="161"/>
      <c r="I426" s="161"/>
      <c r="J426" s="161"/>
      <c r="K426" s="161"/>
      <c r="L426" s="179"/>
    </row>
    <row r="427" spans="1:12" ht="27.95" customHeight="1">
      <c r="A427" s="15"/>
      <c r="B427" s="233" t="s">
        <v>286</v>
      </c>
      <c r="C427" s="232" t="s">
        <v>287</v>
      </c>
      <c r="D427" s="172"/>
      <c r="E427" s="172"/>
      <c r="F427" s="172"/>
      <c r="G427" s="172"/>
      <c r="H427" s="161"/>
      <c r="I427" s="161"/>
      <c r="J427" s="162"/>
      <c r="K427" s="161"/>
      <c r="L427" s="179"/>
    </row>
    <row r="428" spans="1:12" ht="27.95" customHeight="1">
      <c r="A428" s="15"/>
      <c r="B428" s="233" t="s">
        <v>288</v>
      </c>
      <c r="C428" s="231" t="s">
        <v>289</v>
      </c>
      <c r="D428" s="161"/>
      <c r="E428" s="162"/>
      <c r="G428" s="1447"/>
      <c r="H428" s="1447"/>
      <c r="I428" s="177"/>
      <c r="J428" s="178"/>
      <c r="K428" s="1447"/>
      <c r="L428" s="1448"/>
    </row>
    <row r="429" spans="1:12" ht="27.95" customHeight="1">
      <c r="A429" s="15"/>
      <c r="B429" s="234" t="s">
        <v>290</v>
      </c>
      <c r="C429" s="1449" t="s">
        <v>319</v>
      </c>
      <c r="D429" s="1449"/>
      <c r="E429" s="1449"/>
      <c r="F429" s="1449"/>
      <c r="G429" s="1449"/>
      <c r="H429" s="1449"/>
      <c r="I429" s="1449"/>
      <c r="J429" s="1449"/>
      <c r="K429" s="1449"/>
      <c r="L429" s="1450"/>
    </row>
    <row r="430" spans="1:12">
      <c r="A430" s="15"/>
      <c r="B430" s="233" t="s">
        <v>291</v>
      </c>
      <c r="C430" s="232" t="s">
        <v>292</v>
      </c>
      <c r="D430" s="224"/>
      <c r="E430" s="224"/>
      <c r="F430" s="224"/>
      <c r="G430" s="224"/>
      <c r="H430" s="224"/>
      <c r="I430" s="224"/>
      <c r="J430" s="224"/>
      <c r="K430" s="224"/>
      <c r="L430" s="243"/>
    </row>
    <row r="431" spans="1:12">
      <c r="A431" s="15"/>
      <c r="B431" s="176"/>
      <c r="C431" t="s">
        <v>320</v>
      </c>
      <c r="D431" s="289" t="e">
        <f>'04-22-Master'!#REF!</f>
        <v>#REF!</v>
      </c>
      <c r="E431" s="2"/>
      <c r="F431" s="2"/>
      <c r="G431" s="2"/>
      <c r="L431" s="16"/>
    </row>
    <row r="432" spans="1:12">
      <c r="A432" s="15"/>
      <c r="C432" t="s">
        <v>293</v>
      </c>
      <c r="D432" t="s">
        <v>382</v>
      </c>
      <c r="J432" t="s">
        <v>321</v>
      </c>
      <c r="L432" s="16"/>
    </row>
    <row r="433" spans="1:12">
      <c r="A433" s="15"/>
      <c r="F433" s="222" t="s">
        <v>294</v>
      </c>
      <c r="L433" s="16"/>
    </row>
    <row r="434" spans="1:12">
      <c r="A434" s="15" t="s">
        <v>322</v>
      </c>
      <c r="B434" t="s">
        <v>295</v>
      </c>
      <c r="E434" s="225" t="e">
        <f>'04-22-Master'!#REF!</f>
        <v>#REF!</v>
      </c>
      <c r="H434" s="1451" t="s">
        <v>296</v>
      </c>
      <c r="I434" s="1451"/>
      <c r="J434" s="226" t="e">
        <f>'04-22-Master'!#REF!</f>
        <v>#REF!</v>
      </c>
      <c r="K434" t="s">
        <v>297</v>
      </c>
      <c r="L434" s="16"/>
    </row>
    <row r="435" spans="1:12">
      <c r="A435" s="15"/>
      <c r="B435" s="1462" t="e">
        <f>'04-22-Master'!#REF!</f>
        <v>#REF!</v>
      </c>
      <c r="C435" s="1463"/>
      <c r="D435" s="223"/>
      <c r="E435" s="223"/>
      <c r="F435" s="223"/>
      <c r="G435" s="223"/>
      <c r="H435" s="223"/>
      <c r="I435" s="223"/>
      <c r="J435" s="223"/>
      <c r="K435" s="223"/>
      <c r="L435" s="244"/>
    </row>
    <row r="436" spans="1:12" ht="15" customHeight="1">
      <c r="A436" s="15" t="s">
        <v>324</v>
      </c>
      <c r="B436" s="223" t="s">
        <v>298</v>
      </c>
      <c r="C436" s="223"/>
      <c r="D436" s="223"/>
      <c r="E436" s="223"/>
      <c r="F436" s="223"/>
      <c r="G436" s="223"/>
      <c r="H436" s="223"/>
      <c r="I436" s="223"/>
      <c r="J436" s="223"/>
      <c r="K436" s="223"/>
      <c r="L436" s="244"/>
    </row>
    <row r="437" spans="1:12">
      <c r="A437" s="15"/>
      <c r="B437" s="223" t="s">
        <v>323</v>
      </c>
      <c r="C437" s="223"/>
      <c r="D437" s="223"/>
      <c r="E437" s="223"/>
      <c r="F437" s="223"/>
      <c r="G437" s="223"/>
      <c r="H437" s="223"/>
      <c r="I437" s="223"/>
      <c r="J437" s="223"/>
      <c r="K437" s="223"/>
      <c r="L437" s="244"/>
    </row>
    <row r="438" spans="1:12">
      <c r="A438" s="15"/>
      <c r="B438" t="s">
        <v>299</v>
      </c>
      <c r="L438" s="16"/>
    </row>
    <row r="439" spans="1:12" ht="18.75">
      <c r="A439" s="15"/>
      <c r="B439" s="2" t="s">
        <v>300</v>
      </c>
      <c r="F439" s="175"/>
      <c r="L439" s="16"/>
    </row>
    <row r="440" spans="1:12">
      <c r="A440" s="15"/>
      <c r="B440" s="2" t="s">
        <v>301</v>
      </c>
      <c r="L440" s="16"/>
    </row>
    <row r="441" spans="1:12">
      <c r="A441" s="15"/>
      <c r="B441" t="s">
        <v>302</v>
      </c>
      <c r="L441" s="16"/>
    </row>
    <row r="442" spans="1:12">
      <c r="A442" s="15"/>
      <c r="B442" t="s">
        <v>303</v>
      </c>
      <c r="L442" s="16"/>
    </row>
    <row r="443" spans="1:12">
      <c r="A443" s="15" t="s">
        <v>313</v>
      </c>
      <c r="B443" t="s">
        <v>304</v>
      </c>
      <c r="L443" s="16"/>
    </row>
    <row r="444" spans="1:12">
      <c r="A444" s="15"/>
      <c r="B444" s="235" t="s">
        <v>325</v>
      </c>
      <c r="L444" s="16"/>
    </row>
    <row r="445" spans="1:12">
      <c r="A445" s="15"/>
      <c r="B445" t="s">
        <v>299</v>
      </c>
      <c r="L445" s="16"/>
    </row>
    <row r="446" spans="1:12">
      <c r="A446" s="15"/>
      <c r="B446" t="s">
        <v>305</v>
      </c>
      <c r="L446" s="16"/>
    </row>
    <row r="447" spans="1:12">
      <c r="A447" s="15"/>
      <c r="B447" t="s">
        <v>306</v>
      </c>
      <c r="L447" s="16"/>
    </row>
    <row r="448" spans="1:12">
      <c r="A448" s="15"/>
      <c r="B448" s="1464" t="s">
        <v>307</v>
      </c>
      <c r="C448" s="1464"/>
      <c r="D448" s="1464"/>
      <c r="E448" s="1464"/>
      <c r="F448" s="1464"/>
      <c r="G448" s="1464"/>
      <c r="H448" s="1464"/>
      <c r="I448" s="1464"/>
      <c r="J448" s="1464"/>
      <c r="K448" s="1464"/>
      <c r="L448" s="1465"/>
    </row>
    <row r="449" spans="1:12" ht="23.25">
      <c r="A449" s="15"/>
      <c r="B449" t="s">
        <v>219</v>
      </c>
      <c r="C449" s="284" t="e">
        <f>'04-22-Master'!#REF!</f>
        <v>#REF!</v>
      </c>
      <c r="D449" s="205"/>
      <c r="E449" s="205"/>
      <c r="F449" s="205"/>
      <c r="G449" s="205"/>
      <c r="H449" s="205"/>
      <c r="I449" t="s">
        <v>326</v>
      </c>
      <c r="J449" s="205"/>
      <c r="K449" s="205"/>
      <c r="L449" s="236"/>
    </row>
    <row r="450" spans="1:12" ht="16.5" thickBot="1">
      <c r="A450" s="27"/>
      <c r="B450" s="1241"/>
      <c r="C450" s="1241"/>
      <c r="D450" s="1241"/>
      <c r="E450" s="1241"/>
      <c r="F450" s="1241"/>
      <c r="G450" s="1241"/>
      <c r="H450" s="1241"/>
      <c r="I450" s="1241"/>
      <c r="J450" s="1241"/>
      <c r="K450" s="1241"/>
      <c r="L450" s="1242"/>
    </row>
    <row r="451" spans="1:12" ht="21.75" customHeight="1">
      <c r="A451" s="79"/>
      <c r="B451" s="80"/>
      <c r="C451" s="80"/>
      <c r="D451" s="80"/>
      <c r="E451" s="80"/>
      <c r="F451" s="80"/>
      <c r="G451" s="80"/>
      <c r="H451" s="80"/>
      <c r="I451" s="84" t="s">
        <v>253</v>
      </c>
      <c r="J451" s="80"/>
      <c r="K451" s="80"/>
      <c r="L451" s="81"/>
    </row>
    <row r="452" spans="1:12" ht="12" customHeight="1">
      <c r="A452" s="15"/>
      <c r="B452" s="1452" t="s">
        <v>308</v>
      </c>
      <c r="C452" s="1452"/>
      <c r="D452" s="1452"/>
      <c r="E452" s="1452"/>
      <c r="F452" s="1452"/>
      <c r="G452" s="1452"/>
      <c r="H452" s="1452"/>
      <c r="I452" s="1452"/>
      <c r="J452" s="1452"/>
      <c r="K452" s="1452"/>
      <c r="L452" s="1453"/>
    </row>
    <row r="453" spans="1:12" ht="27.95" customHeight="1">
      <c r="A453" s="15"/>
      <c r="B453" s="205"/>
      <c r="C453" s="205"/>
      <c r="D453" s="213" t="s">
        <v>255</v>
      </c>
      <c r="E453" s="205"/>
      <c r="F453" s="205"/>
      <c r="G453" s="205"/>
      <c r="H453" s="205"/>
      <c r="I453" s="207" t="s">
        <v>309</v>
      </c>
      <c r="J453" s="208"/>
      <c r="K453" s="288" t="e">
        <f>'04-22-Master'!#REF!</f>
        <v>#REF!</v>
      </c>
      <c r="L453" s="238"/>
    </row>
    <row r="454" spans="1:12" ht="27.95" customHeight="1">
      <c r="A454" s="15"/>
      <c r="B454" s="1"/>
      <c r="C454" s="1" t="s">
        <v>256</v>
      </c>
      <c r="E454" s="1"/>
      <c r="F454" s="1"/>
      <c r="G454" s="1"/>
      <c r="H454" s="1"/>
      <c r="I454" s="206" t="s">
        <v>310</v>
      </c>
      <c r="J454" s="227" t="str">
        <f>'04-22-Master'!F5</f>
        <v>Burgeon IT Services Pvt.Ltd.</v>
      </c>
      <c r="K454" s="209"/>
      <c r="L454" s="239"/>
    </row>
    <row r="455" spans="1:12" ht="24" customHeight="1">
      <c r="A455" s="15"/>
      <c r="B455" s="214"/>
      <c r="C455" s="183" t="s">
        <v>257</v>
      </c>
      <c r="E455" s="214"/>
      <c r="F455" s="214"/>
      <c r="H455" s="184"/>
      <c r="I455" s="230" t="str">
        <f>'04-22-Master'!F6</f>
        <v>Siri Mansion LIGB 436 Dr.A S Rao Nagar,Hyderabad</v>
      </c>
      <c r="J455" s="228"/>
      <c r="K455" s="229"/>
      <c r="L455" s="193"/>
    </row>
    <row r="456" spans="1:12" ht="27.95" customHeight="1">
      <c r="A456" s="15">
        <v>1</v>
      </c>
      <c r="B456" s="210" t="s">
        <v>258</v>
      </c>
      <c r="C456" s="65"/>
      <c r="D456" s="65"/>
      <c r="E456" s="65"/>
      <c r="F456" s="65"/>
      <c r="G456" s="66"/>
      <c r="H456" s="1416" t="e">
        <f>'04-22-Master'!#REF!</f>
        <v>#REF!</v>
      </c>
      <c r="I456" s="1434"/>
      <c r="J456" s="1434"/>
      <c r="K456" s="1434"/>
      <c r="L456" s="1435"/>
    </row>
    <row r="457" spans="1:12" ht="21" customHeight="1">
      <c r="A457" s="15">
        <v>2</v>
      </c>
      <c r="B457" s="1454" t="s">
        <v>259</v>
      </c>
      <c r="C457" s="1455"/>
      <c r="D457" s="1455"/>
      <c r="E457" s="1455"/>
      <c r="F457" s="211" t="s">
        <v>260</v>
      </c>
      <c r="G457" s="195"/>
      <c r="H457" s="1456" t="e">
        <f>'04-22-Master'!#REF!</f>
        <v>#REF!</v>
      </c>
      <c r="I457" s="1457"/>
      <c r="J457" s="1457"/>
      <c r="K457" s="1457"/>
      <c r="L457" s="1458"/>
    </row>
    <row r="458" spans="1:12" ht="12" customHeight="1">
      <c r="A458" s="15"/>
      <c r="B458" s="196" t="s">
        <v>261</v>
      </c>
      <c r="C458" s="197"/>
      <c r="D458" s="197"/>
      <c r="E458" s="197"/>
      <c r="F458" s="197" t="s">
        <v>254</v>
      </c>
      <c r="G458" s="198"/>
      <c r="H458" s="1459"/>
      <c r="I458" s="1460"/>
      <c r="J458" s="1460"/>
      <c r="K458" s="1460"/>
      <c r="L458" s="1461"/>
    </row>
    <row r="459" spans="1:12" ht="27.95" customHeight="1">
      <c r="A459" s="15">
        <v>3</v>
      </c>
      <c r="B459" s="212" t="s">
        <v>262</v>
      </c>
      <c r="C459" s="202"/>
      <c r="D459" s="202"/>
      <c r="E459" s="202"/>
      <c r="F459" s="202"/>
      <c r="G459" s="203"/>
      <c r="H459" s="1441" t="e">
        <f>'04-22-Master'!#REF!</f>
        <v>#REF!</v>
      </c>
      <c r="I459" s="1442"/>
      <c r="J459" s="1442"/>
      <c r="K459" s="1442"/>
      <c r="L459" s="1443"/>
    </row>
    <row r="460" spans="1:12" ht="23.25" customHeight="1">
      <c r="A460" s="15">
        <v>4</v>
      </c>
      <c r="B460" s="188" t="s">
        <v>263</v>
      </c>
      <c r="C460" s="65"/>
      <c r="D460" s="65"/>
      <c r="E460" s="65"/>
      <c r="F460" s="65"/>
      <c r="G460" s="66"/>
      <c r="H460" s="1414" t="e">
        <f>'04-22-Master'!#REF!</f>
        <v>#REF!</v>
      </c>
      <c r="I460" s="1429"/>
      <c r="J460" s="1429"/>
      <c r="K460" s="1429"/>
      <c r="L460" s="1415"/>
    </row>
    <row r="461" spans="1:12" ht="27.95" customHeight="1">
      <c r="A461" s="15">
        <v>5</v>
      </c>
      <c r="B461" s="1444" t="s">
        <v>311</v>
      </c>
      <c r="C461" s="1445"/>
      <c r="D461" s="1445"/>
      <c r="E461" s="1445"/>
      <c r="F461" s="1445"/>
      <c r="G461" s="66"/>
      <c r="H461" s="1433" t="s">
        <v>390</v>
      </c>
      <c r="I461" s="1434"/>
      <c r="J461" s="1434"/>
      <c r="K461" s="1434"/>
      <c r="L461" s="1435"/>
    </row>
    <row r="462" spans="1:12" ht="27.95" customHeight="1">
      <c r="A462" s="15">
        <v>6</v>
      </c>
      <c r="B462" s="201" t="s">
        <v>264</v>
      </c>
      <c r="C462" s="202" t="s">
        <v>265</v>
      </c>
      <c r="D462" s="202"/>
      <c r="E462" s="202"/>
      <c r="F462" s="202"/>
      <c r="G462" s="203"/>
      <c r="H462" s="212"/>
      <c r="I462" s="202"/>
      <c r="J462" s="202"/>
      <c r="K462" s="202"/>
      <c r="L462" s="240"/>
    </row>
    <row r="463" spans="1:12" ht="27.95" customHeight="1">
      <c r="A463" s="15"/>
      <c r="B463" s="201" t="s">
        <v>266</v>
      </c>
      <c r="C463" s="202" t="s">
        <v>267</v>
      </c>
      <c r="D463" s="202"/>
      <c r="E463" s="202"/>
      <c r="F463" s="202"/>
      <c r="G463" s="203"/>
      <c r="H463" s="212"/>
      <c r="I463" s="194"/>
      <c r="J463" s="194"/>
      <c r="K463" s="202"/>
      <c r="L463" s="240"/>
    </row>
    <row r="464" spans="1:12" ht="27.95" customHeight="1">
      <c r="A464" s="15">
        <v>7</v>
      </c>
      <c r="B464" s="1441" t="s">
        <v>268</v>
      </c>
      <c r="C464" s="1442"/>
      <c r="D464" s="1442"/>
      <c r="E464" s="1442"/>
      <c r="F464" s="1442"/>
      <c r="G464" s="1446"/>
      <c r="H464" s="216" t="s">
        <v>269</v>
      </c>
      <c r="I464" s="217"/>
      <c r="J464" s="218"/>
      <c r="K464" s="216" t="s">
        <v>270</v>
      </c>
      <c r="L464" s="241"/>
    </row>
    <row r="465" spans="1:12" ht="27.95" customHeight="1">
      <c r="A465" s="15">
        <v>8</v>
      </c>
      <c r="B465" s="1441" t="s">
        <v>312</v>
      </c>
      <c r="C465" s="1442"/>
      <c r="D465" s="1442"/>
      <c r="E465" s="1442"/>
      <c r="F465" s="1442"/>
      <c r="G465" s="1446"/>
      <c r="H465" s="216" t="s">
        <v>269</v>
      </c>
      <c r="I465" s="217"/>
      <c r="J465" s="218"/>
      <c r="K465" s="216" t="s">
        <v>270</v>
      </c>
      <c r="L465" s="241"/>
    </row>
    <row r="466" spans="1:12" ht="27.95" customHeight="1">
      <c r="A466" s="15"/>
      <c r="B466" s="188"/>
      <c r="C466" s="220"/>
      <c r="D466" s="220"/>
      <c r="E466" s="220"/>
      <c r="F466" s="220" t="s">
        <v>271</v>
      </c>
      <c r="G466" s="220"/>
      <c r="H466" s="220"/>
      <c r="I466" s="220"/>
      <c r="J466" s="220"/>
      <c r="K466" s="220"/>
      <c r="L466" s="242"/>
    </row>
    <row r="467" spans="1:12" ht="27.95" customHeight="1">
      <c r="A467" s="15">
        <v>9</v>
      </c>
      <c r="B467" s="201" t="s">
        <v>272</v>
      </c>
      <c r="C467" s="202" t="s">
        <v>273</v>
      </c>
      <c r="D467" s="202"/>
      <c r="E467" s="202"/>
      <c r="F467" s="202"/>
      <c r="G467" s="203"/>
      <c r="H467" s="212"/>
      <c r="I467" s="202"/>
      <c r="J467" s="202"/>
      <c r="K467" s="202"/>
      <c r="L467" s="240"/>
    </row>
    <row r="468" spans="1:12">
      <c r="A468" s="90"/>
      <c r="B468" s="201" t="s">
        <v>274</v>
      </c>
      <c r="C468" s="202" t="s">
        <v>275</v>
      </c>
      <c r="D468" s="202"/>
      <c r="E468" s="202"/>
      <c r="F468" s="202"/>
      <c r="G468" s="203"/>
      <c r="H468" s="212"/>
      <c r="I468" s="202"/>
      <c r="J468" s="202"/>
      <c r="K468" s="202"/>
      <c r="L468" s="240"/>
    </row>
    <row r="469" spans="1:12">
      <c r="A469" s="90"/>
      <c r="B469" s="201" t="s">
        <v>313</v>
      </c>
      <c r="C469" s="202" t="s">
        <v>314</v>
      </c>
      <c r="D469" s="202"/>
      <c r="E469" s="202"/>
      <c r="F469" s="202"/>
      <c r="G469" s="203"/>
      <c r="H469" s="212"/>
      <c r="I469" s="202"/>
      <c r="J469" s="202"/>
      <c r="K469" s="202"/>
      <c r="L469" s="240"/>
    </row>
    <row r="470" spans="1:12">
      <c r="A470" s="90"/>
      <c r="B470" s="201" t="s">
        <v>277</v>
      </c>
      <c r="C470" s="202" t="s">
        <v>278</v>
      </c>
      <c r="D470" s="202"/>
      <c r="E470" s="202"/>
      <c r="F470" s="202"/>
      <c r="G470" s="203"/>
      <c r="H470" s="212"/>
      <c r="I470" s="202"/>
      <c r="J470" s="202"/>
      <c r="K470" s="202"/>
      <c r="L470" s="240"/>
    </row>
    <row r="471" spans="1:12">
      <c r="A471" s="90"/>
      <c r="B471" s="201" t="s">
        <v>279</v>
      </c>
      <c r="C471" s="202" t="s">
        <v>280</v>
      </c>
      <c r="D471" s="202"/>
      <c r="E471" s="202"/>
      <c r="F471" s="202"/>
      <c r="G471" s="203"/>
      <c r="H471" s="212"/>
      <c r="I471" s="202"/>
      <c r="J471" s="202"/>
      <c r="K471" s="202"/>
      <c r="L471" s="240"/>
    </row>
    <row r="472" spans="1:12">
      <c r="A472" s="90">
        <v>10</v>
      </c>
      <c r="B472" s="201" t="s">
        <v>272</v>
      </c>
      <c r="C472" s="202" t="s">
        <v>315</v>
      </c>
      <c r="D472" s="202"/>
      <c r="E472" s="202"/>
      <c r="F472" s="202"/>
      <c r="G472" s="203"/>
      <c r="H472" s="216" t="s">
        <v>269</v>
      </c>
      <c r="I472" s="217"/>
      <c r="J472" s="218"/>
      <c r="K472" s="216" t="s">
        <v>270</v>
      </c>
      <c r="L472" s="241"/>
    </row>
    <row r="473" spans="1:12" ht="15" customHeight="1">
      <c r="A473" s="90"/>
      <c r="B473" s="201" t="s">
        <v>274</v>
      </c>
      <c r="C473" s="202" t="s">
        <v>316</v>
      </c>
      <c r="D473" s="202"/>
      <c r="E473" s="202"/>
      <c r="F473" s="202"/>
      <c r="G473" s="203"/>
      <c r="H473" s="212"/>
      <c r="I473" s="202"/>
      <c r="J473" s="202"/>
      <c r="K473" s="202"/>
      <c r="L473" s="240"/>
    </row>
    <row r="474" spans="1:12">
      <c r="A474" s="90"/>
      <c r="B474" s="201" t="s">
        <v>313</v>
      </c>
      <c r="C474" s="202" t="s">
        <v>281</v>
      </c>
      <c r="D474" s="202"/>
      <c r="E474" s="202"/>
      <c r="F474" s="202"/>
      <c r="G474" s="203"/>
      <c r="H474" s="212"/>
      <c r="I474" s="202"/>
      <c r="J474" s="202"/>
      <c r="K474" s="202"/>
      <c r="L474" s="240"/>
    </row>
    <row r="475" spans="1:12">
      <c r="A475" s="90"/>
      <c r="B475" s="201" t="s">
        <v>277</v>
      </c>
      <c r="C475" s="202" t="s">
        <v>317</v>
      </c>
      <c r="D475" s="202"/>
      <c r="E475" s="202"/>
      <c r="F475" s="202"/>
      <c r="G475" s="203"/>
      <c r="H475" s="212"/>
      <c r="I475" s="202"/>
      <c r="J475" s="202"/>
      <c r="K475" s="202"/>
      <c r="L475" s="240"/>
    </row>
    <row r="476" spans="1:12">
      <c r="A476" s="15"/>
      <c r="B476" s="188"/>
      <c r="C476" s="220"/>
      <c r="D476" s="220"/>
      <c r="E476" s="220" t="s">
        <v>318</v>
      </c>
      <c r="F476" s="220"/>
      <c r="G476" s="220"/>
      <c r="H476" s="220"/>
      <c r="I476" s="220"/>
      <c r="J476" s="220"/>
      <c r="K476" s="220"/>
      <c r="L476" s="242"/>
    </row>
    <row r="477" spans="1:12">
      <c r="A477" s="15">
        <v>11</v>
      </c>
      <c r="B477" s="201" t="s">
        <v>272</v>
      </c>
      <c r="C477" s="202" t="s">
        <v>282</v>
      </c>
      <c r="D477" s="202"/>
      <c r="E477" s="202"/>
      <c r="F477" s="202"/>
      <c r="G477" s="203"/>
      <c r="H477" s="212"/>
      <c r="I477" s="202"/>
      <c r="J477" s="202"/>
      <c r="K477" s="202"/>
      <c r="L477" s="240"/>
    </row>
    <row r="478" spans="1:12">
      <c r="A478" s="15"/>
      <c r="B478" s="201" t="s">
        <v>274</v>
      </c>
      <c r="C478" s="202" t="s">
        <v>283</v>
      </c>
      <c r="D478" s="202"/>
      <c r="E478" s="202"/>
      <c r="F478" s="202"/>
      <c r="G478" s="203"/>
      <c r="H478" s="212"/>
      <c r="I478" s="202"/>
      <c r="J478" s="202"/>
      <c r="K478" s="202"/>
      <c r="L478" s="240"/>
    </row>
    <row r="479" spans="1:12">
      <c r="A479" s="15"/>
      <c r="B479" s="201" t="s">
        <v>276</v>
      </c>
      <c r="C479" s="202" t="s">
        <v>284</v>
      </c>
      <c r="D479" s="202"/>
      <c r="E479" s="202"/>
      <c r="F479" s="202"/>
      <c r="G479" s="203"/>
      <c r="H479" s="212"/>
      <c r="I479" s="202"/>
      <c r="J479" s="202"/>
      <c r="K479" s="202"/>
      <c r="L479" s="240"/>
    </row>
    <row r="480" spans="1:12">
      <c r="A480" s="15"/>
      <c r="B480" s="176"/>
      <c r="C480" s="172"/>
      <c r="D480" s="172"/>
      <c r="E480" s="172"/>
      <c r="F480" s="221" t="s">
        <v>285</v>
      </c>
      <c r="G480" s="172"/>
      <c r="H480" s="161"/>
      <c r="I480" s="161"/>
      <c r="J480" s="161"/>
      <c r="K480" s="161"/>
      <c r="L480" s="179"/>
    </row>
    <row r="481" spans="1:12">
      <c r="A481" s="15"/>
      <c r="B481" s="233" t="s">
        <v>286</v>
      </c>
      <c r="C481" s="232" t="s">
        <v>287</v>
      </c>
      <c r="D481" s="172"/>
      <c r="E481" s="172"/>
      <c r="F481" s="172"/>
      <c r="G481" s="172"/>
      <c r="H481" s="161"/>
      <c r="I481" s="161"/>
      <c r="J481" s="162"/>
      <c r="K481" s="161"/>
      <c r="L481" s="179"/>
    </row>
    <row r="482" spans="1:12">
      <c r="A482" s="15"/>
      <c r="B482" s="233" t="s">
        <v>288</v>
      </c>
      <c r="C482" s="231" t="s">
        <v>289</v>
      </c>
      <c r="D482" s="161"/>
      <c r="E482" s="162"/>
      <c r="G482" s="1447"/>
      <c r="H482" s="1447"/>
      <c r="I482" s="177"/>
      <c r="J482" s="178"/>
      <c r="K482" s="1447"/>
      <c r="L482" s="1448"/>
    </row>
    <row r="483" spans="1:12">
      <c r="A483" s="15"/>
      <c r="B483" s="234" t="s">
        <v>290</v>
      </c>
      <c r="C483" s="1449" t="s">
        <v>319</v>
      </c>
      <c r="D483" s="1449"/>
      <c r="E483" s="1449"/>
      <c r="F483" s="1449"/>
      <c r="G483" s="1449"/>
      <c r="H483" s="1449"/>
      <c r="I483" s="1449"/>
      <c r="J483" s="1449"/>
      <c r="K483" s="1449"/>
      <c r="L483" s="1450"/>
    </row>
    <row r="484" spans="1:12">
      <c r="A484" s="15"/>
      <c r="B484" s="233" t="s">
        <v>291</v>
      </c>
      <c r="C484" s="232" t="s">
        <v>292</v>
      </c>
      <c r="D484" s="224"/>
      <c r="E484" s="224"/>
      <c r="F484" s="224"/>
      <c r="G484" s="224"/>
      <c r="H484" s="224"/>
      <c r="I484" s="224"/>
      <c r="J484" s="224"/>
      <c r="K484" s="224"/>
      <c r="L484" s="243"/>
    </row>
    <row r="485" spans="1:12">
      <c r="A485" s="15"/>
      <c r="B485" s="176"/>
      <c r="C485" t="s">
        <v>320</v>
      </c>
      <c r="D485" s="289" t="e">
        <f>'04-22-Master'!#REF!</f>
        <v>#REF!</v>
      </c>
      <c r="E485" s="2"/>
      <c r="F485" s="2"/>
      <c r="G485" s="2"/>
      <c r="L485" s="16"/>
    </row>
    <row r="486" spans="1:12">
      <c r="A486" s="15"/>
      <c r="C486" t="s">
        <v>293</v>
      </c>
      <c r="D486" t="s">
        <v>382</v>
      </c>
      <c r="J486" t="s">
        <v>321</v>
      </c>
      <c r="L486" s="16"/>
    </row>
    <row r="487" spans="1:12">
      <c r="A487" s="15"/>
      <c r="F487" s="222" t="s">
        <v>294</v>
      </c>
      <c r="L487" s="16"/>
    </row>
    <row r="488" spans="1:12" ht="27.95" customHeight="1">
      <c r="A488" s="15" t="s">
        <v>322</v>
      </c>
      <c r="B488" t="s">
        <v>295</v>
      </c>
      <c r="E488" s="225" t="e">
        <f>'04-22-Master'!#REF!</f>
        <v>#REF!</v>
      </c>
      <c r="H488" s="1451" t="s">
        <v>296</v>
      </c>
      <c r="I488" s="1451"/>
      <c r="J488" s="226" t="e">
        <f>'04-22-Master'!#REF!</f>
        <v>#REF!</v>
      </c>
      <c r="K488" t="s">
        <v>297</v>
      </c>
      <c r="L488" s="16"/>
    </row>
    <row r="489" spans="1:12" ht="15.75" customHeight="1">
      <c r="A489" s="15"/>
      <c r="B489" s="1462" t="e">
        <f>'04-22-Master'!#REF!</f>
        <v>#REF!</v>
      </c>
      <c r="C489" s="1463"/>
      <c r="D489" s="223"/>
      <c r="E489" s="223"/>
      <c r="F489" s="223"/>
      <c r="G489" s="223"/>
      <c r="H489" s="223"/>
      <c r="I489" s="223"/>
      <c r="J489" s="223"/>
      <c r="K489" s="223"/>
      <c r="L489" s="244"/>
    </row>
    <row r="490" spans="1:12" ht="22.5" customHeight="1">
      <c r="A490" s="15" t="s">
        <v>324</v>
      </c>
      <c r="B490" s="223" t="s">
        <v>298</v>
      </c>
      <c r="C490" s="223"/>
      <c r="D490" s="223"/>
      <c r="E490" s="223"/>
      <c r="F490" s="223"/>
      <c r="G490" s="223"/>
      <c r="H490" s="223"/>
      <c r="I490" s="223"/>
      <c r="J490" s="223"/>
      <c r="K490" s="223"/>
      <c r="L490" s="244"/>
    </row>
    <row r="491" spans="1:12" ht="19.5" customHeight="1">
      <c r="A491" s="15"/>
      <c r="B491" s="223" t="s">
        <v>323</v>
      </c>
      <c r="C491" s="223"/>
      <c r="D491" s="223"/>
      <c r="E491" s="223"/>
      <c r="F491" s="223"/>
      <c r="G491" s="223"/>
      <c r="H491" s="223"/>
      <c r="I491" s="223"/>
      <c r="J491" s="223"/>
      <c r="K491" s="223"/>
      <c r="L491" s="244"/>
    </row>
    <row r="492" spans="1:12" ht="22.5" customHeight="1">
      <c r="A492" s="15"/>
      <c r="B492" t="s">
        <v>299</v>
      </c>
      <c r="L492" s="16"/>
    </row>
    <row r="493" spans="1:12" ht="18" customHeight="1">
      <c r="A493" s="15"/>
      <c r="B493" s="2" t="s">
        <v>300</v>
      </c>
      <c r="F493" s="175"/>
      <c r="L493" s="16"/>
    </row>
    <row r="494" spans="1:12" ht="16.5" customHeight="1">
      <c r="A494" s="15"/>
      <c r="B494" s="2" t="s">
        <v>301</v>
      </c>
      <c r="L494" s="16"/>
    </row>
    <row r="495" spans="1:12" ht="22.5" customHeight="1">
      <c r="A495" s="15"/>
      <c r="B495" t="s">
        <v>302</v>
      </c>
      <c r="L495" s="16"/>
    </row>
    <row r="496" spans="1:12" ht="19.5" customHeight="1">
      <c r="A496" s="15"/>
      <c r="B496" t="s">
        <v>303</v>
      </c>
      <c r="L496" s="16"/>
    </row>
    <row r="497" spans="1:12" ht="20.25" customHeight="1">
      <c r="A497" s="15" t="s">
        <v>313</v>
      </c>
      <c r="B497" t="s">
        <v>304</v>
      </c>
      <c r="L497" s="16"/>
    </row>
    <row r="498" spans="1:12" ht="20.25" customHeight="1">
      <c r="A498" s="15"/>
      <c r="B498" s="235" t="s">
        <v>325</v>
      </c>
      <c r="L498" s="16"/>
    </row>
    <row r="499" spans="1:12" ht="20.25" customHeight="1">
      <c r="A499" s="15"/>
      <c r="B499" t="s">
        <v>299</v>
      </c>
      <c r="L499" s="16"/>
    </row>
    <row r="500" spans="1:12" ht="20.25" customHeight="1">
      <c r="A500" s="15"/>
      <c r="B500" t="s">
        <v>305</v>
      </c>
      <c r="L500" s="16"/>
    </row>
    <row r="501" spans="1:12" ht="20.25" customHeight="1">
      <c r="A501" s="15"/>
      <c r="B501" t="s">
        <v>306</v>
      </c>
      <c r="L501" s="16"/>
    </row>
    <row r="502" spans="1:12" ht="21" customHeight="1">
      <c r="A502" s="15"/>
      <c r="B502" s="1464" t="s">
        <v>307</v>
      </c>
      <c r="C502" s="1464"/>
      <c r="D502" s="1464"/>
      <c r="E502" s="1464"/>
      <c r="F502" s="1464"/>
      <c r="G502" s="1464"/>
      <c r="H502" s="1464"/>
      <c r="I502" s="1464"/>
      <c r="J502" s="1464"/>
      <c r="K502" s="1464"/>
      <c r="L502" s="1465"/>
    </row>
    <row r="503" spans="1:12" ht="27.95" customHeight="1">
      <c r="A503" s="15"/>
      <c r="B503" t="s">
        <v>219</v>
      </c>
      <c r="C503" s="284" t="e">
        <f>'04-22-Master'!#REF!</f>
        <v>#REF!</v>
      </c>
      <c r="D503" s="205"/>
      <c r="E503" s="205"/>
      <c r="F503" s="205"/>
      <c r="G503" s="205"/>
      <c r="H503" s="205"/>
      <c r="I503" t="s">
        <v>326</v>
      </c>
      <c r="J503" s="205"/>
      <c r="K503" s="205"/>
      <c r="L503" s="236"/>
    </row>
    <row r="504" spans="1:12" ht="27.95" customHeight="1" thickBot="1">
      <c r="A504" s="27"/>
      <c r="B504" s="1241"/>
      <c r="C504" s="1241"/>
      <c r="D504" s="1241"/>
      <c r="E504" s="1241"/>
      <c r="F504" s="1241"/>
      <c r="G504" s="1241"/>
      <c r="H504" s="1241"/>
      <c r="I504" s="1241"/>
      <c r="J504" s="1241"/>
      <c r="K504" s="1241"/>
      <c r="L504" s="1242"/>
    </row>
    <row r="505" spans="1:12" ht="27.95" customHeight="1">
      <c r="A505" s="79"/>
      <c r="B505" s="80"/>
      <c r="C505" s="80"/>
      <c r="D505" s="80"/>
      <c r="E505" s="80"/>
      <c r="F505" s="80"/>
      <c r="G505" s="80"/>
      <c r="H505" s="80"/>
      <c r="I505" s="84" t="s">
        <v>253</v>
      </c>
      <c r="J505" s="80"/>
      <c r="K505" s="80"/>
      <c r="L505" s="81"/>
    </row>
    <row r="506" spans="1:12">
      <c r="A506" s="15"/>
      <c r="B506" s="1452" t="s">
        <v>308</v>
      </c>
      <c r="C506" s="1452"/>
      <c r="D506" s="1452"/>
      <c r="E506" s="1452"/>
      <c r="F506" s="1452"/>
      <c r="G506" s="1452"/>
      <c r="H506" s="1452"/>
      <c r="I506" s="1452"/>
      <c r="J506" s="1452"/>
      <c r="K506" s="1452"/>
      <c r="L506" s="1453"/>
    </row>
    <row r="507" spans="1:12" ht="23.25">
      <c r="A507" s="15"/>
      <c r="B507" s="205"/>
      <c r="C507" s="205"/>
      <c r="D507" s="213" t="s">
        <v>255</v>
      </c>
      <c r="E507" s="205"/>
      <c r="F507" s="205"/>
      <c r="G507" s="205"/>
      <c r="H507" s="205"/>
      <c r="I507" s="207" t="s">
        <v>309</v>
      </c>
      <c r="J507" s="208"/>
      <c r="K507" s="208"/>
      <c r="L507" s="238"/>
    </row>
    <row r="508" spans="1:12" ht="15.75">
      <c r="A508" s="15"/>
      <c r="B508" s="1"/>
      <c r="C508" s="1" t="s">
        <v>256</v>
      </c>
      <c r="E508" s="1"/>
      <c r="F508" s="1"/>
      <c r="G508" s="1"/>
      <c r="H508" s="1"/>
      <c r="I508" s="206" t="s">
        <v>310</v>
      </c>
      <c r="J508" s="227">
        <f>'04-22-Master'!F418</f>
        <v>0</v>
      </c>
      <c r="K508" s="209"/>
      <c r="L508" s="239"/>
    </row>
    <row r="509" spans="1:12">
      <c r="A509" s="15"/>
      <c r="B509" s="214"/>
      <c r="C509" s="183" t="s">
        <v>257</v>
      </c>
      <c r="E509" s="214"/>
      <c r="F509" s="214"/>
      <c r="H509" s="184"/>
      <c r="I509" s="230">
        <f>'04-22-Master'!F419</f>
        <v>0</v>
      </c>
      <c r="J509" s="228"/>
      <c r="K509" s="229"/>
      <c r="L509" s="193"/>
    </row>
    <row r="510" spans="1:12">
      <c r="A510" s="15">
        <v>1</v>
      </c>
      <c r="B510" s="210" t="s">
        <v>258</v>
      </c>
      <c r="C510" s="65"/>
      <c r="D510" s="65"/>
      <c r="E510" s="65"/>
      <c r="F510" s="65"/>
      <c r="G510" s="66"/>
      <c r="H510" s="1433"/>
      <c r="I510" s="1434"/>
      <c r="J510" s="1434"/>
      <c r="K510" s="1434"/>
      <c r="L510" s="1435"/>
    </row>
    <row r="511" spans="1:12" ht="15" customHeight="1">
      <c r="A511" s="15">
        <v>2</v>
      </c>
      <c r="B511" s="1454" t="s">
        <v>259</v>
      </c>
      <c r="C511" s="1455"/>
      <c r="D511" s="1455"/>
      <c r="E511" s="1455"/>
      <c r="F511" s="211" t="s">
        <v>260</v>
      </c>
      <c r="G511" s="195"/>
      <c r="H511" s="1456"/>
      <c r="I511" s="1457"/>
      <c r="J511" s="1457"/>
      <c r="K511" s="1457"/>
      <c r="L511" s="1458"/>
    </row>
    <row r="512" spans="1:12">
      <c r="A512" s="15"/>
      <c r="B512" s="196" t="s">
        <v>261</v>
      </c>
      <c r="C512" s="197"/>
      <c r="D512" s="197"/>
      <c r="E512" s="197"/>
      <c r="F512" s="197" t="s">
        <v>254</v>
      </c>
      <c r="G512" s="198"/>
      <c r="H512" s="1459"/>
      <c r="I512" s="1460"/>
      <c r="J512" s="1460"/>
      <c r="K512" s="1460"/>
      <c r="L512" s="1461"/>
    </row>
    <row r="513" spans="1:12">
      <c r="A513" s="15">
        <v>3</v>
      </c>
      <c r="B513" s="212" t="s">
        <v>262</v>
      </c>
      <c r="C513" s="202"/>
      <c r="D513" s="202"/>
      <c r="E513" s="202"/>
      <c r="F513" s="202"/>
      <c r="G513" s="203"/>
      <c r="H513" s="1441">
        <f>'04-22-Master'!C149</f>
        <v>0</v>
      </c>
      <c r="I513" s="1442"/>
      <c r="J513" s="1442"/>
      <c r="K513" s="1442"/>
      <c r="L513" s="1443"/>
    </row>
    <row r="514" spans="1:12">
      <c r="A514" s="15">
        <v>4</v>
      </c>
      <c r="B514" s="188" t="s">
        <v>263</v>
      </c>
      <c r="C514" s="65"/>
      <c r="D514" s="65"/>
      <c r="E514" s="65"/>
      <c r="F514" s="65"/>
      <c r="G514" s="66"/>
      <c r="H514" s="1414">
        <f>'04-22-Master'!D149</f>
        <v>0</v>
      </c>
      <c r="I514" s="1429"/>
      <c r="J514" s="1429"/>
      <c r="K514" s="1429"/>
      <c r="L514" s="1415"/>
    </row>
    <row r="515" spans="1:12">
      <c r="A515" s="15">
        <v>5</v>
      </c>
      <c r="B515" s="1444" t="s">
        <v>311</v>
      </c>
      <c r="C515" s="1445"/>
      <c r="D515" s="1445"/>
      <c r="E515" s="1445"/>
      <c r="F515" s="1445"/>
      <c r="G515" s="66"/>
      <c r="H515" s="1433" t="s">
        <v>390</v>
      </c>
      <c r="I515" s="1434"/>
      <c r="J515" s="1434"/>
      <c r="K515" s="1434"/>
      <c r="L515" s="1435"/>
    </row>
    <row r="516" spans="1:12">
      <c r="A516" s="15">
        <v>6</v>
      </c>
      <c r="B516" s="201" t="s">
        <v>264</v>
      </c>
      <c r="C516" s="202" t="s">
        <v>265</v>
      </c>
      <c r="D516" s="202"/>
      <c r="E516" s="202"/>
      <c r="F516" s="202"/>
      <c r="G516" s="203"/>
      <c r="H516" s="212"/>
      <c r="I516" s="202"/>
      <c r="J516" s="202"/>
      <c r="K516" s="202"/>
      <c r="L516" s="240"/>
    </row>
    <row r="517" spans="1:12">
      <c r="A517" s="15"/>
      <c r="B517" s="201" t="s">
        <v>266</v>
      </c>
      <c r="C517" s="202" t="s">
        <v>267</v>
      </c>
      <c r="D517" s="202"/>
      <c r="E517" s="202"/>
      <c r="F517" s="202"/>
      <c r="G517" s="203"/>
      <c r="H517" s="212"/>
      <c r="I517" s="194"/>
      <c r="J517" s="194"/>
      <c r="K517" s="202"/>
      <c r="L517" s="240"/>
    </row>
    <row r="518" spans="1:12">
      <c r="A518" s="15">
        <v>7</v>
      </c>
      <c r="B518" s="1441" t="s">
        <v>268</v>
      </c>
      <c r="C518" s="1442"/>
      <c r="D518" s="1442"/>
      <c r="E518" s="1442"/>
      <c r="F518" s="1442"/>
      <c r="G518" s="1446"/>
      <c r="H518" s="216" t="s">
        <v>269</v>
      </c>
      <c r="I518" s="217"/>
      <c r="J518" s="218"/>
      <c r="K518" s="216" t="s">
        <v>270</v>
      </c>
      <c r="L518" s="241"/>
    </row>
    <row r="519" spans="1:12">
      <c r="A519" s="15">
        <v>8</v>
      </c>
      <c r="B519" s="1441" t="s">
        <v>312</v>
      </c>
      <c r="C519" s="1442"/>
      <c r="D519" s="1442"/>
      <c r="E519" s="1442"/>
      <c r="F519" s="1442"/>
      <c r="G519" s="1446"/>
      <c r="H519" s="216" t="s">
        <v>269</v>
      </c>
      <c r="I519" s="217"/>
      <c r="J519" s="218"/>
      <c r="K519" s="216" t="s">
        <v>270</v>
      </c>
      <c r="L519" s="241"/>
    </row>
    <row r="520" spans="1:12">
      <c r="A520" s="15"/>
      <c r="B520" s="188"/>
      <c r="C520" s="220"/>
      <c r="D520" s="220"/>
      <c r="E520" s="220"/>
      <c r="F520" s="220" t="s">
        <v>271</v>
      </c>
      <c r="G520" s="220"/>
      <c r="H520" s="220"/>
      <c r="I520" s="220"/>
      <c r="J520" s="220"/>
      <c r="K520" s="220"/>
      <c r="L520" s="242"/>
    </row>
    <row r="521" spans="1:12">
      <c r="A521" s="15">
        <v>9</v>
      </c>
      <c r="B521" s="201" t="s">
        <v>272</v>
      </c>
      <c r="C521" s="202" t="s">
        <v>273</v>
      </c>
      <c r="D521" s="202"/>
      <c r="E521" s="202"/>
      <c r="F521" s="202"/>
      <c r="G521" s="203"/>
      <c r="H521" s="212"/>
      <c r="I521" s="202"/>
      <c r="J521" s="202"/>
      <c r="K521" s="202"/>
      <c r="L521" s="240"/>
    </row>
    <row r="522" spans="1:12">
      <c r="A522" s="90"/>
      <c r="B522" s="201" t="s">
        <v>274</v>
      </c>
      <c r="C522" s="202" t="s">
        <v>275</v>
      </c>
      <c r="D522" s="202"/>
      <c r="E522" s="202"/>
      <c r="F522" s="202"/>
      <c r="G522" s="203"/>
      <c r="H522" s="212"/>
      <c r="I522" s="202"/>
      <c r="J522" s="202"/>
      <c r="K522" s="202"/>
      <c r="L522" s="240"/>
    </row>
    <row r="523" spans="1:12">
      <c r="A523" s="90"/>
      <c r="B523" s="201" t="s">
        <v>313</v>
      </c>
      <c r="C523" s="202" t="s">
        <v>314</v>
      </c>
      <c r="D523" s="202"/>
      <c r="E523" s="202"/>
      <c r="F523" s="202"/>
      <c r="G523" s="203"/>
      <c r="H523" s="212"/>
      <c r="I523" s="202"/>
      <c r="J523" s="202"/>
      <c r="K523" s="202"/>
      <c r="L523" s="240"/>
    </row>
    <row r="524" spans="1:12">
      <c r="A524" s="90"/>
      <c r="B524" s="201" t="s">
        <v>277</v>
      </c>
      <c r="C524" s="202" t="s">
        <v>278</v>
      </c>
      <c r="D524" s="202"/>
      <c r="E524" s="202"/>
      <c r="F524" s="202"/>
      <c r="G524" s="203"/>
      <c r="H524" s="212"/>
      <c r="I524" s="202"/>
      <c r="J524" s="202"/>
      <c r="K524" s="202"/>
      <c r="L524" s="240"/>
    </row>
    <row r="525" spans="1:12">
      <c r="A525" s="90"/>
      <c r="B525" s="201" t="s">
        <v>279</v>
      </c>
      <c r="C525" s="202" t="s">
        <v>280</v>
      </c>
      <c r="D525" s="202"/>
      <c r="E525" s="202"/>
      <c r="F525" s="202"/>
      <c r="G525" s="203"/>
      <c r="H525" s="212"/>
      <c r="I525" s="202"/>
      <c r="J525" s="202"/>
      <c r="K525" s="202"/>
      <c r="L525" s="240"/>
    </row>
    <row r="526" spans="1:12" ht="27.95" customHeight="1">
      <c r="A526" s="90">
        <v>10</v>
      </c>
      <c r="B526" s="201" t="s">
        <v>272</v>
      </c>
      <c r="C526" s="202" t="s">
        <v>315</v>
      </c>
      <c r="D526" s="202"/>
      <c r="E526" s="202"/>
      <c r="F526" s="202"/>
      <c r="G526" s="203"/>
      <c r="H526" s="216" t="s">
        <v>269</v>
      </c>
      <c r="I526" s="217"/>
      <c r="J526" s="218"/>
      <c r="K526" s="216" t="s">
        <v>270</v>
      </c>
      <c r="L526" s="241"/>
    </row>
    <row r="527" spans="1:12" ht="27.95" customHeight="1">
      <c r="A527" s="90"/>
      <c r="B527" s="201" t="s">
        <v>274</v>
      </c>
      <c r="C527" s="202" t="s">
        <v>316</v>
      </c>
      <c r="D527" s="202"/>
      <c r="E527" s="202"/>
      <c r="F527" s="202"/>
      <c r="G527" s="203"/>
      <c r="H527" s="212"/>
      <c r="I527" s="202"/>
      <c r="J527" s="202"/>
      <c r="K527" s="202"/>
      <c r="L527" s="240"/>
    </row>
    <row r="528" spans="1:12" ht="27.95" customHeight="1">
      <c r="A528" s="90"/>
      <c r="B528" s="201" t="s">
        <v>313</v>
      </c>
      <c r="C528" s="202" t="s">
        <v>281</v>
      </c>
      <c r="D528" s="202"/>
      <c r="E528" s="202"/>
      <c r="F528" s="202"/>
      <c r="G528" s="203"/>
      <c r="H528" s="212"/>
      <c r="I528" s="202"/>
      <c r="J528" s="202"/>
      <c r="K528" s="202"/>
      <c r="L528" s="240"/>
    </row>
    <row r="529" spans="1:12" ht="27.95" customHeight="1">
      <c r="A529" s="90"/>
      <c r="B529" s="201" t="s">
        <v>277</v>
      </c>
      <c r="C529" s="202" t="s">
        <v>317</v>
      </c>
      <c r="D529" s="202"/>
      <c r="E529" s="202"/>
      <c r="F529" s="202"/>
      <c r="G529" s="203"/>
      <c r="H529" s="212"/>
      <c r="I529" s="202"/>
      <c r="J529" s="202"/>
      <c r="K529" s="202"/>
      <c r="L529" s="240"/>
    </row>
    <row r="530" spans="1:12" ht="27.95" customHeight="1">
      <c r="A530" s="15"/>
      <c r="B530" s="188"/>
      <c r="C530" s="220"/>
      <c r="D530" s="220"/>
      <c r="E530" s="220" t="s">
        <v>318</v>
      </c>
      <c r="F530" s="220"/>
      <c r="G530" s="220"/>
      <c r="H530" s="220"/>
      <c r="I530" s="220"/>
      <c r="J530" s="220"/>
      <c r="K530" s="220"/>
      <c r="L530" s="242"/>
    </row>
    <row r="531" spans="1:12" ht="27.95" customHeight="1">
      <c r="A531" s="15">
        <v>11</v>
      </c>
      <c r="B531" s="201" t="s">
        <v>272</v>
      </c>
      <c r="C531" s="202" t="s">
        <v>282</v>
      </c>
      <c r="D531" s="202"/>
      <c r="E531" s="202"/>
      <c r="F531" s="202"/>
      <c r="G531" s="203"/>
      <c r="H531" s="212"/>
      <c r="I531" s="202"/>
      <c r="J531" s="202"/>
      <c r="K531" s="202"/>
      <c r="L531" s="240"/>
    </row>
    <row r="532" spans="1:12" ht="27.95" customHeight="1">
      <c r="A532" s="15"/>
      <c r="B532" s="201" t="s">
        <v>274</v>
      </c>
      <c r="C532" s="202" t="s">
        <v>283</v>
      </c>
      <c r="D532" s="202"/>
      <c r="E532" s="202"/>
      <c r="F532" s="202"/>
      <c r="G532" s="203"/>
      <c r="H532" s="212"/>
      <c r="I532" s="202"/>
      <c r="J532" s="202"/>
      <c r="K532" s="202"/>
      <c r="L532" s="240"/>
    </row>
    <row r="533" spans="1:12" ht="27.95" customHeight="1">
      <c r="A533" s="15"/>
      <c r="B533" s="201" t="s">
        <v>276</v>
      </c>
      <c r="C533" s="202" t="s">
        <v>284</v>
      </c>
      <c r="D533" s="202"/>
      <c r="E533" s="202"/>
      <c r="F533" s="202"/>
      <c r="G533" s="203"/>
      <c r="H533" s="212"/>
      <c r="I533" s="202"/>
      <c r="J533" s="202"/>
      <c r="K533" s="202"/>
      <c r="L533" s="240"/>
    </row>
    <row r="534" spans="1:12" ht="27.95" customHeight="1">
      <c r="A534" s="15"/>
      <c r="B534" s="176"/>
      <c r="C534" s="172"/>
      <c r="D534" s="172"/>
      <c r="E534" s="172"/>
      <c r="F534" s="221" t="s">
        <v>285</v>
      </c>
      <c r="G534" s="172"/>
      <c r="H534" s="161"/>
      <c r="I534" s="161"/>
      <c r="J534" s="161"/>
      <c r="K534" s="161"/>
      <c r="L534" s="179"/>
    </row>
    <row r="535" spans="1:12" ht="27.95" customHeight="1">
      <c r="A535" s="15"/>
      <c r="B535" s="233" t="s">
        <v>286</v>
      </c>
      <c r="C535" s="232" t="s">
        <v>287</v>
      </c>
      <c r="D535" s="172"/>
      <c r="E535" s="172"/>
      <c r="F535" s="172"/>
      <c r="G535" s="172"/>
      <c r="H535" s="161"/>
      <c r="I535" s="161"/>
      <c r="J535" s="162"/>
      <c r="K535" s="161"/>
      <c r="L535" s="179"/>
    </row>
    <row r="536" spans="1:12" ht="27.95" customHeight="1">
      <c r="A536" s="15"/>
      <c r="B536" s="233" t="s">
        <v>288</v>
      </c>
      <c r="C536" s="231" t="s">
        <v>289</v>
      </c>
      <c r="D536" s="161"/>
      <c r="E536" s="162"/>
      <c r="G536" s="1447"/>
      <c r="H536" s="1447"/>
      <c r="I536" s="177"/>
      <c r="J536" s="178"/>
      <c r="K536" s="1447"/>
      <c r="L536" s="1448"/>
    </row>
    <row r="537" spans="1:12" ht="27.95" customHeight="1">
      <c r="A537" s="15"/>
      <c r="B537" s="234" t="s">
        <v>290</v>
      </c>
      <c r="C537" s="1449" t="s">
        <v>319</v>
      </c>
      <c r="D537" s="1449"/>
      <c r="E537" s="1449"/>
      <c r="F537" s="1449"/>
      <c r="G537" s="1449"/>
      <c r="H537" s="1449"/>
      <c r="I537" s="1449"/>
      <c r="J537" s="1449"/>
      <c r="K537" s="1449"/>
      <c r="L537" s="1450"/>
    </row>
    <row r="538" spans="1:12" ht="27.95" customHeight="1">
      <c r="A538" s="15"/>
      <c r="B538" s="233" t="s">
        <v>291</v>
      </c>
      <c r="C538" s="232" t="s">
        <v>292</v>
      </c>
      <c r="D538" s="224"/>
      <c r="E538" s="224"/>
      <c r="F538" s="224"/>
      <c r="G538" s="224"/>
      <c r="H538" s="224"/>
      <c r="I538" s="224"/>
      <c r="J538" s="224"/>
      <c r="K538" s="224"/>
      <c r="L538" s="243"/>
    </row>
    <row r="539" spans="1:12" ht="27.95" customHeight="1">
      <c r="A539" s="15"/>
      <c r="B539" s="176"/>
      <c r="C539" t="s">
        <v>320</v>
      </c>
      <c r="D539" s="2"/>
      <c r="E539" s="2"/>
      <c r="F539" s="2"/>
      <c r="G539" s="2"/>
      <c r="L539" s="16"/>
    </row>
    <row r="540" spans="1:12" ht="27.95" customHeight="1">
      <c r="A540" s="15"/>
      <c r="C540" t="s">
        <v>293</v>
      </c>
      <c r="J540" t="s">
        <v>321</v>
      </c>
      <c r="L540" s="16"/>
    </row>
    <row r="541" spans="1:12" ht="27.95" customHeight="1">
      <c r="A541" s="15"/>
      <c r="F541" s="222" t="s">
        <v>294</v>
      </c>
      <c r="L541" s="16"/>
    </row>
    <row r="542" spans="1:12" ht="27.95" customHeight="1">
      <c r="A542" s="15" t="s">
        <v>322</v>
      </c>
      <c r="B542" t="s">
        <v>295</v>
      </c>
      <c r="E542" s="225">
        <f>'04-22-Master'!B428</f>
        <v>0</v>
      </c>
      <c r="H542" s="1451" t="s">
        <v>296</v>
      </c>
      <c r="I542" s="1451"/>
      <c r="J542" s="226">
        <f>'04-22-Master'!I428</f>
        <v>0</v>
      </c>
      <c r="K542" t="s">
        <v>297</v>
      </c>
      <c r="L542" s="16"/>
    </row>
    <row r="543" spans="1:12" ht="27.95" customHeight="1">
      <c r="A543" s="15"/>
      <c r="B543" s="1462">
        <f>'04-22-Master'!N428</f>
        <v>0</v>
      </c>
      <c r="C543" s="1463"/>
      <c r="D543" s="223"/>
      <c r="E543" s="223"/>
      <c r="F543" s="223"/>
      <c r="G543" s="223"/>
      <c r="H543" s="223"/>
      <c r="I543" s="223"/>
      <c r="J543" s="223"/>
      <c r="K543" s="223"/>
      <c r="L543" s="244"/>
    </row>
    <row r="544" spans="1:12">
      <c r="A544" s="15" t="s">
        <v>324</v>
      </c>
      <c r="B544" s="223" t="s">
        <v>298</v>
      </c>
      <c r="C544" s="223"/>
      <c r="D544" s="223"/>
      <c r="E544" s="223"/>
      <c r="F544" s="223"/>
      <c r="G544" s="223"/>
      <c r="H544" s="223"/>
      <c r="I544" s="223"/>
      <c r="J544" s="223"/>
      <c r="K544" s="223"/>
      <c r="L544" s="244"/>
    </row>
    <row r="545" spans="1:12">
      <c r="A545" s="15"/>
      <c r="B545" s="223" t="s">
        <v>323</v>
      </c>
      <c r="C545" s="223"/>
      <c r="D545" s="223"/>
      <c r="E545" s="223"/>
      <c r="F545" s="223"/>
      <c r="G545" s="223"/>
      <c r="H545" s="223"/>
      <c r="I545" s="223"/>
      <c r="J545" s="223"/>
      <c r="K545" s="223"/>
      <c r="L545" s="244"/>
    </row>
    <row r="546" spans="1:12">
      <c r="A546" s="15"/>
      <c r="B546" t="s">
        <v>299</v>
      </c>
      <c r="L546" s="16"/>
    </row>
    <row r="547" spans="1:12" ht="18.75">
      <c r="A547" s="15"/>
      <c r="B547" s="2" t="s">
        <v>300</v>
      </c>
      <c r="F547" s="175"/>
      <c r="L547" s="16"/>
    </row>
    <row r="548" spans="1:12">
      <c r="A548" s="15"/>
      <c r="B548" s="2" t="s">
        <v>301</v>
      </c>
      <c r="L548" s="16"/>
    </row>
    <row r="549" spans="1:12" ht="15" customHeight="1">
      <c r="A549" s="15"/>
      <c r="B549" t="s">
        <v>302</v>
      </c>
      <c r="L549" s="16"/>
    </row>
    <row r="550" spans="1:12">
      <c r="A550" s="15"/>
      <c r="B550" t="s">
        <v>303</v>
      </c>
      <c r="L550" s="16"/>
    </row>
    <row r="551" spans="1:12">
      <c r="A551" s="15" t="s">
        <v>313</v>
      </c>
      <c r="B551" t="s">
        <v>304</v>
      </c>
      <c r="L551" s="16"/>
    </row>
    <row r="552" spans="1:12">
      <c r="A552" s="15"/>
      <c r="B552" s="235" t="s">
        <v>325</v>
      </c>
      <c r="L552" s="16"/>
    </row>
    <row r="553" spans="1:12">
      <c r="A553" s="15"/>
      <c r="B553" t="s">
        <v>299</v>
      </c>
      <c r="L553" s="16"/>
    </row>
    <row r="554" spans="1:12">
      <c r="A554" s="15"/>
      <c r="B554" t="s">
        <v>305</v>
      </c>
      <c r="L554" s="16"/>
    </row>
    <row r="555" spans="1:12">
      <c r="A555" s="15"/>
      <c r="B555" t="s">
        <v>306</v>
      </c>
      <c r="L555" s="16"/>
    </row>
    <row r="556" spans="1:12">
      <c r="A556" s="15"/>
      <c r="B556" s="1464" t="s">
        <v>307</v>
      </c>
      <c r="C556" s="1464"/>
      <c r="D556" s="1464"/>
      <c r="E556" s="1464"/>
      <c r="F556" s="1464"/>
      <c r="G556" s="1464"/>
      <c r="H556" s="1464"/>
      <c r="I556" s="1464"/>
      <c r="J556" s="1464"/>
      <c r="K556" s="1464"/>
      <c r="L556" s="1465"/>
    </row>
    <row r="557" spans="1:12" ht="23.25">
      <c r="A557" s="15"/>
      <c r="B557" t="s">
        <v>219</v>
      </c>
      <c r="C557" s="205"/>
      <c r="D557" s="205"/>
      <c r="E557" s="205"/>
      <c r="F557" s="205"/>
      <c r="G557" s="205"/>
      <c r="H557" s="205"/>
      <c r="I557" t="s">
        <v>326</v>
      </c>
      <c r="J557" s="205"/>
      <c r="K557" s="205"/>
      <c r="L557" s="236"/>
    </row>
    <row r="558" spans="1:12" ht="16.5" thickBot="1">
      <c r="A558" s="27"/>
      <c r="B558" s="1241"/>
      <c r="C558" s="1241"/>
      <c r="D558" s="1241"/>
      <c r="E558" s="1241"/>
      <c r="F558" s="1241"/>
      <c r="G558" s="1241"/>
      <c r="H558" s="1241"/>
      <c r="I558" s="1241"/>
      <c r="J558" s="1241"/>
      <c r="K558" s="1241"/>
      <c r="L558" s="1242"/>
    </row>
    <row r="559" spans="1:12">
      <c r="A559" s="79"/>
      <c r="B559" s="80"/>
      <c r="C559" s="80"/>
      <c r="D559" s="80"/>
      <c r="E559" s="80"/>
      <c r="F559" s="80"/>
      <c r="G559" s="80"/>
      <c r="H559" s="80"/>
      <c r="I559" s="84" t="s">
        <v>253</v>
      </c>
      <c r="J559" s="80"/>
      <c r="K559" s="80"/>
      <c r="L559" s="81"/>
    </row>
    <row r="560" spans="1:12">
      <c r="A560" s="15"/>
      <c r="B560" s="1452" t="s">
        <v>308</v>
      </c>
      <c r="C560" s="1452"/>
      <c r="D560" s="1452"/>
      <c r="E560" s="1452"/>
      <c r="F560" s="1452"/>
      <c r="G560" s="1452"/>
      <c r="H560" s="1452"/>
      <c r="I560" s="1452"/>
      <c r="J560" s="1452"/>
      <c r="K560" s="1452"/>
      <c r="L560" s="1453"/>
    </row>
    <row r="561" spans="1:12" ht="23.25">
      <c r="A561" s="15"/>
      <c r="B561" s="205"/>
      <c r="C561" s="205"/>
      <c r="D561" s="213" t="s">
        <v>255</v>
      </c>
      <c r="E561" s="205"/>
      <c r="F561" s="205"/>
      <c r="G561" s="205"/>
      <c r="H561" s="205"/>
      <c r="I561" s="207" t="s">
        <v>309</v>
      </c>
      <c r="J561" s="208"/>
      <c r="K561" s="208"/>
      <c r="L561" s="238"/>
    </row>
    <row r="562" spans="1:12" ht="15.75">
      <c r="A562" s="15"/>
      <c r="B562" s="1"/>
      <c r="C562" s="1" t="s">
        <v>256</v>
      </c>
      <c r="E562" s="1"/>
      <c r="F562" s="1"/>
      <c r="G562" s="1"/>
      <c r="H562" s="1"/>
      <c r="I562" s="206" t="s">
        <v>310</v>
      </c>
      <c r="J562" s="227">
        <f>'04-22-Master'!F472</f>
        <v>0</v>
      </c>
      <c r="K562" s="209"/>
      <c r="L562" s="239"/>
    </row>
    <row r="563" spans="1:12">
      <c r="A563" s="15"/>
      <c r="B563" s="214"/>
      <c r="C563" s="183" t="s">
        <v>257</v>
      </c>
      <c r="E563" s="214"/>
      <c r="F563" s="214"/>
      <c r="H563" s="184"/>
      <c r="I563" s="230">
        <f>'04-22-Master'!F473</f>
        <v>0</v>
      </c>
      <c r="J563" s="228"/>
      <c r="K563" s="229"/>
      <c r="L563" s="193"/>
    </row>
    <row r="564" spans="1:12" ht="23.25" customHeight="1">
      <c r="A564" s="15">
        <v>1</v>
      </c>
      <c r="B564" s="210" t="s">
        <v>258</v>
      </c>
      <c r="C564" s="65"/>
      <c r="D564" s="65"/>
      <c r="E564" s="65"/>
      <c r="F564" s="65"/>
      <c r="G564" s="66"/>
      <c r="H564" s="1433"/>
      <c r="I564" s="1434"/>
      <c r="J564" s="1434"/>
      <c r="K564" s="1434"/>
      <c r="L564" s="1435"/>
    </row>
    <row r="565" spans="1:12" ht="22.5" customHeight="1">
      <c r="A565" s="15">
        <v>2</v>
      </c>
      <c r="B565" s="1454" t="s">
        <v>259</v>
      </c>
      <c r="C565" s="1455"/>
      <c r="D565" s="1455"/>
      <c r="E565" s="1455"/>
      <c r="F565" s="211" t="s">
        <v>260</v>
      </c>
      <c r="G565" s="195"/>
      <c r="H565" s="1456"/>
      <c r="I565" s="1457"/>
      <c r="J565" s="1457"/>
      <c r="K565" s="1457"/>
      <c r="L565" s="1458"/>
    </row>
    <row r="566" spans="1:12" ht="10.5" customHeight="1">
      <c r="A566" s="15"/>
      <c r="B566" s="196" t="s">
        <v>261</v>
      </c>
      <c r="C566" s="197"/>
      <c r="D566" s="197"/>
      <c r="E566" s="197"/>
      <c r="F566" s="197" t="s">
        <v>254</v>
      </c>
      <c r="G566" s="198"/>
      <c r="H566" s="1459"/>
      <c r="I566" s="1460"/>
      <c r="J566" s="1460"/>
      <c r="K566" s="1460"/>
      <c r="L566" s="1461"/>
    </row>
    <row r="567" spans="1:12" ht="24" customHeight="1">
      <c r="A567" s="15">
        <v>3</v>
      </c>
      <c r="B567" s="212" t="s">
        <v>262</v>
      </c>
      <c r="C567" s="202"/>
      <c r="D567" s="202"/>
      <c r="E567" s="202"/>
      <c r="F567" s="202"/>
      <c r="G567" s="203"/>
      <c r="H567" s="212"/>
      <c r="I567" s="202"/>
      <c r="J567" s="202"/>
      <c r="K567" s="202"/>
      <c r="L567" s="240"/>
    </row>
    <row r="568" spans="1:12" ht="27.95" customHeight="1">
      <c r="A568" s="15">
        <v>4</v>
      </c>
      <c r="B568" s="188" t="s">
        <v>263</v>
      </c>
      <c r="C568" s="65"/>
      <c r="D568" s="65"/>
      <c r="E568" s="65"/>
      <c r="F568" s="65"/>
      <c r="G568" s="66"/>
      <c r="H568" s="188"/>
      <c r="I568" s="65"/>
      <c r="J568" s="65"/>
      <c r="K568" s="65"/>
      <c r="L568" s="193"/>
    </row>
    <row r="569" spans="1:12" ht="27.95" customHeight="1">
      <c r="A569" s="15">
        <v>5</v>
      </c>
      <c r="B569" s="1444" t="s">
        <v>311</v>
      </c>
      <c r="C569" s="1445"/>
      <c r="D569" s="1445"/>
      <c r="E569" s="1445"/>
      <c r="F569" s="1445"/>
      <c r="G569" s="66"/>
      <c r="H569" s="1466"/>
      <c r="I569" s="1467"/>
      <c r="J569" s="1467"/>
      <c r="K569" s="1467"/>
      <c r="L569" s="1468"/>
    </row>
    <row r="570" spans="1:12" ht="27.95" customHeight="1">
      <c r="A570" s="15">
        <v>6</v>
      </c>
      <c r="B570" s="201" t="s">
        <v>264</v>
      </c>
      <c r="C570" s="202" t="s">
        <v>265</v>
      </c>
      <c r="D570" s="202"/>
      <c r="E570" s="202"/>
      <c r="F570" s="202"/>
      <c r="G570" s="203"/>
      <c r="H570" s="212"/>
      <c r="I570" s="202"/>
      <c r="J570" s="202"/>
      <c r="K570" s="202"/>
      <c r="L570" s="240"/>
    </row>
    <row r="571" spans="1:12" ht="27.95" customHeight="1">
      <c r="A571" s="15"/>
      <c r="B571" s="201" t="s">
        <v>266</v>
      </c>
      <c r="C571" s="202" t="s">
        <v>267</v>
      </c>
      <c r="D571" s="202"/>
      <c r="E571" s="202"/>
      <c r="F571" s="202"/>
      <c r="G571" s="203"/>
      <c r="H571" s="212"/>
      <c r="I571" s="194"/>
      <c r="J571" s="194"/>
      <c r="K571" s="202"/>
      <c r="L571" s="240"/>
    </row>
    <row r="572" spans="1:12" ht="27.95" customHeight="1">
      <c r="A572" s="15">
        <v>7</v>
      </c>
      <c r="B572" s="1441" t="s">
        <v>268</v>
      </c>
      <c r="C572" s="1442"/>
      <c r="D572" s="1442"/>
      <c r="E572" s="1442"/>
      <c r="F572" s="1442"/>
      <c r="G572" s="1446"/>
      <c r="H572" s="216" t="s">
        <v>269</v>
      </c>
      <c r="I572" s="217"/>
      <c r="J572" s="218"/>
      <c r="K572" s="216" t="s">
        <v>270</v>
      </c>
      <c r="L572" s="241"/>
    </row>
    <row r="573" spans="1:12" ht="27.95" customHeight="1">
      <c r="A573" s="15">
        <v>8</v>
      </c>
      <c r="B573" s="1441" t="s">
        <v>312</v>
      </c>
      <c r="C573" s="1442"/>
      <c r="D573" s="1442"/>
      <c r="E573" s="1442"/>
      <c r="F573" s="1442"/>
      <c r="G573" s="1446"/>
      <c r="H573" s="216" t="s">
        <v>269</v>
      </c>
      <c r="I573" s="217"/>
      <c r="J573" s="218"/>
      <c r="K573" s="216" t="s">
        <v>270</v>
      </c>
      <c r="L573" s="241"/>
    </row>
    <row r="574" spans="1:12" ht="27.95" customHeight="1">
      <c r="A574" s="15"/>
      <c r="B574" s="188"/>
      <c r="C574" s="220"/>
      <c r="D574" s="220"/>
      <c r="E574" s="220"/>
      <c r="F574" s="220" t="s">
        <v>271</v>
      </c>
      <c r="G574" s="220"/>
      <c r="H574" s="220"/>
      <c r="I574" s="220"/>
      <c r="J574" s="220"/>
      <c r="K574" s="220"/>
      <c r="L574" s="242"/>
    </row>
    <row r="575" spans="1:12" ht="27.95" customHeight="1">
      <c r="A575" s="15">
        <v>9</v>
      </c>
      <c r="B575" s="201" t="s">
        <v>272</v>
      </c>
      <c r="C575" s="202" t="s">
        <v>273</v>
      </c>
      <c r="D575" s="202"/>
      <c r="E575" s="202"/>
      <c r="F575" s="202"/>
      <c r="G575" s="203"/>
      <c r="H575" s="212"/>
      <c r="I575" s="202"/>
      <c r="J575" s="202"/>
      <c r="K575" s="202"/>
      <c r="L575" s="240"/>
    </row>
    <row r="576" spans="1:12" ht="24" customHeight="1">
      <c r="A576" s="90"/>
      <c r="B576" s="201" t="s">
        <v>274</v>
      </c>
      <c r="C576" s="202" t="s">
        <v>275</v>
      </c>
      <c r="D576" s="202"/>
      <c r="E576" s="202"/>
      <c r="F576" s="202"/>
      <c r="G576" s="203"/>
      <c r="H576" s="212"/>
      <c r="I576" s="202"/>
      <c r="J576" s="202"/>
      <c r="K576" s="202"/>
      <c r="L576" s="240"/>
    </row>
    <row r="577" spans="1:12" ht="24" customHeight="1">
      <c r="A577" s="90"/>
      <c r="B577" s="201" t="s">
        <v>313</v>
      </c>
      <c r="C577" s="202" t="s">
        <v>314</v>
      </c>
      <c r="D577" s="202"/>
      <c r="E577" s="202"/>
      <c r="F577" s="202"/>
      <c r="G577" s="203"/>
      <c r="H577" s="212"/>
      <c r="I577" s="202"/>
      <c r="J577" s="202"/>
      <c r="K577" s="202"/>
      <c r="L577" s="240"/>
    </row>
    <row r="578" spans="1:12" ht="22.5" customHeight="1">
      <c r="A578" s="90"/>
      <c r="B578" s="201" t="s">
        <v>277</v>
      </c>
      <c r="C578" s="202" t="s">
        <v>278</v>
      </c>
      <c r="D578" s="202"/>
      <c r="E578" s="202"/>
      <c r="F578" s="202"/>
      <c r="G578" s="203"/>
      <c r="H578" s="212"/>
      <c r="I578" s="202"/>
      <c r="J578" s="202"/>
      <c r="K578" s="202"/>
      <c r="L578" s="240"/>
    </row>
    <row r="579" spans="1:12" ht="27.95" customHeight="1">
      <c r="A579" s="90"/>
      <c r="B579" s="201" t="s">
        <v>279</v>
      </c>
      <c r="C579" s="202" t="s">
        <v>280</v>
      </c>
      <c r="D579" s="202"/>
      <c r="E579" s="202"/>
      <c r="F579" s="202"/>
      <c r="G579" s="203"/>
      <c r="H579" s="212"/>
      <c r="I579" s="202"/>
      <c r="J579" s="202"/>
      <c r="K579" s="202"/>
      <c r="L579" s="240"/>
    </row>
    <row r="580" spans="1:12" ht="27.95" customHeight="1">
      <c r="A580" s="90">
        <v>10</v>
      </c>
      <c r="B580" s="201" t="s">
        <v>272</v>
      </c>
      <c r="C580" s="202" t="s">
        <v>315</v>
      </c>
      <c r="D580" s="202"/>
      <c r="E580" s="202"/>
      <c r="F580" s="202"/>
      <c r="G580" s="203"/>
      <c r="H580" s="216" t="s">
        <v>269</v>
      </c>
      <c r="I580" s="217"/>
      <c r="J580" s="218"/>
      <c r="K580" s="216" t="s">
        <v>270</v>
      </c>
      <c r="L580" s="241"/>
    </row>
    <row r="581" spans="1:12" ht="27.95" customHeight="1">
      <c r="A581" s="90"/>
      <c r="B581" s="201" t="s">
        <v>274</v>
      </c>
      <c r="C581" s="202" t="s">
        <v>316</v>
      </c>
      <c r="D581" s="202"/>
      <c r="E581" s="202"/>
      <c r="F581" s="202"/>
      <c r="G581" s="203"/>
      <c r="H581" s="212"/>
      <c r="I581" s="202"/>
      <c r="J581" s="202"/>
      <c r="K581" s="202"/>
      <c r="L581" s="240"/>
    </row>
    <row r="582" spans="1:12">
      <c r="A582" s="90"/>
      <c r="B582" s="201" t="s">
        <v>313</v>
      </c>
      <c r="C582" s="202" t="s">
        <v>281</v>
      </c>
      <c r="D582" s="202"/>
      <c r="E582" s="202"/>
      <c r="F582" s="202"/>
      <c r="G582" s="203"/>
      <c r="H582" s="212"/>
      <c r="I582" s="202"/>
      <c r="J582" s="202"/>
      <c r="K582" s="202"/>
      <c r="L582" s="240"/>
    </row>
    <row r="583" spans="1:12">
      <c r="A583" s="90"/>
      <c r="B583" s="201" t="s">
        <v>277</v>
      </c>
      <c r="C583" s="202" t="s">
        <v>317</v>
      </c>
      <c r="D583" s="202"/>
      <c r="E583" s="202"/>
      <c r="F583" s="202"/>
      <c r="G583" s="203"/>
      <c r="H583" s="212"/>
      <c r="I583" s="202"/>
      <c r="J583" s="202"/>
      <c r="K583" s="202"/>
      <c r="L583" s="240"/>
    </row>
    <row r="584" spans="1:12">
      <c r="A584" s="15"/>
      <c r="B584" s="188"/>
      <c r="C584" s="220"/>
      <c r="D584" s="220"/>
      <c r="E584" s="220" t="s">
        <v>318</v>
      </c>
      <c r="F584" s="220"/>
      <c r="G584" s="220"/>
      <c r="H584" s="220"/>
      <c r="I584" s="220"/>
      <c r="J584" s="220"/>
      <c r="K584" s="220"/>
      <c r="L584" s="242"/>
    </row>
    <row r="585" spans="1:12">
      <c r="A585" s="15">
        <v>11</v>
      </c>
      <c r="B585" s="201" t="s">
        <v>272</v>
      </c>
      <c r="C585" s="202" t="s">
        <v>282</v>
      </c>
      <c r="D585" s="202"/>
      <c r="E585" s="202"/>
      <c r="F585" s="202"/>
      <c r="G585" s="203"/>
      <c r="H585" s="212"/>
      <c r="I585" s="202"/>
      <c r="J585" s="202"/>
      <c r="K585" s="202"/>
      <c r="L585" s="240"/>
    </row>
    <row r="586" spans="1:12">
      <c r="A586" s="15"/>
      <c r="B586" s="201" t="s">
        <v>274</v>
      </c>
      <c r="C586" s="202" t="s">
        <v>283</v>
      </c>
      <c r="D586" s="202"/>
      <c r="E586" s="202"/>
      <c r="F586" s="202"/>
      <c r="G586" s="203"/>
      <c r="H586" s="212"/>
      <c r="I586" s="202"/>
      <c r="J586" s="202"/>
      <c r="K586" s="202"/>
      <c r="L586" s="240"/>
    </row>
    <row r="587" spans="1:12">
      <c r="A587" s="15"/>
      <c r="B587" s="201" t="s">
        <v>276</v>
      </c>
      <c r="C587" s="202" t="s">
        <v>284</v>
      </c>
      <c r="D587" s="202"/>
      <c r="E587" s="202"/>
      <c r="F587" s="202"/>
      <c r="G587" s="203"/>
      <c r="H587" s="212"/>
      <c r="I587" s="202"/>
      <c r="J587" s="202"/>
      <c r="K587" s="202"/>
      <c r="L587" s="240"/>
    </row>
    <row r="588" spans="1:12" ht="15" customHeight="1">
      <c r="A588" s="15"/>
      <c r="B588" s="176"/>
      <c r="C588" s="172"/>
      <c r="D588" s="172"/>
      <c r="E588" s="172"/>
      <c r="F588" s="221" t="s">
        <v>285</v>
      </c>
      <c r="G588" s="172"/>
      <c r="H588" s="161"/>
      <c r="I588" s="161"/>
      <c r="J588" s="161"/>
      <c r="K588" s="161"/>
      <c r="L588" s="179"/>
    </row>
    <row r="589" spans="1:12">
      <c r="A589" s="15"/>
      <c r="B589" s="233" t="s">
        <v>286</v>
      </c>
      <c r="C589" s="232" t="s">
        <v>287</v>
      </c>
      <c r="D589" s="172"/>
      <c r="E589" s="172"/>
      <c r="F589" s="172"/>
      <c r="G589" s="172"/>
      <c r="H589" s="161"/>
      <c r="I589" s="161"/>
      <c r="J589" s="162"/>
      <c r="K589" s="161"/>
      <c r="L589" s="179"/>
    </row>
    <row r="590" spans="1:12">
      <c r="A590" s="15"/>
      <c r="B590" s="233" t="s">
        <v>288</v>
      </c>
      <c r="C590" s="231" t="s">
        <v>289</v>
      </c>
      <c r="D590" s="161"/>
      <c r="E590" s="162"/>
      <c r="G590" s="1447"/>
      <c r="H590" s="1447"/>
      <c r="I590" s="177"/>
      <c r="J590" s="178"/>
      <c r="K590" s="1447"/>
      <c r="L590" s="1448"/>
    </row>
    <row r="591" spans="1:12">
      <c r="A591" s="15"/>
      <c r="B591" s="234" t="s">
        <v>290</v>
      </c>
      <c r="C591" s="1449" t="s">
        <v>319</v>
      </c>
      <c r="D591" s="1449"/>
      <c r="E591" s="1449"/>
      <c r="F591" s="1449"/>
      <c r="G591" s="1449"/>
      <c r="H591" s="1449"/>
      <c r="I591" s="1449"/>
      <c r="J591" s="1449"/>
      <c r="K591" s="1449"/>
      <c r="L591" s="1450"/>
    </row>
    <row r="592" spans="1:12">
      <c r="A592" s="15"/>
      <c r="B592" s="233" t="s">
        <v>291</v>
      </c>
      <c r="C592" s="232" t="s">
        <v>292</v>
      </c>
      <c r="D592" s="224"/>
      <c r="E592" s="224"/>
      <c r="F592" s="224"/>
      <c r="G592" s="224"/>
      <c r="H592" s="224"/>
      <c r="I592" s="224"/>
      <c r="J592" s="224"/>
      <c r="K592" s="224"/>
      <c r="L592" s="243"/>
    </row>
    <row r="593" spans="1:12">
      <c r="A593" s="15"/>
      <c r="B593" s="176"/>
      <c r="C593" t="s">
        <v>320</v>
      </c>
      <c r="D593" s="2"/>
      <c r="E593" s="2"/>
      <c r="F593" s="2"/>
      <c r="G593" s="2"/>
      <c r="L593" s="16"/>
    </row>
    <row r="594" spans="1:12">
      <c r="A594" s="15"/>
      <c r="C594" t="s">
        <v>293</v>
      </c>
      <c r="J594" t="s">
        <v>321</v>
      </c>
      <c r="L594" s="16"/>
    </row>
    <row r="595" spans="1:12">
      <c r="A595" s="15"/>
      <c r="F595" s="222" t="s">
        <v>294</v>
      </c>
      <c r="L595" s="16"/>
    </row>
    <row r="596" spans="1:12">
      <c r="A596" s="15" t="s">
        <v>322</v>
      </c>
      <c r="B596" t="s">
        <v>295</v>
      </c>
      <c r="E596" s="225">
        <f>'04-22-Master'!B482</f>
        <v>0</v>
      </c>
      <c r="H596" s="1451" t="s">
        <v>296</v>
      </c>
      <c r="I596" s="1451"/>
      <c r="J596" s="226">
        <f>'04-22-Master'!I482</f>
        <v>0</v>
      </c>
      <c r="K596" t="s">
        <v>297</v>
      </c>
      <c r="L596" s="16"/>
    </row>
    <row r="597" spans="1:12">
      <c r="A597" s="15"/>
      <c r="B597" s="1462">
        <f>'04-22-Master'!N482</f>
        <v>0</v>
      </c>
      <c r="C597" s="1463"/>
      <c r="D597" s="223"/>
      <c r="E597" s="223"/>
      <c r="F597" s="223"/>
      <c r="G597" s="223"/>
      <c r="H597" s="223"/>
      <c r="I597" s="223"/>
      <c r="J597" s="223"/>
      <c r="K597" s="223"/>
      <c r="L597" s="244"/>
    </row>
    <row r="598" spans="1:12">
      <c r="A598" s="15" t="s">
        <v>324</v>
      </c>
      <c r="B598" s="223" t="s">
        <v>298</v>
      </c>
      <c r="C598" s="223"/>
      <c r="D598" s="223"/>
      <c r="E598" s="223"/>
      <c r="F598" s="223"/>
      <c r="G598" s="223"/>
      <c r="H598" s="223"/>
      <c r="I598" s="223"/>
      <c r="J598" s="223"/>
      <c r="K598" s="223"/>
      <c r="L598" s="244"/>
    </row>
    <row r="599" spans="1:12">
      <c r="A599" s="15"/>
      <c r="B599" s="223" t="s">
        <v>323</v>
      </c>
      <c r="C599" s="223"/>
      <c r="D599" s="223"/>
      <c r="E599" s="223"/>
      <c r="F599" s="223"/>
      <c r="G599" s="223"/>
      <c r="H599" s="223"/>
      <c r="I599" s="223"/>
      <c r="J599" s="223"/>
      <c r="K599" s="223"/>
      <c r="L599" s="244"/>
    </row>
    <row r="600" spans="1:12">
      <c r="A600" s="15"/>
      <c r="B600" t="s">
        <v>299</v>
      </c>
      <c r="L600" s="16"/>
    </row>
    <row r="601" spans="1:12" ht="18.75">
      <c r="A601" s="15"/>
      <c r="B601" s="2" t="s">
        <v>300</v>
      </c>
      <c r="F601" s="175"/>
      <c r="L601" s="16"/>
    </row>
    <row r="602" spans="1:12">
      <c r="A602" s="15"/>
      <c r="B602" s="2" t="s">
        <v>301</v>
      </c>
      <c r="L602" s="16"/>
    </row>
    <row r="603" spans="1:12" ht="21.75" customHeight="1">
      <c r="A603" s="15"/>
      <c r="B603" t="s">
        <v>302</v>
      </c>
      <c r="L603" s="16"/>
    </row>
    <row r="604" spans="1:12" ht="18" customHeight="1">
      <c r="A604" s="15"/>
      <c r="B604" t="s">
        <v>303</v>
      </c>
      <c r="L604" s="16"/>
    </row>
    <row r="605" spans="1:12" ht="17.25" customHeight="1">
      <c r="A605" s="15" t="s">
        <v>313</v>
      </c>
      <c r="B605" t="s">
        <v>304</v>
      </c>
      <c r="L605" s="16"/>
    </row>
    <row r="606" spans="1:12" ht="19.5" customHeight="1">
      <c r="A606" s="15"/>
      <c r="B606" s="235" t="s">
        <v>325</v>
      </c>
      <c r="L606" s="16"/>
    </row>
    <row r="607" spans="1:12" ht="18.75" customHeight="1">
      <c r="A607" s="15"/>
      <c r="B607" t="s">
        <v>299</v>
      </c>
      <c r="L607" s="16"/>
    </row>
    <row r="608" spans="1:12" ht="15" customHeight="1">
      <c r="A608" s="15"/>
      <c r="B608" t="s">
        <v>305</v>
      </c>
      <c r="L608" s="16"/>
    </row>
    <row r="609" spans="1:12" ht="20.25" customHeight="1">
      <c r="A609" s="15"/>
      <c r="B609" t="s">
        <v>306</v>
      </c>
      <c r="L609" s="16"/>
    </row>
    <row r="610" spans="1:12" ht="21" customHeight="1">
      <c r="A610" s="15"/>
      <c r="B610" s="1464" t="s">
        <v>307</v>
      </c>
      <c r="C610" s="1464"/>
      <c r="D610" s="1464"/>
      <c r="E610" s="1464"/>
      <c r="F610" s="1464"/>
      <c r="G610" s="1464"/>
      <c r="H610" s="1464"/>
      <c r="I610" s="1464"/>
      <c r="J610" s="1464"/>
      <c r="K610" s="1464"/>
      <c r="L610" s="1465"/>
    </row>
    <row r="611" spans="1:12" ht="27.95" customHeight="1">
      <c r="A611" s="15"/>
      <c r="B611" t="s">
        <v>219</v>
      </c>
      <c r="C611" s="205"/>
      <c r="D611" s="205"/>
      <c r="E611" s="205"/>
      <c r="F611" s="205"/>
      <c r="G611" s="205"/>
      <c r="H611" s="205"/>
      <c r="I611" t="s">
        <v>326</v>
      </c>
      <c r="J611" s="205"/>
      <c r="K611" s="205"/>
      <c r="L611" s="236"/>
    </row>
    <row r="612" spans="1:12" ht="27.95" customHeight="1" thickBot="1">
      <c r="A612" s="27"/>
      <c r="B612" s="1241"/>
      <c r="C612" s="1241"/>
      <c r="D612" s="1241"/>
      <c r="E612" s="1241"/>
      <c r="F612" s="1241"/>
      <c r="G612" s="1241"/>
      <c r="H612" s="1241"/>
      <c r="I612" s="1241"/>
      <c r="J612" s="1241"/>
      <c r="K612" s="1241"/>
      <c r="L612" s="1242"/>
    </row>
    <row r="613" spans="1:12" ht="27.95" customHeight="1">
      <c r="B613" s="176"/>
      <c r="C613" s="172"/>
      <c r="D613" s="172"/>
      <c r="E613" s="172"/>
      <c r="F613" s="172"/>
      <c r="G613" s="172"/>
      <c r="H613" s="161"/>
      <c r="I613" s="161"/>
      <c r="J613" s="161"/>
      <c r="K613" s="161"/>
      <c r="L613" s="161"/>
    </row>
    <row r="614" spans="1:12" ht="27.95" customHeight="1">
      <c r="B614" s="176"/>
      <c r="C614" s="172"/>
      <c r="D614" s="172"/>
      <c r="E614" s="172"/>
      <c r="F614" s="172"/>
      <c r="G614" s="172"/>
      <c r="H614" s="161"/>
      <c r="I614" s="161"/>
      <c r="J614" s="162"/>
      <c r="K614" s="161"/>
      <c r="L614" s="161"/>
    </row>
    <row r="615" spans="1:12" ht="27.95" customHeight="1">
      <c r="B615" s="176"/>
      <c r="C615" s="172"/>
      <c r="D615" s="172"/>
      <c r="E615" s="172"/>
      <c r="F615" s="172"/>
      <c r="G615" s="172"/>
      <c r="H615" s="161"/>
      <c r="I615" s="161"/>
      <c r="J615" s="161"/>
      <c r="K615" s="161"/>
      <c r="L615" s="161"/>
    </row>
    <row r="616" spans="1:12" ht="27.95" customHeight="1">
      <c r="B616" s="176"/>
      <c r="C616" s="172"/>
      <c r="D616" s="172"/>
      <c r="E616" s="172"/>
      <c r="F616" s="172"/>
      <c r="G616" s="172"/>
      <c r="H616" s="161"/>
      <c r="I616" s="161"/>
      <c r="J616" s="162"/>
      <c r="K616" s="161"/>
      <c r="L616" s="161"/>
    </row>
    <row r="617" spans="1:12" ht="27.95" customHeight="1">
      <c r="B617" s="176"/>
      <c r="C617" s="172"/>
      <c r="D617" s="161"/>
      <c r="E617" s="162"/>
      <c r="F617" s="161"/>
      <c r="G617" s="162"/>
      <c r="H617" s="161"/>
      <c r="I617" s="162"/>
      <c r="J617" s="161"/>
      <c r="K617" s="162"/>
      <c r="L617" s="162"/>
    </row>
    <row r="618" spans="1:12" ht="27.95" customHeight="1">
      <c r="B618" s="176"/>
      <c r="C618" s="172"/>
      <c r="D618" s="172"/>
      <c r="E618" s="172"/>
      <c r="F618" s="172"/>
      <c r="G618" s="172"/>
      <c r="H618" s="161"/>
      <c r="I618" s="161"/>
      <c r="J618" s="245"/>
      <c r="K618" s="161"/>
      <c r="L618" s="161"/>
    </row>
    <row r="619" spans="1:12" ht="27.95" customHeight="1">
      <c r="B619" s="176"/>
      <c r="C619" s="2"/>
      <c r="D619" s="2"/>
      <c r="E619" s="2"/>
      <c r="F619" s="2"/>
      <c r="G619" s="2"/>
    </row>
    <row r="620" spans="1:12" ht="27.95" customHeight="1">
      <c r="B620" s="176"/>
      <c r="C620" s="2"/>
      <c r="D620" s="2"/>
      <c r="E620" s="2"/>
      <c r="F620" s="2"/>
      <c r="G620" s="2"/>
    </row>
    <row r="623" spans="1:12" ht="32.25">
      <c r="B623" s="1406"/>
      <c r="C623" s="1274"/>
      <c r="D623" s="1274"/>
      <c r="E623" s="1274"/>
      <c r="F623" s="1274"/>
      <c r="G623" s="1274"/>
      <c r="H623" s="1274"/>
      <c r="I623" s="1274"/>
      <c r="J623" s="1274"/>
      <c r="K623" s="1274"/>
      <c r="L623" s="1274"/>
    </row>
    <row r="624" spans="1:12" ht="23.25">
      <c r="B624" s="1407"/>
      <c r="C624" s="1407"/>
      <c r="D624" s="1407"/>
      <c r="E624" s="1407"/>
      <c r="F624" s="1407"/>
      <c r="G624" s="1407"/>
      <c r="H624" s="1407"/>
      <c r="I624" s="1407"/>
      <c r="J624" s="1407"/>
      <c r="K624" s="1407"/>
      <c r="L624" s="1407"/>
    </row>
    <row r="625" spans="2:12" ht="15.75">
      <c r="B625" s="1403"/>
      <c r="C625" s="1403"/>
      <c r="D625" s="1403"/>
      <c r="E625" s="1403"/>
      <c r="F625" s="1403"/>
      <c r="G625" s="1403"/>
      <c r="H625" s="1403"/>
      <c r="I625" s="1403"/>
      <c r="J625" s="1403"/>
      <c r="K625" s="1403"/>
      <c r="L625" s="1403"/>
    </row>
    <row r="626" spans="2:12" ht="15" customHeight="1">
      <c r="B626" s="1404"/>
      <c r="C626" s="1404"/>
      <c r="D626" s="1404"/>
      <c r="E626" s="1404"/>
      <c r="F626" s="1404"/>
      <c r="H626" s="1397"/>
      <c r="I626" s="1397"/>
      <c r="J626" s="1397"/>
      <c r="K626" s="1397"/>
      <c r="L626" s="1397"/>
    </row>
    <row r="627" spans="2:12">
      <c r="B627" s="1404"/>
      <c r="C627" s="1404"/>
      <c r="D627" s="1404"/>
      <c r="E627" s="1404"/>
      <c r="F627" s="1404"/>
      <c r="H627" s="1397"/>
      <c r="I627" s="1397"/>
      <c r="J627" s="1397"/>
      <c r="K627" s="1397"/>
      <c r="L627" s="1397"/>
    </row>
    <row r="629" spans="2:12">
      <c r="B629" s="2"/>
      <c r="H629" s="2"/>
    </row>
    <row r="631" spans="2:12">
      <c r="B631" s="2"/>
      <c r="H631" s="2"/>
    </row>
    <row r="634" spans="2:12">
      <c r="B634" s="1405"/>
      <c r="C634" s="1405"/>
      <c r="D634" s="1405"/>
      <c r="E634" s="1405"/>
      <c r="F634" s="1405"/>
      <c r="H634" s="1405"/>
      <c r="I634" s="1405"/>
      <c r="J634" s="1405"/>
      <c r="K634" s="1405"/>
      <c r="L634" s="1405"/>
    </row>
    <row r="636" spans="2:12">
      <c r="H636" s="2"/>
      <c r="I636" s="2"/>
      <c r="J636" s="2"/>
      <c r="K636" s="2"/>
      <c r="L636" s="2"/>
    </row>
    <row r="637" spans="2:12">
      <c r="H637" s="2"/>
      <c r="I637" s="2"/>
      <c r="J637" s="2"/>
      <c r="K637" s="2"/>
      <c r="L637" s="2"/>
    </row>
    <row r="638" spans="2:12">
      <c r="B638" s="2"/>
      <c r="H638" s="2"/>
      <c r="I638" s="2"/>
      <c r="J638" s="2"/>
      <c r="K638" s="2"/>
      <c r="L638" s="2"/>
    </row>
    <row r="639" spans="2:12">
      <c r="H639" s="2"/>
      <c r="I639" s="2"/>
      <c r="J639" s="2"/>
      <c r="K639" s="2"/>
      <c r="L639" s="2"/>
    </row>
    <row r="640" spans="2:12">
      <c r="H640" s="2"/>
      <c r="I640" s="2"/>
      <c r="J640" s="2"/>
      <c r="K640" s="2"/>
      <c r="L640" s="2"/>
    </row>
    <row r="641" spans="1:12" ht="27.95" customHeight="1">
      <c r="A641" s="12"/>
      <c r="B641" s="1400"/>
      <c r="C641" s="1400"/>
      <c r="D641" s="1400"/>
      <c r="E641" s="1400"/>
      <c r="F641" s="1400"/>
      <c r="G641" s="1400"/>
      <c r="H641" s="1398"/>
      <c r="I641" s="1399"/>
      <c r="J641" s="1399"/>
      <c r="K641" s="1399"/>
      <c r="L641" s="1399"/>
    </row>
    <row r="642" spans="1:12" ht="27.95" customHeight="1">
      <c r="A642" s="12"/>
      <c r="B642" s="1397"/>
      <c r="C642" s="1397"/>
      <c r="D642" s="1397"/>
      <c r="E642" s="1397"/>
      <c r="F642" s="1397"/>
      <c r="G642" s="1397"/>
      <c r="H642" s="1398"/>
      <c r="I642" s="1399"/>
      <c r="J642" s="1399"/>
      <c r="K642" s="1399"/>
      <c r="L642" s="1399"/>
    </row>
    <row r="643" spans="1:12" ht="27.95" customHeight="1">
      <c r="A643" s="12"/>
      <c r="B643" s="1400"/>
      <c r="C643" s="1400"/>
      <c r="D643" s="1400"/>
      <c r="E643" s="1400"/>
      <c r="F643" s="1400"/>
      <c r="G643" s="1400"/>
      <c r="H643" s="1398"/>
      <c r="I643" s="1399"/>
      <c r="J643" s="1399"/>
      <c r="K643" s="1399"/>
      <c r="L643" s="1399"/>
    </row>
    <row r="644" spans="1:12" ht="27.95" customHeight="1">
      <c r="A644" s="12"/>
      <c r="B644" s="1400"/>
      <c r="C644" s="1400"/>
      <c r="D644" s="1400"/>
      <c r="E644" s="1400"/>
      <c r="F644" s="1400"/>
      <c r="G644" s="1400"/>
      <c r="H644" s="1402"/>
      <c r="I644" s="1399"/>
      <c r="J644" s="1399"/>
      <c r="K644" s="1399"/>
      <c r="L644" s="1399"/>
    </row>
    <row r="645" spans="1:12" ht="27.95" customHeight="1">
      <c r="A645" s="12"/>
      <c r="B645" s="176"/>
      <c r="C645" s="172"/>
      <c r="D645" s="172"/>
      <c r="E645" s="172"/>
      <c r="F645" s="172"/>
      <c r="G645" s="172"/>
      <c r="H645" s="161"/>
      <c r="I645" s="12"/>
      <c r="J645" s="154"/>
      <c r="K645" s="161"/>
      <c r="L645" s="161"/>
    </row>
    <row r="646" spans="1:12" ht="27.95" customHeight="1">
      <c r="A646" s="12"/>
      <c r="B646" s="176"/>
      <c r="C646" s="172"/>
      <c r="D646" s="172"/>
      <c r="E646" s="172"/>
      <c r="F646" s="172"/>
      <c r="G646" s="172"/>
      <c r="H646" s="161"/>
      <c r="I646" s="161"/>
      <c r="J646" s="154"/>
      <c r="K646" s="161"/>
      <c r="L646" s="161"/>
    </row>
    <row r="647" spans="1:12" ht="27.95" customHeight="1">
      <c r="A647" s="12"/>
      <c r="B647" s="1397"/>
      <c r="C647" s="1397"/>
      <c r="D647" s="1397"/>
      <c r="E647" s="1397"/>
      <c r="F647" s="1397"/>
      <c r="G647" s="1397"/>
      <c r="H647" s="1398"/>
      <c r="I647" s="1399"/>
      <c r="J647" s="1399"/>
      <c r="K647" s="1399"/>
      <c r="L647" s="1399"/>
    </row>
    <row r="648" spans="1:12" ht="27.95" customHeight="1">
      <c r="A648" s="12"/>
      <c r="B648" s="1400"/>
      <c r="C648" s="1400"/>
      <c r="D648" s="1400"/>
      <c r="E648" s="1400"/>
      <c r="F648" s="1400"/>
      <c r="G648" s="1400"/>
      <c r="H648" s="1401"/>
      <c r="I648" s="1399"/>
      <c r="J648" s="1399"/>
      <c r="K648" s="1399"/>
      <c r="L648" s="1399"/>
    </row>
    <row r="649" spans="1:12" ht="27.95" customHeight="1">
      <c r="B649" s="1400"/>
      <c r="C649" s="1400"/>
      <c r="D649" s="1400"/>
      <c r="E649" s="1400"/>
      <c r="F649" s="1400"/>
      <c r="G649" s="1400"/>
      <c r="H649" s="1399"/>
      <c r="I649" s="1399"/>
      <c r="J649" s="1399"/>
      <c r="K649" s="1399"/>
      <c r="L649" s="1399"/>
    </row>
    <row r="650" spans="1:12" ht="27.95" customHeight="1">
      <c r="B650" s="176"/>
      <c r="C650" s="172"/>
      <c r="D650" s="172"/>
      <c r="E650" s="172"/>
      <c r="F650" s="172"/>
      <c r="G650" s="172"/>
      <c r="H650" s="161"/>
      <c r="I650" s="161"/>
      <c r="J650" s="161"/>
      <c r="K650" s="161"/>
      <c r="L650" s="161"/>
    </row>
    <row r="651" spans="1:12" ht="27.95" customHeight="1">
      <c r="B651" s="176"/>
      <c r="C651" s="172"/>
      <c r="D651" s="172"/>
      <c r="E651" s="172"/>
      <c r="F651" s="172"/>
      <c r="G651" s="172"/>
      <c r="H651" s="161"/>
      <c r="I651" s="161"/>
      <c r="J651" s="161"/>
      <c r="K651" s="161"/>
      <c r="L651" s="161"/>
    </row>
    <row r="652" spans="1:12" ht="27.95" customHeight="1">
      <c r="B652" s="176"/>
      <c r="C652" s="172"/>
      <c r="D652" s="172"/>
      <c r="E652" s="172"/>
      <c r="F652" s="172"/>
      <c r="G652" s="172"/>
      <c r="H652" s="161"/>
      <c r="I652" s="161"/>
      <c r="J652" s="162"/>
      <c r="K652" s="161"/>
      <c r="L652" s="161"/>
    </row>
    <row r="653" spans="1:12" ht="27.95" customHeight="1">
      <c r="B653" s="176"/>
      <c r="C653" s="172"/>
      <c r="D653" s="172"/>
      <c r="E653" s="172"/>
      <c r="F653" s="172"/>
      <c r="G653" s="172"/>
      <c r="H653" s="161"/>
      <c r="I653" s="161"/>
      <c r="J653" s="161"/>
      <c r="K653" s="161"/>
      <c r="L653" s="161"/>
    </row>
    <row r="654" spans="1:12" ht="27.95" customHeight="1">
      <c r="B654" s="176"/>
      <c r="C654" s="172"/>
      <c r="D654" s="172"/>
      <c r="E654" s="172"/>
      <c r="F654" s="172"/>
      <c r="G654" s="172"/>
      <c r="H654" s="161"/>
      <c r="I654" s="161"/>
      <c r="J654" s="162"/>
      <c r="K654" s="161"/>
      <c r="L654" s="161"/>
    </row>
    <row r="655" spans="1:12" ht="27.95" customHeight="1">
      <c r="B655" s="176"/>
      <c r="C655" s="172"/>
      <c r="D655" s="161"/>
      <c r="E655" s="162"/>
      <c r="F655" s="161"/>
      <c r="G655" s="162"/>
      <c r="H655" s="161"/>
      <c r="I655" s="162"/>
      <c r="J655" s="161"/>
      <c r="K655" s="162"/>
      <c r="L655" s="162"/>
    </row>
    <row r="656" spans="1:12" ht="27.95" customHeight="1">
      <c r="B656" s="176"/>
      <c r="C656" s="172"/>
      <c r="D656" s="172"/>
      <c r="E656" s="172"/>
      <c r="F656" s="172"/>
      <c r="G656" s="172"/>
      <c r="H656" s="161"/>
      <c r="I656" s="161"/>
      <c r="J656" s="245"/>
      <c r="K656" s="161"/>
      <c r="L656" s="161"/>
    </row>
    <row r="657" spans="2:12" ht="27.95" customHeight="1">
      <c r="B657" s="176"/>
      <c r="C657" s="2"/>
      <c r="D657" s="2"/>
      <c r="E657" s="2"/>
      <c r="F657" s="2"/>
      <c r="G657" s="2"/>
    </row>
    <row r="658" spans="2:12" ht="27.95" customHeight="1">
      <c r="B658" s="176"/>
      <c r="C658" s="2"/>
      <c r="D658" s="2"/>
      <c r="E658" s="2"/>
      <c r="F658" s="2"/>
      <c r="G658" s="2"/>
    </row>
    <row r="662" spans="2:12" ht="32.25">
      <c r="B662" s="1406"/>
      <c r="C662" s="1274"/>
      <c r="D662" s="1274"/>
      <c r="E662" s="1274"/>
      <c r="F662" s="1274"/>
      <c r="G662" s="1274"/>
      <c r="H662" s="1274"/>
      <c r="I662" s="1274"/>
      <c r="J662" s="1274"/>
      <c r="K662" s="1274"/>
      <c r="L662" s="1274"/>
    </row>
    <row r="663" spans="2:12" ht="23.25">
      <c r="B663" s="1407"/>
      <c r="C663" s="1407"/>
      <c r="D663" s="1407"/>
      <c r="E663" s="1407"/>
      <c r="F663" s="1407"/>
      <c r="G663" s="1407"/>
      <c r="H663" s="1407"/>
      <c r="I663" s="1407"/>
      <c r="J663" s="1407"/>
      <c r="K663" s="1407"/>
      <c r="L663" s="1407"/>
    </row>
    <row r="664" spans="2:12" ht="15.75">
      <c r="B664" s="1403"/>
      <c r="C664" s="1403"/>
      <c r="D664" s="1403"/>
      <c r="E664" s="1403"/>
      <c r="F664" s="1403"/>
      <c r="G664" s="1403"/>
      <c r="H664" s="1403"/>
      <c r="I664" s="1403"/>
      <c r="J664" s="1403"/>
      <c r="K664" s="1403"/>
      <c r="L664" s="1403"/>
    </row>
    <row r="665" spans="2:12" ht="15" customHeight="1">
      <c r="B665" s="1404"/>
      <c r="C665" s="1404"/>
      <c r="D665" s="1404"/>
      <c r="E665" s="1404"/>
      <c r="F665" s="1404"/>
      <c r="H665" s="1397"/>
      <c r="I665" s="1397"/>
      <c r="J665" s="1397"/>
      <c r="K665" s="1397"/>
      <c r="L665" s="1397"/>
    </row>
    <row r="666" spans="2:12">
      <c r="B666" s="1404"/>
      <c r="C666" s="1404"/>
      <c r="D666" s="1404"/>
      <c r="E666" s="1404"/>
      <c r="F666" s="1404"/>
      <c r="H666" s="1397"/>
      <c r="I666" s="1397"/>
      <c r="J666" s="1397"/>
      <c r="K666" s="1397"/>
      <c r="L666" s="1397"/>
    </row>
    <row r="668" spans="2:12">
      <c r="B668" s="2"/>
      <c r="H668" s="2"/>
    </row>
    <row r="670" spans="2:12">
      <c r="B670" s="2"/>
      <c r="H670" s="2"/>
    </row>
    <row r="673" spans="1:12">
      <c r="B673" s="1405"/>
      <c r="C673" s="1405"/>
      <c r="D673" s="1405"/>
      <c r="E673" s="1405"/>
      <c r="F673" s="1405"/>
      <c r="H673" s="1405"/>
      <c r="I673" s="1405"/>
      <c r="J673" s="1405"/>
      <c r="K673" s="1405"/>
      <c r="L673" s="1405"/>
    </row>
    <row r="675" spans="1:12">
      <c r="H675" s="2"/>
      <c r="I675" s="2"/>
      <c r="J675" s="2"/>
      <c r="K675" s="2"/>
      <c r="L675" s="2"/>
    </row>
    <row r="676" spans="1:12">
      <c r="H676" s="2"/>
      <c r="I676" s="2"/>
      <c r="J676" s="2"/>
      <c r="K676" s="2"/>
      <c r="L676" s="2"/>
    </row>
    <row r="677" spans="1:12">
      <c r="B677" s="2"/>
      <c r="H677" s="2"/>
      <c r="I677" s="2"/>
      <c r="J677" s="2"/>
      <c r="K677" s="2"/>
      <c r="L677" s="2"/>
    </row>
    <row r="678" spans="1:12">
      <c r="H678" s="2"/>
      <c r="I678" s="2"/>
      <c r="J678" s="2"/>
      <c r="K678" s="2"/>
      <c r="L678" s="2"/>
    </row>
    <row r="679" spans="1:12">
      <c r="H679" s="2"/>
      <c r="I679" s="2"/>
      <c r="J679" s="2"/>
      <c r="K679" s="2"/>
      <c r="L679" s="2"/>
    </row>
    <row r="680" spans="1:12" ht="27.95" customHeight="1">
      <c r="A680" s="12"/>
      <c r="B680" s="1400"/>
      <c r="C680" s="1400"/>
      <c r="D680" s="1400"/>
      <c r="E680" s="1400"/>
      <c r="F680" s="1400"/>
      <c r="G680" s="1400"/>
      <c r="H680" s="1398"/>
      <c r="I680" s="1399"/>
      <c r="J680" s="1399"/>
      <c r="K680" s="1399"/>
      <c r="L680" s="1399"/>
    </row>
    <row r="681" spans="1:12" ht="27.95" customHeight="1">
      <c r="A681" s="12"/>
      <c r="B681" s="1397"/>
      <c r="C681" s="1397"/>
      <c r="D681" s="1397"/>
      <c r="E681" s="1397"/>
      <c r="F681" s="1397"/>
      <c r="G681" s="1397"/>
      <c r="H681" s="1398"/>
      <c r="I681" s="1399"/>
      <c r="J681" s="1399"/>
      <c r="K681" s="1399"/>
      <c r="L681" s="1399"/>
    </row>
    <row r="682" spans="1:12" ht="27.95" customHeight="1">
      <c r="A682" s="12"/>
      <c r="B682" s="1400"/>
      <c r="C682" s="1400"/>
      <c r="D682" s="1400"/>
      <c r="E682" s="1400"/>
      <c r="F682" s="1400"/>
      <c r="G682" s="1400"/>
      <c r="H682" s="1398"/>
      <c r="I682" s="1399"/>
      <c r="J682" s="1399"/>
      <c r="K682" s="1399"/>
      <c r="L682" s="1399"/>
    </row>
    <row r="683" spans="1:12" ht="27.95" customHeight="1">
      <c r="A683" s="12"/>
      <c r="B683" s="1400"/>
      <c r="C683" s="1400"/>
      <c r="D683" s="1400"/>
      <c r="E683" s="1400"/>
      <c r="F683" s="1400"/>
      <c r="G683" s="1400"/>
      <c r="H683" s="1402"/>
      <c r="I683" s="1399"/>
      <c r="J683" s="1399"/>
      <c r="K683" s="1399"/>
      <c r="L683" s="1399"/>
    </row>
    <row r="684" spans="1:12" ht="27.95" customHeight="1">
      <c r="A684" s="12"/>
      <c r="B684" s="176"/>
      <c r="C684" s="172"/>
      <c r="D684" s="172"/>
      <c r="E684" s="172"/>
      <c r="F684" s="172"/>
      <c r="G684" s="172"/>
      <c r="H684" s="161"/>
      <c r="I684" s="12"/>
      <c r="J684" s="154"/>
      <c r="K684" s="161"/>
      <c r="L684" s="161"/>
    </row>
    <row r="685" spans="1:12" ht="27.95" customHeight="1">
      <c r="A685" s="12"/>
      <c r="B685" s="176"/>
      <c r="C685" s="172"/>
      <c r="D685" s="172"/>
      <c r="E685" s="172"/>
      <c r="F685" s="172"/>
      <c r="G685" s="172"/>
      <c r="H685" s="161"/>
      <c r="I685" s="161"/>
      <c r="J685" s="154"/>
      <c r="K685" s="161"/>
      <c r="L685" s="161"/>
    </row>
    <row r="686" spans="1:12" ht="27.95" customHeight="1">
      <c r="A686" s="12"/>
      <c r="B686" s="1397"/>
      <c r="C686" s="1397"/>
      <c r="D686" s="1397"/>
      <c r="E686" s="1397"/>
      <c r="F686" s="1397"/>
      <c r="G686" s="1397"/>
      <c r="H686" s="1398"/>
      <c r="I686" s="1399"/>
      <c r="J686" s="1399"/>
      <c r="K686" s="1399"/>
      <c r="L686" s="1399"/>
    </row>
    <row r="687" spans="1:12" ht="27.95" customHeight="1">
      <c r="A687" s="12"/>
      <c r="B687" s="1400"/>
      <c r="C687" s="1400"/>
      <c r="D687" s="1400"/>
      <c r="E687" s="1400"/>
      <c r="F687" s="1400"/>
      <c r="G687" s="1400"/>
      <c r="H687" s="1401"/>
      <c r="I687" s="1399"/>
      <c r="J687" s="1399"/>
      <c r="K687" s="1399"/>
      <c r="L687" s="1399"/>
    </row>
    <row r="688" spans="1:12" ht="27.95" customHeight="1">
      <c r="B688" s="1400"/>
      <c r="C688" s="1400"/>
      <c r="D688" s="1400"/>
      <c r="E688" s="1400"/>
      <c r="F688" s="1400"/>
      <c r="G688" s="1400"/>
      <c r="H688" s="1399"/>
      <c r="I688" s="1399"/>
      <c r="J688" s="1399"/>
      <c r="K688" s="1399"/>
      <c r="L688" s="1399"/>
    </row>
    <row r="689" spans="2:12" ht="27.95" customHeight="1">
      <c r="B689" s="176"/>
      <c r="C689" s="172"/>
      <c r="D689" s="172"/>
      <c r="E689" s="172"/>
      <c r="F689" s="172"/>
      <c r="G689" s="172"/>
      <c r="H689" s="161"/>
      <c r="I689" s="161"/>
      <c r="J689" s="161"/>
      <c r="K689" s="161"/>
      <c r="L689" s="161"/>
    </row>
    <row r="690" spans="2:12" ht="27.95" customHeight="1">
      <c r="B690" s="176"/>
      <c r="C690" s="172"/>
      <c r="D690" s="172"/>
      <c r="E690" s="172"/>
      <c r="F690" s="172"/>
      <c r="G690" s="172"/>
      <c r="H690" s="161"/>
      <c r="I690" s="161"/>
      <c r="J690" s="161"/>
      <c r="K690" s="161"/>
      <c r="L690" s="161"/>
    </row>
    <row r="691" spans="2:12" ht="27.95" customHeight="1">
      <c r="B691" s="176"/>
      <c r="C691" s="172"/>
      <c r="D691" s="172"/>
      <c r="E691" s="172"/>
      <c r="F691" s="172"/>
      <c r="G691" s="172"/>
      <c r="H691" s="161"/>
      <c r="I691" s="161"/>
      <c r="J691" s="162"/>
      <c r="K691" s="161"/>
      <c r="L691" s="161"/>
    </row>
    <row r="692" spans="2:12" ht="27.95" customHeight="1">
      <c r="B692" s="176"/>
      <c r="C692" s="172"/>
      <c r="D692" s="172"/>
      <c r="E692" s="172"/>
      <c r="F692" s="172"/>
      <c r="G692" s="172"/>
      <c r="H692" s="161"/>
      <c r="I692" s="161"/>
      <c r="J692" s="161"/>
      <c r="K692" s="161"/>
      <c r="L692" s="161"/>
    </row>
    <row r="693" spans="2:12" ht="27.95" customHeight="1">
      <c r="B693" s="176"/>
      <c r="C693" s="172"/>
      <c r="D693" s="172"/>
      <c r="E693" s="172"/>
      <c r="F693" s="172"/>
      <c r="G693" s="172"/>
      <c r="H693" s="161"/>
      <c r="I693" s="161"/>
      <c r="J693" s="162"/>
      <c r="K693" s="161"/>
      <c r="L693" s="161"/>
    </row>
    <row r="694" spans="2:12" ht="27.95" customHeight="1">
      <c r="B694" s="176"/>
      <c r="C694" s="172"/>
      <c r="D694" s="161"/>
      <c r="E694" s="162"/>
      <c r="F694" s="161"/>
      <c r="G694" s="162"/>
      <c r="H694" s="161"/>
      <c r="I694" s="162"/>
      <c r="J694" s="161"/>
      <c r="K694" s="162"/>
      <c r="L694" s="162"/>
    </row>
    <row r="695" spans="2:12" ht="27.95" customHeight="1">
      <c r="B695" s="176"/>
      <c r="C695" s="172"/>
      <c r="D695" s="172"/>
      <c r="E695" s="172"/>
      <c r="F695" s="172"/>
      <c r="G695" s="172"/>
      <c r="H695" s="161"/>
      <c r="I695" s="161"/>
      <c r="J695" s="245"/>
      <c r="K695" s="161"/>
      <c r="L695" s="161"/>
    </row>
    <row r="696" spans="2:12" ht="27.95" customHeight="1">
      <c r="B696" s="176"/>
      <c r="C696" s="2"/>
      <c r="D696" s="2"/>
      <c r="E696" s="2"/>
      <c r="F696" s="2"/>
      <c r="G696" s="2"/>
    </row>
    <row r="697" spans="2:12" ht="27.95" customHeight="1">
      <c r="B697" s="176"/>
      <c r="C697" s="2"/>
      <c r="D697" s="2"/>
      <c r="E697" s="2"/>
      <c r="F697" s="2"/>
      <c r="G697" s="2"/>
    </row>
    <row r="701" spans="2:12" ht="32.25">
      <c r="B701" s="1406"/>
      <c r="C701" s="1274"/>
      <c r="D701" s="1274"/>
      <c r="E701" s="1274"/>
      <c r="F701" s="1274"/>
      <c r="G701" s="1274"/>
      <c r="H701" s="1274"/>
      <c r="I701" s="1274"/>
      <c r="J701" s="1274"/>
      <c r="K701" s="1274"/>
      <c r="L701" s="1274"/>
    </row>
    <row r="702" spans="2:12" ht="23.25">
      <c r="B702" s="1407"/>
      <c r="C702" s="1407"/>
      <c r="D702" s="1407"/>
      <c r="E702" s="1407"/>
      <c r="F702" s="1407"/>
      <c r="G702" s="1407"/>
      <c r="H702" s="1407"/>
      <c r="I702" s="1407"/>
      <c r="J702" s="1407"/>
      <c r="K702" s="1407"/>
      <c r="L702" s="1407"/>
    </row>
    <row r="703" spans="2:12" ht="15.75">
      <c r="B703" s="1403"/>
      <c r="C703" s="1403"/>
      <c r="D703" s="1403"/>
      <c r="E703" s="1403"/>
      <c r="F703" s="1403"/>
      <c r="G703" s="1403"/>
      <c r="H703" s="1403"/>
      <c r="I703" s="1403"/>
      <c r="J703" s="1403"/>
      <c r="K703" s="1403"/>
      <c r="L703" s="1403"/>
    </row>
    <row r="704" spans="2:12" ht="15" customHeight="1">
      <c r="B704" s="1404"/>
      <c r="C704" s="1404"/>
      <c r="D704" s="1404"/>
      <c r="E704" s="1404"/>
      <c r="F704" s="1404"/>
      <c r="H704" s="1397"/>
      <c r="I704" s="1397"/>
      <c r="J704" s="1397"/>
      <c r="K704" s="1397"/>
      <c r="L704" s="1397"/>
    </row>
    <row r="705" spans="1:12">
      <c r="B705" s="1404"/>
      <c r="C705" s="1404"/>
      <c r="D705" s="1404"/>
      <c r="E705" s="1404"/>
      <c r="F705" s="1404"/>
      <c r="H705" s="1397"/>
      <c r="I705" s="1397"/>
      <c r="J705" s="1397"/>
      <c r="K705" s="1397"/>
      <c r="L705" s="1397"/>
    </row>
    <row r="707" spans="1:12">
      <c r="B707" s="2"/>
      <c r="H707" s="2"/>
    </row>
    <row r="709" spans="1:12">
      <c r="B709" s="2"/>
      <c r="H709" s="2"/>
    </row>
    <row r="712" spans="1:12">
      <c r="B712" s="1405"/>
      <c r="C712" s="1405"/>
      <c r="D712" s="1405"/>
      <c r="E712" s="1405"/>
      <c r="F712" s="1405"/>
      <c r="H712" s="1405"/>
      <c r="I712" s="1405"/>
      <c r="J712" s="1405"/>
      <c r="K712" s="1405"/>
      <c r="L712" s="1405"/>
    </row>
    <row r="714" spans="1:12">
      <c r="H714" s="2"/>
      <c r="I714" s="2"/>
      <c r="J714" s="2"/>
      <c r="K714" s="2"/>
      <c r="L714" s="2"/>
    </row>
    <row r="715" spans="1:12">
      <c r="H715" s="2"/>
      <c r="I715" s="2"/>
      <c r="J715" s="2"/>
      <c r="K715" s="2"/>
      <c r="L715" s="2"/>
    </row>
    <row r="716" spans="1:12">
      <c r="B716" s="2"/>
      <c r="H716" s="2"/>
      <c r="I716" s="2"/>
      <c r="J716" s="2"/>
      <c r="K716" s="2"/>
      <c r="L716" s="2"/>
    </row>
    <row r="717" spans="1:12">
      <c r="H717" s="2"/>
      <c r="I717" s="2"/>
      <c r="J717" s="2"/>
      <c r="K717" s="2"/>
      <c r="L717" s="2"/>
    </row>
    <row r="718" spans="1:12">
      <c r="H718" s="2"/>
      <c r="I718" s="2"/>
      <c r="J718" s="2"/>
      <c r="K718" s="2"/>
      <c r="L718" s="2"/>
    </row>
    <row r="719" spans="1:12" ht="27.95" customHeight="1">
      <c r="A719" s="12"/>
      <c r="B719" s="1400"/>
      <c r="C719" s="1400"/>
      <c r="D719" s="1400"/>
      <c r="E719" s="1400"/>
      <c r="F719" s="1400"/>
      <c r="G719" s="1400"/>
      <c r="H719" s="1398"/>
      <c r="I719" s="1399"/>
      <c r="J719" s="1399"/>
      <c r="K719" s="1399"/>
      <c r="L719" s="1399"/>
    </row>
    <row r="720" spans="1:12" ht="27.95" customHeight="1">
      <c r="A720" s="12"/>
      <c r="B720" s="1397"/>
      <c r="C720" s="1397"/>
      <c r="D720" s="1397"/>
      <c r="E720" s="1397"/>
      <c r="F720" s="1397"/>
      <c r="G720" s="1397"/>
      <c r="H720" s="1398"/>
      <c r="I720" s="1399"/>
      <c r="J720" s="1399"/>
      <c r="K720" s="1399"/>
      <c r="L720" s="1399"/>
    </row>
    <row r="721" spans="1:12" ht="27.95" customHeight="1">
      <c r="A721" s="12"/>
      <c r="B721" s="1400"/>
      <c r="C721" s="1400"/>
      <c r="D721" s="1400"/>
      <c r="E721" s="1400"/>
      <c r="F721" s="1400"/>
      <c r="G721" s="1400"/>
      <c r="H721" s="1398"/>
      <c r="I721" s="1399"/>
      <c r="J721" s="1399"/>
      <c r="K721" s="1399"/>
      <c r="L721" s="1399"/>
    </row>
    <row r="722" spans="1:12" ht="27.95" customHeight="1">
      <c r="A722" s="12"/>
      <c r="B722" s="1400"/>
      <c r="C722" s="1400"/>
      <c r="D722" s="1400"/>
      <c r="E722" s="1400"/>
      <c r="F722" s="1400"/>
      <c r="G722" s="1400"/>
      <c r="H722" s="1402"/>
      <c r="I722" s="1399"/>
      <c r="J722" s="1399"/>
      <c r="K722" s="1399"/>
      <c r="L722" s="1399"/>
    </row>
    <row r="723" spans="1:12" ht="27.95" customHeight="1">
      <c r="A723" s="12"/>
      <c r="B723" s="176"/>
      <c r="C723" s="172"/>
      <c r="D723" s="172"/>
      <c r="E723" s="172"/>
      <c r="F723" s="172"/>
      <c r="G723" s="172"/>
      <c r="H723" s="161"/>
      <c r="I723" s="12"/>
      <c r="J723" s="154"/>
      <c r="K723" s="161"/>
      <c r="L723" s="161"/>
    </row>
    <row r="724" spans="1:12" ht="27.95" customHeight="1">
      <c r="A724" s="12"/>
      <c r="B724" s="176"/>
      <c r="C724" s="172"/>
      <c r="D724" s="172"/>
      <c r="E724" s="172"/>
      <c r="F724" s="172"/>
      <c r="G724" s="172"/>
      <c r="H724" s="161"/>
      <c r="I724" s="161"/>
      <c r="J724" s="154"/>
      <c r="K724" s="161"/>
      <c r="L724" s="161"/>
    </row>
    <row r="725" spans="1:12" ht="27.95" customHeight="1">
      <c r="A725" s="12"/>
      <c r="B725" s="1397"/>
      <c r="C725" s="1397"/>
      <c r="D725" s="1397"/>
      <c r="E725" s="1397"/>
      <c r="F725" s="1397"/>
      <c r="G725" s="1397"/>
      <c r="H725" s="1398"/>
      <c r="I725" s="1399"/>
      <c r="J725" s="1399"/>
      <c r="K725" s="1399"/>
      <c r="L725" s="1399"/>
    </row>
    <row r="726" spans="1:12" ht="27.95" customHeight="1">
      <c r="A726" s="12"/>
      <c r="B726" s="1400"/>
      <c r="C726" s="1400"/>
      <c r="D726" s="1400"/>
      <c r="E726" s="1400"/>
      <c r="F726" s="1400"/>
      <c r="G726" s="1400"/>
      <c r="H726" s="1401"/>
      <c r="I726" s="1399"/>
      <c r="J726" s="1399"/>
      <c r="K726" s="1399"/>
      <c r="L726" s="1399"/>
    </row>
    <row r="727" spans="1:12" ht="27.95" customHeight="1">
      <c r="B727" s="1400"/>
      <c r="C727" s="1400"/>
      <c r="D727" s="1400"/>
      <c r="E727" s="1400"/>
      <c r="F727" s="1400"/>
      <c r="G727" s="1400"/>
      <c r="H727" s="1399"/>
      <c r="I727" s="1399"/>
      <c r="J727" s="1399"/>
      <c r="K727" s="1399"/>
      <c r="L727" s="1399"/>
    </row>
    <row r="728" spans="1:12" ht="27.95" customHeight="1">
      <c r="B728" s="176"/>
      <c r="C728" s="172"/>
      <c r="D728" s="172"/>
      <c r="E728" s="172"/>
      <c r="F728" s="172"/>
      <c r="G728" s="172"/>
      <c r="H728" s="161"/>
      <c r="I728" s="161"/>
      <c r="J728" s="161"/>
      <c r="K728" s="161"/>
      <c r="L728" s="161"/>
    </row>
    <row r="729" spans="1:12" ht="27.95" customHeight="1">
      <c r="B729" s="176"/>
      <c r="C729" s="172"/>
      <c r="D729" s="172"/>
      <c r="E729" s="172"/>
      <c r="F729" s="172"/>
      <c r="G729" s="172"/>
      <c r="H729" s="161"/>
      <c r="I729" s="161"/>
      <c r="J729" s="161"/>
      <c r="K729" s="161"/>
      <c r="L729" s="161"/>
    </row>
    <row r="730" spans="1:12" ht="27.95" customHeight="1">
      <c r="B730" s="176"/>
      <c r="C730" s="172"/>
      <c r="D730" s="172"/>
      <c r="E730" s="172"/>
      <c r="F730" s="172"/>
      <c r="G730" s="172"/>
      <c r="H730" s="161"/>
      <c r="I730" s="161"/>
      <c r="J730" s="162"/>
      <c r="K730" s="161"/>
      <c r="L730" s="161"/>
    </row>
    <row r="731" spans="1:12" ht="27.95" customHeight="1">
      <c r="B731" s="176"/>
      <c r="C731" s="172"/>
      <c r="D731" s="172"/>
      <c r="E731" s="172"/>
      <c r="F731" s="172"/>
      <c r="G731" s="172"/>
      <c r="H731" s="161"/>
      <c r="I731" s="161"/>
      <c r="J731" s="161"/>
      <c r="K731" s="161"/>
      <c r="L731" s="161"/>
    </row>
    <row r="732" spans="1:12" ht="27.95" customHeight="1">
      <c r="B732" s="176"/>
      <c r="C732" s="172"/>
      <c r="D732" s="172"/>
      <c r="E732" s="172"/>
      <c r="F732" s="172"/>
      <c r="G732" s="172"/>
      <c r="H732" s="161"/>
      <c r="I732" s="161"/>
      <c r="J732" s="162"/>
      <c r="K732" s="161"/>
      <c r="L732" s="161"/>
    </row>
    <row r="733" spans="1:12" ht="27.95" customHeight="1">
      <c r="B733" s="176"/>
      <c r="C733" s="172"/>
      <c r="D733" s="161"/>
      <c r="E733" s="162"/>
      <c r="F733" s="161"/>
      <c r="G733" s="162"/>
      <c r="H733" s="161"/>
      <c r="I733" s="162"/>
      <c r="J733" s="161"/>
      <c r="K733" s="162"/>
      <c r="L733" s="162"/>
    </row>
    <row r="734" spans="1:12" ht="27.95" customHeight="1">
      <c r="B734" s="176"/>
      <c r="C734" s="172"/>
      <c r="D734" s="172"/>
      <c r="E734" s="172"/>
      <c r="F734" s="172"/>
      <c r="G734" s="172"/>
      <c r="H734" s="161"/>
      <c r="I734" s="161"/>
      <c r="J734" s="245"/>
      <c r="K734" s="161"/>
      <c r="L734" s="161"/>
    </row>
    <row r="735" spans="1:12" ht="27.95" customHeight="1">
      <c r="B735" s="176"/>
      <c r="C735" s="2"/>
      <c r="D735" s="2"/>
      <c r="E735" s="2"/>
      <c r="F735" s="2"/>
      <c r="G735" s="2"/>
    </row>
    <row r="736" spans="1:12" ht="27.95" customHeight="1">
      <c r="B736" s="176"/>
      <c r="C736" s="2"/>
      <c r="D736" s="2"/>
      <c r="E736" s="2"/>
      <c r="F736" s="2"/>
      <c r="G736" s="2"/>
    </row>
    <row r="740" spans="2:12" ht="32.25">
      <c r="B740" s="1406"/>
      <c r="C740" s="1274"/>
      <c r="D740" s="1274"/>
      <c r="E740" s="1274"/>
      <c r="F740" s="1274"/>
      <c r="G740" s="1274"/>
      <c r="H740" s="1274"/>
      <c r="I740" s="1274"/>
      <c r="J740" s="1274"/>
      <c r="K740" s="1274"/>
      <c r="L740" s="1274"/>
    </row>
    <row r="741" spans="2:12" ht="23.25">
      <c r="B741" s="1407"/>
      <c r="C741" s="1407"/>
      <c r="D741" s="1407"/>
      <c r="E741" s="1407"/>
      <c r="F741" s="1407"/>
      <c r="G741" s="1407"/>
      <c r="H741" s="1407"/>
      <c r="I741" s="1407"/>
      <c r="J741" s="1407"/>
      <c r="K741" s="1407"/>
      <c r="L741" s="1407"/>
    </row>
    <row r="742" spans="2:12" ht="15.75">
      <c r="B742" s="1403"/>
      <c r="C742" s="1403"/>
      <c r="D742" s="1403"/>
      <c r="E742" s="1403"/>
      <c r="F742" s="1403"/>
      <c r="G742" s="1403"/>
      <c r="H742" s="1403"/>
      <c r="I742" s="1403"/>
      <c r="J742" s="1403"/>
      <c r="K742" s="1403"/>
      <c r="L742" s="1403"/>
    </row>
    <row r="743" spans="2:12" ht="15" customHeight="1">
      <c r="B743" s="1404"/>
      <c r="C743" s="1404"/>
      <c r="D743" s="1404"/>
      <c r="E743" s="1404"/>
      <c r="F743" s="1404"/>
      <c r="H743" s="1397"/>
      <c r="I743" s="1397"/>
      <c r="J743" s="1397"/>
      <c r="K743" s="1397"/>
      <c r="L743" s="1397"/>
    </row>
    <row r="744" spans="2:12">
      <c r="B744" s="1404"/>
      <c r="C744" s="1404"/>
      <c r="D744" s="1404"/>
      <c r="E744" s="1404"/>
      <c r="F744" s="1404"/>
      <c r="H744" s="1397"/>
      <c r="I744" s="1397"/>
      <c r="J744" s="1397"/>
      <c r="K744" s="1397"/>
      <c r="L744" s="1397"/>
    </row>
    <row r="746" spans="2:12">
      <c r="B746" s="2"/>
      <c r="H746" s="2"/>
    </row>
    <row r="748" spans="2:12">
      <c r="B748" s="2"/>
      <c r="H748" s="2"/>
    </row>
    <row r="749" spans="2:12" ht="15" customHeight="1"/>
    <row r="751" spans="2:12">
      <c r="B751" s="1405"/>
      <c r="C751" s="1405"/>
      <c r="D751" s="1405"/>
      <c r="E751" s="1405"/>
      <c r="F751" s="1405"/>
      <c r="H751" s="1405"/>
      <c r="I751" s="1405"/>
      <c r="J751" s="1405"/>
      <c r="K751" s="1405"/>
      <c r="L751" s="1405"/>
    </row>
    <row r="753" spans="1:12">
      <c r="H753" s="2"/>
      <c r="I753" s="2"/>
      <c r="J753" s="2"/>
      <c r="K753" s="2"/>
      <c r="L753" s="2"/>
    </row>
    <row r="754" spans="1:12">
      <c r="H754" s="2"/>
      <c r="I754" s="2"/>
      <c r="J754" s="2"/>
      <c r="K754" s="2"/>
      <c r="L754" s="2"/>
    </row>
    <row r="755" spans="1:12">
      <c r="B755" s="2"/>
      <c r="H755" s="2"/>
      <c r="I755" s="2"/>
      <c r="J755" s="2"/>
      <c r="K755" s="2"/>
      <c r="L755" s="2"/>
    </row>
    <row r="756" spans="1:12">
      <c r="H756" s="2"/>
      <c r="I756" s="2"/>
      <c r="J756" s="2"/>
      <c r="K756" s="2"/>
      <c r="L756" s="2"/>
    </row>
    <row r="757" spans="1:12">
      <c r="H757" s="2"/>
      <c r="I757" s="2"/>
      <c r="J757" s="2"/>
      <c r="K757" s="2"/>
      <c r="L757" s="2"/>
    </row>
    <row r="758" spans="1:12" ht="27.95" customHeight="1">
      <c r="A758" s="12"/>
      <c r="B758" s="1400"/>
      <c r="C758" s="1400"/>
      <c r="D758" s="1400"/>
      <c r="E758" s="1400"/>
      <c r="F758" s="1400"/>
      <c r="G758" s="1400"/>
      <c r="H758" s="1398"/>
      <c r="I758" s="1399"/>
      <c r="J758" s="1399"/>
      <c r="K758" s="1399"/>
      <c r="L758" s="1399"/>
    </row>
    <row r="759" spans="1:12" ht="27.95" customHeight="1">
      <c r="A759" s="12"/>
      <c r="B759" s="1397"/>
      <c r="C759" s="1397"/>
      <c r="D759" s="1397"/>
      <c r="E759" s="1397"/>
      <c r="F759" s="1397"/>
      <c r="G759" s="1397"/>
      <c r="H759" s="1398"/>
      <c r="I759" s="1399"/>
      <c r="J759" s="1399"/>
      <c r="K759" s="1399"/>
      <c r="L759" s="1399"/>
    </row>
    <row r="760" spans="1:12" ht="27.95" customHeight="1">
      <c r="A760" s="12"/>
      <c r="B760" s="1400"/>
      <c r="C760" s="1400"/>
      <c r="D760" s="1400"/>
      <c r="E760" s="1400"/>
      <c r="F760" s="1400"/>
      <c r="G760" s="1400"/>
      <c r="H760" s="1398"/>
      <c r="I760" s="1399"/>
      <c r="J760" s="1399"/>
      <c r="K760" s="1399"/>
      <c r="L760" s="1399"/>
    </row>
    <row r="761" spans="1:12" ht="27.95" customHeight="1">
      <c r="A761" s="12"/>
      <c r="B761" s="1400"/>
      <c r="C761" s="1400"/>
      <c r="D761" s="1400"/>
      <c r="E761" s="1400"/>
      <c r="F761" s="1400"/>
      <c r="G761" s="1400"/>
      <c r="H761" s="1402"/>
      <c r="I761" s="1399"/>
      <c r="J761" s="1399"/>
      <c r="K761" s="1399"/>
      <c r="L761" s="1399"/>
    </row>
    <row r="762" spans="1:12" ht="27.95" customHeight="1">
      <c r="A762" s="12"/>
      <c r="B762" s="176"/>
      <c r="C762" s="172"/>
      <c r="D762" s="172"/>
      <c r="E762" s="172"/>
      <c r="F762" s="172"/>
      <c r="G762" s="172"/>
      <c r="H762" s="161"/>
      <c r="I762" s="12"/>
      <c r="J762" s="154"/>
      <c r="K762" s="161"/>
      <c r="L762" s="161"/>
    </row>
    <row r="763" spans="1:12" ht="27.95" customHeight="1">
      <c r="A763" s="12"/>
      <c r="B763" s="176"/>
      <c r="C763" s="172"/>
      <c r="D763" s="172"/>
      <c r="E763" s="172"/>
      <c r="F763" s="172"/>
      <c r="G763" s="172"/>
      <c r="H763" s="161"/>
      <c r="I763" s="161"/>
      <c r="J763" s="154"/>
      <c r="K763" s="161"/>
      <c r="L763" s="161"/>
    </row>
    <row r="764" spans="1:12" ht="27.95" customHeight="1">
      <c r="A764" s="12"/>
      <c r="B764" s="1397"/>
      <c r="C764" s="1397"/>
      <c r="D764" s="1397"/>
      <c r="E764" s="1397"/>
      <c r="F764" s="1397"/>
      <c r="G764" s="1397"/>
      <c r="H764" s="1398"/>
      <c r="I764" s="1399"/>
      <c r="J764" s="1399"/>
      <c r="K764" s="1399"/>
      <c r="L764" s="1399"/>
    </row>
    <row r="765" spans="1:12" ht="27.95" customHeight="1">
      <c r="A765" s="12"/>
      <c r="B765" s="1400"/>
      <c r="C765" s="1400"/>
      <c r="D765" s="1400"/>
      <c r="E765" s="1400"/>
      <c r="F765" s="1400"/>
      <c r="G765" s="1400"/>
      <c r="H765" s="1401"/>
      <c r="I765" s="1399"/>
      <c r="J765" s="1399"/>
      <c r="K765" s="1399"/>
      <c r="L765" s="1399"/>
    </row>
    <row r="766" spans="1:12" ht="27.95" customHeight="1">
      <c r="B766" s="1400"/>
      <c r="C766" s="1400"/>
      <c r="D766" s="1400"/>
      <c r="E766" s="1400"/>
      <c r="F766" s="1400"/>
      <c r="G766" s="1400"/>
      <c r="H766" s="1399"/>
      <c r="I766" s="1399"/>
      <c r="J766" s="1399"/>
      <c r="K766" s="1399"/>
      <c r="L766" s="1399"/>
    </row>
    <row r="767" spans="1:12" ht="27.95" customHeight="1">
      <c r="B767" s="176"/>
      <c r="C767" s="172"/>
      <c r="D767" s="172"/>
      <c r="E767" s="172"/>
      <c r="F767" s="172"/>
      <c r="G767" s="172"/>
      <c r="H767" s="161"/>
      <c r="I767" s="161"/>
      <c r="J767" s="161"/>
      <c r="K767" s="161"/>
      <c r="L767" s="161"/>
    </row>
    <row r="768" spans="1:12" ht="27.95" customHeight="1">
      <c r="B768" s="176"/>
      <c r="C768" s="172"/>
      <c r="D768" s="172"/>
      <c r="E768" s="172"/>
      <c r="F768" s="172"/>
      <c r="G768" s="172"/>
      <c r="H768" s="161"/>
      <c r="I768" s="161"/>
      <c r="J768" s="161"/>
      <c r="K768" s="161"/>
      <c r="L768" s="161"/>
    </row>
    <row r="769" spans="2:12" ht="27.95" customHeight="1">
      <c r="B769" s="176"/>
      <c r="C769" s="172"/>
      <c r="D769" s="172"/>
      <c r="E769" s="172"/>
      <c r="F769" s="172"/>
      <c r="G769" s="172"/>
      <c r="H769" s="161"/>
      <c r="I769" s="161"/>
      <c r="J769" s="162"/>
      <c r="K769" s="161"/>
      <c r="L769" s="161"/>
    </row>
    <row r="770" spans="2:12" ht="27.95" customHeight="1">
      <c r="B770" s="176"/>
      <c r="C770" s="172"/>
      <c r="D770" s="172"/>
      <c r="E770" s="172"/>
      <c r="F770" s="172"/>
      <c r="G770" s="172"/>
      <c r="H770" s="161"/>
      <c r="I770" s="161"/>
      <c r="J770" s="161"/>
      <c r="K770" s="161"/>
      <c r="L770" s="161"/>
    </row>
    <row r="771" spans="2:12" ht="27.95" customHeight="1">
      <c r="B771" s="176"/>
      <c r="C771" s="172"/>
      <c r="D771" s="172"/>
      <c r="E771" s="172"/>
      <c r="F771" s="172"/>
      <c r="G771" s="172"/>
      <c r="H771" s="161"/>
      <c r="I771" s="161"/>
      <c r="J771" s="162"/>
      <c r="K771" s="161"/>
      <c r="L771" s="161"/>
    </row>
    <row r="772" spans="2:12" ht="27.95" customHeight="1">
      <c r="B772" s="176"/>
      <c r="C772" s="172"/>
      <c r="D772" s="161"/>
      <c r="E772" s="162"/>
      <c r="F772" s="161"/>
      <c r="G772" s="162"/>
      <c r="H772" s="161"/>
      <c r="I772" s="162"/>
      <c r="J772" s="161"/>
      <c r="K772" s="162"/>
      <c r="L772" s="162"/>
    </row>
    <row r="773" spans="2:12" ht="27.95" customHeight="1">
      <c r="B773" s="176"/>
      <c r="C773" s="172"/>
      <c r="D773" s="172"/>
      <c r="E773" s="172"/>
      <c r="F773" s="172"/>
      <c r="G773" s="172"/>
      <c r="H773" s="161"/>
      <c r="I773" s="161"/>
      <c r="J773" s="245"/>
      <c r="K773" s="161"/>
      <c r="L773" s="161"/>
    </row>
    <row r="774" spans="2:12" ht="27.95" customHeight="1">
      <c r="B774" s="176"/>
      <c r="C774" s="2"/>
      <c r="D774" s="2"/>
      <c r="E774" s="2"/>
      <c r="F774" s="2"/>
      <c r="G774" s="2"/>
    </row>
    <row r="775" spans="2:12" ht="27.95" customHeight="1">
      <c r="B775" s="176"/>
      <c r="C775" s="2"/>
      <c r="D775" s="2"/>
      <c r="E775" s="2"/>
      <c r="F775" s="2"/>
      <c r="G775" s="2"/>
    </row>
  </sheetData>
  <mergeCells count="274">
    <mergeCell ref="H125:L125"/>
    <mergeCell ref="H126:L126"/>
    <mergeCell ref="H181:L181"/>
    <mergeCell ref="H182:L182"/>
    <mergeCell ref="B569:F569"/>
    <mergeCell ref="H569:L569"/>
    <mergeCell ref="B573:G573"/>
    <mergeCell ref="G590:H590"/>
    <mergeCell ref="K590:L590"/>
    <mergeCell ref="G372:H372"/>
    <mergeCell ref="K372:L372"/>
    <mergeCell ref="C373:L373"/>
    <mergeCell ref="H378:I378"/>
    <mergeCell ref="B379:C379"/>
    <mergeCell ref="B392:L392"/>
    <mergeCell ref="B397:L397"/>
    <mergeCell ref="H402:L402"/>
    <mergeCell ref="B403:E403"/>
    <mergeCell ref="H403:L404"/>
    <mergeCell ref="B268:C268"/>
    <mergeCell ref="B281:L281"/>
    <mergeCell ref="B283:L283"/>
    <mergeCell ref="B285:L285"/>
    <mergeCell ref="H290:L290"/>
    <mergeCell ref="C591:L591"/>
    <mergeCell ref="H596:I596"/>
    <mergeCell ref="B597:C597"/>
    <mergeCell ref="B610:L610"/>
    <mergeCell ref="G482:H482"/>
    <mergeCell ref="K482:L482"/>
    <mergeCell ref="C483:L483"/>
    <mergeCell ref="H488:I488"/>
    <mergeCell ref="B489:C489"/>
    <mergeCell ref="B502:L502"/>
    <mergeCell ref="B504:L504"/>
    <mergeCell ref="B506:L506"/>
    <mergeCell ref="G536:H536"/>
    <mergeCell ref="K536:L536"/>
    <mergeCell ref="C537:L537"/>
    <mergeCell ref="H542:I542"/>
    <mergeCell ref="B543:C543"/>
    <mergeCell ref="H564:L564"/>
    <mergeCell ref="B556:L556"/>
    <mergeCell ref="B558:L558"/>
    <mergeCell ref="B560:L560"/>
    <mergeCell ref="B565:E565"/>
    <mergeCell ref="H565:L566"/>
    <mergeCell ref="B572:G572"/>
    <mergeCell ref="B291:E291"/>
    <mergeCell ref="H291:L292"/>
    <mergeCell ref="B295:F295"/>
    <mergeCell ref="H295:L295"/>
    <mergeCell ref="B187:G187"/>
    <mergeCell ref="G204:H204"/>
    <mergeCell ref="K204:L204"/>
    <mergeCell ref="C205:L205"/>
    <mergeCell ref="H211:I211"/>
    <mergeCell ref="B212:C212"/>
    <mergeCell ref="B225:L225"/>
    <mergeCell ref="B227:L227"/>
    <mergeCell ref="B229:L229"/>
    <mergeCell ref="H234:L234"/>
    <mergeCell ref="B235:E235"/>
    <mergeCell ref="H235:L236"/>
    <mergeCell ref="B239:F239"/>
    <mergeCell ref="H239:L239"/>
    <mergeCell ref="B242:G242"/>
    <mergeCell ref="B243:G243"/>
    <mergeCell ref="G260:H260"/>
    <mergeCell ref="K260:L260"/>
    <mergeCell ref="C261:L261"/>
    <mergeCell ref="H267:I267"/>
    <mergeCell ref="B127:F127"/>
    <mergeCell ref="H127:L127"/>
    <mergeCell ref="B130:G130"/>
    <mergeCell ref="B131:G131"/>
    <mergeCell ref="G148:H148"/>
    <mergeCell ref="K148:L148"/>
    <mergeCell ref="C149:L149"/>
    <mergeCell ref="H155:I155"/>
    <mergeCell ref="B156:C156"/>
    <mergeCell ref="B2:L2"/>
    <mergeCell ref="B60:L60"/>
    <mergeCell ref="B66:E66"/>
    <mergeCell ref="H66:L67"/>
    <mergeCell ref="B70:F70"/>
    <mergeCell ref="H70:L70"/>
    <mergeCell ref="B73:G73"/>
    <mergeCell ref="B74:G74"/>
    <mergeCell ref="G91:H91"/>
    <mergeCell ref="K91:L91"/>
    <mergeCell ref="H11:L11"/>
    <mergeCell ref="H12:L12"/>
    <mergeCell ref="H69:L69"/>
    <mergeCell ref="H68:L68"/>
    <mergeCell ref="H8:L8"/>
    <mergeCell ref="H9:L10"/>
    <mergeCell ref="B9:E9"/>
    <mergeCell ref="B16:G16"/>
    <mergeCell ref="B17:G17"/>
    <mergeCell ref="C35:L35"/>
    <mergeCell ref="H41:I41"/>
    <mergeCell ref="G34:H34"/>
    <mergeCell ref="K34:L34"/>
    <mergeCell ref="B58:G58"/>
    <mergeCell ref="H58:L58"/>
    <mergeCell ref="B13:F13"/>
    <mergeCell ref="H13:L13"/>
    <mergeCell ref="B55:L55"/>
    <mergeCell ref="B57:L57"/>
    <mergeCell ref="B42:C42"/>
    <mergeCell ref="H65:L65"/>
    <mergeCell ref="C92:L92"/>
    <mergeCell ref="H98:I98"/>
    <mergeCell ref="B99:C99"/>
    <mergeCell ref="B115:G115"/>
    <mergeCell ref="H115:L115"/>
    <mergeCell ref="B112:L112"/>
    <mergeCell ref="B114:L114"/>
    <mergeCell ref="B117:L117"/>
    <mergeCell ref="H122:L122"/>
    <mergeCell ref="B123:E123"/>
    <mergeCell ref="H123:L124"/>
    <mergeCell ref="B169:L169"/>
    <mergeCell ref="B171:L171"/>
    <mergeCell ref="B173:L173"/>
    <mergeCell ref="H178:L178"/>
    <mergeCell ref="B179:E179"/>
    <mergeCell ref="H179:L180"/>
    <mergeCell ref="B183:F183"/>
    <mergeCell ref="H183:L183"/>
    <mergeCell ref="B186:G186"/>
    <mergeCell ref="B354:G354"/>
    <mergeCell ref="B355:G355"/>
    <mergeCell ref="B394:L394"/>
    <mergeCell ref="B298:G298"/>
    <mergeCell ref="B299:G299"/>
    <mergeCell ref="G316:H316"/>
    <mergeCell ref="K316:L316"/>
    <mergeCell ref="C317:L317"/>
    <mergeCell ref="H323:I323"/>
    <mergeCell ref="B324:C324"/>
    <mergeCell ref="B337:L337"/>
    <mergeCell ref="B339:L339"/>
    <mergeCell ref="B435:C435"/>
    <mergeCell ref="B448:L448"/>
    <mergeCell ref="B450:L450"/>
    <mergeCell ref="B452:L452"/>
    <mergeCell ref="H456:L456"/>
    <mergeCell ref="B457:E457"/>
    <mergeCell ref="H457:L458"/>
    <mergeCell ref="B461:F461"/>
    <mergeCell ref="H461:L461"/>
    <mergeCell ref="H460:L460"/>
    <mergeCell ref="B464:G464"/>
    <mergeCell ref="B465:G465"/>
    <mergeCell ref="H511:L512"/>
    <mergeCell ref="H510:L510"/>
    <mergeCell ref="B511:E511"/>
    <mergeCell ref="B515:F515"/>
    <mergeCell ref="H515:L515"/>
    <mergeCell ref="B518:G518"/>
    <mergeCell ref="B519:G519"/>
    <mergeCell ref="H513:L513"/>
    <mergeCell ref="H514:L514"/>
    <mergeCell ref="B612:L612"/>
    <mergeCell ref="B648:G648"/>
    <mergeCell ref="H648:L648"/>
    <mergeCell ref="B649:G649"/>
    <mergeCell ref="H649:L649"/>
    <mergeCell ref="B662:L662"/>
    <mergeCell ref="B663:L663"/>
    <mergeCell ref="B643:G643"/>
    <mergeCell ref="H643:L643"/>
    <mergeCell ref="B644:G644"/>
    <mergeCell ref="H644:L644"/>
    <mergeCell ref="B647:G647"/>
    <mergeCell ref="H647:L647"/>
    <mergeCell ref="B634:F634"/>
    <mergeCell ref="H634:L634"/>
    <mergeCell ref="B641:G641"/>
    <mergeCell ref="H641:L641"/>
    <mergeCell ref="B642:G642"/>
    <mergeCell ref="H642:L642"/>
    <mergeCell ref="B623:L623"/>
    <mergeCell ref="B624:L624"/>
    <mergeCell ref="B625:L625"/>
    <mergeCell ref="B626:F627"/>
    <mergeCell ref="H626:L627"/>
    <mergeCell ref="B681:G681"/>
    <mergeCell ref="H681:L681"/>
    <mergeCell ref="B682:G682"/>
    <mergeCell ref="H682:L682"/>
    <mergeCell ref="B683:G683"/>
    <mergeCell ref="H683:L683"/>
    <mergeCell ref="B664:L664"/>
    <mergeCell ref="B665:F666"/>
    <mergeCell ref="H665:L666"/>
    <mergeCell ref="B673:F673"/>
    <mergeCell ref="H673:L673"/>
    <mergeCell ref="B680:G680"/>
    <mergeCell ref="H680:L680"/>
    <mergeCell ref="B701:L701"/>
    <mergeCell ref="B702:L702"/>
    <mergeCell ref="B703:L703"/>
    <mergeCell ref="B704:F705"/>
    <mergeCell ref="H704:L705"/>
    <mergeCell ref="B712:F712"/>
    <mergeCell ref="H712:L712"/>
    <mergeCell ref="B686:G686"/>
    <mergeCell ref="H686:L686"/>
    <mergeCell ref="B687:G687"/>
    <mergeCell ref="H687:L687"/>
    <mergeCell ref="B688:G688"/>
    <mergeCell ref="H688:L688"/>
    <mergeCell ref="B722:G722"/>
    <mergeCell ref="H722:L722"/>
    <mergeCell ref="B725:G725"/>
    <mergeCell ref="H725:L725"/>
    <mergeCell ref="B726:G726"/>
    <mergeCell ref="H726:L726"/>
    <mergeCell ref="B719:G719"/>
    <mergeCell ref="H719:L719"/>
    <mergeCell ref="B720:G720"/>
    <mergeCell ref="H720:L720"/>
    <mergeCell ref="B721:G721"/>
    <mergeCell ref="H721:L721"/>
    <mergeCell ref="B751:F751"/>
    <mergeCell ref="H751:L751"/>
    <mergeCell ref="B758:G758"/>
    <mergeCell ref="H758:L758"/>
    <mergeCell ref="B759:G759"/>
    <mergeCell ref="H759:L759"/>
    <mergeCell ref="B727:G727"/>
    <mergeCell ref="H727:L727"/>
    <mergeCell ref="B740:L740"/>
    <mergeCell ref="B741:L741"/>
    <mergeCell ref="B742:L742"/>
    <mergeCell ref="B743:F744"/>
    <mergeCell ref="H743:L744"/>
    <mergeCell ref="B765:G765"/>
    <mergeCell ref="H765:L765"/>
    <mergeCell ref="B766:G766"/>
    <mergeCell ref="H766:L766"/>
    <mergeCell ref="B760:G760"/>
    <mergeCell ref="H760:L760"/>
    <mergeCell ref="B761:G761"/>
    <mergeCell ref="H761:L761"/>
    <mergeCell ref="B764:G764"/>
    <mergeCell ref="H764:L764"/>
    <mergeCell ref="H237:L237"/>
    <mergeCell ref="H238:L238"/>
    <mergeCell ref="H293:L293"/>
    <mergeCell ref="H294:L294"/>
    <mergeCell ref="H349:L349"/>
    <mergeCell ref="H350:L350"/>
    <mergeCell ref="H405:L405"/>
    <mergeCell ref="H406:L406"/>
    <mergeCell ref="H459:L459"/>
    <mergeCell ref="B395:L395"/>
    <mergeCell ref="B407:F407"/>
    <mergeCell ref="H407:L407"/>
    <mergeCell ref="B410:G410"/>
    <mergeCell ref="B411:G411"/>
    <mergeCell ref="G428:H428"/>
    <mergeCell ref="K428:L428"/>
    <mergeCell ref="C429:L429"/>
    <mergeCell ref="H434:I434"/>
    <mergeCell ref="B341:L341"/>
    <mergeCell ref="H346:L346"/>
    <mergeCell ref="B347:E347"/>
    <mergeCell ref="H347:L348"/>
    <mergeCell ref="B351:F351"/>
    <mergeCell ref="H351:L351"/>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744"/>
  <sheetViews>
    <sheetView workbookViewId="0">
      <selection activeCell="E1" sqref="E1"/>
    </sheetView>
  </sheetViews>
  <sheetFormatPr defaultRowHeight="15"/>
  <cols>
    <col min="1" max="1" width="20.140625" customWidth="1"/>
    <col min="2" max="2" width="30.42578125" customWidth="1"/>
    <col min="3" max="3" width="19.7109375" customWidth="1"/>
    <col min="4" max="4" width="63.28515625" customWidth="1"/>
  </cols>
  <sheetData>
    <row r="1" spans="1:4" ht="20.25">
      <c r="A1" s="1490" t="s">
        <v>327</v>
      </c>
      <c r="B1" s="1491"/>
      <c r="C1" s="1491"/>
      <c r="D1" s="1492"/>
    </row>
    <row r="2" spans="1:4">
      <c r="A2" s="1493" t="s">
        <v>328</v>
      </c>
      <c r="B2" s="1494"/>
      <c r="C2" s="1494"/>
      <c r="D2" s="1495"/>
    </row>
    <row r="3" spans="1:4" ht="18">
      <c r="A3" s="1496" t="s">
        <v>329</v>
      </c>
      <c r="B3" s="1497"/>
      <c r="C3" s="1497"/>
      <c r="D3" s="1498"/>
    </row>
    <row r="4" spans="1:4">
      <c r="A4" s="15" t="s">
        <v>150</v>
      </c>
      <c r="D4" s="16"/>
    </row>
    <row r="5" spans="1:4" ht="18">
      <c r="A5" s="269" t="str">
        <f>'04-22-Master'!F5</f>
        <v>Burgeon IT Services Pvt.Ltd.</v>
      </c>
      <c r="B5" s="246"/>
      <c r="D5" s="16"/>
    </row>
    <row r="6" spans="1:4" ht="18">
      <c r="A6" s="269" t="str">
        <f>'04-22-Master'!F6</f>
        <v>Siri Mansion LIGB 436 Dr.A S Rao Nagar,Hyderabad</v>
      </c>
      <c r="B6" s="246"/>
      <c r="D6" s="16"/>
    </row>
    <row r="7" spans="1:4" ht="18">
      <c r="A7" s="248"/>
      <c r="B7" s="5"/>
      <c r="D7" s="16"/>
    </row>
    <row r="8" spans="1:4" ht="15.75">
      <c r="A8" s="247" t="s">
        <v>330</v>
      </c>
      <c r="B8" s="270"/>
      <c r="C8" s="271" t="e">
        <f>'04-22-Master'!#REF!</f>
        <v>#REF!</v>
      </c>
      <c r="D8" s="86"/>
    </row>
    <row r="9" spans="1:4">
      <c r="A9" s="1499" t="s">
        <v>331</v>
      </c>
      <c r="B9" s="1500"/>
      <c r="C9" s="1500"/>
      <c r="D9" s="1501"/>
    </row>
    <row r="10" spans="1:4">
      <c r="A10" s="15"/>
      <c r="D10" s="16"/>
    </row>
    <row r="11" spans="1:4">
      <c r="A11" s="1499" t="s">
        <v>332</v>
      </c>
      <c r="B11" s="1500"/>
      <c r="C11" s="1500"/>
      <c r="D11" s="1501"/>
    </row>
    <row r="12" spans="1:4">
      <c r="A12" s="249"/>
      <c r="B12" s="250"/>
      <c r="C12" s="250"/>
      <c r="D12" s="251"/>
    </row>
    <row r="13" spans="1:4">
      <c r="A13" s="1483" t="s">
        <v>333</v>
      </c>
      <c r="B13" s="1484"/>
      <c r="C13" s="1484"/>
      <c r="D13" s="1485"/>
    </row>
    <row r="14" spans="1:4">
      <c r="A14" s="15"/>
      <c r="D14" s="16"/>
    </row>
    <row r="15" spans="1:4">
      <c r="A15" s="1483" t="s">
        <v>334</v>
      </c>
      <c r="B15" s="1484"/>
      <c r="C15" s="1484"/>
      <c r="D15" s="1485"/>
    </row>
    <row r="16" spans="1:4">
      <c r="A16" s="1483" t="s">
        <v>335</v>
      </c>
      <c r="B16" s="1484"/>
      <c r="C16" s="1484"/>
      <c r="D16" s="1485"/>
    </row>
    <row r="17" spans="1:4">
      <c r="A17" s="247"/>
      <c r="B17" s="252"/>
      <c r="C17" s="252"/>
      <c r="D17" s="253"/>
    </row>
    <row r="18" spans="1:4">
      <c r="A18" s="1499" t="s">
        <v>336</v>
      </c>
      <c r="B18" s="1500"/>
      <c r="C18" s="1500"/>
      <c r="D18" s="1501"/>
    </row>
    <row r="19" spans="1:4">
      <c r="A19" s="247"/>
      <c r="B19" s="252"/>
      <c r="C19" s="252"/>
      <c r="D19" s="253"/>
    </row>
    <row r="20" spans="1:4">
      <c r="A20" s="1483" t="s">
        <v>337</v>
      </c>
      <c r="B20" s="1484"/>
      <c r="C20" s="1484"/>
      <c r="D20" s="1485"/>
    </row>
    <row r="21" spans="1:4">
      <c r="A21" s="15"/>
      <c r="D21" s="16"/>
    </row>
    <row r="22" spans="1:4">
      <c r="A22" s="1480" t="s">
        <v>338</v>
      </c>
      <c r="B22" s="1481"/>
      <c r="C22" s="1481"/>
      <c r="D22" s="1482"/>
    </row>
    <row r="23" spans="1:4" ht="42.75">
      <c r="A23" s="254" t="s">
        <v>339</v>
      </c>
      <c r="B23" s="255" t="s">
        <v>340</v>
      </c>
      <c r="C23" s="255" t="s">
        <v>341</v>
      </c>
      <c r="D23" s="256" t="s">
        <v>342</v>
      </c>
    </row>
    <row r="24" spans="1:4">
      <c r="A24" s="257">
        <v>1</v>
      </c>
      <c r="B24" s="258">
        <v>2</v>
      </c>
      <c r="C24" s="258">
        <v>3</v>
      </c>
      <c r="D24" s="259">
        <v>4</v>
      </c>
    </row>
    <row r="25" spans="1:4">
      <c r="A25" s="15" t="e">
        <f>'04-22-Master'!#REF!</f>
        <v>#REF!</v>
      </c>
      <c r="B25" s="13" t="s">
        <v>384</v>
      </c>
      <c r="C25" s="13" t="s">
        <v>391</v>
      </c>
      <c r="D25" s="291">
        <v>1</v>
      </c>
    </row>
    <row r="26" spans="1:4">
      <c r="A26" s="275"/>
      <c r="B26" s="13"/>
      <c r="C26" s="13"/>
      <c r="D26" s="260"/>
    </row>
    <row r="27" spans="1:4">
      <c r="A27" s="272"/>
      <c r="B27" s="13"/>
      <c r="C27" s="13"/>
      <c r="D27" s="260"/>
    </row>
    <row r="28" spans="1:4">
      <c r="A28" s="15"/>
      <c r="D28" s="16"/>
    </row>
    <row r="29" spans="1:4">
      <c r="A29" s="1480" t="s">
        <v>343</v>
      </c>
      <c r="B29" s="1481"/>
      <c r="C29" s="1481"/>
      <c r="D29" s="1482"/>
    </row>
    <row r="30" spans="1:4">
      <c r="A30" s="164"/>
      <c r="B30" s="6"/>
      <c r="C30" s="6"/>
      <c r="D30" s="165"/>
    </row>
    <row r="31" spans="1:4">
      <c r="A31" s="1469" t="s">
        <v>344</v>
      </c>
      <c r="B31" s="1470"/>
      <c r="C31" s="1471" t="e">
        <f>'04-22-Master'!#REF!</f>
        <v>#REF!</v>
      </c>
      <c r="D31" s="1472"/>
    </row>
    <row r="32" spans="1:4">
      <c r="A32" s="1469" t="s">
        <v>345</v>
      </c>
      <c r="B32" s="1470"/>
      <c r="C32" s="1307" t="e">
        <f>'04-22-Master'!#REF!</f>
        <v>#REF!</v>
      </c>
      <c r="D32" s="1472"/>
    </row>
    <row r="33" spans="1:4">
      <c r="A33" s="1469" t="s">
        <v>346</v>
      </c>
      <c r="B33" s="1470"/>
      <c r="C33" s="1307" t="s">
        <v>393</v>
      </c>
      <c r="D33" s="1472"/>
    </row>
    <row r="34" spans="1:4">
      <c r="A34" s="1469" t="s">
        <v>347</v>
      </c>
      <c r="B34" s="1470"/>
      <c r="C34" s="1307" t="s">
        <v>390</v>
      </c>
      <c r="D34" s="1472"/>
    </row>
    <row r="35" spans="1:4">
      <c r="A35" s="1469" t="s">
        <v>348</v>
      </c>
      <c r="B35" s="1470"/>
      <c r="C35" s="1471" t="e">
        <f>'04-22-Master'!#REF!</f>
        <v>#REF!</v>
      </c>
      <c r="D35" s="1472"/>
    </row>
    <row r="36" spans="1:4">
      <c r="A36" s="1469" t="s">
        <v>349</v>
      </c>
      <c r="B36" s="1470"/>
      <c r="C36" s="1471" t="e">
        <f>'04-22-Master'!#REF!</f>
        <v>#REF!</v>
      </c>
      <c r="D36" s="1472"/>
    </row>
    <row r="37" spans="1:4">
      <c r="A37" s="1469" t="s">
        <v>350</v>
      </c>
      <c r="B37" s="1470"/>
      <c r="C37" s="1489" t="e">
        <f>'04-22-Master'!#REF!</f>
        <v>#REF!</v>
      </c>
      <c r="D37" s="1472"/>
    </row>
    <row r="38" spans="1:4">
      <c r="A38" s="1469" t="s">
        <v>351</v>
      </c>
      <c r="B38" s="1470"/>
      <c r="C38" s="1307"/>
      <c r="D38" s="1472"/>
    </row>
    <row r="39" spans="1:4">
      <c r="A39" s="1469"/>
      <c r="B39" s="1470"/>
      <c r="C39" s="1471" t="e">
        <f>'04-22-Master'!#REF!</f>
        <v>#REF!</v>
      </c>
      <c r="D39" s="1472"/>
    </row>
    <row r="40" spans="1:4">
      <c r="A40" s="1469"/>
      <c r="B40" s="1470"/>
      <c r="C40" s="1471" t="e">
        <f>'04-22-Master'!#REF!</f>
        <v>#REF!</v>
      </c>
      <c r="D40" s="1472"/>
    </row>
    <row r="41" spans="1:4">
      <c r="A41" s="1469"/>
      <c r="B41" s="1470"/>
      <c r="C41" s="1471" t="e">
        <f>'04-22-Master'!#REF!</f>
        <v>#REF!</v>
      </c>
      <c r="D41" s="1472"/>
    </row>
    <row r="42" spans="1:4">
      <c r="A42" s="247" t="s">
        <v>293</v>
      </c>
      <c r="B42" s="252" t="s">
        <v>382</v>
      </c>
      <c r="C42" s="252"/>
      <c r="D42" s="253"/>
    </row>
    <row r="43" spans="1:4">
      <c r="A43" s="247" t="s">
        <v>352</v>
      </c>
      <c r="B43" s="292" t="e">
        <f>'04-22-Master'!#REF!</f>
        <v>#REF!</v>
      </c>
      <c r="C43" s="261" t="s">
        <v>353</v>
      </c>
      <c r="D43" s="253"/>
    </row>
    <row r="44" spans="1:4">
      <c r="A44" s="247"/>
      <c r="B44" s="252"/>
      <c r="C44" s="252"/>
      <c r="D44" s="253"/>
    </row>
    <row r="45" spans="1:4">
      <c r="A45" s="1480" t="s">
        <v>354</v>
      </c>
      <c r="B45" s="1481"/>
      <c r="C45" s="1481"/>
      <c r="D45" s="1482"/>
    </row>
    <row r="46" spans="1:4">
      <c r="A46" s="247" t="s">
        <v>355</v>
      </c>
      <c r="B46" s="252"/>
      <c r="C46" s="252"/>
      <c r="D46" s="253"/>
    </row>
    <row r="47" spans="1:4">
      <c r="A47" s="247"/>
      <c r="B47" s="252"/>
      <c r="C47" s="252"/>
      <c r="D47" s="253"/>
    </row>
    <row r="48" spans="1:4">
      <c r="A48" s="1483" t="s">
        <v>356</v>
      </c>
      <c r="B48" s="1484"/>
      <c r="C48" s="1484" t="s">
        <v>357</v>
      </c>
      <c r="D48" s="1485"/>
    </row>
    <row r="49" spans="1:4">
      <c r="A49" s="1486">
        <v>1</v>
      </c>
      <c r="B49" s="1487"/>
      <c r="C49" s="1487">
        <v>1</v>
      </c>
      <c r="D49" s="1488"/>
    </row>
    <row r="50" spans="1:4">
      <c r="A50" s="1486">
        <v>2</v>
      </c>
      <c r="B50" s="1487"/>
      <c r="C50" s="1487">
        <v>2</v>
      </c>
      <c r="D50" s="1488"/>
    </row>
    <row r="51" spans="1:4">
      <c r="A51" s="262"/>
      <c r="C51" s="1476" t="s">
        <v>362</v>
      </c>
      <c r="D51" s="1477"/>
    </row>
    <row r="52" spans="1:4">
      <c r="A52" s="1473" t="s">
        <v>358</v>
      </c>
      <c r="B52" s="1474"/>
      <c r="C52" s="1474"/>
      <c r="D52" s="1475"/>
    </row>
    <row r="53" spans="1:4">
      <c r="A53" s="265" t="s">
        <v>359</v>
      </c>
      <c r="B53" s="266"/>
      <c r="C53" s="266"/>
      <c r="D53" s="267"/>
    </row>
    <row r="54" spans="1:4">
      <c r="A54" s="265"/>
      <c r="B54" s="266"/>
      <c r="C54" s="266"/>
      <c r="D54" s="267"/>
    </row>
    <row r="55" spans="1:4">
      <c r="A55" s="265"/>
      <c r="B55" s="266"/>
      <c r="C55" s="266" t="s">
        <v>360</v>
      </c>
      <c r="D55" s="267"/>
    </row>
    <row r="56" spans="1:4">
      <c r="A56" s="262"/>
      <c r="B56" s="263"/>
      <c r="C56" s="163" t="s">
        <v>161</v>
      </c>
      <c r="D56" s="264"/>
    </row>
    <row r="57" spans="1:4">
      <c r="A57" s="262"/>
      <c r="C57" t="s">
        <v>361</v>
      </c>
      <c r="D57" s="268"/>
    </row>
    <row r="58" spans="1:4" ht="25.5" customHeight="1">
      <c r="A58" s="262"/>
      <c r="C58" s="1478" t="str">
        <f>'04-22-Master'!F5</f>
        <v>Burgeon IT Services Pvt.Ltd.</v>
      </c>
      <c r="D58" s="1479"/>
    </row>
    <row r="59" spans="1:4">
      <c r="A59" s="247" t="s">
        <v>293</v>
      </c>
      <c r="B59" t="str">
        <f>B42</f>
        <v>Hyderabad</v>
      </c>
      <c r="C59" s="2" t="str">
        <f>'04-22-Master'!F6</f>
        <v>Siri Mansion LIGB 436 Dr.A S Rao Nagar,Hyderabad</v>
      </c>
      <c r="D59" s="16"/>
    </row>
    <row r="60" spans="1:4" ht="15.75" thickBot="1">
      <c r="A60" s="247" t="s">
        <v>352</v>
      </c>
      <c r="B60" s="284" t="e">
        <f>B43</f>
        <v>#REF!</v>
      </c>
      <c r="C60" s="2"/>
      <c r="D60" s="16"/>
    </row>
    <row r="61" spans="1:4" ht="15.75" thickBot="1">
      <c r="A61" s="273"/>
      <c r="B61" s="274" t="s">
        <v>365</v>
      </c>
      <c r="C61" s="274"/>
      <c r="D61" s="30"/>
    </row>
    <row r="62" spans="1:4">
      <c r="A62" s="247" t="s">
        <v>363</v>
      </c>
      <c r="C62" s="2"/>
      <c r="D62" s="16"/>
    </row>
    <row r="63" spans="1:4">
      <c r="A63" s="247" t="s">
        <v>352</v>
      </c>
      <c r="B63" s="284" t="e">
        <f>B60</f>
        <v>#REF!</v>
      </c>
      <c r="C63" s="2"/>
      <c r="D63" s="16"/>
    </row>
    <row r="64" spans="1:4" ht="15.75" thickBot="1">
      <c r="A64" s="276" t="s">
        <v>364</v>
      </c>
      <c r="B64" s="25"/>
      <c r="C64" s="25"/>
      <c r="D64" s="26" t="s">
        <v>151</v>
      </c>
    </row>
    <row r="68" spans="1:4" ht="15.75" thickBot="1"/>
    <row r="69" spans="1:4" ht="20.25">
      <c r="A69" s="1490" t="s">
        <v>327</v>
      </c>
      <c r="B69" s="1491"/>
      <c r="C69" s="1491"/>
      <c r="D69" s="1492"/>
    </row>
    <row r="70" spans="1:4">
      <c r="A70" s="1493" t="s">
        <v>328</v>
      </c>
      <c r="B70" s="1494"/>
      <c r="C70" s="1494"/>
      <c r="D70" s="1495"/>
    </row>
    <row r="71" spans="1:4" ht="18">
      <c r="A71" s="1496" t="s">
        <v>329</v>
      </c>
      <c r="B71" s="1497"/>
      <c r="C71" s="1497"/>
      <c r="D71" s="1498"/>
    </row>
    <row r="72" spans="1:4">
      <c r="A72" s="15" t="s">
        <v>150</v>
      </c>
      <c r="D72" s="16"/>
    </row>
    <row r="73" spans="1:4" ht="18">
      <c r="A73" s="269" t="str">
        <f>'04-22-Master'!F5</f>
        <v>Burgeon IT Services Pvt.Ltd.</v>
      </c>
      <c r="B73" s="246"/>
      <c r="D73" s="16"/>
    </row>
    <row r="74" spans="1:4" ht="18">
      <c r="A74" s="269" t="str">
        <f>'04-22-Master'!F6</f>
        <v>Siri Mansion LIGB 436 Dr.A S Rao Nagar,Hyderabad</v>
      </c>
      <c r="B74" s="246"/>
      <c r="D74" s="16"/>
    </row>
    <row r="75" spans="1:4" ht="18">
      <c r="A75" s="248"/>
      <c r="B75" s="5"/>
      <c r="D75" s="16"/>
    </row>
    <row r="76" spans="1:4" ht="15.75">
      <c r="A76" s="247" t="s">
        <v>330</v>
      </c>
      <c r="B76" s="270"/>
      <c r="C76" s="271" t="e">
        <f>'04-22-Master'!#REF!</f>
        <v>#REF!</v>
      </c>
      <c r="D76" s="86"/>
    </row>
    <row r="77" spans="1:4">
      <c r="A77" s="1499" t="s">
        <v>331</v>
      </c>
      <c r="B77" s="1500"/>
      <c r="C77" s="1500"/>
      <c r="D77" s="1501"/>
    </row>
    <row r="78" spans="1:4">
      <c r="A78" s="15"/>
      <c r="D78" s="16"/>
    </row>
    <row r="79" spans="1:4">
      <c r="A79" s="1499" t="s">
        <v>332</v>
      </c>
      <c r="B79" s="1500"/>
      <c r="C79" s="1500"/>
      <c r="D79" s="1501"/>
    </row>
    <row r="80" spans="1:4">
      <c r="A80" s="249"/>
      <c r="B80" s="250"/>
      <c r="C80" s="250"/>
      <c r="D80" s="251"/>
    </row>
    <row r="81" spans="1:4">
      <c r="A81" s="1483" t="s">
        <v>333</v>
      </c>
      <c r="B81" s="1484"/>
      <c r="C81" s="1484"/>
      <c r="D81" s="1485"/>
    </row>
    <row r="82" spans="1:4">
      <c r="A82" s="15"/>
      <c r="D82" s="16"/>
    </row>
    <row r="83" spans="1:4">
      <c r="A83" s="1483" t="s">
        <v>334</v>
      </c>
      <c r="B83" s="1484"/>
      <c r="C83" s="1484"/>
      <c r="D83" s="1485"/>
    </row>
    <row r="84" spans="1:4">
      <c r="A84" s="1483" t="s">
        <v>335</v>
      </c>
      <c r="B84" s="1484"/>
      <c r="C84" s="1484"/>
      <c r="D84" s="1485"/>
    </row>
    <row r="85" spans="1:4">
      <c r="A85" s="247"/>
      <c r="B85" s="252"/>
      <c r="C85" s="252"/>
      <c r="D85" s="253"/>
    </row>
    <row r="86" spans="1:4">
      <c r="A86" s="1499" t="s">
        <v>336</v>
      </c>
      <c r="B86" s="1500"/>
      <c r="C86" s="1500"/>
      <c r="D86" s="1501"/>
    </row>
    <row r="87" spans="1:4">
      <c r="A87" s="247"/>
      <c r="B87" s="252"/>
      <c r="C87" s="252"/>
      <c r="D87" s="253"/>
    </row>
    <row r="88" spans="1:4">
      <c r="A88" s="1483" t="s">
        <v>337</v>
      </c>
      <c r="B88" s="1484"/>
      <c r="C88" s="1484"/>
      <c r="D88" s="1485"/>
    </row>
    <row r="89" spans="1:4">
      <c r="A89" s="15"/>
      <c r="D89" s="16"/>
    </row>
    <row r="90" spans="1:4">
      <c r="A90" s="1480" t="s">
        <v>338</v>
      </c>
      <c r="B90" s="1481"/>
      <c r="C90" s="1481"/>
      <c r="D90" s="1482"/>
    </row>
    <row r="91" spans="1:4" ht="42.75">
      <c r="A91" s="254" t="s">
        <v>339</v>
      </c>
      <c r="B91" s="255" t="s">
        <v>340</v>
      </c>
      <c r="C91" s="255" t="s">
        <v>341</v>
      </c>
      <c r="D91" s="256" t="s">
        <v>342</v>
      </c>
    </row>
    <row r="92" spans="1:4">
      <c r="A92" s="257">
        <v>1</v>
      </c>
      <c r="B92" s="258">
        <v>2</v>
      </c>
      <c r="C92" s="258">
        <v>3</v>
      </c>
      <c r="D92" s="259">
        <v>4</v>
      </c>
    </row>
    <row r="93" spans="1:4">
      <c r="A93" s="15" t="e">
        <f>'04-22-Master'!#REF!</f>
        <v>#REF!</v>
      </c>
      <c r="B93" s="13" t="s">
        <v>384</v>
      </c>
      <c r="C93" s="13" t="s">
        <v>391</v>
      </c>
      <c r="D93" s="291">
        <v>1</v>
      </c>
    </row>
    <row r="94" spans="1:4">
      <c r="A94" s="275"/>
      <c r="B94" s="13"/>
      <c r="C94" s="13"/>
      <c r="D94" s="260"/>
    </row>
    <row r="95" spans="1:4">
      <c r="A95" s="272"/>
      <c r="B95" s="13"/>
      <c r="C95" s="13"/>
      <c r="D95" s="260"/>
    </row>
    <row r="96" spans="1:4">
      <c r="A96" s="15"/>
      <c r="D96" s="16"/>
    </row>
    <row r="97" spans="1:4">
      <c r="A97" s="1480" t="s">
        <v>343</v>
      </c>
      <c r="B97" s="1481"/>
      <c r="C97" s="1481"/>
      <c r="D97" s="1482"/>
    </row>
    <row r="98" spans="1:4">
      <c r="A98" s="164"/>
      <c r="B98" s="6"/>
      <c r="C98" s="6"/>
      <c r="D98" s="165"/>
    </row>
    <row r="99" spans="1:4">
      <c r="A99" s="1469" t="s">
        <v>344</v>
      </c>
      <c r="B99" s="1470"/>
      <c r="C99" s="1471" t="e">
        <f>'04-22-Master'!#REF!</f>
        <v>#REF!</v>
      </c>
      <c r="D99" s="1472"/>
    </row>
    <row r="100" spans="1:4">
      <c r="A100" s="1469" t="s">
        <v>345</v>
      </c>
      <c r="B100" s="1470"/>
      <c r="C100" s="1307" t="e">
        <f>'04-22-Master'!#REF!</f>
        <v>#REF!</v>
      </c>
      <c r="D100" s="1472"/>
    </row>
    <row r="101" spans="1:4">
      <c r="A101" s="1469" t="s">
        <v>346</v>
      </c>
      <c r="B101" s="1470"/>
      <c r="C101" s="1307" t="s">
        <v>392</v>
      </c>
      <c r="D101" s="1472"/>
    </row>
    <row r="102" spans="1:4">
      <c r="A102" s="1469" t="s">
        <v>347</v>
      </c>
      <c r="B102" s="1470"/>
      <c r="C102" s="1307" t="s">
        <v>390</v>
      </c>
      <c r="D102" s="1472"/>
    </row>
    <row r="103" spans="1:4">
      <c r="A103" s="1469" t="s">
        <v>348</v>
      </c>
      <c r="B103" s="1470"/>
      <c r="C103" s="1471" t="e">
        <f>'04-22-Master'!#REF!</f>
        <v>#REF!</v>
      </c>
      <c r="D103" s="1472"/>
    </row>
    <row r="104" spans="1:4">
      <c r="A104" s="1469" t="s">
        <v>349</v>
      </c>
      <c r="B104" s="1470"/>
      <c r="C104" s="1471" t="e">
        <f>'04-22-Master'!#REF!</f>
        <v>#REF!</v>
      </c>
      <c r="D104" s="1472"/>
    </row>
    <row r="105" spans="1:4">
      <c r="A105" s="1469" t="s">
        <v>350</v>
      </c>
      <c r="B105" s="1470"/>
      <c r="C105" s="1489" t="e">
        <f>'04-22-Master'!#REF!</f>
        <v>#REF!</v>
      </c>
      <c r="D105" s="1472"/>
    </row>
    <row r="106" spans="1:4">
      <c r="A106" s="1469" t="s">
        <v>351</v>
      </c>
      <c r="B106" s="1470"/>
      <c r="C106" s="1307"/>
      <c r="D106" s="1472"/>
    </row>
    <row r="107" spans="1:4">
      <c r="A107" s="1469"/>
      <c r="B107" s="1470"/>
      <c r="C107" s="1471" t="e">
        <f>'04-22-Master'!#REF!</f>
        <v>#REF!</v>
      </c>
      <c r="D107" s="1472"/>
    </row>
    <row r="108" spans="1:4">
      <c r="A108" s="1469"/>
      <c r="B108" s="1470"/>
      <c r="C108" s="1471" t="e">
        <f>'04-22-Master'!#REF!</f>
        <v>#REF!</v>
      </c>
      <c r="D108" s="1472"/>
    </row>
    <row r="109" spans="1:4">
      <c r="A109" s="1469"/>
      <c r="B109" s="1470"/>
      <c r="C109" s="1471" t="e">
        <f>'04-22-Master'!#REF!</f>
        <v>#REF!</v>
      </c>
      <c r="D109" s="1472"/>
    </row>
    <row r="110" spans="1:4">
      <c r="A110" s="247" t="s">
        <v>293</v>
      </c>
      <c r="B110" s="252" t="s">
        <v>382</v>
      </c>
      <c r="C110" s="252"/>
      <c r="D110" s="253"/>
    </row>
    <row r="111" spans="1:4">
      <c r="A111" s="247" t="s">
        <v>352</v>
      </c>
      <c r="B111" s="292" t="e">
        <f>'04-22-Master'!#REF!</f>
        <v>#REF!</v>
      </c>
      <c r="C111" s="261" t="s">
        <v>353</v>
      </c>
      <c r="D111" s="253"/>
    </row>
    <row r="112" spans="1:4">
      <c r="A112" s="247"/>
      <c r="B112" s="252"/>
      <c r="C112" s="252"/>
      <c r="D112" s="253"/>
    </row>
    <row r="113" spans="1:4">
      <c r="A113" s="1480" t="s">
        <v>354</v>
      </c>
      <c r="B113" s="1481"/>
      <c r="C113" s="1481"/>
      <c r="D113" s="1482"/>
    </row>
    <row r="114" spans="1:4">
      <c r="A114" s="247" t="s">
        <v>355</v>
      </c>
      <c r="B114" s="252"/>
      <c r="C114" s="252"/>
      <c r="D114" s="253"/>
    </row>
    <row r="115" spans="1:4">
      <c r="A115" s="247"/>
      <c r="B115" s="252"/>
      <c r="C115" s="252"/>
      <c r="D115" s="253"/>
    </row>
    <row r="116" spans="1:4">
      <c r="A116" s="1483" t="s">
        <v>356</v>
      </c>
      <c r="B116" s="1484"/>
      <c r="C116" s="1484" t="s">
        <v>357</v>
      </c>
      <c r="D116" s="1485"/>
    </row>
    <row r="117" spans="1:4">
      <c r="A117" s="1486">
        <v>1</v>
      </c>
      <c r="B117" s="1487"/>
      <c r="C117" s="1487">
        <v>1</v>
      </c>
      <c r="D117" s="1488"/>
    </row>
    <row r="118" spans="1:4">
      <c r="A118" s="1486">
        <v>2</v>
      </c>
      <c r="B118" s="1487"/>
      <c r="C118" s="1487">
        <v>2</v>
      </c>
      <c r="D118" s="1488"/>
    </row>
    <row r="119" spans="1:4">
      <c r="A119" s="262"/>
      <c r="C119" s="1476" t="s">
        <v>362</v>
      </c>
      <c r="D119" s="1477"/>
    </row>
    <row r="120" spans="1:4">
      <c r="A120" s="1473" t="s">
        <v>358</v>
      </c>
      <c r="B120" s="1474"/>
      <c r="C120" s="1474"/>
      <c r="D120" s="1475"/>
    </row>
    <row r="121" spans="1:4">
      <c r="A121" s="265" t="s">
        <v>359</v>
      </c>
      <c r="B121" s="266"/>
      <c r="C121" s="266"/>
      <c r="D121" s="267"/>
    </row>
    <row r="122" spans="1:4">
      <c r="A122" s="265"/>
      <c r="B122" s="266"/>
      <c r="C122" s="266"/>
      <c r="D122" s="267"/>
    </row>
    <row r="123" spans="1:4">
      <c r="A123" s="265"/>
      <c r="B123" s="266"/>
      <c r="C123" s="266" t="s">
        <v>360</v>
      </c>
      <c r="D123" s="267"/>
    </row>
    <row r="124" spans="1:4">
      <c r="A124" s="262"/>
      <c r="B124" s="263"/>
      <c r="C124" s="163" t="s">
        <v>161</v>
      </c>
      <c r="D124" s="264"/>
    </row>
    <row r="125" spans="1:4">
      <c r="A125" s="262"/>
      <c r="C125" t="s">
        <v>361</v>
      </c>
      <c r="D125" s="268"/>
    </row>
    <row r="126" spans="1:4">
      <c r="A126" s="262"/>
      <c r="C126" s="1478" t="str">
        <f>'04-22-Master'!F5</f>
        <v>Burgeon IT Services Pvt.Ltd.</v>
      </c>
      <c r="D126" s="1479"/>
    </row>
    <row r="127" spans="1:4">
      <c r="A127" s="247" t="s">
        <v>293</v>
      </c>
      <c r="B127" t="str">
        <f>B110</f>
        <v>Hyderabad</v>
      </c>
      <c r="C127" s="2" t="str">
        <f>'04-22-Master'!F6</f>
        <v>Siri Mansion LIGB 436 Dr.A S Rao Nagar,Hyderabad</v>
      </c>
      <c r="D127" s="16"/>
    </row>
    <row r="128" spans="1:4" ht="15.75" thickBot="1">
      <c r="A128" s="247" t="s">
        <v>352</v>
      </c>
      <c r="B128" s="284" t="e">
        <f>B111</f>
        <v>#REF!</v>
      </c>
      <c r="C128" s="2"/>
      <c r="D128" s="16"/>
    </row>
    <row r="129" spans="1:4" ht="15.75" thickBot="1">
      <c r="A129" s="273"/>
      <c r="B129" s="274" t="s">
        <v>365</v>
      </c>
      <c r="C129" s="274"/>
      <c r="D129" s="30"/>
    </row>
    <row r="130" spans="1:4">
      <c r="A130" s="247" t="s">
        <v>363</v>
      </c>
      <c r="C130" s="2"/>
      <c r="D130" s="16"/>
    </row>
    <row r="131" spans="1:4">
      <c r="A131" s="247" t="s">
        <v>352</v>
      </c>
      <c r="B131" s="284" t="e">
        <f>B128</f>
        <v>#REF!</v>
      </c>
      <c r="C131" s="2"/>
      <c r="D131" s="16"/>
    </row>
    <row r="132" spans="1:4" ht="15.75" thickBot="1">
      <c r="A132" s="276" t="s">
        <v>364</v>
      </c>
      <c r="B132" s="25"/>
      <c r="C132" s="25"/>
      <c r="D132" s="26" t="s">
        <v>151</v>
      </c>
    </row>
    <row r="136" spans="1:4" ht="15.75" thickBot="1"/>
    <row r="137" spans="1:4" ht="20.25">
      <c r="A137" s="1490" t="s">
        <v>327</v>
      </c>
      <c r="B137" s="1491"/>
      <c r="C137" s="1491"/>
      <c r="D137" s="1492"/>
    </row>
    <row r="138" spans="1:4">
      <c r="A138" s="1493" t="s">
        <v>328</v>
      </c>
      <c r="B138" s="1494"/>
      <c r="C138" s="1494"/>
      <c r="D138" s="1495"/>
    </row>
    <row r="139" spans="1:4" ht="18">
      <c r="A139" s="1496" t="s">
        <v>329</v>
      </c>
      <c r="B139" s="1497"/>
      <c r="C139" s="1497"/>
      <c r="D139" s="1498"/>
    </row>
    <row r="140" spans="1:4">
      <c r="A140" s="15" t="s">
        <v>150</v>
      </c>
      <c r="D140" s="16"/>
    </row>
    <row r="141" spans="1:4" ht="18">
      <c r="A141" s="269" t="str">
        <f>'04-22-Master'!F5</f>
        <v>Burgeon IT Services Pvt.Ltd.</v>
      </c>
      <c r="B141" s="246"/>
      <c r="D141" s="16"/>
    </row>
    <row r="142" spans="1:4" ht="18">
      <c r="A142" s="269" t="str">
        <f>'04-22-Master'!F6</f>
        <v>Siri Mansion LIGB 436 Dr.A S Rao Nagar,Hyderabad</v>
      </c>
      <c r="B142" s="246"/>
      <c r="D142" s="16"/>
    </row>
    <row r="143" spans="1:4" ht="18">
      <c r="A143" s="248"/>
      <c r="B143" s="5"/>
      <c r="D143" s="16"/>
    </row>
    <row r="144" spans="1:4" ht="15.75">
      <c r="A144" s="247" t="s">
        <v>330</v>
      </c>
      <c r="B144" s="270"/>
      <c r="C144" s="271" t="e">
        <f>'04-22-Master'!#REF!</f>
        <v>#REF!</v>
      </c>
      <c r="D144" s="86"/>
    </row>
    <row r="145" spans="1:4">
      <c r="A145" s="1499" t="s">
        <v>331</v>
      </c>
      <c r="B145" s="1500"/>
      <c r="C145" s="1500"/>
      <c r="D145" s="1501"/>
    </row>
    <row r="146" spans="1:4">
      <c r="A146" s="15"/>
      <c r="D146" s="16"/>
    </row>
    <row r="147" spans="1:4">
      <c r="A147" s="1499" t="s">
        <v>332</v>
      </c>
      <c r="B147" s="1500"/>
      <c r="C147" s="1500"/>
      <c r="D147" s="1501"/>
    </row>
    <row r="148" spans="1:4">
      <c r="A148" s="249"/>
      <c r="B148" s="250"/>
      <c r="C148" s="250"/>
      <c r="D148" s="251"/>
    </row>
    <row r="149" spans="1:4">
      <c r="A149" s="1483" t="s">
        <v>333</v>
      </c>
      <c r="B149" s="1484"/>
      <c r="C149" s="1484"/>
      <c r="D149" s="1485"/>
    </row>
    <row r="150" spans="1:4">
      <c r="A150" s="15"/>
      <c r="D150" s="16"/>
    </row>
    <row r="151" spans="1:4">
      <c r="A151" s="1483" t="s">
        <v>334</v>
      </c>
      <c r="B151" s="1484"/>
      <c r="C151" s="1484"/>
      <c r="D151" s="1485"/>
    </row>
    <row r="152" spans="1:4">
      <c r="A152" s="1483" t="s">
        <v>335</v>
      </c>
      <c r="B152" s="1484"/>
      <c r="C152" s="1484"/>
      <c r="D152" s="1485"/>
    </row>
    <row r="153" spans="1:4">
      <c r="A153" s="247"/>
      <c r="B153" s="252"/>
      <c r="C153" s="252"/>
      <c r="D153" s="253"/>
    </row>
    <row r="154" spans="1:4">
      <c r="A154" s="1499" t="s">
        <v>336</v>
      </c>
      <c r="B154" s="1500"/>
      <c r="C154" s="1500"/>
      <c r="D154" s="1501"/>
    </row>
    <row r="155" spans="1:4">
      <c r="A155" s="247"/>
      <c r="B155" s="252"/>
      <c r="C155" s="252"/>
      <c r="D155" s="253"/>
    </row>
    <row r="156" spans="1:4">
      <c r="A156" s="1483" t="s">
        <v>337</v>
      </c>
      <c r="B156" s="1484"/>
      <c r="C156" s="1484"/>
      <c r="D156" s="1485"/>
    </row>
    <row r="157" spans="1:4">
      <c r="A157" s="15"/>
      <c r="D157" s="16"/>
    </row>
    <row r="158" spans="1:4">
      <c r="A158" s="1480" t="s">
        <v>338</v>
      </c>
      <c r="B158" s="1481"/>
      <c r="C158" s="1481"/>
      <c r="D158" s="1482"/>
    </row>
    <row r="159" spans="1:4" ht="42.75">
      <c r="A159" s="254" t="s">
        <v>339</v>
      </c>
      <c r="B159" s="255" t="s">
        <v>340</v>
      </c>
      <c r="C159" s="255" t="s">
        <v>341</v>
      </c>
      <c r="D159" s="256" t="s">
        <v>342</v>
      </c>
    </row>
    <row r="160" spans="1:4">
      <c r="A160" s="257">
        <v>1</v>
      </c>
      <c r="B160" s="258">
        <v>2</v>
      </c>
      <c r="C160" s="258">
        <v>3</v>
      </c>
      <c r="D160" s="259">
        <v>4</v>
      </c>
    </row>
    <row r="161" spans="1:4">
      <c r="A161" s="293" t="e">
        <f>'04-22-Master'!#REF!</f>
        <v>#REF!</v>
      </c>
      <c r="B161" s="13" t="s">
        <v>384</v>
      </c>
      <c r="C161" s="13" t="s">
        <v>391</v>
      </c>
      <c r="D161" s="291">
        <v>1</v>
      </c>
    </row>
    <row r="162" spans="1:4">
      <c r="A162" s="275"/>
      <c r="B162" s="13"/>
      <c r="C162" s="13"/>
      <c r="D162" s="260"/>
    </row>
    <row r="163" spans="1:4">
      <c r="A163" s="272"/>
      <c r="B163" s="13"/>
      <c r="C163" s="13"/>
      <c r="D163" s="260"/>
    </row>
    <row r="164" spans="1:4">
      <c r="A164" s="15"/>
      <c r="D164" s="16"/>
    </row>
    <row r="165" spans="1:4">
      <c r="A165" s="1480" t="s">
        <v>343</v>
      </c>
      <c r="B165" s="1481"/>
      <c r="C165" s="1481"/>
      <c r="D165" s="1482"/>
    </row>
    <row r="166" spans="1:4">
      <c r="A166" s="164"/>
      <c r="B166" s="6"/>
      <c r="C166" s="6"/>
      <c r="D166" s="165"/>
    </row>
    <row r="167" spans="1:4">
      <c r="A167" s="1469" t="s">
        <v>344</v>
      </c>
      <c r="B167" s="1470"/>
      <c r="C167" s="1471" t="e">
        <f>'04-22-Master'!#REF!</f>
        <v>#REF!</v>
      </c>
      <c r="D167" s="1472"/>
    </row>
    <row r="168" spans="1:4">
      <c r="A168" s="1469" t="s">
        <v>345</v>
      </c>
      <c r="B168" s="1470"/>
      <c r="C168" s="1307" t="e">
        <f>'04-22-Master'!#REF!</f>
        <v>#REF!</v>
      </c>
      <c r="D168" s="1472"/>
    </row>
    <row r="169" spans="1:4">
      <c r="A169" s="1469" t="s">
        <v>346</v>
      </c>
      <c r="B169" s="1470"/>
      <c r="C169" s="1307" t="s">
        <v>393</v>
      </c>
      <c r="D169" s="1472"/>
    </row>
    <row r="170" spans="1:4">
      <c r="A170" s="1469" t="s">
        <v>347</v>
      </c>
      <c r="B170" s="1470"/>
      <c r="C170" s="1307" t="s">
        <v>390</v>
      </c>
      <c r="D170" s="1472"/>
    </row>
    <row r="171" spans="1:4">
      <c r="A171" s="1469" t="s">
        <v>348</v>
      </c>
      <c r="B171" s="1470"/>
      <c r="C171" s="1471" t="e">
        <f>'04-22-Master'!#REF!</f>
        <v>#REF!</v>
      </c>
      <c r="D171" s="1472"/>
    </row>
    <row r="172" spans="1:4">
      <c r="A172" s="1469" t="s">
        <v>349</v>
      </c>
      <c r="B172" s="1470"/>
      <c r="C172" s="1471" t="e">
        <f>'04-22-Master'!#REF!</f>
        <v>#REF!</v>
      </c>
      <c r="D172" s="1472"/>
    </row>
    <row r="173" spans="1:4">
      <c r="A173" s="1469" t="s">
        <v>350</v>
      </c>
      <c r="B173" s="1470"/>
      <c r="C173" s="1489" t="e">
        <f>'04-22-Master'!#REF!</f>
        <v>#REF!</v>
      </c>
      <c r="D173" s="1472"/>
    </row>
    <row r="174" spans="1:4">
      <c r="A174" s="1469" t="s">
        <v>351</v>
      </c>
      <c r="B174" s="1470"/>
      <c r="C174" s="1307"/>
      <c r="D174" s="1472"/>
    </row>
    <row r="175" spans="1:4">
      <c r="A175" s="1469"/>
      <c r="B175" s="1470"/>
      <c r="C175" s="1471" t="e">
        <f>'04-22-Master'!#REF!</f>
        <v>#REF!</v>
      </c>
      <c r="D175" s="1472"/>
    </row>
    <row r="176" spans="1:4">
      <c r="A176" s="1469"/>
      <c r="B176" s="1470"/>
      <c r="C176" s="1471" t="e">
        <f>'04-22-Master'!#REF!</f>
        <v>#REF!</v>
      </c>
      <c r="D176" s="1472"/>
    </row>
    <row r="177" spans="1:4">
      <c r="A177" s="1469"/>
      <c r="B177" s="1470"/>
      <c r="C177" s="1471" t="e">
        <f>'04-22-Master'!#REF!</f>
        <v>#REF!</v>
      </c>
      <c r="D177" s="1472"/>
    </row>
    <row r="178" spans="1:4">
      <c r="A178" s="247" t="s">
        <v>293</v>
      </c>
      <c r="B178" s="252" t="s">
        <v>382</v>
      </c>
      <c r="C178" s="252"/>
      <c r="D178" s="253"/>
    </row>
    <row r="179" spans="1:4">
      <c r="A179" s="247" t="s">
        <v>352</v>
      </c>
      <c r="B179" s="292" t="e">
        <f>'04-22-Master'!#REF!</f>
        <v>#REF!</v>
      </c>
      <c r="C179" s="261" t="s">
        <v>353</v>
      </c>
      <c r="D179" s="253"/>
    </row>
    <row r="180" spans="1:4">
      <c r="A180" s="247"/>
      <c r="B180" s="252"/>
      <c r="C180" s="252"/>
      <c r="D180" s="253"/>
    </row>
    <row r="181" spans="1:4">
      <c r="A181" s="1480" t="s">
        <v>354</v>
      </c>
      <c r="B181" s="1481"/>
      <c r="C181" s="1481"/>
      <c r="D181" s="1482"/>
    </row>
    <row r="182" spans="1:4">
      <c r="A182" s="247" t="s">
        <v>355</v>
      </c>
      <c r="B182" s="252"/>
      <c r="C182" s="252"/>
      <c r="D182" s="253"/>
    </row>
    <row r="183" spans="1:4">
      <c r="A183" s="247"/>
      <c r="B183" s="252"/>
      <c r="C183" s="252"/>
      <c r="D183" s="253"/>
    </row>
    <row r="184" spans="1:4">
      <c r="A184" s="1483" t="s">
        <v>356</v>
      </c>
      <c r="B184" s="1484"/>
      <c r="C184" s="1484" t="s">
        <v>357</v>
      </c>
      <c r="D184" s="1485"/>
    </row>
    <row r="185" spans="1:4">
      <c r="A185" s="1486">
        <v>1</v>
      </c>
      <c r="B185" s="1487"/>
      <c r="C185" s="1487">
        <v>1</v>
      </c>
      <c r="D185" s="1488"/>
    </row>
    <row r="186" spans="1:4">
      <c r="A186" s="1486">
        <v>2</v>
      </c>
      <c r="B186" s="1487"/>
      <c r="C186" s="1487">
        <v>2</v>
      </c>
      <c r="D186" s="1488"/>
    </row>
    <row r="187" spans="1:4">
      <c r="A187" s="262"/>
      <c r="C187" s="1476" t="s">
        <v>362</v>
      </c>
      <c r="D187" s="1477"/>
    </row>
    <row r="188" spans="1:4">
      <c r="A188" s="1473" t="s">
        <v>358</v>
      </c>
      <c r="B188" s="1474"/>
      <c r="C188" s="1474"/>
      <c r="D188" s="1475"/>
    </row>
    <row r="189" spans="1:4">
      <c r="A189" s="265" t="s">
        <v>359</v>
      </c>
      <c r="B189" s="266"/>
      <c r="C189" s="266"/>
      <c r="D189" s="267"/>
    </row>
    <row r="190" spans="1:4">
      <c r="A190" s="265"/>
      <c r="B190" s="266"/>
      <c r="C190" s="266"/>
      <c r="D190" s="267"/>
    </row>
    <row r="191" spans="1:4">
      <c r="A191" s="265"/>
      <c r="B191" s="266"/>
      <c r="C191" s="266" t="s">
        <v>360</v>
      </c>
      <c r="D191" s="267"/>
    </row>
    <row r="192" spans="1:4">
      <c r="A192" s="262"/>
      <c r="B192" s="263"/>
      <c r="C192" s="163" t="s">
        <v>161</v>
      </c>
      <c r="D192" s="264"/>
    </row>
    <row r="193" spans="1:4">
      <c r="A193" s="262"/>
      <c r="C193" t="s">
        <v>361</v>
      </c>
      <c r="D193" s="268"/>
    </row>
    <row r="194" spans="1:4">
      <c r="A194" s="262"/>
      <c r="C194" s="1478" t="str">
        <f>'04-22-Master'!F5</f>
        <v>Burgeon IT Services Pvt.Ltd.</v>
      </c>
      <c r="D194" s="1479"/>
    </row>
    <row r="195" spans="1:4">
      <c r="A195" s="247" t="s">
        <v>293</v>
      </c>
      <c r="B195" t="str">
        <f>B178</f>
        <v>Hyderabad</v>
      </c>
      <c r="C195" s="2" t="str">
        <f>'04-22-Master'!F6</f>
        <v>Siri Mansion LIGB 436 Dr.A S Rao Nagar,Hyderabad</v>
      </c>
      <c r="D195" s="16"/>
    </row>
    <row r="196" spans="1:4" ht="15.75" thickBot="1">
      <c r="A196" s="247" t="s">
        <v>352</v>
      </c>
      <c r="B196" s="284" t="e">
        <f>B179</f>
        <v>#REF!</v>
      </c>
      <c r="C196" s="2"/>
      <c r="D196" s="16"/>
    </row>
    <row r="197" spans="1:4" ht="15.75" thickBot="1">
      <c r="A197" s="273"/>
      <c r="B197" s="274" t="s">
        <v>365</v>
      </c>
      <c r="C197" s="274"/>
      <c r="D197" s="30"/>
    </row>
    <row r="198" spans="1:4">
      <c r="A198" s="247" t="s">
        <v>363</v>
      </c>
      <c r="C198" s="2"/>
      <c r="D198" s="16"/>
    </row>
    <row r="199" spans="1:4">
      <c r="A199" s="247" t="s">
        <v>352</v>
      </c>
      <c r="B199" s="284" t="e">
        <f>B196</f>
        <v>#REF!</v>
      </c>
      <c r="C199" s="2"/>
      <c r="D199" s="16"/>
    </row>
    <row r="200" spans="1:4" ht="15.75" thickBot="1">
      <c r="A200" s="276" t="s">
        <v>364</v>
      </c>
      <c r="B200" s="25"/>
      <c r="C200" s="25"/>
      <c r="D200" s="26" t="s">
        <v>151</v>
      </c>
    </row>
    <row r="204" spans="1:4" ht="15.75" thickBot="1"/>
    <row r="205" spans="1:4" ht="20.25">
      <c r="A205" s="1490" t="s">
        <v>327</v>
      </c>
      <c r="B205" s="1491"/>
      <c r="C205" s="1491"/>
      <c r="D205" s="1492"/>
    </row>
    <row r="206" spans="1:4">
      <c r="A206" s="1493" t="s">
        <v>328</v>
      </c>
      <c r="B206" s="1494"/>
      <c r="C206" s="1494"/>
      <c r="D206" s="1495"/>
    </row>
    <row r="207" spans="1:4" ht="18">
      <c r="A207" s="1496" t="s">
        <v>329</v>
      </c>
      <c r="B207" s="1497"/>
      <c r="C207" s="1497"/>
      <c r="D207" s="1498"/>
    </row>
    <row r="208" spans="1:4">
      <c r="A208" s="15" t="s">
        <v>150</v>
      </c>
      <c r="D208" s="16"/>
    </row>
    <row r="209" spans="1:4" ht="18">
      <c r="A209" s="269" t="str">
        <f>'04-22-Master'!F5</f>
        <v>Burgeon IT Services Pvt.Ltd.</v>
      </c>
      <c r="B209" s="246"/>
      <c r="D209" s="16"/>
    </row>
    <row r="210" spans="1:4" ht="18">
      <c r="A210" s="269" t="str">
        <f>'04-22-Master'!F6</f>
        <v>Siri Mansion LIGB 436 Dr.A S Rao Nagar,Hyderabad</v>
      </c>
      <c r="B210" s="246"/>
      <c r="D210" s="16"/>
    </row>
    <row r="211" spans="1:4" ht="18">
      <c r="A211" s="248"/>
      <c r="B211" s="5"/>
      <c r="D211" s="16"/>
    </row>
    <row r="212" spans="1:4" ht="15.75">
      <c r="A212" s="247" t="s">
        <v>330</v>
      </c>
      <c r="B212" s="270"/>
      <c r="C212" s="271" t="e">
        <f>'04-22-Master'!#REF!</f>
        <v>#REF!</v>
      </c>
      <c r="D212" s="86"/>
    </row>
    <row r="213" spans="1:4">
      <c r="A213" s="1499" t="s">
        <v>331</v>
      </c>
      <c r="B213" s="1500"/>
      <c r="C213" s="1500"/>
      <c r="D213" s="1501"/>
    </row>
    <row r="214" spans="1:4">
      <c r="A214" s="15"/>
      <c r="D214" s="16"/>
    </row>
    <row r="215" spans="1:4">
      <c r="A215" s="1499" t="s">
        <v>332</v>
      </c>
      <c r="B215" s="1500"/>
      <c r="C215" s="1500"/>
      <c r="D215" s="1501"/>
    </row>
    <row r="216" spans="1:4">
      <c r="A216" s="249"/>
      <c r="B216" s="250"/>
      <c r="C216" s="250"/>
      <c r="D216" s="251"/>
    </row>
    <row r="217" spans="1:4">
      <c r="A217" s="1483" t="s">
        <v>333</v>
      </c>
      <c r="B217" s="1484"/>
      <c r="C217" s="1484"/>
      <c r="D217" s="1485"/>
    </row>
    <row r="218" spans="1:4">
      <c r="A218" s="15"/>
      <c r="D218" s="16"/>
    </row>
    <row r="219" spans="1:4">
      <c r="A219" s="1483" t="s">
        <v>334</v>
      </c>
      <c r="B219" s="1484"/>
      <c r="C219" s="1484"/>
      <c r="D219" s="1485"/>
    </row>
    <row r="220" spans="1:4">
      <c r="A220" s="1483" t="s">
        <v>335</v>
      </c>
      <c r="B220" s="1484"/>
      <c r="C220" s="1484"/>
      <c r="D220" s="1485"/>
    </row>
    <row r="221" spans="1:4">
      <c r="A221" s="247"/>
      <c r="B221" s="252"/>
      <c r="C221" s="252"/>
      <c r="D221" s="253"/>
    </row>
    <row r="222" spans="1:4">
      <c r="A222" s="1499" t="s">
        <v>336</v>
      </c>
      <c r="B222" s="1500"/>
      <c r="C222" s="1500"/>
      <c r="D222" s="1501"/>
    </row>
    <row r="223" spans="1:4">
      <c r="A223" s="247"/>
      <c r="B223" s="252"/>
      <c r="C223" s="252"/>
      <c r="D223" s="253"/>
    </row>
    <row r="224" spans="1:4">
      <c r="A224" s="1483" t="s">
        <v>337</v>
      </c>
      <c r="B224" s="1484"/>
      <c r="C224" s="1484"/>
      <c r="D224" s="1485"/>
    </row>
    <row r="225" spans="1:4">
      <c r="A225" s="15"/>
      <c r="D225" s="16"/>
    </row>
    <row r="226" spans="1:4">
      <c r="A226" s="1480" t="s">
        <v>338</v>
      </c>
      <c r="B226" s="1481"/>
      <c r="C226" s="1481"/>
      <c r="D226" s="1482"/>
    </row>
    <row r="227" spans="1:4" ht="42.75">
      <c r="A227" s="254" t="s">
        <v>339</v>
      </c>
      <c r="B227" s="255" t="s">
        <v>340</v>
      </c>
      <c r="C227" s="255" t="s">
        <v>341</v>
      </c>
      <c r="D227" s="256" t="s">
        <v>342</v>
      </c>
    </row>
    <row r="228" spans="1:4">
      <c r="A228" s="257">
        <v>1</v>
      </c>
      <c r="B228" s="258">
        <v>2</v>
      </c>
      <c r="C228" s="258">
        <v>3</v>
      </c>
      <c r="D228" s="259">
        <v>4</v>
      </c>
    </row>
    <row r="229" spans="1:4">
      <c r="A229" s="15" t="e">
        <f>'04-22-Master'!#REF!</f>
        <v>#REF!</v>
      </c>
      <c r="B229" s="13" t="s">
        <v>384</v>
      </c>
      <c r="C229" s="13" t="s">
        <v>391</v>
      </c>
      <c r="D229" s="291">
        <v>1</v>
      </c>
    </row>
    <row r="230" spans="1:4">
      <c r="A230" s="275"/>
      <c r="B230" s="13"/>
      <c r="C230" s="13"/>
      <c r="D230" s="260"/>
    </row>
    <row r="231" spans="1:4">
      <c r="A231" s="272"/>
      <c r="B231" s="13"/>
      <c r="C231" s="13"/>
      <c r="D231" s="260"/>
    </row>
    <row r="232" spans="1:4">
      <c r="A232" s="15"/>
      <c r="D232" s="16"/>
    </row>
    <row r="233" spans="1:4">
      <c r="A233" s="1480" t="s">
        <v>343</v>
      </c>
      <c r="B233" s="1481"/>
      <c r="C233" s="1481"/>
      <c r="D233" s="1482"/>
    </row>
    <row r="234" spans="1:4">
      <c r="A234" s="164"/>
      <c r="B234" s="6"/>
      <c r="C234" s="6"/>
      <c r="D234" s="165"/>
    </row>
    <row r="235" spans="1:4">
      <c r="A235" s="1469" t="s">
        <v>344</v>
      </c>
      <c r="B235" s="1470"/>
      <c r="C235" s="1471" t="e">
        <f>'04-22-Master'!#REF!</f>
        <v>#REF!</v>
      </c>
      <c r="D235" s="1472"/>
    </row>
    <row r="236" spans="1:4">
      <c r="A236" s="1469" t="s">
        <v>345</v>
      </c>
      <c r="B236" s="1470"/>
      <c r="C236" s="1307" t="e">
        <f>'04-22-Master'!#REF!</f>
        <v>#REF!</v>
      </c>
      <c r="D236" s="1472"/>
    </row>
    <row r="237" spans="1:4">
      <c r="A237" s="1469" t="s">
        <v>346</v>
      </c>
      <c r="B237" s="1470"/>
      <c r="C237" s="1307" t="s">
        <v>392</v>
      </c>
      <c r="D237" s="1472"/>
    </row>
    <row r="238" spans="1:4">
      <c r="A238" s="1469" t="s">
        <v>347</v>
      </c>
      <c r="B238" s="1470"/>
      <c r="C238" s="1307" t="s">
        <v>390</v>
      </c>
      <c r="D238" s="1472"/>
    </row>
    <row r="239" spans="1:4">
      <c r="A239" s="1469" t="s">
        <v>348</v>
      </c>
      <c r="B239" s="1470"/>
      <c r="C239" s="1471" t="e">
        <f>'04-22-Master'!#REF!</f>
        <v>#REF!</v>
      </c>
      <c r="D239" s="1472"/>
    </row>
    <row r="240" spans="1:4">
      <c r="A240" s="1469" t="s">
        <v>349</v>
      </c>
      <c r="B240" s="1470"/>
      <c r="C240" s="1471" t="e">
        <f>'04-22-Master'!#REF!</f>
        <v>#REF!</v>
      </c>
      <c r="D240" s="1472"/>
    </row>
    <row r="241" spans="1:4">
      <c r="A241" s="1469" t="s">
        <v>350</v>
      </c>
      <c r="B241" s="1470"/>
      <c r="C241" s="1489" t="e">
        <f>'04-22-Master'!#REF!</f>
        <v>#REF!</v>
      </c>
      <c r="D241" s="1472"/>
    </row>
    <row r="242" spans="1:4">
      <c r="A242" s="1469" t="s">
        <v>351</v>
      </c>
      <c r="B242" s="1470"/>
      <c r="C242" s="1307"/>
      <c r="D242" s="1472"/>
    </row>
    <row r="243" spans="1:4">
      <c r="A243" s="1469"/>
      <c r="B243" s="1470"/>
      <c r="C243" s="1471" t="e">
        <f>'04-22-Master'!#REF!</f>
        <v>#REF!</v>
      </c>
      <c r="D243" s="1472"/>
    </row>
    <row r="244" spans="1:4">
      <c r="A244" s="1469"/>
      <c r="B244" s="1470"/>
      <c r="C244" s="1471" t="e">
        <f>'04-22-Master'!#REF!</f>
        <v>#REF!</v>
      </c>
      <c r="D244" s="1472"/>
    </row>
    <row r="245" spans="1:4">
      <c r="A245" s="1469"/>
      <c r="B245" s="1470"/>
      <c r="C245" s="1471" t="e">
        <f>'04-22-Master'!#REF!</f>
        <v>#REF!</v>
      </c>
      <c r="D245" s="1472"/>
    </row>
    <row r="246" spans="1:4">
      <c r="A246" s="247" t="s">
        <v>293</v>
      </c>
      <c r="B246" s="252" t="s">
        <v>382</v>
      </c>
      <c r="C246" s="252"/>
      <c r="D246" s="253"/>
    </row>
    <row r="247" spans="1:4">
      <c r="A247" s="247" t="s">
        <v>352</v>
      </c>
      <c r="B247" s="292" t="e">
        <f>'04-22-Master'!#REF!</f>
        <v>#REF!</v>
      </c>
      <c r="C247" s="261" t="s">
        <v>353</v>
      </c>
      <c r="D247" s="253"/>
    </row>
    <row r="248" spans="1:4">
      <c r="A248" s="247"/>
      <c r="B248" s="252"/>
      <c r="C248" s="252"/>
      <c r="D248" s="253"/>
    </row>
    <row r="249" spans="1:4">
      <c r="A249" s="1480" t="s">
        <v>354</v>
      </c>
      <c r="B249" s="1481"/>
      <c r="C249" s="1481"/>
      <c r="D249" s="1482"/>
    </row>
    <row r="250" spans="1:4">
      <c r="A250" s="247" t="s">
        <v>355</v>
      </c>
      <c r="B250" s="252"/>
      <c r="C250" s="252"/>
      <c r="D250" s="253"/>
    </row>
    <row r="251" spans="1:4">
      <c r="A251" s="247"/>
      <c r="B251" s="252"/>
      <c r="C251" s="252"/>
      <c r="D251" s="253"/>
    </row>
    <row r="252" spans="1:4">
      <c r="A252" s="1483" t="s">
        <v>356</v>
      </c>
      <c r="B252" s="1484"/>
      <c r="C252" s="1484" t="s">
        <v>357</v>
      </c>
      <c r="D252" s="1485"/>
    </row>
    <row r="253" spans="1:4">
      <c r="A253" s="1486">
        <v>1</v>
      </c>
      <c r="B253" s="1487"/>
      <c r="C253" s="1487">
        <v>1</v>
      </c>
      <c r="D253" s="1488"/>
    </row>
    <row r="254" spans="1:4">
      <c r="A254" s="1486">
        <v>2</v>
      </c>
      <c r="B254" s="1487"/>
      <c r="C254" s="1487">
        <v>2</v>
      </c>
      <c r="D254" s="1488"/>
    </row>
    <row r="255" spans="1:4">
      <c r="A255" s="262"/>
      <c r="C255" s="1476" t="s">
        <v>362</v>
      </c>
      <c r="D255" s="1477"/>
    </row>
    <row r="256" spans="1:4">
      <c r="A256" s="1473" t="s">
        <v>358</v>
      </c>
      <c r="B256" s="1474"/>
      <c r="C256" s="1474"/>
      <c r="D256" s="1475"/>
    </row>
    <row r="257" spans="1:4">
      <c r="A257" s="265" t="s">
        <v>359</v>
      </c>
      <c r="B257" s="266"/>
      <c r="C257" s="266"/>
      <c r="D257" s="267"/>
    </row>
    <row r="258" spans="1:4">
      <c r="A258" s="265"/>
      <c r="B258" s="266"/>
      <c r="C258" s="266"/>
      <c r="D258" s="267"/>
    </row>
    <row r="259" spans="1:4">
      <c r="A259" s="265"/>
      <c r="B259" s="266"/>
      <c r="C259" s="266" t="s">
        <v>360</v>
      </c>
      <c r="D259" s="267"/>
    </row>
    <row r="260" spans="1:4">
      <c r="A260" s="262"/>
      <c r="B260" s="263"/>
      <c r="C260" s="163" t="s">
        <v>161</v>
      </c>
      <c r="D260" s="264"/>
    </row>
    <row r="261" spans="1:4">
      <c r="A261" s="262"/>
      <c r="C261" t="s">
        <v>361</v>
      </c>
      <c r="D261" s="268"/>
    </row>
    <row r="262" spans="1:4">
      <c r="A262" s="262"/>
      <c r="C262" s="1478" t="str">
        <f>'04-22-Master'!F5</f>
        <v>Burgeon IT Services Pvt.Ltd.</v>
      </c>
      <c r="D262" s="1479"/>
    </row>
    <row r="263" spans="1:4">
      <c r="A263" s="247" t="s">
        <v>293</v>
      </c>
      <c r="B263" t="str">
        <f>B246</f>
        <v>Hyderabad</v>
      </c>
      <c r="C263" s="2" t="str">
        <f>'04-22-Master'!F6</f>
        <v>Siri Mansion LIGB 436 Dr.A S Rao Nagar,Hyderabad</v>
      </c>
      <c r="D263" s="16"/>
    </row>
    <row r="264" spans="1:4" ht="15.75" thickBot="1">
      <c r="A264" s="247" t="s">
        <v>352</v>
      </c>
      <c r="B264" s="284" t="e">
        <f>B247</f>
        <v>#REF!</v>
      </c>
      <c r="C264" s="2"/>
      <c r="D264" s="16"/>
    </row>
    <row r="265" spans="1:4" ht="15.75" thickBot="1">
      <c r="A265" s="273"/>
      <c r="B265" s="274" t="s">
        <v>365</v>
      </c>
      <c r="C265" s="274"/>
      <c r="D265" s="30"/>
    </row>
    <row r="266" spans="1:4">
      <c r="A266" s="247" t="s">
        <v>363</v>
      </c>
      <c r="C266" s="2"/>
      <c r="D266" s="16"/>
    </row>
    <row r="267" spans="1:4">
      <c r="A267" s="247" t="s">
        <v>352</v>
      </c>
      <c r="B267" s="284" t="e">
        <f>B264</f>
        <v>#REF!</v>
      </c>
      <c r="C267" s="2"/>
      <c r="D267" s="16"/>
    </row>
    <row r="268" spans="1:4" ht="15.75" thickBot="1">
      <c r="A268" s="276" t="s">
        <v>364</v>
      </c>
      <c r="B268" s="25"/>
      <c r="C268" s="25"/>
      <c r="D268" s="26" t="s">
        <v>151</v>
      </c>
    </row>
    <row r="272" spans="1:4" ht="15.75" thickBot="1"/>
    <row r="273" spans="1:4" ht="20.25">
      <c r="A273" s="1490" t="s">
        <v>327</v>
      </c>
      <c r="B273" s="1491"/>
      <c r="C273" s="1491"/>
      <c r="D273" s="1492"/>
    </row>
    <row r="274" spans="1:4">
      <c r="A274" s="1493" t="s">
        <v>328</v>
      </c>
      <c r="B274" s="1494"/>
      <c r="C274" s="1494"/>
      <c r="D274" s="1495"/>
    </row>
    <row r="275" spans="1:4" ht="18">
      <c r="A275" s="1496" t="s">
        <v>329</v>
      </c>
      <c r="B275" s="1497"/>
      <c r="C275" s="1497"/>
      <c r="D275" s="1498"/>
    </row>
    <row r="276" spans="1:4">
      <c r="A276" s="15" t="s">
        <v>150</v>
      </c>
      <c r="D276" s="16"/>
    </row>
    <row r="277" spans="1:4" ht="18">
      <c r="A277" s="269" t="str">
        <f>'04-22-Master'!F5</f>
        <v>Burgeon IT Services Pvt.Ltd.</v>
      </c>
      <c r="B277" s="246"/>
      <c r="D277" s="16"/>
    </row>
    <row r="278" spans="1:4" ht="18">
      <c r="A278" s="269" t="str">
        <f>'04-22-Master'!F6</f>
        <v>Siri Mansion LIGB 436 Dr.A S Rao Nagar,Hyderabad</v>
      </c>
      <c r="B278" s="246"/>
      <c r="D278" s="16"/>
    </row>
    <row r="279" spans="1:4" ht="18">
      <c r="A279" s="248"/>
      <c r="B279" s="5"/>
      <c r="D279" s="16"/>
    </row>
    <row r="280" spans="1:4" ht="15.75">
      <c r="A280" s="247" t="s">
        <v>330</v>
      </c>
      <c r="B280" s="270"/>
      <c r="C280" s="271" t="e">
        <f>'04-22-Master'!#REF!</f>
        <v>#REF!</v>
      </c>
      <c r="D280" s="86"/>
    </row>
    <row r="281" spans="1:4">
      <c r="A281" s="1499" t="s">
        <v>331</v>
      </c>
      <c r="B281" s="1500"/>
      <c r="C281" s="1500"/>
      <c r="D281" s="1501"/>
    </row>
    <row r="282" spans="1:4">
      <c r="A282" s="15"/>
      <c r="D282" s="16"/>
    </row>
    <row r="283" spans="1:4">
      <c r="A283" s="1499" t="s">
        <v>332</v>
      </c>
      <c r="B283" s="1500"/>
      <c r="C283" s="1500"/>
      <c r="D283" s="1501"/>
    </row>
    <row r="284" spans="1:4">
      <c r="A284" s="249"/>
      <c r="B284" s="250"/>
      <c r="C284" s="250"/>
      <c r="D284" s="251"/>
    </row>
    <row r="285" spans="1:4">
      <c r="A285" s="1483" t="s">
        <v>333</v>
      </c>
      <c r="B285" s="1484"/>
      <c r="C285" s="1484"/>
      <c r="D285" s="1485"/>
    </row>
    <row r="286" spans="1:4">
      <c r="A286" s="15"/>
      <c r="D286" s="16"/>
    </row>
    <row r="287" spans="1:4">
      <c r="A287" s="1483" t="s">
        <v>334</v>
      </c>
      <c r="B287" s="1484"/>
      <c r="C287" s="1484"/>
      <c r="D287" s="1485"/>
    </row>
    <row r="288" spans="1:4">
      <c r="A288" s="1483" t="s">
        <v>335</v>
      </c>
      <c r="B288" s="1484"/>
      <c r="C288" s="1484"/>
      <c r="D288" s="1485"/>
    </row>
    <row r="289" spans="1:4">
      <c r="A289" s="247"/>
      <c r="B289" s="252"/>
      <c r="C289" s="252"/>
      <c r="D289" s="253"/>
    </row>
    <row r="290" spans="1:4">
      <c r="A290" s="1499" t="s">
        <v>336</v>
      </c>
      <c r="B290" s="1500"/>
      <c r="C290" s="1500"/>
      <c r="D290" s="1501"/>
    </row>
    <row r="291" spans="1:4">
      <c r="A291" s="247"/>
      <c r="B291" s="252"/>
      <c r="C291" s="252"/>
      <c r="D291" s="253"/>
    </row>
    <row r="292" spans="1:4">
      <c r="A292" s="1483" t="s">
        <v>337</v>
      </c>
      <c r="B292" s="1484"/>
      <c r="C292" s="1484"/>
      <c r="D292" s="1485"/>
    </row>
    <row r="293" spans="1:4">
      <c r="A293" s="15"/>
      <c r="D293" s="16"/>
    </row>
    <row r="294" spans="1:4">
      <c r="A294" s="1480" t="s">
        <v>338</v>
      </c>
      <c r="B294" s="1481"/>
      <c r="C294" s="1481"/>
      <c r="D294" s="1482"/>
    </row>
    <row r="295" spans="1:4" ht="42.75">
      <c r="A295" s="254" t="s">
        <v>339</v>
      </c>
      <c r="B295" s="255" t="s">
        <v>340</v>
      </c>
      <c r="C295" s="255" t="s">
        <v>341</v>
      </c>
      <c r="D295" s="256" t="s">
        <v>342</v>
      </c>
    </row>
    <row r="296" spans="1:4">
      <c r="A296" s="257">
        <v>1</v>
      </c>
      <c r="B296" s="258">
        <v>2</v>
      </c>
      <c r="C296" s="258">
        <v>3</v>
      </c>
      <c r="D296" s="259">
        <v>4</v>
      </c>
    </row>
    <row r="297" spans="1:4">
      <c r="A297" s="15" t="e">
        <f>'04-22-Master'!#REF!</f>
        <v>#REF!</v>
      </c>
      <c r="B297" s="13" t="s">
        <v>384</v>
      </c>
      <c r="C297" s="13" t="s">
        <v>391</v>
      </c>
      <c r="D297" s="291">
        <v>1</v>
      </c>
    </row>
    <row r="298" spans="1:4">
      <c r="A298" s="275"/>
      <c r="B298" s="13"/>
      <c r="C298" s="13"/>
      <c r="D298" s="260"/>
    </row>
    <row r="299" spans="1:4">
      <c r="A299" s="272"/>
      <c r="B299" s="13"/>
      <c r="C299" s="13"/>
      <c r="D299" s="260"/>
    </row>
    <row r="300" spans="1:4">
      <c r="A300" s="15"/>
      <c r="D300" s="16"/>
    </row>
    <row r="301" spans="1:4">
      <c r="A301" s="1480" t="s">
        <v>343</v>
      </c>
      <c r="B301" s="1481"/>
      <c r="C301" s="1481"/>
      <c r="D301" s="1482"/>
    </row>
    <row r="302" spans="1:4">
      <c r="A302" s="164"/>
      <c r="B302" s="6"/>
      <c r="C302" s="6"/>
      <c r="D302" s="165"/>
    </row>
    <row r="303" spans="1:4">
      <c r="A303" s="1469" t="s">
        <v>344</v>
      </c>
      <c r="B303" s="1470"/>
      <c r="C303" s="1471" t="e">
        <f>'04-22-Master'!#REF!</f>
        <v>#REF!</v>
      </c>
      <c r="D303" s="1472"/>
    </row>
    <row r="304" spans="1:4">
      <c r="A304" s="1469" t="s">
        <v>345</v>
      </c>
      <c r="B304" s="1470"/>
      <c r="C304" s="1307" t="e">
        <f>'04-22-Master'!#REF!</f>
        <v>#REF!</v>
      </c>
      <c r="D304" s="1472"/>
    </row>
    <row r="305" spans="1:4">
      <c r="A305" s="1469" t="s">
        <v>346</v>
      </c>
      <c r="B305" s="1470"/>
      <c r="C305" s="1307" t="s">
        <v>392</v>
      </c>
      <c r="D305" s="1472"/>
    </row>
    <row r="306" spans="1:4">
      <c r="A306" s="1469" t="s">
        <v>347</v>
      </c>
      <c r="B306" s="1470"/>
      <c r="C306" s="1307" t="s">
        <v>390</v>
      </c>
      <c r="D306" s="1472"/>
    </row>
    <row r="307" spans="1:4">
      <c r="A307" s="1469" t="s">
        <v>348</v>
      </c>
      <c r="B307" s="1470"/>
      <c r="C307" s="1471" t="e">
        <f>'04-22-Master'!#REF!</f>
        <v>#REF!</v>
      </c>
      <c r="D307" s="1472"/>
    </row>
    <row r="308" spans="1:4">
      <c r="A308" s="1469" t="s">
        <v>349</v>
      </c>
      <c r="B308" s="1470"/>
      <c r="C308" s="1471" t="e">
        <f>'04-22-Master'!#REF!</f>
        <v>#REF!</v>
      </c>
      <c r="D308" s="1472"/>
    </row>
    <row r="309" spans="1:4">
      <c r="A309" s="1469" t="s">
        <v>350</v>
      </c>
      <c r="B309" s="1470"/>
      <c r="C309" s="1489" t="e">
        <f>'04-22-Master'!#REF!</f>
        <v>#REF!</v>
      </c>
      <c r="D309" s="1472"/>
    </row>
    <row r="310" spans="1:4">
      <c r="A310" s="1469" t="s">
        <v>351</v>
      </c>
      <c r="B310" s="1470"/>
      <c r="C310" s="1307"/>
      <c r="D310" s="1472"/>
    </row>
    <row r="311" spans="1:4">
      <c r="A311" s="1469"/>
      <c r="B311" s="1470"/>
      <c r="C311" s="1471" t="e">
        <f>'04-22-Master'!#REF!</f>
        <v>#REF!</v>
      </c>
      <c r="D311" s="1472"/>
    </row>
    <row r="312" spans="1:4">
      <c r="A312" s="1469"/>
      <c r="B312" s="1470"/>
      <c r="C312" s="1471" t="e">
        <f>'04-22-Master'!#REF!</f>
        <v>#REF!</v>
      </c>
      <c r="D312" s="1472"/>
    </row>
    <row r="313" spans="1:4">
      <c r="A313" s="1469"/>
      <c r="B313" s="1470"/>
      <c r="C313" s="1471" t="e">
        <f>'04-22-Master'!#REF!</f>
        <v>#REF!</v>
      </c>
      <c r="D313" s="1472"/>
    </row>
    <row r="314" spans="1:4">
      <c r="A314" s="247" t="s">
        <v>293</v>
      </c>
      <c r="B314" s="252" t="s">
        <v>382</v>
      </c>
      <c r="C314" s="252"/>
      <c r="D314" s="253"/>
    </row>
    <row r="315" spans="1:4">
      <c r="A315" s="247" t="s">
        <v>352</v>
      </c>
      <c r="B315" s="292" t="e">
        <f>'04-22-Master'!#REF!</f>
        <v>#REF!</v>
      </c>
      <c r="C315" s="261" t="s">
        <v>353</v>
      </c>
      <c r="D315" s="253"/>
    </row>
    <row r="316" spans="1:4">
      <c r="A316" s="247"/>
      <c r="B316" s="252"/>
      <c r="C316" s="252"/>
      <c r="D316" s="253"/>
    </row>
    <row r="317" spans="1:4">
      <c r="A317" s="1480" t="s">
        <v>354</v>
      </c>
      <c r="B317" s="1481"/>
      <c r="C317" s="1481"/>
      <c r="D317" s="1482"/>
    </row>
    <row r="318" spans="1:4">
      <c r="A318" s="247" t="s">
        <v>355</v>
      </c>
      <c r="B318" s="252"/>
      <c r="C318" s="252"/>
      <c r="D318" s="253"/>
    </row>
    <row r="319" spans="1:4">
      <c r="A319" s="247"/>
      <c r="B319" s="252"/>
      <c r="C319" s="252"/>
      <c r="D319" s="253"/>
    </row>
    <row r="320" spans="1:4">
      <c r="A320" s="1483" t="s">
        <v>356</v>
      </c>
      <c r="B320" s="1484"/>
      <c r="C320" s="1484" t="s">
        <v>357</v>
      </c>
      <c r="D320" s="1485"/>
    </row>
    <row r="321" spans="1:4">
      <c r="A321" s="1486">
        <v>1</v>
      </c>
      <c r="B321" s="1487"/>
      <c r="C321" s="1487">
        <v>1</v>
      </c>
      <c r="D321" s="1488"/>
    </row>
    <row r="322" spans="1:4">
      <c r="A322" s="1486">
        <v>2</v>
      </c>
      <c r="B322" s="1487"/>
      <c r="C322" s="1487">
        <v>2</v>
      </c>
      <c r="D322" s="1488"/>
    </row>
    <row r="323" spans="1:4">
      <c r="A323" s="262"/>
      <c r="C323" s="1476" t="s">
        <v>362</v>
      </c>
      <c r="D323" s="1477"/>
    </row>
    <row r="324" spans="1:4">
      <c r="A324" s="1473" t="s">
        <v>358</v>
      </c>
      <c r="B324" s="1474"/>
      <c r="C324" s="1474"/>
      <c r="D324" s="1475"/>
    </row>
    <row r="325" spans="1:4">
      <c r="A325" s="265" t="s">
        <v>359</v>
      </c>
      <c r="B325" s="266"/>
      <c r="C325" s="266"/>
      <c r="D325" s="267"/>
    </row>
    <row r="326" spans="1:4">
      <c r="A326" s="265"/>
      <c r="B326" s="266"/>
      <c r="C326" s="266"/>
      <c r="D326" s="267"/>
    </row>
    <row r="327" spans="1:4">
      <c r="A327" s="265"/>
      <c r="B327" s="266"/>
      <c r="C327" s="266" t="s">
        <v>360</v>
      </c>
      <c r="D327" s="267"/>
    </row>
    <row r="328" spans="1:4">
      <c r="A328" s="262"/>
      <c r="B328" s="263"/>
      <c r="C328" s="163" t="s">
        <v>161</v>
      </c>
      <c r="D328" s="264"/>
    </row>
    <row r="329" spans="1:4">
      <c r="A329" s="262"/>
      <c r="C329" t="s">
        <v>361</v>
      </c>
      <c r="D329" s="268"/>
    </row>
    <row r="330" spans="1:4">
      <c r="A330" s="262"/>
      <c r="C330" s="1478" t="str">
        <f>'04-22-Master'!F5</f>
        <v>Burgeon IT Services Pvt.Ltd.</v>
      </c>
      <c r="D330" s="1479"/>
    </row>
    <row r="331" spans="1:4">
      <c r="A331" s="247" t="s">
        <v>293</v>
      </c>
      <c r="B331" t="str">
        <f>B314</f>
        <v>Hyderabad</v>
      </c>
      <c r="C331" s="2" t="str">
        <f>'04-22-Master'!F6</f>
        <v>Siri Mansion LIGB 436 Dr.A S Rao Nagar,Hyderabad</v>
      </c>
      <c r="D331" s="16"/>
    </row>
    <row r="332" spans="1:4" ht="15.75" thickBot="1">
      <c r="A332" s="247" t="s">
        <v>352</v>
      </c>
      <c r="B332" s="284" t="e">
        <f>B315</f>
        <v>#REF!</v>
      </c>
      <c r="C332" s="2"/>
      <c r="D332" s="16"/>
    </row>
    <row r="333" spans="1:4" ht="15.75" thickBot="1">
      <c r="A333" s="273"/>
      <c r="B333" s="274" t="s">
        <v>365</v>
      </c>
      <c r="C333" s="274"/>
      <c r="D333" s="30"/>
    </row>
    <row r="334" spans="1:4">
      <c r="A334" s="247" t="s">
        <v>363</v>
      </c>
      <c r="C334" s="2"/>
      <c r="D334" s="16"/>
    </row>
    <row r="335" spans="1:4">
      <c r="A335" s="247" t="s">
        <v>352</v>
      </c>
      <c r="B335" s="284" t="e">
        <f>B332</f>
        <v>#REF!</v>
      </c>
      <c r="C335" s="2"/>
      <c r="D335" s="16"/>
    </row>
    <row r="336" spans="1:4" ht="15.75" thickBot="1">
      <c r="A336" s="276" t="s">
        <v>364</v>
      </c>
      <c r="B336" s="25"/>
      <c r="C336" s="25"/>
      <c r="D336" s="26" t="s">
        <v>151</v>
      </c>
    </row>
    <row r="340" spans="1:4" ht="15.75" thickBot="1"/>
    <row r="341" spans="1:4" ht="20.25">
      <c r="A341" s="1490" t="s">
        <v>327</v>
      </c>
      <c r="B341" s="1491"/>
      <c r="C341" s="1491"/>
      <c r="D341" s="1492"/>
    </row>
    <row r="342" spans="1:4">
      <c r="A342" s="1493" t="s">
        <v>328</v>
      </c>
      <c r="B342" s="1494"/>
      <c r="C342" s="1494"/>
      <c r="D342" s="1495"/>
    </row>
    <row r="343" spans="1:4" ht="18">
      <c r="A343" s="1496" t="s">
        <v>329</v>
      </c>
      <c r="B343" s="1497"/>
      <c r="C343" s="1497"/>
      <c r="D343" s="1498"/>
    </row>
    <row r="344" spans="1:4">
      <c r="A344" s="15" t="s">
        <v>150</v>
      </c>
      <c r="D344" s="16"/>
    </row>
    <row r="345" spans="1:4" ht="18">
      <c r="A345" s="269" t="str">
        <f>'04-22-Master'!F5</f>
        <v>Burgeon IT Services Pvt.Ltd.</v>
      </c>
      <c r="B345" s="246"/>
      <c r="D345" s="16"/>
    </row>
    <row r="346" spans="1:4" ht="18">
      <c r="A346" s="269" t="str">
        <f>'04-22-Master'!F6</f>
        <v>Siri Mansion LIGB 436 Dr.A S Rao Nagar,Hyderabad</v>
      </c>
      <c r="B346" s="246"/>
      <c r="D346" s="16"/>
    </row>
    <row r="347" spans="1:4" ht="18">
      <c r="A347" s="248"/>
      <c r="B347" s="5"/>
      <c r="D347" s="16"/>
    </row>
    <row r="348" spans="1:4" ht="15.75">
      <c r="A348" s="247" t="s">
        <v>330</v>
      </c>
      <c r="B348" s="270"/>
      <c r="C348" s="271" t="e">
        <f>'04-22-Master'!#REF!</f>
        <v>#REF!</v>
      </c>
      <c r="D348" s="86"/>
    </row>
    <row r="349" spans="1:4">
      <c r="A349" s="1499" t="s">
        <v>331</v>
      </c>
      <c r="B349" s="1500"/>
      <c r="C349" s="1500"/>
      <c r="D349" s="1501"/>
    </row>
    <row r="350" spans="1:4">
      <c r="A350" s="15"/>
      <c r="D350" s="16"/>
    </row>
    <row r="351" spans="1:4">
      <c r="A351" s="1499" t="s">
        <v>332</v>
      </c>
      <c r="B351" s="1500"/>
      <c r="C351" s="1500"/>
      <c r="D351" s="1501"/>
    </row>
    <row r="352" spans="1:4">
      <c r="A352" s="249"/>
      <c r="B352" s="250"/>
      <c r="C352" s="250"/>
      <c r="D352" s="251"/>
    </row>
    <row r="353" spans="1:4">
      <c r="A353" s="1483" t="s">
        <v>333</v>
      </c>
      <c r="B353" s="1484"/>
      <c r="C353" s="1484"/>
      <c r="D353" s="1485"/>
    </row>
    <row r="354" spans="1:4">
      <c r="A354" s="15"/>
      <c r="D354" s="16"/>
    </row>
    <row r="355" spans="1:4">
      <c r="A355" s="1483" t="s">
        <v>334</v>
      </c>
      <c r="B355" s="1484"/>
      <c r="C355" s="1484"/>
      <c r="D355" s="1485"/>
    </row>
    <row r="356" spans="1:4">
      <c r="A356" s="1483" t="s">
        <v>335</v>
      </c>
      <c r="B356" s="1484"/>
      <c r="C356" s="1484"/>
      <c r="D356" s="1485"/>
    </row>
    <row r="357" spans="1:4">
      <c r="A357" s="247"/>
      <c r="B357" s="252"/>
      <c r="C357" s="252"/>
      <c r="D357" s="253"/>
    </row>
    <row r="358" spans="1:4">
      <c r="A358" s="1499" t="s">
        <v>336</v>
      </c>
      <c r="B358" s="1500"/>
      <c r="C358" s="1500"/>
      <c r="D358" s="1501"/>
    </row>
    <row r="359" spans="1:4">
      <c r="A359" s="247"/>
      <c r="B359" s="252"/>
      <c r="C359" s="252"/>
      <c r="D359" s="253"/>
    </row>
    <row r="360" spans="1:4">
      <c r="A360" s="1483" t="s">
        <v>337</v>
      </c>
      <c r="B360" s="1484"/>
      <c r="C360" s="1484"/>
      <c r="D360" s="1485"/>
    </row>
    <row r="361" spans="1:4">
      <c r="A361" s="15"/>
      <c r="D361" s="16"/>
    </row>
    <row r="362" spans="1:4">
      <c r="A362" s="1480" t="s">
        <v>338</v>
      </c>
      <c r="B362" s="1481"/>
      <c r="C362" s="1481"/>
      <c r="D362" s="1482"/>
    </row>
    <row r="363" spans="1:4" ht="42.75">
      <c r="A363" s="254" t="s">
        <v>339</v>
      </c>
      <c r="B363" s="255" t="s">
        <v>340</v>
      </c>
      <c r="C363" s="255" t="s">
        <v>341</v>
      </c>
      <c r="D363" s="256" t="s">
        <v>342</v>
      </c>
    </row>
    <row r="364" spans="1:4">
      <c r="A364" s="257">
        <v>1</v>
      </c>
      <c r="B364" s="258">
        <v>2</v>
      </c>
      <c r="C364" s="258">
        <v>3</v>
      </c>
      <c r="D364" s="259">
        <v>4</v>
      </c>
    </row>
    <row r="365" spans="1:4">
      <c r="A365" s="15" t="e">
        <f>'04-22-Master'!#REF!</f>
        <v>#REF!</v>
      </c>
      <c r="B365" s="13" t="s">
        <v>384</v>
      </c>
      <c r="C365" s="13" t="s">
        <v>391</v>
      </c>
      <c r="D365" s="291">
        <v>1</v>
      </c>
    </row>
    <row r="366" spans="1:4">
      <c r="A366" s="275"/>
      <c r="B366" s="13"/>
      <c r="C366" s="13"/>
      <c r="D366" s="260"/>
    </row>
    <row r="367" spans="1:4">
      <c r="A367" s="272"/>
      <c r="B367" s="13"/>
      <c r="C367" s="13"/>
      <c r="D367" s="260"/>
    </row>
    <row r="368" spans="1:4">
      <c r="A368" s="15"/>
      <c r="D368" s="16"/>
    </row>
    <row r="369" spans="1:4">
      <c r="A369" s="1480" t="s">
        <v>343</v>
      </c>
      <c r="B369" s="1481"/>
      <c r="C369" s="1481"/>
      <c r="D369" s="1482"/>
    </row>
    <row r="370" spans="1:4">
      <c r="A370" s="164"/>
      <c r="B370" s="6"/>
      <c r="C370" s="6"/>
      <c r="D370" s="165"/>
    </row>
    <row r="371" spans="1:4">
      <c r="A371" s="1469" t="s">
        <v>344</v>
      </c>
      <c r="B371" s="1470"/>
      <c r="C371" s="1471" t="e">
        <f>'04-22-Master'!#REF!</f>
        <v>#REF!</v>
      </c>
      <c r="D371" s="1472"/>
    </row>
    <row r="372" spans="1:4">
      <c r="A372" s="1469" t="s">
        <v>345</v>
      </c>
      <c r="B372" s="1470"/>
      <c r="C372" s="1307" t="e">
        <f>'04-22-Master'!#REF!</f>
        <v>#REF!</v>
      </c>
      <c r="D372" s="1472"/>
    </row>
    <row r="373" spans="1:4">
      <c r="A373" s="1469" t="s">
        <v>346</v>
      </c>
      <c r="B373" s="1470"/>
      <c r="C373" s="1307" t="s">
        <v>392</v>
      </c>
      <c r="D373" s="1472"/>
    </row>
    <row r="374" spans="1:4">
      <c r="A374" s="1469" t="s">
        <v>347</v>
      </c>
      <c r="B374" s="1470"/>
      <c r="C374" s="1307" t="s">
        <v>390</v>
      </c>
      <c r="D374" s="1472"/>
    </row>
    <row r="375" spans="1:4">
      <c r="A375" s="1469" t="s">
        <v>348</v>
      </c>
      <c r="B375" s="1470"/>
      <c r="C375" s="1471" t="e">
        <f>'04-22-Master'!#REF!</f>
        <v>#REF!</v>
      </c>
      <c r="D375" s="1472"/>
    </row>
    <row r="376" spans="1:4">
      <c r="A376" s="1469" t="s">
        <v>349</v>
      </c>
      <c r="B376" s="1470"/>
      <c r="C376" s="1471" t="e">
        <f>'04-22-Master'!#REF!</f>
        <v>#REF!</v>
      </c>
      <c r="D376" s="1472"/>
    </row>
    <row r="377" spans="1:4">
      <c r="A377" s="1469" t="s">
        <v>350</v>
      </c>
      <c r="B377" s="1470"/>
      <c r="C377" s="1489" t="e">
        <f>'04-22-Master'!#REF!</f>
        <v>#REF!</v>
      </c>
      <c r="D377" s="1472"/>
    </row>
    <row r="378" spans="1:4">
      <c r="A378" s="1469" t="s">
        <v>351</v>
      </c>
      <c r="B378" s="1470"/>
      <c r="C378" s="1307"/>
      <c r="D378" s="1472"/>
    </row>
    <row r="379" spans="1:4">
      <c r="A379" s="1469"/>
      <c r="B379" s="1470"/>
      <c r="C379" s="1471" t="e">
        <f>'04-22-Master'!#REF!</f>
        <v>#REF!</v>
      </c>
      <c r="D379" s="1472"/>
    </row>
    <row r="380" spans="1:4">
      <c r="A380" s="1469"/>
      <c r="B380" s="1470"/>
      <c r="C380" s="1471" t="e">
        <f>'04-22-Master'!#REF!</f>
        <v>#REF!</v>
      </c>
      <c r="D380" s="1472"/>
    </row>
    <row r="381" spans="1:4">
      <c r="A381" s="1469"/>
      <c r="B381" s="1470"/>
      <c r="C381" s="1471" t="e">
        <f>'04-22-Master'!#REF!</f>
        <v>#REF!</v>
      </c>
      <c r="D381" s="1472"/>
    </row>
    <row r="382" spans="1:4">
      <c r="A382" s="247" t="s">
        <v>293</v>
      </c>
      <c r="B382" s="252" t="s">
        <v>382</v>
      </c>
      <c r="C382" s="252"/>
      <c r="D382" s="253"/>
    </row>
    <row r="383" spans="1:4">
      <c r="A383" s="247" t="s">
        <v>352</v>
      </c>
      <c r="B383" s="292" t="e">
        <f>'04-22-Master'!#REF!</f>
        <v>#REF!</v>
      </c>
      <c r="C383" s="261" t="s">
        <v>353</v>
      </c>
      <c r="D383" s="253"/>
    </row>
    <row r="384" spans="1:4">
      <c r="A384" s="247"/>
      <c r="B384" s="252"/>
      <c r="C384" s="252"/>
      <c r="D384" s="253"/>
    </row>
    <row r="385" spans="1:4">
      <c r="A385" s="1480" t="s">
        <v>354</v>
      </c>
      <c r="B385" s="1481"/>
      <c r="C385" s="1481"/>
      <c r="D385" s="1482"/>
    </row>
    <row r="386" spans="1:4">
      <c r="A386" s="247" t="s">
        <v>355</v>
      </c>
      <c r="B386" s="252"/>
      <c r="C386" s="252"/>
      <c r="D386" s="253"/>
    </row>
    <row r="387" spans="1:4">
      <c r="A387" s="247"/>
      <c r="B387" s="252"/>
      <c r="C387" s="252"/>
      <c r="D387" s="253"/>
    </row>
    <row r="388" spans="1:4">
      <c r="A388" s="1483" t="s">
        <v>356</v>
      </c>
      <c r="B388" s="1484"/>
      <c r="C388" s="1484" t="s">
        <v>357</v>
      </c>
      <c r="D388" s="1485"/>
    </row>
    <row r="389" spans="1:4">
      <c r="A389" s="1486">
        <v>1</v>
      </c>
      <c r="B389" s="1487"/>
      <c r="C389" s="1487">
        <v>1</v>
      </c>
      <c r="D389" s="1488"/>
    </row>
    <row r="390" spans="1:4">
      <c r="A390" s="1486">
        <v>2</v>
      </c>
      <c r="B390" s="1487"/>
      <c r="C390" s="1487">
        <v>2</v>
      </c>
      <c r="D390" s="1488"/>
    </row>
    <row r="391" spans="1:4">
      <c r="A391" s="262"/>
      <c r="C391" s="1476" t="s">
        <v>362</v>
      </c>
      <c r="D391" s="1477"/>
    </row>
    <row r="392" spans="1:4">
      <c r="A392" s="1473" t="s">
        <v>358</v>
      </c>
      <c r="B392" s="1474"/>
      <c r="C392" s="1474"/>
      <c r="D392" s="1475"/>
    </row>
    <row r="393" spans="1:4">
      <c r="A393" s="265" t="s">
        <v>359</v>
      </c>
      <c r="B393" s="266"/>
      <c r="C393" s="266"/>
      <c r="D393" s="267"/>
    </row>
    <row r="394" spans="1:4">
      <c r="A394" s="265"/>
      <c r="B394" s="266"/>
      <c r="C394" s="266"/>
      <c r="D394" s="267"/>
    </row>
    <row r="395" spans="1:4">
      <c r="A395" s="265"/>
      <c r="B395" s="266"/>
      <c r="C395" s="266" t="s">
        <v>360</v>
      </c>
      <c r="D395" s="267"/>
    </row>
    <row r="396" spans="1:4">
      <c r="A396" s="262"/>
      <c r="B396" s="263"/>
      <c r="C396" s="163" t="s">
        <v>161</v>
      </c>
      <c r="D396" s="264"/>
    </row>
    <row r="397" spans="1:4">
      <c r="A397" s="262"/>
      <c r="C397" t="s">
        <v>361</v>
      </c>
      <c r="D397" s="268"/>
    </row>
    <row r="398" spans="1:4">
      <c r="A398" s="262"/>
      <c r="C398" s="1478" t="str">
        <f>'04-22-Master'!F5</f>
        <v>Burgeon IT Services Pvt.Ltd.</v>
      </c>
      <c r="D398" s="1479"/>
    </row>
    <row r="399" spans="1:4">
      <c r="A399" s="247" t="s">
        <v>293</v>
      </c>
      <c r="B399" t="str">
        <f>B382</f>
        <v>Hyderabad</v>
      </c>
      <c r="C399" s="2" t="str">
        <f>'04-22-Master'!F6</f>
        <v>Siri Mansion LIGB 436 Dr.A S Rao Nagar,Hyderabad</v>
      </c>
      <c r="D399" s="16"/>
    </row>
    <row r="400" spans="1:4" ht="15.75" thickBot="1">
      <c r="A400" s="247" t="s">
        <v>352</v>
      </c>
      <c r="B400" s="284" t="e">
        <f>B383</f>
        <v>#REF!</v>
      </c>
      <c r="C400" s="2"/>
      <c r="D400" s="16"/>
    </row>
    <row r="401" spans="1:4" ht="15.75" thickBot="1">
      <c r="A401" s="273"/>
      <c r="B401" s="274" t="s">
        <v>365</v>
      </c>
      <c r="C401" s="274"/>
      <c r="D401" s="30"/>
    </row>
    <row r="402" spans="1:4">
      <c r="A402" s="247" t="s">
        <v>363</v>
      </c>
      <c r="C402" s="2"/>
      <c r="D402" s="16"/>
    </row>
    <row r="403" spans="1:4">
      <c r="A403" s="247" t="s">
        <v>352</v>
      </c>
      <c r="B403" s="284" t="e">
        <f>B400</f>
        <v>#REF!</v>
      </c>
      <c r="C403" s="2"/>
      <c r="D403" s="16"/>
    </row>
    <row r="404" spans="1:4" ht="15.75" thickBot="1">
      <c r="A404" s="276" t="s">
        <v>364</v>
      </c>
      <c r="B404" s="25"/>
      <c r="C404" s="25"/>
      <c r="D404" s="26" t="s">
        <v>151</v>
      </c>
    </row>
    <row r="408" spans="1:4" ht="15.75" thickBot="1"/>
    <row r="409" spans="1:4" ht="20.25">
      <c r="A409" s="1490" t="s">
        <v>327</v>
      </c>
      <c r="B409" s="1491"/>
      <c r="C409" s="1491"/>
      <c r="D409" s="1492"/>
    </row>
    <row r="410" spans="1:4">
      <c r="A410" s="1493" t="s">
        <v>328</v>
      </c>
      <c r="B410" s="1494"/>
      <c r="C410" s="1494"/>
      <c r="D410" s="1495"/>
    </row>
    <row r="411" spans="1:4" ht="18">
      <c r="A411" s="1496" t="s">
        <v>329</v>
      </c>
      <c r="B411" s="1497"/>
      <c r="C411" s="1497"/>
      <c r="D411" s="1498"/>
    </row>
    <row r="412" spans="1:4">
      <c r="A412" s="15" t="s">
        <v>150</v>
      </c>
      <c r="D412" s="16"/>
    </row>
    <row r="413" spans="1:4" ht="18">
      <c r="A413" s="269" t="str">
        <f>'04-22-Master'!F5</f>
        <v>Burgeon IT Services Pvt.Ltd.</v>
      </c>
      <c r="B413" s="246"/>
      <c r="D413" s="16"/>
    </row>
    <row r="414" spans="1:4" ht="18">
      <c r="A414" s="269" t="str">
        <f>'04-22-Master'!F6</f>
        <v>Siri Mansion LIGB 436 Dr.A S Rao Nagar,Hyderabad</v>
      </c>
      <c r="B414" s="246"/>
      <c r="D414" s="16"/>
    </row>
    <row r="415" spans="1:4" ht="18">
      <c r="A415" s="248"/>
      <c r="B415" s="5"/>
      <c r="D415" s="16"/>
    </row>
    <row r="416" spans="1:4" ht="15.75">
      <c r="A416" s="247" t="s">
        <v>330</v>
      </c>
      <c r="B416" s="270"/>
      <c r="C416" s="271" t="e">
        <f>'04-22-Master'!#REF!</f>
        <v>#REF!</v>
      </c>
      <c r="D416" s="86"/>
    </row>
    <row r="417" spans="1:4">
      <c r="A417" s="1499" t="s">
        <v>331</v>
      </c>
      <c r="B417" s="1500"/>
      <c r="C417" s="1500"/>
      <c r="D417" s="1501"/>
    </row>
    <row r="418" spans="1:4">
      <c r="A418" s="15"/>
      <c r="D418" s="16"/>
    </row>
    <row r="419" spans="1:4">
      <c r="A419" s="1499" t="s">
        <v>332</v>
      </c>
      <c r="B419" s="1500"/>
      <c r="C419" s="1500"/>
      <c r="D419" s="1501"/>
    </row>
    <row r="420" spans="1:4">
      <c r="A420" s="249"/>
      <c r="B420" s="250"/>
      <c r="C420" s="250"/>
      <c r="D420" s="251"/>
    </row>
    <row r="421" spans="1:4">
      <c r="A421" s="1483" t="s">
        <v>333</v>
      </c>
      <c r="B421" s="1484"/>
      <c r="C421" s="1484"/>
      <c r="D421" s="1485"/>
    </row>
    <row r="422" spans="1:4">
      <c r="A422" s="15"/>
      <c r="D422" s="16"/>
    </row>
    <row r="423" spans="1:4">
      <c r="A423" s="1483" t="s">
        <v>334</v>
      </c>
      <c r="B423" s="1484"/>
      <c r="C423" s="1484"/>
      <c r="D423" s="1485"/>
    </row>
    <row r="424" spans="1:4">
      <c r="A424" s="1483" t="s">
        <v>335</v>
      </c>
      <c r="B424" s="1484"/>
      <c r="C424" s="1484"/>
      <c r="D424" s="1485"/>
    </row>
    <row r="425" spans="1:4">
      <c r="A425" s="247"/>
      <c r="B425" s="252"/>
      <c r="C425" s="252"/>
      <c r="D425" s="253"/>
    </row>
    <row r="426" spans="1:4">
      <c r="A426" s="1499" t="s">
        <v>336</v>
      </c>
      <c r="B426" s="1500"/>
      <c r="C426" s="1500"/>
      <c r="D426" s="1501"/>
    </row>
    <row r="427" spans="1:4">
      <c r="A427" s="247"/>
      <c r="B427" s="252"/>
      <c r="C427" s="252"/>
      <c r="D427" s="253"/>
    </row>
    <row r="428" spans="1:4">
      <c r="A428" s="1483" t="s">
        <v>337</v>
      </c>
      <c r="B428" s="1484"/>
      <c r="C428" s="1484"/>
      <c r="D428" s="1485"/>
    </row>
    <row r="429" spans="1:4">
      <c r="A429" s="15"/>
      <c r="D429" s="16"/>
    </row>
    <row r="430" spans="1:4">
      <c r="A430" s="1480" t="s">
        <v>338</v>
      </c>
      <c r="B430" s="1481"/>
      <c r="C430" s="1481"/>
      <c r="D430" s="1482"/>
    </row>
    <row r="431" spans="1:4" ht="42.75">
      <c r="A431" s="254" t="s">
        <v>339</v>
      </c>
      <c r="B431" s="255" t="s">
        <v>340</v>
      </c>
      <c r="C431" s="255" t="s">
        <v>341</v>
      </c>
      <c r="D431" s="256" t="s">
        <v>342</v>
      </c>
    </row>
    <row r="432" spans="1:4">
      <c r="A432" s="257">
        <v>1</v>
      </c>
      <c r="B432" s="258">
        <v>2</v>
      </c>
      <c r="C432" s="258">
        <v>3</v>
      </c>
      <c r="D432" s="259">
        <v>4</v>
      </c>
    </row>
    <row r="433" spans="1:4">
      <c r="A433" s="15" t="e">
        <f>'04-22-Master'!#REF!</f>
        <v>#REF!</v>
      </c>
      <c r="B433" s="13" t="s">
        <v>384</v>
      </c>
      <c r="C433" s="13" t="s">
        <v>391</v>
      </c>
      <c r="D433" s="291">
        <v>1</v>
      </c>
    </row>
    <row r="434" spans="1:4">
      <c r="A434" s="275"/>
      <c r="B434" s="13"/>
      <c r="C434" s="13"/>
      <c r="D434" s="260"/>
    </row>
    <row r="435" spans="1:4">
      <c r="A435" s="272"/>
      <c r="B435" s="13"/>
      <c r="C435" s="13"/>
      <c r="D435" s="260"/>
    </row>
    <row r="436" spans="1:4">
      <c r="A436" s="15"/>
      <c r="D436" s="16"/>
    </row>
    <row r="437" spans="1:4">
      <c r="A437" s="1480" t="s">
        <v>343</v>
      </c>
      <c r="B437" s="1481"/>
      <c r="C437" s="1481"/>
      <c r="D437" s="1482"/>
    </row>
    <row r="438" spans="1:4">
      <c r="A438" s="164"/>
      <c r="B438" s="6"/>
      <c r="C438" s="6"/>
      <c r="D438" s="165"/>
    </row>
    <row r="439" spans="1:4">
      <c r="A439" s="1469" t="s">
        <v>344</v>
      </c>
      <c r="B439" s="1470"/>
      <c r="C439" s="1471" t="e">
        <f>'04-22-Master'!#REF!</f>
        <v>#REF!</v>
      </c>
      <c r="D439" s="1472"/>
    </row>
    <row r="440" spans="1:4">
      <c r="A440" s="1469" t="s">
        <v>345</v>
      </c>
      <c r="B440" s="1470"/>
      <c r="C440" s="1307" t="e">
        <f>'04-22-Master'!#REF!</f>
        <v>#REF!</v>
      </c>
      <c r="D440" s="1472"/>
    </row>
    <row r="441" spans="1:4">
      <c r="A441" s="1469" t="s">
        <v>346</v>
      </c>
      <c r="B441" s="1470"/>
      <c r="C441" s="1307" t="s">
        <v>392</v>
      </c>
      <c r="D441" s="1472"/>
    </row>
    <row r="442" spans="1:4">
      <c r="A442" s="1469" t="s">
        <v>347</v>
      </c>
      <c r="B442" s="1470"/>
      <c r="C442" s="1307" t="s">
        <v>390</v>
      </c>
      <c r="D442" s="1472"/>
    </row>
    <row r="443" spans="1:4">
      <c r="A443" s="1469" t="s">
        <v>348</v>
      </c>
      <c r="B443" s="1470"/>
      <c r="C443" s="1471" t="e">
        <f>'04-22-Master'!#REF!</f>
        <v>#REF!</v>
      </c>
      <c r="D443" s="1472"/>
    </row>
    <row r="444" spans="1:4">
      <c r="A444" s="1469" t="s">
        <v>349</v>
      </c>
      <c r="B444" s="1470"/>
      <c r="C444" s="1471" t="e">
        <f>'04-22-Master'!#REF!</f>
        <v>#REF!</v>
      </c>
      <c r="D444" s="1472"/>
    </row>
    <row r="445" spans="1:4">
      <c r="A445" s="1469" t="s">
        <v>350</v>
      </c>
      <c r="B445" s="1470"/>
      <c r="C445" s="1489" t="e">
        <f>'04-22-Master'!#REF!</f>
        <v>#REF!</v>
      </c>
      <c r="D445" s="1472"/>
    </row>
    <row r="446" spans="1:4">
      <c r="A446" s="1469" t="s">
        <v>351</v>
      </c>
      <c r="B446" s="1470"/>
      <c r="C446" s="1307"/>
      <c r="D446" s="1472"/>
    </row>
    <row r="447" spans="1:4">
      <c r="A447" s="1469"/>
      <c r="B447" s="1470"/>
      <c r="C447" s="1471" t="e">
        <f>'04-22-Master'!#REF!</f>
        <v>#REF!</v>
      </c>
      <c r="D447" s="1472"/>
    </row>
    <row r="448" spans="1:4">
      <c r="A448" s="1469"/>
      <c r="B448" s="1470"/>
      <c r="C448" s="1471" t="e">
        <f>'04-22-Master'!#REF!</f>
        <v>#REF!</v>
      </c>
      <c r="D448" s="1472"/>
    </row>
    <row r="449" spans="1:4">
      <c r="A449" s="1469"/>
      <c r="B449" s="1470"/>
      <c r="C449" s="1471" t="e">
        <f>'04-22-Master'!#REF!</f>
        <v>#REF!</v>
      </c>
      <c r="D449" s="1472"/>
    </row>
    <row r="450" spans="1:4">
      <c r="A450" s="247" t="s">
        <v>293</v>
      </c>
      <c r="B450" s="252" t="s">
        <v>382</v>
      </c>
      <c r="C450" s="252"/>
      <c r="D450" s="253"/>
    </row>
    <row r="451" spans="1:4">
      <c r="A451" s="247" t="s">
        <v>352</v>
      </c>
      <c r="B451" s="292" t="e">
        <f>'04-22-Master'!#REF!</f>
        <v>#REF!</v>
      </c>
      <c r="C451" s="261" t="s">
        <v>353</v>
      </c>
      <c r="D451" s="253"/>
    </row>
    <row r="452" spans="1:4">
      <c r="A452" s="247"/>
      <c r="B452" s="252"/>
      <c r="C452" s="252"/>
      <c r="D452" s="253"/>
    </row>
    <row r="453" spans="1:4">
      <c r="A453" s="1480" t="s">
        <v>354</v>
      </c>
      <c r="B453" s="1481"/>
      <c r="C453" s="1481"/>
      <c r="D453" s="1482"/>
    </row>
    <row r="454" spans="1:4">
      <c r="A454" s="247" t="s">
        <v>355</v>
      </c>
      <c r="B454" s="252"/>
      <c r="C454" s="252"/>
      <c r="D454" s="253"/>
    </row>
    <row r="455" spans="1:4">
      <c r="A455" s="247"/>
      <c r="B455" s="252"/>
      <c r="C455" s="252"/>
      <c r="D455" s="253"/>
    </row>
    <row r="456" spans="1:4">
      <c r="A456" s="1483" t="s">
        <v>356</v>
      </c>
      <c r="B456" s="1484"/>
      <c r="C456" s="1484" t="s">
        <v>357</v>
      </c>
      <c r="D456" s="1485"/>
    </row>
    <row r="457" spans="1:4">
      <c r="A457" s="1486">
        <v>1</v>
      </c>
      <c r="B457" s="1487"/>
      <c r="C457" s="1487">
        <v>1</v>
      </c>
      <c r="D457" s="1488"/>
    </row>
    <row r="458" spans="1:4">
      <c r="A458" s="1486">
        <v>2</v>
      </c>
      <c r="B458" s="1487"/>
      <c r="C458" s="1487">
        <v>2</v>
      </c>
      <c r="D458" s="1488"/>
    </row>
    <row r="459" spans="1:4">
      <c r="A459" s="262"/>
      <c r="C459" s="1476" t="s">
        <v>362</v>
      </c>
      <c r="D459" s="1477"/>
    </row>
    <row r="460" spans="1:4">
      <c r="A460" s="1473" t="s">
        <v>358</v>
      </c>
      <c r="B460" s="1474"/>
      <c r="C460" s="1474"/>
      <c r="D460" s="1475"/>
    </row>
    <row r="461" spans="1:4">
      <c r="A461" s="265" t="s">
        <v>359</v>
      </c>
      <c r="B461" s="266"/>
      <c r="C461" s="266"/>
      <c r="D461" s="267"/>
    </row>
    <row r="462" spans="1:4">
      <c r="A462" s="265"/>
      <c r="B462" s="266"/>
      <c r="C462" s="266"/>
      <c r="D462" s="267"/>
    </row>
    <row r="463" spans="1:4">
      <c r="A463" s="265"/>
      <c r="B463" s="266"/>
      <c r="C463" s="266" t="s">
        <v>360</v>
      </c>
      <c r="D463" s="267"/>
    </row>
    <row r="464" spans="1:4">
      <c r="A464" s="262"/>
      <c r="B464" s="263"/>
      <c r="C464" s="163" t="s">
        <v>161</v>
      </c>
      <c r="D464" s="264"/>
    </row>
    <row r="465" spans="1:4">
      <c r="A465" s="262"/>
      <c r="C465" t="s">
        <v>361</v>
      </c>
      <c r="D465" s="268"/>
    </row>
    <row r="466" spans="1:4">
      <c r="A466" s="262"/>
      <c r="C466" s="1478" t="str">
        <f>'04-22-Master'!F5</f>
        <v>Burgeon IT Services Pvt.Ltd.</v>
      </c>
      <c r="D466" s="1479"/>
    </row>
    <row r="467" spans="1:4">
      <c r="A467" s="247" t="s">
        <v>293</v>
      </c>
      <c r="B467" t="str">
        <f>B450</f>
        <v>Hyderabad</v>
      </c>
      <c r="C467" s="2" t="str">
        <f>'04-22-Master'!F6</f>
        <v>Siri Mansion LIGB 436 Dr.A S Rao Nagar,Hyderabad</v>
      </c>
      <c r="D467" s="16"/>
    </row>
    <row r="468" spans="1:4" ht="15.75" thickBot="1">
      <c r="A468" s="247" t="s">
        <v>352</v>
      </c>
      <c r="B468" s="284" t="e">
        <f>B451</f>
        <v>#REF!</v>
      </c>
      <c r="C468" s="2"/>
      <c r="D468" s="16"/>
    </row>
    <row r="469" spans="1:4" ht="15.75" thickBot="1">
      <c r="A469" s="273"/>
      <c r="B469" s="274" t="s">
        <v>365</v>
      </c>
      <c r="C469" s="274"/>
      <c r="D469" s="30"/>
    </row>
    <row r="470" spans="1:4">
      <c r="A470" s="247" t="s">
        <v>363</v>
      </c>
      <c r="C470" s="2"/>
      <c r="D470" s="16"/>
    </row>
    <row r="471" spans="1:4">
      <c r="A471" s="247" t="s">
        <v>352</v>
      </c>
      <c r="B471" s="284" t="e">
        <f>B468</f>
        <v>#REF!</v>
      </c>
      <c r="C471" s="2"/>
      <c r="D471" s="16"/>
    </row>
    <row r="472" spans="1:4" ht="15.75" thickBot="1">
      <c r="A472" s="276" t="s">
        <v>364</v>
      </c>
      <c r="B472" s="25"/>
      <c r="C472" s="25"/>
      <c r="D472" s="26" t="s">
        <v>151</v>
      </c>
    </row>
    <row r="476" spans="1:4" ht="15.75" thickBot="1"/>
    <row r="477" spans="1:4" ht="20.25">
      <c r="A477" s="1490" t="s">
        <v>327</v>
      </c>
      <c r="B477" s="1491"/>
      <c r="C477" s="1491"/>
      <c r="D477" s="1492"/>
    </row>
    <row r="478" spans="1:4">
      <c r="A478" s="1493" t="s">
        <v>328</v>
      </c>
      <c r="B478" s="1494"/>
      <c r="C478" s="1494"/>
      <c r="D478" s="1495"/>
    </row>
    <row r="479" spans="1:4" ht="18">
      <c r="A479" s="1496" t="s">
        <v>329</v>
      </c>
      <c r="B479" s="1497"/>
      <c r="C479" s="1497"/>
      <c r="D479" s="1498"/>
    </row>
    <row r="480" spans="1:4">
      <c r="A480" s="15" t="s">
        <v>150</v>
      </c>
      <c r="D480" s="16"/>
    </row>
    <row r="481" spans="1:4" ht="18">
      <c r="A481" s="269" t="str">
        <f>'04-22-Master'!F5</f>
        <v>Burgeon IT Services Pvt.Ltd.</v>
      </c>
      <c r="B481" s="246"/>
      <c r="D481" s="16"/>
    </row>
    <row r="482" spans="1:4" ht="18">
      <c r="A482" s="269" t="str">
        <f>'04-22-Master'!F6</f>
        <v>Siri Mansion LIGB 436 Dr.A S Rao Nagar,Hyderabad</v>
      </c>
      <c r="B482" s="246"/>
      <c r="D482" s="16"/>
    </row>
    <row r="483" spans="1:4" ht="18">
      <c r="A483" s="248"/>
      <c r="B483" s="5"/>
      <c r="D483" s="16"/>
    </row>
    <row r="484" spans="1:4" ht="15.75">
      <c r="A484" s="247" t="s">
        <v>330</v>
      </c>
      <c r="B484" s="270"/>
      <c r="C484" s="271" t="e">
        <f>'04-22-Master'!#REF!</f>
        <v>#REF!</v>
      </c>
      <c r="D484" s="86"/>
    </row>
    <row r="485" spans="1:4">
      <c r="A485" s="1499" t="s">
        <v>331</v>
      </c>
      <c r="B485" s="1500"/>
      <c r="C485" s="1500"/>
      <c r="D485" s="1501"/>
    </row>
    <row r="486" spans="1:4">
      <c r="A486" s="15"/>
      <c r="D486" s="16"/>
    </row>
    <row r="487" spans="1:4">
      <c r="A487" s="1499" t="s">
        <v>332</v>
      </c>
      <c r="B487" s="1500"/>
      <c r="C487" s="1500"/>
      <c r="D487" s="1501"/>
    </row>
    <row r="488" spans="1:4">
      <c r="A488" s="249"/>
      <c r="B488" s="250"/>
      <c r="C488" s="250"/>
      <c r="D488" s="251"/>
    </row>
    <row r="489" spans="1:4">
      <c r="A489" s="1483" t="s">
        <v>333</v>
      </c>
      <c r="B489" s="1484"/>
      <c r="C489" s="1484"/>
      <c r="D489" s="1485"/>
    </row>
    <row r="490" spans="1:4">
      <c r="A490" s="15"/>
      <c r="D490" s="16"/>
    </row>
    <row r="491" spans="1:4">
      <c r="A491" s="1483" t="s">
        <v>334</v>
      </c>
      <c r="B491" s="1484"/>
      <c r="C491" s="1484"/>
      <c r="D491" s="1485"/>
    </row>
    <row r="492" spans="1:4">
      <c r="A492" s="1483" t="s">
        <v>335</v>
      </c>
      <c r="B492" s="1484"/>
      <c r="C492" s="1484"/>
      <c r="D492" s="1485"/>
    </row>
    <row r="493" spans="1:4">
      <c r="A493" s="247"/>
      <c r="B493" s="252"/>
      <c r="C493" s="252"/>
      <c r="D493" s="253"/>
    </row>
    <row r="494" spans="1:4">
      <c r="A494" s="1499" t="s">
        <v>336</v>
      </c>
      <c r="B494" s="1500"/>
      <c r="C494" s="1500"/>
      <c r="D494" s="1501"/>
    </row>
    <row r="495" spans="1:4">
      <c r="A495" s="247"/>
      <c r="B495" s="252"/>
      <c r="C495" s="252"/>
      <c r="D495" s="253"/>
    </row>
    <row r="496" spans="1:4">
      <c r="A496" s="1483" t="s">
        <v>337</v>
      </c>
      <c r="B496" s="1484"/>
      <c r="C496" s="1484"/>
      <c r="D496" s="1485"/>
    </row>
    <row r="497" spans="1:4">
      <c r="A497" s="15"/>
      <c r="D497" s="16"/>
    </row>
    <row r="498" spans="1:4">
      <c r="A498" s="1480" t="s">
        <v>338</v>
      </c>
      <c r="B498" s="1481"/>
      <c r="C498" s="1481"/>
      <c r="D498" s="1482"/>
    </row>
    <row r="499" spans="1:4" ht="42.75">
      <c r="A499" s="254" t="s">
        <v>339</v>
      </c>
      <c r="B499" s="255" t="s">
        <v>340</v>
      </c>
      <c r="C499" s="255" t="s">
        <v>341</v>
      </c>
      <c r="D499" s="256" t="s">
        <v>342</v>
      </c>
    </row>
    <row r="500" spans="1:4">
      <c r="A500" s="257">
        <v>1</v>
      </c>
      <c r="B500" s="258">
        <v>2</v>
      </c>
      <c r="C500" s="258">
        <v>3</v>
      </c>
      <c r="D500" s="259">
        <v>4</v>
      </c>
    </row>
    <row r="501" spans="1:4">
      <c r="A501" s="15" t="e">
        <f>'04-22-Master'!#REF!</f>
        <v>#REF!</v>
      </c>
      <c r="B501" s="13" t="s">
        <v>384</v>
      </c>
      <c r="C501" s="13" t="s">
        <v>391</v>
      </c>
      <c r="D501" s="291">
        <v>1</v>
      </c>
    </row>
    <row r="502" spans="1:4">
      <c r="A502" s="275"/>
      <c r="B502" s="13"/>
      <c r="C502" s="13"/>
      <c r="D502" s="260"/>
    </row>
    <row r="503" spans="1:4">
      <c r="A503" s="272"/>
      <c r="B503" s="13"/>
      <c r="C503" s="13"/>
      <c r="D503" s="260"/>
    </row>
    <row r="504" spans="1:4">
      <c r="A504" s="15"/>
      <c r="D504" s="16"/>
    </row>
    <row r="505" spans="1:4">
      <c r="A505" s="1480" t="s">
        <v>343</v>
      </c>
      <c r="B505" s="1481"/>
      <c r="C505" s="1481"/>
      <c r="D505" s="1482"/>
    </row>
    <row r="506" spans="1:4">
      <c r="A506" s="164"/>
      <c r="B506" s="6"/>
      <c r="C506" s="6"/>
      <c r="D506" s="165"/>
    </row>
    <row r="507" spans="1:4">
      <c r="A507" s="1469" t="s">
        <v>344</v>
      </c>
      <c r="B507" s="1470"/>
      <c r="C507" s="1471" t="e">
        <f>'04-22-Master'!#REF!</f>
        <v>#REF!</v>
      </c>
      <c r="D507" s="1472"/>
    </row>
    <row r="508" spans="1:4">
      <c r="A508" s="1469" t="s">
        <v>345</v>
      </c>
      <c r="B508" s="1470"/>
      <c r="C508" s="1307" t="e">
        <f>'04-22-Master'!#REF!</f>
        <v>#REF!</v>
      </c>
      <c r="D508" s="1472"/>
    </row>
    <row r="509" spans="1:4">
      <c r="A509" s="1469" t="s">
        <v>346</v>
      </c>
      <c r="B509" s="1470"/>
      <c r="C509" s="1307" t="s">
        <v>392</v>
      </c>
      <c r="D509" s="1472"/>
    </row>
    <row r="510" spans="1:4">
      <c r="A510" s="1469" t="s">
        <v>347</v>
      </c>
      <c r="B510" s="1470"/>
      <c r="C510" s="1307" t="s">
        <v>390</v>
      </c>
      <c r="D510" s="1472"/>
    </row>
    <row r="511" spans="1:4">
      <c r="A511" s="1469" t="s">
        <v>348</v>
      </c>
      <c r="B511" s="1470"/>
      <c r="C511" s="1471" t="e">
        <f>'04-22-Master'!#REF!</f>
        <v>#REF!</v>
      </c>
      <c r="D511" s="1472"/>
    </row>
    <row r="512" spans="1:4">
      <c r="A512" s="1469" t="s">
        <v>349</v>
      </c>
      <c r="B512" s="1470"/>
      <c r="C512" s="1471" t="e">
        <f>'04-22-Master'!#REF!</f>
        <v>#REF!</v>
      </c>
      <c r="D512" s="1472"/>
    </row>
    <row r="513" spans="1:4">
      <c r="A513" s="1469" t="s">
        <v>350</v>
      </c>
      <c r="B513" s="1470"/>
      <c r="C513" s="1489" t="e">
        <f>'04-22-Master'!#REF!</f>
        <v>#REF!</v>
      </c>
      <c r="D513" s="1472"/>
    </row>
    <row r="514" spans="1:4">
      <c r="A514" s="1469" t="s">
        <v>351</v>
      </c>
      <c r="B514" s="1470"/>
      <c r="C514" s="1307"/>
      <c r="D514" s="1472"/>
    </row>
    <row r="515" spans="1:4">
      <c r="A515" s="1469"/>
      <c r="B515" s="1470"/>
      <c r="C515" s="1471" t="e">
        <f>'04-22-Master'!#REF!</f>
        <v>#REF!</v>
      </c>
      <c r="D515" s="1472"/>
    </row>
    <row r="516" spans="1:4">
      <c r="A516" s="1469"/>
      <c r="B516" s="1470"/>
      <c r="C516" s="1471" t="e">
        <f>'04-22-Master'!#REF!</f>
        <v>#REF!</v>
      </c>
      <c r="D516" s="1472"/>
    </row>
    <row r="517" spans="1:4">
      <c r="A517" s="1469"/>
      <c r="B517" s="1470"/>
      <c r="C517" s="1471" t="e">
        <f>'04-22-Master'!#REF!</f>
        <v>#REF!</v>
      </c>
      <c r="D517" s="1472"/>
    </row>
    <row r="518" spans="1:4">
      <c r="A518" s="247" t="s">
        <v>293</v>
      </c>
      <c r="B518" s="252" t="s">
        <v>382</v>
      </c>
      <c r="C518" s="252"/>
      <c r="D518" s="253"/>
    </row>
    <row r="519" spans="1:4">
      <c r="A519" s="247" t="s">
        <v>352</v>
      </c>
      <c r="B519" s="292" t="e">
        <f>'04-22-Master'!#REF!</f>
        <v>#REF!</v>
      </c>
      <c r="C519" s="261" t="s">
        <v>353</v>
      </c>
      <c r="D519" s="253"/>
    </row>
    <row r="520" spans="1:4">
      <c r="A520" s="247"/>
      <c r="B520" s="252"/>
      <c r="C520" s="252"/>
      <c r="D520" s="253"/>
    </row>
    <row r="521" spans="1:4">
      <c r="A521" s="1480" t="s">
        <v>354</v>
      </c>
      <c r="B521" s="1481"/>
      <c r="C521" s="1481"/>
      <c r="D521" s="1482"/>
    </row>
    <row r="522" spans="1:4">
      <c r="A522" s="247" t="s">
        <v>355</v>
      </c>
      <c r="B522" s="252"/>
      <c r="C522" s="252"/>
      <c r="D522" s="253"/>
    </row>
    <row r="523" spans="1:4">
      <c r="A523" s="247"/>
      <c r="B523" s="252"/>
      <c r="C523" s="252"/>
      <c r="D523" s="253"/>
    </row>
    <row r="524" spans="1:4">
      <c r="A524" s="1483" t="s">
        <v>356</v>
      </c>
      <c r="B524" s="1484"/>
      <c r="C524" s="1484" t="s">
        <v>357</v>
      </c>
      <c r="D524" s="1485"/>
    </row>
    <row r="525" spans="1:4">
      <c r="A525" s="1486">
        <v>1</v>
      </c>
      <c r="B525" s="1487"/>
      <c r="C525" s="1487">
        <v>1</v>
      </c>
      <c r="D525" s="1488"/>
    </row>
    <row r="526" spans="1:4">
      <c r="A526" s="1486">
        <v>2</v>
      </c>
      <c r="B526" s="1487"/>
      <c r="C526" s="1487">
        <v>2</v>
      </c>
      <c r="D526" s="1488"/>
    </row>
    <row r="527" spans="1:4">
      <c r="A527" s="262"/>
      <c r="C527" s="1476" t="s">
        <v>362</v>
      </c>
      <c r="D527" s="1477"/>
    </row>
    <row r="528" spans="1:4">
      <c r="A528" s="1473" t="s">
        <v>358</v>
      </c>
      <c r="B528" s="1474"/>
      <c r="C528" s="1474"/>
      <c r="D528" s="1475"/>
    </row>
    <row r="529" spans="1:4">
      <c r="A529" s="265" t="s">
        <v>359</v>
      </c>
      <c r="B529" s="266"/>
      <c r="C529" s="266"/>
      <c r="D529" s="267"/>
    </row>
    <row r="530" spans="1:4">
      <c r="A530" s="265"/>
      <c r="B530" s="266"/>
      <c r="C530" s="266"/>
      <c r="D530" s="267"/>
    </row>
    <row r="531" spans="1:4">
      <c r="A531" s="265"/>
      <c r="B531" s="266"/>
      <c r="C531" s="266" t="s">
        <v>360</v>
      </c>
      <c r="D531" s="267"/>
    </row>
    <row r="532" spans="1:4">
      <c r="A532" s="262"/>
      <c r="B532" s="263"/>
      <c r="C532" s="163" t="s">
        <v>161</v>
      </c>
      <c r="D532" s="264"/>
    </row>
    <row r="533" spans="1:4">
      <c r="A533" s="262"/>
      <c r="C533" t="s">
        <v>361</v>
      </c>
      <c r="D533" s="268"/>
    </row>
    <row r="534" spans="1:4">
      <c r="A534" s="262"/>
      <c r="C534" s="1478" t="str">
        <f>'04-22-Master'!F5</f>
        <v>Burgeon IT Services Pvt.Ltd.</v>
      </c>
      <c r="D534" s="1479"/>
    </row>
    <row r="535" spans="1:4">
      <c r="A535" s="247" t="s">
        <v>293</v>
      </c>
      <c r="B535" t="str">
        <f>B518</f>
        <v>Hyderabad</v>
      </c>
      <c r="C535" s="2" t="str">
        <f>'04-22-Master'!F6</f>
        <v>Siri Mansion LIGB 436 Dr.A S Rao Nagar,Hyderabad</v>
      </c>
      <c r="D535" s="16"/>
    </row>
    <row r="536" spans="1:4" ht="15.75" thickBot="1">
      <c r="A536" s="247" t="s">
        <v>352</v>
      </c>
      <c r="B536" s="284" t="e">
        <f>B519</f>
        <v>#REF!</v>
      </c>
      <c r="C536" s="2"/>
      <c r="D536" s="16"/>
    </row>
    <row r="537" spans="1:4" ht="15.75" thickBot="1">
      <c r="A537" s="273"/>
      <c r="B537" s="274" t="s">
        <v>365</v>
      </c>
      <c r="C537" s="274"/>
      <c r="D537" s="30"/>
    </row>
    <row r="538" spans="1:4">
      <c r="A538" s="247" t="s">
        <v>363</v>
      </c>
      <c r="C538" s="2"/>
      <c r="D538" s="16"/>
    </row>
    <row r="539" spans="1:4">
      <c r="A539" s="247" t="s">
        <v>352</v>
      </c>
      <c r="B539" s="284" t="e">
        <f>B536</f>
        <v>#REF!</v>
      </c>
      <c r="C539" s="2"/>
      <c r="D539" s="16"/>
    </row>
    <row r="540" spans="1:4" ht="15.75" thickBot="1">
      <c r="A540" s="276" t="s">
        <v>364</v>
      </c>
      <c r="B540" s="25"/>
      <c r="C540" s="25"/>
      <c r="D540" s="26" t="s">
        <v>151</v>
      </c>
    </row>
    <row r="544" spans="1:4" ht="15.75" thickBot="1"/>
    <row r="545" spans="1:4" ht="20.25">
      <c r="A545" s="1490" t="s">
        <v>327</v>
      </c>
      <c r="B545" s="1491"/>
      <c r="C545" s="1491"/>
      <c r="D545" s="1492"/>
    </row>
    <row r="546" spans="1:4">
      <c r="A546" s="1493" t="s">
        <v>328</v>
      </c>
      <c r="B546" s="1494"/>
      <c r="C546" s="1494"/>
      <c r="D546" s="1495"/>
    </row>
    <row r="547" spans="1:4" ht="18">
      <c r="A547" s="1496" t="s">
        <v>329</v>
      </c>
      <c r="B547" s="1497"/>
      <c r="C547" s="1497"/>
      <c r="D547" s="1498"/>
    </row>
    <row r="548" spans="1:4">
      <c r="A548" s="15" t="s">
        <v>150</v>
      </c>
      <c r="D548" s="16"/>
    </row>
    <row r="549" spans="1:4" ht="18">
      <c r="A549" s="269" t="str">
        <f>'04-22-Master'!F5</f>
        <v>Burgeon IT Services Pvt.Ltd.</v>
      </c>
      <c r="B549" s="246"/>
      <c r="D549" s="16"/>
    </row>
    <row r="550" spans="1:4" ht="18">
      <c r="A550" s="269" t="str">
        <f>'04-22-Master'!F6</f>
        <v>Siri Mansion LIGB 436 Dr.A S Rao Nagar,Hyderabad</v>
      </c>
      <c r="B550" s="246"/>
      <c r="D550" s="16"/>
    </row>
    <row r="551" spans="1:4" ht="18">
      <c r="A551" s="248"/>
      <c r="B551" s="5"/>
      <c r="D551" s="16"/>
    </row>
    <row r="552" spans="1:4" ht="15.75">
      <c r="A552" s="247" t="s">
        <v>330</v>
      </c>
      <c r="B552" s="270"/>
      <c r="C552" s="271" t="e">
        <f>'04-22-Master'!#REF!</f>
        <v>#REF!</v>
      </c>
      <c r="D552" s="86"/>
    </row>
    <row r="553" spans="1:4">
      <c r="A553" s="1499" t="s">
        <v>331</v>
      </c>
      <c r="B553" s="1500"/>
      <c r="C553" s="1500"/>
      <c r="D553" s="1501"/>
    </row>
    <row r="554" spans="1:4">
      <c r="A554" s="15"/>
      <c r="D554" s="16"/>
    </row>
    <row r="555" spans="1:4">
      <c r="A555" s="1499" t="s">
        <v>332</v>
      </c>
      <c r="B555" s="1500"/>
      <c r="C555" s="1500"/>
      <c r="D555" s="1501"/>
    </row>
    <row r="556" spans="1:4">
      <c r="A556" s="249"/>
      <c r="B556" s="250"/>
      <c r="C556" s="250"/>
      <c r="D556" s="251"/>
    </row>
    <row r="557" spans="1:4">
      <c r="A557" s="1483" t="s">
        <v>333</v>
      </c>
      <c r="B557" s="1484"/>
      <c r="C557" s="1484"/>
      <c r="D557" s="1485"/>
    </row>
    <row r="558" spans="1:4">
      <c r="A558" s="15"/>
      <c r="D558" s="16"/>
    </row>
    <row r="559" spans="1:4">
      <c r="A559" s="1483" t="s">
        <v>334</v>
      </c>
      <c r="B559" s="1484"/>
      <c r="C559" s="1484"/>
      <c r="D559" s="1485"/>
    </row>
    <row r="560" spans="1:4">
      <c r="A560" s="1483" t="s">
        <v>335</v>
      </c>
      <c r="B560" s="1484"/>
      <c r="C560" s="1484"/>
      <c r="D560" s="1485"/>
    </row>
    <row r="561" spans="1:4">
      <c r="A561" s="247"/>
      <c r="B561" s="252"/>
      <c r="C561" s="252"/>
      <c r="D561" s="253"/>
    </row>
    <row r="562" spans="1:4">
      <c r="A562" s="1499" t="s">
        <v>336</v>
      </c>
      <c r="B562" s="1500"/>
      <c r="C562" s="1500"/>
      <c r="D562" s="1501"/>
    </row>
    <row r="563" spans="1:4">
      <c r="A563" s="247"/>
      <c r="B563" s="252"/>
      <c r="C563" s="252"/>
      <c r="D563" s="253"/>
    </row>
    <row r="564" spans="1:4">
      <c r="A564" s="1483" t="s">
        <v>337</v>
      </c>
      <c r="B564" s="1484"/>
      <c r="C564" s="1484"/>
      <c r="D564" s="1485"/>
    </row>
    <row r="565" spans="1:4">
      <c r="A565" s="15"/>
      <c r="D565" s="16"/>
    </row>
    <row r="566" spans="1:4">
      <c r="A566" s="1480" t="s">
        <v>338</v>
      </c>
      <c r="B566" s="1481"/>
      <c r="C566" s="1481"/>
      <c r="D566" s="1482"/>
    </row>
    <row r="567" spans="1:4" ht="42.75">
      <c r="A567" s="254" t="s">
        <v>339</v>
      </c>
      <c r="B567" s="255" t="s">
        <v>340</v>
      </c>
      <c r="C567" s="255" t="s">
        <v>341</v>
      </c>
      <c r="D567" s="256" t="s">
        <v>342</v>
      </c>
    </row>
    <row r="568" spans="1:4">
      <c r="A568" s="257">
        <v>1</v>
      </c>
      <c r="B568" s="258">
        <v>2</v>
      </c>
      <c r="C568" s="258">
        <v>3</v>
      </c>
      <c r="D568" s="259">
        <v>4</v>
      </c>
    </row>
    <row r="569" spans="1:4">
      <c r="A569" s="15" t="e">
        <f>'04-22-Master'!#REF!</f>
        <v>#REF!</v>
      </c>
      <c r="B569" s="13" t="s">
        <v>384</v>
      </c>
      <c r="C569" s="13" t="s">
        <v>391</v>
      </c>
      <c r="D569" s="291">
        <v>1</v>
      </c>
    </row>
    <row r="570" spans="1:4">
      <c r="A570" s="275"/>
      <c r="B570" s="13"/>
      <c r="C570" s="13"/>
      <c r="D570" s="260"/>
    </row>
    <row r="571" spans="1:4">
      <c r="A571" s="272"/>
      <c r="B571" s="13"/>
      <c r="C571" s="13"/>
      <c r="D571" s="260"/>
    </row>
    <row r="572" spans="1:4">
      <c r="A572" s="15"/>
      <c r="D572" s="16"/>
    </row>
    <row r="573" spans="1:4">
      <c r="A573" s="1480" t="s">
        <v>343</v>
      </c>
      <c r="B573" s="1481"/>
      <c r="C573" s="1481"/>
      <c r="D573" s="1482"/>
    </row>
    <row r="574" spans="1:4">
      <c r="A574" s="164"/>
      <c r="B574" s="6"/>
      <c r="C574" s="6"/>
      <c r="D574" s="165"/>
    </row>
    <row r="575" spans="1:4">
      <c r="A575" s="1469" t="s">
        <v>344</v>
      </c>
      <c r="B575" s="1470"/>
      <c r="C575" s="1471" t="e">
        <f>'04-22-Master'!#REF!</f>
        <v>#REF!</v>
      </c>
      <c r="D575" s="1472"/>
    </row>
    <row r="576" spans="1:4">
      <c r="A576" s="1469" t="s">
        <v>345</v>
      </c>
      <c r="B576" s="1470"/>
      <c r="C576" s="1307" t="e">
        <f>'04-22-Master'!#REF!</f>
        <v>#REF!</v>
      </c>
      <c r="D576" s="1472"/>
    </row>
    <row r="577" spans="1:4">
      <c r="A577" s="1469" t="s">
        <v>346</v>
      </c>
      <c r="B577" s="1470"/>
      <c r="C577" s="1307" t="s">
        <v>392</v>
      </c>
      <c r="D577" s="1472"/>
    </row>
    <row r="578" spans="1:4">
      <c r="A578" s="1469" t="s">
        <v>347</v>
      </c>
      <c r="B578" s="1470"/>
      <c r="C578" s="1307" t="s">
        <v>390</v>
      </c>
      <c r="D578" s="1472"/>
    </row>
    <row r="579" spans="1:4">
      <c r="A579" s="1469" t="s">
        <v>348</v>
      </c>
      <c r="B579" s="1470"/>
      <c r="C579" s="1471" t="e">
        <f>'04-22-Master'!#REF!</f>
        <v>#REF!</v>
      </c>
      <c r="D579" s="1472"/>
    </row>
    <row r="580" spans="1:4">
      <c r="A580" s="1469" t="s">
        <v>349</v>
      </c>
      <c r="B580" s="1470"/>
      <c r="C580" s="1471" t="e">
        <f>'04-22-Master'!#REF!</f>
        <v>#REF!</v>
      </c>
      <c r="D580" s="1472"/>
    </row>
    <row r="581" spans="1:4">
      <c r="A581" s="1469" t="s">
        <v>350</v>
      </c>
      <c r="B581" s="1470"/>
      <c r="C581" s="1489" t="e">
        <f>'04-22-Master'!#REF!</f>
        <v>#REF!</v>
      </c>
      <c r="D581" s="1472"/>
    </row>
    <row r="582" spans="1:4">
      <c r="A582" s="1469" t="s">
        <v>351</v>
      </c>
      <c r="B582" s="1470"/>
      <c r="C582" s="1307"/>
      <c r="D582" s="1472"/>
    </row>
    <row r="583" spans="1:4">
      <c r="A583" s="1469"/>
      <c r="B583" s="1470"/>
      <c r="C583" s="1471" t="e">
        <f>'04-22-Master'!#REF!</f>
        <v>#REF!</v>
      </c>
      <c r="D583" s="1472"/>
    </row>
    <row r="584" spans="1:4">
      <c r="A584" s="1469"/>
      <c r="B584" s="1470"/>
      <c r="C584" s="1471" t="e">
        <f>'04-22-Master'!#REF!</f>
        <v>#REF!</v>
      </c>
      <c r="D584" s="1472"/>
    </row>
    <row r="585" spans="1:4">
      <c r="A585" s="1469"/>
      <c r="B585" s="1470"/>
      <c r="C585" s="1471" t="e">
        <f>'04-22-Master'!#REF!</f>
        <v>#REF!</v>
      </c>
      <c r="D585" s="1472"/>
    </row>
    <row r="586" spans="1:4">
      <c r="A586" s="247" t="s">
        <v>293</v>
      </c>
      <c r="B586" s="252" t="s">
        <v>382</v>
      </c>
      <c r="C586" s="252"/>
      <c r="D586" s="253"/>
    </row>
    <row r="587" spans="1:4">
      <c r="A587" s="247" t="s">
        <v>352</v>
      </c>
      <c r="B587" s="292" t="e">
        <f>'04-22-Master'!#REF!</f>
        <v>#REF!</v>
      </c>
      <c r="C587" s="261" t="s">
        <v>353</v>
      </c>
      <c r="D587" s="253"/>
    </row>
    <row r="588" spans="1:4">
      <c r="A588" s="247"/>
      <c r="B588" s="252"/>
      <c r="C588" s="252"/>
      <c r="D588" s="253"/>
    </row>
    <row r="589" spans="1:4">
      <c r="A589" s="1480" t="s">
        <v>354</v>
      </c>
      <c r="B589" s="1481"/>
      <c r="C589" s="1481"/>
      <c r="D589" s="1482"/>
    </row>
    <row r="590" spans="1:4">
      <c r="A590" s="247" t="s">
        <v>355</v>
      </c>
      <c r="B590" s="252"/>
      <c r="C590" s="252"/>
      <c r="D590" s="253"/>
    </row>
    <row r="591" spans="1:4">
      <c r="A591" s="247"/>
      <c r="B591" s="252"/>
      <c r="C591" s="252"/>
      <c r="D591" s="253"/>
    </row>
    <row r="592" spans="1:4">
      <c r="A592" s="1483" t="s">
        <v>356</v>
      </c>
      <c r="B592" s="1484"/>
      <c r="C592" s="1484" t="s">
        <v>357</v>
      </c>
      <c r="D592" s="1485"/>
    </row>
    <row r="593" spans="1:4">
      <c r="A593" s="1486">
        <v>1</v>
      </c>
      <c r="B593" s="1487"/>
      <c r="C593" s="1487">
        <v>1</v>
      </c>
      <c r="D593" s="1488"/>
    </row>
    <row r="594" spans="1:4">
      <c r="A594" s="1486">
        <v>2</v>
      </c>
      <c r="B594" s="1487"/>
      <c r="C594" s="1487">
        <v>2</v>
      </c>
      <c r="D594" s="1488"/>
    </row>
    <row r="595" spans="1:4">
      <c r="A595" s="262"/>
      <c r="C595" s="1476" t="s">
        <v>362</v>
      </c>
      <c r="D595" s="1477"/>
    </row>
    <row r="596" spans="1:4">
      <c r="A596" s="1473" t="s">
        <v>358</v>
      </c>
      <c r="B596" s="1474"/>
      <c r="C596" s="1474"/>
      <c r="D596" s="1475"/>
    </row>
    <row r="597" spans="1:4">
      <c r="A597" s="265" t="s">
        <v>359</v>
      </c>
      <c r="B597" s="266"/>
      <c r="C597" s="266"/>
      <c r="D597" s="267"/>
    </row>
    <row r="598" spans="1:4">
      <c r="A598" s="265"/>
      <c r="B598" s="266"/>
      <c r="C598" s="266"/>
      <c r="D598" s="267"/>
    </row>
    <row r="599" spans="1:4">
      <c r="A599" s="265"/>
      <c r="B599" s="266"/>
      <c r="C599" s="266" t="s">
        <v>360</v>
      </c>
      <c r="D599" s="267"/>
    </row>
    <row r="600" spans="1:4">
      <c r="A600" s="262"/>
      <c r="B600" s="263"/>
      <c r="C600" s="163" t="s">
        <v>161</v>
      </c>
      <c r="D600" s="264"/>
    </row>
    <row r="601" spans="1:4">
      <c r="A601" s="262"/>
      <c r="C601" t="s">
        <v>361</v>
      </c>
      <c r="D601" s="268"/>
    </row>
    <row r="602" spans="1:4">
      <c r="A602" s="262"/>
      <c r="C602" s="1478">
        <f>'04-22-Master'!F458</f>
        <v>0</v>
      </c>
      <c r="D602" s="1479"/>
    </row>
    <row r="603" spans="1:4">
      <c r="A603" s="247" t="s">
        <v>293</v>
      </c>
      <c r="B603" t="str">
        <f>B586</f>
        <v>Hyderabad</v>
      </c>
      <c r="C603" s="2">
        <f>'04-22-Master'!F459</f>
        <v>0</v>
      </c>
      <c r="D603" s="16"/>
    </row>
    <row r="604" spans="1:4" ht="15.75" thickBot="1">
      <c r="A604" s="247" t="s">
        <v>352</v>
      </c>
      <c r="B604" s="284" t="e">
        <f>B587</f>
        <v>#REF!</v>
      </c>
      <c r="C604" s="2"/>
      <c r="D604" s="16"/>
    </row>
    <row r="605" spans="1:4" ht="15.75" thickBot="1">
      <c r="A605" s="273"/>
      <c r="B605" s="274" t="s">
        <v>365</v>
      </c>
      <c r="C605" s="274"/>
      <c r="D605" s="30"/>
    </row>
    <row r="606" spans="1:4">
      <c r="A606" s="247" t="s">
        <v>363</v>
      </c>
      <c r="C606" s="2"/>
      <c r="D606" s="16"/>
    </row>
    <row r="607" spans="1:4">
      <c r="A607" s="247" t="s">
        <v>352</v>
      </c>
      <c r="B607" s="284" t="e">
        <f>B604</f>
        <v>#REF!</v>
      </c>
      <c r="C607" s="2"/>
      <c r="D607" s="16"/>
    </row>
    <row r="608" spans="1:4" ht="15.75" thickBot="1">
      <c r="A608" s="276" t="s">
        <v>364</v>
      </c>
      <c r="B608" s="25"/>
      <c r="C608" s="25"/>
      <c r="D608" s="26" t="s">
        <v>151</v>
      </c>
    </row>
    <row r="612" spans="1:4" ht="15.75" thickBot="1"/>
    <row r="613" spans="1:4" ht="20.25">
      <c r="A613" s="1490" t="s">
        <v>327</v>
      </c>
      <c r="B613" s="1491"/>
      <c r="C613" s="1491"/>
      <c r="D613" s="1492"/>
    </row>
    <row r="614" spans="1:4">
      <c r="A614" s="1493" t="s">
        <v>328</v>
      </c>
      <c r="B614" s="1494"/>
      <c r="C614" s="1494"/>
      <c r="D614" s="1495"/>
    </row>
    <row r="615" spans="1:4" ht="18">
      <c r="A615" s="1496" t="s">
        <v>329</v>
      </c>
      <c r="B615" s="1497"/>
      <c r="C615" s="1497"/>
      <c r="D615" s="1498"/>
    </row>
    <row r="616" spans="1:4">
      <c r="A616" s="15" t="s">
        <v>150</v>
      </c>
      <c r="D616" s="16"/>
    </row>
    <row r="617" spans="1:4" ht="18">
      <c r="A617" s="269">
        <f>'04-22-Master'!F526</f>
        <v>0</v>
      </c>
      <c r="B617" s="246"/>
      <c r="D617" s="16"/>
    </row>
    <row r="618" spans="1:4" ht="18">
      <c r="A618" s="269">
        <f>'04-22-Master'!F527</f>
        <v>0</v>
      </c>
      <c r="B618" s="246"/>
      <c r="D618" s="16"/>
    </row>
    <row r="619" spans="1:4" ht="18">
      <c r="A619" s="248"/>
      <c r="B619" s="5"/>
      <c r="D619" s="16"/>
    </row>
    <row r="620" spans="1:4" ht="15.75">
      <c r="A620" s="247" t="s">
        <v>330</v>
      </c>
      <c r="B620" s="270"/>
      <c r="C620" s="271">
        <f>'04-22-Master'!B536</f>
        <v>0</v>
      </c>
      <c r="D620" s="86"/>
    </row>
    <row r="621" spans="1:4">
      <c r="A621" s="1499" t="s">
        <v>331</v>
      </c>
      <c r="B621" s="1500"/>
      <c r="C621" s="1500"/>
      <c r="D621" s="1501"/>
    </row>
    <row r="622" spans="1:4">
      <c r="A622" s="15"/>
      <c r="D622" s="16"/>
    </row>
    <row r="623" spans="1:4">
      <c r="A623" s="1499" t="s">
        <v>332</v>
      </c>
      <c r="B623" s="1500"/>
      <c r="C623" s="1500"/>
      <c r="D623" s="1501"/>
    </row>
    <row r="624" spans="1:4">
      <c r="A624" s="249"/>
      <c r="B624" s="250"/>
      <c r="C624" s="250"/>
      <c r="D624" s="251"/>
    </row>
    <row r="625" spans="1:4">
      <c r="A625" s="1483" t="s">
        <v>333</v>
      </c>
      <c r="B625" s="1484"/>
      <c r="C625" s="1484"/>
      <c r="D625" s="1485"/>
    </row>
    <row r="626" spans="1:4">
      <c r="A626" s="15"/>
      <c r="D626" s="16"/>
    </row>
    <row r="627" spans="1:4">
      <c r="A627" s="1483" t="s">
        <v>334</v>
      </c>
      <c r="B627" s="1484"/>
      <c r="C627" s="1484"/>
      <c r="D627" s="1485"/>
    </row>
    <row r="628" spans="1:4">
      <c r="A628" s="1483" t="s">
        <v>335</v>
      </c>
      <c r="B628" s="1484"/>
      <c r="C628" s="1484"/>
      <c r="D628" s="1485"/>
    </row>
    <row r="629" spans="1:4">
      <c r="A629" s="247"/>
      <c r="B629" s="252"/>
      <c r="C629" s="252"/>
      <c r="D629" s="253"/>
    </row>
    <row r="630" spans="1:4">
      <c r="A630" s="1499" t="s">
        <v>336</v>
      </c>
      <c r="B630" s="1500"/>
      <c r="C630" s="1500"/>
      <c r="D630" s="1501"/>
    </row>
    <row r="631" spans="1:4">
      <c r="A631" s="247"/>
      <c r="B631" s="252"/>
      <c r="C631" s="252"/>
      <c r="D631" s="253"/>
    </row>
    <row r="632" spans="1:4">
      <c r="A632" s="1483" t="s">
        <v>337</v>
      </c>
      <c r="B632" s="1484"/>
      <c r="C632" s="1484"/>
      <c r="D632" s="1485"/>
    </row>
    <row r="633" spans="1:4">
      <c r="A633" s="15"/>
      <c r="D633" s="16"/>
    </row>
    <row r="634" spans="1:4">
      <c r="A634" s="1480" t="s">
        <v>338</v>
      </c>
      <c r="B634" s="1481"/>
      <c r="C634" s="1481"/>
      <c r="D634" s="1482"/>
    </row>
    <row r="635" spans="1:4" ht="42.75">
      <c r="A635" s="254" t="s">
        <v>339</v>
      </c>
      <c r="B635" s="255" t="s">
        <v>340</v>
      </c>
      <c r="C635" s="255" t="s">
        <v>341</v>
      </c>
      <c r="D635" s="256" t="s">
        <v>342</v>
      </c>
    </row>
    <row r="636" spans="1:4">
      <c r="A636" s="257">
        <v>1</v>
      </c>
      <c r="B636" s="258">
        <v>2</v>
      </c>
      <c r="C636" s="258">
        <v>3</v>
      </c>
      <c r="D636" s="259">
        <v>4</v>
      </c>
    </row>
    <row r="637" spans="1:4">
      <c r="A637" s="15"/>
      <c r="B637" s="13" t="s">
        <v>384</v>
      </c>
      <c r="C637" s="13" t="s">
        <v>391</v>
      </c>
      <c r="D637" s="291">
        <v>1</v>
      </c>
    </row>
    <row r="638" spans="1:4">
      <c r="A638" s="275"/>
      <c r="B638" s="13"/>
      <c r="C638" s="13"/>
      <c r="D638" s="260"/>
    </row>
    <row r="639" spans="1:4">
      <c r="A639" s="272"/>
      <c r="B639" s="13"/>
      <c r="C639" s="13"/>
      <c r="D639" s="260"/>
    </row>
    <row r="640" spans="1:4">
      <c r="A640" s="15"/>
      <c r="D640" s="16"/>
    </row>
    <row r="641" spans="1:4">
      <c r="A641" s="1480" t="s">
        <v>343</v>
      </c>
      <c r="B641" s="1481"/>
      <c r="C641" s="1481"/>
      <c r="D641" s="1482"/>
    </row>
    <row r="642" spans="1:4">
      <c r="A642" s="164"/>
      <c r="B642" s="6"/>
      <c r="C642" s="6"/>
      <c r="D642" s="165"/>
    </row>
    <row r="643" spans="1:4">
      <c r="A643" s="1469" t="s">
        <v>344</v>
      </c>
      <c r="B643" s="1470"/>
      <c r="C643" s="1307"/>
      <c r="D643" s="1472"/>
    </row>
    <row r="644" spans="1:4">
      <c r="A644" s="1469" t="s">
        <v>345</v>
      </c>
      <c r="B644" s="1470"/>
      <c r="C644" s="1307"/>
      <c r="D644" s="1472"/>
    </row>
    <row r="645" spans="1:4">
      <c r="A645" s="1469" t="s">
        <v>346</v>
      </c>
      <c r="B645" s="1470"/>
      <c r="C645" s="1307"/>
      <c r="D645" s="1472"/>
    </row>
    <row r="646" spans="1:4">
      <c r="A646" s="1469" t="s">
        <v>347</v>
      </c>
      <c r="B646" s="1470"/>
      <c r="C646" s="1307"/>
      <c r="D646" s="1472"/>
    </row>
    <row r="647" spans="1:4">
      <c r="A647" s="1469" t="s">
        <v>348</v>
      </c>
      <c r="B647" s="1470"/>
      <c r="C647" s="1307"/>
      <c r="D647" s="1472"/>
    </row>
    <row r="648" spans="1:4">
      <c r="A648" s="1469" t="s">
        <v>349</v>
      </c>
      <c r="B648" s="1470"/>
      <c r="C648" s="1307"/>
      <c r="D648" s="1472"/>
    </row>
    <row r="649" spans="1:4">
      <c r="A649" s="1469" t="s">
        <v>350</v>
      </c>
      <c r="B649" s="1470"/>
      <c r="C649" s="1307"/>
      <c r="D649" s="1472"/>
    </row>
    <row r="650" spans="1:4">
      <c r="A650" s="1469" t="s">
        <v>351</v>
      </c>
      <c r="B650" s="1470"/>
      <c r="C650" s="1307"/>
      <c r="D650" s="1472"/>
    </row>
    <row r="651" spans="1:4">
      <c r="A651" s="1469"/>
      <c r="B651" s="1470"/>
      <c r="C651" s="1307"/>
      <c r="D651" s="1472"/>
    </row>
    <row r="652" spans="1:4">
      <c r="A652" s="1469"/>
      <c r="B652" s="1470"/>
      <c r="C652" s="1307"/>
      <c r="D652" s="1472"/>
    </row>
    <row r="653" spans="1:4">
      <c r="A653" s="1469"/>
      <c r="B653" s="1470"/>
      <c r="C653" s="1307"/>
      <c r="D653" s="1472"/>
    </row>
    <row r="654" spans="1:4">
      <c r="A654" s="247" t="s">
        <v>293</v>
      </c>
      <c r="B654" s="252"/>
      <c r="C654" s="252"/>
      <c r="D654" s="253"/>
    </row>
    <row r="655" spans="1:4">
      <c r="A655" s="247" t="s">
        <v>352</v>
      </c>
      <c r="B655" s="252"/>
      <c r="C655" s="261" t="s">
        <v>353</v>
      </c>
      <c r="D655" s="253"/>
    </row>
    <row r="656" spans="1:4">
      <c r="A656" s="247"/>
      <c r="B656" s="252"/>
      <c r="C656" s="252"/>
      <c r="D656" s="253"/>
    </row>
    <row r="657" spans="1:4">
      <c r="A657" s="1480" t="s">
        <v>354</v>
      </c>
      <c r="B657" s="1481"/>
      <c r="C657" s="1481"/>
      <c r="D657" s="1482"/>
    </row>
    <row r="658" spans="1:4">
      <c r="A658" s="247" t="s">
        <v>355</v>
      </c>
      <c r="B658" s="252"/>
      <c r="C658" s="252"/>
      <c r="D658" s="253"/>
    </row>
    <row r="659" spans="1:4">
      <c r="A659" s="247"/>
      <c r="B659" s="252"/>
      <c r="C659" s="252"/>
      <c r="D659" s="253"/>
    </row>
    <row r="660" spans="1:4">
      <c r="A660" s="1483" t="s">
        <v>356</v>
      </c>
      <c r="B660" s="1484"/>
      <c r="C660" s="1484" t="s">
        <v>357</v>
      </c>
      <c r="D660" s="1485"/>
    </row>
    <row r="661" spans="1:4">
      <c r="A661" s="1486">
        <v>1</v>
      </c>
      <c r="B661" s="1487"/>
      <c r="C661" s="1487">
        <v>1</v>
      </c>
      <c r="D661" s="1488"/>
    </row>
    <row r="662" spans="1:4">
      <c r="A662" s="1486">
        <v>2</v>
      </c>
      <c r="B662" s="1487"/>
      <c r="C662" s="1487">
        <v>2</v>
      </c>
      <c r="D662" s="1488"/>
    </row>
    <row r="663" spans="1:4">
      <c r="A663" s="262"/>
      <c r="C663" s="1476" t="s">
        <v>362</v>
      </c>
      <c r="D663" s="1477"/>
    </row>
    <row r="664" spans="1:4">
      <c r="A664" s="1473" t="s">
        <v>358</v>
      </c>
      <c r="B664" s="1474"/>
      <c r="C664" s="1474"/>
      <c r="D664" s="1475"/>
    </row>
    <row r="665" spans="1:4">
      <c r="A665" s="265" t="s">
        <v>359</v>
      </c>
      <c r="B665" s="266"/>
      <c r="C665" s="266"/>
      <c r="D665" s="267"/>
    </row>
    <row r="666" spans="1:4">
      <c r="A666" s="265"/>
      <c r="B666" s="266"/>
      <c r="C666" s="266"/>
      <c r="D666" s="267"/>
    </row>
    <row r="667" spans="1:4">
      <c r="A667" s="265"/>
      <c r="B667" s="266"/>
      <c r="C667" s="266" t="s">
        <v>360</v>
      </c>
      <c r="D667" s="267"/>
    </row>
    <row r="668" spans="1:4">
      <c r="A668" s="262"/>
      <c r="B668" s="263"/>
      <c r="C668" s="163" t="s">
        <v>161</v>
      </c>
      <c r="D668" s="264"/>
    </row>
    <row r="669" spans="1:4">
      <c r="A669" s="262"/>
      <c r="C669" t="s">
        <v>361</v>
      </c>
      <c r="D669" s="268"/>
    </row>
    <row r="670" spans="1:4">
      <c r="A670" s="262"/>
      <c r="C670" s="1478">
        <f>'04-22-Master'!F526</f>
        <v>0</v>
      </c>
      <c r="D670" s="1479"/>
    </row>
    <row r="671" spans="1:4">
      <c r="A671" s="247" t="s">
        <v>293</v>
      </c>
      <c r="C671" s="2">
        <f>'04-22-Master'!F527</f>
        <v>0</v>
      </c>
      <c r="D671" s="16"/>
    </row>
    <row r="672" spans="1:4" ht="15.75" thickBot="1">
      <c r="A672" s="247" t="s">
        <v>352</v>
      </c>
      <c r="C672" s="2"/>
      <c r="D672" s="16"/>
    </row>
    <row r="673" spans="1:4" ht="15.75" thickBot="1">
      <c r="A673" s="273"/>
      <c r="B673" s="274" t="s">
        <v>365</v>
      </c>
      <c r="C673" s="274"/>
      <c r="D673" s="30"/>
    </row>
    <row r="674" spans="1:4">
      <c r="A674" s="247" t="s">
        <v>363</v>
      </c>
      <c r="C674" s="2"/>
      <c r="D674" s="16"/>
    </row>
    <row r="675" spans="1:4">
      <c r="A675" s="247" t="s">
        <v>352</v>
      </c>
      <c r="C675" s="2"/>
      <c r="D675" s="16"/>
    </row>
    <row r="676" spans="1:4" ht="15.75" thickBot="1">
      <c r="A676" s="276" t="s">
        <v>364</v>
      </c>
      <c r="B676" s="25"/>
      <c r="C676" s="25"/>
      <c r="D676" s="26" t="s">
        <v>151</v>
      </c>
    </row>
    <row r="680" spans="1:4" ht="15.75" thickBot="1"/>
    <row r="681" spans="1:4" ht="20.25">
      <c r="A681" s="1490" t="s">
        <v>327</v>
      </c>
      <c r="B681" s="1491"/>
      <c r="C681" s="1491"/>
      <c r="D681" s="1492"/>
    </row>
    <row r="682" spans="1:4">
      <c r="A682" s="1493" t="s">
        <v>328</v>
      </c>
      <c r="B682" s="1494"/>
      <c r="C682" s="1494"/>
      <c r="D682" s="1495"/>
    </row>
    <row r="683" spans="1:4" ht="18">
      <c r="A683" s="1496" t="s">
        <v>329</v>
      </c>
      <c r="B683" s="1497"/>
      <c r="C683" s="1497"/>
      <c r="D683" s="1498"/>
    </row>
    <row r="684" spans="1:4">
      <c r="A684" s="15" t="s">
        <v>150</v>
      </c>
      <c r="D684" s="16"/>
    </row>
    <row r="685" spans="1:4" ht="18">
      <c r="A685" s="269">
        <f>'04-22-Master'!F594</f>
        <v>0</v>
      </c>
      <c r="B685" s="246"/>
      <c r="D685" s="16"/>
    </row>
    <row r="686" spans="1:4" ht="18">
      <c r="A686" s="269">
        <f>'04-22-Master'!F595</f>
        <v>0</v>
      </c>
      <c r="B686" s="246"/>
      <c r="D686" s="16"/>
    </row>
    <row r="687" spans="1:4" ht="18">
      <c r="A687" s="248"/>
      <c r="B687" s="5"/>
      <c r="D687" s="16"/>
    </row>
    <row r="688" spans="1:4" ht="15.75">
      <c r="A688" s="247" t="s">
        <v>330</v>
      </c>
      <c r="B688" s="270"/>
      <c r="C688" s="271">
        <f>'04-22-Master'!B604</f>
        <v>0</v>
      </c>
      <c r="D688" s="86"/>
    </row>
    <row r="689" spans="1:4">
      <c r="A689" s="1499" t="s">
        <v>331</v>
      </c>
      <c r="B689" s="1500"/>
      <c r="C689" s="1500"/>
      <c r="D689" s="1501"/>
    </row>
    <row r="690" spans="1:4">
      <c r="A690" s="15"/>
      <c r="D690" s="16"/>
    </row>
    <row r="691" spans="1:4">
      <c r="A691" s="1499" t="s">
        <v>332</v>
      </c>
      <c r="B691" s="1500"/>
      <c r="C691" s="1500"/>
      <c r="D691" s="1501"/>
    </row>
    <row r="692" spans="1:4">
      <c r="A692" s="249"/>
      <c r="B692" s="250"/>
      <c r="C692" s="250"/>
      <c r="D692" s="251"/>
    </row>
    <row r="693" spans="1:4">
      <c r="A693" s="1483" t="s">
        <v>333</v>
      </c>
      <c r="B693" s="1484"/>
      <c r="C693" s="1484"/>
      <c r="D693" s="1485"/>
    </row>
    <row r="694" spans="1:4">
      <c r="A694" s="15"/>
      <c r="D694" s="16"/>
    </row>
    <row r="695" spans="1:4">
      <c r="A695" s="1483" t="s">
        <v>334</v>
      </c>
      <c r="B695" s="1484"/>
      <c r="C695" s="1484"/>
      <c r="D695" s="1485"/>
    </row>
    <row r="696" spans="1:4">
      <c r="A696" s="1483" t="s">
        <v>335</v>
      </c>
      <c r="B696" s="1484"/>
      <c r="C696" s="1484"/>
      <c r="D696" s="1485"/>
    </row>
    <row r="697" spans="1:4">
      <c r="A697" s="247"/>
      <c r="B697" s="252"/>
      <c r="C697" s="252"/>
      <c r="D697" s="253"/>
    </row>
    <row r="698" spans="1:4">
      <c r="A698" s="1499" t="s">
        <v>336</v>
      </c>
      <c r="B698" s="1500"/>
      <c r="C698" s="1500"/>
      <c r="D698" s="1501"/>
    </row>
    <row r="699" spans="1:4">
      <c r="A699" s="247"/>
      <c r="B699" s="252"/>
      <c r="C699" s="252"/>
      <c r="D699" s="253"/>
    </row>
    <row r="700" spans="1:4">
      <c r="A700" s="1483" t="s">
        <v>337</v>
      </c>
      <c r="B700" s="1484"/>
      <c r="C700" s="1484"/>
      <c r="D700" s="1485"/>
    </row>
    <row r="701" spans="1:4">
      <c r="A701" s="15"/>
      <c r="D701" s="16"/>
    </row>
    <row r="702" spans="1:4">
      <c r="A702" s="1480" t="s">
        <v>338</v>
      </c>
      <c r="B702" s="1481"/>
      <c r="C702" s="1481"/>
      <c r="D702" s="1482"/>
    </row>
    <row r="703" spans="1:4" ht="42.75">
      <c r="A703" s="254" t="s">
        <v>339</v>
      </c>
      <c r="B703" s="255" t="s">
        <v>340</v>
      </c>
      <c r="C703" s="255" t="s">
        <v>341</v>
      </c>
      <c r="D703" s="256" t="s">
        <v>342</v>
      </c>
    </row>
    <row r="704" spans="1:4">
      <c r="A704" s="257">
        <v>1</v>
      </c>
      <c r="B704" s="258">
        <v>2</v>
      </c>
      <c r="C704" s="258">
        <v>3</v>
      </c>
      <c r="D704" s="259">
        <v>4</v>
      </c>
    </row>
    <row r="705" spans="1:4">
      <c r="A705" s="15"/>
      <c r="B705" s="13" t="s">
        <v>384</v>
      </c>
      <c r="C705" s="13" t="s">
        <v>391</v>
      </c>
      <c r="D705" s="291">
        <v>1</v>
      </c>
    </row>
    <row r="706" spans="1:4">
      <c r="A706" s="275"/>
      <c r="B706" s="13"/>
      <c r="C706" s="13"/>
      <c r="D706" s="260"/>
    </row>
    <row r="707" spans="1:4">
      <c r="A707" s="272"/>
      <c r="B707" s="13"/>
      <c r="C707" s="13"/>
      <c r="D707" s="260"/>
    </row>
    <row r="708" spans="1:4">
      <c r="A708" s="15"/>
      <c r="D708" s="16"/>
    </row>
    <row r="709" spans="1:4">
      <c r="A709" s="1480" t="s">
        <v>343</v>
      </c>
      <c r="B709" s="1481"/>
      <c r="C709" s="1481"/>
      <c r="D709" s="1482"/>
    </row>
    <row r="710" spans="1:4">
      <c r="A710" s="164"/>
      <c r="B710" s="6"/>
      <c r="C710" s="6"/>
      <c r="D710" s="165"/>
    </row>
    <row r="711" spans="1:4">
      <c r="A711" s="1469" t="s">
        <v>344</v>
      </c>
      <c r="B711" s="1470"/>
      <c r="C711" s="1307"/>
      <c r="D711" s="1472"/>
    </row>
    <row r="712" spans="1:4">
      <c r="A712" s="1469" t="s">
        <v>345</v>
      </c>
      <c r="B712" s="1470"/>
      <c r="C712" s="1307"/>
      <c r="D712" s="1472"/>
    </row>
    <row r="713" spans="1:4">
      <c r="A713" s="1469" t="s">
        <v>346</v>
      </c>
      <c r="B713" s="1470"/>
      <c r="C713" s="1307"/>
      <c r="D713" s="1472"/>
    </row>
    <row r="714" spans="1:4">
      <c r="A714" s="1469" t="s">
        <v>347</v>
      </c>
      <c r="B714" s="1470"/>
      <c r="C714" s="1307"/>
      <c r="D714" s="1472"/>
    </row>
    <row r="715" spans="1:4">
      <c r="A715" s="1469" t="s">
        <v>348</v>
      </c>
      <c r="B715" s="1470"/>
      <c r="C715" s="1307"/>
      <c r="D715" s="1472"/>
    </row>
    <row r="716" spans="1:4">
      <c r="A716" s="1469" t="s">
        <v>349</v>
      </c>
      <c r="B716" s="1470"/>
      <c r="C716" s="1307"/>
      <c r="D716" s="1472"/>
    </row>
    <row r="717" spans="1:4">
      <c r="A717" s="1469" t="s">
        <v>350</v>
      </c>
      <c r="B717" s="1470"/>
      <c r="C717" s="1307"/>
      <c r="D717" s="1472"/>
    </row>
    <row r="718" spans="1:4">
      <c r="A718" s="1469" t="s">
        <v>351</v>
      </c>
      <c r="B718" s="1470"/>
      <c r="C718" s="1307"/>
      <c r="D718" s="1472"/>
    </row>
    <row r="719" spans="1:4">
      <c r="A719" s="1469"/>
      <c r="B719" s="1470"/>
      <c r="C719" s="1307"/>
      <c r="D719" s="1472"/>
    </row>
    <row r="720" spans="1:4">
      <c r="A720" s="1469"/>
      <c r="B720" s="1470"/>
      <c r="C720" s="1307"/>
      <c r="D720" s="1472"/>
    </row>
    <row r="721" spans="1:4">
      <c r="A721" s="1469"/>
      <c r="B721" s="1470"/>
      <c r="C721" s="1307"/>
      <c r="D721" s="1472"/>
    </row>
    <row r="722" spans="1:4">
      <c r="A722" s="247" t="s">
        <v>293</v>
      </c>
      <c r="B722" s="252"/>
      <c r="C722" s="252"/>
      <c r="D722" s="253"/>
    </row>
    <row r="723" spans="1:4">
      <c r="A723" s="247" t="s">
        <v>352</v>
      </c>
      <c r="B723" s="252"/>
      <c r="C723" s="261" t="s">
        <v>353</v>
      </c>
      <c r="D723" s="253"/>
    </row>
    <row r="724" spans="1:4">
      <c r="A724" s="247"/>
      <c r="B724" s="252"/>
      <c r="C724" s="252"/>
      <c r="D724" s="253"/>
    </row>
    <row r="725" spans="1:4">
      <c r="A725" s="1480" t="s">
        <v>354</v>
      </c>
      <c r="B725" s="1481"/>
      <c r="C725" s="1481"/>
      <c r="D725" s="1482"/>
    </row>
    <row r="726" spans="1:4">
      <c r="A726" s="247" t="s">
        <v>355</v>
      </c>
      <c r="B726" s="252"/>
      <c r="C726" s="252"/>
      <c r="D726" s="253"/>
    </row>
    <row r="727" spans="1:4">
      <c r="A727" s="247"/>
      <c r="B727" s="252"/>
      <c r="C727" s="252"/>
      <c r="D727" s="253"/>
    </row>
    <row r="728" spans="1:4">
      <c r="A728" s="1483" t="s">
        <v>356</v>
      </c>
      <c r="B728" s="1484"/>
      <c r="C728" s="1484" t="s">
        <v>357</v>
      </c>
      <c r="D728" s="1485"/>
    </row>
    <row r="729" spans="1:4">
      <c r="A729" s="1486">
        <v>1</v>
      </c>
      <c r="B729" s="1487"/>
      <c r="C729" s="1487">
        <v>1</v>
      </c>
      <c r="D729" s="1488"/>
    </row>
    <row r="730" spans="1:4">
      <c r="A730" s="1486">
        <v>2</v>
      </c>
      <c r="B730" s="1487"/>
      <c r="C730" s="1487">
        <v>2</v>
      </c>
      <c r="D730" s="1488"/>
    </row>
    <row r="731" spans="1:4">
      <c r="A731" s="262"/>
      <c r="C731" s="1476" t="s">
        <v>362</v>
      </c>
      <c r="D731" s="1477"/>
    </row>
    <row r="732" spans="1:4">
      <c r="A732" s="1473" t="s">
        <v>358</v>
      </c>
      <c r="B732" s="1474"/>
      <c r="C732" s="1474"/>
      <c r="D732" s="1475"/>
    </row>
    <row r="733" spans="1:4">
      <c r="A733" s="265" t="s">
        <v>359</v>
      </c>
      <c r="B733" s="266"/>
      <c r="C733" s="266"/>
      <c r="D733" s="267"/>
    </row>
    <row r="734" spans="1:4">
      <c r="A734" s="265"/>
      <c r="B734" s="266"/>
      <c r="C734" s="266"/>
      <c r="D734" s="267"/>
    </row>
    <row r="735" spans="1:4">
      <c r="A735" s="265"/>
      <c r="B735" s="266"/>
      <c r="C735" s="266" t="s">
        <v>360</v>
      </c>
      <c r="D735" s="267"/>
    </row>
    <row r="736" spans="1:4">
      <c r="A736" s="262"/>
      <c r="B736" s="263"/>
      <c r="C736" s="163" t="s">
        <v>161</v>
      </c>
      <c r="D736" s="264"/>
    </row>
    <row r="737" spans="1:4">
      <c r="A737" s="262"/>
      <c r="C737" t="s">
        <v>361</v>
      </c>
      <c r="D737" s="268"/>
    </row>
    <row r="738" spans="1:4">
      <c r="A738" s="262"/>
      <c r="C738" s="1478">
        <f>'04-22-Master'!F594</f>
        <v>0</v>
      </c>
      <c r="D738" s="1479"/>
    </row>
    <row r="739" spans="1:4">
      <c r="A739" s="247" t="s">
        <v>293</v>
      </c>
      <c r="C739" s="2">
        <f>'04-22-Master'!F595</f>
        <v>0</v>
      </c>
      <c r="D739" s="16"/>
    </row>
    <row r="740" spans="1:4" ht="15.75" thickBot="1">
      <c r="A740" s="247" t="s">
        <v>352</v>
      </c>
      <c r="C740" s="2"/>
      <c r="D740" s="16"/>
    </row>
    <row r="741" spans="1:4" ht="15.75" thickBot="1">
      <c r="A741" s="273"/>
      <c r="B741" s="274" t="s">
        <v>365</v>
      </c>
      <c r="C741" s="274"/>
      <c r="D741" s="30"/>
    </row>
    <row r="742" spans="1:4">
      <c r="A742" s="247" t="s">
        <v>363</v>
      </c>
      <c r="C742" s="2"/>
      <c r="D742" s="16"/>
    </row>
    <row r="743" spans="1:4">
      <c r="A743" s="247" t="s">
        <v>352</v>
      </c>
      <c r="C743" s="2"/>
      <c r="D743" s="16"/>
    </row>
    <row r="744" spans="1:4" ht="15.75" thickBot="1">
      <c r="A744" s="276" t="s">
        <v>364</v>
      </c>
      <c r="B744" s="25"/>
      <c r="C744" s="25"/>
      <c r="D744" s="26" t="s">
        <v>151</v>
      </c>
    </row>
  </sheetData>
  <mergeCells count="484">
    <mergeCell ref="A730:B730"/>
    <mergeCell ref="C730:D730"/>
    <mergeCell ref="C731:D731"/>
    <mergeCell ref="A732:D732"/>
    <mergeCell ref="C738:D738"/>
    <mergeCell ref="A725:D725"/>
    <mergeCell ref="A728:B728"/>
    <mergeCell ref="C728:D728"/>
    <mergeCell ref="A729:B729"/>
    <mergeCell ref="C729:D729"/>
    <mergeCell ref="A719:B719"/>
    <mergeCell ref="C719:D719"/>
    <mergeCell ref="A720:B720"/>
    <mergeCell ref="C720:D720"/>
    <mergeCell ref="A721:B721"/>
    <mergeCell ref="C721:D721"/>
    <mergeCell ref="A716:B716"/>
    <mergeCell ref="C716:D716"/>
    <mergeCell ref="A717:B717"/>
    <mergeCell ref="C717:D717"/>
    <mergeCell ref="A718:B718"/>
    <mergeCell ref="C718:D718"/>
    <mergeCell ref="A713:B713"/>
    <mergeCell ref="C713:D713"/>
    <mergeCell ref="A714:B714"/>
    <mergeCell ref="C714:D714"/>
    <mergeCell ref="A715:B715"/>
    <mergeCell ref="C715:D715"/>
    <mergeCell ref="A702:D702"/>
    <mergeCell ref="A709:D709"/>
    <mergeCell ref="A711:B711"/>
    <mergeCell ref="C711:D711"/>
    <mergeCell ref="A712:B712"/>
    <mergeCell ref="C712:D712"/>
    <mergeCell ref="A693:D693"/>
    <mergeCell ref="A695:D695"/>
    <mergeCell ref="A696:D696"/>
    <mergeCell ref="A698:D698"/>
    <mergeCell ref="A700:D700"/>
    <mergeCell ref="A681:D681"/>
    <mergeCell ref="A682:D682"/>
    <mergeCell ref="A683:D683"/>
    <mergeCell ref="A689:D689"/>
    <mergeCell ref="A691:D691"/>
    <mergeCell ref="A662:B662"/>
    <mergeCell ref="C662:D662"/>
    <mergeCell ref="C663:D663"/>
    <mergeCell ref="A664:D664"/>
    <mergeCell ref="C670:D670"/>
    <mergeCell ref="A657:D657"/>
    <mergeCell ref="A660:B660"/>
    <mergeCell ref="C660:D660"/>
    <mergeCell ref="A661:B661"/>
    <mergeCell ref="C661:D661"/>
    <mergeCell ref="A651:B651"/>
    <mergeCell ref="C651:D651"/>
    <mergeCell ref="A652:B652"/>
    <mergeCell ref="C652:D652"/>
    <mergeCell ref="A653:B653"/>
    <mergeCell ref="C653:D653"/>
    <mergeCell ref="A648:B648"/>
    <mergeCell ref="C648:D648"/>
    <mergeCell ref="A649:B649"/>
    <mergeCell ref="C649:D649"/>
    <mergeCell ref="A650:B650"/>
    <mergeCell ref="C650:D650"/>
    <mergeCell ref="A645:B645"/>
    <mergeCell ref="C645:D645"/>
    <mergeCell ref="A646:B646"/>
    <mergeCell ref="C646:D646"/>
    <mergeCell ref="A647:B647"/>
    <mergeCell ref="C647:D647"/>
    <mergeCell ref="A634:D634"/>
    <mergeCell ref="A641:D641"/>
    <mergeCell ref="A643:B643"/>
    <mergeCell ref="C643:D643"/>
    <mergeCell ref="A644:B644"/>
    <mergeCell ref="C644:D644"/>
    <mergeCell ref="A625:D625"/>
    <mergeCell ref="A627:D627"/>
    <mergeCell ref="A628:D628"/>
    <mergeCell ref="A630:D630"/>
    <mergeCell ref="A632:D632"/>
    <mergeCell ref="A613:D613"/>
    <mergeCell ref="A614:D614"/>
    <mergeCell ref="A615:D615"/>
    <mergeCell ref="A621:D621"/>
    <mergeCell ref="A623:D623"/>
    <mergeCell ref="A594:B594"/>
    <mergeCell ref="C594:D594"/>
    <mergeCell ref="C595:D595"/>
    <mergeCell ref="A596:D596"/>
    <mergeCell ref="C602:D602"/>
    <mergeCell ref="A589:D589"/>
    <mergeCell ref="A592:B592"/>
    <mergeCell ref="C592:D592"/>
    <mergeCell ref="A593:B593"/>
    <mergeCell ref="C593:D593"/>
    <mergeCell ref="A583:B583"/>
    <mergeCell ref="C583:D583"/>
    <mergeCell ref="A584:B584"/>
    <mergeCell ref="C584:D584"/>
    <mergeCell ref="A585:B585"/>
    <mergeCell ref="C585:D585"/>
    <mergeCell ref="A580:B580"/>
    <mergeCell ref="C580:D580"/>
    <mergeCell ref="A581:B581"/>
    <mergeCell ref="C581:D581"/>
    <mergeCell ref="A582:B582"/>
    <mergeCell ref="C582:D582"/>
    <mergeCell ref="A577:B577"/>
    <mergeCell ref="C577:D577"/>
    <mergeCell ref="A578:B578"/>
    <mergeCell ref="C578:D578"/>
    <mergeCell ref="A579:B579"/>
    <mergeCell ref="C579:D579"/>
    <mergeCell ref="A566:D566"/>
    <mergeCell ref="A573:D573"/>
    <mergeCell ref="A575:B575"/>
    <mergeCell ref="C575:D575"/>
    <mergeCell ref="A576:B576"/>
    <mergeCell ref="C576:D576"/>
    <mergeCell ref="A557:D557"/>
    <mergeCell ref="A559:D559"/>
    <mergeCell ref="A560:D560"/>
    <mergeCell ref="A562:D562"/>
    <mergeCell ref="A564:D564"/>
    <mergeCell ref="A545:D545"/>
    <mergeCell ref="A546:D546"/>
    <mergeCell ref="A547:D547"/>
    <mergeCell ref="A553:D553"/>
    <mergeCell ref="A555:D555"/>
    <mergeCell ref="A526:B526"/>
    <mergeCell ref="C526:D526"/>
    <mergeCell ref="C527:D527"/>
    <mergeCell ref="A528:D528"/>
    <mergeCell ref="C534:D534"/>
    <mergeCell ref="A521:D521"/>
    <mergeCell ref="A524:B524"/>
    <mergeCell ref="C524:D524"/>
    <mergeCell ref="A525:B525"/>
    <mergeCell ref="C525:D525"/>
    <mergeCell ref="A515:B515"/>
    <mergeCell ref="C515:D515"/>
    <mergeCell ref="A516:B516"/>
    <mergeCell ref="C516:D516"/>
    <mergeCell ref="A517:B517"/>
    <mergeCell ref="C517:D517"/>
    <mergeCell ref="A512:B512"/>
    <mergeCell ref="C512:D512"/>
    <mergeCell ref="A513:B513"/>
    <mergeCell ref="C513:D513"/>
    <mergeCell ref="A514:B514"/>
    <mergeCell ref="C514:D514"/>
    <mergeCell ref="A509:B509"/>
    <mergeCell ref="C509:D509"/>
    <mergeCell ref="A510:B510"/>
    <mergeCell ref="C510:D510"/>
    <mergeCell ref="A511:B511"/>
    <mergeCell ref="C511:D511"/>
    <mergeCell ref="A498:D498"/>
    <mergeCell ref="A505:D505"/>
    <mergeCell ref="A507:B507"/>
    <mergeCell ref="C507:D507"/>
    <mergeCell ref="A508:B508"/>
    <mergeCell ref="C508:D508"/>
    <mergeCell ref="A489:D489"/>
    <mergeCell ref="A491:D491"/>
    <mergeCell ref="A492:D492"/>
    <mergeCell ref="A494:D494"/>
    <mergeCell ref="A496:D496"/>
    <mergeCell ref="A477:D477"/>
    <mergeCell ref="A478:D478"/>
    <mergeCell ref="A479:D479"/>
    <mergeCell ref="A485:D485"/>
    <mergeCell ref="A487:D487"/>
    <mergeCell ref="A458:B458"/>
    <mergeCell ref="C458:D458"/>
    <mergeCell ref="C459:D459"/>
    <mergeCell ref="A460:D460"/>
    <mergeCell ref="C466:D466"/>
    <mergeCell ref="A453:D453"/>
    <mergeCell ref="A456:B456"/>
    <mergeCell ref="C456:D456"/>
    <mergeCell ref="A457:B457"/>
    <mergeCell ref="C457:D457"/>
    <mergeCell ref="A447:B447"/>
    <mergeCell ref="C447:D447"/>
    <mergeCell ref="A448:B448"/>
    <mergeCell ref="C448:D448"/>
    <mergeCell ref="A449:B449"/>
    <mergeCell ref="C449:D449"/>
    <mergeCell ref="A444:B444"/>
    <mergeCell ref="C444:D444"/>
    <mergeCell ref="A445:B445"/>
    <mergeCell ref="C445:D445"/>
    <mergeCell ref="A446:B446"/>
    <mergeCell ref="C446:D446"/>
    <mergeCell ref="A441:B441"/>
    <mergeCell ref="C441:D441"/>
    <mergeCell ref="A442:B442"/>
    <mergeCell ref="C442:D442"/>
    <mergeCell ref="A443:B443"/>
    <mergeCell ref="C443:D443"/>
    <mergeCell ref="A430:D430"/>
    <mergeCell ref="A437:D437"/>
    <mergeCell ref="A439:B439"/>
    <mergeCell ref="C439:D439"/>
    <mergeCell ref="A440:B440"/>
    <mergeCell ref="C440:D440"/>
    <mergeCell ref="A421:D421"/>
    <mergeCell ref="A423:D423"/>
    <mergeCell ref="A424:D424"/>
    <mergeCell ref="A426:D426"/>
    <mergeCell ref="A428:D428"/>
    <mergeCell ref="A409:D409"/>
    <mergeCell ref="A410:D410"/>
    <mergeCell ref="A411:D411"/>
    <mergeCell ref="A417:D417"/>
    <mergeCell ref="A419:D419"/>
    <mergeCell ref="A390:B390"/>
    <mergeCell ref="C390:D390"/>
    <mergeCell ref="C391:D391"/>
    <mergeCell ref="A392:D392"/>
    <mergeCell ref="C398:D398"/>
    <mergeCell ref="A385:D385"/>
    <mergeCell ref="A388:B388"/>
    <mergeCell ref="C388:D388"/>
    <mergeCell ref="A389:B389"/>
    <mergeCell ref="C389:D389"/>
    <mergeCell ref="A379:B379"/>
    <mergeCell ref="C379:D379"/>
    <mergeCell ref="A380:B380"/>
    <mergeCell ref="C380:D380"/>
    <mergeCell ref="A381:B381"/>
    <mergeCell ref="C381:D381"/>
    <mergeCell ref="A376:B376"/>
    <mergeCell ref="C376:D376"/>
    <mergeCell ref="A377:B377"/>
    <mergeCell ref="C377:D377"/>
    <mergeCell ref="A378:B378"/>
    <mergeCell ref="C378:D378"/>
    <mergeCell ref="A373:B373"/>
    <mergeCell ref="C373:D373"/>
    <mergeCell ref="A374:B374"/>
    <mergeCell ref="C374:D374"/>
    <mergeCell ref="A375:B375"/>
    <mergeCell ref="C375:D375"/>
    <mergeCell ref="A362:D362"/>
    <mergeCell ref="A369:D369"/>
    <mergeCell ref="A371:B371"/>
    <mergeCell ref="C371:D371"/>
    <mergeCell ref="A372:B372"/>
    <mergeCell ref="C372:D372"/>
    <mergeCell ref="A353:D353"/>
    <mergeCell ref="A355:D355"/>
    <mergeCell ref="A356:D356"/>
    <mergeCell ref="A358:D358"/>
    <mergeCell ref="A360:D360"/>
    <mergeCell ref="A341:D341"/>
    <mergeCell ref="A342:D342"/>
    <mergeCell ref="A343:D343"/>
    <mergeCell ref="A349:D349"/>
    <mergeCell ref="A351:D351"/>
    <mergeCell ref="A322:B322"/>
    <mergeCell ref="C322:D322"/>
    <mergeCell ref="C323:D323"/>
    <mergeCell ref="A324:D324"/>
    <mergeCell ref="C330:D330"/>
    <mergeCell ref="A317:D317"/>
    <mergeCell ref="A320:B320"/>
    <mergeCell ref="C320:D320"/>
    <mergeCell ref="A321:B321"/>
    <mergeCell ref="C321:D321"/>
    <mergeCell ref="A311:B311"/>
    <mergeCell ref="C311:D311"/>
    <mergeCell ref="A312:B312"/>
    <mergeCell ref="C312:D312"/>
    <mergeCell ref="A313:B313"/>
    <mergeCell ref="C313:D313"/>
    <mergeCell ref="A308:B308"/>
    <mergeCell ref="C308:D308"/>
    <mergeCell ref="A309:B309"/>
    <mergeCell ref="C309:D309"/>
    <mergeCell ref="A310:B310"/>
    <mergeCell ref="C310:D310"/>
    <mergeCell ref="A305:B305"/>
    <mergeCell ref="C305:D305"/>
    <mergeCell ref="A306:B306"/>
    <mergeCell ref="C306:D306"/>
    <mergeCell ref="A307:B307"/>
    <mergeCell ref="C307:D307"/>
    <mergeCell ref="A294:D294"/>
    <mergeCell ref="A301:D301"/>
    <mergeCell ref="A303:B303"/>
    <mergeCell ref="C303:D303"/>
    <mergeCell ref="A304:B304"/>
    <mergeCell ref="C304:D304"/>
    <mergeCell ref="A285:D285"/>
    <mergeCell ref="A287:D287"/>
    <mergeCell ref="A288:D288"/>
    <mergeCell ref="A290:D290"/>
    <mergeCell ref="A292:D292"/>
    <mergeCell ref="A273:D273"/>
    <mergeCell ref="A274:D274"/>
    <mergeCell ref="A275:D275"/>
    <mergeCell ref="A281:D281"/>
    <mergeCell ref="A283:D283"/>
    <mergeCell ref="A254:B254"/>
    <mergeCell ref="C254:D254"/>
    <mergeCell ref="C255:D255"/>
    <mergeCell ref="A256:D256"/>
    <mergeCell ref="C262:D262"/>
    <mergeCell ref="A249:D249"/>
    <mergeCell ref="A252:B252"/>
    <mergeCell ref="C252:D252"/>
    <mergeCell ref="A253:B253"/>
    <mergeCell ref="C253:D253"/>
    <mergeCell ref="A243:B243"/>
    <mergeCell ref="C243:D243"/>
    <mergeCell ref="A244:B244"/>
    <mergeCell ref="C244:D244"/>
    <mergeCell ref="A245:B245"/>
    <mergeCell ref="C245:D245"/>
    <mergeCell ref="A240:B240"/>
    <mergeCell ref="C240:D240"/>
    <mergeCell ref="A241:B241"/>
    <mergeCell ref="C241:D241"/>
    <mergeCell ref="A242:B242"/>
    <mergeCell ref="C242:D242"/>
    <mergeCell ref="A237:B237"/>
    <mergeCell ref="C237:D237"/>
    <mergeCell ref="A238:B238"/>
    <mergeCell ref="C238:D238"/>
    <mergeCell ref="A239:B239"/>
    <mergeCell ref="C239:D239"/>
    <mergeCell ref="A226:D226"/>
    <mergeCell ref="A233:D233"/>
    <mergeCell ref="A235:B235"/>
    <mergeCell ref="C235:D235"/>
    <mergeCell ref="A236:B236"/>
    <mergeCell ref="C236:D236"/>
    <mergeCell ref="A217:D217"/>
    <mergeCell ref="A219:D219"/>
    <mergeCell ref="A220:D220"/>
    <mergeCell ref="A222:D222"/>
    <mergeCell ref="A224:D224"/>
    <mergeCell ref="A205:D205"/>
    <mergeCell ref="A206:D206"/>
    <mergeCell ref="A207:D207"/>
    <mergeCell ref="A213:D213"/>
    <mergeCell ref="A215:D215"/>
    <mergeCell ref="A186:B186"/>
    <mergeCell ref="C186:D186"/>
    <mergeCell ref="C187:D187"/>
    <mergeCell ref="A188:D188"/>
    <mergeCell ref="C194:D194"/>
    <mergeCell ref="A181:D181"/>
    <mergeCell ref="A184:B184"/>
    <mergeCell ref="C184:D184"/>
    <mergeCell ref="A185:B185"/>
    <mergeCell ref="C185:D185"/>
    <mergeCell ref="A175:B175"/>
    <mergeCell ref="C175:D175"/>
    <mergeCell ref="A176:B176"/>
    <mergeCell ref="C176:D176"/>
    <mergeCell ref="A177:B177"/>
    <mergeCell ref="C177:D177"/>
    <mergeCell ref="A172:B172"/>
    <mergeCell ref="C172:D172"/>
    <mergeCell ref="A173:B173"/>
    <mergeCell ref="C173:D173"/>
    <mergeCell ref="A174:B174"/>
    <mergeCell ref="C174:D174"/>
    <mergeCell ref="A169:B169"/>
    <mergeCell ref="C169:D169"/>
    <mergeCell ref="A170:B170"/>
    <mergeCell ref="C170:D170"/>
    <mergeCell ref="A171:B171"/>
    <mergeCell ref="C171:D171"/>
    <mergeCell ref="A158:D158"/>
    <mergeCell ref="A165:D165"/>
    <mergeCell ref="A167:B167"/>
    <mergeCell ref="C167:D167"/>
    <mergeCell ref="A168:B168"/>
    <mergeCell ref="C168:D168"/>
    <mergeCell ref="A149:D149"/>
    <mergeCell ref="A151:D151"/>
    <mergeCell ref="A152:D152"/>
    <mergeCell ref="A154:D154"/>
    <mergeCell ref="A156:D156"/>
    <mergeCell ref="A137:D137"/>
    <mergeCell ref="A138:D138"/>
    <mergeCell ref="A139:D139"/>
    <mergeCell ref="A145:D145"/>
    <mergeCell ref="A147:D147"/>
    <mergeCell ref="A118:B118"/>
    <mergeCell ref="C118:D118"/>
    <mergeCell ref="C119:D119"/>
    <mergeCell ref="A120:D120"/>
    <mergeCell ref="C126:D126"/>
    <mergeCell ref="A113:D113"/>
    <mergeCell ref="A116:B116"/>
    <mergeCell ref="C116:D116"/>
    <mergeCell ref="A117:B117"/>
    <mergeCell ref="C117:D117"/>
    <mergeCell ref="A107:B107"/>
    <mergeCell ref="C107:D107"/>
    <mergeCell ref="A108:B108"/>
    <mergeCell ref="C108:D108"/>
    <mergeCell ref="A109:B109"/>
    <mergeCell ref="C109:D109"/>
    <mergeCell ref="A104:B104"/>
    <mergeCell ref="C104:D104"/>
    <mergeCell ref="A105:B105"/>
    <mergeCell ref="C105:D105"/>
    <mergeCell ref="A106:B106"/>
    <mergeCell ref="C106:D106"/>
    <mergeCell ref="A101:B101"/>
    <mergeCell ref="C101:D101"/>
    <mergeCell ref="A102:B102"/>
    <mergeCell ref="C102:D102"/>
    <mergeCell ref="A103:B103"/>
    <mergeCell ref="C103:D103"/>
    <mergeCell ref="A90:D90"/>
    <mergeCell ref="A97:D97"/>
    <mergeCell ref="A99:B99"/>
    <mergeCell ref="C99:D99"/>
    <mergeCell ref="A100:B100"/>
    <mergeCell ref="C100:D100"/>
    <mergeCell ref="A81:D81"/>
    <mergeCell ref="A83:D83"/>
    <mergeCell ref="A84:D84"/>
    <mergeCell ref="A86:D86"/>
    <mergeCell ref="A88:D88"/>
    <mergeCell ref="A69:D69"/>
    <mergeCell ref="A70:D70"/>
    <mergeCell ref="A71:D71"/>
    <mergeCell ref="A77:D77"/>
    <mergeCell ref="A79:D79"/>
    <mergeCell ref="A22:D22"/>
    <mergeCell ref="A1:D1"/>
    <mergeCell ref="A2:D2"/>
    <mergeCell ref="A3:D3"/>
    <mergeCell ref="A9:D9"/>
    <mergeCell ref="A11:D11"/>
    <mergeCell ref="A13:D13"/>
    <mergeCell ref="A15:D15"/>
    <mergeCell ref="A16:D16"/>
    <mergeCell ref="A18:D18"/>
    <mergeCell ref="A20:D20"/>
    <mergeCell ref="A29:D29"/>
    <mergeCell ref="A31:B31"/>
    <mergeCell ref="C31:D31"/>
    <mergeCell ref="A32:B32"/>
    <mergeCell ref="C32:D32"/>
    <mergeCell ref="A33:B33"/>
    <mergeCell ref="C33:D33"/>
    <mergeCell ref="A34:B34"/>
    <mergeCell ref="C34:D34"/>
    <mergeCell ref="A35:B35"/>
    <mergeCell ref="C35:D35"/>
    <mergeCell ref="A36:B36"/>
    <mergeCell ref="C36:D36"/>
    <mergeCell ref="A37:B37"/>
    <mergeCell ref="C37:D37"/>
    <mergeCell ref="A38:B38"/>
    <mergeCell ref="C38:D38"/>
    <mergeCell ref="A39:B39"/>
    <mergeCell ref="C39:D39"/>
    <mergeCell ref="A40:B40"/>
    <mergeCell ref="C40:D40"/>
    <mergeCell ref="A41:B41"/>
    <mergeCell ref="C41:D41"/>
    <mergeCell ref="A52:D52"/>
    <mergeCell ref="C51:D51"/>
    <mergeCell ref="C58:D58"/>
    <mergeCell ref="A45:D45"/>
    <mergeCell ref="A48:B48"/>
    <mergeCell ref="C48:D48"/>
    <mergeCell ref="A49:B49"/>
    <mergeCell ref="C49:D49"/>
    <mergeCell ref="A50:B50"/>
    <mergeCell ref="C50:D50"/>
  </mergeCells>
  <pageMargins left="0.78" right="0.70866141732283472" top="0.74803149606299213" bottom="0.74803149606299213" header="0.31496062992125984" footer="0.31496062992125984"/>
  <pageSetup scale="65"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HYD SEZ-APRIL -22WM Reg</vt:lpstr>
      <vt:lpstr>04-22-Master</vt:lpstr>
      <vt:lpstr>Eql remon</vt:lpstr>
      <vt:lpstr>04-22-TMur Roll</vt:lpstr>
      <vt:lpstr>Leave Reg</vt:lpstr>
      <vt:lpstr>wages Reg</vt:lpstr>
      <vt:lpstr>Empt Cards</vt:lpstr>
      <vt:lpstr>wage sllips</vt:lpstr>
      <vt:lpstr>APRIL 22-Bonus</vt:lpstr>
      <vt:lpstr>Deds</vt:lpstr>
      <vt:lpstr>Serive Certificate</vt:lpstr>
      <vt:lpstr>Fines</vt:lpstr>
      <vt:lpstr>Advances</vt:lpstr>
      <vt:lpstr>Overtime</vt:lpstr>
      <vt:lpstr>Accident</vt:lpstr>
      <vt:lpstr>FORM A</vt:lpstr>
      <vt:lpstr>FORM B</vt:lpstr>
      <vt:lpstr>FORM C</vt:lpstr>
      <vt:lpstr>FORM D</vt:lpstr>
      <vt:lpstr>ESI cards Reg</vt:lpstr>
      <vt:lpstr>Form-I</vt:lpstr>
      <vt:lpstr>Form-2</vt:lpstr>
      <vt:lpstr>Form 11</vt:lpstr>
      <vt:lpstr>Form-F</vt:lpstr>
      <vt:lpstr>Sheet1</vt:lpstr>
      <vt:lpstr>'Empt Cards'!Print_Area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cp:lastPrinted>2022-06-08T05:04:24Z</cp:lastPrinted>
  <dcterms:created xsi:type="dcterms:W3CDTF">2018-12-21T09:44:49Z</dcterms:created>
  <dcterms:modified xsi:type="dcterms:W3CDTF">2022-06-08T06:17:10Z</dcterms:modified>
</cp:coreProperties>
</file>